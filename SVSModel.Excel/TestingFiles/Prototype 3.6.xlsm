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2A708871-6394-4213-882E-E9FA5AD8D397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4" i="1" l="1"/>
  <c r="D61" i="1"/>
  <c r="D8" i="1"/>
  <c r="B6" i="3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47" i="1"/>
  <c r="D48" i="1"/>
  <c r="D49" i="1"/>
  <c r="D59" i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2" i="1" l="1"/>
  <c r="D50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8" i="3" s="1"/>
  <c r="J8" i="3" s="1"/>
  <c r="B21" i="1"/>
  <c r="B44" i="1"/>
  <c r="D44" i="1"/>
  <c r="B36" i="3"/>
  <c r="R14" i="1"/>
  <c r="G52" i="1"/>
  <c r="B29" i="3"/>
  <c r="D18" i="3"/>
  <c r="D9" i="3"/>
  <c r="AI9" i="3" a="1"/>
  <c r="AI11" i="3" a="1"/>
  <c r="AI10" i="3" a="1"/>
  <c r="AI9" i="3" l="1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B17" i="3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9" i="3" a="1"/>
  <c r="AG5" i="3" a="1"/>
  <c r="AG9" i="3" a="1"/>
  <c r="AH11" i="3" a="1"/>
  <c r="AH10" i="3" a="1"/>
  <c r="J10" i="3" a="1"/>
  <c r="I1" i="3" a="1"/>
  <c r="AG10" i="3" a="1"/>
  <c r="AG11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R2" i="3" s="1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Q8" i="3" l="1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O10" i="3" a="1"/>
  <c r="AL11" i="3" a="1"/>
  <c r="AK11" i="3" a="1"/>
  <c r="AN11" i="3" a="1"/>
  <c r="AJ9" i="3" a="1"/>
  <c r="AM11" i="3" a="1"/>
  <c r="AK10" i="3" a="1"/>
  <c r="AL10" i="3" a="1"/>
  <c r="AM9" i="3" a="1"/>
  <c r="AN9" i="3" a="1"/>
  <c r="AM10" i="3" a="1"/>
  <c r="AO11" i="3" a="1"/>
  <c r="AO9" i="3" a="1"/>
  <c r="AL9" i="3" a="1"/>
  <c r="AJ11" i="3" a="1"/>
  <c r="AJ10" i="3" a="1"/>
  <c r="AK9" i="3" a="1"/>
  <c r="AN10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D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7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<sst xmlns="http://schemas.openxmlformats.org/spreadsheetml/2006/main" count="489" uniqueCount="284">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</sst>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16</c:v>
                </c:pt>
                <c:pt idx="1">
                  <c:v>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2008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95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113.75000000000001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15.911284655702508</c:v>
                </c:pt>
                <c:pt idx="16">
                  <c:v>15.911284655702508</c:v>
                </c:pt>
                <c:pt idx="17">
                  <c:v>15.911284655702508</c:v>
                </c:pt>
                <c:pt idx="18">
                  <c:v>15.911284655702508</c:v>
                </c:pt>
                <c:pt idx="19">
                  <c:v>15.911284655702508</c:v>
                </c:pt>
                <c:pt idx="20">
                  <c:v>15.911284655702508</c:v>
                </c:pt>
                <c:pt idx="21">
                  <c:v>15.911284655702508</c:v>
                </c:pt>
                <c:pt idx="22">
                  <c:v>16.55672183437639</c:v>
                </c:pt>
                <c:pt idx="23">
                  <c:v>17.402354713374585</c:v>
                </c:pt>
                <c:pt idx="24">
                  <c:v>18.281739617561158</c:v>
                </c:pt>
                <c:pt idx="25">
                  <c:v>19.30581699363858</c:v>
                </c:pt>
                <c:pt idx="26">
                  <c:v>20.360414952470407</c:v>
                </c:pt>
                <c:pt idx="27">
                  <c:v>21.458222883720332</c:v>
                </c:pt>
                <c:pt idx="28">
                  <c:v>22.603419860336</c:v>
                </c:pt>
                <c:pt idx="29">
                  <c:v>23.706452222135759</c:v>
                </c:pt>
                <c:pt idx="30">
                  <c:v>24.850402963555076</c:v>
                </c:pt>
                <c:pt idx="31">
                  <c:v>26.231832120788933</c:v>
                </c:pt>
                <c:pt idx="32">
                  <c:v>27.689150797575735</c:v>
                </c:pt>
                <c:pt idx="33">
                  <c:v>29.362879674051271</c:v>
                </c:pt>
                <c:pt idx="34">
                  <c:v>30.92899459250766</c:v>
                </c:pt>
                <c:pt idx="35">
                  <c:v>32.519498245325074</c:v>
                </c:pt>
                <c:pt idx="36">
                  <c:v>34.005118311778858</c:v>
                </c:pt>
                <c:pt idx="37">
                  <c:v>35.751399416546917</c:v>
                </c:pt>
                <c:pt idx="38">
                  <c:v>37.60448359170914</c:v>
                </c:pt>
                <c:pt idx="39">
                  <c:v>39.569561554792521</c:v>
                </c:pt>
                <c:pt idx="40">
                  <c:v>41.707392919598085</c:v>
                </c:pt>
                <c:pt idx="41">
                  <c:v>43.947731287834742</c:v>
                </c:pt>
                <c:pt idx="42">
                  <c:v>46.171814199137351</c:v>
                </c:pt>
                <c:pt idx="43">
                  <c:v>48.254054596413816</c:v>
                </c:pt>
                <c:pt idx="44">
                  <c:v>50.440551274575895</c:v>
                </c:pt>
                <c:pt idx="45">
                  <c:v>53.071597184686382</c:v>
                </c:pt>
                <c:pt idx="46">
                  <c:v>55.604533354278132</c:v>
                </c:pt>
                <c:pt idx="47">
                  <c:v>58.14708316587582</c:v>
                </c:pt>
                <c:pt idx="48">
                  <c:v>60.695927539064272</c:v>
                </c:pt>
                <c:pt idx="49">
                  <c:v>63.375107510250096</c:v>
                </c:pt>
                <c:pt idx="50">
                  <c:v>66.127227924081183</c:v>
                </c:pt>
                <c:pt idx="51">
                  <c:v>68.934823268502598</c:v>
                </c:pt>
                <c:pt idx="52">
                  <c:v>71.959376661193787</c:v>
                </c:pt>
                <c:pt idx="53">
                  <c:v>74.897297321003194</c:v>
                </c:pt>
                <c:pt idx="54">
                  <c:v>78.178391505591861</c:v>
                </c:pt>
                <c:pt idx="55">
                  <c:v>81.507250339854622</c:v>
                </c:pt>
                <c:pt idx="56">
                  <c:v>85.302094759754482</c:v>
                </c:pt>
                <c:pt idx="57">
                  <c:v>89.1461359131726</c:v>
                </c:pt>
                <c:pt idx="58">
                  <c:v>93.399162632559623</c:v>
                </c:pt>
                <c:pt idx="59">
                  <c:v>97.315901452303095</c:v>
                </c:pt>
                <c:pt idx="60">
                  <c:v>101.20956451379304</c:v>
                </c:pt>
                <c:pt idx="61">
                  <c:v>105.29220598619169</c:v>
                </c:pt>
                <c:pt idx="62">
                  <c:v>109.4215766976224</c:v>
                </c:pt>
                <c:pt idx="63">
                  <c:v>113.88961659309864</c:v>
                </c:pt>
                <c:pt idx="64">
                  <c:v>118.37245555460065</c:v>
                </c:pt>
                <c:pt idx="65">
                  <c:v>122.92269446178281</c:v>
                </c:pt>
                <c:pt idx="66">
                  <c:v>128.208801115109</c:v>
                </c:pt>
                <c:pt idx="67">
                  <c:v>133.70874663147049</c:v>
                </c:pt>
                <c:pt idx="68">
                  <c:v>139.91149819815598</c:v>
                </c:pt>
                <c:pt idx="69">
                  <c:v>145.8740385409466</c:v>
                </c:pt>
                <c:pt idx="70">
                  <c:v>152.17342543984884</c:v>
                </c:pt>
                <c:pt idx="71">
                  <c:v>159.10493737302104</c:v>
                </c:pt>
                <c:pt idx="72">
                  <c:v>166.58487954346913</c:v>
                </c:pt>
                <c:pt idx="73">
                  <c:v>174.55104899160463</c:v>
                </c:pt>
                <c:pt idx="74">
                  <c:v>182.35916114122594</c:v>
                </c:pt>
                <c:pt idx="75">
                  <c:v>190.45997439450568</c:v>
                </c:pt>
                <c:pt idx="76">
                  <c:v>198.45870397075041</c:v>
                </c:pt>
                <c:pt idx="77">
                  <c:v>206.60063903124217</c:v>
                </c:pt>
                <c:pt idx="78">
                  <c:v>215.60364276306089</c:v>
                </c:pt>
                <c:pt idx="79">
                  <c:v>224.61112221771481</c:v>
                </c:pt>
                <c:pt idx="80">
                  <c:v>234.00710844846139</c:v>
                </c:pt>
                <c:pt idx="81">
                  <c:v>242.80936717799088</c:v>
                </c:pt>
                <c:pt idx="82">
                  <c:v>252.54859619953359</c:v>
                </c:pt>
                <c:pt idx="83">
                  <c:v>264.49983757633771</c:v>
                </c:pt>
                <c:pt idx="84">
                  <c:v>277.26226488274824</c:v>
                </c:pt>
                <c:pt idx="85">
                  <c:v>289.91661639067593</c:v>
                </c:pt>
                <c:pt idx="86">
                  <c:v>303.17132189369931</c:v>
                </c:pt>
                <c:pt idx="87">
                  <c:v>316.37539606102098</c:v>
                </c:pt>
                <c:pt idx="88">
                  <c:v>330.21993666532421</c:v>
                </c:pt>
                <c:pt idx="89">
                  <c:v>344.73165797774828</c:v>
                </c:pt>
                <c:pt idx="90">
                  <c:v>358.95789537981636</c:v>
                </c:pt>
                <c:pt idx="91">
                  <c:v>372.03870309024995</c:v>
                </c:pt>
                <c:pt idx="92">
                  <c:v>384.55000276194102</c:v>
                </c:pt>
                <c:pt idx="93">
                  <c:v>398.97867027047783</c:v>
                </c:pt>
                <c:pt idx="94">
                  <c:v>414.53985188450463</c:v>
                </c:pt>
                <c:pt idx="95">
                  <c:v>431.1068251199473</c:v>
                </c:pt>
                <c:pt idx="96">
                  <c:v>448.69585161609496</c:v>
                </c:pt>
                <c:pt idx="97">
                  <c:v>466.19074250650635</c:v>
                </c:pt>
                <c:pt idx="98">
                  <c:v>484.69968519858486</c:v>
                </c:pt>
                <c:pt idx="99">
                  <c:v>503.59045557189341</c:v>
                </c:pt>
                <c:pt idx="100">
                  <c:v>521.39887711492315</c:v>
                </c:pt>
                <c:pt idx="101">
                  <c:v>541.01729948916432</c:v>
                </c:pt>
                <c:pt idx="102">
                  <c:v>560.67766013605706</c:v>
                </c:pt>
                <c:pt idx="103">
                  <c:v>581.95031818231359</c:v>
                </c:pt>
                <c:pt idx="104">
                  <c:v>603.1970515539391</c:v>
                </c:pt>
                <c:pt idx="105">
                  <c:v>625.08816637534858</c:v>
                </c:pt>
                <c:pt idx="106">
                  <c:v>648.21683679579291</c:v>
                </c:pt>
                <c:pt idx="107">
                  <c:v>671.46212863533651</c:v>
                </c:pt>
                <c:pt idx="108">
                  <c:v>697.67640933503844</c:v>
                </c:pt>
                <c:pt idx="109">
                  <c:v>724.55528881314854</c:v>
                </c:pt>
                <c:pt idx="110">
                  <c:v>752.8575772308335</c:v>
                </c:pt>
                <c:pt idx="111">
                  <c:v>780.42685819399969</c:v>
                </c:pt>
                <c:pt idx="112">
                  <c:v>809.94939082852056</c:v>
                </c:pt>
                <c:pt idx="113">
                  <c:v>838.7752859434936</c:v>
                </c:pt>
                <c:pt idx="114">
                  <c:v>866.53876379479357</c:v>
                </c:pt>
                <c:pt idx="115">
                  <c:v>893.39943186625464</c:v>
                </c:pt>
                <c:pt idx="116">
                  <c:v>920.84011102130387</c:v>
                </c:pt>
                <c:pt idx="117">
                  <c:v>949.47167704719038</c:v>
                </c:pt>
                <c:pt idx="118">
                  <c:v>977.58677455441034</c:v>
                </c:pt>
                <c:pt idx="119">
                  <c:v>1007.5495046306833</c:v>
                </c:pt>
                <c:pt idx="120">
                  <c:v>1039.0408064493497</c:v>
                </c:pt>
                <c:pt idx="121">
                  <c:v>1070.1860397507037</c:v>
                </c:pt>
                <c:pt idx="122">
                  <c:v>1098.6201128917128</c:v>
                </c:pt>
                <c:pt idx="123">
                  <c:v>1128.5857861715285</c:v>
                </c:pt>
                <c:pt idx="124">
                  <c:v>1160.2672785109758</c:v>
                </c:pt>
                <c:pt idx="125">
                  <c:v>1191.4226529345344</c:v>
                </c:pt>
                <c:pt idx="126">
                  <c:v>1224.8683182977561</c:v>
                </c:pt>
                <c:pt idx="127">
                  <c:v>1257.9001180914561</c:v>
                </c:pt>
                <c:pt idx="128">
                  <c:v>1291.6241118670771</c:v>
                </c:pt>
                <c:pt idx="129">
                  <c:v>1324.9465386644888</c:v>
                </c:pt>
                <c:pt idx="130">
                  <c:v>1360.7400953400368</c:v>
                </c:pt>
                <c:pt idx="131">
                  <c:v>1393.730569038742</c:v>
                </c:pt>
                <c:pt idx="132">
                  <c:v>1423.9643670977559</c:v>
                </c:pt>
                <c:pt idx="133">
                  <c:v>1453.5729094373148</c:v>
                </c:pt>
                <c:pt idx="134">
                  <c:v>1481.327444242582</c:v>
                </c:pt>
                <c:pt idx="135">
                  <c:v>1509.603589546387</c:v>
                </c:pt>
                <c:pt idx="136">
                  <c:v>1539.6721388125425</c:v>
                </c:pt>
                <c:pt idx="137">
                  <c:v>1571.102088424856</c:v>
                </c:pt>
                <c:pt idx="138">
                  <c:v>1603.1520647325092</c:v>
                </c:pt>
                <c:pt idx="139">
                  <c:v>1633.4537476679859</c:v>
                </c:pt>
                <c:pt idx="140">
                  <c:v>1664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574.66256555524456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628.13884500717541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705.61004606509744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50.736616140679708</c:v>
                </c:pt>
                <c:pt idx="2">
                  <c:v>51.299502631744268</c:v>
                </c:pt>
                <c:pt idx="3">
                  <c:v>50.985229178376159</c:v>
                </c:pt>
                <c:pt idx="4">
                  <c:v>50.733248464101017</c:v>
                </c:pt>
                <c:pt idx="5">
                  <c:v>49.476931744155827</c:v>
                </c:pt>
                <c:pt idx="6">
                  <c:v>49.272610390802811</c:v>
                </c:pt>
                <c:pt idx="7">
                  <c:v>49.359779616284335</c:v>
                </c:pt>
                <c:pt idx="8">
                  <c:v>49.710353800854769</c:v>
                </c:pt>
                <c:pt idx="9">
                  <c:v>50.149228009709496</c:v>
                </c:pt>
                <c:pt idx="10">
                  <c:v>50.873063548508654</c:v>
                </c:pt>
                <c:pt idx="11">
                  <c:v>51.589603424607759</c:v>
                </c:pt>
                <c:pt idx="12">
                  <c:v>51.698607191370812</c:v>
                </c:pt>
                <c:pt idx="13">
                  <c:v>51.837408930380015</c:v>
                </c:pt>
                <c:pt idx="14">
                  <c:v>51.209219213039717</c:v>
                </c:pt>
                <c:pt idx="15">
                  <c:v>51.268983337905652</c:v>
                </c:pt>
                <c:pt idx="16">
                  <c:v>50.549321872020052</c:v>
                </c:pt>
                <c:pt idx="17">
                  <c:v>50.739439418036142</c:v>
                </c:pt>
                <c:pt idx="18">
                  <c:v>50.894999172633433</c:v>
                </c:pt>
                <c:pt idx="19">
                  <c:v>50.982392197667934</c:v>
                </c:pt>
                <c:pt idx="20">
                  <c:v>51.356143863947651</c:v>
                </c:pt>
                <c:pt idx="21">
                  <c:v>50.968382424291484</c:v>
                </c:pt>
                <c:pt idx="22">
                  <c:v>50.594788946068313</c:v>
                </c:pt>
                <c:pt idx="23">
                  <c:v>148.96248281931346</c:v>
                </c:pt>
                <c:pt idx="24">
                  <c:v>148.06237366333363</c:v>
                </c:pt>
                <c:pt idx="25">
                  <c:v>146.54664637747064</c:v>
                </c:pt>
                <c:pt idx="26">
                  <c:v>143.58558242597056</c:v>
                </c:pt>
                <c:pt idx="27">
                  <c:v>139.81113238800955</c:v>
                </c:pt>
                <c:pt idx="28">
                  <c:v>138.24506974584401</c:v>
                </c:pt>
                <c:pt idx="29">
                  <c:v>137.27875861399701</c:v>
                </c:pt>
                <c:pt idx="30">
                  <c:v>136.30752715714445</c:v>
                </c:pt>
                <c:pt idx="31">
                  <c:v>132.66948408333872</c:v>
                </c:pt>
                <c:pt idx="32">
                  <c:v>127.45247652472354</c:v>
                </c:pt>
                <c:pt idx="33">
                  <c:v>126.56516140462448</c:v>
                </c:pt>
                <c:pt idx="34">
                  <c:v>122.61306333002658</c:v>
                </c:pt>
                <c:pt idx="35">
                  <c:v>121.61931871342995</c:v>
                </c:pt>
                <c:pt idx="36">
                  <c:v>119.88341978232627</c:v>
                </c:pt>
                <c:pt idx="37">
                  <c:v>50.68656086179309</c:v>
                </c:pt>
                <c:pt idx="38">
                  <c:v>49.078248250153493</c:v>
                </c:pt>
                <c:pt idx="39">
                  <c:v>46.581462535308461</c:v>
                </c:pt>
                <c:pt idx="40">
                  <c:v>42.540447913006403</c:v>
                </c:pt>
                <c:pt idx="41">
                  <c:v>39.239090271299553</c:v>
                </c:pt>
                <c:pt idx="42">
                  <c:v>37.478669646485194</c:v>
                </c:pt>
                <c:pt idx="43">
                  <c:v>35.790707704569144</c:v>
                </c:pt>
                <c:pt idx="44">
                  <c:v>33.803396942761033</c:v>
                </c:pt>
                <c:pt idx="45">
                  <c:v>31.372226430344803</c:v>
                </c:pt>
                <c:pt idx="46">
                  <c:v>29.136358364127435</c:v>
                </c:pt>
                <c:pt idx="47">
                  <c:v>27.171788999212062</c:v>
                </c:pt>
                <c:pt idx="48">
                  <c:v>593.05632087259994</c:v>
                </c:pt>
                <c:pt idx="49">
                  <c:v>590.97553352247417</c:v>
                </c:pt>
                <c:pt idx="50">
                  <c:v>586.19806193373324</c:v>
                </c:pt>
                <c:pt idx="51">
                  <c:v>578.39646604729603</c:v>
                </c:pt>
                <c:pt idx="52">
                  <c:v>571.81344283965439</c:v>
                </c:pt>
                <c:pt idx="53">
                  <c:v>569.43879097367244</c:v>
                </c:pt>
                <c:pt idx="54">
                  <c:v>559.05569557968113</c:v>
                </c:pt>
                <c:pt idx="55">
                  <c:v>556.31282819947103</c:v>
                </c:pt>
                <c:pt idx="56">
                  <c:v>553.15395057676767</c:v>
                </c:pt>
                <c:pt idx="57">
                  <c:v>548.93726494823215</c:v>
                </c:pt>
                <c:pt idx="58">
                  <c:v>534.27418971999191</c:v>
                </c:pt>
                <c:pt idx="59">
                  <c:v>523.18958355444772</c:v>
                </c:pt>
                <c:pt idx="60">
                  <c:v>510.60548055443235</c:v>
                </c:pt>
                <c:pt idx="61">
                  <c:v>503.73215341183516</c:v>
                </c:pt>
                <c:pt idx="62">
                  <c:v>490.38039225433096</c:v>
                </c:pt>
                <c:pt idx="63">
                  <c:v>484.83108426897104</c:v>
                </c:pt>
                <c:pt idx="64">
                  <c:v>470.03397591490301</c:v>
                </c:pt>
                <c:pt idx="65">
                  <c:v>457.54015011874441</c:v>
                </c:pt>
                <c:pt idx="66">
                  <c:v>450.15623476242877</c:v>
                </c:pt>
                <c:pt idx="67">
                  <c:v>432.67932581599342</c:v>
                </c:pt>
                <c:pt idx="68">
                  <c:v>418.68815970015817</c:v>
                </c:pt>
                <c:pt idx="69">
                  <c:v>413.14788351843936</c:v>
                </c:pt>
                <c:pt idx="70">
                  <c:v>407.0356812803517</c:v>
                </c:pt>
                <c:pt idx="71">
                  <c:v>396.81602237747614</c:v>
                </c:pt>
                <c:pt idx="72">
                  <c:v>384.60202710670757</c:v>
                </c:pt>
                <c:pt idx="73">
                  <c:v>369.98103020894109</c:v>
                </c:pt>
                <c:pt idx="74">
                  <c:v>354.24965947961869</c:v>
                </c:pt>
                <c:pt idx="75">
                  <c:v>344.70020743775757</c:v>
                </c:pt>
                <c:pt idx="76">
                  <c:v>337.31149842420689</c:v>
                </c:pt>
                <c:pt idx="77">
                  <c:v>329.76917036029772</c:v>
                </c:pt>
                <c:pt idx="78">
                  <c:v>321.40147995385007</c:v>
                </c:pt>
                <c:pt idx="79">
                  <c:v>313.00795969233968</c:v>
                </c:pt>
                <c:pt idx="80">
                  <c:v>301.71727348721174</c:v>
                </c:pt>
                <c:pt idx="81">
                  <c:v>293.18930464600567</c:v>
                </c:pt>
                <c:pt idx="82">
                  <c:v>281.6451578163888</c:v>
                </c:pt>
                <c:pt idx="83">
                  <c:v>264.09816336231444</c:v>
                </c:pt>
                <c:pt idx="84">
                  <c:v>247.50298590631007</c:v>
                </c:pt>
                <c:pt idx="85">
                  <c:v>234.64291820717466</c:v>
                </c:pt>
                <c:pt idx="86">
                  <c:v>216.18611051239404</c:v>
                </c:pt>
                <c:pt idx="87">
                  <c:v>201.82331129735431</c:v>
                </c:pt>
                <c:pt idx="88">
                  <c:v>185.13261916434129</c:v>
                </c:pt>
                <c:pt idx="89">
                  <c:v>170.26808112384626</c:v>
                </c:pt>
                <c:pt idx="90">
                  <c:v>154.54950698928042</c:v>
                </c:pt>
                <c:pt idx="91">
                  <c:v>140.43997270355155</c:v>
                </c:pt>
                <c:pt idx="92">
                  <c:v>128.41032143305557</c:v>
                </c:pt>
                <c:pt idx="93">
                  <c:v>728.99196810364572</c:v>
                </c:pt>
                <c:pt idx="94">
                  <c:v>699.60976830175719</c:v>
                </c:pt>
                <c:pt idx="95">
                  <c:v>676.5357358930853</c:v>
                </c:pt>
                <c:pt idx="96">
                  <c:v>640.01404631939999</c:v>
                </c:pt>
                <c:pt idx="97">
                  <c:v>616.23852535078379</c:v>
                </c:pt>
                <c:pt idx="98">
                  <c:v>597.40204597775062</c:v>
                </c:pt>
                <c:pt idx="99">
                  <c:v>562.95090070659899</c:v>
                </c:pt>
                <c:pt idx="100">
                  <c:v>540.06583680544634</c:v>
                </c:pt>
                <c:pt idx="101">
                  <c:v>519.46189341024944</c:v>
                </c:pt>
                <c:pt idx="102">
                  <c:v>494.41505314607082</c:v>
                </c:pt>
                <c:pt idx="103">
                  <c:v>472.06444112780696</c:v>
                </c:pt>
                <c:pt idx="104">
                  <c:v>444.63342477703253</c:v>
                </c:pt>
                <c:pt idx="105">
                  <c:v>423.30050340436082</c:v>
                </c:pt>
                <c:pt idx="106">
                  <c:v>400.84349622527895</c:v>
                </c:pt>
                <c:pt idx="107">
                  <c:v>378.25866035581851</c:v>
                </c:pt>
                <c:pt idx="108">
                  <c:v>350.0346878377315</c:v>
                </c:pt>
                <c:pt idx="109">
                  <c:v>323.8856291829465</c:v>
                </c:pt>
                <c:pt idx="110">
                  <c:v>296.33630035051937</c:v>
                </c:pt>
                <c:pt idx="111">
                  <c:v>968.96878552555347</c:v>
                </c:pt>
                <c:pt idx="112">
                  <c:v>940.20192989387954</c:v>
                </c:pt>
                <c:pt idx="113">
                  <c:v>912.10005681001417</c:v>
                </c:pt>
                <c:pt idx="114">
                  <c:v>885.02308881544695</c:v>
                </c:pt>
                <c:pt idx="115">
                  <c:v>857.21329100730691</c:v>
                </c:pt>
                <c:pt idx="116">
                  <c:v>830.43452309374106</c:v>
                </c:pt>
                <c:pt idx="117">
                  <c:v>802.48527769240195</c:v>
                </c:pt>
                <c:pt idx="118">
                  <c:v>767.97079058059171</c:v>
                </c:pt>
                <c:pt idx="119">
                  <c:v>720.99899969780279</c:v>
                </c:pt>
                <c:pt idx="120">
                  <c:v>690.23820998978556</c:v>
                </c:pt>
                <c:pt idx="121">
                  <c:v>659.81026266401454</c:v>
                </c:pt>
                <c:pt idx="122">
                  <c:v>628.91134417181013</c:v>
                </c:pt>
                <c:pt idx="123">
                  <c:v>593.84094091276154</c:v>
                </c:pt>
                <c:pt idx="124">
                  <c:v>548.50196234323721</c:v>
                </c:pt>
                <c:pt idx="125">
                  <c:v>517.76953417743619</c:v>
                </c:pt>
                <c:pt idx="126">
                  <c:v>485.08570043903637</c:v>
                </c:pt>
                <c:pt idx="127">
                  <c:v>451.83663271187402</c:v>
                </c:pt>
                <c:pt idx="128">
                  <c:v>418.88508197606893</c:v>
                </c:pt>
                <c:pt idx="129">
                  <c:v>385.88297394411421</c:v>
                </c:pt>
                <c:pt idx="130">
                  <c:v>346.04504886536313</c:v>
                </c:pt>
                <c:pt idx="131">
                  <c:v>310.54168132089893</c:v>
                </c:pt>
                <c:pt idx="132">
                  <c:v>270.88916807960254</c:v>
                </c:pt>
                <c:pt idx="133">
                  <c:v>239.66104292950749</c:v>
                </c:pt>
                <c:pt idx="134">
                  <c:v>212.57373348955733</c:v>
                </c:pt>
                <c:pt idx="135">
                  <c:v>183.6904311490411</c:v>
                </c:pt>
                <c:pt idx="136">
                  <c:v>154.36447562143195</c:v>
                </c:pt>
                <c:pt idx="137">
                  <c:v>121.38681357063976</c:v>
                </c:pt>
                <c:pt idx="138">
                  <c:v>90.162968217064275</c:v>
                </c:pt>
                <c:pt idx="139">
                  <c:v>60.656104426370007</c:v>
                </c:pt>
                <c:pt idx="140">
                  <c:v>30.924888485383413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45458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-0.23843522657816388</c:v>
                </c:pt>
                <c:pt idx="3">
                  <c:v>-1.3138541040594485</c:v>
                </c:pt>
                <c:pt idx="4">
                  <c:v>-2.3420479395985643</c:v>
                </c:pt>
                <c:pt idx="5">
                  <c:v>-4.4156333195659521</c:v>
                </c:pt>
                <c:pt idx="6">
                  <c:v>-5.400657069900352</c:v>
                </c:pt>
                <c:pt idx="7">
                  <c:v>-6.055782956459673</c:v>
                </c:pt>
                <c:pt idx="8">
                  <c:v>-6.4089426004187908</c:v>
                </c:pt>
                <c:pt idx="9">
                  <c:v>-6.6989359623879796</c:v>
                </c:pt>
                <c:pt idx="10">
                  <c:v>-6.6989359623879796</c:v>
                </c:pt>
                <c:pt idx="11">
                  <c:v>-6.7002412519549868</c:v>
                </c:pt>
                <c:pt idx="12">
                  <c:v>-7.2184261321513956</c:v>
                </c:pt>
                <c:pt idx="13">
                  <c:v>-7.7465666898043963</c:v>
                </c:pt>
                <c:pt idx="14">
                  <c:v>-9.0607882170862943</c:v>
                </c:pt>
                <c:pt idx="15">
                  <c:v>-9.6763132286387759</c:v>
                </c:pt>
                <c:pt idx="16">
                  <c:v>-11.1016575856562</c:v>
                </c:pt>
                <c:pt idx="17">
                  <c:v>-11.579490741219095</c:v>
                </c:pt>
                <c:pt idx="18">
                  <c:v>-12.075606341849721</c:v>
                </c:pt>
                <c:pt idx="19">
                  <c:v>-12.67645969453296</c:v>
                </c:pt>
                <c:pt idx="20">
                  <c:v>-12.919694300543657</c:v>
                </c:pt>
                <c:pt idx="21">
                  <c:v>-13.930197882520917</c:v>
                </c:pt>
                <c:pt idx="22">
                  <c:v>-14.300786380105595</c:v>
                </c:pt>
                <c:pt idx="23">
                  <c:v>-15.731803180540727</c:v>
                </c:pt>
                <c:pt idx="24">
                  <c:v>-16.392290116969338</c:v>
                </c:pt>
                <c:pt idx="25">
                  <c:v>-17.594822163040707</c:v>
                </c:pt>
                <c:pt idx="26">
                  <c:v>-20.196426440561691</c:v>
                </c:pt>
                <c:pt idx="27">
                  <c:v>-23.561214360033127</c:v>
                </c:pt>
                <c:pt idx="28">
                  <c:v>-24.665171366264435</c:v>
                </c:pt>
                <c:pt idx="29">
                  <c:v>-25.156589531158023</c:v>
                </c:pt>
                <c:pt idx="30">
                  <c:v>-25.606997012199017</c:v>
                </c:pt>
                <c:pt idx="31">
                  <c:v>-28.580716201811935</c:v>
                </c:pt>
                <c:pt idx="32">
                  <c:v>-33.058915971182074</c:v>
                </c:pt>
                <c:pt idx="33">
                  <c:v>-33.058915971182074</c:v>
                </c:pt>
                <c:pt idx="34">
                  <c:v>-36.138173556792083</c:v>
                </c:pt>
                <c:pt idx="35">
                  <c:v>-36.211850187548912</c:v>
                </c:pt>
                <c:pt idx="36">
                  <c:v>-37.063543700263352</c:v>
                </c:pt>
                <c:pt idx="37">
                  <c:v>-37.562428849068006</c:v>
                </c:pt>
                <c:pt idx="38">
                  <c:v>-37.997589316886035</c:v>
                </c:pt>
                <c:pt idx="39">
                  <c:v>-39.216133373063307</c:v>
                </c:pt>
                <c:pt idx="40">
                  <c:v>-41.830706293490515</c:v>
                </c:pt>
                <c:pt idx="41">
                  <c:v>-43.600559869466437</c:v>
                </c:pt>
                <c:pt idx="42">
                  <c:v>-43.806964137084762</c:v>
                </c:pt>
                <c:pt idx="43">
                  <c:v>-44.015898877134042</c:v>
                </c:pt>
                <c:pt idx="44">
                  <c:v>-44.42359723852195</c:v>
                </c:pt>
                <c:pt idx="45">
                  <c:v>-44.917732538297294</c:v>
                </c:pt>
                <c:pt idx="46">
                  <c:v>-45.259514689890402</c:v>
                </c:pt>
                <c:pt idx="47">
                  <c:v>-45.296925124019751</c:v>
                </c:pt>
                <c:pt idx="48">
                  <c:v>-52.119786558763181</c:v>
                </c:pt>
                <c:pt idx="49">
                  <c:v>-52.119786558763181</c:v>
                </c:pt>
                <c:pt idx="50">
                  <c:v>-54.736020010966413</c:v>
                </c:pt>
                <c:pt idx="51">
                  <c:v>-60.310420734465715</c:v>
                </c:pt>
                <c:pt idx="52">
                  <c:v>-64.467255849369622</c:v>
                </c:pt>
                <c:pt idx="53">
                  <c:v>-64.467255849369622</c:v>
                </c:pt>
                <c:pt idx="54">
                  <c:v>-72.168930174449187</c:v>
                </c:pt>
                <c:pt idx="55">
                  <c:v>-72.168930174449187</c:v>
                </c:pt>
                <c:pt idx="56">
                  <c:v>-72.168930174449187</c:v>
                </c:pt>
                <c:pt idx="57">
                  <c:v>-73.160171082749244</c:v>
                </c:pt>
                <c:pt idx="58">
                  <c:v>-84.223518362052474</c:v>
                </c:pt>
                <c:pt idx="59">
                  <c:v>-91.974306656390965</c:v>
                </c:pt>
                <c:pt idx="60">
                  <c:v>-101.22588595768303</c:v>
                </c:pt>
                <c:pt idx="61">
                  <c:v>-104.58264022056362</c:v>
                </c:pt>
                <c:pt idx="62">
                  <c:v>-114.35897743194128</c:v>
                </c:pt>
                <c:pt idx="63">
                  <c:v>-116.01442965590897</c:v>
                </c:pt>
                <c:pt idx="64">
                  <c:v>-126.88651988141891</c:v>
                </c:pt>
                <c:pt idx="65">
                  <c:v>-135.37819982695606</c:v>
                </c:pt>
                <c:pt idx="66">
                  <c:v>-138.08044203621108</c:v>
                </c:pt>
                <c:pt idx="67">
                  <c:v>-150.66200434515613</c:v>
                </c:pt>
                <c:pt idx="68">
                  <c:v>-159.10130133806888</c:v>
                </c:pt>
                <c:pt idx="69">
                  <c:v>-159.28332591283643</c:v>
                </c:pt>
                <c:pt idx="70">
                  <c:v>-159.70923861121963</c:v>
                </c:pt>
                <c:pt idx="71">
                  <c:v>-163.64289309391808</c:v>
                </c:pt>
                <c:pt idx="72">
                  <c:v>-169.04404330067749</c:v>
                </c:pt>
                <c:pt idx="73">
                  <c:v>-176.37931937786345</c:v>
                </c:pt>
                <c:pt idx="74">
                  <c:v>-184.94394665241271</c:v>
                </c:pt>
                <c:pt idx="75">
                  <c:v>-187.03213051776029</c:v>
                </c:pt>
                <c:pt idx="76">
                  <c:v>-187.03213051776029</c:v>
                </c:pt>
                <c:pt idx="77">
                  <c:v>-187.03213051776029</c:v>
                </c:pt>
                <c:pt idx="78">
                  <c:v>-187.03213051776029</c:v>
                </c:pt>
                <c:pt idx="79">
                  <c:v>-187.03213051776029</c:v>
                </c:pt>
                <c:pt idx="80">
                  <c:v>-189.54396640953192</c:v>
                </c:pt>
                <c:pt idx="81">
                  <c:v>-189.83460624196363</c:v>
                </c:pt>
                <c:pt idx="82">
                  <c:v>-192.23879461810643</c:v>
                </c:pt>
                <c:pt idx="83">
                  <c:v>-198.53657893689413</c:v>
                </c:pt>
                <c:pt idx="84">
                  <c:v>-203.08919907765195</c:v>
                </c:pt>
                <c:pt idx="85">
                  <c:v>-203.98084216683921</c:v>
                </c:pt>
                <c:pt idx="86">
                  <c:v>-209.87426352732925</c:v>
                </c:pt>
                <c:pt idx="87">
                  <c:v>-211.69710827516275</c:v>
                </c:pt>
                <c:pt idx="88">
                  <c:v>-215.21462803928523</c:v>
                </c:pt>
                <c:pt idx="89">
                  <c:v>-216.24610713942678</c:v>
                </c:pt>
                <c:pt idx="90">
                  <c:v>-218.38247409256266</c:v>
                </c:pt>
                <c:pt idx="91">
                  <c:v>-219.99122415669146</c:v>
                </c:pt>
                <c:pt idx="92">
                  <c:v>-220.05487101166261</c:v>
                </c:pt>
                <c:pt idx="93">
                  <c:v>-233.78529519812818</c:v>
                </c:pt>
                <c:pt idx="94">
                  <c:v>-248.23375780436012</c:v>
                </c:pt>
                <c:pt idx="95">
                  <c:v>-255.38738784649925</c:v>
                </c:pt>
                <c:pt idx="96">
                  <c:v>-274.98480345611705</c:v>
                </c:pt>
                <c:pt idx="97">
                  <c:v>-281.90810932353634</c:v>
                </c:pt>
                <c:pt idx="98">
                  <c:v>-282.89512139949954</c:v>
                </c:pt>
                <c:pt idx="99">
                  <c:v>-299.10973908159076</c:v>
                </c:pt>
                <c:pt idx="100">
                  <c:v>-304.79060552149497</c:v>
                </c:pt>
                <c:pt idx="101">
                  <c:v>-306.4212641608089</c:v>
                </c:pt>
                <c:pt idx="102">
                  <c:v>-312.43879693808532</c:v>
                </c:pt>
                <c:pt idx="103">
                  <c:v>-314.18064631071053</c:v>
                </c:pt>
                <c:pt idx="104">
                  <c:v>-321.01253554184979</c:v>
                </c:pt>
                <c:pt idx="105">
                  <c:v>-321.10578434839681</c:v>
                </c:pt>
                <c:pt idx="106">
                  <c:v>-321.10578434839681</c:v>
                </c:pt>
                <c:pt idx="107">
                  <c:v>-321.10578434839681</c:v>
                </c:pt>
                <c:pt idx="108">
                  <c:v>-323.84326688759347</c:v>
                </c:pt>
                <c:pt idx="109">
                  <c:v>-323.84326688759347</c:v>
                </c:pt>
                <c:pt idx="110">
                  <c:v>-323.84326688759347</c:v>
                </c:pt>
                <c:pt idx="111">
                  <c:v>-329.96947818012114</c:v>
                </c:pt>
                <c:pt idx="112">
                  <c:v>-329.96947818012114</c:v>
                </c:pt>
                <c:pt idx="113">
                  <c:v>-329.96947818012114</c:v>
                </c:pt>
                <c:pt idx="114">
                  <c:v>-329.96947818012114</c:v>
                </c:pt>
                <c:pt idx="115">
                  <c:v>-331.57470873877708</c:v>
                </c:pt>
                <c:pt idx="116">
                  <c:v>-331.57470873877708</c:v>
                </c:pt>
                <c:pt idx="117">
                  <c:v>-331.57470873877708</c:v>
                </c:pt>
                <c:pt idx="118">
                  <c:v>-338.63785167864557</c:v>
                </c:pt>
                <c:pt idx="119">
                  <c:v>-356.34725899296205</c:v>
                </c:pt>
                <c:pt idx="120">
                  <c:v>-356.34725899296205</c:v>
                </c:pt>
                <c:pt idx="121">
                  <c:v>-356.34725899296205</c:v>
                </c:pt>
                <c:pt idx="122">
                  <c:v>-359.46452399129186</c:v>
                </c:pt>
                <c:pt idx="123">
                  <c:v>-365.25318220662405</c:v>
                </c:pt>
                <c:pt idx="124">
                  <c:v>-379.63188292381892</c:v>
                </c:pt>
                <c:pt idx="125">
                  <c:v>-379.91703136293114</c:v>
                </c:pt>
                <c:pt idx="126">
                  <c:v>-379.91703136293114</c:v>
                </c:pt>
                <c:pt idx="127">
                  <c:v>-380.88750046956812</c:v>
                </c:pt>
                <c:pt idx="128">
                  <c:v>-380.88750046956812</c:v>
                </c:pt>
                <c:pt idx="129">
                  <c:v>-381.33378496575091</c:v>
                </c:pt>
                <c:pt idx="130">
                  <c:v>-386.21251864018893</c:v>
                </c:pt>
                <c:pt idx="131">
                  <c:v>-389.49615937485163</c:v>
                </c:pt>
                <c:pt idx="132">
                  <c:v>-399.62584388903986</c:v>
                </c:pt>
                <c:pt idx="133">
                  <c:v>-401.94881933123196</c:v>
                </c:pt>
                <c:pt idx="134">
                  <c:v>-401.94881933123196</c:v>
                </c:pt>
                <c:pt idx="135">
                  <c:v>-403.24370415982702</c:v>
                </c:pt>
                <c:pt idx="136">
                  <c:v>-403.24370415982702</c:v>
                </c:pt>
                <c:pt idx="137">
                  <c:v>-405.58347911215122</c:v>
                </c:pt>
                <c:pt idx="138">
                  <c:v>-405.58347911215122</c:v>
                </c:pt>
                <c:pt idx="139">
                  <c:v>-405.58347911215122</c:v>
                </c:pt>
                <c:pt idx="140">
                  <c:v>-405.58347911215122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0.87518945829361017</c:v>
                </c:pt>
                <c:pt idx="1">
                  <c:v>1.745437076344454</c:v>
                </c:pt>
                <c:pt idx="2">
                  <c:v>2.6760428234915148</c:v>
                </c:pt>
                <c:pt idx="3">
                  <c:v>3.5526555619276499</c:v>
                </c:pt>
                <c:pt idx="4">
                  <c:v>4.4378678043477082</c:v>
                </c:pt>
                <c:pt idx="5">
                  <c:v>5.3604086455221163</c:v>
                </c:pt>
                <c:pt idx="6">
                  <c:v>6.2354634085191813</c:v>
                </c:pt>
                <c:pt idx="7">
                  <c:v>7.0623169394431713</c:v>
                </c:pt>
                <c:pt idx="8">
                  <c:v>7.8419323101693674</c:v>
                </c:pt>
                <c:pt idx="9">
                  <c:v>8.6434745384518212</c:v>
                </c:pt>
                <c:pt idx="10">
                  <c:v>9.4347368868534147</c:v>
                </c:pt>
                <c:pt idx="11">
                  <c:v>10.215077027128354</c:v>
                </c:pt>
                <c:pt idx="12">
                  <c:v>10.895365649379281</c:v>
                </c:pt>
                <c:pt idx="13">
                  <c:v>11.614223066957951</c:v>
                </c:pt>
                <c:pt idx="14">
                  <c:v>12.349724427745269</c:v>
                </c:pt>
                <c:pt idx="15">
                  <c:v>13.070649191120197</c:v>
                </c:pt>
                <c:pt idx="16">
                  <c:v>13.820204514939332</c:v>
                </c:pt>
                <c:pt idx="17">
                  <c:v>14.527417780387841</c:v>
                </c:pt>
                <c:pt idx="18">
                  <c:v>15.215044609963639</c:v>
                </c:pt>
                <c:pt idx="19">
                  <c:v>15.93804047210061</c:v>
                </c:pt>
                <c:pt idx="20">
                  <c:v>16.584958154583457</c:v>
                </c:pt>
                <c:pt idx="21">
                  <c:v>17.235746360284264</c:v>
                </c:pt>
                <c:pt idx="22">
                  <c:v>17.90479240110059</c:v>
                </c:pt>
                <c:pt idx="23">
                  <c:v>18.573838441916916</c:v>
                </c:pt>
                <c:pt idx="24">
                  <c:v>19.236326832440806</c:v>
                </c:pt>
                <c:pt idx="25">
                  <c:v>19.969734541556953</c:v>
                </c:pt>
                <c:pt idx="26">
                  <c:v>20.685154718138723</c:v>
                </c:pt>
                <c:pt idx="27">
                  <c:v>21.391686778093995</c:v>
                </c:pt>
                <c:pt idx="28">
                  <c:v>22.091429634101189</c:v>
                </c:pt>
                <c:pt idx="29">
                  <c:v>22.73385033922915</c:v>
                </c:pt>
                <c:pt idx="30">
                  <c:v>23.369881552940019</c:v>
                </c:pt>
                <c:pt idx="31">
                  <c:v>24.099808203933446</c:v>
                </c:pt>
                <c:pt idx="32">
                  <c:v>24.829734854926873</c:v>
                </c:pt>
                <c:pt idx="33">
                  <c:v>25.626861264362464</c:v>
                </c:pt>
                <c:pt idx="34">
                  <c:v>26.328636520901522</c:v>
                </c:pt>
                <c:pt idx="35">
                  <c:v>27.006269101725231</c:v>
                </c:pt>
                <c:pt idx="36">
                  <c:v>27.613433406852117</c:v>
                </c:pt>
                <c:pt idx="37">
                  <c:v>28.291065987675825</c:v>
                </c:pt>
                <c:pt idx="38">
                  <c:v>28.975351066304928</c:v>
                </c:pt>
                <c:pt idx="39">
                  <c:v>29.665658745249928</c:v>
                </c:pt>
                <c:pt idx="40">
                  <c:v>30.379706941330497</c:v>
                </c:pt>
                <c:pt idx="41">
                  <c:v>31.090332471475897</c:v>
                </c:pt>
                <c:pt idx="42">
                  <c:v>31.761353836987087</c:v>
                </c:pt>
                <c:pt idx="43">
                  <c:v>32.364816207674728</c:v>
                </c:pt>
                <c:pt idx="44">
                  <c:v>32.971362512065454</c:v>
                </c:pt>
                <c:pt idx="45">
                  <c:v>33.664357665975182</c:v>
                </c:pt>
                <c:pt idx="46">
                  <c:v>34.301663509164378</c:v>
                </c:pt>
                <c:pt idx="47">
                  <c:v>34.915030100876578</c:v>
                </c:pt>
                <c:pt idx="48">
                  <c:v>35.506257734157849</c:v>
                </c:pt>
                <c:pt idx="49">
                  <c:v>36.101749165394729</c:v>
                </c:pt>
                <c:pt idx="50">
                  <c:v>36.689337825264822</c:v>
                </c:pt>
                <c:pt idx="51">
                  <c:v>37.266096398699268</c:v>
                </c:pt>
                <c:pt idx="52">
                  <c:v>37.860367586321033</c:v>
                </c:pt>
                <c:pt idx="53">
                  <c:v>38.419364408351818</c:v>
                </c:pt>
                <c:pt idx="54">
                  <c:v>39.014245516139269</c:v>
                </c:pt>
                <c:pt idx="55">
                  <c:v>39.595200330092062</c:v>
                </c:pt>
                <c:pt idx="56">
                  <c:v>40.225515913920106</c:v>
                </c:pt>
                <c:pt idx="57">
                  <c:v>40.838260452975362</c:v>
                </c:pt>
                <c:pt idx="58">
                  <c:v>41.485178135458206</c:v>
                </c:pt>
                <c:pt idx="59">
                  <c:v>42.061936708892652</c:v>
                </c:pt>
                <c:pt idx="60">
                  <c:v>42.616840796810223</c:v>
                </c:pt>
                <c:pt idx="61">
                  <c:v>43.176423888035465</c:v>
                </c:pt>
                <c:pt idx="62">
                  <c:v>43.723778875983932</c:v>
                </c:pt>
                <c:pt idx="63">
                  <c:v>44.291019758514196</c:v>
                </c:pt>
                <c:pt idx="64">
                  <c:v>44.841850604539097</c:v>
                </c:pt>
                <c:pt idx="65">
                  <c:v>45.382870263295743</c:v>
                </c:pt>
                <c:pt idx="66">
                  <c:v>45.979583551598232</c:v>
                </c:pt>
                <c:pt idx="67">
                  <c:v>46.576296839900721</c:v>
                </c:pt>
                <c:pt idx="68">
                  <c:v>47.218717545028682</c:v>
                </c:pt>
                <c:pt idx="69">
                  <c:v>47.814819703077632</c:v>
                </c:pt>
                <c:pt idx="70">
                  <c:v>48.41951443356087</c:v>
                </c:pt>
                <c:pt idx="71">
                  <c:v>49.056182757820132</c:v>
                </c:pt>
                <c:pt idx="72">
                  <c:v>49.714105266176077</c:v>
                </c:pt>
                <c:pt idx="73">
                  <c:v>50.385126631687271</c:v>
                </c:pt>
                <c:pt idx="74">
                  <c:v>51.017343754011456</c:v>
                </c:pt>
                <c:pt idx="75">
                  <c:v>51.647659337839499</c:v>
                </c:pt>
                <c:pt idx="76">
                  <c:v>52.248661840881574</c:v>
                </c:pt>
                <c:pt idx="77">
                  <c:v>52.83928197203754</c:v>
                </c:pt>
                <c:pt idx="78">
                  <c:v>53.465174896819029</c:v>
                </c:pt>
                <c:pt idx="79">
                  <c:v>54.069869627302268</c:v>
                </c:pt>
                <c:pt idx="80">
                  <c:v>54.677652338011029</c:v>
                </c:pt>
                <c:pt idx="81">
                  <c:v>55.233723788260171</c:v>
                </c:pt>
                <c:pt idx="82">
                  <c:v>55.823736820019761</c:v>
                </c:pt>
                <c:pt idx="83">
                  <c:v>56.515387407982807</c:v>
                </c:pt>
                <c:pt idx="84">
                  <c:v>57.224646784547289</c:v>
                </c:pt>
                <c:pt idx="85">
                  <c:v>57.900291669206318</c:v>
                </c:pt>
                <c:pt idx="86">
                  <c:v>58.581245334386061</c:v>
                </c:pt>
                <c:pt idx="87">
                  <c:v>59.235270249666549</c:v>
                </c:pt>
                <c:pt idx="88">
                  <c:v>59.896452047266372</c:v>
                </c:pt>
                <c:pt idx="89">
                  <c:v>60.564840470482018</c:v>
                </c:pt>
                <c:pt idx="90">
                  <c:v>61.198962802103914</c:v>
                </c:pt>
                <c:pt idx="91">
                  <c:v>61.769760813741193</c:v>
                </c:pt>
                <c:pt idx="92">
                  <c:v>62.306203043351921</c:v>
                </c:pt>
                <c:pt idx="93">
                  <c:v>62.898646889388566</c:v>
                </c:pt>
                <c:pt idx="94">
                  <c:v>63.516379211156227</c:v>
                </c:pt>
                <c:pt idx="95">
                  <c:v>64.153047535415482</c:v>
                </c:pt>
                <c:pt idx="96">
                  <c:v>64.807721023310222</c:v>
                </c:pt>
                <c:pt idx="97">
                  <c:v>65.440572807435075</c:v>
                </c:pt>
                <c:pt idx="98">
                  <c:v>66.090069199605168</c:v>
                </c:pt>
                <c:pt idx="99">
                  <c:v>66.734414725074046</c:v>
                </c:pt>
                <c:pt idx="100">
                  <c:v>67.329295832861504</c:v>
                </c:pt>
                <c:pt idx="101">
                  <c:v>67.964690344332269</c:v>
                </c:pt>
                <c:pt idx="102">
                  <c:v>68.586180559147564</c:v>
                </c:pt>
                <c:pt idx="103">
                  <c:v>69.240205474428052</c:v>
                </c:pt>
                <c:pt idx="104">
                  <c:v>69.878149245001907</c:v>
                </c:pt>
                <c:pt idx="105">
                  <c:v>70.519929161520267</c:v>
                </c:pt>
                <c:pt idx="106">
                  <c:v>71.18176404999592</c:v>
                </c:pt>
                <c:pt idx="107">
                  <c:v>71.832552255696726</c:v>
                </c:pt>
                <c:pt idx="108">
                  <c:v>72.550033526891156</c:v>
                </c:pt>
                <c:pt idx="109">
                  <c:v>73.26957964284324</c:v>
                </c:pt>
                <c:pt idx="110">
                  <c:v>74.012087040542511</c:v>
                </c:pt>
                <c:pt idx="111">
                  <c:v>74.719981927214235</c:v>
                </c:pt>
                <c:pt idx="112">
                  <c:v>75.465303465307684</c:v>
                </c:pt>
                <c:pt idx="113">
                  <c:v>76.179351661388253</c:v>
                </c:pt>
                <c:pt idx="114">
                  <c:v>76.856321264088677</c:v>
                </c:pt>
                <c:pt idx="115">
                  <c:v>77.503238946571528</c:v>
                </c:pt>
                <c:pt idx="116">
                  <c:v>78.155967947534975</c:v>
                </c:pt>
                <c:pt idx="117">
                  <c:v>78.828968347025054</c:v>
                </c:pt>
                <c:pt idx="118">
                  <c:v>79.483641834919794</c:v>
                </c:pt>
                <c:pt idx="119">
                  <c:v>80.174620761290797</c:v>
                </c:pt>
                <c:pt idx="120">
                  <c:v>80.895545524665721</c:v>
                </c:pt>
                <c:pt idx="121">
                  <c:v>81.603440411337445</c:v>
                </c:pt>
                <c:pt idx="122">
                  <c:v>82.247143920868297</c:v>
                </c:pt>
                <c:pt idx="123">
                  <c:v>82.922127065473134</c:v>
                </c:pt>
                <c:pt idx="124">
                  <c:v>83.634120413398165</c:v>
                </c:pt>
                <c:pt idx="125">
                  <c:v>84.333186632686491</c:v>
                </c:pt>
                <c:pt idx="126">
                  <c:v>85.085572869280426</c:v>
                </c:pt>
                <c:pt idx="127">
                  <c:v>85.829486499152097</c:v>
                </c:pt>
                <c:pt idx="128">
                  <c:v>86.592548499678486</c:v>
                </c:pt>
                <c:pt idx="129">
                  <c:v>87.349904995213961</c:v>
                </c:pt>
                <c:pt idx="130">
                  <c:v>88.174505429512237</c:v>
                </c:pt>
                <c:pt idx="131">
                  <c:v>88.936138531377338</c:v>
                </c:pt>
                <c:pt idx="132">
                  <c:v>89.638592085101948</c:v>
                </c:pt>
                <c:pt idx="133">
                  <c:v>90.333607195827611</c:v>
                </c:pt>
                <c:pt idx="134">
                  <c:v>90.99283218713461</c:v>
                </c:pt>
                <c:pt idx="135">
                  <c:v>91.672456179553137</c:v>
                </c:pt>
                <c:pt idx="136">
                  <c:v>92.406561354371235</c:v>
                </c:pt>
                <c:pt idx="137">
                  <c:v>93.189804792894734</c:v>
                </c:pt>
                <c:pt idx="138">
                  <c:v>94.00692253095589</c:v>
                </c:pt>
                <c:pt idx="139">
                  <c:v>94.793076022466352</c:v>
                </c:pt>
                <c:pt idx="140">
                  <c:v>95.599318636101231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-0.13363147737113781</c:v>
                </c:pt>
                <c:pt idx="2">
                  <c:v>-0.26291550687547616</c:v>
                </c:pt>
                <c:pt idx="3">
                  <c:v>-0.37838282119843752</c:v>
                </c:pt>
                <c:pt idx="4">
                  <c:v>-0.48738194235452881</c:v>
                </c:pt>
                <c:pt idx="5">
                  <c:v>-0.59265412350673874</c:v>
                </c:pt>
                <c:pt idx="6">
                  <c:v>-0.6870064895224216</c:v>
                </c:pt>
                <c:pt idx="7">
                  <c:v>-0.77156490840556879</c:v>
                </c:pt>
                <c:pt idx="8">
                  <c:v>-0.84744645060221435</c:v>
                </c:pt>
                <c:pt idx="9">
                  <c:v>-0.92012110806075842</c:v>
                </c:pt>
                <c:pt idx="10">
                  <c:v>-0.98754791766319383</c:v>
                </c:pt>
                <c:pt idx="11">
                  <c:v>-1.0500428922720191</c:v>
                </c:pt>
                <c:pt idx="12">
                  <c:v>-1.1031428675634873</c:v>
                </c:pt>
                <c:pt idx="13">
                  <c:v>-1.1550579884799519</c:v>
                </c:pt>
                <c:pt idx="14">
                  <c:v>-1.2045275393256722</c:v>
                </c:pt>
                <c:pt idx="15">
                  <c:v>-1.2501631662821833</c:v>
                </c:pt>
                <c:pt idx="16">
                  <c:v>-1.294035598969498</c:v>
                </c:pt>
                <c:pt idx="17">
                  <c:v>-1.3332981628390166</c:v>
                </c:pt>
                <c:pt idx="18">
                  <c:v>-1.369249637186899</c:v>
                </c:pt>
                <c:pt idx="19">
                  <c:v>-1.4039991216061274</c:v>
                </c:pt>
                <c:pt idx="20">
                  <c:v>-1.433930531798558</c:v>
                </c:pt>
                <c:pt idx="21">
                  <c:v>-1.4619765951782677</c:v>
                </c:pt>
                <c:pt idx="22">
                  <c:v>-1.488590437959209</c:v>
                </c:pt>
                <c:pt idx="23">
                  <c:v>-1.5132929260970398</c:v>
                </c:pt>
                <c:pt idx="24">
                  <c:v>-1.5360186319855962</c:v>
                </c:pt>
                <c:pt idx="25">
                  <c:v>-1.5585442048159481</c:v>
                </c:pt>
                <c:pt idx="26">
                  <c:v>-1.5788260965449765</c:v>
                </c:pt>
                <c:pt idx="27">
                  <c:v>-1.5972123437398917</c:v>
                </c:pt>
                <c:pt idx="28">
                  <c:v>-1.6138638590656538</c:v>
                </c:pt>
                <c:pt idx="29">
                  <c:v>-1.6281451693472493</c:v>
                </c:pt>
                <c:pt idx="30">
                  <c:v>-1.6410496174503704</c:v>
                </c:pt>
                <c:pt idx="31">
                  <c:v>-1.6538709954027506</c:v>
                </c:pt>
                <c:pt idx="32">
                  <c:v>-1.6652867588544216</c:v>
                </c:pt>
                <c:pt idx="33">
                  <c:v>-1.6759994119135326</c:v>
                </c:pt>
                <c:pt idx="34">
                  <c:v>-1.6845002389840875</c:v>
                </c:pt>
                <c:pt idx="35">
                  <c:v>-1.691697152830173</c:v>
                </c:pt>
                <c:pt idx="36">
                  <c:v>-1.6974468098924973</c:v>
                </c:pt>
                <c:pt idx="37">
                  <c:v>-1.7027071579863358</c:v>
                </c:pt>
                <c:pt idx="38">
                  <c:v>-1.7070602052747801</c:v>
                </c:pt>
                <c:pt idx="39">
                  <c:v>-1.7105315798041563</c:v>
                </c:pt>
                <c:pt idx="40">
                  <c:v>-1.713190112954015</c:v>
                </c:pt>
                <c:pt idx="41">
                  <c:v>-1.7149813405936869</c:v>
                </c:pt>
                <c:pt idx="42">
                  <c:v>-1.7159361519983043</c:v>
                </c:pt>
                <c:pt idx="43">
                  <c:v>-1.7161853272762491</c:v>
                </c:pt>
                <c:pt idx="44">
                  <c:v>-1.7158473539250991</c:v>
                </c:pt>
                <c:pt idx="45">
                  <c:v>-1.7148318103652249</c:v>
                </c:pt>
                <c:pt idx="46">
                  <c:v>-1.7132873985869299</c:v>
                </c:pt>
                <c:pt idx="47">
                  <c:v>-1.7112631094874673</c:v>
                </c:pt>
                <c:pt idx="48">
                  <c:v>-1.7088186166935602</c:v>
                </c:pt>
                <c:pt idx="49">
                  <c:v>-1.7059174268703332</c:v>
                </c:pt>
                <c:pt idx="50">
                  <c:v>-1.7026238094469957</c:v>
                </c:pt>
                <c:pt idx="51">
                  <c:v>-1.6989822013979374</c:v>
                </c:pt>
                <c:pt idx="52">
                  <c:v>-1.6948880890662505</c:v>
                </c:pt>
                <c:pt idx="53">
                  <c:v>-1.6906161172695713</c:v>
                </c:pt>
                <c:pt idx="54">
                  <c:v>-1.6858241093801198</c:v>
                </c:pt>
                <c:pt idx="55">
                  <c:v>-1.6807874692802294</c:v>
                </c:pt>
                <c:pt idx="56">
                  <c:v>-1.6751362559117551</c:v>
                </c:pt>
                <c:pt idx="57">
                  <c:v>-1.6692843617842916</c:v>
                </c:pt>
                <c:pt idx="58">
                  <c:v>-1.6629032738171023</c:v>
                </c:pt>
                <c:pt idx="59">
                  <c:v>-1.6567408987137537</c:v>
                </c:pt>
                <c:pt idx="60">
                  <c:v>-1.6505056238646452</c:v>
                </c:pt>
                <c:pt idx="61">
                  <c:v>-1.6440201224078859</c:v>
                </c:pt>
                <c:pt idx="62">
                  <c:v>-1.6374283450521601</c:v>
                </c:pt>
                <c:pt idx="63">
                  <c:v>-1.6304850934983719</c:v>
                </c:pt>
                <c:pt idx="64">
                  <c:v>-1.6234951065792957</c:v>
                </c:pt>
                <c:pt idx="65">
                  <c:v>-1.6164217087751696</c:v>
                </c:pt>
                <c:pt idx="66">
                  <c:v>-1.6087014908121291</c:v>
                </c:pt>
                <c:pt idx="67">
                  <c:v>-1.6008159002434317</c:v>
                </c:pt>
                <c:pt idx="68">
                  <c:v>-1.5923541616084416</c:v>
                </c:pt>
                <c:pt idx="69">
                  <c:v>-1.5841675838181017</c:v>
                </c:pt>
                <c:pt idx="70">
                  <c:v>-1.5757649551035202</c:v>
                </c:pt>
                <c:pt idx="71">
                  <c:v>-1.5669257663676519</c:v>
                </c:pt>
                <c:pt idx="72">
                  <c:v>-1.5577511682847356</c:v>
                </c:pt>
                <c:pt idx="73">
                  <c:v>-1.5483239062408742</c:v>
                </c:pt>
                <c:pt idx="74">
                  <c:v>-1.5391723337168659</c:v>
                </c:pt>
                <c:pt idx="75">
                  <c:v>-1.529942840778681</c:v>
                </c:pt>
                <c:pt idx="76">
                  <c:v>-1.5209247811266904</c:v>
                </c:pt>
                <c:pt idx="77">
                  <c:v>-1.5119379157000714</c:v>
                </c:pt>
                <c:pt idx="78">
                  <c:v>-1.502517515110537</c:v>
                </c:pt>
                <c:pt idx="79">
                  <c:v>-1.4932530524502083</c:v>
                </c:pt>
                <c:pt idx="80">
                  <c:v>-1.4838998457686898</c:v>
                </c:pt>
                <c:pt idx="81">
                  <c:v>-1.4750415752627655</c:v>
                </c:pt>
                <c:pt idx="82">
                  <c:v>-1.4657840389537578</c:v>
                </c:pt>
                <c:pt idx="83">
                  <c:v>-1.4554033853993489</c:v>
                </c:pt>
                <c:pt idx="84">
                  <c:v>-1.4447927707998569</c:v>
                </c:pt>
                <c:pt idx="85">
                  <c:v>-1.4345107574793423</c:v>
                </c:pt>
                <c:pt idx="86">
                  <c:v>-1.4241452539262718</c:v>
                </c:pt>
                <c:pt idx="87">
                  <c:v>-1.414050469091316</c:v>
                </c:pt>
                <c:pt idx="88">
                  <c:v>-1.403864031278435</c:v>
                </c:pt>
                <c:pt idx="89">
                  <c:v>-1.3935900824234775</c:v>
                </c:pt>
                <c:pt idx="90">
                  <c:v>-1.383682193407263</c:v>
                </c:pt>
                <c:pt idx="91">
                  <c:v>-1.3744567162110251</c:v>
                </c:pt>
                <c:pt idx="92">
                  <c:v>-1.3656036896555284</c:v>
                </c:pt>
                <c:pt idx="93">
                  <c:v>-1.3561541772750676</c:v>
                </c:pt>
                <c:pt idx="94">
                  <c:v>-1.346442080672547</c:v>
                </c:pt>
                <c:pt idx="95">
                  <c:v>-1.3365395360219998</c:v>
                </c:pt>
                <c:pt idx="96">
                  <c:v>-1.3264604918365293</c:v>
                </c:pt>
                <c:pt idx="97">
                  <c:v>-1.3166364867469471</c:v>
                </c:pt>
                <c:pt idx="98">
                  <c:v>-1.3066574839086451</c:v>
                </c:pt>
                <c:pt idx="99">
                  <c:v>-1.296760225129364</c:v>
                </c:pt>
                <c:pt idx="100">
                  <c:v>-1.2874172511356234</c:v>
                </c:pt>
                <c:pt idx="101">
                  <c:v>-1.2776741442481621</c:v>
                </c:pt>
                <c:pt idx="102">
                  <c:v>-1.2681111990729348</c:v>
                </c:pt>
                <c:pt idx="103">
                  <c:v>-1.2582407137355531</c:v>
                </c:pt>
                <c:pt idx="104">
                  <c:v>-1.2485782323190304</c:v>
                </c:pt>
                <c:pt idx="105">
                  <c:v>-1.2389158935525959</c:v>
                </c:pt>
                <c:pt idx="106">
                  <c:v>-1.2290875406658084</c:v>
                </c:pt>
                <c:pt idx="107">
                  <c:v>-1.2194197762834662</c:v>
                </c:pt>
                <c:pt idx="108">
                  <c:v>-1.2091103266662984</c:v>
                </c:pt>
                <c:pt idx="109">
                  <c:v>-1.1988356192932619</c:v>
                </c:pt>
                <c:pt idx="110">
                  <c:v>-1.1883834317346942</c:v>
                </c:pt>
                <c:pt idx="111">
                  <c:v>-1.1783469527758377</c:v>
                </c:pt>
                <c:pt idx="112">
                  <c:v>-1.1679914880223308</c:v>
                </c:pt>
                <c:pt idx="113">
                  <c:v>-1.1580176529953388</c:v>
                </c:pt>
                <c:pt idx="114">
                  <c:v>-1.1484773989629584</c:v>
                </c:pt>
                <c:pt idx="115">
                  <c:v>-1.1392942594688216</c:v>
                </c:pt>
                <c:pt idx="116">
                  <c:v>-1.1301120189488927</c:v>
                </c:pt>
                <c:pt idx="117">
                  <c:v>-1.1207917938915362</c:v>
                </c:pt>
                <c:pt idx="118">
                  <c:v>-1.1117119465079721</c:v>
                </c:pt>
                <c:pt idx="119">
                  <c:v>-1.1023443650784994</c:v>
                </c:pt>
                <c:pt idx="120">
                  <c:v>-1.0927570178041766</c:v>
                </c:pt>
                <c:pt idx="121">
                  <c:v>-1.0833659288929192</c:v>
                </c:pt>
                <c:pt idx="122">
                  <c:v>-1.0746497912892874</c:v>
                </c:pt>
                <c:pt idx="123">
                  <c:v>-1.0657046997947832</c:v>
                </c:pt>
                <c:pt idx="124">
                  <c:v>-1.0564835606020564</c:v>
                </c:pt>
                <c:pt idx="125">
                  <c:v>-1.0474550830205609</c:v>
                </c:pt>
                <c:pt idx="126">
                  <c:v>-1.0380096947925739</c:v>
                </c:pt>
                <c:pt idx="127">
                  <c:v>-1.0287221514896276</c:v>
                </c:pt>
                <c:pt idx="128">
                  <c:v>-1.0193411122001259</c:v>
                </c:pt>
                <c:pt idx="129">
                  <c:v>-1.0100943460958343</c:v>
                </c:pt>
                <c:pt idx="130">
                  <c:v>-1.0003295091591471</c:v>
                </c:pt>
                <c:pt idx="131">
                  <c:v>-0.99121572212053222</c:v>
                </c:pt>
                <c:pt idx="132">
                  <c:v>-0.98269994393937665</c:v>
                </c:pt>
                <c:pt idx="133">
                  <c:v>-0.97432242300912497</c:v>
                </c:pt>
                <c:pt idx="134">
                  <c:v>-0.96632204899905583</c:v>
                </c:pt>
                <c:pt idx="135">
                  <c:v>-0.95821824953381718</c:v>
                </c:pt>
                <c:pt idx="136">
                  <c:v>-0.94972968580555639</c:v>
                </c:pt>
                <c:pt idx="137">
                  <c:v>-0.94091061048353142</c:v>
                </c:pt>
                <c:pt idx="138">
                  <c:v>-0.93189739446697706</c:v>
                </c:pt>
                <c:pt idx="139">
                  <c:v>-0.92323174119498708</c:v>
                </c:pt>
                <c:pt idx="140">
                  <c:v>-0.91443796380236186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2.4578038165533278</c:v>
                </c:pt>
                <c:pt idx="15">
                  <c:v>2.5501643063093633</c:v>
                </c:pt>
                <c:pt idx="16">
                  <c:v>2.6546044416306764</c:v>
                </c:pt>
                <c:pt idx="17">
                  <c:v>2.7621454652680737</c:v>
                </c:pt>
                <c:pt idx="18">
                  <c:v>2.8683683455947651</c:v>
                </c:pt>
                <c:pt idx="19">
                  <c:v>2.9892794934072318</c:v>
                </c:pt>
                <c:pt idx="20">
                  <c:v>3.1112222576267219</c:v>
                </c:pt>
                <c:pt idx="21">
                  <c:v>3.2282445215881013</c:v>
                </c:pt>
                <c:pt idx="22">
                  <c:v>3.3586282842750679</c:v>
                </c:pt>
                <c:pt idx="23">
                  <c:v>3.4909819871277081</c:v>
                </c:pt>
                <c:pt idx="24">
                  <c:v>3.636740268323797</c:v>
                </c:pt>
                <c:pt idx="25">
                  <c:v>3.7748721940839585</c:v>
                </c:pt>
                <c:pt idx="26">
                  <c:v>3.9189995704117346</c:v>
                </c:pt>
                <c:pt idx="27">
                  <c:v>4.0809485058773767</c:v>
                </c:pt>
                <c:pt idx="28">
                  <c:v>4.2694624722058867</c:v>
                </c:pt>
                <c:pt idx="29">
                  <c:v>4.4695615440352485</c:v>
                </c:pt>
                <c:pt idx="30">
                  <c:v>4.6676192622169284</c:v>
                </c:pt>
                <c:pt idx="31">
                  <c:v>4.8876243106718835</c:v>
                </c:pt>
                <c:pt idx="32">
                  <c:v>5.093985580584218</c:v>
                </c:pt>
                <c:pt idx="33">
                  <c:v>5.2972229790891365</c:v>
                </c:pt>
                <c:pt idx="34">
                  <c:v>5.5044863123734356</c:v>
                </c:pt>
                <c:pt idx="35">
                  <c:v>5.7441137572263274</c:v>
                </c:pt>
                <c:pt idx="36">
                  <c:v>6.0260082579099512</c:v>
                </c:pt>
                <c:pt idx="37">
                  <c:v>6.3062983713274035</c:v>
                </c:pt>
                <c:pt idx="38">
                  <c:v>6.5805069526289985</c:v>
                </c:pt>
                <c:pt idx="39">
                  <c:v>6.8604408334332536</c:v>
                </c:pt>
                <c:pt idx="40">
                  <c:v>7.1619024702374983</c:v>
                </c:pt>
                <c:pt idx="41">
                  <c:v>7.4935039739473179</c:v>
                </c:pt>
                <c:pt idx="42">
                  <c:v>7.8517037126122418</c:v>
                </c:pt>
                <c:pt idx="43">
                  <c:v>8.2061276745619143</c:v>
                </c:pt>
                <c:pt idx="44">
                  <c:v>8.586187332190244</c:v>
                </c:pt>
                <c:pt idx="45">
                  <c:v>8.9451495259086471</c:v>
                </c:pt>
                <c:pt idx="46">
                  <c:v>9.2946322132105035</c:v>
                </c:pt>
                <c:pt idx="47">
                  <c:v>9.6593439437962942</c:v>
                </c:pt>
                <c:pt idx="48">
                  <c:v>10.082255865417444</c:v>
                </c:pt>
                <c:pt idx="49">
                  <c:v>10.59196178200451</c:v>
                </c:pt>
                <c:pt idx="50">
                  <c:v>11.137835766376677</c:v>
                </c:pt>
                <c:pt idx="51">
                  <c:v>11.681416614101328</c:v>
                </c:pt>
                <c:pt idx="52">
                  <c:v>12.219188779396179</c:v>
                </c:pt>
                <c:pt idx="53">
                  <c:v>12.792350224430892</c:v>
                </c:pt>
                <c:pt idx="54">
                  <c:v>13.396712361568472</c:v>
                </c:pt>
                <c:pt idx="55">
                  <c:v>14.034769006247641</c:v>
                </c:pt>
                <c:pt idx="56">
                  <c:v>14.744541931299016</c:v>
                </c:pt>
                <c:pt idx="57">
                  <c:v>15.489341928245882</c:v>
                </c:pt>
                <c:pt idx="58">
                  <c:v>16.345333316839117</c:v>
                </c:pt>
                <c:pt idx="59">
                  <c:v>17.258184029938143</c:v>
                </c:pt>
                <c:pt idx="60">
                  <c:v>18.248993096455109</c:v>
                </c:pt>
                <c:pt idx="61">
                  <c:v>19.273468886323506</c:v>
                </c:pt>
                <c:pt idx="62">
                  <c:v>20.248275519027771</c:v>
                </c:pt>
                <c:pt idx="63">
                  <c:v>21.383056607750344</c:v>
                </c:pt>
                <c:pt idx="64">
                  <c:v>22.551806048570825</c:v>
                </c:pt>
                <c:pt idx="65">
                  <c:v>23.80992269445866</c:v>
                </c:pt>
                <c:pt idx="66">
                  <c:v>25.12194510451307</c:v>
                </c:pt>
                <c:pt idx="67">
                  <c:v>26.568221244751459</c:v>
                </c:pt>
                <c:pt idx="68">
                  <c:v>28.070426055143709</c:v>
                </c:pt>
                <c:pt idx="69">
                  <c:v>29.65127095443663</c:v>
                </c:pt>
                <c:pt idx="70">
                  <c:v>31.227915374714023</c:v>
                </c:pt>
                <c:pt idx="71">
                  <c:v>32.783665446117489</c:v>
                </c:pt>
                <c:pt idx="72">
                  <c:v>34.513966885051303</c:v>
                </c:pt>
                <c:pt idx="73">
                  <c:v>36.463015191552174</c:v>
                </c:pt>
                <c:pt idx="74">
                  <c:v>38.653875716531218</c:v>
                </c:pt>
                <c:pt idx="75">
                  <c:v>40.859454256658132</c:v>
                </c:pt>
                <c:pt idx="76">
                  <c:v>43.149914269464745</c:v>
                </c:pt>
                <c:pt idx="77">
                  <c:v>45.407583974297062</c:v>
                </c:pt>
                <c:pt idx="78">
                  <c:v>47.67055477258873</c:v>
                </c:pt>
                <c:pt idx="79">
                  <c:v>50.256632589995206</c:v>
                </c:pt>
                <c:pt idx="80">
                  <c:v>52.958678638903621</c:v>
                </c:pt>
                <c:pt idx="81">
                  <c:v>55.882113050840616</c:v>
                </c:pt>
                <c:pt idx="82">
                  <c:v>58.817646304557535</c:v>
                </c:pt>
                <c:pt idx="83">
                  <c:v>61.670790117516376</c:v>
                </c:pt>
                <c:pt idx="84">
                  <c:v>64.66496428243039</c:v>
                </c:pt>
                <c:pt idx="85">
                  <c:v>67.79068327351581</c:v>
                </c:pt>
                <c:pt idx="86">
                  <c:v>71.228594171428185</c:v>
                </c:pt>
                <c:pt idx="87">
                  <c:v>74.813583840008832</c:v>
                </c:pt>
                <c:pt idx="88">
                  <c:v>78.694330875097734</c:v>
                </c:pt>
                <c:pt idx="89">
                  <c:v>82.888303133009927</c:v>
                </c:pt>
                <c:pt idx="90">
                  <c:v>87.104742892544181</c:v>
                </c:pt>
                <c:pt idx="91">
                  <c:v>91.276027832427644</c:v>
                </c:pt>
                <c:pt idx="92">
                  <c:v>95.607992896409257</c:v>
                </c:pt>
                <c:pt idx="93">
                  <c:v>100.04830003063937</c:v>
                </c:pt>
                <c:pt idx="94">
                  <c:v>104.47300249167658</c:v>
                </c:pt>
                <c:pt idx="95">
                  <c:v>108.53453849048033</c:v>
                </c:pt>
                <c:pt idx="96">
                  <c:v>113.65614224834114</c:v>
                </c:pt>
                <c:pt idx="97">
                  <c:v>119.12395338949558</c:v>
                </c:pt>
                <c:pt idx="98">
                  <c:v>124.73462565725164</c:v>
                </c:pt>
                <c:pt idx="99">
                  <c:v>129.82418058178206</c:v>
                </c:pt>
                <c:pt idx="100">
                  <c:v>134.74671959290262</c:v>
                </c:pt>
                <c:pt idx="101">
                  <c:v>140.27185349775635</c:v>
                </c:pt>
                <c:pt idx="102">
                  <c:v>145.59123303219141</c:v>
                </c:pt>
                <c:pt idx="103">
                  <c:v>151.16293635169495</c:v>
                </c:pt>
                <c:pt idx="104">
                  <c:v>156.6005585119353</c:v>
                </c:pt>
                <c:pt idx="105">
                  <c:v>162.34184842003759</c:v>
                </c:pt>
                <c:pt idx="106">
                  <c:v>168.13651083803154</c:v>
                </c:pt>
                <c:pt idx="107">
                  <c:v>174.19317453669532</c:v>
                </c:pt>
                <c:pt idx="108">
                  <c:v>180.11746975765999</c:v>
                </c:pt>
                <c:pt idx="109">
                  <c:v>185.75852795712842</c:v>
                </c:pt>
                <c:pt idx="110">
                  <c:v>191.49043628754566</c:v>
                </c:pt>
                <c:pt idx="111">
                  <c:v>197.39497012212499</c:v>
                </c:pt>
                <c:pt idx="112">
                  <c:v>203.38745071212097</c:v>
                </c:pt>
                <c:pt idx="113">
                  <c:v>209.17516617478822</c:v>
                </c:pt>
                <c:pt idx="114">
                  <c:v>215.11031139089806</c:v>
                </c:pt>
                <c:pt idx="115">
                  <c:v>220.81743499475047</c:v>
                </c:pt>
                <c:pt idx="116">
                  <c:v>226.23699700813461</c:v>
                </c:pt>
                <c:pt idx="117">
                  <c:v>231.41966033825099</c:v>
                </c:pt>
                <c:pt idx="118">
                  <c:v>236.56079489316812</c:v>
                </c:pt>
                <c:pt idx="119">
                  <c:v>241.67289560871131</c:v>
                </c:pt>
                <c:pt idx="120">
                  <c:v>246.71592760040079</c:v>
                </c:pt>
                <c:pt idx="121">
                  <c:v>252.03311177229494</c:v>
                </c:pt>
                <c:pt idx="122">
                  <c:v>257.04220289073174</c:v>
                </c:pt>
                <c:pt idx="123">
                  <c:v>261.80475819233817</c:v>
                </c:pt>
                <c:pt idx="124">
                  <c:v>266.63905601107501</c:v>
                </c:pt>
                <c:pt idx="125">
                  <c:v>271.33670988404845</c:v>
                </c:pt>
                <c:pt idx="126">
                  <c:v>275.74299168932623</c:v>
                </c:pt>
                <c:pt idx="127">
                  <c:v>279.97586863805503</c:v>
                </c:pt>
                <c:pt idx="128">
                  <c:v>283.98886040933309</c:v>
                </c:pt>
                <c:pt idx="129">
                  <c:v>287.91063047780017</c:v>
                </c:pt>
                <c:pt idx="130">
                  <c:v>291.55218919539601</c:v>
                </c:pt>
                <c:pt idx="131">
                  <c:v>294.91499191177769</c:v>
                </c:pt>
                <c:pt idx="132">
                  <c:v>297.98345270977677</c:v>
                </c:pt>
                <c:pt idx="133">
                  <c:v>300.83992128639397</c:v>
                </c:pt>
                <c:pt idx="134">
                  <c:v>303.67058823529408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31.233526565722901</c:v>
                </c:pt>
                <c:pt idx="1">
                  <c:v>32.382534607597755</c:v>
                </c:pt>
                <c:pt idx="2">
                  <c:v>33.719356589506638</c:v>
                </c:pt>
                <c:pt idx="3">
                  <c:v>36.107464168833069</c:v>
                </c:pt>
                <c:pt idx="4">
                  <c:v>39.128095201161891</c:v>
                </c:pt>
                <c:pt idx="5">
                  <c:v>42.569787715921862</c:v>
                </c:pt>
                <c:pt idx="6">
                  <c:v>46.613786448451023</c:v>
                </c:pt>
                <c:pt idx="7">
                  <c:v>51.066005716442191</c:v>
                </c:pt>
                <c:pt idx="8">
                  <c:v>55.873241850320753</c:v>
                </c:pt>
                <c:pt idx="9">
                  <c:v>61.129463745030748</c:v>
                </c:pt>
                <c:pt idx="10">
                  <c:v>66.600098194401994</c:v>
                </c:pt>
                <c:pt idx="11">
                  <c:v>72.198137768277519</c:v>
                </c:pt>
                <c:pt idx="12">
                  <c:v>77.935196583896584</c:v>
                </c:pt>
                <c:pt idx="13">
                  <c:v>84.154665159724402</c:v>
                </c:pt>
                <c:pt idx="14">
                  <c:v>90.85799954368008</c:v>
                </c:pt>
                <c:pt idx="15">
                  <c:v>97.425777852750954</c:v>
                </c:pt>
                <c:pt idx="16">
                  <c:v>103.64853359863206</c:v>
                </c:pt>
                <c:pt idx="17">
                  <c:v>109.63056259505785</c:v>
                </c:pt>
                <c:pt idx="18">
                  <c:v>116.62840400834689</c:v>
                </c:pt>
                <c:pt idx="19">
                  <c:v>124.05338838430485</c:v>
                </c:pt>
                <c:pt idx="20">
                  <c:v>131.40475086933452</c:v>
                </c:pt>
                <c:pt idx="21">
                  <c:v>138.49149262058552</c:v>
                </c:pt>
                <c:pt idx="22">
                  <c:v>145.84965430627653</c:v>
                </c:pt>
                <c:pt idx="23">
                  <c:v>153.09616716658672</c:v>
                </c:pt>
                <c:pt idx="24">
                  <c:v>160.58678180011975</c:v>
                </c:pt>
                <c:pt idx="25">
                  <c:v>167.70066518409581</c:v>
                </c:pt>
                <c:pt idx="26">
                  <c:v>174.77577662809659</c:v>
                </c:pt>
                <c:pt idx="27">
                  <c:v>182.08575190555752</c:v>
                </c:pt>
                <c:pt idx="28">
                  <c:v>189.83232208040985</c:v>
                </c:pt>
                <c:pt idx="29">
                  <c:v>197.61798003743735</c:v>
                </c:pt>
                <c:pt idx="30">
                  <c:v>205.08348471738873</c:v>
                </c:pt>
                <c:pt idx="31">
                  <c:v>212.07920890693271</c:v>
                </c:pt>
                <c:pt idx="32">
                  <c:v>219.1685278617031</c:v>
                </c:pt>
                <c:pt idx="33">
                  <c:v>225.95766816026935</c:v>
                </c:pt>
                <c:pt idx="34">
                  <c:v>232.58792907533828</c:v>
                </c:pt>
                <c:pt idx="35">
                  <c:v>239.48181207561402</c:v>
                </c:pt>
                <c:pt idx="36">
                  <c:v>246.79820675637103</c:v>
                </c:pt>
                <c:pt idx="37">
                  <c:v>253.74821158983136</c:v>
                </c:pt>
                <c:pt idx="38">
                  <c:v>260.27594414691686</c:v>
                </c:pt>
                <c:pt idx="39">
                  <c:v>266.56479438049837</c:v>
                </c:pt>
                <c:pt idx="40">
                  <c:v>272.83418979507064</c:v>
                </c:pt>
                <c:pt idx="41">
                  <c:v>279.16710515743404</c:v>
                </c:pt>
                <c:pt idx="42">
                  <c:v>285.48739801289872</c:v>
                </c:pt>
                <c:pt idx="43">
                  <c:v>291.45070098537349</c:v>
                </c:pt>
                <c:pt idx="44">
                  <c:v>297.38862781666114</c:v>
                </c:pt>
                <c:pt idx="45">
                  <c:v>302.86717800259964</c:v>
                </c:pt>
                <c:pt idx="46">
                  <c:v>308.01052052103097</c:v>
                </c:pt>
                <c:pt idx="47">
                  <c:v>313.02475443211091</c:v>
                </c:pt>
                <c:pt idx="48">
                  <c:v>318.19862985981149</c:v>
                </c:pt>
                <c:pt idx="49">
                  <c:v>323.7289818743302</c:v>
                </c:pt>
                <c:pt idx="50">
                  <c:v>329.21525426014972</c:v>
                </c:pt>
                <c:pt idx="51">
                  <c:v>334.40942358119838</c:v>
                </c:pt>
                <c:pt idx="52">
                  <c:v>339.23583662769471</c:v>
                </c:pt>
                <c:pt idx="53">
                  <c:v>343.96194798472794</c:v>
                </c:pt>
                <c:pt idx="54">
                  <c:v>348.53764288567908</c:v>
                </c:pt>
                <c:pt idx="55">
                  <c:v>352.96150366397075</c:v>
                </c:pt>
                <c:pt idx="56">
                  <c:v>357.34447893728878</c:v>
                </c:pt>
                <c:pt idx="57">
                  <c:v>361.54778548901623</c:v>
                </c:pt>
                <c:pt idx="58">
                  <c:v>365.82433202697649</c:v>
                </c:pt>
                <c:pt idx="59">
                  <c:v>370.00264432592172</c:v>
                </c:pt>
                <c:pt idx="60">
                  <c:v>374.05254731471672</c:v>
                </c:pt>
                <c:pt idx="61">
                  <c:v>377.93741926999405</c:v>
                </c:pt>
                <c:pt idx="62">
                  <c:v>381.34189069417221</c:v>
                </c:pt>
                <c:pt idx="63">
                  <c:v>384.84397584958509</c:v>
                </c:pt>
                <c:pt idx="64">
                  <c:v>388.17708165371795</c:v>
                </c:pt>
                <c:pt idx="65">
                  <c:v>391.33040096633937</c:v>
                </c:pt>
                <c:pt idx="66">
                  <c:v>394.26235216336062</c:v>
                </c:pt>
                <c:pt idx="67">
                  <c:v>397.08737289512311</c:v>
                </c:pt>
                <c:pt idx="68">
                  <c:v>399.65062137467584</c:v>
                </c:pt>
                <c:pt idx="69">
                  <c:v>402.01898710280602</c:v>
                </c:pt>
                <c:pt idx="70">
                  <c:v>404.12323995781099</c:v>
                </c:pt>
                <c:pt idx="71">
                  <c:v>406.04663173267068</c:v>
                </c:pt>
                <c:pt idx="72">
                  <c:v>407.83469562740248</c:v>
                </c:pt>
                <c:pt idx="73">
                  <c:v>409.57798611264832</c:v>
                </c:pt>
                <c:pt idx="74">
                  <c:v>411.16824220921956</c:v>
                </c:pt>
                <c:pt idx="75">
                  <c:v>412.47771955018322</c:v>
                </c:pt>
                <c:pt idx="76">
                  <c:v>413.53046992121182</c:v>
                </c:pt>
                <c:pt idx="77">
                  <c:v>414.32852574240792</c:v>
                </c:pt>
                <c:pt idx="78">
                  <c:v>414.95897115938646</c:v>
                </c:pt>
                <c:pt idx="79">
                  <c:v>415.36295328334467</c:v>
                </c:pt>
                <c:pt idx="80">
                  <c:v>415.57616981325407</c:v>
                </c:pt>
                <c:pt idx="81">
                  <c:v>415.53500315332258</c:v>
                </c:pt>
                <c:pt idx="82">
                  <c:v>415.37391596253428</c:v>
                </c:pt>
                <c:pt idx="83">
                  <c:v>415.0869853646202</c:v>
                </c:pt>
                <c:pt idx="84">
                  <c:v>414.57197127619725</c:v>
                </c:pt>
                <c:pt idx="85">
                  <c:v>413.83059321045243</c:v>
                </c:pt>
                <c:pt idx="86">
                  <c:v>412.78239484001256</c:v>
                </c:pt>
                <c:pt idx="87">
                  <c:v>411.54199051971102</c:v>
                </c:pt>
                <c:pt idx="88">
                  <c:v>410.04562246283444</c:v>
                </c:pt>
                <c:pt idx="89">
                  <c:v>408.20129791602886</c:v>
                </c:pt>
                <c:pt idx="90">
                  <c:v>406.16604084212133</c:v>
                </c:pt>
                <c:pt idx="91">
                  <c:v>404.00732470566231</c:v>
                </c:pt>
                <c:pt idx="92">
                  <c:v>401.65679143056246</c:v>
                </c:pt>
                <c:pt idx="93">
                  <c:v>399.14475325912792</c:v>
                </c:pt>
                <c:pt idx="94">
                  <c:v>396.56455962562399</c:v>
                </c:pt>
                <c:pt idx="95">
                  <c:v>394.09943149846913</c:v>
                </c:pt>
                <c:pt idx="96">
                  <c:v>390.79628209403893</c:v>
                </c:pt>
                <c:pt idx="97">
                  <c:v>387.13690360878309</c:v>
                </c:pt>
                <c:pt idx="98">
                  <c:v>383.39978572640445</c:v>
                </c:pt>
                <c:pt idx="99">
                  <c:v>379.92584366418828</c:v>
                </c:pt>
                <c:pt idx="100">
                  <c:v>376.49977771509396</c:v>
                </c:pt>
                <c:pt idx="101">
                  <c:v>372.45757600858781</c:v>
                </c:pt>
                <c:pt idx="102">
                  <c:v>368.51488344235395</c:v>
                </c:pt>
                <c:pt idx="103">
                  <c:v>364.31162708164345</c:v>
                </c:pt>
                <c:pt idx="104">
                  <c:v>360.08692336634249</c:v>
                </c:pt>
                <c:pt idx="105">
                  <c:v>355.52832665258984</c:v>
                </c:pt>
                <c:pt idx="106">
                  <c:v>350.83105212497236</c:v>
                </c:pt>
                <c:pt idx="107">
                  <c:v>345.85562359030718</c:v>
                </c:pt>
                <c:pt idx="108">
                  <c:v>341.00266245684946</c:v>
                </c:pt>
                <c:pt idx="109">
                  <c:v>336.39235091626256</c:v>
                </c:pt>
                <c:pt idx="110">
                  <c:v>331.7038845487009</c:v>
                </c:pt>
                <c:pt idx="111">
                  <c:v>326.80196899484201</c:v>
                </c:pt>
                <c:pt idx="112">
                  <c:v>321.81301579678444</c:v>
                </c:pt>
                <c:pt idx="113">
                  <c:v>317.05334792212091</c:v>
                </c:pt>
                <c:pt idx="114">
                  <c:v>312.17724856951071</c:v>
                </c:pt>
                <c:pt idx="115">
                  <c:v>307.52059337149365</c:v>
                </c:pt>
                <c:pt idx="116">
                  <c:v>303.10417040552329</c:v>
                </c:pt>
                <c:pt idx="117">
                  <c:v>298.89432877737977</c:v>
                </c:pt>
                <c:pt idx="118">
                  <c:v>294.8064390172608</c:v>
                </c:pt>
                <c:pt idx="119">
                  <c:v>290.71319691394893</c:v>
                </c:pt>
                <c:pt idx="120">
                  <c:v>286.63142055391211</c:v>
                </c:pt>
                <c:pt idx="121">
                  <c:v>282.32582513027705</c:v>
                </c:pt>
                <c:pt idx="122">
                  <c:v>278.33758188028906</c:v>
                </c:pt>
                <c:pt idx="123">
                  <c:v>274.52688308635618</c:v>
                </c:pt>
                <c:pt idx="124">
                  <c:v>270.62702870976062</c:v>
                </c:pt>
                <c:pt idx="125">
                  <c:v>266.84572722549314</c:v>
                </c:pt>
                <c:pt idx="126">
                  <c:v>263.27735050552485</c:v>
                </c:pt>
                <c:pt idx="127">
                  <c:v>259.95138521771003</c:v>
                </c:pt>
                <c:pt idx="128">
                  <c:v>256.89657541084244</c:v>
                </c:pt>
                <c:pt idx="129">
                  <c:v>253.89469423585666</c:v>
                </c:pt>
                <c:pt idx="130">
                  <c:v>251.19581600799131</c:v>
                </c:pt>
                <c:pt idx="131">
                  <c:v>248.724104892768</c:v>
                </c:pt>
                <c:pt idx="132">
                  <c:v>246.4527746015489</c:v>
                </c:pt>
                <c:pt idx="133">
                  <c:v>244.38240652061447</c:v>
                </c:pt>
                <c:pt idx="134">
                  <c:v>242.36523883662912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-0.55266570496921386</c:v>
                </c:pt>
                <c:pt idx="3">
                  <c:v>-0.55266570496921386</c:v>
                </c:pt>
                <c:pt idx="4">
                  <c:v>-0.56207972250046057</c:v>
                </c:pt>
                <c:pt idx="5">
                  <c:v>-0.94656510952310569</c:v>
                </c:pt>
                <c:pt idx="6">
                  <c:v>-0.94656510952310569</c:v>
                </c:pt>
                <c:pt idx="7">
                  <c:v>-0.94656510952310569</c:v>
                </c:pt>
                <c:pt idx="8">
                  <c:v>-0.94656510952310569</c:v>
                </c:pt>
                <c:pt idx="9">
                  <c:v>-0.94656510952310569</c:v>
                </c:pt>
                <c:pt idx="10">
                  <c:v>-0.94656510952310569</c:v>
                </c:pt>
                <c:pt idx="11">
                  <c:v>-0.94656510952310569</c:v>
                </c:pt>
                <c:pt idx="12">
                  <c:v>-0.94656510952310569</c:v>
                </c:pt>
                <c:pt idx="13">
                  <c:v>-1.18233216487554</c:v>
                </c:pt>
                <c:pt idx="14">
                  <c:v>-1.18233216487554</c:v>
                </c:pt>
                <c:pt idx="15">
                  <c:v>-1.18233216487554</c:v>
                </c:pt>
                <c:pt idx="16">
                  <c:v>-1.9716630078589379</c:v>
                </c:pt>
                <c:pt idx="17">
                  <c:v>-3.0825860421555173</c:v>
                </c:pt>
                <c:pt idx="18">
                  <c:v>-3.0825860421555173</c:v>
                </c:pt>
                <c:pt idx="19">
                  <c:v>-3.0825860421555173</c:v>
                </c:pt>
                <c:pt idx="20">
                  <c:v>-3.0825860421555173</c:v>
                </c:pt>
                <c:pt idx="21">
                  <c:v>-3.0825860421555173</c:v>
                </c:pt>
                <c:pt idx="22">
                  <c:v>-3.0825860421555173</c:v>
                </c:pt>
                <c:pt idx="23">
                  <c:v>-3.0825860421555173</c:v>
                </c:pt>
                <c:pt idx="24">
                  <c:v>-3.0825860421555173</c:v>
                </c:pt>
                <c:pt idx="25">
                  <c:v>-3.0825860421555173</c:v>
                </c:pt>
                <c:pt idx="26">
                  <c:v>-3.0825860421555173</c:v>
                </c:pt>
                <c:pt idx="27">
                  <c:v>-3.0825860421555173</c:v>
                </c:pt>
                <c:pt idx="28">
                  <c:v>-3.0825860421555173</c:v>
                </c:pt>
                <c:pt idx="29">
                  <c:v>-3.0825860421555173</c:v>
                </c:pt>
                <c:pt idx="30">
                  <c:v>-3.0825860421555173</c:v>
                </c:pt>
                <c:pt idx="31">
                  <c:v>-3.7431302715706809</c:v>
                </c:pt>
                <c:pt idx="32">
                  <c:v>-3.7431302715706809</c:v>
                </c:pt>
                <c:pt idx="33">
                  <c:v>-3.7431302715706809</c:v>
                </c:pt>
                <c:pt idx="34">
                  <c:v>-3.7431302715706809</c:v>
                </c:pt>
                <c:pt idx="35">
                  <c:v>-3.7431302715706809</c:v>
                </c:pt>
                <c:pt idx="36">
                  <c:v>-3.7431302715706809</c:v>
                </c:pt>
                <c:pt idx="37">
                  <c:v>-3.7431302715706809</c:v>
                </c:pt>
                <c:pt idx="38">
                  <c:v>-3.7431302715706809</c:v>
                </c:pt>
                <c:pt idx="39">
                  <c:v>-3.7431302715706809</c:v>
                </c:pt>
                <c:pt idx="40">
                  <c:v>-3.7431302715706809</c:v>
                </c:pt>
                <c:pt idx="41">
                  <c:v>-3.7431302715706809</c:v>
                </c:pt>
                <c:pt idx="42">
                  <c:v>-3.7431302715706809</c:v>
                </c:pt>
                <c:pt idx="43">
                  <c:v>-3.7431302715706809</c:v>
                </c:pt>
                <c:pt idx="44">
                  <c:v>-3.7431302715706809</c:v>
                </c:pt>
                <c:pt idx="45">
                  <c:v>-3.7431302715706809</c:v>
                </c:pt>
                <c:pt idx="46">
                  <c:v>-3.7431302715706809</c:v>
                </c:pt>
                <c:pt idx="47">
                  <c:v>-3.7431302715706809</c:v>
                </c:pt>
                <c:pt idx="48">
                  <c:v>-3.7431302715706809</c:v>
                </c:pt>
                <c:pt idx="49">
                  <c:v>-3.7431302715706809</c:v>
                </c:pt>
                <c:pt idx="50">
                  <c:v>-3.7431302715706809</c:v>
                </c:pt>
                <c:pt idx="51">
                  <c:v>-3.7431302715706809</c:v>
                </c:pt>
                <c:pt idx="52">
                  <c:v>-3.7431302715706809</c:v>
                </c:pt>
                <c:pt idx="53">
                  <c:v>-3.7431302715706809</c:v>
                </c:pt>
                <c:pt idx="54">
                  <c:v>-3.7431302715706809</c:v>
                </c:pt>
                <c:pt idx="55">
                  <c:v>-3.7431302715706809</c:v>
                </c:pt>
                <c:pt idx="56">
                  <c:v>-3.7431302715706809</c:v>
                </c:pt>
                <c:pt idx="57">
                  <c:v>-3.7431302715706809</c:v>
                </c:pt>
                <c:pt idx="58">
                  <c:v>-3.7431302715706809</c:v>
                </c:pt>
                <c:pt idx="59">
                  <c:v>-3.7431302715706809</c:v>
                </c:pt>
                <c:pt idx="60">
                  <c:v>-3.7431302715706809</c:v>
                </c:pt>
                <c:pt idx="61">
                  <c:v>-3.7431302715706809</c:v>
                </c:pt>
                <c:pt idx="62">
                  <c:v>-3.7431302715706809</c:v>
                </c:pt>
                <c:pt idx="63">
                  <c:v>-3.7431302715706809</c:v>
                </c:pt>
                <c:pt idx="64">
                  <c:v>-3.7431302715706809</c:v>
                </c:pt>
                <c:pt idx="65">
                  <c:v>-3.7431302715706809</c:v>
                </c:pt>
                <c:pt idx="66">
                  <c:v>-3.7431302715706809</c:v>
                </c:pt>
                <c:pt idx="67">
                  <c:v>-3.7431302715706809</c:v>
                </c:pt>
                <c:pt idx="68">
                  <c:v>-3.7431302715706809</c:v>
                </c:pt>
                <c:pt idx="69">
                  <c:v>-3.7431302715706809</c:v>
                </c:pt>
                <c:pt idx="70">
                  <c:v>-3.7431302715706809</c:v>
                </c:pt>
                <c:pt idx="71">
                  <c:v>-3.7431302715706809</c:v>
                </c:pt>
                <c:pt idx="72">
                  <c:v>-3.7431302715706809</c:v>
                </c:pt>
                <c:pt idx="73">
                  <c:v>-3.7431302715706809</c:v>
                </c:pt>
                <c:pt idx="74">
                  <c:v>-3.7431302715706809</c:v>
                </c:pt>
                <c:pt idx="75">
                  <c:v>-3.7431302715706809</c:v>
                </c:pt>
                <c:pt idx="76">
                  <c:v>-3.7431302715706809</c:v>
                </c:pt>
                <c:pt idx="77">
                  <c:v>-3.7431302715706809</c:v>
                </c:pt>
                <c:pt idx="78">
                  <c:v>-3.7431302715706809</c:v>
                </c:pt>
                <c:pt idx="79">
                  <c:v>-3.7431302715706809</c:v>
                </c:pt>
                <c:pt idx="80">
                  <c:v>-3.7431302715706809</c:v>
                </c:pt>
                <c:pt idx="81">
                  <c:v>-3.7431302715706809</c:v>
                </c:pt>
                <c:pt idx="82">
                  <c:v>-3.7431302715706809</c:v>
                </c:pt>
                <c:pt idx="83">
                  <c:v>-3.7431302715706809</c:v>
                </c:pt>
                <c:pt idx="84">
                  <c:v>-3.7431302715706809</c:v>
                </c:pt>
                <c:pt idx="85">
                  <c:v>-3.7431302715706809</c:v>
                </c:pt>
                <c:pt idx="86">
                  <c:v>-3.7431302715706809</c:v>
                </c:pt>
                <c:pt idx="87">
                  <c:v>-3.7431302715706809</c:v>
                </c:pt>
                <c:pt idx="88">
                  <c:v>-3.7431302715706809</c:v>
                </c:pt>
                <c:pt idx="89">
                  <c:v>-3.7431302715706809</c:v>
                </c:pt>
                <c:pt idx="90">
                  <c:v>-3.7431302715706809</c:v>
                </c:pt>
                <c:pt idx="91">
                  <c:v>-3.7431302715706809</c:v>
                </c:pt>
                <c:pt idx="92">
                  <c:v>-3.7431302715706809</c:v>
                </c:pt>
                <c:pt idx="93">
                  <c:v>-3.7431302715706809</c:v>
                </c:pt>
                <c:pt idx="94">
                  <c:v>-3.7431302715706809</c:v>
                </c:pt>
                <c:pt idx="95">
                  <c:v>-3.7431302715706809</c:v>
                </c:pt>
                <c:pt idx="96">
                  <c:v>-3.7431302715706809</c:v>
                </c:pt>
                <c:pt idx="97">
                  <c:v>-3.7431302715706809</c:v>
                </c:pt>
                <c:pt idx="98">
                  <c:v>-3.7431302715706809</c:v>
                </c:pt>
                <c:pt idx="99">
                  <c:v>-3.7431302715706809</c:v>
                </c:pt>
                <c:pt idx="100">
                  <c:v>-3.7431302715706809</c:v>
                </c:pt>
                <c:pt idx="101">
                  <c:v>-3.7431302715706809</c:v>
                </c:pt>
                <c:pt idx="102">
                  <c:v>-3.7431302715706809</c:v>
                </c:pt>
                <c:pt idx="103">
                  <c:v>-3.7431302715706809</c:v>
                </c:pt>
                <c:pt idx="104">
                  <c:v>-3.7431302715706809</c:v>
                </c:pt>
                <c:pt idx="105">
                  <c:v>-3.7431302715706809</c:v>
                </c:pt>
                <c:pt idx="106">
                  <c:v>-3.7431302715706809</c:v>
                </c:pt>
                <c:pt idx="107">
                  <c:v>-3.7431302715706809</c:v>
                </c:pt>
                <c:pt idx="108">
                  <c:v>-3.7431302715706809</c:v>
                </c:pt>
                <c:pt idx="109">
                  <c:v>-3.7431302715706809</c:v>
                </c:pt>
                <c:pt idx="110">
                  <c:v>-3.7431302715706809</c:v>
                </c:pt>
                <c:pt idx="111">
                  <c:v>-3.7431302715706809</c:v>
                </c:pt>
                <c:pt idx="112">
                  <c:v>-3.7431302715706809</c:v>
                </c:pt>
                <c:pt idx="113">
                  <c:v>-3.7431302715706809</c:v>
                </c:pt>
                <c:pt idx="114">
                  <c:v>-3.7431302715706809</c:v>
                </c:pt>
                <c:pt idx="115">
                  <c:v>-3.7431302715706809</c:v>
                </c:pt>
                <c:pt idx="116">
                  <c:v>-3.7431302715706809</c:v>
                </c:pt>
                <c:pt idx="117">
                  <c:v>-3.7431302715706809</c:v>
                </c:pt>
                <c:pt idx="118">
                  <c:v>-3.7431302715706809</c:v>
                </c:pt>
                <c:pt idx="119">
                  <c:v>-3.7431302715706809</c:v>
                </c:pt>
                <c:pt idx="120">
                  <c:v>-3.7431302715706809</c:v>
                </c:pt>
                <c:pt idx="121">
                  <c:v>-3.7431302715706809</c:v>
                </c:pt>
                <c:pt idx="122">
                  <c:v>-3.7431302715706809</c:v>
                </c:pt>
                <c:pt idx="123">
                  <c:v>-3.7431302715706809</c:v>
                </c:pt>
                <c:pt idx="124">
                  <c:v>-3.7431302715706809</c:v>
                </c:pt>
                <c:pt idx="125">
                  <c:v>-3.7431302715706809</c:v>
                </c:pt>
                <c:pt idx="126">
                  <c:v>-3.7431302715706809</c:v>
                </c:pt>
                <c:pt idx="127">
                  <c:v>-3.7431302715706809</c:v>
                </c:pt>
                <c:pt idx="128">
                  <c:v>-3.7431302715706809</c:v>
                </c:pt>
                <c:pt idx="129">
                  <c:v>-3.7431302715706809</c:v>
                </c:pt>
                <c:pt idx="130">
                  <c:v>-3.7431302715706809</c:v>
                </c:pt>
                <c:pt idx="131">
                  <c:v>-3.7431302715706809</c:v>
                </c:pt>
                <c:pt idx="132">
                  <c:v>-3.7431302715706809</c:v>
                </c:pt>
                <c:pt idx="133">
                  <c:v>-3.7431302715706809</c:v>
                </c:pt>
                <c:pt idx="134">
                  <c:v>-3.7431302715706809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19.050247922790899</c:v>
                </c:pt>
                <c:pt idx="23">
                  <c:v>19.857216869089669</c:v>
                </c:pt>
                <c:pt idx="24">
                  <c:v>20.720974732437092</c:v>
                </c:pt>
                <c:pt idx="25">
                  <c:v>21.535805466523211</c:v>
                </c:pt>
                <c:pt idx="26">
                  <c:v>22.325021179204079</c:v>
                </c:pt>
                <c:pt idx="27">
                  <c:v>23.135459482393216</c:v>
                </c:pt>
                <c:pt idx="28">
                  <c:v>24.027626136548793</c:v>
                </c:pt>
                <c:pt idx="29">
                  <c:v>24.971930814478412</c:v>
                </c:pt>
                <c:pt idx="30">
                  <c:v>25.891257759755867</c:v>
                </c:pt>
                <c:pt idx="31">
                  <c:v>26.853729074677481</c:v>
                </c:pt>
                <c:pt idx="32">
                  <c:v>27.741774640211776</c:v>
                </c:pt>
                <c:pt idx="33">
                  <c:v>28.597499140879272</c:v>
                </c:pt>
                <c:pt idx="34">
                  <c:v>29.442515349519454</c:v>
                </c:pt>
                <c:pt idx="35">
                  <c:v>30.32503916309301</c:v>
                </c:pt>
                <c:pt idx="36">
                  <c:v>31.320034252993391</c:v>
                </c:pt>
                <c:pt idx="37">
                  <c:v>32.275915452197502</c:v>
                </c:pt>
                <c:pt idx="38">
                  <c:v>33.154084503041751</c:v>
                </c:pt>
                <c:pt idx="39">
                  <c:v>33.978421124306216</c:v>
                </c:pt>
                <c:pt idx="40">
                  <c:v>34.810541675387405</c:v>
                </c:pt>
                <c:pt idx="41">
                  <c:v>35.676852863534158</c:v>
                </c:pt>
                <c:pt idx="42">
                  <c:v>36.568660528610927</c:v>
                </c:pt>
                <c:pt idx="43">
                  <c:v>37.417773296493209</c:v>
                </c:pt>
                <c:pt idx="44">
                  <c:v>38.305338909365894</c:v>
                </c:pt>
                <c:pt idx="45">
                  <c:v>39.136144348445988</c:v>
                </c:pt>
                <c:pt idx="46">
                  <c:v>39.903321233246075</c:v>
                </c:pt>
                <c:pt idx="47">
                  <c:v>40.648835457789545</c:v>
                </c:pt>
                <c:pt idx="48">
                  <c:v>41.439099666190366</c:v>
                </c:pt>
                <c:pt idx="49">
                  <c:v>42.357587710931092</c:v>
                </c:pt>
                <c:pt idx="50">
                  <c:v>43.338834192367173</c:v>
                </c:pt>
                <c:pt idx="51">
                  <c:v>44.332136125894337</c:v>
                </c:pt>
                <c:pt idx="52">
                  <c:v>45.240367831390827</c:v>
                </c:pt>
                <c:pt idx="53">
                  <c:v>46.149878446438336</c:v>
                </c:pt>
                <c:pt idx="54">
                  <c:v>47.037861674998112</c:v>
                </c:pt>
                <c:pt idx="55">
                  <c:v>47.902458032647267</c:v>
                </c:pt>
                <c:pt idx="56">
                  <c:v>48.75305371534192</c:v>
                </c:pt>
                <c:pt idx="57">
                  <c:v>49.583680022753178</c:v>
                </c:pt>
                <c:pt idx="58">
                  <c:v>50.462393962053504</c:v>
                </c:pt>
                <c:pt idx="59">
                  <c:v>51.399437633675234</c:v>
                </c:pt>
                <c:pt idx="60">
                  <c:v>52.333275479910881</c:v>
                </c:pt>
                <c:pt idx="61">
                  <c:v>53.333458574031489</c:v>
                </c:pt>
                <c:pt idx="62">
                  <c:v>54.195715289860154</c:v>
                </c:pt>
                <c:pt idx="63">
                  <c:v>55.166117401025694</c:v>
                </c:pt>
                <c:pt idx="64">
                  <c:v>56.184356007204308</c:v>
                </c:pt>
                <c:pt idx="65">
                  <c:v>57.172540717313836</c:v>
                </c:pt>
                <c:pt idx="66">
                  <c:v>58.134692687136365</c:v>
                </c:pt>
                <c:pt idx="67">
                  <c:v>59.124181765044362</c:v>
                </c:pt>
                <c:pt idx="68">
                  <c:v>60.061159786083714</c:v>
                </c:pt>
                <c:pt idx="69">
                  <c:v>60.994888060525739</c:v>
                </c:pt>
                <c:pt idx="70">
                  <c:v>61.882301600257222</c:v>
                </c:pt>
                <c:pt idx="71">
                  <c:v>62.779148390109569</c:v>
                </c:pt>
                <c:pt idx="72">
                  <c:v>63.69125761695998</c:v>
                </c:pt>
                <c:pt idx="73">
                  <c:v>64.729181432257207</c:v>
                </c:pt>
                <c:pt idx="74">
                  <c:v>65.813164993204836</c:v>
                </c:pt>
                <c:pt idx="75">
                  <c:v>66.83213352988183</c:v>
                </c:pt>
                <c:pt idx="76">
                  <c:v>67.796872699571551</c:v>
                </c:pt>
                <c:pt idx="77">
                  <c:v>68.671883286753214</c:v>
                </c:pt>
                <c:pt idx="78">
                  <c:v>69.528092351063535</c:v>
                </c:pt>
                <c:pt idx="79">
                  <c:v>70.414149219801999</c:v>
                </c:pt>
                <c:pt idx="80">
                  <c:v>71.307697871114627</c:v>
                </c:pt>
                <c:pt idx="81">
                  <c:v>72.191275401223123</c:v>
                </c:pt>
                <c:pt idx="82">
                  <c:v>73.106767311822836</c:v>
                </c:pt>
                <c:pt idx="83">
                  <c:v>73.978002746190583</c:v>
                </c:pt>
                <c:pt idx="84">
                  <c:v>74.811976281928708</c:v>
                </c:pt>
                <c:pt idx="85">
                  <c:v>75.605452830128854</c:v>
                </c:pt>
                <c:pt idx="86">
                  <c:v>76.39317011663276</c:v>
                </c:pt>
                <c:pt idx="87">
                  <c:v>77.192940990928832</c:v>
                </c:pt>
                <c:pt idx="88">
                  <c:v>78.040685563825022</c:v>
                </c:pt>
                <c:pt idx="89">
                  <c:v>78.864177611686173</c:v>
                </c:pt>
                <c:pt idx="90">
                  <c:v>79.621596366214789</c:v>
                </c:pt>
                <c:pt idx="91">
                  <c:v>80.317905339443456</c:v>
                </c:pt>
                <c:pt idx="92">
                  <c:v>81.028196628465764</c:v>
                </c:pt>
                <c:pt idx="93">
                  <c:v>81.740802132797953</c:v>
                </c:pt>
                <c:pt idx="94">
                  <c:v>82.446736485021319</c:v>
                </c:pt>
                <c:pt idx="95">
                  <c:v>83.042435788128472</c:v>
                </c:pt>
                <c:pt idx="96">
                  <c:v>83.751377896747613</c:v>
                </c:pt>
                <c:pt idx="97">
                  <c:v>84.479578352663552</c:v>
                </c:pt>
                <c:pt idx="98">
                  <c:v>85.2582438005836</c:v>
                </c:pt>
                <c:pt idx="99">
                  <c:v>85.931764313796037</c:v>
                </c:pt>
                <c:pt idx="100">
                  <c:v>86.569778660277962</c:v>
                </c:pt>
                <c:pt idx="101">
                  <c:v>87.232548158333287</c:v>
                </c:pt>
                <c:pt idx="102">
                  <c:v>87.860265484320081</c:v>
                </c:pt>
                <c:pt idx="103">
                  <c:v>88.500955295879976</c:v>
                </c:pt>
                <c:pt idx="104">
                  <c:v>89.091668578162199</c:v>
                </c:pt>
                <c:pt idx="105">
                  <c:v>89.68913325103965</c:v>
                </c:pt>
                <c:pt idx="106">
                  <c:v>90.2659694229487</c:v>
                </c:pt>
                <c:pt idx="107">
                  <c:v>90.85257241048518</c:v>
                </c:pt>
                <c:pt idx="108">
                  <c:v>91.434462352797496</c:v>
                </c:pt>
                <c:pt idx="109">
                  <c:v>91.996234745567847</c:v>
                </c:pt>
                <c:pt idx="110">
                  <c:v>92.570944117826699</c:v>
                </c:pt>
                <c:pt idx="111">
                  <c:v>93.144667351719676</c:v>
                </c:pt>
                <c:pt idx="112">
                  <c:v>93.728218716965785</c:v>
                </c:pt>
                <c:pt idx="113">
                  <c:v>94.318128916352407</c:v>
                </c:pt>
                <c:pt idx="114">
                  <c:v>94.932685758725327</c:v>
                </c:pt>
                <c:pt idx="115">
                  <c:v>95.54327194762368</c:v>
                </c:pt>
                <c:pt idx="116">
                  <c:v>96.133074853817789</c:v>
                </c:pt>
                <c:pt idx="117">
                  <c:v>96.710186829936916</c:v>
                </c:pt>
                <c:pt idx="118">
                  <c:v>97.327059615346343</c:v>
                </c:pt>
                <c:pt idx="119">
                  <c:v>97.938399686243002</c:v>
                </c:pt>
                <c:pt idx="120">
                  <c:v>98.533049925019938</c:v>
                </c:pt>
                <c:pt idx="121">
                  <c:v>99.170636058294704</c:v>
                </c:pt>
                <c:pt idx="122">
                  <c:v>99.810536587816003</c:v>
                </c:pt>
                <c:pt idx="123">
                  <c:v>100.42153600247622</c:v>
                </c:pt>
                <c:pt idx="124">
                  <c:v>101.04019301121312</c:v>
                </c:pt>
                <c:pt idx="125">
                  <c:v>101.65683108789956</c:v>
                </c:pt>
                <c:pt idx="126">
                  <c:v>102.23769454522522</c:v>
                </c:pt>
                <c:pt idx="127">
                  <c:v>102.85081686381294</c:v>
                </c:pt>
                <c:pt idx="128">
                  <c:v>103.48888266326213</c:v>
                </c:pt>
                <c:pt idx="129">
                  <c:v>104.11749255997194</c:v>
                </c:pt>
                <c:pt idx="130">
                  <c:v>104.75526516016247</c:v>
                </c:pt>
                <c:pt idx="131">
                  <c:v>105.36565327096157</c:v>
                </c:pt>
                <c:pt idx="132">
                  <c:v>105.92531787409155</c:v>
                </c:pt>
                <c:pt idx="133">
                  <c:v>106.47767774851776</c:v>
                </c:pt>
                <c:pt idx="134">
                  <c:v>107.05269454217883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-0.52499771115463689</c:v>
                </c:pt>
                <c:pt idx="2">
                  <c:v>-0.23401969150290114</c:v>
                </c:pt>
                <c:pt idx="3">
                  <c:v>0.80740080984947582</c:v>
                </c:pt>
                <c:pt idx="4">
                  <c:v>2.4122649506523999</c:v>
                </c:pt>
                <c:pt idx="5">
                  <c:v>4.6318903824915854</c:v>
                </c:pt>
                <c:pt idx="6">
                  <c:v>7.5775531097360584</c:v>
                </c:pt>
                <c:pt idx="7">
                  <c:v>10.816318118510733</c:v>
                </c:pt>
                <c:pt idx="8">
                  <c:v>14.46699515821944</c:v>
                </c:pt>
                <c:pt idx="9">
                  <c:v>18.477839370942718</c:v>
                </c:pt>
                <c:pt idx="10">
                  <c:v>22.921896609237891</c:v>
                </c:pt>
                <c:pt idx="11">
                  <c:v>27.593198644891796</c:v>
                </c:pt>
                <c:pt idx="12">
                  <c:v>32.416684424958675</c:v>
                </c:pt>
                <c:pt idx="13">
                  <c:v>37.394250333254227</c:v>
                </c:pt>
                <c:pt idx="14">
                  <c:v>43.00523143372596</c:v>
                </c:pt>
                <c:pt idx="15">
                  <c:v>48.856675310830575</c:v>
                </c:pt>
                <c:pt idx="16">
                  <c:v>54.698203230960821</c:v>
                </c:pt>
                <c:pt idx="17">
                  <c:v>60.948213443835101</c:v>
                </c:pt>
                <c:pt idx="18">
                  <c:v>67.28836710890991</c:v>
                </c:pt>
                <c:pt idx="19">
                  <c:v>73.561060194356131</c:v>
                </c:pt>
                <c:pt idx="20">
                  <c:v>80.222527392282487</c:v>
                </c:pt>
                <c:pt idx="21">
                  <c:v>86.830862976545887</c:v>
                </c:pt>
                <c:pt idx="22">
                  <c:v>93.214521273528675</c:v>
                </c:pt>
                <c:pt idx="23">
                  <c:v>99.857928407979458</c:v>
                </c:pt>
                <c:pt idx="24">
                  <c:v>106.42982602484352</c:v>
                </c:pt>
                <c:pt idx="25">
                  <c:v>113.20244107622523</c:v>
                </c:pt>
                <c:pt idx="26">
                  <c:v>119.63962565187532</c:v>
                </c:pt>
                <c:pt idx="27">
                  <c:v>126.06964875952303</c:v>
                </c:pt>
                <c:pt idx="28">
                  <c:v>132.73113466926046</c:v>
                </c:pt>
                <c:pt idx="29">
                  <c:v>139.77405215628573</c:v>
                </c:pt>
                <c:pt idx="30">
                  <c:v>146.81550450721298</c:v>
                </c:pt>
                <c:pt idx="31">
                  <c:v>153.55973996006858</c:v>
                </c:pt>
                <c:pt idx="32">
                  <c:v>160.47354211256106</c:v>
                </c:pt>
                <c:pt idx="33">
                  <c:v>166.88117677170948</c:v>
                </c:pt>
                <c:pt idx="34">
                  <c:v>173.01782996811315</c:v>
                </c:pt>
                <c:pt idx="35">
                  <c:v>179.01033800782619</c:v>
                </c:pt>
                <c:pt idx="36">
                  <c:v>185.26132463938126</c:v>
                </c:pt>
                <c:pt idx="37">
                  <c:v>191.86461873092151</c:v>
                </c:pt>
                <c:pt idx="38">
                  <c:v>198.1390324785952</c:v>
                </c:pt>
                <c:pt idx="39">
                  <c:v>204.06280456613808</c:v>
                </c:pt>
                <c:pt idx="40">
                  <c:v>209.80725205925941</c:v>
                </c:pt>
                <c:pt idx="41">
                  <c:v>215.54598855955476</c:v>
                </c:pt>
                <c:pt idx="42">
                  <c:v>221.34419423748122</c:v>
                </c:pt>
                <c:pt idx="43">
                  <c:v>227.13087916653407</c:v>
                </c:pt>
                <c:pt idx="44">
                  <c:v>232.59949333307623</c:v>
                </c:pt>
                <c:pt idx="45">
                  <c:v>238.02991420911957</c:v>
                </c:pt>
                <c:pt idx="46">
                  <c:v>243.03662114969637</c:v>
                </c:pt>
                <c:pt idx="47">
                  <c:v>247.76226947062946</c:v>
                </c:pt>
                <c:pt idx="48">
                  <c:v>252.39570088775173</c:v>
                </c:pt>
                <c:pt idx="49">
                  <c:v>257.20222402867267</c:v>
                </c:pt>
                <c:pt idx="50">
                  <c:v>262.3237939150377</c:v>
                </c:pt>
                <c:pt idx="51">
                  <c:v>267.37469380379332</c:v>
                </c:pt>
                <c:pt idx="52">
                  <c:v>272.11914203903945</c:v>
                </c:pt>
                <c:pt idx="53">
                  <c:v>276.57509554533408</c:v>
                </c:pt>
                <c:pt idx="54">
                  <c:v>280.96485773235452</c:v>
                </c:pt>
                <c:pt idx="55">
                  <c:v>285.25693154188343</c:v>
                </c:pt>
                <c:pt idx="56">
                  <c:v>289.45425260720515</c:v>
                </c:pt>
                <c:pt idx="57">
                  <c:v>293.69640512287992</c:v>
                </c:pt>
                <c:pt idx="58">
                  <c:v>297.813885364143</c:v>
                </c:pt>
                <c:pt idx="59">
                  <c:v>302.06770935139616</c:v>
                </c:pt>
                <c:pt idx="60">
                  <c:v>306.2218286918187</c:v>
                </c:pt>
                <c:pt idx="61">
                  <c:v>310.32870290089505</c:v>
                </c:pt>
                <c:pt idx="62">
                  <c:v>314.2378675519202</c:v>
                </c:pt>
                <c:pt idx="63">
                  <c:v>317.75488889297395</c:v>
                </c:pt>
                <c:pt idx="64">
                  <c:v>321.42135302594386</c:v>
                </c:pt>
                <c:pt idx="65">
                  <c:v>324.90496966471858</c:v>
                </c:pt>
                <c:pt idx="66">
                  <c:v>328.32822091311829</c:v>
                </c:pt>
                <c:pt idx="67">
                  <c:v>331.61004255037142</c:v>
                </c:pt>
                <c:pt idx="68">
                  <c:v>334.89185034446433</c:v>
                </c:pt>
                <c:pt idx="69">
                  <c:v>338.02032561336995</c:v>
                </c:pt>
                <c:pt idx="70">
                  <c:v>341.035807966351</c:v>
                </c:pt>
                <c:pt idx="71">
                  <c:v>343.82929170190187</c:v>
                </c:pt>
                <c:pt idx="72">
                  <c:v>346.41158675831264</c:v>
                </c:pt>
                <c:pt idx="73">
                  <c:v>349.01784286512782</c:v>
                </c:pt>
                <c:pt idx="74">
                  <c:v>351.67225784157728</c:v>
                </c:pt>
                <c:pt idx="75">
                  <c:v>354.36939090217993</c:v>
                </c:pt>
                <c:pt idx="76">
                  <c:v>356.86547824659351</c:v>
                </c:pt>
                <c:pt idx="77">
                  <c:v>359.24394946073897</c:v>
                </c:pt>
                <c:pt idx="78">
                  <c:v>361.42466439958571</c:v>
                </c:pt>
                <c:pt idx="79">
                  <c:v>363.4618715505456</c:v>
                </c:pt>
                <c:pt idx="80">
                  <c:v>365.56587462317179</c:v>
                </c:pt>
                <c:pt idx="81">
                  <c:v>367.58758855067697</c:v>
                </c:pt>
                <c:pt idx="82">
                  <c:v>369.58627877257402</c:v>
                </c:pt>
                <c:pt idx="83">
                  <c:v>371.44523292490294</c:v>
                </c:pt>
                <c:pt idx="84">
                  <c:v>373.14021070557993</c:v>
                </c:pt>
                <c:pt idx="85">
                  <c:v>374.78539724633282</c:v>
                </c:pt>
                <c:pt idx="86">
                  <c:v>376.37626162347328</c:v>
                </c:pt>
                <c:pt idx="87">
                  <c:v>377.9782568644419</c:v>
                </c:pt>
                <c:pt idx="88">
                  <c:v>379.52307133842493</c:v>
                </c:pt>
                <c:pt idx="89">
                  <c:v>381.05970574374106</c:v>
                </c:pt>
                <c:pt idx="90">
                  <c:v>382.58586140698651</c:v>
                </c:pt>
                <c:pt idx="91">
                  <c:v>384.00962533808462</c:v>
                </c:pt>
                <c:pt idx="92">
                  <c:v>385.32588516828042</c:v>
                </c:pt>
                <c:pt idx="93">
                  <c:v>386.59702566813991</c:v>
                </c:pt>
                <c:pt idx="94">
                  <c:v>387.81268912660329</c:v>
                </c:pt>
                <c:pt idx="95">
                  <c:v>388.95126360191318</c:v>
                </c:pt>
                <c:pt idx="96">
                  <c:v>389.95197217045489</c:v>
                </c:pt>
                <c:pt idx="97">
                  <c:v>391.06148441526636</c:v>
                </c:pt>
                <c:pt idx="98">
                  <c:v>392.14171661524904</c:v>
                </c:pt>
                <c:pt idx="99">
                  <c:v>393.23660555270641</c:v>
                </c:pt>
                <c:pt idx="100">
                  <c:v>394.17869790180822</c:v>
                </c:pt>
                <c:pt idx="101">
                  <c:v>395.03715661735259</c:v>
                </c:pt>
                <c:pt idx="102">
                  <c:v>395.85731931764479</c:v>
                </c:pt>
                <c:pt idx="103">
                  <c:v>396.60628895985923</c:v>
                </c:pt>
                <c:pt idx="104">
                  <c:v>397.33404610709238</c:v>
                </c:pt>
                <c:pt idx="105">
                  <c:v>397.9562512697496</c:v>
                </c:pt>
                <c:pt idx="106">
                  <c:v>398.54147979122183</c:v>
                </c:pt>
                <c:pt idx="107">
                  <c:v>399.06203150968923</c:v>
                </c:pt>
                <c:pt idx="108">
                  <c:v>399.55666368615135</c:v>
                </c:pt>
                <c:pt idx="109">
                  <c:v>400.04610783134598</c:v>
                </c:pt>
                <c:pt idx="110">
                  <c:v>400.51508209745714</c:v>
                </c:pt>
                <c:pt idx="111">
                  <c:v>400.98381468805388</c:v>
                </c:pt>
                <c:pt idx="112">
                  <c:v>401.41270973488139</c:v>
                </c:pt>
                <c:pt idx="113">
                  <c:v>401.83268576157371</c:v>
                </c:pt>
                <c:pt idx="114">
                  <c:v>402.27082315019084</c:v>
                </c:pt>
                <c:pt idx="115">
                  <c:v>402.71531217131758</c:v>
                </c:pt>
                <c:pt idx="116">
                  <c:v>403.15519438825459</c:v>
                </c:pt>
                <c:pt idx="117">
                  <c:v>403.56853052947429</c:v>
                </c:pt>
                <c:pt idx="118">
                  <c:v>403.96424025532804</c:v>
                </c:pt>
                <c:pt idx="119">
                  <c:v>404.40061226471676</c:v>
                </c:pt>
                <c:pt idx="120">
                  <c:v>404.80813080605139</c:v>
                </c:pt>
                <c:pt idx="121">
                  <c:v>405.17473619892712</c:v>
                </c:pt>
                <c:pt idx="122">
                  <c:v>405.54873881391143</c:v>
                </c:pt>
                <c:pt idx="123">
                  <c:v>405.92968615283894</c:v>
                </c:pt>
                <c:pt idx="124">
                  <c:v>406.27054324585225</c:v>
                </c:pt>
                <c:pt idx="125">
                  <c:v>406.58632967925666</c:v>
                </c:pt>
                <c:pt idx="126">
                  <c:v>406.88604399127615</c:v>
                </c:pt>
                <c:pt idx="127">
                  <c:v>407.14308561925998</c:v>
                </c:pt>
                <c:pt idx="128">
                  <c:v>407.43687496158623</c:v>
                </c:pt>
                <c:pt idx="129">
                  <c:v>407.75699112654752</c:v>
                </c:pt>
                <c:pt idx="130">
                  <c:v>408.04827012331901</c:v>
                </c:pt>
                <c:pt idx="131">
                  <c:v>408.35317801285896</c:v>
                </c:pt>
                <c:pt idx="132">
                  <c:v>408.63388150321822</c:v>
                </c:pt>
                <c:pt idx="133">
                  <c:v>408.87134740686821</c:v>
                </c:pt>
                <c:pt idx="134">
                  <c:v>409.10508802812478</c:v>
                </c:pt>
                <c:pt idx="135">
                  <c:v>409.34357049937847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112.77913043478263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118.34782608695652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119.98260869565216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119.93043478260869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119.68695652173912</c:v>
                </c:pt>
                <c:pt idx="54">
                  <c:v>120</c:v>
                </c:pt>
                <c:pt idx="55">
                  <c:v>119.75652173913043</c:v>
                </c:pt>
                <c:pt idx="56">
                  <c:v>118.24544468768418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119.82608695652175</c:v>
                </c:pt>
                <c:pt idx="77">
                  <c:v>118.31335167638795</c:v>
                </c:pt>
                <c:pt idx="78">
                  <c:v>119.88082407218289</c:v>
                </c:pt>
                <c:pt idx="79">
                  <c:v>119.84620514801945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117.96521739130435</c:v>
                </c:pt>
                <c:pt idx="107">
                  <c:v>119.72182756264547</c:v>
                </c:pt>
                <c:pt idx="108">
                  <c:v>120</c:v>
                </c:pt>
                <c:pt idx="109">
                  <c:v>118.9217391304348</c:v>
                </c:pt>
                <c:pt idx="110">
                  <c:v>119.3739466628101</c:v>
                </c:pt>
                <c:pt idx="111">
                  <c:v>120</c:v>
                </c:pt>
                <c:pt idx="112">
                  <c:v>119.63478260869566</c:v>
                </c:pt>
                <c:pt idx="113">
                  <c:v>119.49566021832254</c:v>
                </c:pt>
                <c:pt idx="114">
                  <c:v>117.75653939231223</c:v>
                </c:pt>
                <c:pt idx="115">
                  <c:v>120</c:v>
                </c:pt>
                <c:pt idx="116">
                  <c:v>118.81739130434781</c:v>
                </c:pt>
                <c:pt idx="117">
                  <c:v>119.94784109438045</c:v>
                </c:pt>
                <c:pt idx="118">
                  <c:v>120</c:v>
                </c:pt>
                <c:pt idx="119">
                  <c:v>120</c:v>
                </c:pt>
                <c:pt idx="120">
                  <c:v>118.9217391304348</c:v>
                </c:pt>
                <c:pt idx="121">
                  <c:v>117.18261676309908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119.33913043478262</c:v>
                </c:pt>
                <c:pt idx="127">
                  <c:v>120</c:v>
                </c:pt>
                <c:pt idx="128">
                  <c:v>119.13043478260869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119.4086956521739</c:v>
                </c:pt>
                <c:pt idx="135">
                  <c:v>120</c:v>
                </c:pt>
                <c:pt idx="136">
                  <c:v>119.40869565217393</c:v>
                </c:pt>
                <c:pt idx="137">
                  <c:v>120</c:v>
                </c:pt>
                <c:pt idx="138">
                  <c:v>118.95652173913044</c:v>
                </c:pt>
                <c:pt idx="139">
                  <c:v>116.93913105197623</c:v>
                </c:pt>
                <c:pt idx="140">
                  <c:v>114.50435012014478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0.84396173913044947</c:v>
                </c:pt>
                <c:pt idx="3">
                  <c:v>4.6739617391304478</c:v>
                </c:pt>
                <c:pt idx="4">
                  <c:v>8.3539617391304546</c:v>
                </c:pt>
                <c:pt idx="5">
                  <c:v>15.963961739130454</c:v>
                </c:pt>
                <c:pt idx="6">
                  <c:v>19.593961739130464</c:v>
                </c:pt>
                <c:pt idx="7">
                  <c:v>22.00396173913046</c:v>
                </c:pt>
                <c:pt idx="8">
                  <c:v>23.293961739130467</c:v>
                </c:pt>
                <c:pt idx="9">
                  <c:v>24.343961739130464</c:v>
                </c:pt>
                <c:pt idx="10">
                  <c:v>24.343961739130464</c:v>
                </c:pt>
                <c:pt idx="11">
                  <c:v>24.348555942029009</c:v>
                </c:pt>
                <c:pt idx="12">
                  <c:v>26.168555942029016</c:v>
                </c:pt>
                <c:pt idx="13">
                  <c:v>28.01855594202901</c:v>
                </c:pt>
                <c:pt idx="14">
                  <c:v>32.678555942029021</c:v>
                </c:pt>
                <c:pt idx="15">
                  <c:v>34.858555942029028</c:v>
                </c:pt>
                <c:pt idx="16">
                  <c:v>39.978555942029033</c:v>
                </c:pt>
                <c:pt idx="17">
                  <c:v>41.688555942029026</c:v>
                </c:pt>
                <c:pt idx="18">
                  <c:v>43.458555942029022</c:v>
                </c:pt>
                <c:pt idx="19">
                  <c:v>45.598555942029023</c:v>
                </c:pt>
                <c:pt idx="20">
                  <c:v>46.458555942029022</c:v>
                </c:pt>
                <c:pt idx="21">
                  <c:v>50.058555942029031</c:v>
                </c:pt>
                <c:pt idx="22">
                  <c:v>51.388555942029029</c:v>
                </c:pt>
                <c:pt idx="23">
                  <c:v>53.138555942029029</c:v>
                </c:pt>
                <c:pt idx="24">
                  <c:v>53.948555942029031</c:v>
                </c:pt>
                <c:pt idx="25">
                  <c:v>55.438555942029041</c:v>
                </c:pt>
                <c:pt idx="26">
                  <c:v>58.728555942029033</c:v>
                </c:pt>
                <c:pt idx="27">
                  <c:v>63.098555942029037</c:v>
                </c:pt>
                <c:pt idx="28">
                  <c:v>64.54855594202904</c:v>
                </c:pt>
                <c:pt idx="29">
                  <c:v>65.198555942029046</c:v>
                </c:pt>
                <c:pt idx="30">
                  <c:v>65.79855594202904</c:v>
                </c:pt>
                <c:pt idx="31">
                  <c:v>69.868555942029033</c:v>
                </c:pt>
                <c:pt idx="32">
                  <c:v>76.248555942029029</c:v>
                </c:pt>
                <c:pt idx="33">
                  <c:v>76.248555942029029</c:v>
                </c:pt>
                <c:pt idx="34">
                  <c:v>80.808660191005629</c:v>
                </c:pt>
                <c:pt idx="35">
                  <c:v>80.918660191005628</c:v>
                </c:pt>
                <c:pt idx="36">
                  <c:v>82.208660191005634</c:v>
                </c:pt>
                <c:pt idx="37">
                  <c:v>84.038660191005633</c:v>
                </c:pt>
                <c:pt idx="38">
                  <c:v>85.648660191005646</c:v>
                </c:pt>
                <c:pt idx="39">
                  <c:v>90.398660191005646</c:v>
                </c:pt>
                <c:pt idx="40">
                  <c:v>101.55866019100564</c:v>
                </c:pt>
                <c:pt idx="41">
                  <c:v>109.74866019100564</c:v>
                </c:pt>
                <c:pt idx="42">
                  <c:v>110.74866019100564</c:v>
                </c:pt>
                <c:pt idx="43">
                  <c:v>111.80866019100563</c:v>
                </c:pt>
                <c:pt idx="44">
                  <c:v>113.99866019100563</c:v>
                </c:pt>
                <c:pt idx="45">
                  <c:v>116.85866019100563</c:v>
                </c:pt>
                <c:pt idx="46">
                  <c:v>118.98866019100562</c:v>
                </c:pt>
                <c:pt idx="47">
                  <c:v>119.23866019100562</c:v>
                </c:pt>
                <c:pt idx="48">
                  <c:v>121.32866019100564</c:v>
                </c:pt>
                <c:pt idx="49">
                  <c:v>121.32866019100564</c:v>
                </c:pt>
                <c:pt idx="50">
                  <c:v>122.13905679101148</c:v>
                </c:pt>
                <c:pt idx="51">
                  <c:v>123.88905679101148</c:v>
                </c:pt>
                <c:pt idx="52">
                  <c:v>125.20905679101148</c:v>
                </c:pt>
                <c:pt idx="53">
                  <c:v>125.20905679101148</c:v>
                </c:pt>
                <c:pt idx="54">
                  <c:v>127.71052834023214</c:v>
                </c:pt>
                <c:pt idx="55">
                  <c:v>127.71052834023214</c:v>
                </c:pt>
                <c:pt idx="56">
                  <c:v>127.71052834023214</c:v>
                </c:pt>
                <c:pt idx="57">
                  <c:v>128.03841367834016</c:v>
                </c:pt>
                <c:pt idx="58">
                  <c:v>131.79841367834015</c:v>
                </c:pt>
                <c:pt idx="59">
                  <c:v>134.48841367834015</c:v>
                </c:pt>
                <c:pt idx="60">
                  <c:v>137.77841367834014</c:v>
                </c:pt>
                <c:pt idx="61">
                  <c:v>138.98841367834012</c:v>
                </c:pt>
                <c:pt idx="62">
                  <c:v>142.60841367834013</c:v>
                </c:pt>
                <c:pt idx="63">
                  <c:v>143.22841367834013</c:v>
                </c:pt>
                <c:pt idx="64">
                  <c:v>147.42841367834012</c:v>
                </c:pt>
                <c:pt idx="65">
                  <c:v>150.79841367834013</c:v>
                </c:pt>
                <c:pt idx="66">
                  <c:v>151.8884136783401</c:v>
                </c:pt>
                <c:pt idx="67">
                  <c:v>157.1684136783401</c:v>
                </c:pt>
                <c:pt idx="68">
                  <c:v>160.8284136783401</c:v>
                </c:pt>
                <c:pt idx="69">
                  <c:v>160.90841367834008</c:v>
                </c:pt>
                <c:pt idx="70">
                  <c:v>161.09841367834008</c:v>
                </c:pt>
                <c:pt idx="71">
                  <c:v>162.89841367834009</c:v>
                </c:pt>
                <c:pt idx="72">
                  <c:v>165.4484136783401</c:v>
                </c:pt>
                <c:pt idx="73">
                  <c:v>169.04841367834013</c:v>
                </c:pt>
                <c:pt idx="74">
                  <c:v>173.43841367834011</c:v>
                </c:pt>
                <c:pt idx="75">
                  <c:v>174.53841367834013</c:v>
                </c:pt>
                <c:pt idx="76">
                  <c:v>174.53841367834013</c:v>
                </c:pt>
                <c:pt idx="77">
                  <c:v>174.53841367834013</c:v>
                </c:pt>
                <c:pt idx="78">
                  <c:v>174.53841367834013</c:v>
                </c:pt>
                <c:pt idx="79">
                  <c:v>174.53841367834013</c:v>
                </c:pt>
                <c:pt idx="80">
                  <c:v>176.05008224115923</c:v>
                </c:pt>
                <c:pt idx="81">
                  <c:v>176.23008224115924</c:v>
                </c:pt>
                <c:pt idx="82">
                  <c:v>177.78008224115922</c:v>
                </c:pt>
                <c:pt idx="83">
                  <c:v>182.1100822411592</c:v>
                </c:pt>
                <c:pt idx="84">
                  <c:v>185.45008224115921</c:v>
                </c:pt>
                <c:pt idx="85">
                  <c:v>186.14008224115921</c:v>
                </c:pt>
                <c:pt idx="86">
                  <c:v>191.09008224115922</c:v>
                </c:pt>
                <c:pt idx="87">
                  <c:v>192.73008224115921</c:v>
                </c:pt>
                <c:pt idx="88">
                  <c:v>196.1800822411592</c:v>
                </c:pt>
                <c:pt idx="89">
                  <c:v>197.28008224115919</c:v>
                </c:pt>
                <c:pt idx="90">
                  <c:v>199.79008224115921</c:v>
                </c:pt>
                <c:pt idx="91">
                  <c:v>201.8700822411592</c:v>
                </c:pt>
                <c:pt idx="92">
                  <c:v>201.96008224115917</c:v>
                </c:pt>
                <c:pt idx="93">
                  <c:v>205.39008224115918</c:v>
                </c:pt>
                <c:pt idx="94">
                  <c:v>209.14008224115918</c:v>
                </c:pt>
                <c:pt idx="95">
                  <c:v>211.06008224115919</c:v>
                </c:pt>
                <c:pt idx="96">
                  <c:v>216.6200822411592</c:v>
                </c:pt>
                <c:pt idx="97">
                  <c:v>218.66008224115922</c:v>
                </c:pt>
                <c:pt idx="98">
                  <c:v>218.96008224115923</c:v>
                </c:pt>
                <c:pt idx="99">
                  <c:v>224.19008224115925</c:v>
                </c:pt>
                <c:pt idx="100">
                  <c:v>226.10008224115924</c:v>
                </c:pt>
                <c:pt idx="101">
                  <c:v>226.67008224115926</c:v>
                </c:pt>
                <c:pt idx="102">
                  <c:v>228.88008224115927</c:v>
                </c:pt>
                <c:pt idx="103">
                  <c:v>229.55008224115926</c:v>
                </c:pt>
                <c:pt idx="104">
                  <c:v>232.34008224115925</c:v>
                </c:pt>
                <c:pt idx="105">
                  <c:v>232.38008224115924</c:v>
                </c:pt>
                <c:pt idx="106">
                  <c:v>232.38008224115924</c:v>
                </c:pt>
                <c:pt idx="107">
                  <c:v>232.38008224115924</c:v>
                </c:pt>
                <c:pt idx="108">
                  <c:v>233.80013921030508</c:v>
                </c:pt>
                <c:pt idx="109">
                  <c:v>233.80013921030508</c:v>
                </c:pt>
                <c:pt idx="110">
                  <c:v>233.80013921030508</c:v>
                </c:pt>
                <c:pt idx="111">
                  <c:v>234.9501674736336</c:v>
                </c:pt>
                <c:pt idx="112">
                  <c:v>234.9501674736336</c:v>
                </c:pt>
                <c:pt idx="113">
                  <c:v>234.9501674736336</c:v>
                </c:pt>
                <c:pt idx="114">
                  <c:v>234.9501674736336</c:v>
                </c:pt>
                <c:pt idx="115">
                  <c:v>235.29019495358767</c:v>
                </c:pt>
                <c:pt idx="116">
                  <c:v>235.29019495358767</c:v>
                </c:pt>
                <c:pt idx="117">
                  <c:v>235.29019495358767</c:v>
                </c:pt>
                <c:pt idx="118">
                  <c:v>236.96020385999987</c:v>
                </c:pt>
                <c:pt idx="119">
                  <c:v>241.42020385999987</c:v>
                </c:pt>
                <c:pt idx="120">
                  <c:v>241.42020385999987</c:v>
                </c:pt>
                <c:pt idx="121">
                  <c:v>241.42020385999987</c:v>
                </c:pt>
                <c:pt idx="122">
                  <c:v>242.32021894529066</c:v>
                </c:pt>
                <c:pt idx="123">
                  <c:v>244.09021894529064</c:v>
                </c:pt>
                <c:pt idx="124">
                  <c:v>248.85021894529064</c:v>
                </c:pt>
                <c:pt idx="125">
                  <c:v>248.95021894529063</c:v>
                </c:pt>
                <c:pt idx="126">
                  <c:v>248.95021894529063</c:v>
                </c:pt>
                <c:pt idx="127">
                  <c:v>249.34021999009101</c:v>
                </c:pt>
                <c:pt idx="128">
                  <c:v>249.34021999009101</c:v>
                </c:pt>
                <c:pt idx="129">
                  <c:v>249.5502211420347</c:v>
                </c:pt>
                <c:pt idx="130">
                  <c:v>252.1102211420347</c:v>
                </c:pt>
                <c:pt idx="131">
                  <c:v>254.03022114203469</c:v>
                </c:pt>
                <c:pt idx="132">
                  <c:v>260.82022114203471</c:v>
                </c:pt>
                <c:pt idx="133">
                  <c:v>262.5802211420347</c:v>
                </c:pt>
                <c:pt idx="134">
                  <c:v>262.5802211420347</c:v>
                </c:pt>
                <c:pt idx="135">
                  <c:v>263.86022153546213</c:v>
                </c:pt>
                <c:pt idx="136">
                  <c:v>263.86022153546213</c:v>
                </c:pt>
                <c:pt idx="137">
                  <c:v>267.36022174491472</c:v>
                </c:pt>
                <c:pt idx="138">
                  <c:v>267.36022174491472</c:v>
                </c:pt>
                <c:pt idx="139">
                  <c:v>267.36022174491472</c:v>
                </c:pt>
                <c:pt idx="140">
                  <c:v>267.36022174491472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45421</c:v>
                </c:pt>
                <c:pt idx="1">
                  <c:v>45422</c:v>
                </c:pt>
                <c:pt idx="2">
                  <c:v>45423</c:v>
                </c:pt>
                <c:pt idx="3">
                  <c:v>45424</c:v>
                </c:pt>
                <c:pt idx="4">
                  <c:v>45425</c:v>
                </c:pt>
                <c:pt idx="5">
                  <c:v>45426</c:v>
                </c:pt>
                <c:pt idx="6">
                  <c:v>45427</c:v>
                </c:pt>
                <c:pt idx="7">
                  <c:v>45428</c:v>
                </c:pt>
                <c:pt idx="8">
                  <c:v>45429</c:v>
                </c:pt>
                <c:pt idx="9">
                  <c:v>45430</c:v>
                </c:pt>
                <c:pt idx="10">
                  <c:v>45431</c:v>
                </c:pt>
                <c:pt idx="11">
                  <c:v>45432</c:v>
                </c:pt>
                <c:pt idx="12">
                  <c:v>45433</c:v>
                </c:pt>
                <c:pt idx="13">
                  <c:v>45434</c:v>
                </c:pt>
                <c:pt idx="14">
                  <c:v>45435</c:v>
                </c:pt>
                <c:pt idx="15">
                  <c:v>45436</c:v>
                </c:pt>
                <c:pt idx="16">
                  <c:v>45437</c:v>
                </c:pt>
                <c:pt idx="17">
                  <c:v>45438</c:v>
                </c:pt>
                <c:pt idx="18">
                  <c:v>45439</c:v>
                </c:pt>
                <c:pt idx="19">
                  <c:v>45440</c:v>
                </c:pt>
                <c:pt idx="20">
                  <c:v>45441</c:v>
                </c:pt>
                <c:pt idx="21">
                  <c:v>45442</c:v>
                </c:pt>
                <c:pt idx="22">
                  <c:v>45443</c:v>
                </c:pt>
                <c:pt idx="23">
                  <c:v>45444</c:v>
                </c:pt>
                <c:pt idx="24">
                  <c:v>45445</c:v>
                </c:pt>
                <c:pt idx="25">
                  <c:v>45446</c:v>
                </c:pt>
                <c:pt idx="26">
                  <c:v>45447</c:v>
                </c:pt>
                <c:pt idx="27">
                  <c:v>45448</c:v>
                </c:pt>
                <c:pt idx="28">
                  <c:v>45449</c:v>
                </c:pt>
                <c:pt idx="29">
                  <c:v>45450</c:v>
                </c:pt>
                <c:pt idx="30">
                  <c:v>45451</c:v>
                </c:pt>
                <c:pt idx="31">
                  <c:v>45452</c:v>
                </c:pt>
                <c:pt idx="32">
                  <c:v>45453</c:v>
                </c:pt>
                <c:pt idx="33">
                  <c:v>45454</c:v>
                </c:pt>
                <c:pt idx="34">
                  <c:v>45455</c:v>
                </c:pt>
                <c:pt idx="35">
                  <c:v>45456</c:v>
                </c:pt>
                <c:pt idx="36">
                  <c:v>45457</c:v>
                </c:pt>
                <c:pt idx="37">
                  <c:v>45458</c:v>
                </c:pt>
                <c:pt idx="38">
                  <c:v>45459</c:v>
                </c:pt>
                <c:pt idx="39">
                  <c:v>45460</c:v>
                </c:pt>
                <c:pt idx="40">
                  <c:v>45461</c:v>
                </c:pt>
                <c:pt idx="41">
                  <c:v>45462</c:v>
                </c:pt>
                <c:pt idx="42">
                  <c:v>45463</c:v>
                </c:pt>
                <c:pt idx="43">
                  <c:v>45464</c:v>
                </c:pt>
                <c:pt idx="44">
                  <c:v>45465</c:v>
                </c:pt>
                <c:pt idx="45">
                  <c:v>45466</c:v>
                </c:pt>
                <c:pt idx="46">
                  <c:v>45467</c:v>
                </c:pt>
                <c:pt idx="47">
                  <c:v>45468</c:v>
                </c:pt>
                <c:pt idx="48">
                  <c:v>45469</c:v>
                </c:pt>
                <c:pt idx="49">
                  <c:v>45470</c:v>
                </c:pt>
                <c:pt idx="50">
                  <c:v>45471</c:v>
                </c:pt>
                <c:pt idx="51">
                  <c:v>45472</c:v>
                </c:pt>
                <c:pt idx="52">
                  <c:v>45473</c:v>
                </c:pt>
                <c:pt idx="53">
                  <c:v>45474</c:v>
                </c:pt>
                <c:pt idx="54">
                  <c:v>45475</c:v>
                </c:pt>
                <c:pt idx="55">
                  <c:v>45476</c:v>
                </c:pt>
                <c:pt idx="56">
                  <c:v>45477</c:v>
                </c:pt>
                <c:pt idx="57">
                  <c:v>45478</c:v>
                </c:pt>
                <c:pt idx="58">
                  <c:v>45479</c:v>
                </c:pt>
                <c:pt idx="59">
                  <c:v>45480</c:v>
                </c:pt>
                <c:pt idx="60">
                  <c:v>45481</c:v>
                </c:pt>
                <c:pt idx="61">
                  <c:v>45482</c:v>
                </c:pt>
                <c:pt idx="62">
                  <c:v>45483</c:v>
                </c:pt>
                <c:pt idx="63">
                  <c:v>45484</c:v>
                </c:pt>
                <c:pt idx="64">
                  <c:v>45485</c:v>
                </c:pt>
                <c:pt idx="65">
                  <c:v>45486</c:v>
                </c:pt>
                <c:pt idx="66">
                  <c:v>45487</c:v>
                </c:pt>
                <c:pt idx="67">
                  <c:v>45488</c:v>
                </c:pt>
                <c:pt idx="68">
                  <c:v>45489</c:v>
                </c:pt>
                <c:pt idx="69">
                  <c:v>45490</c:v>
                </c:pt>
                <c:pt idx="70">
                  <c:v>45491</c:v>
                </c:pt>
                <c:pt idx="71">
                  <c:v>45492</c:v>
                </c:pt>
                <c:pt idx="72">
                  <c:v>45493</c:v>
                </c:pt>
                <c:pt idx="73">
                  <c:v>45494</c:v>
                </c:pt>
                <c:pt idx="74">
                  <c:v>45495</c:v>
                </c:pt>
                <c:pt idx="75">
                  <c:v>45496</c:v>
                </c:pt>
                <c:pt idx="76">
                  <c:v>45497</c:v>
                </c:pt>
                <c:pt idx="77">
                  <c:v>45498</c:v>
                </c:pt>
                <c:pt idx="78">
                  <c:v>45499</c:v>
                </c:pt>
                <c:pt idx="79">
                  <c:v>45500</c:v>
                </c:pt>
                <c:pt idx="80">
                  <c:v>45501</c:v>
                </c:pt>
                <c:pt idx="81">
                  <c:v>45502</c:v>
                </c:pt>
                <c:pt idx="82">
                  <c:v>45503</c:v>
                </c:pt>
                <c:pt idx="83">
                  <c:v>45504</c:v>
                </c:pt>
                <c:pt idx="84">
                  <c:v>45505</c:v>
                </c:pt>
                <c:pt idx="85">
                  <c:v>45506</c:v>
                </c:pt>
                <c:pt idx="86">
                  <c:v>45507</c:v>
                </c:pt>
                <c:pt idx="87">
                  <c:v>45508</c:v>
                </c:pt>
                <c:pt idx="88">
                  <c:v>45509</c:v>
                </c:pt>
                <c:pt idx="89">
                  <c:v>45510</c:v>
                </c:pt>
                <c:pt idx="90">
                  <c:v>45511</c:v>
                </c:pt>
                <c:pt idx="91">
                  <c:v>45512</c:v>
                </c:pt>
                <c:pt idx="92">
                  <c:v>45513</c:v>
                </c:pt>
                <c:pt idx="93">
                  <c:v>45514</c:v>
                </c:pt>
                <c:pt idx="94">
                  <c:v>45515</c:v>
                </c:pt>
                <c:pt idx="95">
                  <c:v>45516</c:v>
                </c:pt>
                <c:pt idx="96">
                  <c:v>45517</c:v>
                </c:pt>
                <c:pt idx="97">
                  <c:v>45518</c:v>
                </c:pt>
                <c:pt idx="98">
                  <c:v>45519</c:v>
                </c:pt>
                <c:pt idx="99">
                  <c:v>45520</c:v>
                </c:pt>
                <c:pt idx="100">
                  <c:v>45521</c:v>
                </c:pt>
                <c:pt idx="101">
                  <c:v>45522</c:v>
                </c:pt>
                <c:pt idx="102">
                  <c:v>45523</c:v>
                </c:pt>
                <c:pt idx="103">
                  <c:v>45524</c:v>
                </c:pt>
                <c:pt idx="104">
                  <c:v>45525</c:v>
                </c:pt>
                <c:pt idx="105">
                  <c:v>45526</c:v>
                </c:pt>
                <c:pt idx="106">
                  <c:v>45527</c:v>
                </c:pt>
                <c:pt idx="107">
                  <c:v>45528</c:v>
                </c:pt>
                <c:pt idx="108">
                  <c:v>45529</c:v>
                </c:pt>
                <c:pt idx="109">
                  <c:v>45530</c:v>
                </c:pt>
                <c:pt idx="110">
                  <c:v>45531</c:v>
                </c:pt>
                <c:pt idx="111">
                  <c:v>45532</c:v>
                </c:pt>
                <c:pt idx="112">
                  <c:v>45533</c:v>
                </c:pt>
                <c:pt idx="113">
                  <c:v>45534</c:v>
                </c:pt>
                <c:pt idx="114">
                  <c:v>45535</c:v>
                </c:pt>
                <c:pt idx="115">
                  <c:v>45536</c:v>
                </c:pt>
                <c:pt idx="116">
                  <c:v>45537</c:v>
                </c:pt>
                <c:pt idx="117">
                  <c:v>45538</c:v>
                </c:pt>
                <c:pt idx="118">
                  <c:v>45539</c:v>
                </c:pt>
                <c:pt idx="119">
                  <c:v>45540</c:v>
                </c:pt>
                <c:pt idx="120">
                  <c:v>45541</c:v>
                </c:pt>
                <c:pt idx="121">
                  <c:v>45542</c:v>
                </c:pt>
                <c:pt idx="122">
                  <c:v>45543</c:v>
                </c:pt>
                <c:pt idx="123">
                  <c:v>45544</c:v>
                </c:pt>
                <c:pt idx="124">
                  <c:v>45545</c:v>
                </c:pt>
                <c:pt idx="125">
                  <c:v>45546</c:v>
                </c:pt>
                <c:pt idx="126">
                  <c:v>45547</c:v>
                </c:pt>
                <c:pt idx="127">
                  <c:v>45548</c:v>
                </c:pt>
                <c:pt idx="128">
                  <c:v>45549</c:v>
                </c:pt>
                <c:pt idx="129">
                  <c:v>45550</c:v>
                </c:pt>
                <c:pt idx="130">
                  <c:v>45551</c:v>
                </c:pt>
                <c:pt idx="131">
                  <c:v>45552</c:v>
                </c:pt>
                <c:pt idx="132">
                  <c:v>45553</c:v>
                </c:pt>
                <c:pt idx="133">
                  <c:v>45554</c:v>
                </c:pt>
                <c:pt idx="134">
                  <c:v>45555</c:v>
                </c:pt>
                <c:pt idx="135">
                  <c:v>45556</c:v>
                </c:pt>
                <c:pt idx="136">
                  <c:v>45557</c:v>
                </c:pt>
                <c:pt idx="137">
                  <c:v>45558</c:v>
                </c:pt>
                <c:pt idx="138">
                  <c:v>45559</c:v>
                </c:pt>
                <c:pt idx="139">
                  <c:v>45560</c:v>
                </c:pt>
                <c:pt idx="140">
                  <c:v>45561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6.6928509242848554E-3</c:v>
                </c:pt>
                <c:pt idx="16">
                  <c:v>6.6928509242848554E-3</c:v>
                </c:pt>
                <c:pt idx="17">
                  <c:v>6.6928509242848554E-3</c:v>
                </c:pt>
                <c:pt idx="18">
                  <c:v>6.6928509242848554E-3</c:v>
                </c:pt>
                <c:pt idx="19">
                  <c:v>6.6928509242848554E-3</c:v>
                </c:pt>
                <c:pt idx="20">
                  <c:v>6.6928509242848554E-3</c:v>
                </c:pt>
                <c:pt idx="21">
                  <c:v>6.6928509242848554E-3</c:v>
                </c:pt>
                <c:pt idx="22">
                  <c:v>7.4660259159340138E-3</c:v>
                </c:pt>
                <c:pt idx="23">
                  <c:v>8.561118550482423E-3</c:v>
                </c:pt>
                <c:pt idx="24">
                  <c:v>9.8018471140296284E-3</c:v>
                </c:pt>
                <c:pt idx="25">
                  <c:v>1.1382223868066832E-2</c:v>
                </c:pt>
                <c:pt idx="26">
                  <c:v>1.3167314161149796E-2</c:v>
                </c:pt>
                <c:pt idx="27">
                  <c:v>1.5201176131025848E-2</c:v>
                </c:pt>
                <c:pt idx="28">
                  <c:v>1.7519844624628089E-2</c:v>
                </c:pt>
                <c:pt idx="29">
                  <c:v>1.9948897500208947E-2</c:v>
                </c:pt>
                <c:pt idx="30">
                  <c:v>2.2676347121945675E-2</c:v>
                </c:pt>
                <c:pt idx="31">
                  <c:v>2.625978033202981E-2</c:v>
                </c:pt>
                <c:pt idx="32">
                  <c:v>3.0391876717935952E-2</c:v>
                </c:pt>
                <c:pt idx="33">
                  <c:v>3.5593225169765187E-2</c:v>
                </c:pt>
                <c:pt idx="34">
                  <c:v>4.0909415252448067E-2</c:v>
                </c:pt>
                <c:pt idx="35">
                  <c:v>4.6759057647104127E-2</c:v>
                </c:pt>
                <c:pt idx="36">
                  <c:v>5.2636600584439808E-2</c:v>
                </c:pt>
                <c:pt idx="37">
                  <c:v>6.0058109218742994E-2</c:v>
                </c:pt>
                <c:pt idx="38">
                  <c:v>6.8538439218077757E-2</c:v>
                </c:pt>
                <c:pt idx="39">
                  <c:v>7.8206163245916907E-2</c:v>
                </c:pt>
                <c:pt idx="40">
                  <c:v>8.9499853242182986E-2</c:v>
                </c:pt>
                <c:pt idx="41">
                  <c:v>0.10218025369173379</c:v>
                </c:pt>
                <c:pt idx="42">
                  <c:v>0.11559268782888762</c:v>
                </c:pt>
                <c:pt idx="43">
                  <c:v>0.12885909851855257</c:v>
                </c:pt>
                <c:pt idx="44">
                  <c:v>0.14348596298578581</c:v>
                </c:pt>
                <c:pt idx="45">
                  <c:v>0.16196296933420759</c:v>
                </c:pt>
                <c:pt idx="46">
                  <c:v>0.18057106743727977</c:v>
                </c:pt>
                <c:pt idx="47">
                  <c:v>0.19996472153058853</c:v>
                </c:pt>
                <c:pt idx="48">
                  <c:v>0.22002623866318699</c:v>
                </c:pt>
                <c:pt idx="49">
                  <c:v>0.24166985518465361</c:v>
                </c:pt>
                <c:pt idx="50">
                  <c:v>0.26437095689734247</c:v>
                </c:pt>
                <c:pt idx="51">
                  <c:v>0.28788411201356784</c:v>
                </c:pt>
                <c:pt idx="52">
                  <c:v>0.31346028619954192</c:v>
                </c:pt>
                <c:pt idx="53">
                  <c:v>0.33839821416725246</c:v>
                </c:pt>
                <c:pt idx="54">
                  <c:v>0.36618666525129728</c:v>
                </c:pt>
                <c:pt idx="55">
                  <c:v>0.39413698182194101</c:v>
                </c:pt>
                <c:pt idx="56">
                  <c:v>0.4254934913790136</c:v>
                </c:pt>
                <c:pt idx="57">
                  <c:v>0.45650239219607991</c:v>
                </c:pt>
                <c:pt idx="58">
                  <c:v>0.48971383402625723</c:v>
                </c:pt>
                <c:pt idx="59">
                  <c:v>0.51912556291730094</c:v>
                </c:pt>
                <c:pt idx="60">
                  <c:v>0.54714074716020367</c:v>
                </c:pt>
                <c:pt idx="61">
                  <c:v>0.57513017510721143</c:v>
                </c:pt>
                <c:pt idx="62">
                  <c:v>0.60195198580097942</c:v>
                </c:pt>
                <c:pt idx="63">
                  <c:v>0.62927027520819967</c:v>
                </c:pt>
                <c:pt idx="64">
                  <c:v>0.65491323034539928</c:v>
                </c:pt>
                <c:pt idx="65">
                  <c:v>0.67917448064711861</c:v>
                </c:pt>
                <c:pt idx="66">
                  <c:v>0.70520820945610196</c:v>
                </c:pt>
                <c:pt idx="67">
                  <c:v>0.72996931909213636</c:v>
                </c:pt>
                <c:pt idx="68">
                  <c:v>0.75524454171206945</c:v>
                </c:pt>
                <c:pt idx="69">
                  <c:v>0.77710716695513926</c:v>
                </c:pt>
                <c:pt idx="70">
                  <c:v>0.79785215143830657</c:v>
                </c:pt>
                <c:pt idx="71">
                  <c:v>0.81816990221866004</c:v>
                </c:pt>
                <c:pt idx="72">
                  <c:v>0.83748372975819019</c:v>
                </c:pt>
                <c:pt idx="73">
                  <c:v>0.8554509143064164</c:v>
                </c:pt>
                <c:pt idx="74">
                  <c:v>0.87080746739530179</c:v>
                </c:pt>
                <c:pt idx="75">
                  <c:v>0.88471015526258279</c:v>
                </c:pt>
                <c:pt idx="76">
                  <c:v>0.89669404362083327</c:v>
                </c:pt>
                <c:pt idx="77">
                  <c:v>0.90736544930691265</c:v>
                </c:pt>
                <c:pt idx="78">
                  <c:v>0.91763286877738326</c:v>
                </c:pt>
                <c:pt idx="79">
                  <c:v>0.92653533876008576</c:v>
                </c:pt>
                <c:pt idx="80">
                  <c:v>0.93458642690755878</c:v>
                </c:pt>
                <c:pt idx="81">
                  <c:v>0.94115690525035012</c:v>
                </c:pt>
                <c:pt idx="82">
                  <c:v>0.94749736647342775</c:v>
                </c:pt>
                <c:pt idx="83">
                  <c:v>0.95415779175099857</c:v>
                </c:pt>
                <c:pt idx="84">
                  <c:v>0.96014643972799085</c:v>
                </c:pt>
                <c:pt idx="85">
                  <c:v>0.96514984322608333</c:v>
                </c:pt>
                <c:pt idx="86">
                  <c:v>0.96957759509923935</c:v>
                </c:pt>
                <c:pt idx="87">
                  <c:v>0.97331171663850635</c:v>
                </c:pt>
                <c:pt idx="88">
                  <c:v>0.9766332250195966</c:v>
                </c:pt>
                <c:pt idx="89">
                  <c:v>0.97958041815486541</c:v>
                </c:pt>
                <c:pt idx="90">
                  <c:v>0.9820341165933747</c:v>
                </c:pt>
                <c:pt idx="91">
                  <c:v>0.98397517842243953</c:v>
                </c:pt>
                <c:pt idx="92">
                  <c:v>0.98559445556349112</c:v>
                </c:pt>
                <c:pt idx="93">
                  <c:v>0.98721870896402031</c:v>
                </c:pt>
                <c:pt idx="94">
                  <c:v>0.98872516696497736</c:v>
                </c:pt>
                <c:pt idx="95">
                  <c:v>0.99009652438733986</c:v>
                </c:pt>
                <c:pt idx="96">
                  <c:v>0.99133579566577801</c:v>
                </c:pt>
                <c:pt idx="97">
                  <c:v>0.99238581301803586</c:v>
                </c:pt>
                <c:pt idx="98">
                  <c:v>0.99333323544005503</c:v>
                </c:pt>
                <c:pt idx="99">
                  <c:v>0.9941570566501694</c:v>
                </c:pt>
                <c:pt idx="100">
                  <c:v>0.99482377587429882</c:v>
                </c:pt>
                <c:pt idx="101">
                  <c:v>0.99545552010326355</c:v>
                </c:pt>
                <c:pt idx="102">
                  <c:v>0.99599839123943756</c:v>
                </c:pt>
                <c:pt idx="103">
                  <c:v>0.99650126089910773</c:v>
                </c:pt>
                <c:pt idx="104">
                  <c:v>0.99693059384981875</c:v>
                </c:pt>
                <c:pt idx="105">
                  <c:v>0.99730960749570996</c:v>
                </c:pt>
                <c:pt idx="106">
                  <c:v>0.99765197141913131</c:v>
                </c:pt>
                <c:pt idx="107">
                  <c:v>0.9979460555209112</c:v>
                </c:pt>
                <c:pt idx="108">
                  <c:v>0.99822794730048714</c:v>
                </c:pt>
                <c:pt idx="109">
                  <c:v>0.99847184205399397</c:v>
                </c:pt>
                <c:pt idx="110">
                  <c:v>0.99868819139491527</c:v>
                </c:pt>
                <c:pt idx="111">
                  <c:v>0.9988661593536633</c:v>
                </c:pt>
                <c:pt idx="112">
                  <c:v>0.99902727400210534</c:v>
                </c:pt>
                <c:pt idx="113">
                  <c:v>0.99916032111091568</c:v>
                </c:pt>
                <c:pt idx="114">
                  <c:v>0.99926966643303661</c:v>
                </c:pt>
                <c:pt idx="115">
                  <c:v>0.99936073977356132</c:v>
                </c:pt>
                <c:pt idx="116">
                  <c:v>0.99944115651990961</c:v>
                </c:pt>
                <c:pt idx="117">
                  <c:v>0.99951354612417642</c:v>
                </c:pt>
                <c:pt idx="118">
                  <c:v>0.99957492444185247</c:v>
                </c:pt>
                <c:pt idx="119">
                  <c:v>0.99963136817263798</c:v>
                </c:pt>
                <c:pt idx="120">
                  <c:v>0.99968225362215368</c:v>
                </c:pt>
                <c:pt idx="121">
                  <c:v>0.99972539811595629</c:v>
                </c:pt>
                <c:pt idx="122">
                  <c:v>0.99975948909805401</c:v>
                </c:pt>
                <c:pt idx="123">
                  <c:v>0.99979073885131586</c:v>
                </c:pt>
                <c:pt idx="124">
                  <c:v>0.99981930520113227</c:v>
                </c:pt>
                <c:pt idx="125">
                  <c:v>0.99984356305873323</c:v>
                </c:pt>
                <c:pt idx="126">
                  <c:v>0.99986599583040503</c:v>
                </c:pt>
                <c:pt idx="127">
                  <c:v>0.99988502196732698</c:v>
                </c:pt>
                <c:pt idx="128">
                  <c:v>0.9999017137945071</c:v>
                </c:pt>
                <c:pt idx="129">
                  <c:v>0.99991588982533586</c:v>
                </c:pt>
                <c:pt idx="130">
                  <c:v>0.99992892918011766</c:v>
                </c:pt>
                <c:pt idx="131">
                  <c:v>0.9999392304408341</c:v>
                </c:pt>
                <c:pt idx="132">
                  <c:v>0.99994742573982265</c:v>
                </c:pt>
                <c:pt idx="133">
                  <c:v>0.99995444680224266</c:v>
                </c:pt>
                <c:pt idx="134">
                  <c:v>0.99996023511441268</c:v>
                </c:pt>
                <c:pt idx="135">
                  <c:v>0.9999654360939324</c:v>
                </c:pt>
                <c:pt idx="136">
                  <c:v>0.99997028661660348</c:v>
                </c:pt>
                <c:pt idx="137">
                  <c:v>0.99997469847515486</c:v>
                </c:pt>
                <c:pt idx="138">
                  <c:v>0.99997859157497815</c:v>
                </c:pt>
                <c:pt idx="139">
                  <c:v>0.99998178038926211</c:v>
                </c:pt>
                <c:pt idx="140">
                  <c:v>0.99998457105749694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9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A43" zoomScale="110" zoomScaleNormal="110" workbookViewId="0">
      <selection activeCell="C54" sqref="C54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Z1"/>
      <c r="AA1"/>
      <c r="AB1"/>
      <c r="AC1"/>
    </row>
    <row r="2" spans="2:34" s="55" customFormat="1" ht="47.25" customHeight="1">
      <c r="C2" s="100"/>
      <c r="D2" s="133" t="s">
        <v>152</v>
      </c>
      <c r="E2" s="134"/>
      <c r="F2" s="134"/>
      <c r="G2" s="134"/>
      <c r="H2" s="135"/>
      <c r="Z2"/>
      <c r="AA2"/>
      <c r="AB2"/>
      <c r="AC2"/>
    </row>
    <row r="3" spans="2:34" s="54" customFormat="1" ht="1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171</v>
      </c>
      <c r="D4" s="103" t="s">
        <v>276</v>
      </c>
      <c r="E4" s="58"/>
      <c r="F4" s="102" t="s">
        <v>191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282</v>
      </c>
      <c r="E5" s="58"/>
      <c r="F5" s="102" t="s">
        <v>192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94</v>
      </c>
      <c r="D6" s="104" t="s">
        <v>55</v>
      </c>
      <c r="F6" s="102" t="s">
        <v>187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General</v>
      </c>
      <c r="E7" s="92" t="s">
        <v>29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Mustard Green manure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>
        <v>60000</v>
      </c>
      <c r="F11" s="57" t="s">
        <v>133</v>
      </c>
      <c r="G11" s="85">
        <f>IF(H11="",VLOOKUP(CurrentCropNameFull,CropCoefficients,23,FALSE),H11)</f>
        <v>1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80</v>
      </c>
      <c r="E12" s="69">
        <v>80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0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80</v>
      </c>
      <c r="C14" s="64" t="str">
        <f>"Yield "&amp;CurrentYield_tperHa&amp;" (t/ha)"</f>
        <v>Yield 80 (t/ha)</v>
      </c>
      <c r="D14" s="90" t="str">
        <f ca="1">"requires "&amp;ROUND(SUM('Model Interface'!P8:Q8),0)&amp;" kg N/ha from all sources"</f>
        <v>requires 1664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45421</v>
      </c>
      <c r="Z14"/>
      <c r="AA14"/>
      <c r="AB14"/>
      <c r="AC14"/>
    </row>
    <row r="15" spans="2:34" s="55" customFormat="1" ht="16.2" thickBot="1">
      <c r="B15" s="55">
        <f ca="1">SUMIF(B29:B43,1,G29:G43)</f>
        <v>1908.4114566275175</v>
      </c>
      <c r="C15" s="105" t="s">
        <v>220</v>
      </c>
      <c r="D15" s="106" t="str">
        <f ca="1">SUMIF(B29:B43,1,G29:G43)&amp;" Kg/ha"</f>
        <v>1908.41145662752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27" t="s">
        <v>221</v>
      </c>
      <c r="AA15" s="127"/>
      <c r="AB15" s="127"/>
      <c r="AC15" s="127"/>
      <c r="AD15" s="128" t="s">
        <v>223</v>
      </c>
      <c r="AE15" s="128"/>
      <c r="AF15" s="128"/>
      <c r="AG15" s="128"/>
      <c r="AH15" s="128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201</v>
      </c>
      <c r="AA17" s="55" t="s">
        <v>202</v>
      </c>
      <c r="AB17" s="55" t="s">
        <v>187</v>
      </c>
      <c r="AC17" s="55" t="s">
        <v>205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241</v>
      </c>
      <c r="AK17" s="55" t="s">
        <v>242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45421</v>
      </c>
      <c r="S18" s="55">
        <f ca="1">IF(R18&gt;1,R18,"")</f>
        <v>45421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113.75000000000001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0.87518945829361017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0.99999995543201425</v>
      </c>
      <c r="AD18" s="83">
        <f t="array" aca="1" ref="AD18:AD662" ca="1">_xlfn._xlws.FILTER('Model Interface'!X11:X1004,('Model Interface'!X11:X1004&gt;=CurrentHarvestDate+1)*('Model Interface'!X11:X1004&lt;=FollowingHarvestDate),"")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31.233526565722901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-0.52499771115463689</v>
      </c>
    </row>
    <row r="19" spans="1:37" s="55" customFormat="1">
      <c r="C19" s="57" t="s">
        <v>217</v>
      </c>
      <c r="D19" s="85">
        <f>IF(E19="",60,E19)</f>
        <v>55</v>
      </c>
      <c r="E19" s="16">
        <v>55</v>
      </c>
      <c r="F19" s="94" t="str">
        <f ca="1">ROUND('Model Interface'!N7,0)&amp;" kg N/ha available from SOM mineralisation"</f>
        <v>95 kg N/ha available from SOM mineralisation</v>
      </c>
      <c r="R19" s="83">
        <f ca="1"/>
        <v>45422</v>
      </c>
      <c r="S19" s="55">
        <f t="shared" ref="S19:S82" ca="1" si="11">IF(R19&gt;1,R19,"")</f>
        <v>45422</v>
      </c>
      <c r="T19" s="55">
        <f t="shared" ca="1" si="0"/>
        <v>50.736616140679708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1.745437076344454</v>
      </c>
      <c r="Y19" s="55">
        <f t="shared" ref="Y19:Y82" ca="1" si="14">VLOOKUP(S19,ModelOutputs,4,FALSE)+Y18</f>
        <v>-0.13363147737113781</v>
      </c>
      <c r="Z19">
        <f t="shared" ca="1" si="3"/>
        <v>112.77913043478263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32.382534607597755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-0.23401969150290114</v>
      </c>
    </row>
    <row r="20" spans="1:37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45423</v>
      </c>
      <c r="S20" s="55">
        <f t="shared" ca="1" si="11"/>
        <v>45423</v>
      </c>
      <c r="T20" s="55">
        <f t="shared" ca="1" si="0"/>
        <v>51.299502631744268</v>
      </c>
      <c r="U20" s="55">
        <f t="shared" ca="1" si="1"/>
        <v>0</v>
      </c>
      <c r="V20" s="55">
        <f t="shared" ca="1" si="2"/>
        <v>0</v>
      </c>
      <c r="W20" s="55">
        <f t="shared" ca="1" si="12"/>
        <v>-0.23843522657816388</v>
      </c>
      <c r="X20" s="55">
        <f t="shared" ca="1" si="13"/>
        <v>2.6760428234915148</v>
      </c>
      <c r="Y20" s="55">
        <f t="shared" ca="1" si="14"/>
        <v>-0.26291550687547616</v>
      </c>
      <c r="Z20">
        <f t="shared" ca="1" si="3"/>
        <v>120</v>
      </c>
      <c r="AA20">
        <f t="shared" ca="1" si="15"/>
        <v>0.84396173913044947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33.719356589506638</v>
      </c>
      <c r="AG20" s="55">
        <f t="shared" ca="1" si="7"/>
        <v>0</v>
      </c>
      <c r="AH20" s="55">
        <f t="shared" ca="1" si="8"/>
        <v>0</v>
      </c>
      <c r="AI20" s="55">
        <f t="shared" ca="1" si="17"/>
        <v>-0.55266570496921386</v>
      </c>
      <c r="AJ20" s="55">
        <f t="shared" ca="1" si="18"/>
        <v>2.5397329992429598</v>
      </c>
      <c r="AK20" s="55">
        <f t="shared" ca="1" si="19"/>
        <v>0.80740080984947582</v>
      </c>
    </row>
    <row r="21" spans="1:37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45424</v>
      </c>
      <c r="S21" s="55">
        <f t="shared" ca="1" si="11"/>
        <v>45424</v>
      </c>
      <c r="T21" s="55">
        <f t="shared" ca="1" si="0"/>
        <v>50.985229178376159</v>
      </c>
      <c r="U21" s="55">
        <f t="shared" ca="1" si="1"/>
        <v>0</v>
      </c>
      <c r="V21" s="55">
        <f t="shared" ca="1" si="2"/>
        <v>0</v>
      </c>
      <c r="W21" s="55">
        <f t="shared" ca="1" si="12"/>
        <v>-1.3138541040594485</v>
      </c>
      <c r="X21" s="55">
        <f t="shared" ca="1" si="13"/>
        <v>3.5526555619276499</v>
      </c>
      <c r="Y21" s="55">
        <f t="shared" ca="1" si="14"/>
        <v>-0.37838282119843752</v>
      </c>
      <c r="Z21">
        <f t="shared" ca="1" si="3"/>
        <v>120</v>
      </c>
      <c r="AA21">
        <f t="shared" ca="1" si="15"/>
        <v>4.6739617391304478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36.107464168833069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-0.55266570496921386</v>
      </c>
      <c r="AJ21" s="55">
        <f t="shared" ca="1" si="18"/>
        <v>3.3229764377664637</v>
      </c>
      <c r="AK21" s="55">
        <f t="shared" ca="1" si="19"/>
        <v>2.4122649506523999</v>
      </c>
    </row>
    <row r="22" spans="1:37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45425</v>
      </c>
      <c r="S22" s="55">
        <f t="shared" ca="1" si="11"/>
        <v>45425</v>
      </c>
      <c r="T22" s="55">
        <f t="shared" ca="1" si="0"/>
        <v>50.733248464101017</v>
      </c>
      <c r="U22" s="55">
        <f t="shared" ca="1" si="1"/>
        <v>0</v>
      </c>
      <c r="V22" s="55">
        <f t="shared" ca="1" si="2"/>
        <v>0</v>
      </c>
      <c r="W22" s="55">
        <f t="shared" ca="1" si="12"/>
        <v>-2.3420479395985643</v>
      </c>
      <c r="X22" s="55">
        <f t="shared" ca="1" si="13"/>
        <v>4.4378678043477082</v>
      </c>
      <c r="Y22" s="55">
        <f t="shared" ca="1" si="14"/>
        <v>-0.48738194235452881</v>
      </c>
      <c r="Z22">
        <f t="shared" ca="1" si="3"/>
        <v>120</v>
      </c>
      <c r="AA22">
        <f t="shared" ca="1" si="15"/>
        <v>8.3539617391304546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39.128095201161891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-0.56207972250046057</v>
      </c>
      <c r="AJ22" s="55">
        <f t="shared" ca="1" si="18"/>
        <v>4.1333960557873501</v>
      </c>
      <c r="AK22" s="55">
        <f t="shared" ca="1" si="19"/>
        <v>4.6318903824915854</v>
      </c>
    </row>
    <row r="23" spans="1:37" s="55" customFormat="1">
      <c r="C23" s="57"/>
      <c r="D23" s="85"/>
      <c r="E23" s="113"/>
      <c r="F23" s="94"/>
      <c r="R23" s="83">
        <f ca="1"/>
        <v>45426</v>
      </c>
      <c r="S23" s="55">
        <f t="shared" ca="1" si="11"/>
        <v>45426</v>
      </c>
      <c r="T23" s="55">
        <f t="shared" ca="1" si="0"/>
        <v>49.476931744155827</v>
      </c>
      <c r="U23" s="55">
        <f t="shared" ca="1" si="1"/>
        <v>0</v>
      </c>
      <c r="V23" s="55">
        <f t="shared" ca="1" si="2"/>
        <v>0</v>
      </c>
      <c r="W23" s="55">
        <f t="shared" ca="1" si="12"/>
        <v>-4.4156333195659521</v>
      </c>
      <c r="X23" s="55">
        <f t="shared" ca="1" si="13"/>
        <v>5.3604086455221163</v>
      </c>
      <c r="Y23" s="55">
        <f t="shared" ca="1" si="14"/>
        <v>-0.59265412350673874</v>
      </c>
      <c r="Z23">
        <f t="shared" ca="1" si="3"/>
        <v>120</v>
      </c>
      <c r="AA23">
        <f t="shared" ca="1" si="15"/>
        <v>15.963961739130454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42.569787715921862</v>
      </c>
      <c r="AG23" s="55">
        <f t="shared" ca="1" si="22"/>
        <v>0</v>
      </c>
      <c r="AH23" s="55">
        <f t="shared" ca="1" si="23"/>
        <v>0</v>
      </c>
      <c r="AI23" s="55">
        <f t="shared" ca="1" si="17"/>
        <v>-0.94656510952310569</v>
      </c>
      <c r="AJ23" s="55">
        <f t="shared" ca="1" si="18"/>
        <v>5.0139112303254878</v>
      </c>
      <c r="AK23" s="55">
        <f t="shared" ca="1" si="19"/>
        <v>7.5775531097360584</v>
      </c>
    </row>
    <row r="24" spans="1:37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45427</v>
      </c>
      <c r="S24" s="55">
        <f t="shared" ca="1" si="11"/>
        <v>45427</v>
      </c>
      <c r="T24" s="55">
        <f t="shared" ca="1" si="0"/>
        <v>49.272610390802811</v>
      </c>
      <c r="U24" s="55">
        <f t="shared" ca="1" si="1"/>
        <v>0</v>
      </c>
      <c r="V24" s="55">
        <f t="shared" ca="1" si="2"/>
        <v>0</v>
      </c>
      <c r="W24" s="55">
        <f t="shared" ca="1" si="12"/>
        <v>-5.400657069900352</v>
      </c>
      <c r="X24" s="55">
        <f t="shared" ca="1" si="13"/>
        <v>6.2354634085191813</v>
      </c>
      <c r="Y24" s="55">
        <f t="shared" ca="1" si="14"/>
        <v>-0.6870064895224216</v>
      </c>
      <c r="Z24">
        <f t="shared" ca="1" si="3"/>
        <v>120</v>
      </c>
      <c r="AA24">
        <f t="shared" ca="1" si="15"/>
        <v>19.593961739130464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46.613786448451023</v>
      </c>
      <c r="AG24" s="55">
        <f t="shared" ca="1" si="22"/>
        <v>0</v>
      </c>
      <c r="AH24" s="55">
        <f t="shared" ca="1" si="23"/>
        <v>0</v>
      </c>
      <c r="AI24" s="55">
        <f t="shared" ca="1" si="17"/>
        <v>-0.94656510952310569</v>
      </c>
      <c r="AJ24" s="55">
        <f t="shared" ca="1" si="18"/>
        <v>5.8191449540799729</v>
      </c>
      <c r="AK24" s="55">
        <f t="shared" ca="1" si="19"/>
        <v>10.816318118510733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45428</v>
      </c>
      <c r="S25" s="55">
        <f t="shared" ca="1" si="11"/>
        <v>45428</v>
      </c>
      <c r="T25" s="55">
        <f t="shared" ca="1" si="0"/>
        <v>49.359779616284335</v>
      </c>
      <c r="U25" s="55">
        <f t="shared" ca="1" si="1"/>
        <v>0</v>
      </c>
      <c r="V25" s="55">
        <f t="shared" ca="1" si="2"/>
        <v>0</v>
      </c>
      <c r="W25" s="55">
        <f t="shared" ca="1" si="12"/>
        <v>-6.055782956459673</v>
      </c>
      <c r="X25" s="55">
        <f t="shared" ca="1" si="13"/>
        <v>7.0623169394431713</v>
      </c>
      <c r="Y25" s="55">
        <f t="shared" ca="1" si="14"/>
        <v>-0.77156490840556879</v>
      </c>
      <c r="Z25">
        <f t="shared" ca="1" si="3"/>
        <v>120</v>
      </c>
      <c r="AA25">
        <f t="shared" ca="1" si="15"/>
        <v>22.00396173913046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51.066005716442191</v>
      </c>
      <c r="AG25" s="55">
        <f t="shared" ca="1" si="22"/>
        <v>0</v>
      </c>
      <c r="AH25" s="55">
        <f t="shared" ca="1" si="23"/>
        <v>0</v>
      </c>
      <c r="AI25" s="55">
        <f t="shared" ca="1" si="17"/>
        <v>-0.94656510952310569</v>
      </c>
      <c r="AJ25" s="55">
        <f t="shared" ca="1" si="18"/>
        <v>6.6206871823624267</v>
      </c>
      <c r="AK25" s="55">
        <f t="shared" ca="1" si="19"/>
        <v>14.46699515821944</v>
      </c>
    </row>
    <row r="26" spans="1:37" s="55" customFormat="1" ht="15" thickBot="1">
      <c r="C26" s="56"/>
      <c r="D26" s="56"/>
      <c r="E26" s="56"/>
      <c r="F26" s="56"/>
      <c r="R26" s="83">
        <f ca="1"/>
        <v>45429</v>
      </c>
      <c r="S26" s="55">
        <f t="shared" ca="1" si="11"/>
        <v>45429</v>
      </c>
      <c r="T26" s="55">
        <f t="shared" ca="1" si="0"/>
        <v>49.710353800854769</v>
      </c>
      <c r="U26" s="55">
        <f t="shared" ca="1" si="1"/>
        <v>0</v>
      </c>
      <c r="V26" s="55">
        <f t="shared" ca="1" si="2"/>
        <v>0</v>
      </c>
      <c r="W26" s="55">
        <f t="shared" ca="1" si="12"/>
        <v>-6.4089426004187908</v>
      </c>
      <c r="X26" s="55">
        <f t="shared" ca="1" si="13"/>
        <v>7.8419323101693674</v>
      </c>
      <c r="Y26" s="55">
        <f t="shared" ca="1" si="14"/>
        <v>-0.84744645060221435</v>
      </c>
      <c r="Z26">
        <f t="shared" ca="1" si="3"/>
        <v>120</v>
      </c>
      <c r="AA26">
        <f t="shared" ca="1" si="15"/>
        <v>23.293961739130467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55.873241850320753</v>
      </c>
      <c r="AG26" s="55">
        <f t="shared" ca="1" si="22"/>
        <v>0</v>
      </c>
      <c r="AH26" s="55">
        <f t="shared" ca="1" si="23"/>
        <v>0</v>
      </c>
      <c r="AI26" s="55">
        <f t="shared" ca="1" si="17"/>
        <v>-0.94656510952310569</v>
      </c>
      <c r="AJ26" s="55">
        <f t="shared" ca="1" si="18"/>
        <v>7.4170791035177093</v>
      </c>
      <c r="AK26" s="55">
        <f t="shared" ca="1" si="19"/>
        <v>18.477839370942718</v>
      </c>
    </row>
    <row r="27" spans="1:37" s="55" customFormat="1" ht="15" thickBot="1">
      <c r="C27" s="123" t="s">
        <v>137</v>
      </c>
      <c r="D27" s="124"/>
      <c r="E27" s="60"/>
      <c r="F27" s="125" t="s">
        <v>144</v>
      </c>
      <c r="G27" s="126"/>
      <c r="R27" s="83">
        <f ca="1"/>
        <v>45430</v>
      </c>
      <c r="S27" s="55">
        <f t="shared" ca="1" si="11"/>
        <v>45430</v>
      </c>
      <c r="T27" s="55">
        <f t="shared" ca="1" si="0"/>
        <v>50.149228009709496</v>
      </c>
      <c r="U27" s="55">
        <f t="shared" ca="1" si="1"/>
        <v>0</v>
      </c>
      <c r="V27" s="55">
        <f t="shared" ca="1" si="2"/>
        <v>0</v>
      </c>
      <c r="W27" s="55">
        <f t="shared" ca="1" si="12"/>
        <v>-6.6989359623879796</v>
      </c>
      <c r="X27" s="55">
        <f t="shared" ca="1" si="13"/>
        <v>8.6434745384518212</v>
      </c>
      <c r="Y27" s="55">
        <f t="shared" ca="1" si="14"/>
        <v>-0.92012110806075842</v>
      </c>
      <c r="Z27">
        <f t="shared" ca="1" si="3"/>
        <v>120</v>
      </c>
      <c r="AA27">
        <f t="shared" ca="1" si="15"/>
        <v>24.343961739130464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61.129463745030748</v>
      </c>
      <c r="AG27" s="55">
        <f t="shared" ca="1" si="22"/>
        <v>0</v>
      </c>
      <c r="AH27" s="55">
        <f t="shared" ca="1" si="23"/>
        <v>0</v>
      </c>
      <c r="AI27" s="55">
        <f t="shared" ca="1" si="17"/>
        <v>-0.94656510952310569</v>
      </c>
      <c r="AJ27" s="55">
        <f t="shared" ca="1" si="18"/>
        <v>8.2292437599325297</v>
      </c>
      <c r="AK27" s="55">
        <f t="shared" ca="1" si="19"/>
        <v>22.921896609237891</v>
      </c>
    </row>
    <row r="28" spans="1:37" s="55" customFormat="1" ht="1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45431</v>
      </c>
      <c r="S28" s="55">
        <f t="shared" ca="1" si="11"/>
        <v>45431</v>
      </c>
      <c r="T28" s="55">
        <f t="shared" ca="1" si="0"/>
        <v>50.873063548508654</v>
      </c>
      <c r="U28" s="55">
        <f t="shared" ca="1" si="1"/>
        <v>0</v>
      </c>
      <c r="V28" s="55">
        <f t="shared" ca="1" si="2"/>
        <v>0</v>
      </c>
      <c r="W28" s="55">
        <f t="shared" ca="1" si="12"/>
        <v>-6.6989359623879796</v>
      </c>
      <c r="X28" s="55">
        <f t="shared" ca="1" si="13"/>
        <v>9.4347368868534147</v>
      </c>
      <c r="Y28" s="55">
        <f t="shared" ca="1" si="14"/>
        <v>-0.98754791766319383</v>
      </c>
      <c r="Z28">
        <f t="shared" ca="1" si="3"/>
        <v>118.34782608695652</v>
      </c>
      <c r="AA28">
        <f t="shared" ca="1" si="15"/>
        <v>24.343961739130464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66.600098194401994</v>
      </c>
      <c r="AG28" s="55">
        <f t="shared" ca="1" si="22"/>
        <v>0</v>
      </c>
      <c r="AH28" s="55">
        <f t="shared" ca="1" si="23"/>
        <v>0</v>
      </c>
      <c r="AI28" s="55">
        <f t="shared" ca="1" si="17"/>
        <v>-0.94656510952310569</v>
      </c>
      <c r="AJ28" s="55">
        <f t="shared" ca="1" si="18"/>
        <v>9.0285761736498724</v>
      </c>
      <c r="AK28" s="55">
        <f t="shared" ca="1" si="19"/>
        <v>27.593198644891796</v>
      </c>
    </row>
    <row r="29" spans="1:37" s="55" customFormat="1">
      <c r="A29" s="83">
        <f t="array" aca="1" ref="A29:A43" ca="1">_xlfn._xlws.FILTER('Model Interface'!X11:X500,'Model Interface'!Y11:Y500&gt;0,"")</f>
        <v>45444</v>
      </c>
      <c r="B29" s="55">
        <f t="shared" ref="B29:B43" ca="1" si="24">IF(AND(NOT(F29=""),F29&gt;=StartSchedullingDate),1,0)</f>
        <v>0</v>
      </c>
      <c r="C29" s="78">
        <v>45444</v>
      </c>
      <c r="D29" s="80">
        <v>100</v>
      </c>
      <c r="F29" s="74">
        <f ca="1">A29</f>
        <v>45444</v>
      </c>
      <c r="G29" s="76">
        <f ca="1">IFERROR(VLOOKUP(F29,'Model Interface'!$J$11:$O$500,6,FALSE),"")</f>
        <v>100</v>
      </c>
      <c r="H29" s="55" t="str">
        <f ca="1">IF(B29=1,"Suggested","Applied or Planned")</f>
        <v>Applied or Planned</v>
      </c>
      <c r="R29" s="83">
        <f ca="1"/>
        <v>45432</v>
      </c>
      <c r="S29" s="55">
        <f t="shared" ca="1" si="11"/>
        <v>45432</v>
      </c>
      <c r="T29" s="55">
        <f t="shared" ca="1" si="0"/>
        <v>51.589603424607759</v>
      </c>
      <c r="U29" s="55">
        <f t="shared" ca="1" si="1"/>
        <v>0</v>
      </c>
      <c r="V29" s="55">
        <f t="shared" ca="1" si="2"/>
        <v>0</v>
      </c>
      <c r="W29" s="55">
        <f t="shared" ca="1" si="12"/>
        <v>-6.7002412519549868</v>
      </c>
      <c r="X29" s="55">
        <f t="shared" ca="1" si="13"/>
        <v>10.215077027128354</v>
      </c>
      <c r="Y29" s="55">
        <f t="shared" ca="1" si="14"/>
        <v>-1.0500428922720191</v>
      </c>
      <c r="Z29">
        <f t="shared" ca="1" si="3"/>
        <v>120</v>
      </c>
      <c r="AA29">
        <f t="shared" ca="1" si="15"/>
        <v>24.348555942029009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72.198137768277519</v>
      </c>
      <c r="AG29" s="55">
        <f t="shared" ca="1" si="22"/>
        <v>0</v>
      </c>
      <c r="AH29" s="55">
        <f t="shared" ca="1" si="23"/>
        <v>0</v>
      </c>
      <c r="AI29" s="55">
        <f t="shared" ca="1" si="17"/>
        <v>-0.94656510952310569</v>
      </c>
      <c r="AJ29" s="55">
        <f t="shared" ca="1" si="18"/>
        <v>9.8031299674585188</v>
      </c>
      <c r="AK29" s="55">
        <f t="shared" ca="1" si="19"/>
        <v>32.416684424958675</v>
      </c>
    </row>
    <row r="30" spans="1:37" s="55" customFormat="1">
      <c r="A30" s="83">
        <f ca="1"/>
        <v>45469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45469</v>
      </c>
      <c r="G30" s="76">
        <f ca="1">IFERROR(VLOOKUP(F30,'Model Interface'!$J$11:$O$500,6,FALSE),"")</f>
        <v>574.66256555524456</v>
      </c>
      <c r="H30" s="55" t="str">
        <f t="shared" ref="H30:H43" ca="1" si="26">IF(F30="","",IF(F30&lt;=StartSchedullingDate,"Applied or Planned","Suggested"))</f>
        <v>Suggested</v>
      </c>
      <c r="R30" s="83">
        <f ca="1"/>
        <v>45433</v>
      </c>
      <c r="S30" s="55">
        <f t="shared" ca="1" si="11"/>
        <v>45433</v>
      </c>
      <c r="T30" s="55">
        <f t="shared" ca="1" si="0"/>
        <v>51.698607191370812</v>
      </c>
      <c r="U30" s="55">
        <f t="shared" ca="1" si="1"/>
        <v>0</v>
      </c>
      <c r="V30" s="55">
        <f t="shared" ca="1" si="2"/>
        <v>0</v>
      </c>
      <c r="W30" s="55">
        <f t="shared" ca="1" si="12"/>
        <v>-7.2184261321513956</v>
      </c>
      <c r="X30" s="55">
        <f t="shared" ca="1" si="13"/>
        <v>10.895365649379281</v>
      </c>
      <c r="Y30" s="55">
        <f t="shared" ca="1" si="14"/>
        <v>-1.1031428675634873</v>
      </c>
      <c r="Z30">
        <f t="shared" ca="1" si="3"/>
        <v>120</v>
      </c>
      <c r="AA30">
        <f t="shared" ca="1" si="15"/>
        <v>26.168555942029016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77.935196583896584</v>
      </c>
      <c r="AG30" s="55">
        <f t="shared" ca="1" si="22"/>
        <v>0</v>
      </c>
      <c r="AH30" s="55">
        <f t="shared" ca="1" si="23"/>
        <v>0</v>
      </c>
      <c r="AI30" s="55">
        <f t="shared" ca="1" si="17"/>
        <v>-0.94656510952310569</v>
      </c>
      <c r="AJ30" s="55">
        <f t="shared" ca="1" si="18"/>
        <v>10.562622874782024</v>
      </c>
      <c r="AK30" s="55">
        <f t="shared" ca="1" si="19"/>
        <v>37.394250333254227</v>
      </c>
    </row>
    <row r="31" spans="1:37" s="55" customFormat="1">
      <c r="A31" s="83">
        <f ca="1"/>
        <v>45514</v>
      </c>
      <c r="B31" s="55">
        <f t="shared" ca="1" si="24"/>
        <v>1</v>
      </c>
      <c r="C31" s="78"/>
      <c r="D31" s="81"/>
      <c r="F31" s="74">
        <f t="shared" ca="1" si="25"/>
        <v>45514</v>
      </c>
      <c r="G31" s="76">
        <f ca="1">IFERROR(VLOOKUP(F31,'Model Interface'!$J$11:$O$500,6,FALSE),"")</f>
        <v>628.13884500717541</v>
      </c>
      <c r="H31" s="55" t="str">
        <f t="shared" ca="1" si="26"/>
        <v>Suggested</v>
      </c>
      <c r="R31" s="83">
        <f ca="1"/>
        <v>45434</v>
      </c>
      <c r="S31" s="55">
        <f t="shared" ca="1" si="11"/>
        <v>45434</v>
      </c>
      <c r="T31" s="55">
        <f t="shared" ca="1" si="0"/>
        <v>51.837408930380015</v>
      </c>
      <c r="U31" s="55">
        <f t="shared" ca="1" si="1"/>
        <v>0</v>
      </c>
      <c r="V31" s="55">
        <f t="shared" ca="1" si="2"/>
        <v>0</v>
      </c>
      <c r="W31" s="55">
        <f t="shared" ca="1" si="12"/>
        <v>-7.7465666898043963</v>
      </c>
      <c r="X31" s="55">
        <f t="shared" ca="1" si="13"/>
        <v>11.614223066957951</v>
      </c>
      <c r="Y31" s="55">
        <f t="shared" ca="1" si="14"/>
        <v>-1.1550579884799519</v>
      </c>
      <c r="Z31">
        <f t="shared" ca="1" si="3"/>
        <v>120</v>
      </c>
      <c r="AA31">
        <f t="shared" ca="1" si="15"/>
        <v>28.01855594202901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84.154665159724402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-1.18233216487554</v>
      </c>
      <c r="AJ31" s="55">
        <f t="shared" ca="1" si="18"/>
        <v>11.406877405490544</v>
      </c>
      <c r="AK31" s="55">
        <f t="shared" ca="1" si="19"/>
        <v>43.00523143372596</v>
      </c>
    </row>
    <row r="32" spans="1:37" s="55" customFormat="1">
      <c r="A32" s="83">
        <f ca="1"/>
        <v>45532</v>
      </c>
      <c r="B32" s="55">
        <f t="shared" ca="1" si="24"/>
        <v>1</v>
      </c>
      <c r="C32" s="78"/>
      <c r="D32" s="81"/>
      <c r="F32" s="74">
        <f t="shared" ca="1" si="25"/>
        <v>45532</v>
      </c>
      <c r="G32" s="76">
        <f ca="1">IFERROR(VLOOKUP(F32,'Model Interface'!$J$11:$O$500,6,FALSE),"")</f>
        <v>705.61004606509744</v>
      </c>
      <c r="H32" s="55" t="str">
        <f t="shared" ca="1" si="26"/>
        <v>Suggested</v>
      </c>
      <c r="R32" s="83">
        <f ca="1"/>
        <v>45435</v>
      </c>
      <c r="S32" s="55">
        <f t="shared" ca="1" si="11"/>
        <v>45435</v>
      </c>
      <c r="T32" s="55">
        <f t="shared" ca="1" si="0"/>
        <v>51.209219213039717</v>
      </c>
      <c r="U32" s="55">
        <f t="shared" ca="1" si="1"/>
        <v>0</v>
      </c>
      <c r="V32" s="55">
        <f t="shared" ca="1" si="2"/>
        <v>0</v>
      </c>
      <c r="W32" s="55">
        <f t="shared" ca="1" si="12"/>
        <v>-9.0607882170862943</v>
      </c>
      <c r="X32" s="55">
        <f t="shared" ca="1" si="13"/>
        <v>12.349724427745269</v>
      </c>
      <c r="Y32" s="55">
        <f t="shared" ca="1" si="14"/>
        <v>-1.2045275393256722</v>
      </c>
      <c r="Z32">
        <f t="shared" ca="1" si="3"/>
        <v>120</v>
      </c>
      <c r="AA32">
        <f t="shared" ca="1" si="15"/>
        <v>32.678555942029021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90.85799954368008</v>
      </c>
      <c r="AG32" s="55">
        <f t="shared" ca="1" si="22"/>
        <v>2.4578038165533278</v>
      </c>
      <c r="AH32" s="55">
        <f t="shared" ca="1" si="23"/>
        <v>0</v>
      </c>
      <c r="AI32" s="55">
        <f t="shared" ca="1" si="17"/>
        <v>-1.18233216487554</v>
      </c>
      <c r="AJ32" s="55">
        <f t="shared" ca="1" si="18"/>
        <v>12.258767912341611</v>
      </c>
      <c r="AK32" s="55">
        <f t="shared" ca="1" si="19"/>
        <v>48.856675310830575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Interface'!$J$11:$O$500,6,FALSE),"")</f>
        <v/>
      </c>
      <c r="H33" s="55" t="str">
        <f t="shared" ca="1" si="26"/>
        <v/>
      </c>
      <c r="R33" s="83">
        <f ca="1"/>
        <v>45436</v>
      </c>
      <c r="S33" s="55">
        <f t="shared" ca="1" si="11"/>
        <v>45436</v>
      </c>
      <c r="T33" s="55">
        <f t="shared" ca="1" si="0"/>
        <v>51.268983337905652</v>
      </c>
      <c r="U33" s="55">
        <f t="shared" ca="1" si="1"/>
        <v>15.911284655702508</v>
      </c>
      <c r="V33" s="55">
        <f t="shared" ca="1" si="2"/>
        <v>0</v>
      </c>
      <c r="W33" s="55">
        <f t="shared" ca="1" si="12"/>
        <v>-9.6763132286387759</v>
      </c>
      <c r="X33" s="55">
        <f t="shared" ca="1" si="13"/>
        <v>13.070649191120197</v>
      </c>
      <c r="Y33" s="55">
        <f t="shared" ca="1" si="14"/>
        <v>-1.2501631662821833</v>
      </c>
      <c r="Z33">
        <f t="shared" ca="1" si="3"/>
        <v>120</v>
      </c>
      <c r="AA33">
        <f t="shared" ca="1" si="15"/>
        <v>34.858555942029028</v>
      </c>
      <c r="AB33">
        <f t="shared" ca="1" si="4"/>
        <v>0</v>
      </c>
      <c r="AC33">
        <f t="shared" ca="1" si="5"/>
        <v>6.6928509242848554E-3</v>
      </c>
      <c r="AD33" s="83">
        <f ca="1"/>
        <v>45577</v>
      </c>
      <c r="AE33" s="55">
        <f t="shared" ca="1" si="20"/>
        <v>45577</v>
      </c>
      <c r="AF33" s="55">
        <f t="shared" ca="1" si="21"/>
        <v>97.425777852750954</v>
      </c>
      <c r="AG33" s="55">
        <f t="shared" ca="1" si="22"/>
        <v>2.5501643063093633</v>
      </c>
      <c r="AH33" s="55">
        <f t="shared" ca="1" si="23"/>
        <v>0</v>
      </c>
      <c r="AI33" s="55">
        <f t="shared" ca="1" si="17"/>
        <v>-1.18233216487554</v>
      </c>
      <c r="AJ33" s="55">
        <f t="shared" ca="1" si="18"/>
        <v>13.077378791038271</v>
      </c>
      <c r="AK33" s="55">
        <f t="shared" ca="1" si="19"/>
        <v>54.698203230960821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45437</v>
      </c>
      <c r="S34" s="55">
        <f t="shared" ca="1" si="11"/>
        <v>45437</v>
      </c>
      <c r="T34" s="55">
        <f t="shared" ca="1" si="0"/>
        <v>50.549321872020052</v>
      </c>
      <c r="U34" s="55">
        <f t="shared" ca="1" si="1"/>
        <v>15.911284655702508</v>
      </c>
      <c r="V34" s="55">
        <f t="shared" ca="1" si="2"/>
        <v>0</v>
      </c>
      <c r="W34" s="55">
        <f t="shared" ca="1" si="12"/>
        <v>-11.1016575856562</v>
      </c>
      <c r="X34" s="55">
        <f t="shared" ca="1" si="13"/>
        <v>13.820204514939332</v>
      </c>
      <c r="Y34" s="55">
        <f t="shared" ca="1" si="14"/>
        <v>-1.294035598969498</v>
      </c>
      <c r="Z34">
        <f t="shared" ca="1" si="3"/>
        <v>120</v>
      </c>
      <c r="AA34">
        <f t="shared" ca="1" si="15"/>
        <v>39.978555942029033</v>
      </c>
      <c r="AB34">
        <f t="shared" ca="1" si="4"/>
        <v>0</v>
      </c>
      <c r="AC34">
        <f t="shared" ca="1" si="5"/>
        <v>6.6928509242848554E-3</v>
      </c>
      <c r="AD34" s="83">
        <f ca="1"/>
        <v>45578</v>
      </c>
      <c r="AE34" s="55">
        <f t="shared" ca="1" si="20"/>
        <v>45578</v>
      </c>
      <c r="AF34" s="55">
        <f t="shared" ca="1" si="21"/>
        <v>103.64853359863206</v>
      </c>
      <c r="AG34" s="55">
        <f t="shared" ca="1" si="22"/>
        <v>2.6546044416306764</v>
      </c>
      <c r="AH34" s="55">
        <f t="shared" ca="1" si="23"/>
        <v>0</v>
      </c>
      <c r="AI34" s="55">
        <f t="shared" ca="1" si="17"/>
        <v>-1.9716630078589379</v>
      </c>
      <c r="AJ34" s="55">
        <f t="shared" ca="1" si="18"/>
        <v>13.943895302349809</v>
      </c>
      <c r="AK34" s="55">
        <f t="shared" ca="1" si="19"/>
        <v>60.948213443835101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45438</v>
      </c>
      <c r="S35" s="55">
        <f t="shared" ca="1" si="11"/>
        <v>45438</v>
      </c>
      <c r="T35" s="55">
        <f t="shared" ca="1" si="0"/>
        <v>50.739439418036142</v>
      </c>
      <c r="U35" s="55">
        <f t="shared" ca="1" si="1"/>
        <v>15.911284655702508</v>
      </c>
      <c r="V35" s="55">
        <f t="shared" ca="1" si="2"/>
        <v>0</v>
      </c>
      <c r="W35" s="55">
        <f t="shared" ca="1" si="12"/>
        <v>-11.579490741219095</v>
      </c>
      <c r="X35" s="55">
        <f t="shared" ca="1" si="13"/>
        <v>14.527417780387841</v>
      </c>
      <c r="Y35" s="55">
        <f t="shared" ca="1" si="14"/>
        <v>-1.3332981628390166</v>
      </c>
      <c r="Z35">
        <f t="shared" ca="1" si="3"/>
        <v>120</v>
      </c>
      <c r="AA35">
        <f t="shared" ca="1" si="15"/>
        <v>41.688555942029026</v>
      </c>
      <c r="AB35">
        <f t="shared" ca="1" si="4"/>
        <v>0</v>
      </c>
      <c r="AC35">
        <f t="shared" ca="1" si="5"/>
        <v>6.6928509242848554E-3</v>
      </c>
      <c r="AD35" s="83">
        <f ca="1"/>
        <v>45579</v>
      </c>
      <c r="AE35" s="55">
        <f t="shared" ca="1" si="20"/>
        <v>45579</v>
      </c>
      <c r="AF35" s="55">
        <f t="shared" ca="1" si="21"/>
        <v>109.63056259505785</v>
      </c>
      <c r="AG35" s="55">
        <f t="shared" ca="1" si="22"/>
        <v>2.7621454652680737</v>
      </c>
      <c r="AH35" s="55">
        <f t="shared" ca="1" si="23"/>
        <v>0</v>
      </c>
      <c r="AI35" s="55">
        <f t="shared" ca="1" si="17"/>
        <v>-3.0825860421555173</v>
      </c>
      <c r="AJ35" s="55">
        <f t="shared" ca="1" si="18"/>
        <v>14.804234691634775</v>
      </c>
      <c r="AK35" s="55">
        <f t="shared" ca="1" si="19"/>
        <v>67.28836710890991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23" t="s">
        <v>138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45439</v>
      </c>
      <c r="S36" s="55">
        <f t="shared" ca="1" si="11"/>
        <v>45439</v>
      </c>
      <c r="T36" s="55">
        <f t="shared" ca="1" si="0"/>
        <v>50.894999172633433</v>
      </c>
      <c r="U36" s="55">
        <f t="shared" ca="1" si="1"/>
        <v>15.911284655702508</v>
      </c>
      <c r="V36" s="55">
        <f t="shared" ca="1" si="2"/>
        <v>0</v>
      </c>
      <c r="W36" s="55">
        <f t="shared" ca="1" si="12"/>
        <v>-12.075606341849721</v>
      </c>
      <c r="X36" s="55">
        <f t="shared" ca="1" si="13"/>
        <v>15.215044609963639</v>
      </c>
      <c r="Y36" s="55">
        <f t="shared" ca="1" si="14"/>
        <v>-1.369249637186899</v>
      </c>
      <c r="Z36">
        <f t="shared" ca="1" si="3"/>
        <v>120</v>
      </c>
      <c r="AA36">
        <f t="shared" ca="1" si="15"/>
        <v>43.458555942029022</v>
      </c>
      <c r="AB36">
        <f t="shared" ca="1" si="4"/>
        <v>0</v>
      </c>
      <c r="AC36">
        <f t="shared" ca="1" si="5"/>
        <v>6.6928509242848554E-3</v>
      </c>
      <c r="AD36" s="83">
        <f ca="1"/>
        <v>45580</v>
      </c>
      <c r="AE36" s="55">
        <f t="shared" ca="1" si="20"/>
        <v>45580</v>
      </c>
      <c r="AF36" s="55">
        <f t="shared" ca="1" si="21"/>
        <v>116.62840400834689</v>
      </c>
      <c r="AG36" s="55">
        <f t="shared" ca="1" si="22"/>
        <v>2.8683683455947651</v>
      </c>
      <c r="AH36" s="55">
        <f t="shared" ca="1" si="23"/>
        <v>0</v>
      </c>
      <c r="AI36" s="55">
        <f t="shared" ca="1" si="17"/>
        <v>-3.0825860421555173</v>
      </c>
      <c r="AJ36" s="55">
        <f t="shared" ca="1" si="18"/>
        <v>15.635605899804293</v>
      </c>
      <c r="AK36" s="55">
        <f t="shared" ca="1" si="19"/>
        <v>73.561060194356131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45440</v>
      </c>
      <c r="S37" s="55">
        <f t="shared" ca="1" si="11"/>
        <v>45440</v>
      </c>
      <c r="T37" s="55">
        <f t="shared" ca="1" si="0"/>
        <v>50.982392197667934</v>
      </c>
      <c r="U37" s="55">
        <f t="shared" ca="1" si="1"/>
        <v>15.911284655702508</v>
      </c>
      <c r="V37" s="55">
        <f t="shared" ca="1" si="2"/>
        <v>0</v>
      </c>
      <c r="W37" s="55">
        <f t="shared" ca="1" si="12"/>
        <v>-12.67645969453296</v>
      </c>
      <c r="X37" s="55">
        <f t="shared" ca="1" si="13"/>
        <v>15.93804047210061</v>
      </c>
      <c r="Y37" s="55">
        <f t="shared" ca="1" si="14"/>
        <v>-1.4039991216061274</v>
      </c>
      <c r="Z37">
        <f t="shared" ca="1" si="3"/>
        <v>120</v>
      </c>
      <c r="AA37">
        <f t="shared" ca="1" si="15"/>
        <v>45.598555942029023</v>
      </c>
      <c r="AB37">
        <f t="shared" ca="1" si="4"/>
        <v>0</v>
      </c>
      <c r="AC37">
        <f t="shared" ca="1" si="5"/>
        <v>6.6928509242848554E-3</v>
      </c>
      <c r="AD37" s="83">
        <f ca="1"/>
        <v>45581</v>
      </c>
      <c r="AE37" s="55">
        <f t="shared" ca="1" si="20"/>
        <v>45581</v>
      </c>
      <c r="AF37" s="55">
        <f t="shared" ca="1" si="21"/>
        <v>124.05338838430485</v>
      </c>
      <c r="AG37" s="55">
        <f t="shared" ca="1" si="22"/>
        <v>2.9892794934072318</v>
      </c>
      <c r="AH37" s="55">
        <f t="shared" ca="1" si="23"/>
        <v>0</v>
      </c>
      <c r="AI37" s="55">
        <f t="shared" ca="1" si="17"/>
        <v>-3.0825860421555173</v>
      </c>
      <c r="AJ37" s="55">
        <f t="shared" ca="1" si="18"/>
        <v>16.520034225648367</v>
      </c>
      <c r="AK37" s="55">
        <f t="shared" ca="1" si="19"/>
        <v>80.222527392282487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45458</v>
      </c>
      <c r="D38" s="81">
        <v>50</v>
      </c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45441</v>
      </c>
      <c r="S38" s="55">
        <f t="shared" ca="1" si="11"/>
        <v>45441</v>
      </c>
      <c r="T38" s="55">
        <f t="shared" ca="1" si="0"/>
        <v>51.356143863947651</v>
      </c>
      <c r="U38" s="55">
        <f t="shared" ca="1" si="1"/>
        <v>15.911284655702508</v>
      </c>
      <c r="V38" s="55">
        <f t="shared" ca="1" si="2"/>
        <v>0</v>
      </c>
      <c r="W38" s="55">
        <f t="shared" ca="1" si="12"/>
        <v>-12.919694300543657</v>
      </c>
      <c r="X38" s="55">
        <f t="shared" ca="1" si="13"/>
        <v>16.584958154583457</v>
      </c>
      <c r="Y38" s="55">
        <f t="shared" ca="1" si="14"/>
        <v>-1.433930531798558</v>
      </c>
      <c r="Z38">
        <f t="shared" ca="1" si="3"/>
        <v>120</v>
      </c>
      <c r="AA38">
        <f t="shared" ca="1" si="15"/>
        <v>46.458555942029022</v>
      </c>
      <c r="AB38">
        <f t="shared" ca="1" si="4"/>
        <v>0</v>
      </c>
      <c r="AC38">
        <f t="shared" ca="1" si="5"/>
        <v>6.6928509242848554E-3</v>
      </c>
      <c r="AD38" s="83">
        <f ca="1"/>
        <v>45582</v>
      </c>
      <c r="AE38" s="55">
        <f t="shared" ca="1" si="20"/>
        <v>45582</v>
      </c>
      <c r="AF38" s="55">
        <f t="shared" ca="1" si="21"/>
        <v>131.40475086933452</v>
      </c>
      <c r="AG38" s="55">
        <f t="shared" ca="1" si="22"/>
        <v>3.1112222576267219</v>
      </c>
      <c r="AH38" s="55">
        <f t="shared" ca="1" si="23"/>
        <v>0</v>
      </c>
      <c r="AI38" s="55">
        <f t="shared" ca="1" si="17"/>
        <v>-3.0825860421555173</v>
      </c>
      <c r="AJ38" s="55">
        <f t="shared" ca="1" si="18"/>
        <v>17.385003890634124</v>
      </c>
      <c r="AK38" s="55">
        <f t="shared" ca="1" si="19"/>
        <v>86.830862976545887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45442</v>
      </c>
      <c r="S39" s="55">
        <f t="shared" ca="1" si="11"/>
        <v>45442</v>
      </c>
      <c r="T39" s="55">
        <f t="shared" ca="1" si="0"/>
        <v>50.968382424291484</v>
      </c>
      <c r="U39" s="55">
        <f t="shared" ca="1" si="1"/>
        <v>15.911284655702508</v>
      </c>
      <c r="V39" s="55">
        <f t="shared" ca="1" si="2"/>
        <v>0</v>
      </c>
      <c r="W39" s="55">
        <f t="shared" ca="1" si="12"/>
        <v>-13.930197882520917</v>
      </c>
      <c r="X39" s="55">
        <f t="shared" ca="1" si="13"/>
        <v>17.235746360284264</v>
      </c>
      <c r="Y39" s="55">
        <f t="shared" ca="1" si="14"/>
        <v>-1.4619765951782677</v>
      </c>
      <c r="Z39">
        <f t="shared" ca="1" si="3"/>
        <v>120</v>
      </c>
      <c r="AA39">
        <f t="shared" ca="1" si="15"/>
        <v>50.058555942029031</v>
      </c>
      <c r="AB39">
        <f t="shared" ca="1" si="4"/>
        <v>0</v>
      </c>
      <c r="AC39">
        <f t="shared" ca="1" si="5"/>
        <v>6.6928509242848554E-3</v>
      </c>
      <c r="AD39" s="83">
        <f ca="1"/>
        <v>45583</v>
      </c>
      <c r="AE39" s="55">
        <f t="shared" ca="1" si="20"/>
        <v>45583</v>
      </c>
      <c r="AF39" s="55">
        <f t="shared" ca="1" si="21"/>
        <v>138.49149262058552</v>
      </c>
      <c r="AG39" s="55">
        <f t="shared" ca="1" si="22"/>
        <v>3.2282445215881013</v>
      </c>
      <c r="AH39" s="55">
        <f t="shared" ca="1" si="23"/>
        <v>0</v>
      </c>
      <c r="AI39" s="55">
        <f t="shared" ca="1" si="17"/>
        <v>-3.0825860421555173</v>
      </c>
      <c r="AJ39" s="55">
        <f t="shared" ca="1" si="18"/>
        <v>18.205109608863729</v>
      </c>
      <c r="AK39" s="55">
        <f t="shared" ca="1" si="19"/>
        <v>93.214521273528675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45443</v>
      </c>
      <c r="S40" s="55">
        <f t="shared" ca="1" si="11"/>
        <v>45443</v>
      </c>
      <c r="T40" s="55">
        <f t="shared" ca="1" si="0"/>
        <v>50.594788946068313</v>
      </c>
      <c r="U40" s="55">
        <f t="shared" ca="1" si="1"/>
        <v>16.55672183437639</v>
      </c>
      <c r="V40" s="55">
        <f t="shared" ca="1" si="2"/>
        <v>0</v>
      </c>
      <c r="W40" s="55">
        <f t="shared" ca="1" si="12"/>
        <v>-14.300786380105595</v>
      </c>
      <c r="X40" s="55">
        <f t="shared" ca="1" si="13"/>
        <v>17.90479240110059</v>
      </c>
      <c r="Y40" s="55">
        <f t="shared" ca="1" si="14"/>
        <v>-1.488590437959209</v>
      </c>
      <c r="Z40">
        <f t="shared" ca="1" si="3"/>
        <v>120</v>
      </c>
      <c r="AA40">
        <f t="shared" ca="1" si="15"/>
        <v>51.388555942029029</v>
      </c>
      <c r="AB40">
        <f t="shared" ca="1" si="4"/>
        <v>0</v>
      </c>
      <c r="AC40">
        <f t="shared" ca="1" si="5"/>
        <v>7.4660259159340138E-3</v>
      </c>
      <c r="AD40" s="83">
        <f ca="1"/>
        <v>45584</v>
      </c>
      <c r="AE40" s="55">
        <f t="shared" ca="1" si="20"/>
        <v>45584</v>
      </c>
      <c r="AF40" s="55">
        <f t="shared" ca="1" si="21"/>
        <v>145.84965430627653</v>
      </c>
      <c r="AG40" s="55">
        <f t="shared" ca="1" si="22"/>
        <v>3.3586282842750679</v>
      </c>
      <c r="AH40" s="55">
        <f t="shared" ca="1" si="23"/>
        <v>0</v>
      </c>
      <c r="AI40" s="55">
        <f t="shared" ca="1" si="17"/>
        <v>-3.0825860421555173</v>
      </c>
      <c r="AJ40" s="55">
        <f t="shared" ca="1" si="18"/>
        <v>19.050247922790899</v>
      </c>
      <c r="AK40" s="55">
        <f t="shared" ca="1" si="19"/>
        <v>99.857928407979458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45444</v>
      </c>
      <c r="S41" s="55">
        <f t="shared" ca="1" si="11"/>
        <v>45444</v>
      </c>
      <c r="T41" s="55">
        <f t="shared" ca="1" si="0"/>
        <v>148.96248281931346</v>
      </c>
      <c r="U41" s="55">
        <f t="shared" ca="1" si="1"/>
        <v>17.402354713374585</v>
      </c>
      <c r="V41" s="55">
        <f t="shared" ca="1" si="2"/>
        <v>100</v>
      </c>
      <c r="W41" s="55">
        <f t="shared" ca="1" si="12"/>
        <v>-15.731803180540727</v>
      </c>
      <c r="X41" s="55">
        <f t="shared" ca="1" si="13"/>
        <v>18.573838441916916</v>
      </c>
      <c r="Y41" s="55">
        <f t="shared" ca="1" si="14"/>
        <v>-1.5132929260970398</v>
      </c>
      <c r="Z41">
        <f t="shared" ca="1" si="3"/>
        <v>120</v>
      </c>
      <c r="AA41">
        <f t="shared" ca="1" si="15"/>
        <v>53.138555942029029</v>
      </c>
      <c r="AB41">
        <f t="shared" ca="1" si="4"/>
        <v>0</v>
      </c>
      <c r="AC41">
        <f t="shared" ca="1" si="5"/>
        <v>8.561118550482423E-3</v>
      </c>
      <c r="AD41" s="83">
        <f ca="1"/>
        <v>45585</v>
      </c>
      <c r="AE41" s="55">
        <f t="shared" ca="1" si="20"/>
        <v>45585</v>
      </c>
      <c r="AF41" s="55">
        <f t="shared" ca="1" si="21"/>
        <v>153.09616716658672</v>
      </c>
      <c r="AG41" s="55">
        <f t="shared" ca="1" si="22"/>
        <v>3.4909819871277081</v>
      </c>
      <c r="AH41" s="55">
        <f t="shared" ca="1" si="23"/>
        <v>0</v>
      </c>
      <c r="AI41" s="55">
        <f t="shared" ca="1" si="17"/>
        <v>-3.0825860421555173</v>
      </c>
      <c r="AJ41" s="55">
        <f t="shared" ca="1" si="18"/>
        <v>19.857216869089669</v>
      </c>
      <c r="AK41" s="55">
        <f t="shared" ca="1" si="19"/>
        <v>106.42982602484352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45445</v>
      </c>
      <c r="S42" s="55">
        <f t="shared" ca="1" si="11"/>
        <v>45445</v>
      </c>
      <c r="T42" s="55">
        <f t="shared" ca="1" si="0"/>
        <v>148.06237366333363</v>
      </c>
      <c r="U42" s="55">
        <f t="shared" ca="1" si="1"/>
        <v>18.281739617561158</v>
      </c>
      <c r="V42" s="55">
        <f t="shared" ca="1" si="2"/>
        <v>0</v>
      </c>
      <c r="W42" s="55">
        <f t="shared" ca="1" si="12"/>
        <v>-16.392290116969338</v>
      </c>
      <c r="X42" s="55">
        <f t="shared" ca="1" si="13"/>
        <v>19.236326832440806</v>
      </c>
      <c r="Y42" s="55">
        <f t="shared" ca="1" si="14"/>
        <v>-1.5360186319855962</v>
      </c>
      <c r="Z42">
        <f t="shared" ca="1" si="3"/>
        <v>120</v>
      </c>
      <c r="AA42">
        <f t="shared" ca="1" si="15"/>
        <v>53.948555942029031</v>
      </c>
      <c r="AB42">
        <f t="shared" ca="1" si="4"/>
        <v>0</v>
      </c>
      <c r="AC42">
        <f t="shared" ca="1" si="5"/>
        <v>9.8018471140296284E-3</v>
      </c>
      <c r="AD42" s="83">
        <f ca="1"/>
        <v>45586</v>
      </c>
      <c r="AE42" s="55">
        <f t="shared" ca="1" si="20"/>
        <v>45586</v>
      </c>
      <c r="AF42" s="55">
        <f t="shared" ca="1" si="21"/>
        <v>160.58678180011975</v>
      </c>
      <c r="AG42" s="55">
        <f t="shared" ca="1" si="22"/>
        <v>3.636740268323797</v>
      </c>
      <c r="AH42" s="55">
        <f t="shared" ca="1" si="23"/>
        <v>0</v>
      </c>
      <c r="AI42" s="55">
        <f t="shared" ca="1" si="17"/>
        <v>-3.0825860421555173</v>
      </c>
      <c r="AJ42" s="55">
        <f t="shared" ca="1" si="18"/>
        <v>20.720974732437092</v>
      </c>
      <c r="AK42" s="55">
        <f t="shared" ca="1" si="19"/>
        <v>113.20244107622523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45446</v>
      </c>
      <c r="S43" s="55">
        <f t="shared" ca="1" si="11"/>
        <v>45446</v>
      </c>
      <c r="T43" s="55">
        <f t="shared" ca="1" si="0"/>
        <v>146.54664637747064</v>
      </c>
      <c r="U43" s="55">
        <f t="shared" ca="1" si="1"/>
        <v>19.30581699363858</v>
      </c>
      <c r="V43" s="55">
        <f t="shared" ca="1" si="2"/>
        <v>0</v>
      </c>
      <c r="W43" s="55">
        <f t="shared" ca="1" si="12"/>
        <v>-17.594822163040707</v>
      </c>
      <c r="X43" s="55">
        <f t="shared" ca="1" si="13"/>
        <v>19.969734541556953</v>
      </c>
      <c r="Y43" s="55">
        <f t="shared" ca="1" si="14"/>
        <v>-1.5585442048159481</v>
      </c>
      <c r="Z43">
        <f t="shared" ca="1" si="3"/>
        <v>120</v>
      </c>
      <c r="AA43">
        <f t="shared" ca="1" si="15"/>
        <v>55.438555942029041</v>
      </c>
      <c r="AB43">
        <f t="shared" ca="1" si="4"/>
        <v>0</v>
      </c>
      <c r="AC43">
        <f t="shared" ca="1" si="5"/>
        <v>1.1382223868066832E-2</v>
      </c>
      <c r="AD43" s="83">
        <f ca="1"/>
        <v>45587</v>
      </c>
      <c r="AE43" s="55">
        <f t="shared" ca="1" si="20"/>
        <v>45587</v>
      </c>
      <c r="AF43" s="55">
        <f t="shared" ca="1" si="21"/>
        <v>167.70066518409581</v>
      </c>
      <c r="AG43" s="55">
        <f t="shared" ca="1" si="22"/>
        <v>3.7748721940839585</v>
      </c>
      <c r="AH43" s="55">
        <f t="shared" ca="1" si="23"/>
        <v>0</v>
      </c>
      <c r="AI43" s="55">
        <f t="shared" ca="1" si="17"/>
        <v>-3.0825860421555173</v>
      </c>
      <c r="AJ43" s="55">
        <f t="shared" ca="1" si="18"/>
        <v>21.535805466523211</v>
      </c>
      <c r="AK43" s="55">
        <f t="shared" ca="1" si="19"/>
        <v>119.63962565187532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45458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45447</v>
      </c>
      <c r="S44" s="55">
        <f t="shared" ca="1" si="11"/>
        <v>45447</v>
      </c>
      <c r="T44" s="55">
        <f t="shared" ca="1" si="0"/>
        <v>143.58558242597056</v>
      </c>
      <c r="U44" s="55">
        <f t="shared" ca="1" si="1"/>
        <v>20.360414952470407</v>
      </c>
      <c r="V44" s="55">
        <f t="shared" ca="1" si="2"/>
        <v>0</v>
      </c>
      <c r="W44" s="55">
        <f t="shared" ca="1" si="12"/>
        <v>-20.196426440561691</v>
      </c>
      <c r="X44" s="55">
        <f t="shared" ca="1" si="13"/>
        <v>20.685154718138723</v>
      </c>
      <c r="Y44" s="55">
        <f t="shared" ca="1" si="14"/>
        <v>-1.5788260965449765</v>
      </c>
      <c r="Z44">
        <f t="shared" ca="1" si="3"/>
        <v>120</v>
      </c>
      <c r="AA44">
        <f t="shared" ca="1" si="15"/>
        <v>58.728555942029033</v>
      </c>
      <c r="AB44">
        <f t="shared" ca="1" si="4"/>
        <v>0</v>
      </c>
      <c r="AC44">
        <f t="shared" ca="1" si="5"/>
        <v>1.3167314161149796E-2</v>
      </c>
      <c r="AD44" s="83">
        <f ca="1"/>
        <v>45588</v>
      </c>
      <c r="AE44" s="55">
        <f t="shared" ca="1" si="20"/>
        <v>45588</v>
      </c>
      <c r="AF44" s="55">
        <f t="shared" ca="1" si="21"/>
        <v>174.77577662809659</v>
      </c>
      <c r="AG44" s="55">
        <f t="shared" ca="1" si="22"/>
        <v>3.9189995704117346</v>
      </c>
      <c r="AH44" s="55">
        <f t="shared" ca="1" si="23"/>
        <v>0</v>
      </c>
      <c r="AI44" s="55">
        <f t="shared" ca="1" si="17"/>
        <v>-3.0825860421555173</v>
      </c>
      <c r="AJ44" s="55">
        <f t="shared" ca="1" si="18"/>
        <v>22.325021179204079</v>
      </c>
      <c r="AK44" s="55">
        <f t="shared" ca="1" si="19"/>
        <v>126.06964875952303</v>
      </c>
    </row>
    <row r="45" spans="1:37" s="55" customFormat="1">
      <c r="R45" s="83">
        <f ca="1"/>
        <v>45448</v>
      </c>
      <c r="S45" s="55">
        <f t="shared" ca="1" si="11"/>
        <v>45448</v>
      </c>
      <c r="T45" s="55">
        <f t="shared" ca="1" si="0"/>
        <v>139.81113238800955</v>
      </c>
      <c r="U45" s="55">
        <f t="shared" ca="1" si="1"/>
        <v>21.458222883720332</v>
      </c>
      <c r="V45" s="55">
        <f t="shared" ca="1" si="2"/>
        <v>0</v>
      </c>
      <c r="W45" s="55">
        <f t="shared" ca="1" si="12"/>
        <v>-23.561214360033127</v>
      </c>
      <c r="X45" s="55">
        <f t="shared" ca="1" si="13"/>
        <v>21.391686778093995</v>
      </c>
      <c r="Y45" s="55">
        <f t="shared" ca="1" si="14"/>
        <v>-1.5972123437398917</v>
      </c>
      <c r="Z45">
        <f t="shared" ca="1" si="3"/>
        <v>120</v>
      </c>
      <c r="AA45">
        <f t="shared" ca="1" si="15"/>
        <v>63.098555942029037</v>
      </c>
      <c r="AB45">
        <f t="shared" ca="1" si="4"/>
        <v>0</v>
      </c>
      <c r="AC45">
        <f t="shared" ca="1" si="5"/>
        <v>1.5201176131025848E-2</v>
      </c>
      <c r="AD45" s="83">
        <f ca="1"/>
        <v>45589</v>
      </c>
      <c r="AE45" s="55">
        <f t="shared" ca="1" si="20"/>
        <v>45589</v>
      </c>
      <c r="AF45" s="55">
        <f t="shared" ca="1" si="21"/>
        <v>182.08575190555752</v>
      </c>
      <c r="AG45" s="55">
        <f t="shared" ca="1" si="22"/>
        <v>4.0809485058773767</v>
      </c>
      <c r="AH45" s="55">
        <f t="shared" ca="1" si="23"/>
        <v>0</v>
      </c>
      <c r="AI45" s="55">
        <f t="shared" ca="1" si="17"/>
        <v>-3.0825860421555173</v>
      </c>
      <c r="AJ45" s="55">
        <f t="shared" ca="1" si="18"/>
        <v>23.135459482393216</v>
      </c>
      <c r="AK45" s="55">
        <f t="shared" ca="1" si="19"/>
        <v>132.73113466926046</v>
      </c>
    </row>
    <row r="46" spans="1:37" s="55" customFormat="1" ht="15" thickBot="1">
      <c r="C46" s="120" t="s">
        <v>153</v>
      </c>
      <c r="D46" s="120"/>
      <c r="E46" s="120"/>
      <c r="F46" s="120"/>
      <c r="G46" s="120"/>
      <c r="H46" s="120"/>
      <c r="R46" s="83">
        <f ca="1"/>
        <v>45449</v>
      </c>
      <c r="S46" s="55">
        <f t="shared" ca="1" si="11"/>
        <v>45449</v>
      </c>
      <c r="T46" s="55">
        <f t="shared" ca="1" si="0"/>
        <v>138.24506974584401</v>
      </c>
      <c r="U46" s="55">
        <f t="shared" ca="1" si="1"/>
        <v>22.603419860336</v>
      </c>
      <c r="V46" s="55">
        <f t="shared" ca="1" si="2"/>
        <v>0</v>
      </c>
      <c r="W46" s="55">
        <f t="shared" ca="1" si="12"/>
        <v>-24.665171366264435</v>
      </c>
      <c r="X46" s="55">
        <f t="shared" ca="1" si="13"/>
        <v>22.091429634101189</v>
      </c>
      <c r="Y46" s="55">
        <f t="shared" ca="1" si="14"/>
        <v>-1.6138638590656538</v>
      </c>
      <c r="Z46">
        <f t="shared" ca="1" si="3"/>
        <v>120</v>
      </c>
      <c r="AA46">
        <f t="shared" ca="1" si="15"/>
        <v>64.54855594202904</v>
      </c>
      <c r="AB46">
        <f t="shared" ca="1" si="4"/>
        <v>0</v>
      </c>
      <c r="AC46">
        <f t="shared" ca="1" si="5"/>
        <v>1.7519844624628089E-2</v>
      </c>
      <c r="AD46" s="83">
        <f ca="1"/>
        <v>45590</v>
      </c>
      <c r="AE46" s="55">
        <f t="shared" ca="1" si="20"/>
        <v>45590</v>
      </c>
      <c r="AF46" s="55">
        <f t="shared" ca="1" si="21"/>
        <v>189.83232208040985</v>
      </c>
      <c r="AG46" s="55">
        <f t="shared" ca="1" si="22"/>
        <v>4.2694624722058867</v>
      </c>
      <c r="AH46" s="55">
        <f t="shared" ca="1" si="23"/>
        <v>0</v>
      </c>
      <c r="AI46" s="55">
        <f t="shared" ca="1" si="17"/>
        <v>-3.0825860421555173</v>
      </c>
      <c r="AJ46" s="55">
        <f t="shared" ca="1" si="18"/>
        <v>24.027626136548793</v>
      </c>
      <c r="AK46" s="55">
        <f t="shared" ca="1" si="19"/>
        <v>139.77405215628573</v>
      </c>
    </row>
    <row r="47" spans="1:37" s="55" customFormat="1">
      <c r="C47" s="61" t="s">
        <v>26</v>
      </c>
      <c r="D47" s="88" t="str">
        <f>IF(E47="","Fodder",E47)</f>
        <v>Fodder</v>
      </c>
      <c r="E47" s="87" t="s">
        <v>31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45450</v>
      </c>
      <c r="S47" s="55">
        <f t="shared" ca="1" si="11"/>
        <v>45450</v>
      </c>
      <c r="T47" s="55">
        <f t="shared" ca="1" si="0"/>
        <v>137.27875861399701</v>
      </c>
      <c r="U47" s="55">
        <f t="shared" ca="1" si="1"/>
        <v>23.706452222135759</v>
      </c>
      <c r="V47" s="55">
        <f t="shared" ca="1" si="2"/>
        <v>0</v>
      </c>
      <c r="W47" s="55">
        <f t="shared" ca="1" si="12"/>
        <v>-25.156589531158023</v>
      </c>
      <c r="X47" s="55">
        <f t="shared" ca="1" si="13"/>
        <v>22.73385033922915</v>
      </c>
      <c r="Y47" s="55">
        <f t="shared" ca="1" si="14"/>
        <v>-1.6281451693472493</v>
      </c>
      <c r="Z47">
        <f t="shared" ca="1" si="3"/>
        <v>120</v>
      </c>
      <c r="AA47">
        <f t="shared" ca="1" si="15"/>
        <v>65.198555942029046</v>
      </c>
      <c r="AB47">
        <f t="shared" ca="1" si="4"/>
        <v>0</v>
      </c>
      <c r="AC47">
        <f t="shared" ca="1" si="5"/>
        <v>1.9948897500208947E-2</v>
      </c>
      <c r="AD47" s="83">
        <f ca="1"/>
        <v>45591</v>
      </c>
      <c r="AE47" s="55">
        <f t="shared" ca="1" si="20"/>
        <v>45591</v>
      </c>
      <c r="AF47" s="55">
        <f t="shared" ca="1" si="21"/>
        <v>197.61798003743735</v>
      </c>
      <c r="AG47" s="55">
        <f t="shared" ca="1" si="22"/>
        <v>4.4695615440352485</v>
      </c>
      <c r="AH47" s="55">
        <f t="shared" ca="1" si="23"/>
        <v>0</v>
      </c>
      <c r="AI47" s="55">
        <f t="shared" ca="1" si="17"/>
        <v>-3.0825860421555173</v>
      </c>
      <c r="AJ47" s="55">
        <f t="shared" ca="1" si="18"/>
        <v>24.971930814478412</v>
      </c>
      <c r="AK47" s="55">
        <f t="shared" ca="1" si="19"/>
        <v>146.81550450721298</v>
      </c>
    </row>
    <row r="48" spans="1:37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45451</v>
      </c>
      <c r="S48" s="55">
        <f t="shared" ca="1" si="11"/>
        <v>45451</v>
      </c>
      <c r="T48" s="55">
        <f t="shared" ca="1" si="0"/>
        <v>136.30752715714445</v>
      </c>
      <c r="U48" s="55">
        <f t="shared" ca="1" si="1"/>
        <v>24.850402963555076</v>
      </c>
      <c r="V48" s="55">
        <f t="shared" ca="1" si="2"/>
        <v>0</v>
      </c>
      <c r="W48" s="55">
        <f t="shared" ca="1" si="12"/>
        <v>-25.606997012199017</v>
      </c>
      <c r="X48" s="55">
        <f t="shared" ca="1" si="13"/>
        <v>23.369881552940019</v>
      </c>
      <c r="Y48" s="55">
        <f t="shared" ca="1" si="14"/>
        <v>-1.6410496174503704</v>
      </c>
      <c r="Z48">
        <f t="shared" ca="1" si="3"/>
        <v>120</v>
      </c>
      <c r="AA48">
        <f t="shared" ca="1" si="15"/>
        <v>65.79855594202904</v>
      </c>
      <c r="AB48">
        <f t="shared" ca="1" si="4"/>
        <v>0</v>
      </c>
      <c r="AC48">
        <f t="shared" ca="1" si="5"/>
        <v>2.2676347121945675E-2</v>
      </c>
      <c r="AD48" s="83">
        <f ca="1"/>
        <v>45592</v>
      </c>
      <c r="AE48" s="55">
        <f t="shared" ca="1" si="20"/>
        <v>45592</v>
      </c>
      <c r="AF48" s="55">
        <f t="shared" ca="1" si="21"/>
        <v>205.08348471738873</v>
      </c>
      <c r="AG48" s="55">
        <f t="shared" ca="1" si="22"/>
        <v>4.6676192622169284</v>
      </c>
      <c r="AH48" s="55">
        <f t="shared" ca="1" si="23"/>
        <v>0</v>
      </c>
      <c r="AI48" s="55">
        <f t="shared" ca="1" si="17"/>
        <v>-3.0825860421555173</v>
      </c>
      <c r="AJ48" s="55">
        <f t="shared" ca="1" si="18"/>
        <v>25.891257759755867</v>
      </c>
      <c r="AK48" s="55">
        <f t="shared" ca="1" si="19"/>
        <v>153.55973996006858</v>
      </c>
    </row>
    <row r="49" spans="2:37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45452</v>
      </c>
      <c r="S49" s="55">
        <f t="shared" ca="1" si="11"/>
        <v>45452</v>
      </c>
      <c r="T49" s="55">
        <f t="shared" ca="1" si="0"/>
        <v>132.66948408333872</v>
      </c>
      <c r="U49" s="55">
        <f t="shared" ca="1" si="1"/>
        <v>26.231832120788933</v>
      </c>
      <c r="V49" s="55">
        <f t="shared" ca="1" si="2"/>
        <v>0</v>
      </c>
      <c r="W49" s="55">
        <f t="shared" ca="1" si="12"/>
        <v>-28.580716201811935</v>
      </c>
      <c r="X49" s="55">
        <f t="shared" ca="1" si="13"/>
        <v>24.099808203933446</v>
      </c>
      <c r="Y49" s="55">
        <f t="shared" ca="1" si="14"/>
        <v>-1.6538709954027506</v>
      </c>
      <c r="Z49">
        <f t="shared" ca="1" si="3"/>
        <v>120</v>
      </c>
      <c r="AA49">
        <f t="shared" ca="1" si="15"/>
        <v>69.868555942029033</v>
      </c>
      <c r="AB49">
        <f t="shared" ca="1" si="4"/>
        <v>0</v>
      </c>
      <c r="AC49">
        <f t="shared" ca="1" si="5"/>
        <v>2.625978033202981E-2</v>
      </c>
      <c r="AD49" s="83">
        <f ca="1"/>
        <v>45593</v>
      </c>
      <c r="AE49" s="55">
        <f t="shared" ca="1" si="20"/>
        <v>45593</v>
      </c>
      <c r="AF49" s="55">
        <f t="shared" ca="1" si="21"/>
        <v>212.07920890693271</v>
      </c>
      <c r="AG49" s="55">
        <f t="shared" ca="1" si="22"/>
        <v>4.8876243106718835</v>
      </c>
      <c r="AH49" s="55">
        <f t="shared" ca="1" si="23"/>
        <v>0</v>
      </c>
      <c r="AI49" s="55">
        <f t="shared" ca="1" si="17"/>
        <v>-3.7431302715706809</v>
      </c>
      <c r="AJ49" s="55">
        <f t="shared" ca="1" si="18"/>
        <v>26.853729074677481</v>
      </c>
      <c r="AK49" s="55">
        <f t="shared" ca="1" si="19"/>
        <v>160.47354211256106</v>
      </c>
    </row>
    <row r="50" spans="2:37" s="55" customFormat="1">
      <c r="B50" s="90">
        <f>IF(PriorUnits="kg/head",PriorYield*PriorPopulation/1000,IF(PriorUnits="kg/ha",PriorYield/1000,PriorYield))</f>
        <v>5</v>
      </c>
      <c r="C50" s="64" t="s">
        <v>150</v>
      </c>
      <c r="D50" s="65" t="str">
        <f>SUBSTITUTE(PriorCropName&amp;" "&amp;PriorCropType&amp;" "&amp;PriorCropVariety,"_"," ")</f>
        <v>Annual ryegrass Fodder General</v>
      </c>
      <c r="F50" s="56"/>
      <c r="R50" s="83">
        <f ca="1"/>
        <v>45453</v>
      </c>
      <c r="S50" s="55">
        <f t="shared" ca="1" si="11"/>
        <v>45453</v>
      </c>
      <c r="T50" s="55">
        <f t="shared" ca="1" si="0"/>
        <v>127.45247652472354</v>
      </c>
      <c r="U50" s="55">
        <f t="shared" ca="1" si="1"/>
        <v>27.689150797575735</v>
      </c>
      <c r="V50" s="55">
        <f t="shared" ca="1" si="2"/>
        <v>0</v>
      </c>
      <c r="W50" s="55">
        <f t="shared" ca="1" si="12"/>
        <v>-33.058915971182074</v>
      </c>
      <c r="X50" s="55">
        <f t="shared" ca="1" si="13"/>
        <v>24.829734854926873</v>
      </c>
      <c r="Y50" s="55">
        <f t="shared" ca="1" si="14"/>
        <v>-1.6652867588544216</v>
      </c>
      <c r="Z50">
        <f t="shared" ca="1" si="3"/>
        <v>120</v>
      </c>
      <c r="AA50">
        <f t="shared" ca="1" si="15"/>
        <v>76.248555942029029</v>
      </c>
      <c r="AB50">
        <f t="shared" ca="1" si="4"/>
        <v>0</v>
      </c>
      <c r="AC50">
        <f t="shared" ca="1" si="5"/>
        <v>3.0391876717935952E-2</v>
      </c>
      <c r="AD50" s="83">
        <f ca="1"/>
        <v>45594</v>
      </c>
      <c r="AE50" s="55">
        <f t="shared" ca="1" si="20"/>
        <v>45594</v>
      </c>
      <c r="AF50" s="55">
        <f t="shared" ca="1" si="21"/>
        <v>219.1685278617031</v>
      </c>
      <c r="AG50" s="55">
        <f t="shared" ca="1" si="22"/>
        <v>5.093985580584218</v>
      </c>
      <c r="AH50" s="55">
        <f t="shared" ca="1" si="23"/>
        <v>0</v>
      </c>
      <c r="AI50" s="55">
        <f t="shared" ca="1" si="17"/>
        <v>-3.7431302715706809</v>
      </c>
      <c r="AJ50" s="55">
        <f t="shared" ca="1" si="18"/>
        <v>27.741774640211776</v>
      </c>
      <c r="AK50" s="55">
        <f t="shared" ca="1" si="19"/>
        <v>166.88117677170948</v>
      </c>
    </row>
    <row r="51" spans="2:37" s="55" customFormat="1">
      <c r="C51" s="61" t="s">
        <v>4</v>
      </c>
      <c r="D51" s="68">
        <f ca="1">IF(E51="",CurrentEstablishDate-60,E51)</f>
        <v>45376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45454</v>
      </c>
      <c r="S51" s="55">
        <f t="shared" ca="1" si="11"/>
        <v>45454</v>
      </c>
      <c r="T51" s="55">
        <f t="shared" ca="1" si="0"/>
        <v>126.56516140462448</v>
      </c>
      <c r="U51" s="55">
        <f t="shared" ca="1" si="1"/>
        <v>29.362879674051271</v>
      </c>
      <c r="V51" s="55">
        <f t="shared" ca="1" si="2"/>
        <v>0</v>
      </c>
      <c r="W51" s="55">
        <f t="shared" ca="1" si="12"/>
        <v>-33.058915971182074</v>
      </c>
      <c r="X51" s="55">
        <f t="shared" ca="1" si="13"/>
        <v>25.626861264362464</v>
      </c>
      <c r="Y51" s="55">
        <f t="shared" ca="1" si="14"/>
        <v>-1.6759994119135326</v>
      </c>
      <c r="Z51">
        <f t="shared" ca="1" si="3"/>
        <v>119.98260869565216</v>
      </c>
      <c r="AA51">
        <f t="shared" ca="1" si="15"/>
        <v>76.248555942029029</v>
      </c>
      <c r="AB51">
        <f t="shared" ca="1" si="4"/>
        <v>0</v>
      </c>
      <c r="AC51">
        <f t="shared" ca="1" si="5"/>
        <v>3.5593225169765187E-2</v>
      </c>
      <c r="AD51" s="83">
        <f ca="1"/>
        <v>45595</v>
      </c>
      <c r="AE51" s="55">
        <f t="shared" ca="1" si="20"/>
        <v>45595</v>
      </c>
      <c r="AF51" s="55">
        <f t="shared" ca="1" si="21"/>
        <v>225.95766816026935</v>
      </c>
      <c r="AG51" s="55">
        <f t="shared" ca="1" si="22"/>
        <v>5.2972229790891365</v>
      </c>
      <c r="AH51" s="55">
        <f t="shared" ca="1" si="23"/>
        <v>0</v>
      </c>
      <c r="AI51" s="55">
        <f t="shared" ca="1" si="17"/>
        <v>-3.7431302715706809</v>
      </c>
      <c r="AJ51" s="55">
        <f t="shared" ca="1" si="18"/>
        <v>28.597499140879272</v>
      </c>
      <c r="AK51" s="55">
        <f t="shared" ca="1" si="19"/>
        <v>173.01782996811315</v>
      </c>
    </row>
    <row r="52" spans="2:37" s="55" customFormat="1">
      <c r="C52" s="61" t="s">
        <v>5</v>
      </c>
      <c r="D52" s="68">
        <f ca="1">IF(E52="",CurrentEstablishDate-15,E52)</f>
        <v>45421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45455</v>
      </c>
      <c r="S52" s="55">
        <f t="shared" ca="1" si="11"/>
        <v>45455</v>
      </c>
      <c r="T52" s="55">
        <f t="shared" ca="1" si="0"/>
        <v>122.61306333002658</v>
      </c>
      <c r="U52" s="55">
        <f t="shared" ca="1" si="1"/>
        <v>30.92899459250766</v>
      </c>
      <c r="V52" s="55">
        <f t="shared" ca="1" si="2"/>
        <v>0</v>
      </c>
      <c r="W52" s="55">
        <f t="shared" ca="1" si="12"/>
        <v>-36.138173556792083</v>
      </c>
      <c r="X52" s="55">
        <f t="shared" ca="1" si="13"/>
        <v>26.328636520901522</v>
      </c>
      <c r="Y52" s="55">
        <f t="shared" ca="1" si="14"/>
        <v>-1.6845002389840875</v>
      </c>
      <c r="Z52">
        <f t="shared" ca="1" si="3"/>
        <v>120</v>
      </c>
      <c r="AA52">
        <f t="shared" ca="1" si="15"/>
        <v>80.808660191005629</v>
      </c>
      <c r="AB52">
        <f t="shared" ca="1" si="4"/>
        <v>0</v>
      </c>
      <c r="AC52">
        <f t="shared" ca="1" si="5"/>
        <v>4.0909415252448067E-2</v>
      </c>
      <c r="AD52" s="83">
        <f ca="1"/>
        <v>45596</v>
      </c>
      <c r="AE52" s="55">
        <f t="shared" ca="1" si="20"/>
        <v>45596</v>
      </c>
      <c r="AF52" s="55">
        <f t="shared" ca="1" si="21"/>
        <v>232.58792907533828</v>
      </c>
      <c r="AG52" s="55">
        <f t="shared" ca="1" si="22"/>
        <v>5.5044863123734356</v>
      </c>
      <c r="AH52" s="55">
        <f t="shared" ca="1" si="23"/>
        <v>0</v>
      </c>
      <c r="AI52" s="55">
        <f t="shared" ca="1" si="17"/>
        <v>-3.7431302715706809</v>
      </c>
      <c r="AJ52" s="55">
        <f t="shared" ca="1" si="18"/>
        <v>29.442515349519454</v>
      </c>
      <c r="AK52" s="55">
        <f t="shared" ca="1" si="19"/>
        <v>179.01033800782619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45456</v>
      </c>
      <c r="S53" s="55">
        <f t="shared" ca="1" si="11"/>
        <v>45456</v>
      </c>
      <c r="T53" s="55">
        <f t="shared" ca="1" si="0"/>
        <v>121.61931871342995</v>
      </c>
      <c r="U53" s="55">
        <f t="shared" ca="1" si="1"/>
        <v>32.519498245325074</v>
      </c>
      <c r="V53" s="55">
        <f t="shared" ca="1" si="2"/>
        <v>0</v>
      </c>
      <c r="W53" s="55">
        <f t="shared" ca="1" si="12"/>
        <v>-36.211850187548912</v>
      </c>
      <c r="X53" s="55">
        <f t="shared" ca="1" si="13"/>
        <v>27.006269101725231</v>
      </c>
      <c r="Y53" s="55">
        <f t="shared" ca="1" si="14"/>
        <v>-1.691697152830173</v>
      </c>
      <c r="Z53">
        <f t="shared" ca="1" si="3"/>
        <v>120</v>
      </c>
      <c r="AA53">
        <f t="shared" ca="1" si="15"/>
        <v>80.918660191005628</v>
      </c>
      <c r="AB53">
        <f t="shared" ca="1" si="4"/>
        <v>0</v>
      </c>
      <c r="AC53">
        <f t="shared" ca="1" si="5"/>
        <v>4.6759057647104127E-2</v>
      </c>
      <c r="AD53" s="83">
        <f ca="1"/>
        <v>45597</v>
      </c>
      <c r="AE53" s="55">
        <f t="shared" ca="1" si="20"/>
        <v>45597</v>
      </c>
      <c r="AF53" s="55">
        <f t="shared" ca="1" si="21"/>
        <v>239.48181207561402</v>
      </c>
      <c r="AG53" s="55">
        <f t="shared" ca="1" si="22"/>
        <v>5.7441137572263274</v>
      </c>
      <c r="AH53" s="55">
        <f t="shared" ca="1" si="23"/>
        <v>0</v>
      </c>
      <c r="AI53" s="55">
        <f t="shared" ca="1" si="17"/>
        <v>-3.7431302715706809</v>
      </c>
      <c r="AJ53" s="55">
        <f t="shared" ca="1" si="18"/>
        <v>30.32503916309301</v>
      </c>
      <c r="AK53" s="55">
        <f t="shared" ca="1" si="19"/>
        <v>185.26132463938126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5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45457</v>
      </c>
      <c r="S54" s="55">
        <f t="shared" ca="1" si="11"/>
        <v>45457</v>
      </c>
      <c r="T54" s="55">
        <f t="shared" ca="1" si="0"/>
        <v>119.88341978232627</v>
      </c>
      <c r="U54" s="55">
        <f t="shared" ca="1" si="1"/>
        <v>34.005118311778858</v>
      </c>
      <c r="V54" s="55">
        <f t="shared" ca="1" si="2"/>
        <v>0</v>
      </c>
      <c r="W54" s="55">
        <f t="shared" ca="1" si="12"/>
        <v>-37.063543700263352</v>
      </c>
      <c r="X54" s="55">
        <f t="shared" ca="1" si="13"/>
        <v>27.613433406852117</v>
      </c>
      <c r="Y54" s="55">
        <f t="shared" ca="1" si="14"/>
        <v>-1.6974468098924973</v>
      </c>
      <c r="Z54">
        <f t="shared" ca="1" si="3"/>
        <v>120</v>
      </c>
      <c r="AA54">
        <f t="shared" ca="1" si="15"/>
        <v>82.208660191005634</v>
      </c>
      <c r="AB54">
        <f t="shared" ca="1" si="4"/>
        <v>0</v>
      </c>
      <c r="AC54">
        <f t="shared" ca="1" si="5"/>
        <v>5.2636600584439808E-2</v>
      </c>
      <c r="AD54" s="83">
        <f ca="1"/>
        <v>45598</v>
      </c>
      <c r="AE54" s="55">
        <f t="shared" ca="1" si="20"/>
        <v>45598</v>
      </c>
      <c r="AF54" s="55">
        <f t="shared" ca="1" si="21"/>
        <v>246.79820675637103</v>
      </c>
      <c r="AG54" s="55">
        <f t="shared" ca="1" si="22"/>
        <v>6.0260082579099512</v>
      </c>
      <c r="AH54" s="55">
        <f t="shared" ca="1" si="23"/>
        <v>0</v>
      </c>
      <c r="AI54" s="55">
        <f t="shared" ca="1" si="17"/>
        <v>-3.7431302715706809</v>
      </c>
      <c r="AJ54" s="55">
        <f t="shared" ca="1" si="18"/>
        <v>31.320034252993391</v>
      </c>
      <c r="AK54" s="55">
        <f t="shared" ca="1" si="19"/>
        <v>191.86461873092151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45458</v>
      </c>
      <c r="S55" s="55">
        <f t="shared" ca="1" si="11"/>
        <v>45458</v>
      </c>
      <c r="T55" s="55">
        <f t="shared" ca="1" si="0"/>
        <v>50.68656086179309</v>
      </c>
      <c r="U55" s="55">
        <f t="shared" ca="1" si="1"/>
        <v>35.751399416546917</v>
      </c>
      <c r="V55" s="55">
        <f t="shared" ca="1" si="2"/>
        <v>0</v>
      </c>
      <c r="W55" s="55">
        <f t="shared" ca="1" si="12"/>
        <v>-37.562428849068006</v>
      </c>
      <c r="X55" s="55">
        <f t="shared" ca="1" si="13"/>
        <v>28.291065987675825</v>
      </c>
      <c r="Y55" s="55">
        <f t="shared" ca="1" si="14"/>
        <v>-1.7027071579863358</v>
      </c>
      <c r="Z55">
        <f t="shared" ca="1" si="3"/>
        <v>120</v>
      </c>
      <c r="AA55">
        <f t="shared" ca="1" si="15"/>
        <v>84.038660191005633</v>
      </c>
      <c r="AB55">
        <f t="shared" ca="1" si="4"/>
        <v>0</v>
      </c>
      <c r="AC55">
        <f t="shared" ca="1" si="5"/>
        <v>6.0058109218742994E-2</v>
      </c>
      <c r="AD55" s="83">
        <f ca="1"/>
        <v>45599</v>
      </c>
      <c r="AE55" s="55">
        <f t="shared" ca="1" si="20"/>
        <v>45599</v>
      </c>
      <c r="AF55" s="55">
        <f t="shared" ca="1" si="21"/>
        <v>253.74821158983136</v>
      </c>
      <c r="AG55" s="55">
        <f t="shared" ca="1" si="22"/>
        <v>6.3062983713274035</v>
      </c>
      <c r="AH55" s="55">
        <f t="shared" ca="1" si="23"/>
        <v>0</v>
      </c>
      <c r="AI55" s="55">
        <f t="shared" ca="1" si="17"/>
        <v>-3.7431302715706809</v>
      </c>
      <c r="AJ55" s="55">
        <f t="shared" ca="1" si="18"/>
        <v>32.275915452197502</v>
      </c>
      <c r="AK55" s="55">
        <f t="shared" ca="1" si="19"/>
        <v>198.1390324785952</v>
      </c>
    </row>
    <row r="56" spans="2:37" s="55" customFormat="1">
      <c r="C56" s="64" t="str">
        <f>"Yield "&amp;ROUND(PriorYield_tperHa,0)&amp;" (t/ha)"</f>
        <v>Yield 5 (t/ha)</v>
      </c>
      <c r="D56" s="90" t="str">
        <f ca="1">"Previous crop residues are providing "&amp;ROUND('Model Interface'!M9,0)&amp;" kg N/ha to the current crop"</f>
        <v>Previous crop residues are providing -1 kg N/ha to the current crop</v>
      </c>
      <c r="R56" s="83">
        <f ca="1"/>
        <v>45459</v>
      </c>
      <c r="S56" s="55">
        <f t="shared" ca="1" si="11"/>
        <v>45459</v>
      </c>
      <c r="T56" s="55">
        <f t="shared" ca="1" si="0"/>
        <v>49.078248250153493</v>
      </c>
      <c r="U56" s="55">
        <f t="shared" ca="1" si="1"/>
        <v>37.60448359170914</v>
      </c>
      <c r="V56" s="55">
        <f t="shared" ca="1" si="2"/>
        <v>0</v>
      </c>
      <c r="W56" s="55">
        <f t="shared" ca="1" si="12"/>
        <v>-37.997589316886035</v>
      </c>
      <c r="X56" s="55">
        <f t="shared" ca="1" si="13"/>
        <v>28.975351066304928</v>
      </c>
      <c r="Y56" s="55">
        <f t="shared" ca="1" si="14"/>
        <v>-1.7070602052747801</v>
      </c>
      <c r="Z56">
        <f t="shared" ca="1" si="3"/>
        <v>120</v>
      </c>
      <c r="AA56">
        <f t="shared" ca="1" si="15"/>
        <v>85.648660191005646</v>
      </c>
      <c r="AB56">
        <f t="shared" ca="1" si="4"/>
        <v>0</v>
      </c>
      <c r="AC56">
        <f t="shared" ca="1" si="5"/>
        <v>6.8538439218077757E-2</v>
      </c>
      <c r="AD56" s="83">
        <f ca="1"/>
        <v>45600</v>
      </c>
      <c r="AE56" s="55">
        <f t="shared" ca="1" si="20"/>
        <v>45600</v>
      </c>
      <c r="AF56" s="55">
        <f t="shared" ca="1" si="21"/>
        <v>260.27594414691686</v>
      </c>
      <c r="AG56" s="55">
        <f t="shared" ca="1" si="22"/>
        <v>6.5805069526289985</v>
      </c>
      <c r="AH56" s="55">
        <f t="shared" ca="1" si="23"/>
        <v>0</v>
      </c>
      <c r="AI56" s="55">
        <f t="shared" ca="1" si="17"/>
        <v>-3.7431302715706809</v>
      </c>
      <c r="AJ56" s="55">
        <f t="shared" ca="1" si="18"/>
        <v>33.154084503041751</v>
      </c>
      <c r="AK56" s="55">
        <f t="shared" ca="1" si="19"/>
        <v>204.06280456613808</v>
      </c>
    </row>
    <row r="57" spans="2:37" s="55" customFormat="1" ht="15" thickBot="1">
      <c r="C57" s="120" t="s">
        <v>154</v>
      </c>
      <c r="D57" s="120"/>
      <c r="E57" s="120"/>
      <c r="F57" s="120"/>
      <c r="G57" s="120"/>
      <c r="H57" s="120"/>
      <c r="R57" s="83">
        <f ca="1"/>
        <v>45460</v>
      </c>
      <c r="S57" s="55">
        <f t="shared" ca="1" si="11"/>
        <v>45460</v>
      </c>
      <c r="T57" s="55">
        <f t="shared" ca="1" si="0"/>
        <v>46.581462535308461</v>
      </c>
      <c r="U57" s="55">
        <f t="shared" ca="1" si="1"/>
        <v>39.569561554792521</v>
      </c>
      <c r="V57" s="55">
        <f t="shared" ca="1" si="2"/>
        <v>0</v>
      </c>
      <c r="W57" s="55">
        <f t="shared" ca="1" si="12"/>
        <v>-39.216133373063307</v>
      </c>
      <c r="X57" s="55">
        <f t="shared" ca="1" si="13"/>
        <v>29.665658745249928</v>
      </c>
      <c r="Y57" s="55">
        <f t="shared" ca="1" si="14"/>
        <v>-1.7105315798041563</v>
      </c>
      <c r="Z57">
        <f t="shared" ca="1" si="3"/>
        <v>120</v>
      </c>
      <c r="AA57">
        <f t="shared" ca="1" si="15"/>
        <v>90.398660191005646</v>
      </c>
      <c r="AB57">
        <f t="shared" ca="1" si="4"/>
        <v>0</v>
      </c>
      <c r="AC57">
        <f t="shared" ca="1" si="5"/>
        <v>7.8206163245916907E-2</v>
      </c>
      <c r="AD57" s="83">
        <f ca="1"/>
        <v>45601</v>
      </c>
      <c r="AE57" s="55">
        <f t="shared" ca="1" si="20"/>
        <v>45601</v>
      </c>
      <c r="AF57" s="55">
        <f t="shared" ca="1" si="21"/>
        <v>266.56479438049837</v>
      </c>
      <c r="AG57" s="55">
        <f t="shared" ca="1" si="22"/>
        <v>6.8604408334332536</v>
      </c>
      <c r="AH57" s="55">
        <f t="shared" ca="1" si="23"/>
        <v>0</v>
      </c>
      <c r="AI57" s="55">
        <f t="shared" ca="1" si="17"/>
        <v>-3.7431302715706809</v>
      </c>
      <c r="AJ57" s="55">
        <f t="shared" ca="1" si="18"/>
        <v>33.978421124306216</v>
      </c>
      <c r="AK57" s="55">
        <f t="shared" ca="1" si="19"/>
        <v>209.80725205925941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45461</v>
      </c>
      <c r="S58" s="55">
        <f t="shared" ca="1" si="11"/>
        <v>45461</v>
      </c>
      <c r="T58" s="55">
        <f t="shared" ca="1" si="0"/>
        <v>42.540447913006403</v>
      </c>
      <c r="U58" s="55">
        <f t="shared" ca="1" si="1"/>
        <v>41.707392919598085</v>
      </c>
      <c r="V58" s="55">
        <f t="shared" ca="1" si="2"/>
        <v>0</v>
      </c>
      <c r="W58" s="55">
        <f t="shared" ca="1" si="12"/>
        <v>-41.830706293490515</v>
      </c>
      <c r="X58" s="55">
        <f t="shared" ca="1" si="13"/>
        <v>30.379706941330497</v>
      </c>
      <c r="Y58" s="55">
        <f t="shared" ca="1" si="14"/>
        <v>-1.713190112954015</v>
      </c>
      <c r="Z58">
        <f t="shared" ca="1" si="3"/>
        <v>120</v>
      </c>
      <c r="AA58">
        <f t="shared" ca="1" si="15"/>
        <v>101.55866019100564</v>
      </c>
      <c r="AB58">
        <f t="shared" ca="1" si="4"/>
        <v>0</v>
      </c>
      <c r="AC58">
        <f t="shared" ca="1" si="5"/>
        <v>8.9499853242182986E-2</v>
      </c>
      <c r="AD58" s="83">
        <f ca="1"/>
        <v>45602</v>
      </c>
      <c r="AE58" s="55">
        <f t="shared" ca="1" si="20"/>
        <v>45602</v>
      </c>
      <c r="AF58" s="55">
        <f t="shared" ca="1" si="21"/>
        <v>272.83418979507064</v>
      </c>
      <c r="AG58" s="55">
        <f t="shared" ca="1" si="22"/>
        <v>7.1619024702374983</v>
      </c>
      <c r="AH58" s="55">
        <f t="shared" ca="1" si="23"/>
        <v>0</v>
      </c>
      <c r="AI58" s="55">
        <f t="shared" ca="1" si="17"/>
        <v>-3.7431302715706809</v>
      </c>
      <c r="AJ58" s="55">
        <f t="shared" ca="1" si="18"/>
        <v>34.810541675387405</v>
      </c>
      <c r="AK58" s="55">
        <f t="shared" ca="1" si="19"/>
        <v>215.54598855955476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45462</v>
      </c>
      <c r="S59" s="55">
        <f t="shared" ca="1" si="11"/>
        <v>45462</v>
      </c>
      <c r="T59" s="55">
        <f t="shared" ca="1" si="0"/>
        <v>39.239090271299553</v>
      </c>
      <c r="U59" s="55">
        <f t="shared" ca="1" si="1"/>
        <v>43.947731287834742</v>
      </c>
      <c r="V59" s="55">
        <f t="shared" ca="1" si="2"/>
        <v>0</v>
      </c>
      <c r="W59" s="55">
        <f t="shared" ca="1" si="12"/>
        <v>-43.600559869466437</v>
      </c>
      <c r="X59" s="55">
        <f t="shared" ca="1" si="13"/>
        <v>31.090332471475897</v>
      </c>
      <c r="Y59" s="55">
        <f t="shared" ca="1" si="14"/>
        <v>-1.7149813405936869</v>
      </c>
      <c r="Z59">
        <f t="shared" ca="1" si="3"/>
        <v>120</v>
      </c>
      <c r="AA59">
        <f t="shared" ca="1" si="15"/>
        <v>109.74866019100564</v>
      </c>
      <c r="AB59">
        <f t="shared" ca="1" si="4"/>
        <v>0</v>
      </c>
      <c r="AC59">
        <f t="shared" ca="1" si="5"/>
        <v>0.10218025369173379</v>
      </c>
      <c r="AD59" s="83">
        <f ca="1"/>
        <v>45603</v>
      </c>
      <c r="AE59" s="55">
        <f t="shared" ca="1" si="20"/>
        <v>45603</v>
      </c>
      <c r="AF59" s="55">
        <f t="shared" ca="1" si="21"/>
        <v>279.16710515743404</v>
      </c>
      <c r="AG59" s="55">
        <f t="shared" ca="1" si="22"/>
        <v>7.4935039739473179</v>
      </c>
      <c r="AH59" s="55">
        <f t="shared" ca="1" si="23"/>
        <v>0</v>
      </c>
      <c r="AI59" s="55">
        <f t="shared" ca="1" si="17"/>
        <v>-3.7431302715706809</v>
      </c>
      <c r="AJ59" s="55">
        <f t="shared" ca="1" si="18"/>
        <v>35.676852863534158</v>
      </c>
      <c r="AK59" s="55">
        <f t="shared" ca="1" si="19"/>
        <v>221.34419423748122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45463</v>
      </c>
      <c r="S60" s="55">
        <f t="shared" ca="1" si="11"/>
        <v>45463</v>
      </c>
      <c r="T60" s="55">
        <f t="shared" ca="1" si="0"/>
        <v>37.478669646485194</v>
      </c>
      <c r="U60" s="55">
        <f t="shared" ca="1" si="1"/>
        <v>46.171814199137351</v>
      </c>
      <c r="V60" s="55">
        <f t="shared" ca="1" si="2"/>
        <v>0</v>
      </c>
      <c r="W60" s="55">
        <f t="shared" ca="1" si="12"/>
        <v>-43.806964137084762</v>
      </c>
      <c r="X60" s="55">
        <f t="shared" ca="1" si="13"/>
        <v>31.761353836987087</v>
      </c>
      <c r="Y60" s="55">
        <f t="shared" ca="1" si="14"/>
        <v>-1.7159361519983043</v>
      </c>
      <c r="Z60">
        <f t="shared" ca="1" si="3"/>
        <v>120</v>
      </c>
      <c r="AA60">
        <f t="shared" ca="1" si="15"/>
        <v>110.74866019100564</v>
      </c>
      <c r="AB60">
        <f t="shared" ca="1" si="4"/>
        <v>0</v>
      </c>
      <c r="AC60">
        <f t="shared" ca="1" si="5"/>
        <v>0.11559268782888762</v>
      </c>
      <c r="AD60" s="83">
        <f ca="1"/>
        <v>45604</v>
      </c>
      <c r="AE60" s="55">
        <f t="shared" ca="1" si="20"/>
        <v>45604</v>
      </c>
      <c r="AF60" s="55">
        <f t="shared" ca="1" si="21"/>
        <v>285.48739801289872</v>
      </c>
      <c r="AG60" s="55">
        <f t="shared" ca="1" si="22"/>
        <v>7.8517037126122418</v>
      </c>
      <c r="AH60" s="55">
        <f t="shared" ca="1" si="23"/>
        <v>0</v>
      </c>
      <c r="AI60" s="55">
        <f t="shared" ca="1" si="17"/>
        <v>-3.7431302715706809</v>
      </c>
      <c r="AJ60" s="55">
        <f t="shared" ca="1" si="18"/>
        <v>36.568660528610927</v>
      </c>
      <c r="AK60" s="55">
        <f t="shared" ca="1" si="19"/>
        <v>227.13087916653407</v>
      </c>
    </row>
    <row r="61" spans="2:37" s="55" customFormat="1">
      <c r="B61" s="90">
        <f>IF(FollowingUnits="kg/head",FollowingYIeld*FollowingPopulation/1000,IF(FollowingUnits="kg/ha",FollowingYIeld/1000,FollowingYIeld))</f>
        <v>60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45464</v>
      </c>
      <c r="S61" s="55">
        <f t="shared" ca="1" si="11"/>
        <v>45464</v>
      </c>
      <c r="T61" s="55">
        <f t="shared" ca="1" si="0"/>
        <v>35.790707704569144</v>
      </c>
      <c r="U61" s="55">
        <f t="shared" ca="1" si="1"/>
        <v>48.254054596413816</v>
      </c>
      <c r="V61" s="55">
        <f t="shared" ca="1" si="2"/>
        <v>0</v>
      </c>
      <c r="W61" s="55">
        <f t="shared" ca="1" si="12"/>
        <v>-44.015898877134042</v>
      </c>
      <c r="X61" s="55">
        <f t="shared" ca="1" si="13"/>
        <v>32.364816207674728</v>
      </c>
      <c r="Y61" s="55">
        <f t="shared" ca="1" si="14"/>
        <v>-1.7161853272762491</v>
      </c>
      <c r="Z61">
        <f t="shared" ca="1" si="3"/>
        <v>120</v>
      </c>
      <c r="AA61">
        <f t="shared" ca="1" si="15"/>
        <v>111.80866019100563</v>
      </c>
      <c r="AB61">
        <f t="shared" ca="1" si="4"/>
        <v>0</v>
      </c>
      <c r="AC61">
        <f t="shared" ca="1" si="5"/>
        <v>0.12885909851855257</v>
      </c>
      <c r="AD61" s="83">
        <f ca="1"/>
        <v>45605</v>
      </c>
      <c r="AE61" s="55">
        <f t="shared" ca="1" si="20"/>
        <v>45605</v>
      </c>
      <c r="AF61" s="55">
        <f t="shared" ca="1" si="21"/>
        <v>291.45070098537349</v>
      </c>
      <c r="AG61" s="55">
        <f t="shared" ca="1" si="22"/>
        <v>8.2061276745619143</v>
      </c>
      <c r="AH61" s="55">
        <f t="shared" ca="1" si="23"/>
        <v>0</v>
      </c>
      <c r="AI61" s="55">
        <f t="shared" ca="1" si="17"/>
        <v>-3.7431302715706809</v>
      </c>
      <c r="AJ61" s="55">
        <f t="shared" ca="1" si="18"/>
        <v>37.417773296493209</v>
      </c>
      <c r="AK61" s="55">
        <f t="shared" ca="1" si="19"/>
        <v>232.59949333307623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45465</v>
      </c>
      <c r="S62" s="55">
        <f t="shared" ca="1" si="11"/>
        <v>45465</v>
      </c>
      <c r="T62" s="55">
        <f t="shared" ca="1" si="0"/>
        <v>33.803396942761033</v>
      </c>
      <c r="U62" s="55">
        <f t="shared" ca="1" si="1"/>
        <v>50.440551274575895</v>
      </c>
      <c r="V62" s="55">
        <f t="shared" ca="1" si="2"/>
        <v>0</v>
      </c>
      <c r="W62" s="55">
        <f t="shared" ca="1" si="12"/>
        <v>-44.42359723852195</v>
      </c>
      <c r="X62" s="55">
        <f t="shared" ca="1" si="13"/>
        <v>32.971362512065454</v>
      </c>
      <c r="Y62" s="55">
        <f t="shared" ca="1" si="14"/>
        <v>-1.7158473539250991</v>
      </c>
      <c r="Z62">
        <f t="shared" ca="1" si="3"/>
        <v>120</v>
      </c>
      <c r="AA62">
        <f t="shared" ca="1" si="15"/>
        <v>113.99866019100563</v>
      </c>
      <c r="AB62">
        <f t="shared" ca="1" si="4"/>
        <v>0</v>
      </c>
      <c r="AC62">
        <f t="shared" ca="1" si="5"/>
        <v>0.14348596298578581</v>
      </c>
      <c r="AD62" s="83">
        <f ca="1"/>
        <v>45606</v>
      </c>
      <c r="AE62" s="55">
        <f t="shared" ca="1" si="20"/>
        <v>45606</v>
      </c>
      <c r="AF62" s="55">
        <f t="shared" ca="1" si="21"/>
        <v>297.38862781666114</v>
      </c>
      <c r="AG62" s="55">
        <f t="shared" ca="1" si="22"/>
        <v>8.586187332190244</v>
      </c>
      <c r="AH62" s="55">
        <f t="shared" ca="1" si="23"/>
        <v>0</v>
      </c>
      <c r="AI62" s="55">
        <f t="shared" ca="1" si="17"/>
        <v>-3.7431302715706809</v>
      </c>
      <c r="AJ62" s="55">
        <f t="shared" ca="1" si="18"/>
        <v>38.305338909365894</v>
      </c>
      <c r="AK62" s="55">
        <f t="shared" ca="1" si="19"/>
        <v>238.02991420911957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45466</v>
      </c>
      <c r="S63" s="55">
        <f t="shared" ca="1" si="11"/>
        <v>45466</v>
      </c>
      <c r="T63" s="55">
        <f t="shared" ca="1" si="0"/>
        <v>31.372226430344803</v>
      </c>
      <c r="U63" s="55">
        <f t="shared" ca="1" si="1"/>
        <v>53.071597184686382</v>
      </c>
      <c r="V63" s="55">
        <f t="shared" ca="1" si="2"/>
        <v>0</v>
      </c>
      <c r="W63" s="55">
        <f t="shared" ca="1" si="12"/>
        <v>-44.917732538297294</v>
      </c>
      <c r="X63" s="55">
        <f t="shared" ca="1" si="13"/>
        <v>33.664357665975182</v>
      </c>
      <c r="Y63" s="55">
        <f t="shared" ca="1" si="14"/>
        <v>-1.7148318103652249</v>
      </c>
      <c r="Z63">
        <f t="shared" ca="1" si="3"/>
        <v>120</v>
      </c>
      <c r="AA63">
        <f t="shared" ca="1" si="15"/>
        <v>116.85866019100563</v>
      </c>
      <c r="AB63">
        <f t="shared" ca="1" si="4"/>
        <v>0</v>
      </c>
      <c r="AC63">
        <f t="shared" ca="1" si="5"/>
        <v>0.16196296933420759</v>
      </c>
      <c r="AD63" s="83">
        <f ca="1"/>
        <v>45607</v>
      </c>
      <c r="AE63" s="55">
        <f t="shared" ca="1" si="20"/>
        <v>45607</v>
      </c>
      <c r="AF63" s="55">
        <f t="shared" ca="1" si="21"/>
        <v>302.86717800259964</v>
      </c>
      <c r="AG63" s="55">
        <f t="shared" ca="1" si="22"/>
        <v>8.9451495259086471</v>
      </c>
      <c r="AH63" s="55">
        <f t="shared" ca="1" si="23"/>
        <v>0</v>
      </c>
      <c r="AI63" s="55">
        <f t="shared" ca="1" si="17"/>
        <v>-3.7431302715706809</v>
      </c>
      <c r="AJ63" s="55">
        <f t="shared" ca="1" si="18"/>
        <v>39.136144348445988</v>
      </c>
      <c r="AK63" s="55">
        <f t="shared" ca="1" si="19"/>
        <v>243.03662114969637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45467</v>
      </c>
      <c r="S64" s="55">
        <f t="shared" ca="1" si="11"/>
        <v>45467</v>
      </c>
      <c r="T64" s="55">
        <f t="shared" ca="1" si="0"/>
        <v>29.136358364127435</v>
      </c>
      <c r="U64" s="55">
        <f t="shared" ca="1" si="1"/>
        <v>55.604533354278132</v>
      </c>
      <c r="V64" s="55">
        <f t="shared" ca="1" si="2"/>
        <v>0</v>
      </c>
      <c r="W64" s="55">
        <f t="shared" ca="1" si="12"/>
        <v>-45.259514689890402</v>
      </c>
      <c r="X64" s="55">
        <f t="shared" ca="1" si="13"/>
        <v>34.301663509164378</v>
      </c>
      <c r="Y64" s="55">
        <f t="shared" ca="1" si="14"/>
        <v>-1.7132873985869299</v>
      </c>
      <c r="Z64">
        <f t="shared" ca="1" si="3"/>
        <v>120</v>
      </c>
      <c r="AA64">
        <f t="shared" ca="1" si="15"/>
        <v>118.98866019100562</v>
      </c>
      <c r="AB64">
        <f t="shared" ca="1" si="4"/>
        <v>0</v>
      </c>
      <c r="AC64">
        <f t="shared" ca="1" si="5"/>
        <v>0.18057106743727977</v>
      </c>
      <c r="AD64" s="83">
        <f ca="1"/>
        <v>45608</v>
      </c>
      <c r="AE64" s="55">
        <f t="shared" ca="1" si="20"/>
        <v>45608</v>
      </c>
      <c r="AF64" s="55">
        <f t="shared" ca="1" si="21"/>
        <v>308.01052052103097</v>
      </c>
      <c r="AG64" s="55">
        <f t="shared" ca="1" si="22"/>
        <v>9.2946322132105035</v>
      </c>
      <c r="AH64" s="55">
        <f t="shared" ca="1" si="23"/>
        <v>0</v>
      </c>
      <c r="AI64" s="55">
        <f t="shared" ca="1" si="17"/>
        <v>-3.7431302715706809</v>
      </c>
      <c r="AJ64" s="55">
        <f t="shared" ca="1" si="18"/>
        <v>39.903321233246075</v>
      </c>
      <c r="AK64" s="55">
        <f t="shared" ca="1" si="19"/>
        <v>247.76226947062946</v>
      </c>
    </row>
    <row r="65" spans="2:37" s="55" customFormat="1">
      <c r="C65" s="61" t="s">
        <v>100</v>
      </c>
      <c r="D65" s="70">
        <f>IF(E65="",VLOOKUP(FollowingCropFullName,CropCoefficients,17,FALSE),E65)</f>
        <v>60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45468</v>
      </c>
      <c r="S65" s="55">
        <f t="shared" ca="1" si="11"/>
        <v>45468</v>
      </c>
      <c r="T65" s="55">
        <f t="shared" ca="1" si="0"/>
        <v>27.171788999212062</v>
      </c>
      <c r="U65" s="55">
        <f t="shared" ca="1" si="1"/>
        <v>58.14708316587582</v>
      </c>
      <c r="V65" s="55">
        <f t="shared" ca="1" si="2"/>
        <v>0</v>
      </c>
      <c r="W65" s="55">
        <f t="shared" ca="1" si="12"/>
        <v>-45.296925124019751</v>
      </c>
      <c r="X65" s="55">
        <f t="shared" ca="1" si="13"/>
        <v>34.915030100876578</v>
      </c>
      <c r="Y65" s="55">
        <f t="shared" ca="1" si="14"/>
        <v>-1.7112631094874673</v>
      </c>
      <c r="Z65">
        <f t="shared" ca="1" si="3"/>
        <v>120</v>
      </c>
      <c r="AA65">
        <f t="shared" ca="1" si="15"/>
        <v>119.23866019100562</v>
      </c>
      <c r="AB65">
        <f t="shared" ca="1" si="4"/>
        <v>0</v>
      </c>
      <c r="AC65">
        <f t="shared" ca="1" si="5"/>
        <v>0.19996472153058853</v>
      </c>
      <c r="AD65" s="83">
        <f ca="1"/>
        <v>45609</v>
      </c>
      <c r="AE65" s="55">
        <f t="shared" ca="1" si="20"/>
        <v>45609</v>
      </c>
      <c r="AF65" s="55">
        <f t="shared" ca="1" si="21"/>
        <v>313.02475443211091</v>
      </c>
      <c r="AG65" s="55">
        <f t="shared" ca="1" si="22"/>
        <v>9.6593439437962942</v>
      </c>
      <c r="AH65" s="55">
        <f t="shared" ca="1" si="23"/>
        <v>0</v>
      </c>
      <c r="AI65" s="55">
        <f t="shared" ca="1" si="17"/>
        <v>-3.7431302715706809</v>
      </c>
      <c r="AJ65" s="55">
        <f t="shared" ca="1" si="18"/>
        <v>40.648835457789545</v>
      </c>
      <c r="AK65" s="55">
        <f t="shared" ca="1" si="19"/>
        <v>252.39570088775173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45469</v>
      </c>
      <c r="S66" s="55">
        <f t="shared" ca="1" si="11"/>
        <v>45469</v>
      </c>
      <c r="T66" s="55">
        <f t="shared" ca="1" si="0"/>
        <v>593.05632087259994</v>
      </c>
      <c r="U66" s="55">
        <f t="shared" ca="1" si="1"/>
        <v>60.695927539064272</v>
      </c>
      <c r="V66" s="55">
        <f t="shared" ca="1" si="2"/>
        <v>574.66256555524456</v>
      </c>
      <c r="W66" s="55">
        <f t="shared" ca="1" si="12"/>
        <v>-52.119786558763181</v>
      </c>
      <c r="X66" s="55">
        <f t="shared" ca="1" si="13"/>
        <v>35.506257734157849</v>
      </c>
      <c r="Y66" s="55">
        <f t="shared" ca="1" si="14"/>
        <v>-1.7088186166935602</v>
      </c>
      <c r="Z66">
        <f t="shared" ca="1" si="3"/>
        <v>120</v>
      </c>
      <c r="AA66">
        <f t="shared" ca="1" si="15"/>
        <v>121.32866019100564</v>
      </c>
      <c r="AB66">
        <f t="shared" ca="1" si="4"/>
        <v>0</v>
      </c>
      <c r="AC66">
        <f t="shared" ca="1" si="5"/>
        <v>0.22002623866318699</v>
      </c>
      <c r="AD66" s="83">
        <f ca="1"/>
        <v>45610</v>
      </c>
      <c r="AE66" s="55">
        <f t="shared" ca="1" si="20"/>
        <v>45610</v>
      </c>
      <c r="AF66" s="55">
        <f t="shared" ca="1" si="21"/>
        <v>318.19862985981149</v>
      </c>
      <c r="AG66" s="55">
        <f t="shared" ca="1" si="22"/>
        <v>10.082255865417444</v>
      </c>
      <c r="AH66" s="55">
        <f t="shared" ca="1" si="23"/>
        <v>0</v>
      </c>
      <c r="AI66" s="55">
        <f t="shared" ca="1" si="17"/>
        <v>-3.7431302715706809</v>
      </c>
      <c r="AJ66" s="55">
        <f t="shared" ca="1" si="18"/>
        <v>41.439099666190366</v>
      </c>
      <c r="AK66" s="55">
        <f t="shared" ca="1" si="19"/>
        <v>257.20222402867267</v>
      </c>
    </row>
    <row r="67" spans="2:37">
      <c r="B67" s="55"/>
      <c r="C67" s="64" t="str">
        <f>"Yield "&amp;ROUND(FollowingYield_tperHa,0)&amp;" (t/ha)"</f>
        <v>Yield 60 (t/ha)</v>
      </c>
      <c r="D67" s="101" t="str">
        <f ca="1">"Following crop will take up "&amp;ROUND('Model Interface'!L9,0)&amp;" kg N/ha"</f>
        <v>Following crop will take up 332 kg N/ha</v>
      </c>
      <c r="R67" s="83">
        <f ca="1"/>
        <v>45470</v>
      </c>
      <c r="S67" s="55">
        <f t="shared" ca="1" si="11"/>
        <v>45470</v>
      </c>
      <c r="T67" s="55">
        <f t="shared" ca="1" si="0"/>
        <v>590.97553352247417</v>
      </c>
      <c r="U67" s="55">
        <f t="shared" ca="1" si="1"/>
        <v>63.375107510250096</v>
      </c>
      <c r="V67" s="55">
        <f t="shared" ca="1" si="2"/>
        <v>0</v>
      </c>
      <c r="W67" s="55">
        <f t="shared" ca="1" si="12"/>
        <v>-52.119786558763181</v>
      </c>
      <c r="X67" s="55">
        <f t="shared" ca="1" si="13"/>
        <v>36.101749165394729</v>
      </c>
      <c r="Y67" s="55">
        <f t="shared" ca="1" si="14"/>
        <v>-1.7059174268703332</v>
      </c>
      <c r="Z67">
        <f t="shared" ca="1" si="3"/>
        <v>119.93043478260869</v>
      </c>
      <c r="AA67">
        <f t="shared" ca="1" si="15"/>
        <v>121.32866019100564</v>
      </c>
      <c r="AB67">
        <f t="shared" ca="1" si="4"/>
        <v>0</v>
      </c>
      <c r="AC67">
        <f t="shared" ca="1" si="5"/>
        <v>0.24166985518465361</v>
      </c>
      <c r="AD67" s="83">
        <f ca="1"/>
        <v>45611</v>
      </c>
      <c r="AE67" s="55">
        <f t="shared" ca="1" si="20"/>
        <v>45611</v>
      </c>
      <c r="AF67" s="55">
        <f t="shared" ca="1" si="21"/>
        <v>323.7289818743302</v>
      </c>
      <c r="AG67" s="55">
        <f t="shared" ca="1" si="22"/>
        <v>10.59196178200451</v>
      </c>
      <c r="AH67" s="55">
        <f t="shared" ca="1" si="23"/>
        <v>0</v>
      </c>
      <c r="AI67" s="55">
        <f t="shared" ca="1" si="17"/>
        <v>-3.7431302715706809</v>
      </c>
      <c r="AJ67" s="55">
        <f t="shared" ca="1" si="18"/>
        <v>42.357587710931092</v>
      </c>
      <c r="AK67" s="55">
        <f t="shared" ca="1" si="19"/>
        <v>262.3237939150377</v>
      </c>
    </row>
    <row r="68" spans="2:37" ht="15" thickBot="1">
      <c r="C68" s="122" t="s">
        <v>185</v>
      </c>
      <c r="D68" s="122"/>
      <c r="E68" s="122"/>
      <c r="F68" s="122"/>
      <c r="G68" s="122"/>
      <c r="H68" s="122"/>
      <c r="R68" s="83">
        <f ca="1"/>
        <v>45471</v>
      </c>
      <c r="S68" s="55">
        <f t="shared" ca="1" si="11"/>
        <v>45471</v>
      </c>
      <c r="T68" s="55">
        <f t="shared" ca="1" si="0"/>
        <v>586.19806193373324</v>
      </c>
      <c r="U68" s="55">
        <f t="shared" ca="1" si="1"/>
        <v>66.127227924081183</v>
      </c>
      <c r="V68" s="55">
        <f t="shared" ca="1" si="2"/>
        <v>0</v>
      </c>
      <c r="W68" s="55">
        <f t="shared" ca="1" si="12"/>
        <v>-54.736020010966413</v>
      </c>
      <c r="X68" s="55">
        <f t="shared" ca="1" si="13"/>
        <v>36.689337825264822</v>
      </c>
      <c r="Y68" s="55">
        <f t="shared" ca="1" si="14"/>
        <v>-1.7026238094469957</v>
      </c>
      <c r="Z68">
        <f t="shared" ca="1" si="3"/>
        <v>120</v>
      </c>
      <c r="AA68">
        <f t="shared" ca="1" si="15"/>
        <v>122.13905679101148</v>
      </c>
      <c r="AB68">
        <f t="shared" ca="1" si="4"/>
        <v>0</v>
      </c>
      <c r="AC68">
        <f t="shared" ca="1" si="5"/>
        <v>0.26437095689734247</v>
      </c>
      <c r="AD68" s="83">
        <f ca="1"/>
        <v>45612</v>
      </c>
      <c r="AE68" s="55">
        <f t="shared" ca="1" si="20"/>
        <v>45612</v>
      </c>
      <c r="AF68" s="55">
        <f t="shared" ca="1" si="21"/>
        <v>329.21525426014972</v>
      </c>
      <c r="AG68" s="55">
        <f t="shared" ca="1" si="22"/>
        <v>11.137835766376677</v>
      </c>
      <c r="AH68" s="55">
        <f t="shared" ca="1" si="23"/>
        <v>0</v>
      </c>
      <c r="AI68" s="55">
        <f t="shared" ca="1" si="17"/>
        <v>-3.7431302715706809</v>
      </c>
      <c r="AJ68" s="55">
        <f t="shared" ca="1" si="18"/>
        <v>43.338834192367173</v>
      </c>
      <c r="AK68" s="55">
        <f t="shared" ca="1" si="19"/>
        <v>267.37469380379332</v>
      </c>
    </row>
    <row r="69" spans="2:37">
      <c r="C69" s="61"/>
      <c r="D69" s="88"/>
      <c r="E69" s="99"/>
      <c r="R69" s="83">
        <f ca="1"/>
        <v>45472</v>
      </c>
      <c r="S69" s="55">
        <f t="shared" ca="1" si="11"/>
        <v>45472</v>
      </c>
      <c r="T69" s="55">
        <f t="shared" ca="1" si="0"/>
        <v>578.39646604729603</v>
      </c>
      <c r="U69" s="55">
        <f t="shared" ca="1" si="1"/>
        <v>68.934823268502598</v>
      </c>
      <c r="V69" s="55">
        <f t="shared" ca="1" si="2"/>
        <v>0</v>
      </c>
      <c r="W69" s="55">
        <f t="shared" ca="1" si="12"/>
        <v>-60.310420734465715</v>
      </c>
      <c r="X69" s="55">
        <f t="shared" ca="1" si="13"/>
        <v>37.266096398699268</v>
      </c>
      <c r="Y69" s="55">
        <f t="shared" ca="1" si="14"/>
        <v>-1.6989822013979374</v>
      </c>
      <c r="Z69">
        <f t="shared" ca="1" si="3"/>
        <v>120</v>
      </c>
      <c r="AA69">
        <f t="shared" ca="1" si="15"/>
        <v>123.88905679101148</v>
      </c>
      <c r="AB69">
        <f t="shared" ca="1" si="4"/>
        <v>0</v>
      </c>
      <c r="AC69">
        <f t="shared" ca="1" si="5"/>
        <v>0.28788411201356784</v>
      </c>
      <c r="AD69" s="83">
        <f ca="1"/>
        <v>45613</v>
      </c>
      <c r="AE69" s="55">
        <f t="shared" ca="1" si="20"/>
        <v>45613</v>
      </c>
      <c r="AF69" s="55">
        <f t="shared" ca="1" si="21"/>
        <v>334.40942358119838</v>
      </c>
      <c r="AG69" s="55">
        <f t="shared" ca="1" si="22"/>
        <v>11.681416614101328</v>
      </c>
      <c r="AH69" s="55">
        <f t="shared" ca="1" si="23"/>
        <v>0</v>
      </c>
      <c r="AI69" s="55">
        <f t="shared" ca="1" si="17"/>
        <v>-3.7431302715706809</v>
      </c>
      <c r="AJ69" s="55">
        <f t="shared" ca="1" si="18"/>
        <v>44.332136125894337</v>
      </c>
      <c r="AK69" s="55">
        <f t="shared" ca="1" si="19"/>
        <v>272.11914203903945</v>
      </c>
    </row>
    <row r="70" spans="2:37">
      <c r="C70" s="61"/>
      <c r="D70" s="84"/>
      <c r="E70" s="69"/>
      <c r="R70" s="83">
        <f ca="1"/>
        <v>45473</v>
      </c>
      <c r="S70" s="55">
        <f t="shared" ca="1" si="11"/>
        <v>45473</v>
      </c>
      <c r="T70" s="55">
        <f t="shared" ca="1" si="0"/>
        <v>571.81344283965439</v>
      </c>
      <c r="U70" s="55">
        <f t="shared" ca="1" si="1"/>
        <v>71.959376661193787</v>
      </c>
      <c r="V70" s="55">
        <f t="shared" ca="1" si="2"/>
        <v>0</v>
      </c>
      <c r="W70" s="55">
        <f t="shared" ca="1" si="12"/>
        <v>-64.467255849369622</v>
      </c>
      <c r="X70" s="55">
        <f t="shared" ca="1" si="13"/>
        <v>37.860367586321033</v>
      </c>
      <c r="Y70" s="55">
        <f t="shared" ca="1" si="14"/>
        <v>-1.6948880890662505</v>
      </c>
      <c r="Z70">
        <f t="shared" ca="1" si="3"/>
        <v>120</v>
      </c>
      <c r="AA70">
        <f t="shared" ca="1" si="15"/>
        <v>125.20905679101148</v>
      </c>
      <c r="AB70">
        <f t="shared" ca="1" si="4"/>
        <v>0</v>
      </c>
      <c r="AC70">
        <f t="shared" ca="1" si="5"/>
        <v>0.31346028619954192</v>
      </c>
      <c r="AD70" s="83">
        <f ca="1"/>
        <v>45614</v>
      </c>
      <c r="AE70" s="55">
        <f t="shared" ca="1" si="20"/>
        <v>45614</v>
      </c>
      <c r="AF70" s="55">
        <f t="shared" ca="1" si="21"/>
        <v>339.23583662769471</v>
      </c>
      <c r="AG70" s="55">
        <f t="shared" ca="1" si="22"/>
        <v>12.219188779396179</v>
      </c>
      <c r="AH70" s="55">
        <f t="shared" ca="1" si="23"/>
        <v>0</v>
      </c>
      <c r="AI70" s="55">
        <f t="shared" ca="1" si="17"/>
        <v>-3.7431302715706809</v>
      </c>
      <c r="AJ70" s="55">
        <f t="shared" ca="1" si="18"/>
        <v>45.240367831390827</v>
      </c>
      <c r="AK70" s="55">
        <f t="shared" ca="1" si="19"/>
        <v>276.57509554533408</v>
      </c>
    </row>
    <row r="71" spans="2:37">
      <c r="C71" s="61"/>
      <c r="D71" s="84"/>
      <c r="E71" s="69"/>
      <c r="R71" s="83">
        <f ca="1"/>
        <v>45474</v>
      </c>
      <c r="S71" s="55">
        <f t="shared" ca="1" si="11"/>
        <v>45474</v>
      </c>
      <c r="T71" s="55">
        <f t="shared" ca="1" si="0"/>
        <v>569.43879097367244</v>
      </c>
      <c r="U71" s="55">
        <f t="shared" ca="1" si="1"/>
        <v>74.897297321003194</v>
      </c>
      <c r="V71" s="55">
        <f t="shared" ca="1" si="2"/>
        <v>0</v>
      </c>
      <c r="W71" s="55">
        <f t="shared" ca="1" si="12"/>
        <v>-64.467255849369622</v>
      </c>
      <c r="X71" s="55">
        <f t="shared" ca="1" si="13"/>
        <v>38.419364408351818</v>
      </c>
      <c r="Y71" s="55">
        <f t="shared" ca="1" si="14"/>
        <v>-1.6906161172695713</v>
      </c>
      <c r="Z71">
        <f t="shared" ca="1" si="3"/>
        <v>119.68695652173912</v>
      </c>
      <c r="AA71">
        <f t="shared" ca="1" si="15"/>
        <v>125.20905679101148</v>
      </c>
      <c r="AB71">
        <f t="shared" ca="1" si="4"/>
        <v>0</v>
      </c>
      <c r="AC71">
        <f t="shared" ca="1" si="5"/>
        <v>0.33839821416725246</v>
      </c>
      <c r="AD71" s="83">
        <f ca="1"/>
        <v>45615</v>
      </c>
      <c r="AE71" s="55">
        <f t="shared" ca="1" si="20"/>
        <v>45615</v>
      </c>
      <c r="AF71" s="55">
        <f t="shared" ca="1" si="21"/>
        <v>343.96194798472794</v>
      </c>
      <c r="AG71" s="55">
        <f t="shared" ca="1" si="22"/>
        <v>12.792350224430892</v>
      </c>
      <c r="AH71" s="55">
        <f t="shared" ca="1" si="23"/>
        <v>0</v>
      </c>
      <c r="AI71" s="55">
        <f t="shared" ca="1" si="17"/>
        <v>-3.7431302715706809</v>
      </c>
      <c r="AJ71" s="55">
        <f t="shared" ca="1" si="18"/>
        <v>46.149878446438336</v>
      </c>
      <c r="AK71" s="55">
        <f t="shared" ca="1" si="19"/>
        <v>280.96485773235452</v>
      </c>
    </row>
    <row r="72" spans="2:37">
      <c r="C72" s="61"/>
      <c r="D72" s="84">
        <v>120</v>
      </c>
      <c r="E72" s="69">
        <v>120</v>
      </c>
      <c r="R72" s="83">
        <f ca="1"/>
        <v>45475</v>
      </c>
      <c r="S72" s="55">
        <f t="shared" ca="1" si="11"/>
        <v>45475</v>
      </c>
      <c r="T72" s="55">
        <f t="shared" ca="1" si="0"/>
        <v>559.05569557968113</v>
      </c>
      <c r="U72" s="55">
        <f t="shared" ca="1" si="1"/>
        <v>78.178391505591861</v>
      </c>
      <c r="V72" s="55">
        <f t="shared" ca="1" si="2"/>
        <v>0</v>
      </c>
      <c r="W72" s="55">
        <f t="shared" ca="1" si="12"/>
        <v>-72.168930174449187</v>
      </c>
      <c r="X72" s="55">
        <f t="shared" ca="1" si="13"/>
        <v>39.014245516139269</v>
      </c>
      <c r="Y72" s="55">
        <f t="shared" ca="1" si="14"/>
        <v>-1.6858241093801198</v>
      </c>
      <c r="Z72">
        <f t="shared" ca="1" si="3"/>
        <v>120</v>
      </c>
      <c r="AA72">
        <f t="shared" ca="1" si="15"/>
        <v>127.71052834023214</v>
      </c>
      <c r="AB72">
        <f t="shared" ca="1" si="4"/>
        <v>0</v>
      </c>
      <c r="AC72">
        <f t="shared" ca="1" si="5"/>
        <v>0.36618666525129728</v>
      </c>
      <c r="AD72" s="83">
        <f ca="1"/>
        <v>45616</v>
      </c>
      <c r="AE72" s="55">
        <f t="shared" ca="1" si="20"/>
        <v>45616</v>
      </c>
      <c r="AF72" s="55">
        <f t="shared" ca="1" si="21"/>
        <v>348.53764288567908</v>
      </c>
      <c r="AG72" s="55">
        <f t="shared" ca="1" si="22"/>
        <v>13.396712361568472</v>
      </c>
      <c r="AH72" s="55">
        <f t="shared" ca="1" si="23"/>
        <v>0</v>
      </c>
      <c r="AI72" s="55">
        <f t="shared" ca="1" si="17"/>
        <v>-3.7431302715706809</v>
      </c>
      <c r="AJ72" s="55">
        <f t="shared" ca="1" si="18"/>
        <v>47.037861674998112</v>
      </c>
      <c r="AK72" s="55">
        <f t="shared" ca="1" si="19"/>
        <v>285.25693154188343</v>
      </c>
    </row>
    <row r="73" spans="2:37">
      <c r="R73" s="83">
        <f ca="1"/>
        <v>45476</v>
      </c>
      <c r="S73" s="55">
        <f t="shared" ca="1" si="11"/>
        <v>45476</v>
      </c>
      <c r="T73" s="55">
        <f t="shared" ca="1" si="0"/>
        <v>556.31282819947103</v>
      </c>
      <c r="U73" s="55">
        <f t="shared" ca="1" si="1"/>
        <v>81.507250339854622</v>
      </c>
      <c r="V73" s="55">
        <f t="shared" ca="1" si="2"/>
        <v>0</v>
      </c>
      <c r="W73" s="55">
        <f t="shared" ca="1" si="12"/>
        <v>-72.168930174449187</v>
      </c>
      <c r="X73" s="55">
        <f t="shared" ca="1" si="13"/>
        <v>39.595200330092062</v>
      </c>
      <c r="Y73" s="55">
        <f t="shared" ca="1" si="14"/>
        <v>-1.6807874692802294</v>
      </c>
      <c r="Z73">
        <f t="shared" ca="1" si="3"/>
        <v>119.75652173913043</v>
      </c>
      <c r="AA73">
        <f t="shared" ca="1" si="15"/>
        <v>127.71052834023214</v>
      </c>
      <c r="AB73">
        <f t="shared" ca="1" si="4"/>
        <v>0</v>
      </c>
      <c r="AC73">
        <f t="shared" ca="1" si="5"/>
        <v>0.39413698182194101</v>
      </c>
      <c r="AD73" s="83">
        <f ca="1"/>
        <v>45617</v>
      </c>
      <c r="AE73" s="55">
        <f t="shared" ca="1" si="20"/>
        <v>45617</v>
      </c>
      <c r="AF73" s="55">
        <f t="shared" ca="1" si="21"/>
        <v>352.96150366397075</v>
      </c>
      <c r="AG73" s="55">
        <f t="shared" ca="1" si="22"/>
        <v>14.034769006247641</v>
      </c>
      <c r="AH73" s="55">
        <f t="shared" ca="1" si="23"/>
        <v>0</v>
      </c>
      <c r="AI73" s="55">
        <f t="shared" ca="1" si="17"/>
        <v>-3.7431302715706809</v>
      </c>
      <c r="AJ73" s="55">
        <f t="shared" ca="1" si="18"/>
        <v>47.902458032647267</v>
      </c>
      <c r="AK73" s="55">
        <f t="shared" ca="1" si="19"/>
        <v>289.45425260720515</v>
      </c>
    </row>
    <row r="74" spans="2:37">
      <c r="R74" s="83">
        <f ca="1"/>
        <v>45477</v>
      </c>
      <c r="S74" s="55">
        <f t="shared" ca="1" si="11"/>
        <v>45477</v>
      </c>
      <c r="T74" s="55">
        <f t="shared" ca="1" si="0"/>
        <v>553.15395057676767</v>
      </c>
      <c r="U74" s="55">
        <f t="shared" ca="1" si="1"/>
        <v>85.302094759754482</v>
      </c>
      <c r="V74" s="55">
        <f t="shared" ca="1" si="2"/>
        <v>0</v>
      </c>
      <c r="W74" s="55">
        <f t="shared" ca="1" si="12"/>
        <v>-72.168930174449187</v>
      </c>
      <c r="X74" s="55">
        <f t="shared" ca="1" si="13"/>
        <v>40.225515913920106</v>
      </c>
      <c r="Y74" s="55">
        <f t="shared" ca="1" si="14"/>
        <v>-1.6751362559117551</v>
      </c>
      <c r="Z74">
        <f t="shared" ca="1" si="3"/>
        <v>118.24544468768418</v>
      </c>
      <c r="AA74">
        <f t="shared" ca="1" si="15"/>
        <v>127.71052834023214</v>
      </c>
      <c r="AB74">
        <f t="shared" ca="1" si="4"/>
        <v>0</v>
      </c>
      <c r="AC74">
        <f t="shared" ca="1" si="5"/>
        <v>0.4254934913790136</v>
      </c>
      <c r="AD74" s="83">
        <f ca="1"/>
        <v>45618</v>
      </c>
      <c r="AE74" s="55">
        <f t="shared" ca="1" si="20"/>
        <v>45618</v>
      </c>
      <c r="AF74" s="55">
        <f t="shared" ca="1" si="21"/>
        <v>357.34447893728878</v>
      </c>
      <c r="AG74" s="55">
        <f t="shared" ca="1" si="22"/>
        <v>14.744541931299016</v>
      </c>
      <c r="AH74" s="55">
        <f t="shared" ca="1" si="23"/>
        <v>0</v>
      </c>
      <c r="AI74" s="55">
        <f t="shared" ca="1" si="17"/>
        <v>-3.7431302715706809</v>
      </c>
      <c r="AJ74" s="55">
        <f t="shared" ca="1" si="18"/>
        <v>48.75305371534192</v>
      </c>
      <c r="AK74" s="55">
        <f t="shared" ca="1" si="19"/>
        <v>293.69640512287992</v>
      </c>
    </row>
    <row r="75" spans="2:37">
      <c r="R75" s="83">
        <f ca="1"/>
        <v>45478</v>
      </c>
      <c r="S75" s="55">
        <f t="shared" ca="1" si="11"/>
        <v>45478</v>
      </c>
      <c r="T75" s="55">
        <f t="shared" ca="1" si="0"/>
        <v>548.93726494823215</v>
      </c>
      <c r="U75" s="55">
        <f t="shared" ca="1" si="1"/>
        <v>89.1461359131726</v>
      </c>
      <c r="V75" s="55">
        <f t="shared" ca="1" si="2"/>
        <v>0</v>
      </c>
      <c r="W75" s="55">
        <f t="shared" ca="1" si="12"/>
        <v>-73.160171082749244</v>
      </c>
      <c r="X75" s="55">
        <f t="shared" ca="1" si="13"/>
        <v>40.838260452975362</v>
      </c>
      <c r="Y75" s="55">
        <f t="shared" ca="1" si="14"/>
        <v>-1.6692843617842916</v>
      </c>
      <c r="Z75">
        <f t="shared" ca="1" si="3"/>
        <v>120</v>
      </c>
      <c r="AA75">
        <f t="shared" ca="1" si="15"/>
        <v>128.03841367834016</v>
      </c>
      <c r="AB75">
        <f t="shared" ca="1" si="4"/>
        <v>0</v>
      </c>
      <c r="AC75">
        <f t="shared" ca="1" si="5"/>
        <v>0.45650239219607991</v>
      </c>
      <c r="AD75" s="83">
        <f ca="1"/>
        <v>45619</v>
      </c>
      <c r="AE75" s="55">
        <f t="shared" ca="1" si="20"/>
        <v>45619</v>
      </c>
      <c r="AF75" s="55">
        <f t="shared" ca="1" si="21"/>
        <v>361.54778548901623</v>
      </c>
      <c r="AG75" s="55">
        <f t="shared" ca="1" si="22"/>
        <v>15.489341928245882</v>
      </c>
      <c r="AH75" s="55">
        <f t="shared" ca="1" si="23"/>
        <v>0</v>
      </c>
      <c r="AI75" s="55">
        <f t="shared" ca="1" si="17"/>
        <v>-3.7431302715706809</v>
      </c>
      <c r="AJ75" s="55">
        <f t="shared" ca="1" si="18"/>
        <v>49.583680022753178</v>
      </c>
      <c r="AK75" s="55">
        <f t="shared" ca="1" si="19"/>
        <v>297.813885364143</v>
      </c>
    </row>
    <row r="76" spans="2:37">
      <c r="R76" s="83">
        <f ca="1"/>
        <v>45479</v>
      </c>
      <c r="S76" s="55">
        <f t="shared" ca="1" si="11"/>
        <v>45479</v>
      </c>
      <c r="T76" s="55">
        <f t="shared" ca="1" si="0"/>
        <v>534.27418971999191</v>
      </c>
      <c r="U76" s="55">
        <f t="shared" ca="1" si="1"/>
        <v>93.399162632559623</v>
      </c>
      <c r="V76" s="55">
        <f t="shared" ca="1" si="2"/>
        <v>0</v>
      </c>
      <c r="W76" s="55">
        <f t="shared" ca="1" si="12"/>
        <v>-84.223518362052474</v>
      </c>
      <c r="X76" s="55">
        <f t="shared" ca="1" si="13"/>
        <v>41.485178135458206</v>
      </c>
      <c r="Y76" s="55">
        <f t="shared" ca="1" si="14"/>
        <v>-1.6629032738171023</v>
      </c>
      <c r="Z76">
        <f t="shared" ca="1" si="3"/>
        <v>120</v>
      </c>
      <c r="AA76">
        <f t="shared" ca="1" si="15"/>
        <v>131.79841367834015</v>
      </c>
      <c r="AB76">
        <f t="shared" ca="1" si="4"/>
        <v>0</v>
      </c>
      <c r="AC76">
        <f t="shared" ca="1" si="5"/>
        <v>0.48971383402625723</v>
      </c>
      <c r="AD76" s="83">
        <f ca="1"/>
        <v>45620</v>
      </c>
      <c r="AE76" s="55">
        <f t="shared" ca="1" si="20"/>
        <v>45620</v>
      </c>
      <c r="AF76" s="55">
        <f t="shared" ca="1" si="21"/>
        <v>365.82433202697649</v>
      </c>
      <c r="AG76" s="55">
        <f t="shared" ca="1" si="22"/>
        <v>16.345333316839117</v>
      </c>
      <c r="AH76" s="55">
        <f t="shared" ca="1" si="23"/>
        <v>0</v>
      </c>
      <c r="AI76" s="55">
        <f t="shared" ca="1" si="17"/>
        <v>-3.7431302715706809</v>
      </c>
      <c r="AJ76" s="55">
        <f t="shared" ca="1" si="18"/>
        <v>50.462393962053504</v>
      </c>
      <c r="AK76" s="55">
        <f t="shared" ca="1" si="19"/>
        <v>302.06770935139616</v>
      </c>
    </row>
    <row r="77" spans="2:37">
      <c r="R77" s="83">
        <f ca="1"/>
        <v>45480</v>
      </c>
      <c r="S77" s="55">
        <f t="shared" ca="1" si="11"/>
        <v>45480</v>
      </c>
      <c r="T77" s="55">
        <f t="shared" ca="1" si="0"/>
        <v>523.18958355444772</v>
      </c>
      <c r="U77" s="55">
        <f t="shared" ca="1" si="1"/>
        <v>97.315901452303095</v>
      </c>
      <c r="V77" s="55">
        <f t="shared" ca="1" si="2"/>
        <v>0</v>
      </c>
      <c r="W77" s="55">
        <f t="shared" ca="1" si="12"/>
        <v>-91.974306656390965</v>
      </c>
      <c r="X77" s="55">
        <f t="shared" ca="1" si="13"/>
        <v>42.061936708892652</v>
      </c>
      <c r="Y77" s="55">
        <f t="shared" ca="1" si="14"/>
        <v>-1.6567408987137537</v>
      </c>
      <c r="Z77">
        <f t="shared" ca="1" si="3"/>
        <v>120</v>
      </c>
      <c r="AA77">
        <f t="shared" ca="1" si="15"/>
        <v>134.48841367834015</v>
      </c>
      <c r="AB77">
        <f t="shared" ca="1" si="4"/>
        <v>0</v>
      </c>
      <c r="AC77">
        <f t="shared" ca="1" si="5"/>
        <v>0.51912556291730094</v>
      </c>
      <c r="AD77" s="83">
        <f ca="1"/>
        <v>45621</v>
      </c>
      <c r="AE77" s="55">
        <f t="shared" ca="1" si="20"/>
        <v>45621</v>
      </c>
      <c r="AF77" s="55">
        <f t="shared" ca="1" si="21"/>
        <v>370.00264432592172</v>
      </c>
      <c r="AG77" s="55">
        <f t="shared" ca="1" si="22"/>
        <v>17.258184029938143</v>
      </c>
      <c r="AH77" s="55">
        <f t="shared" ca="1" si="23"/>
        <v>0</v>
      </c>
      <c r="AI77" s="55">
        <f t="shared" ca="1" si="17"/>
        <v>-3.7431302715706809</v>
      </c>
      <c r="AJ77" s="55">
        <f t="shared" ca="1" si="18"/>
        <v>51.399437633675234</v>
      </c>
      <c r="AK77" s="55">
        <f t="shared" ca="1" si="19"/>
        <v>306.2218286918187</v>
      </c>
    </row>
    <row r="78" spans="2:37">
      <c r="R78" s="83">
        <f ca="1"/>
        <v>45481</v>
      </c>
      <c r="S78" s="55">
        <f t="shared" ca="1" si="11"/>
        <v>45481</v>
      </c>
      <c r="T78" s="55">
        <f t="shared" ca="1" si="0"/>
        <v>510.60548055443235</v>
      </c>
      <c r="U78" s="55">
        <f t="shared" ca="1" si="1"/>
        <v>101.20956451379304</v>
      </c>
      <c r="V78" s="55">
        <f t="shared" ca="1" si="2"/>
        <v>0</v>
      </c>
      <c r="W78" s="55">
        <f t="shared" ca="1" si="12"/>
        <v>-101.22588595768303</v>
      </c>
      <c r="X78" s="55">
        <f t="shared" ca="1" si="13"/>
        <v>42.616840796810223</v>
      </c>
      <c r="Y78" s="55">
        <f t="shared" ca="1" si="14"/>
        <v>-1.6505056238646452</v>
      </c>
      <c r="Z78">
        <f t="shared" ca="1" si="3"/>
        <v>120</v>
      </c>
      <c r="AA78">
        <f t="shared" ca="1" si="15"/>
        <v>137.77841367834014</v>
      </c>
      <c r="AB78">
        <f t="shared" ca="1" si="4"/>
        <v>0</v>
      </c>
      <c r="AC78">
        <f t="shared" ca="1" si="5"/>
        <v>0.54714074716020367</v>
      </c>
      <c r="AD78" s="83">
        <f ca="1"/>
        <v>45622</v>
      </c>
      <c r="AE78" s="55">
        <f t="shared" ca="1" si="20"/>
        <v>45622</v>
      </c>
      <c r="AF78" s="55">
        <f t="shared" ca="1" si="21"/>
        <v>374.05254731471672</v>
      </c>
      <c r="AG78" s="55">
        <f t="shared" ca="1" si="22"/>
        <v>18.248993096455109</v>
      </c>
      <c r="AH78" s="55">
        <f t="shared" ca="1" si="23"/>
        <v>0</v>
      </c>
      <c r="AI78" s="55">
        <f t="shared" ca="1" si="17"/>
        <v>-3.7431302715706809</v>
      </c>
      <c r="AJ78" s="55">
        <f t="shared" ca="1" si="18"/>
        <v>52.333275479910881</v>
      </c>
      <c r="AK78" s="55">
        <f t="shared" ca="1" si="19"/>
        <v>310.32870290089505</v>
      </c>
    </row>
    <row r="79" spans="2:37">
      <c r="R79" s="83">
        <f ca="1"/>
        <v>45482</v>
      </c>
      <c r="S79" s="55">
        <f t="shared" ca="1" si="11"/>
        <v>45482</v>
      </c>
      <c r="T79" s="55">
        <f t="shared" ca="1" si="0"/>
        <v>503.73215341183516</v>
      </c>
      <c r="U79" s="55">
        <f t="shared" ca="1" si="1"/>
        <v>105.29220598619169</v>
      </c>
      <c r="V79" s="55">
        <f t="shared" ca="1" si="2"/>
        <v>0</v>
      </c>
      <c r="W79" s="55">
        <f t="shared" ca="1" si="12"/>
        <v>-104.58264022056362</v>
      </c>
      <c r="X79" s="55">
        <f t="shared" ca="1" si="13"/>
        <v>43.176423888035465</v>
      </c>
      <c r="Y79" s="55">
        <f t="shared" ca="1" si="14"/>
        <v>-1.6440201224078859</v>
      </c>
      <c r="Z79">
        <f t="shared" ca="1" si="3"/>
        <v>120</v>
      </c>
      <c r="AA79">
        <f t="shared" ca="1" si="15"/>
        <v>138.98841367834012</v>
      </c>
      <c r="AB79">
        <f t="shared" ca="1" si="4"/>
        <v>0</v>
      </c>
      <c r="AC79">
        <f t="shared" ca="1" si="5"/>
        <v>0.57513017510721143</v>
      </c>
      <c r="AD79" s="83">
        <f ca="1"/>
        <v>45623</v>
      </c>
      <c r="AE79" s="55">
        <f t="shared" ca="1" si="20"/>
        <v>45623</v>
      </c>
      <c r="AF79" s="55">
        <f t="shared" ca="1" si="21"/>
        <v>377.93741926999405</v>
      </c>
      <c r="AG79" s="55">
        <f t="shared" ca="1" si="22"/>
        <v>19.273468886323506</v>
      </c>
      <c r="AH79" s="55">
        <f t="shared" ca="1" si="23"/>
        <v>0</v>
      </c>
      <c r="AI79" s="55">
        <f t="shared" ca="1" si="17"/>
        <v>-3.7431302715706809</v>
      </c>
      <c r="AJ79" s="55">
        <f t="shared" ca="1" si="18"/>
        <v>53.333458574031489</v>
      </c>
      <c r="AK79" s="55">
        <f t="shared" ca="1" si="19"/>
        <v>314.2378675519202</v>
      </c>
    </row>
    <row r="80" spans="2:37">
      <c r="R80" s="83">
        <f ca="1"/>
        <v>45483</v>
      </c>
      <c r="S80" s="55">
        <f t="shared" ca="1" si="11"/>
        <v>45483</v>
      </c>
      <c r="T80" s="55">
        <f t="shared" ca="1" si="0"/>
        <v>490.38039225433096</v>
      </c>
      <c r="U80" s="55">
        <f t="shared" ca="1" si="1"/>
        <v>109.4215766976224</v>
      </c>
      <c r="V80" s="55">
        <f t="shared" ca="1" si="2"/>
        <v>0</v>
      </c>
      <c r="W80" s="55">
        <f t="shared" ca="1" si="12"/>
        <v>-114.35897743194128</v>
      </c>
      <c r="X80" s="55">
        <f t="shared" ca="1" si="13"/>
        <v>43.723778875983932</v>
      </c>
      <c r="Y80" s="55">
        <f t="shared" ca="1" si="14"/>
        <v>-1.6374283450521601</v>
      </c>
      <c r="Z80">
        <f t="shared" ca="1" si="3"/>
        <v>120</v>
      </c>
      <c r="AA80">
        <f t="shared" ca="1" si="15"/>
        <v>142.60841367834013</v>
      </c>
      <c r="AB80">
        <f t="shared" ca="1" si="4"/>
        <v>0</v>
      </c>
      <c r="AC80">
        <f t="shared" ca="1" si="5"/>
        <v>0.60195198580097942</v>
      </c>
      <c r="AD80" s="83">
        <f ca="1"/>
        <v>45624</v>
      </c>
      <c r="AE80" s="55">
        <f t="shared" ca="1" si="20"/>
        <v>45624</v>
      </c>
      <c r="AF80" s="55">
        <f t="shared" ca="1" si="21"/>
        <v>381.34189069417221</v>
      </c>
      <c r="AG80" s="55">
        <f t="shared" ca="1" si="22"/>
        <v>20.248275519027771</v>
      </c>
      <c r="AH80" s="55">
        <f t="shared" ca="1" si="23"/>
        <v>0</v>
      </c>
      <c r="AI80" s="55">
        <f t="shared" ca="1" si="17"/>
        <v>-3.7431302715706809</v>
      </c>
      <c r="AJ80" s="55">
        <f t="shared" ca="1" si="18"/>
        <v>54.195715289860154</v>
      </c>
      <c r="AK80" s="55">
        <f t="shared" ca="1" si="19"/>
        <v>317.75488889297395</v>
      </c>
    </row>
    <row r="81" spans="18:37">
      <c r="R81" s="83">
        <f ca="1"/>
        <v>45484</v>
      </c>
      <c r="S81" s="55">
        <f t="shared" ca="1" si="11"/>
        <v>45484</v>
      </c>
      <c r="T81" s="55">
        <f t="shared" ca="1" si="0"/>
        <v>484.83108426897104</v>
      </c>
      <c r="U81" s="55">
        <f t="shared" ca="1" si="1"/>
        <v>113.88961659309864</v>
      </c>
      <c r="V81" s="55">
        <f t="shared" ca="1" si="2"/>
        <v>0</v>
      </c>
      <c r="W81" s="55">
        <f t="shared" ca="1" si="12"/>
        <v>-116.01442965590897</v>
      </c>
      <c r="X81" s="55">
        <f t="shared" ca="1" si="13"/>
        <v>44.291019758514196</v>
      </c>
      <c r="Y81" s="55">
        <f t="shared" ca="1" si="14"/>
        <v>-1.6304850934983719</v>
      </c>
      <c r="Z81">
        <f t="shared" ca="1" si="3"/>
        <v>120</v>
      </c>
      <c r="AA81">
        <f t="shared" ca="1" si="15"/>
        <v>143.22841367834013</v>
      </c>
      <c r="AB81">
        <f t="shared" ca="1" si="4"/>
        <v>0</v>
      </c>
      <c r="AC81">
        <f t="shared" ca="1" si="5"/>
        <v>0.62927027520819967</v>
      </c>
      <c r="AD81" s="83">
        <f ca="1"/>
        <v>45625</v>
      </c>
      <c r="AE81" s="55">
        <f t="shared" ca="1" si="20"/>
        <v>45625</v>
      </c>
      <c r="AF81" s="55">
        <f t="shared" ca="1" si="21"/>
        <v>384.84397584958509</v>
      </c>
      <c r="AG81" s="55">
        <f t="shared" ca="1" si="22"/>
        <v>21.383056607750344</v>
      </c>
      <c r="AH81" s="55">
        <f t="shared" ca="1" si="23"/>
        <v>0</v>
      </c>
      <c r="AI81" s="55">
        <f t="shared" ca="1" si="17"/>
        <v>-3.7431302715706809</v>
      </c>
      <c r="AJ81" s="55">
        <f t="shared" ca="1" si="18"/>
        <v>55.166117401025694</v>
      </c>
      <c r="AK81" s="55">
        <f t="shared" ca="1" si="19"/>
        <v>321.42135302594386</v>
      </c>
    </row>
    <row r="82" spans="18:37">
      <c r="R82" s="83">
        <f ca="1"/>
        <v>45485</v>
      </c>
      <c r="S82" s="55">
        <f t="shared" ca="1" si="11"/>
        <v>45485</v>
      </c>
      <c r="T82" s="55">
        <f t="shared" ref="T82:T145" ca="1" si="27">VLOOKUP(S82,ModelOutputs,2,FALSE)</f>
        <v>470.03397591490301</v>
      </c>
      <c r="U82" s="55">
        <f t="shared" ref="U82:U145" ca="1" si="28">VLOOKUP(S82,ModelOutputs,7,FALSE)</f>
        <v>118.37245555460065</v>
      </c>
      <c r="V82" s="55">
        <f t="shared" ref="V82:V145" ca="1" si="29">VLOOKUP(S82,ModelOutputs,6,FALSE)</f>
        <v>0</v>
      </c>
      <c r="W82" s="55">
        <f t="shared" ca="1" si="12"/>
        <v>-126.88651988141891</v>
      </c>
      <c r="X82" s="55">
        <f t="shared" ca="1" si="13"/>
        <v>44.841850604539097</v>
      </c>
      <c r="Y82" s="55">
        <f t="shared" ca="1" si="14"/>
        <v>-1.6234951065792957</v>
      </c>
      <c r="Z82">
        <f t="shared" ref="Z82:Z145" ca="1" si="30">VLOOKUP(S82,ModelOutputs,10,FALSE)*AWC</f>
        <v>120</v>
      </c>
      <c r="AA82">
        <f t="shared" ca="1" si="15"/>
        <v>147.42841367834012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0.65491323034539928</v>
      </c>
      <c r="AD82" s="83">
        <f ca="1"/>
        <v>45626</v>
      </c>
      <c r="AE82" s="55">
        <f t="shared" ca="1" si="20"/>
        <v>45626</v>
      </c>
      <c r="AF82" s="55">
        <f t="shared" ca="1" si="21"/>
        <v>388.17708165371795</v>
      </c>
      <c r="AG82" s="55">
        <f t="shared" ca="1" si="22"/>
        <v>22.551806048570825</v>
      </c>
      <c r="AH82" s="55">
        <f t="shared" ca="1" si="23"/>
        <v>0</v>
      </c>
      <c r="AI82" s="55">
        <f t="shared" ca="1" si="17"/>
        <v>-3.7431302715706809</v>
      </c>
      <c r="AJ82" s="55">
        <f t="shared" ca="1" si="18"/>
        <v>56.184356007204308</v>
      </c>
      <c r="AK82" s="55">
        <f t="shared" ca="1" si="19"/>
        <v>324.90496966471858</v>
      </c>
    </row>
    <row r="83" spans="18:37">
      <c r="R83" s="83">
        <f ca="1"/>
        <v>45486</v>
      </c>
      <c r="S83" s="55">
        <f t="shared" ref="S83:S146" ca="1" si="33">IF(R83&gt;1,R83,"")</f>
        <v>45486</v>
      </c>
      <c r="T83" s="55">
        <f t="shared" ca="1" si="27"/>
        <v>457.54015011874441</v>
      </c>
      <c r="U83" s="55">
        <f t="shared" ca="1" si="28"/>
        <v>122.92269446178281</v>
      </c>
      <c r="V83" s="55">
        <f t="shared" ca="1" si="29"/>
        <v>0</v>
      </c>
      <c r="W83" s="55">
        <f t="shared" ref="W83:W146" ca="1" si="34">-VLOOKUP(S83,ModelOutputs,9,FALSE)+W82</f>
        <v>-135.37819982695606</v>
      </c>
      <c r="X83" s="55">
        <f t="shared" ref="X83:X146" ca="1" si="35">VLOOKUP(S83,ModelOutputs,5,FALSE)+X82</f>
        <v>45.382870263295743</v>
      </c>
      <c r="Y83" s="55">
        <f t="shared" ref="Y83:Y146" ca="1" si="36">VLOOKUP(S83,ModelOutputs,4,FALSE)+Y82</f>
        <v>-1.6164217087751696</v>
      </c>
      <c r="Z83">
        <f t="shared" ca="1" si="30"/>
        <v>120</v>
      </c>
      <c r="AA83">
        <f t="shared" ref="AA83:AA146" ca="1" si="37">VLOOKUP(S83,ModelOutputs,11,FALSE)+AA82</f>
        <v>150.79841367834013</v>
      </c>
      <c r="AB83">
        <f t="shared" ca="1" si="31"/>
        <v>0</v>
      </c>
      <c r="AC83">
        <f t="shared" ca="1" si="32"/>
        <v>0.67917448064711861</v>
      </c>
      <c r="AD83" s="83">
        <f ca="1"/>
        <v>45627</v>
      </c>
      <c r="AE83" s="55">
        <f t="shared" ca="1" si="20"/>
        <v>45627</v>
      </c>
      <c r="AF83" s="55">
        <f t="shared" ca="1" si="21"/>
        <v>391.33040096633937</v>
      </c>
      <c r="AG83" s="55">
        <f t="shared" ca="1" si="22"/>
        <v>23.80992269445866</v>
      </c>
      <c r="AH83" s="55">
        <f t="shared" ca="1" si="23"/>
        <v>0</v>
      </c>
      <c r="AI83" s="55">
        <f t="shared" ref="AI83:AI146" ca="1" si="38">-VLOOKUP(AE83,ModelOutputs,9,FALSE)+AI82</f>
        <v>-3.7431302715706809</v>
      </c>
      <c r="AJ83" s="55">
        <f t="shared" ref="AJ83:AJ146" ca="1" si="39">VLOOKUP(AE83,ModelOutputs,5,FALSE)+AJ82</f>
        <v>57.172540717313836</v>
      </c>
      <c r="AK83" s="55">
        <f t="shared" ref="AK83:AK146" ca="1" si="40">VLOOKUP(AE83,ModelOutputs,4,FALSE)+AK82</f>
        <v>328.32822091311829</v>
      </c>
    </row>
    <row r="84" spans="18:37">
      <c r="R84" s="83">
        <f ca="1"/>
        <v>45487</v>
      </c>
      <c r="S84" s="55">
        <f t="shared" ca="1" si="33"/>
        <v>45487</v>
      </c>
      <c r="T84" s="55">
        <f t="shared" ca="1" si="27"/>
        <v>450.15623476242877</v>
      </c>
      <c r="U84" s="55">
        <f t="shared" ca="1" si="28"/>
        <v>128.208801115109</v>
      </c>
      <c r="V84" s="55">
        <f t="shared" ca="1" si="29"/>
        <v>0</v>
      </c>
      <c r="W84" s="55">
        <f t="shared" ca="1" si="34"/>
        <v>-138.08044203621108</v>
      </c>
      <c r="X84" s="55">
        <f t="shared" ca="1" si="35"/>
        <v>45.979583551598232</v>
      </c>
      <c r="Y84" s="55">
        <f t="shared" ca="1" si="36"/>
        <v>-1.6087014908121291</v>
      </c>
      <c r="Z84">
        <f t="shared" ca="1" si="30"/>
        <v>120</v>
      </c>
      <c r="AA84">
        <f t="shared" ca="1" si="37"/>
        <v>151.8884136783401</v>
      </c>
      <c r="AB84">
        <f t="shared" ca="1" si="31"/>
        <v>0</v>
      </c>
      <c r="AC84">
        <f t="shared" ca="1" si="32"/>
        <v>0.70520820945610196</v>
      </c>
      <c r="AD84" s="83">
        <f ca="1"/>
        <v>45628</v>
      </c>
      <c r="AE84" s="55">
        <f t="shared" ca="1" si="20"/>
        <v>45628</v>
      </c>
      <c r="AF84" s="55">
        <f t="shared" ca="1" si="21"/>
        <v>394.26235216336062</v>
      </c>
      <c r="AG84" s="55">
        <f t="shared" ca="1" si="22"/>
        <v>25.12194510451307</v>
      </c>
      <c r="AH84" s="55">
        <f t="shared" ca="1" si="23"/>
        <v>0</v>
      </c>
      <c r="AI84" s="55">
        <f t="shared" ca="1" si="38"/>
        <v>-3.7431302715706809</v>
      </c>
      <c r="AJ84" s="55">
        <f t="shared" ca="1" si="39"/>
        <v>58.134692687136365</v>
      </c>
      <c r="AK84" s="55">
        <f t="shared" ca="1" si="40"/>
        <v>331.61004255037142</v>
      </c>
    </row>
    <row r="85" spans="18:37">
      <c r="R85" s="83">
        <f ca="1"/>
        <v>45488</v>
      </c>
      <c r="S85" s="55">
        <f t="shared" ca="1" si="33"/>
        <v>45488</v>
      </c>
      <c r="T85" s="55">
        <f t="shared" ca="1" si="27"/>
        <v>432.67932581599342</v>
      </c>
      <c r="U85" s="55">
        <f t="shared" ca="1" si="28"/>
        <v>133.70874663147049</v>
      </c>
      <c r="V85" s="55">
        <f t="shared" ca="1" si="29"/>
        <v>0</v>
      </c>
      <c r="W85" s="55">
        <f t="shared" ca="1" si="34"/>
        <v>-150.66200434515613</v>
      </c>
      <c r="X85" s="55">
        <f t="shared" ca="1" si="35"/>
        <v>46.576296839900721</v>
      </c>
      <c r="Y85" s="55">
        <f t="shared" ca="1" si="36"/>
        <v>-1.6008159002434317</v>
      </c>
      <c r="Z85">
        <f t="shared" ca="1" si="30"/>
        <v>120</v>
      </c>
      <c r="AA85">
        <f t="shared" ca="1" si="37"/>
        <v>157.1684136783401</v>
      </c>
      <c r="AB85">
        <f t="shared" ca="1" si="31"/>
        <v>0</v>
      </c>
      <c r="AC85">
        <f t="shared" ca="1" si="32"/>
        <v>0.72996931909213636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397.08737289512311</v>
      </c>
      <c r="AG85" s="55">
        <f t="shared" ref="AG85:AG148" ca="1" si="43">VLOOKUP(AE85,ModelOutputs,7,FALSE)</f>
        <v>26.568221244751459</v>
      </c>
      <c r="AH85" s="55">
        <f t="shared" ref="AH85:AH148" ca="1" si="44">VLOOKUP(AE85,ModelOutputs,6,FALSE)</f>
        <v>0</v>
      </c>
      <c r="AI85" s="55">
        <f t="shared" ca="1" si="38"/>
        <v>-3.7431302715706809</v>
      </c>
      <c r="AJ85" s="55">
        <f t="shared" ca="1" si="39"/>
        <v>59.124181765044362</v>
      </c>
      <c r="AK85" s="55">
        <f t="shared" ca="1" si="40"/>
        <v>334.89185034446433</v>
      </c>
    </row>
    <row r="86" spans="18:37">
      <c r="R86" s="83">
        <f ca="1"/>
        <v>45489</v>
      </c>
      <c r="S86" s="55">
        <f t="shared" ca="1" si="33"/>
        <v>45489</v>
      </c>
      <c r="T86" s="55">
        <f t="shared" ca="1" si="27"/>
        <v>418.68815970015817</v>
      </c>
      <c r="U86" s="55">
        <f t="shared" ca="1" si="28"/>
        <v>139.91149819815598</v>
      </c>
      <c r="V86" s="55">
        <f t="shared" ca="1" si="29"/>
        <v>0</v>
      </c>
      <c r="W86" s="55">
        <f t="shared" ca="1" si="34"/>
        <v>-159.10130133806888</v>
      </c>
      <c r="X86" s="55">
        <f t="shared" ca="1" si="35"/>
        <v>47.218717545028682</v>
      </c>
      <c r="Y86" s="55">
        <f t="shared" ca="1" si="36"/>
        <v>-1.5923541616084416</v>
      </c>
      <c r="Z86">
        <f t="shared" ca="1" si="30"/>
        <v>120</v>
      </c>
      <c r="AA86">
        <f t="shared" ca="1" si="37"/>
        <v>160.8284136783401</v>
      </c>
      <c r="AB86">
        <f t="shared" ca="1" si="31"/>
        <v>0</v>
      </c>
      <c r="AC86">
        <f t="shared" ca="1" si="32"/>
        <v>0.75524454171206945</v>
      </c>
      <c r="AD86" s="83">
        <f ca="1"/>
        <v>45630</v>
      </c>
      <c r="AE86" s="55">
        <f t="shared" ca="1" si="41"/>
        <v>45630</v>
      </c>
      <c r="AF86" s="55">
        <f t="shared" ca="1" si="42"/>
        <v>399.65062137467584</v>
      </c>
      <c r="AG86" s="55">
        <f t="shared" ca="1" si="43"/>
        <v>28.070426055143709</v>
      </c>
      <c r="AH86" s="55">
        <f t="shared" ca="1" si="44"/>
        <v>0</v>
      </c>
      <c r="AI86" s="55">
        <f t="shared" ca="1" si="38"/>
        <v>-3.7431302715706809</v>
      </c>
      <c r="AJ86" s="55">
        <f t="shared" ca="1" si="39"/>
        <v>60.061159786083714</v>
      </c>
      <c r="AK86" s="55">
        <f t="shared" ca="1" si="40"/>
        <v>338.02032561336995</v>
      </c>
    </row>
    <row r="87" spans="18:37">
      <c r="R87" s="83">
        <f ca="1"/>
        <v>45490</v>
      </c>
      <c r="S87" s="55">
        <f t="shared" ca="1" si="33"/>
        <v>45490</v>
      </c>
      <c r="T87" s="55">
        <f t="shared" ca="1" si="27"/>
        <v>413.14788351843936</v>
      </c>
      <c r="U87" s="55">
        <f t="shared" ca="1" si="28"/>
        <v>145.8740385409466</v>
      </c>
      <c r="V87" s="55">
        <f t="shared" ca="1" si="29"/>
        <v>0</v>
      </c>
      <c r="W87" s="55">
        <f t="shared" ca="1" si="34"/>
        <v>-159.28332591283643</v>
      </c>
      <c r="X87" s="55">
        <f t="shared" ca="1" si="35"/>
        <v>47.814819703077632</v>
      </c>
      <c r="Y87" s="55">
        <f t="shared" ca="1" si="36"/>
        <v>-1.5841675838181017</v>
      </c>
      <c r="Z87">
        <f t="shared" ca="1" si="30"/>
        <v>120</v>
      </c>
      <c r="AA87">
        <f t="shared" ca="1" si="37"/>
        <v>160.90841367834008</v>
      </c>
      <c r="AB87">
        <f t="shared" ca="1" si="31"/>
        <v>0</v>
      </c>
      <c r="AC87">
        <f t="shared" ca="1" si="32"/>
        <v>0.77710716695513926</v>
      </c>
      <c r="AD87" s="83">
        <f ca="1"/>
        <v>45631</v>
      </c>
      <c r="AE87" s="55">
        <f t="shared" ca="1" si="41"/>
        <v>45631</v>
      </c>
      <c r="AF87" s="55">
        <f t="shared" ca="1" si="42"/>
        <v>402.01898710280602</v>
      </c>
      <c r="AG87" s="55">
        <f t="shared" ca="1" si="43"/>
        <v>29.65127095443663</v>
      </c>
      <c r="AH87" s="55">
        <f t="shared" ca="1" si="44"/>
        <v>0</v>
      </c>
      <c r="AI87" s="55">
        <f t="shared" ca="1" si="38"/>
        <v>-3.7431302715706809</v>
      </c>
      <c r="AJ87" s="55">
        <f t="shared" ca="1" si="39"/>
        <v>60.994888060525739</v>
      </c>
      <c r="AK87" s="55">
        <f t="shared" ca="1" si="40"/>
        <v>341.035807966351</v>
      </c>
    </row>
    <row r="88" spans="18:37">
      <c r="R88" s="83">
        <f ca="1"/>
        <v>45491</v>
      </c>
      <c r="S88" s="55">
        <f t="shared" ca="1" si="33"/>
        <v>45491</v>
      </c>
      <c r="T88" s="55">
        <f t="shared" ca="1" si="27"/>
        <v>407.0356812803517</v>
      </c>
      <c r="U88" s="55">
        <f t="shared" ca="1" si="28"/>
        <v>152.17342543984884</v>
      </c>
      <c r="V88" s="55">
        <f t="shared" ca="1" si="29"/>
        <v>0</v>
      </c>
      <c r="W88" s="55">
        <f t="shared" ca="1" si="34"/>
        <v>-159.70923861121963</v>
      </c>
      <c r="X88" s="55">
        <f t="shared" ca="1" si="35"/>
        <v>48.41951443356087</v>
      </c>
      <c r="Y88" s="55">
        <f t="shared" ca="1" si="36"/>
        <v>-1.5757649551035202</v>
      </c>
      <c r="Z88">
        <f t="shared" ca="1" si="30"/>
        <v>120</v>
      </c>
      <c r="AA88">
        <f t="shared" ca="1" si="37"/>
        <v>161.09841367834008</v>
      </c>
      <c r="AB88">
        <f t="shared" ca="1" si="31"/>
        <v>0</v>
      </c>
      <c r="AC88">
        <f t="shared" ca="1" si="32"/>
        <v>0.79785215143830657</v>
      </c>
      <c r="AD88" s="83">
        <f ca="1"/>
        <v>45632</v>
      </c>
      <c r="AE88" s="55">
        <f t="shared" ca="1" si="41"/>
        <v>45632</v>
      </c>
      <c r="AF88" s="55">
        <f t="shared" ca="1" si="42"/>
        <v>404.12323995781099</v>
      </c>
      <c r="AG88" s="55">
        <f t="shared" ca="1" si="43"/>
        <v>31.227915374714023</v>
      </c>
      <c r="AH88" s="55">
        <f t="shared" ca="1" si="44"/>
        <v>0</v>
      </c>
      <c r="AI88" s="55">
        <f t="shared" ca="1" si="38"/>
        <v>-3.7431302715706809</v>
      </c>
      <c r="AJ88" s="55">
        <f t="shared" ca="1" si="39"/>
        <v>61.882301600257222</v>
      </c>
      <c r="AK88" s="55">
        <f t="shared" ca="1" si="40"/>
        <v>343.82929170190187</v>
      </c>
    </row>
    <row r="89" spans="18:37">
      <c r="R89" s="83">
        <f ca="1"/>
        <v>45492</v>
      </c>
      <c r="S89" s="55">
        <f t="shared" ca="1" si="33"/>
        <v>45492</v>
      </c>
      <c r="T89" s="55">
        <f t="shared" ca="1" si="27"/>
        <v>396.81602237747614</v>
      </c>
      <c r="U89" s="55">
        <f t="shared" ca="1" si="28"/>
        <v>159.10493737302104</v>
      </c>
      <c r="V89" s="55">
        <f t="shared" ca="1" si="29"/>
        <v>0</v>
      </c>
      <c r="W89" s="55">
        <f t="shared" ca="1" si="34"/>
        <v>-163.64289309391808</v>
      </c>
      <c r="X89" s="55">
        <f t="shared" ca="1" si="35"/>
        <v>49.056182757820132</v>
      </c>
      <c r="Y89" s="55">
        <f t="shared" ca="1" si="36"/>
        <v>-1.5669257663676519</v>
      </c>
      <c r="Z89">
        <f t="shared" ca="1" si="30"/>
        <v>120</v>
      </c>
      <c r="AA89">
        <f t="shared" ca="1" si="37"/>
        <v>162.89841367834009</v>
      </c>
      <c r="AB89">
        <f t="shared" ca="1" si="31"/>
        <v>0</v>
      </c>
      <c r="AC89">
        <f t="shared" ca="1" si="32"/>
        <v>0.81816990221866004</v>
      </c>
      <c r="AD89" s="83">
        <f ca="1"/>
        <v>45633</v>
      </c>
      <c r="AE89" s="55">
        <f t="shared" ca="1" si="41"/>
        <v>45633</v>
      </c>
      <c r="AF89" s="55">
        <f t="shared" ca="1" si="42"/>
        <v>406.04663173267068</v>
      </c>
      <c r="AG89" s="55">
        <f t="shared" ca="1" si="43"/>
        <v>32.783665446117489</v>
      </c>
      <c r="AH89" s="55">
        <f t="shared" ca="1" si="44"/>
        <v>0</v>
      </c>
      <c r="AI89" s="55">
        <f t="shared" ca="1" si="38"/>
        <v>-3.7431302715706809</v>
      </c>
      <c r="AJ89" s="55">
        <f t="shared" ca="1" si="39"/>
        <v>62.779148390109569</v>
      </c>
      <c r="AK89" s="55">
        <f t="shared" ca="1" si="40"/>
        <v>346.41158675831264</v>
      </c>
    </row>
    <row r="90" spans="18:37">
      <c r="R90" s="83">
        <f ca="1"/>
        <v>45493</v>
      </c>
      <c r="S90" s="55">
        <f t="shared" ca="1" si="33"/>
        <v>45493</v>
      </c>
      <c r="T90" s="55">
        <f t="shared" ca="1" si="27"/>
        <v>384.60202710670757</v>
      </c>
      <c r="U90" s="55">
        <f t="shared" ca="1" si="28"/>
        <v>166.58487954346913</v>
      </c>
      <c r="V90" s="55">
        <f t="shared" ca="1" si="29"/>
        <v>0</v>
      </c>
      <c r="W90" s="55">
        <f t="shared" ca="1" si="34"/>
        <v>-169.04404330067749</v>
      </c>
      <c r="X90" s="55">
        <f t="shared" ca="1" si="35"/>
        <v>49.714105266176077</v>
      </c>
      <c r="Y90" s="55">
        <f t="shared" ca="1" si="36"/>
        <v>-1.5577511682847356</v>
      </c>
      <c r="Z90">
        <f t="shared" ca="1" si="30"/>
        <v>120</v>
      </c>
      <c r="AA90">
        <f t="shared" ca="1" si="37"/>
        <v>165.4484136783401</v>
      </c>
      <c r="AB90">
        <f t="shared" ca="1" si="31"/>
        <v>0</v>
      </c>
      <c r="AC90">
        <f t="shared" ca="1" si="32"/>
        <v>0.83748372975819019</v>
      </c>
      <c r="AD90" s="83">
        <f ca="1"/>
        <v>45634</v>
      </c>
      <c r="AE90" s="55">
        <f t="shared" ca="1" si="41"/>
        <v>45634</v>
      </c>
      <c r="AF90" s="55">
        <f t="shared" ca="1" si="42"/>
        <v>407.83469562740248</v>
      </c>
      <c r="AG90" s="55">
        <f t="shared" ca="1" si="43"/>
        <v>34.513966885051303</v>
      </c>
      <c r="AH90" s="55">
        <f t="shared" ca="1" si="44"/>
        <v>0</v>
      </c>
      <c r="AI90" s="55">
        <f t="shared" ca="1" si="38"/>
        <v>-3.7431302715706809</v>
      </c>
      <c r="AJ90" s="55">
        <f t="shared" ca="1" si="39"/>
        <v>63.69125761695998</v>
      </c>
      <c r="AK90" s="55">
        <f t="shared" ca="1" si="40"/>
        <v>349.01784286512782</v>
      </c>
    </row>
    <row r="91" spans="18:37">
      <c r="R91" s="83">
        <f ca="1"/>
        <v>45494</v>
      </c>
      <c r="S91" s="55">
        <f t="shared" ca="1" si="33"/>
        <v>45494</v>
      </c>
      <c r="T91" s="55">
        <f t="shared" ca="1" si="27"/>
        <v>369.98103020894109</v>
      </c>
      <c r="U91" s="55">
        <f t="shared" ca="1" si="28"/>
        <v>174.55104899160463</v>
      </c>
      <c r="V91" s="55">
        <f t="shared" ca="1" si="29"/>
        <v>0</v>
      </c>
      <c r="W91" s="55">
        <f t="shared" ca="1" si="34"/>
        <v>-176.37931937786345</v>
      </c>
      <c r="X91" s="55">
        <f t="shared" ca="1" si="35"/>
        <v>50.385126631687271</v>
      </c>
      <c r="Y91" s="55">
        <f t="shared" ca="1" si="36"/>
        <v>-1.5483239062408742</v>
      </c>
      <c r="Z91">
        <f t="shared" ca="1" si="30"/>
        <v>120</v>
      </c>
      <c r="AA91">
        <f t="shared" ca="1" si="37"/>
        <v>169.04841367834013</v>
      </c>
      <c r="AB91">
        <f t="shared" ca="1" si="31"/>
        <v>0</v>
      </c>
      <c r="AC91">
        <f t="shared" ca="1" si="32"/>
        <v>0.8554509143064164</v>
      </c>
      <c r="AD91" s="83">
        <f ca="1"/>
        <v>45635</v>
      </c>
      <c r="AE91" s="55">
        <f t="shared" ca="1" si="41"/>
        <v>45635</v>
      </c>
      <c r="AF91" s="55">
        <f t="shared" ca="1" si="42"/>
        <v>409.57798611264832</v>
      </c>
      <c r="AG91" s="55">
        <f t="shared" ca="1" si="43"/>
        <v>36.463015191552174</v>
      </c>
      <c r="AH91" s="55">
        <f t="shared" ca="1" si="44"/>
        <v>0</v>
      </c>
      <c r="AI91" s="55">
        <f t="shared" ca="1" si="38"/>
        <v>-3.7431302715706809</v>
      </c>
      <c r="AJ91" s="55">
        <f t="shared" ca="1" si="39"/>
        <v>64.729181432257207</v>
      </c>
      <c r="AK91" s="55">
        <f t="shared" ca="1" si="40"/>
        <v>351.67225784157728</v>
      </c>
    </row>
    <row r="92" spans="18:37">
      <c r="R92" s="83">
        <f ca="1"/>
        <v>45495</v>
      </c>
      <c r="S92" s="55">
        <f t="shared" ca="1" si="33"/>
        <v>45495</v>
      </c>
      <c r="T92" s="55">
        <f t="shared" ca="1" si="27"/>
        <v>354.24965947961869</v>
      </c>
      <c r="U92" s="55">
        <f t="shared" ca="1" si="28"/>
        <v>182.35916114122594</v>
      </c>
      <c r="V92" s="55">
        <f t="shared" ca="1" si="29"/>
        <v>0</v>
      </c>
      <c r="W92" s="55">
        <f t="shared" ca="1" si="34"/>
        <v>-184.94394665241271</v>
      </c>
      <c r="X92" s="55">
        <f t="shared" ca="1" si="35"/>
        <v>51.017343754011456</v>
      </c>
      <c r="Y92" s="55">
        <f t="shared" ca="1" si="36"/>
        <v>-1.5391723337168659</v>
      </c>
      <c r="Z92">
        <f t="shared" ca="1" si="30"/>
        <v>120</v>
      </c>
      <c r="AA92">
        <f t="shared" ca="1" si="37"/>
        <v>173.43841367834011</v>
      </c>
      <c r="AB92">
        <f t="shared" ca="1" si="31"/>
        <v>0</v>
      </c>
      <c r="AC92">
        <f t="shared" ca="1" si="32"/>
        <v>0.87080746739530179</v>
      </c>
      <c r="AD92" s="83">
        <f ca="1"/>
        <v>45636</v>
      </c>
      <c r="AE92" s="55">
        <f t="shared" ca="1" si="41"/>
        <v>45636</v>
      </c>
      <c r="AF92" s="55">
        <f t="shared" ca="1" si="42"/>
        <v>411.16824220921956</v>
      </c>
      <c r="AG92" s="55">
        <f t="shared" ca="1" si="43"/>
        <v>38.653875716531218</v>
      </c>
      <c r="AH92" s="55">
        <f t="shared" ca="1" si="44"/>
        <v>0</v>
      </c>
      <c r="AI92" s="55">
        <f t="shared" ca="1" si="38"/>
        <v>-3.7431302715706809</v>
      </c>
      <c r="AJ92" s="55">
        <f t="shared" ca="1" si="39"/>
        <v>65.813164993204836</v>
      </c>
      <c r="AK92" s="55">
        <f t="shared" ca="1" si="40"/>
        <v>354.36939090217993</v>
      </c>
    </row>
    <row r="93" spans="18:37">
      <c r="R93" s="83">
        <f ca="1"/>
        <v>45496</v>
      </c>
      <c r="S93" s="55">
        <f t="shared" ca="1" si="33"/>
        <v>45496</v>
      </c>
      <c r="T93" s="55">
        <f t="shared" ca="1" si="27"/>
        <v>344.70020743775757</v>
      </c>
      <c r="U93" s="55">
        <f t="shared" ca="1" si="28"/>
        <v>190.45997439450568</v>
      </c>
      <c r="V93" s="55">
        <f t="shared" ca="1" si="29"/>
        <v>0</v>
      </c>
      <c r="W93" s="55">
        <f t="shared" ca="1" si="34"/>
        <v>-187.03213051776029</v>
      </c>
      <c r="X93" s="55">
        <f t="shared" ca="1" si="35"/>
        <v>51.647659337839499</v>
      </c>
      <c r="Y93" s="55">
        <f t="shared" ca="1" si="36"/>
        <v>-1.529942840778681</v>
      </c>
      <c r="Z93">
        <f t="shared" ca="1" si="30"/>
        <v>120</v>
      </c>
      <c r="AA93">
        <f t="shared" ca="1" si="37"/>
        <v>174.53841367834013</v>
      </c>
      <c r="AB93">
        <f t="shared" ca="1" si="31"/>
        <v>0</v>
      </c>
      <c r="AC93">
        <f t="shared" ca="1" si="32"/>
        <v>0.88471015526258279</v>
      </c>
      <c r="AD93" s="83">
        <f ca="1"/>
        <v>45637</v>
      </c>
      <c r="AE93" s="55">
        <f t="shared" ca="1" si="41"/>
        <v>45637</v>
      </c>
      <c r="AF93" s="55">
        <f t="shared" ca="1" si="42"/>
        <v>412.47771955018322</v>
      </c>
      <c r="AG93" s="55">
        <f t="shared" ca="1" si="43"/>
        <v>40.859454256658132</v>
      </c>
      <c r="AH93" s="55">
        <f t="shared" ca="1" si="44"/>
        <v>0</v>
      </c>
      <c r="AI93" s="55">
        <f t="shared" ca="1" si="38"/>
        <v>-3.7431302715706809</v>
      </c>
      <c r="AJ93" s="55">
        <f t="shared" ca="1" si="39"/>
        <v>66.83213352988183</v>
      </c>
      <c r="AK93" s="55">
        <f t="shared" ca="1" si="40"/>
        <v>356.86547824659351</v>
      </c>
    </row>
    <row r="94" spans="18:37">
      <c r="R94" s="83">
        <f ca="1"/>
        <v>45497</v>
      </c>
      <c r="S94" s="55">
        <f t="shared" ca="1" si="33"/>
        <v>45497</v>
      </c>
      <c r="T94" s="55">
        <f t="shared" ca="1" si="27"/>
        <v>337.31149842420689</v>
      </c>
      <c r="U94" s="55">
        <f t="shared" ca="1" si="28"/>
        <v>198.45870397075041</v>
      </c>
      <c r="V94" s="55">
        <f t="shared" ca="1" si="29"/>
        <v>0</v>
      </c>
      <c r="W94" s="55">
        <f t="shared" ca="1" si="34"/>
        <v>-187.03213051776029</v>
      </c>
      <c r="X94" s="55">
        <f t="shared" ca="1" si="35"/>
        <v>52.248661840881574</v>
      </c>
      <c r="Y94" s="55">
        <f t="shared" ca="1" si="36"/>
        <v>-1.5209247811266904</v>
      </c>
      <c r="Z94">
        <f t="shared" ca="1" si="30"/>
        <v>119.82608695652175</v>
      </c>
      <c r="AA94">
        <f t="shared" ca="1" si="37"/>
        <v>174.53841367834013</v>
      </c>
      <c r="AB94">
        <f t="shared" ca="1" si="31"/>
        <v>0</v>
      </c>
      <c r="AC94">
        <f t="shared" ca="1" si="32"/>
        <v>0.89669404362083327</v>
      </c>
      <c r="AD94" s="83">
        <f ca="1"/>
        <v>45638</v>
      </c>
      <c r="AE94" s="55">
        <f t="shared" ca="1" si="41"/>
        <v>45638</v>
      </c>
      <c r="AF94" s="55">
        <f t="shared" ca="1" si="42"/>
        <v>413.53046992121182</v>
      </c>
      <c r="AG94" s="55">
        <f t="shared" ca="1" si="43"/>
        <v>43.149914269464745</v>
      </c>
      <c r="AH94" s="55">
        <f t="shared" ca="1" si="44"/>
        <v>0</v>
      </c>
      <c r="AI94" s="55">
        <f t="shared" ca="1" si="38"/>
        <v>-3.7431302715706809</v>
      </c>
      <c r="AJ94" s="55">
        <f t="shared" ca="1" si="39"/>
        <v>67.796872699571551</v>
      </c>
      <c r="AK94" s="55">
        <f t="shared" ca="1" si="40"/>
        <v>359.24394946073897</v>
      </c>
    </row>
    <row r="95" spans="18:37">
      <c r="R95" s="83">
        <f ca="1"/>
        <v>45498</v>
      </c>
      <c r="S95" s="55">
        <f t="shared" ca="1" si="33"/>
        <v>45498</v>
      </c>
      <c r="T95" s="55">
        <f t="shared" ca="1" si="27"/>
        <v>329.76917036029772</v>
      </c>
      <c r="U95" s="55">
        <f t="shared" ca="1" si="28"/>
        <v>206.60063903124217</v>
      </c>
      <c r="V95" s="55">
        <f t="shared" ca="1" si="29"/>
        <v>0</v>
      </c>
      <c r="W95" s="55">
        <f t="shared" ca="1" si="34"/>
        <v>-187.03213051776029</v>
      </c>
      <c r="X95" s="55">
        <f t="shared" ca="1" si="35"/>
        <v>52.83928197203754</v>
      </c>
      <c r="Y95" s="55">
        <f t="shared" ca="1" si="36"/>
        <v>-1.5119379157000714</v>
      </c>
      <c r="Z95">
        <f t="shared" ca="1" si="30"/>
        <v>118.31335167638795</v>
      </c>
      <c r="AA95">
        <f t="shared" ca="1" si="37"/>
        <v>174.53841367834013</v>
      </c>
      <c r="AB95">
        <f t="shared" ca="1" si="31"/>
        <v>0</v>
      </c>
      <c r="AC95">
        <f t="shared" ca="1" si="32"/>
        <v>0.90736544930691265</v>
      </c>
      <c r="AD95" s="83">
        <f ca="1"/>
        <v>45639</v>
      </c>
      <c r="AE95" s="55">
        <f t="shared" ca="1" si="41"/>
        <v>45639</v>
      </c>
      <c r="AF95" s="55">
        <f t="shared" ca="1" si="42"/>
        <v>414.32852574240792</v>
      </c>
      <c r="AG95" s="55">
        <f t="shared" ca="1" si="43"/>
        <v>45.407583974297062</v>
      </c>
      <c r="AH95" s="55">
        <f t="shared" ca="1" si="44"/>
        <v>0</v>
      </c>
      <c r="AI95" s="55">
        <f t="shared" ca="1" si="38"/>
        <v>-3.7431302715706809</v>
      </c>
      <c r="AJ95" s="55">
        <f t="shared" ca="1" si="39"/>
        <v>68.671883286753214</v>
      </c>
      <c r="AK95" s="55">
        <f t="shared" ca="1" si="40"/>
        <v>361.42466439958571</v>
      </c>
    </row>
    <row r="96" spans="18:37">
      <c r="R96" s="83">
        <f ca="1"/>
        <v>45499</v>
      </c>
      <c r="S96" s="55">
        <f t="shared" ca="1" si="33"/>
        <v>45499</v>
      </c>
      <c r="T96" s="55">
        <f t="shared" ca="1" si="27"/>
        <v>321.40147995385007</v>
      </c>
      <c r="U96" s="55">
        <f t="shared" ca="1" si="28"/>
        <v>215.60364276306089</v>
      </c>
      <c r="V96" s="55">
        <f t="shared" ca="1" si="29"/>
        <v>0</v>
      </c>
      <c r="W96" s="55">
        <f t="shared" ca="1" si="34"/>
        <v>-187.03213051776029</v>
      </c>
      <c r="X96" s="55">
        <f t="shared" ca="1" si="35"/>
        <v>53.465174896819029</v>
      </c>
      <c r="Y96" s="55">
        <f t="shared" ca="1" si="36"/>
        <v>-1.502517515110537</v>
      </c>
      <c r="Z96">
        <f t="shared" ca="1" si="30"/>
        <v>119.88082407218289</v>
      </c>
      <c r="AA96">
        <f t="shared" ca="1" si="37"/>
        <v>174.53841367834013</v>
      </c>
      <c r="AB96">
        <f t="shared" ca="1" si="31"/>
        <v>0</v>
      </c>
      <c r="AC96">
        <f t="shared" ca="1" si="32"/>
        <v>0.91763286877738326</v>
      </c>
      <c r="AD96" s="83">
        <f ca="1"/>
        <v>45640</v>
      </c>
      <c r="AE96" s="55">
        <f t="shared" ca="1" si="41"/>
        <v>45640</v>
      </c>
      <c r="AF96" s="55">
        <f t="shared" ca="1" si="42"/>
        <v>414.95897115938646</v>
      </c>
      <c r="AG96" s="55">
        <f t="shared" ca="1" si="43"/>
        <v>47.67055477258873</v>
      </c>
      <c r="AH96" s="55">
        <f t="shared" ca="1" si="44"/>
        <v>0</v>
      </c>
      <c r="AI96" s="55">
        <f t="shared" ca="1" si="38"/>
        <v>-3.7431302715706809</v>
      </c>
      <c r="AJ96" s="55">
        <f t="shared" ca="1" si="39"/>
        <v>69.528092351063535</v>
      </c>
      <c r="AK96" s="55">
        <f t="shared" ca="1" si="40"/>
        <v>363.4618715505456</v>
      </c>
    </row>
    <row r="97" spans="18:37">
      <c r="R97" s="83">
        <f ca="1"/>
        <v>45500</v>
      </c>
      <c r="S97" s="55">
        <f t="shared" ca="1" si="33"/>
        <v>45500</v>
      </c>
      <c r="T97" s="55">
        <f t="shared" ca="1" si="27"/>
        <v>313.00795969233968</v>
      </c>
      <c r="U97" s="55">
        <f t="shared" ca="1" si="28"/>
        <v>224.61112221771481</v>
      </c>
      <c r="V97" s="55">
        <f t="shared" ca="1" si="29"/>
        <v>0</v>
      </c>
      <c r="W97" s="55">
        <f t="shared" ca="1" si="34"/>
        <v>-187.03213051776029</v>
      </c>
      <c r="X97" s="55">
        <f t="shared" ca="1" si="35"/>
        <v>54.069869627302268</v>
      </c>
      <c r="Y97" s="55">
        <f t="shared" ca="1" si="36"/>
        <v>-1.4932530524502083</v>
      </c>
      <c r="Z97">
        <f t="shared" ca="1" si="30"/>
        <v>119.84620514801945</v>
      </c>
      <c r="AA97">
        <f t="shared" ca="1" si="37"/>
        <v>174.53841367834013</v>
      </c>
      <c r="AB97">
        <f t="shared" ca="1" si="31"/>
        <v>0</v>
      </c>
      <c r="AC97">
        <f t="shared" ca="1" si="32"/>
        <v>0.92653533876008576</v>
      </c>
      <c r="AD97" s="83">
        <f ca="1"/>
        <v>45641</v>
      </c>
      <c r="AE97" s="55">
        <f t="shared" ca="1" si="41"/>
        <v>45641</v>
      </c>
      <c r="AF97" s="55">
        <f t="shared" ca="1" si="42"/>
        <v>415.36295328334467</v>
      </c>
      <c r="AG97" s="55">
        <f t="shared" ca="1" si="43"/>
        <v>50.256632589995206</v>
      </c>
      <c r="AH97" s="55">
        <f t="shared" ca="1" si="44"/>
        <v>0</v>
      </c>
      <c r="AI97" s="55">
        <f t="shared" ca="1" si="38"/>
        <v>-3.7431302715706809</v>
      </c>
      <c r="AJ97" s="55">
        <f t="shared" ca="1" si="39"/>
        <v>70.414149219801999</v>
      </c>
      <c r="AK97" s="55">
        <f t="shared" ca="1" si="40"/>
        <v>365.56587462317179</v>
      </c>
    </row>
    <row r="98" spans="18:37">
      <c r="R98" s="83">
        <f ca="1"/>
        <v>45501</v>
      </c>
      <c r="S98" s="55">
        <f t="shared" ca="1" si="33"/>
        <v>45501</v>
      </c>
      <c r="T98" s="55">
        <f t="shared" ca="1" si="27"/>
        <v>301.71727348721174</v>
      </c>
      <c r="U98" s="55">
        <f t="shared" ca="1" si="28"/>
        <v>234.00710844846139</v>
      </c>
      <c r="V98" s="55">
        <f t="shared" ca="1" si="29"/>
        <v>0</v>
      </c>
      <c r="W98" s="55">
        <f t="shared" ca="1" si="34"/>
        <v>-189.54396640953192</v>
      </c>
      <c r="X98" s="55">
        <f t="shared" ca="1" si="35"/>
        <v>54.677652338011029</v>
      </c>
      <c r="Y98" s="55">
        <f t="shared" ca="1" si="36"/>
        <v>-1.4838998457686898</v>
      </c>
      <c r="Z98">
        <f t="shared" ca="1" si="30"/>
        <v>120</v>
      </c>
      <c r="AA98">
        <f t="shared" ca="1" si="37"/>
        <v>176.05008224115923</v>
      </c>
      <c r="AB98">
        <f t="shared" ca="1" si="31"/>
        <v>0</v>
      </c>
      <c r="AC98">
        <f t="shared" ca="1" si="32"/>
        <v>0.93458642690755878</v>
      </c>
      <c r="AD98" s="83">
        <f ca="1"/>
        <v>45642</v>
      </c>
      <c r="AE98" s="55">
        <f t="shared" ca="1" si="41"/>
        <v>45642</v>
      </c>
      <c r="AF98" s="55">
        <f t="shared" ca="1" si="42"/>
        <v>415.57616981325407</v>
      </c>
      <c r="AG98" s="55">
        <f t="shared" ca="1" si="43"/>
        <v>52.958678638903621</v>
      </c>
      <c r="AH98" s="55">
        <f t="shared" ca="1" si="44"/>
        <v>0</v>
      </c>
      <c r="AI98" s="55">
        <f t="shared" ca="1" si="38"/>
        <v>-3.7431302715706809</v>
      </c>
      <c r="AJ98" s="55">
        <f t="shared" ca="1" si="39"/>
        <v>71.307697871114627</v>
      </c>
      <c r="AK98" s="55">
        <f t="shared" ca="1" si="40"/>
        <v>367.58758855067697</v>
      </c>
    </row>
    <row r="99" spans="18:37">
      <c r="R99" s="83">
        <f ca="1"/>
        <v>45502</v>
      </c>
      <c r="S99" s="55">
        <f t="shared" ca="1" si="33"/>
        <v>45502</v>
      </c>
      <c r="T99" s="55">
        <f t="shared" ca="1" si="27"/>
        <v>293.18930464600567</v>
      </c>
      <c r="U99" s="55">
        <f t="shared" ca="1" si="28"/>
        <v>242.80936717799088</v>
      </c>
      <c r="V99" s="55">
        <f t="shared" ca="1" si="29"/>
        <v>0</v>
      </c>
      <c r="W99" s="55">
        <f t="shared" ca="1" si="34"/>
        <v>-189.83460624196363</v>
      </c>
      <c r="X99" s="55">
        <f t="shared" ca="1" si="35"/>
        <v>55.233723788260171</v>
      </c>
      <c r="Y99" s="55">
        <f t="shared" ca="1" si="36"/>
        <v>-1.4750415752627655</v>
      </c>
      <c r="Z99">
        <f t="shared" ca="1" si="30"/>
        <v>120</v>
      </c>
      <c r="AA99">
        <f t="shared" ca="1" si="37"/>
        <v>176.23008224115924</v>
      </c>
      <c r="AB99">
        <f t="shared" ca="1" si="31"/>
        <v>0</v>
      </c>
      <c r="AC99">
        <f t="shared" ca="1" si="32"/>
        <v>0.94115690525035012</v>
      </c>
      <c r="AD99" s="83">
        <f ca="1"/>
        <v>45643</v>
      </c>
      <c r="AE99" s="55">
        <f t="shared" ca="1" si="41"/>
        <v>45643</v>
      </c>
      <c r="AF99" s="55">
        <f t="shared" ca="1" si="42"/>
        <v>415.53500315332258</v>
      </c>
      <c r="AG99" s="55">
        <f t="shared" ca="1" si="43"/>
        <v>55.882113050840616</v>
      </c>
      <c r="AH99" s="55">
        <f t="shared" ca="1" si="44"/>
        <v>0</v>
      </c>
      <c r="AI99" s="55">
        <f t="shared" ca="1" si="38"/>
        <v>-3.7431302715706809</v>
      </c>
      <c r="AJ99" s="55">
        <f t="shared" ca="1" si="39"/>
        <v>72.191275401223123</v>
      </c>
      <c r="AK99" s="55">
        <f t="shared" ca="1" si="40"/>
        <v>369.58627877257402</v>
      </c>
    </row>
    <row r="100" spans="18:37">
      <c r="R100" s="83">
        <f ca="1"/>
        <v>45503</v>
      </c>
      <c r="S100" s="55">
        <f t="shared" ca="1" si="33"/>
        <v>45503</v>
      </c>
      <c r="T100" s="55">
        <f t="shared" ca="1" si="27"/>
        <v>281.6451578163888</v>
      </c>
      <c r="U100" s="55">
        <f t="shared" ca="1" si="28"/>
        <v>252.54859619953359</v>
      </c>
      <c r="V100" s="55">
        <f t="shared" ca="1" si="29"/>
        <v>0</v>
      </c>
      <c r="W100" s="55">
        <f t="shared" ca="1" si="34"/>
        <v>-192.23879461810643</v>
      </c>
      <c r="X100" s="55">
        <f t="shared" ca="1" si="35"/>
        <v>55.823736820019761</v>
      </c>
      <c r="Y100" s="55">
        <f t="shared" ca="1" si="36"/>
        <v>-1.4657840389537578</v>
      </c>
      <c r="Z100">
        <f t="shared" ca="1" si="30"/>
        <v>120</v>
      </c>
      <c r="AA100">
        <f t="shared" ca="1" si="37"/>
        <v>177.78008224115922</v>
      </c>
      <c r="AB100">
        <f t="shared" ca="1" si="31"/>
        <v>0</v>
      </c>
      <c r="AC100">
        <f t="shared" ca="1" si="32"/>
        <v>0.94749736647342775</v>
      </c>
      <c r="AD100" s="83">
        <f ca="1"/>
        <v>45644</v>
      </c>
      <c r="AE100" s="55">
        <f t="shared" ca="1" si="41"/>
        <v>45644</v>
      </c>
      <c r="AF100" s="55">
        <f t="shared" ca="1" si="42"/>
        <v>415.37391596253428</v>
      </c>
      <c r="AG100" s="55">
        <f t="shared" ca="1" si="43"/>
        <v>58.817646304557535</v>
      </c>
      <c r="AH100" s="55">
        <f t="shared" ca="1" si="44"/>
        <v>0</v>
      </c>
      <c r="AI100" s="55">
        <f t="shared" ca="1" si="38"/>
        <v>-3.7431302715706809</v>
      </c>
      <c r="AJ100" s="55">
        <f t="shared" ca="1" si="39"/>
        <v>73.106767311822836</v>
      </c>
      <c r="AK100" s="55">
        <f t="shared" ca="1" si="40"/>
        <v>371.44523292490294</v>
      </c>
    </row>
    <row r="101" spans="18:37">
      <c r="R101" s="83">
        <f ca="1"/>
        <v>45504</v>
      </c>
      <c r="S101" s="55">
        <f t="shared" ca="1" si="33"/>
        <v>45504</v>
      </c>
      <c r="T101" s="55">
        <f t="shared" ca="1" si="27"/>
        <v>264.09816336231444</v>
      </c>
      <c r="U101" s="55">
        <f t="shared" ca="1" si="28"/>
        <v>264.49983757633771</v>
      </c>
      <c r="V101" s="55">
        <f t="shared" ca="1" si="29"/>
        <v>0</v>
      </c>
      <c r="W101" s="55">
        <f t="shared" ca="1" si="34"/>
        <v>-198.53657893689413</v>
      </c>
      <c r="X101" s="55">
        <f t="shared" ca="1" si="35"/>
        <v>56.515387407982807</v>
      </c>
      <c r="Y101" s="55">
        <f t="shared" ca="1" si="36"/>
        <v>-1.4554033853993489</v>
      </c>
      <c r="Z101">
        <f t="shared" ca="1" si="30"/>
        <v>120</v>
      </c>
      <c r="AA101">
        <f t="shared" ca="1" si="37"/>
        <v>182.1100822411592</v>
      </c>
      <c r="AB101">
        <f t="shared" ca="1" si="31"/>
        <v>0</v>
      </c>
      <c r="AC101">
        <f t="shared" ca="1" si="32"/>
        <v>0.95415779175099857</v>
      </c>
      <c r="AD101" s="83">
        <f ca="1"/>
        <v>45645</v>
      </c>
      <c r="AE101" s="55">
        <f t="shared" ca="1" si="41"/>
        <v>45645</v>
      </c>
      <c r="AF101" s="55">
        <f t="shared" ca="1" si="42"/>
        <v>415.0869853646202</v>
      </c>
      <c r="AG101" s="55">
        <f t="shared" ca="1" si="43"/>
        <v>61.670790117516376</v>
      </c>
      <c r="AH101" s="55">
        <f t="shared" ca="1" si="44"/>
        <v>0</v>
      </c>
      <c r="AI101" s="55">
        <f t="shared" ca="1" si="38"/>
        <v>-3.7431302715706809</v>
      </c>
      <c r="AJ101" s="55">
        <f t="shared" ca="1" si="39"/>
        <v>73.978002746190583</v>
      </c>
      <c r="AK101" s="55">
        <f t="shared" ca="1" si="40"/>
        <v>373.14021070557993</v>
      </c>
    </row>
    <row r="102" spans="18:37">
      <c r="R102" s="83">
        <f ca="1"/>
        <v>45505</v>
      </c>
      <c r="S102" s="55">
        <f t="shared" ca="1" si="33"/>
        <v>45505</v>
      </c>
      <c r="T102" s="55">
        <f t="shared" ca="1" si="27"/>
        <v>247.50298590631007</v>
      </c>
      <c r="U102" s="55">
        <f t="shared" ca="1" si="28"/>
        <v>277.26226488274824</v>
      </c>
      <c r="V102" s="55">
        <f t="shared" ca="1" si="29"/>
        <v>0</v>
      </c>
      <c r="W102" s="55">
        <f t="shared" ca="1" si="34"/>
        <v>-203.08919907765195</v>
      </c>
      <c r="X102" s="55">
        <f t="shared" ca="1" si="35"/>
        <v>57.224646784547289</v>
      </c>
      <c r="Y102" s="55">
        <f t="shared" ca="1" si="36"/>
        <v>-1.4447927707998569</v>
      </c>
      <c r="Z102">
        <f t="shared" ca="1" si="30"/>
        <v>120</v>
      </c>
      <c r="AA102">
        <f t="shared" ca="1" si="37"/>
        <v>185.45008224115921</v>
      </c>
      <c r="AB102">
        <f t="shared" ca="1" si="31"/>
        <v>0</v>
      </c>
      <c r="AC102">
        <f t="shared" ca="1" si="32"/>
        <v>0.96014643972799085</v>
      </c>
      <c r="AD102" s="83">
        <f ca="1"/>
        <v>45646</v>
      </c>
      <c r="AE102" s="55">
        <f t="shared" ca="1" si="41"/>
        <v>45646</v>
      </c>
      <c r="AF102" s="55">
        <f t="shared" ca="1" si="42"/>
        <v>414.57197127619725</v>
      </c>
      <c r="AG102" s="55">
        <f t="shared" ca="1" si="43"/>
        <v>64.66496428243039</v>
      </c>
      <c r="AH102" s="55">
        <f t="shared" ca="1" si="44"/>
        <v>0</v>
      </c>
      <c r="AI102" s="55">
        <f t="shared" ca="1" si="38"/>
        <v>-3.7431302715706809</v>
      </c>
      <c r="AJ102" s="55">
        <f t="shared" ca="1" si="39"/>
        <v>74.811976281928708</v>
      </c>
      <c r="AK102" s="55">
        <f t="shared" ca="1" si="40"/>
        <v>374.78539724633282</v>
      </c>
    </row>
    <row r="103" spans="18:37">
      <c r="R103" s="83">
        <f ca="1"/>
        <v>45506</v>
      </c>
      <c r="S103" s="55">
        <f t="shared" ca="1" si="33"/>
        <v>45506</v>
      </c>
      <c r="T103" s="55">
        <f t="shared" ca="1" si="27"/>
        <v>234.64291820717466</v>
      </c>
      <c r="U103" s="55">
        <f t="shared" ca="1" si="28"/>
        <v>289.91661639067593</v>
      </c>
      <c r="V103" s="55">
        <f t="shared" ca="1" si="29"/>
        <v>0</v>
      </c>
      <c r="W103" s="55">
        <f t="shared" ca="1" si="34"/>
        <v>-203.98084216683921</v>
      </c>
      <c r="X103" s="55">
        <f t="shared" ca="1" si="35"/>
        <v>57.900291669206318</v>
      </c>
      <c r="Y103" s="55">
        <f t="shared" ca="1" si="36"/>
        <v>-1.4345107574793423</v>
      </c>
      <c r="Z103">
        <f t="shared" ca="1" si="30"/>
        <v>120</v>
      </c>
      <c r="AA103">
        <f t="shared" ca="1" si="37"/>
        <v>186.14008224115921</v>
      </c>
      <c r="AB103">
        <f t="shared" ca="1" si="31"/>
        <v>0</v>
      </c>
      <c r="AC103">
        <f t="shared" ca="1" si="32"/>
        <v>0.96514984322608333</v>
      </c>
      <c r="AD103" s="83">
        <f ca="1"/>
        <v>45647</v>
      </c>
      <c r="AE103" s="55">
        <f t="shared" ca="1" si="41"/>
        <v>45647</v>
      </c>
      <c r="AF103" s="55">
        <f t="shared" ca="1" si="42"/>
        <v>413.83059321045243</v>
      </c>
      <c r="AG103" s="55">
        <f t="shared" ca="1" si="43"/>
        <v>67.79068327351581</v>
      </c>
      <c r="AH103" s="55">
        <f t="shared" ca="1" si="44"/>
        <v>0</v>
      </c>
      <c r="AI103" s="55">
        <f t="shared" ca="1" si="38"/>
        <v>-3.7431302715706809</v>
      </c>
      <c r="AJ103" s="55">
        <f t="shared" ca="1" si="39"/>
        <v>75.605452830128854</v>
      </c>
      <c r="AK103" s="55">
        <f t="shared" ca="1" si="40"/>
        <v>376.37626162347328</v>
      </c>
    </row>
    <row r="104" spans="18:37">
      <c r="R104" s="83">
        <f ca="1"/>
        <v>45507</v>
      </c>
      <c r="S104" s="55">
        <f t="shared" ca="1" si="33"/>
        <v>45507</v>
      </c>
      <c r="T104" s="55">
        <f t="shared" ca="1" si="27"/>
        <v>216.18611051239404</v>
      </c>
      <c r="U104" s="55">
        <f t="shared" ca="1" si="28"/>
        <v>303.17132189369931</v>
      </c>
      <c r="V104" s="55">
        <f t="shared" ca="1" si="29"/>
        <v>0</v>
      </c>
      <c r="W104" s="55">
        <f t="shared" ca="1" si="34"/>
        <v>-209.87426352732925</v>
      </c>
      <c r="X104" s="55">
        <f t="shared" ca="1" si="35"/>
        <v>58.581245334386061</v>
      </c>
      <c r="Y104" s="55">
        <f t="shared" ca="1" si="36"/>
        <v>-1.4241452539262718</v>
      </c>
      <c r="Z104">
        <f t="shared" ca="1" si="30"/>
        <v>120</v>
      </c>
      <c r="AA104">
        <f t="shared" ca="1" si="37"/>
        <v>191.09008224115922</v>
      </c>
      <c r="AB104">
        <f t="shared" ca="1" si="31"/>
        <v>0</v>
      </c>
      <c r="AC104">
        <f t="shared" ca="1" si="32"/>
        <v>0.96957759509923935</v>
      </c>
      <c r="AD104" s="83">
        <f ca="1"/>
        <v>45648</v>
      </c>
      <c r="AE104" s="55">
        <f t="shared" ca="1" si="41"/>
        <v>45648</v>
      </c>
      <c r="AF104" s="55">
        <f t="shared" ca="1" si="42"/>
        <v>412.78239484001256</v>
      </c>
      <c r="AG104" s="55">
        <f t="shared" ca="1" si="43"/>
        <v>71.228594171428185</v>
      </c>
      <c r="AH104" s="55">
        <f t="shared" ca="1" si="44"/>
        <v>0</v>
      </c>
      <c r="AI104" s="55">
        <f t="shared" ca="1" si="38"/>
        <v>-3.7431302715706809</v>
      </c>
      <c r="AJ104" s="55">
        <f t="shared" ca="1" si="39"/>
        <v>76.39317011663276</v>
      </c>
      <c r="AK104" s="55">
        <f t="shared" ca="1" si="40"/>
        <v>377.9782568644419</v>
      </c>
    </row>
    <row r="105" spans="18:37">
      <c r="R105" s="83">
        <f ca="1"/>
        <v>45508</v>
      </c>
      <c r="S105" s="55">
        <f t="shared" ca="1" si="33"/>
        <v>45508</v>
      </c>
      <c r="T105" s="55">
        <f t="shared" ca="1" si="27"/>
        <v>201.82331129735431</v>
      </c>
      <c r="U105" s="55">
        <f t="shared" ca="1" si="28"/>
        <v>316.37539606102098</v>
      </c>
      <c r="V105" s="55">
        <f t="shared" ca="1" si="29"/>
        <v>0</v>
      </c>
      <c r="W105" s="55">
        <f t="shared" ca="1" si="34"/>
        <v>-211.69710827516275</v>
      </c>
      <c r="X105" s="55">
        <f t="shared" ca="1" si="35"/>
        <v>59.235270249666549</v>
      </c>
      <c r="Y105" s="55">
        <f t="shared" ca="1" si="36"/>
        <v>-1.414050469091316</v>
      </c>
      <c r="Z105">
        <f t="shared" ca="1" si="30"/>
        <v>120</v>
      </c>
      <c r="AA105">
        <f t="shared" ca="1" si="37"/>
        <v>192.73008224115921</v>
      </c>
      <c r="AB105">
        <f t="shared" ca="1" si="31"/>
        <v>0</v>
      </c>
      <c r="AC105">
        <f t="shared" ca="1" si="32"/>
        <v>0.97331171663850635</v>
      </c>
      <c r="AD105" s="83">
        <f ca="1"/>
        <v>45649</v>
      </c>
      <c r="AE105" s="55">
        <f t="shared" ca="1" si="41"/>
        <v>45649</v>
      </c>
      <c r="AF105" s="55">
        <f t="shared" ca="1" si="42"/>
        <v>411.54199051971102</v>
      </c>
      <c r="AG105" s="55">
        <f t="shared" ca="1" si="43"/>
        <v>74.813583840008832</v>
      </c>
      <c r="AH105" s="55">
        <f t="shared" ca="1" si="44"/>
        <v>0</v>
      </c>
      <c r="AI105" s="55">
        <f t="shared" ca="1" si="38"/>
        <v>-3.7431302715706809</v>
      </c>
      <c r="AJ105" s="55">
        <f t="shared" ca="1" si="39"/>
        <v>77.192940990928832</v>
      </c>
      <c r="AK105" s="55">
        <f t="shared" ca="1" si="40"/>
        <v>379.52307133842493</v>
      </c>
    </row>
    <row r="106" spans="18:37">
      <c r="R106" s="83">
        <f ca="1"/>
        <v>45509</v>
      </c>
      <c r="S106" s="55">
        <f t="shared" ca="1" si="33"/>
        <v>45509</v>
      </c>
      <c r="T106" s="55">
        <f t="shared" ca="1" si="27"/>
        <v>185.13261916434129</v>
      </c>
      <c r="U106" s="55">
        <f t="shared" ca="1" si="28"/>
        <v>330.21993666532421</v>
      </c>
      <c r="V106" s="55">
        <f t="shared" ca="1" si="29"/>
        <v>0</v>
      </c>
      <c r="W106" s="55">
        <f t="shared" ca="1" si="34"/>
        <v>-215.21462803928523</v>
      </c>
      <c r="X106" s="55">
        <f t="shared" ca="1" si="35"/>
        <v>59.896452047266372</v>
      </c>
      <c r="Y106" s="55">
        <f t="shared" ca="1" si="36"/>
        <v>-1.403864031278435</v>
      </c>
      <c r="Z106">
        <f t="shared" ca="1" si="30"/>
        <v>120</v>
      </c>
      <c r="AA106">
        <f t="shared" ca="1" si="37"/>
        <v>196.1800822411592</v>
      </c>
      <c r="AB106">
        <f t="shared" ca="1" si="31"/>
        <v>0</v>
      </c>
      <c r="AC106">
        <f t="shared" ca="1" si="32"/>
        <v>0.9766332250195966</v>
      </c>
      <c r="AD106" s="83">
        <f ca="1"/>
        <v>45650</v>
      </c>
      <c r="AE106" s="55">
        <f t="shared" ca="1" si="41"/>
        <v>45650</v>
      </c>
      <c r="AF106" s="55">
        <f t="shared" ca="1" si="42"/>
        <v>410.04562246283444</v>
      </c>
      <c r="AG106" s="55">
        <f t="shared" ca="1" si="43"/>
        <v>78.694330875097734</v>
      </c>
      <c r="AH106" s="55">
        <f t="shared" ca="1" si="44"/>
        <v>0</v>
      </c>
      <c r="AI106" s="55">
        <f t="shared" ca="1" si="38"/>
        <v>-3.7431302715706809</v>
      </c>
      <c r="AJ106" s="55">
        <f t="shared" ca="1" si="39"/>
        <v>78.040685563825022</v>
      </c>
      <c r="AK106" s="55">
        <f t="shared" ca="1" si="40"/>
        <v>381.05970574374106</v>
      </c>
    </row>
    <row r="107" spans="18:37">
      <c r="R107" s="83">
        <f ca="1"/>
        <v>45510</v>
      </c>
      <c r="S107" s="55">
        <f t="shared" ca="1" si="33"/>
        <v>45510</v>
      </c>
      <c r="T107" s="55">
        <f t="shared" ca="1" si="27"/>
        <v>170.26808112384626</v>
      </c>
      <c r="U107" s="55">
        <f t="shared" ca="1" si="28"/>
        <v>344.73165797774828</v>
      </c>
      <c r="V107" s="55">
        <f t="shared" ca="1" si="29"/>
        <v>0</v>
      </c>
      <c r="W107" s="55">
        <f t="shared" ca="1" si="34"/>
        <v>-216.24610713942678</v>
      </c>
      <c r="X107" s="55">
        <f t="shared" ca="1" si="35"/>
        <v>60.564840470482018</v>
      </c>
      <c r="Y107" s="55">
        <f t="shared" ca="1" si="36"/>
        <v>-1.3935900824234775</v>
      </c>
      <c r="Z107">
        <f t="shared" ca="1" si="30"/>
        <v>120</v>
      </c>
      <c r="AA107">
        <f t="shared" ca="1" si="37"/>
        <v>197.28008224115919</v>
      </c>
      <c r="AB107">
        <f t="shared" ca="1" si="31"/>
        <v>0</v>
      </c>
      <c r="AC107">
        <f t="shared" ca="1" si="32"/>
        <v>0.97958041815486541</v>
      </c>
      <c r="AD107" s="83">
        <f ca="1"/>
        <v>45651</v>
      </c>
      <c r="AE107" s="55">
        <f t="shared" ca="1" si="41"/>
        <v>45651</v>
      </c>
      <c r="AF107" s="55">
        <f t="shared" ca="1" si="42"/>
        <v>408.20129791602886</v>
      </c>
      <c r="AG107" s="55">
        <f t="shared" ca="1" si="43"/>
        <v>82.888303133009927</v>
      </c>
      <c r="AH107" s="55">
        <f t="shared" ca="1" si="44"/>
        <v>0</v>
      </c>
      <c r="AI107" s="55">
        <f t="shared" ca="1" si="38"/>
        <v>-3.7431302715706809</v>
      </c>
      <c r="AJ107" s="55">
        <f t="shared" ca="1" si="39"/>
        <v>78.864177611686173</v>
      </c>
      <c r="AK107" s="55">
        <f t="shared" ca="1" si="40"/>
        <v>382.58586140698651</v>
      </c>
    </row>
    <row r="108" spans="18:37">
      <c r="R108" s="83">
        <f ca="1"/>
        <v>45511</v>
      </c>
      <c r="S108" s="55">
        <f t="shared" ca="1" si="33"/>
        <v>45511</v>
      </c>
      <c r="T108" s="55">
        <f t="shared" ca="1" si="27"/>
        <v>154.54950698928042</v>
      </c>
      <c r="U108" s="55">
        <f t="shared" ca="1" si="28"/>
        <v>358.95789537981636</v>
      </c>
      <c r="V108" s="55">
        <f t="shared" ca="1" si="29"/>
        <v>0</v>
      </c>
      <c r="W108" s="55">
        <f t="shared" ca="1" si="34"/>
        <v>-218.38247409256266</v>
      </c>
      <c r="X108" s="55">
        <f t="shared" ca="1" si="35"/>
        <v>61.198962802103914</v>
      </c>
      <c r="Y108" s="55">
        <f t="shared" ca="1" si="36"/>
        <v>-1.383682193407263</v>
      </c>
      <c r="Z108">
        <f t="shared" ca="1" si="30"/>
        <v>120</v>
      </c>
      <c r="AA108">
        <f t="shared" ca="1" si="37"/>
        <v>199.79008224115921</v>
      </c>
      <c r="AB108">
        <f t="shared" ca="1" si="31"/>
        <v>0</v>
      </c>
      <c r="AC108">
        <f t="shared" ca="1" si="32"/>
        <v>0.9820341165933747</v>
      </c>
      <c r="AD108" s="83">
        <f ca="1"/>
        <v>45652</v>
      </c>
      <c r="AE108" s="55">
        <f t="shared" ca="1" si="41"/>
        <v>45652</v>
      </c>
      <c r="AF108" s="55">
        <f t="shared" ca="1" si="42"/>
        <v>406.16604084212133</v>
      </c>
      <c r="AG108" s="55">
        <f t="shared" ca="1" si="43"/>
        <v>87.104742892544181</v>
      </c>
      <c r="AH108" s="55">
        <f t="shared" ca="1" si="44"/>
        <v>0</v>
      </c>
      <c r="AI108" s="55">
        <f t="shared" ca="1" si="38"/>
        <v>-3.7431302715706809</v>
      </c>
      <c r="AJ108" s="55">
        <f t="shared" ca="1" si="39"/>
        <v>79.621596366214789</v>
      </c>
      <c r="AK108" s="55">
        <f t="shared" ca="1" si="40"/>
        <v>384.00962533808462</v>
      </c>
    </row>
    <row r="109" spans="18:37">
      <c r="R109" s="83">
        <f ca="1"/>
        <v>45512</v>
      </c>
      <c r="S109" s="55">
        <f t="shared" ca="1" si="33"/>
        <v>45512</v>
      </c>
      <c r="T109" s="55">
        <f t="shared" ca="1" si="27"/>
        <v>140.43997270355155</v>
      </c>
      <c r="U109" s="55">
        <f t="shared" ca="1" si="28"/>
        <v>372.03870309024995</v>
      </c>
      <c r="V109" s="55">
        <f t="shared" ca="1" si="29"/>
        <v>0</v>
      </c>
      <c r="W109" s="55">
        <f t="shared" ca="1" si="34"/>
        <v>-219.99122415669146</v>
      </c>
      <c r="X109" s="55">
        <f t="shared" ca="1" si="35"/>
        <v>61.769760813741193</v>
      </c>
      <c r="Y109" s="55">
        <f t="shared" ca="1" si="36"/>
        <v>-1.3744567162110251</v>
      </c>
      <c r="Z109">
        <f t="shared" ca="1" si="30"/>
        <v>120</v>
      </c>
      <c r="AA109">
        <f t="shared" ca="1" si="37"/>
        <v>201.8700822411592</v>
      </c>
      <c r="AB109">
        <f t="shared" ca="1" si="31"/>
        <v>0</v>
      </c>
      <c r="AC109">
        <f t="shared" ca="1" si="32"/>
        <v>0.98397517842243953</v>
      </c>
      <c r="AD109" s="83">
        <f ca="1"/>
        <v>45653</v>
      </c>
      <c r="AE109" s="55">
        <f t="shared" ca="1" si="41"/>
        <v>45653</v>
      </c>
      <c r="AF109" s="55">
        <f t="shared" ca="1" si="42"/>
        <v>404.00732470566231</v>
      </c>
      <c r="AG109" s="55">
        <f t="shared" ca="1" si="43"/>
        <v>91.276027832427644</v>
      </c>
      <c r="AH109" s="55">
        <f t="shared" ca="1" si="44"/>
        <v>0</v>
      </c>
      <c r="AI109" s="55">
        <f t="shared" ca="1" si="38"/>
        <v>-3.7431302715706809</v>
      </c>
      <c r="AJ109" s="55">
        <f t="shared" ca="1" si="39"/>
        <v>80.317905339443456</v>
      </c>
      <c r="AK109" s="55">
        <f t="shared" ca="1" si="40"/>
        <v>385.32588516828042</v>
      </c>
    </row>
    <row r="110" spans="18:37">
      <c r="R110" s="83">
        <f ca="1"/>
        <v>45513</v>
      </c>
      <c r="S110" s="55">
        <f t="shared" ca="1" si="33"/>
        <v>45513</v>
      </c>
      <c r="T110" s="55">
        <f t="shared" ca="1" si="27"/>
        <v>128.41032143305557</v>
      </c>
      <c r="U110" s="55">
        <f t="shared" ca="1" si="28"/>
        <v>384.55000276194102</v>
      </c>
      <c r="V110" s="55">
        <f t="shared" ca="1" si="29"/>
        <v>0</v>
      </c>
      <c r="W110" s="55">
        <f t="shared" ca="1" si="34"/>
        <v>-220.05487101166261</v>
      </c>
      <c r="X110" s="55">
        <f t="shared" ca="1" si="35"/>
        <v>62.306203043351921</v>
      </c>
      <c r="Y110" s="55">
        <f t="shared" ca="1" si="36"/>
        <v>-1.3656036896555284</v>
      </c>
      <c r="Z110">
        <f t="shared" ca="1" si="30"/>
        <v>120</v>
      </c>
      <c r="AA110">
        <f t="shared" ca="1" si="37"/>
        <v>201.96008224115917</v>
      </c>
      <c r="AB110">
        <f t="shared" ca="1" si="31"/>
        <v>0</v>
      </c>
      <c r="AC110">
        <f t="shared" ca="1" si="32"/>
        <v>0.98559445556349112</v>
      </c>
      <c r="AD110" s="83">
        <f ca="1"/>
        <v>45654</v>
      </c>
      <c r="AE110" s="55">
        <f t="shared" ca="1" si="41"/>
        <v>45654</v>
      </c>
      <c r="AF110" s="55">
        <f t="shared" ca="1" si="42"/>
        <v>401.65679143056246</v>
      </c>
      <c r="AG110" s="55">
        <f t="shared" ca="1" si="43"/>
        <v>95.607992896409257</v>
      </c>
      <c r="AH110" s="55">
        <f t="shared" ca="1" si="44"/>
        <v>0</v>
      </c>
      <c r="AI110" s="55">
        <f t="shared" ca="1" si="38"/>
        <v>-3.7431302715706809</v>
      </c>
      <c r="AJ110" s="55">
        <f t="shared" ca="1" si="39"/>
        <v>81.028196628465764</v>
      </c>
      <c r="AK110" s="55">
        <f t="shared" ca="1" si="40"/>
        <v>386.59702566813991</v>
      </c>
    </row>
    <row r="111" spans="18:37">
      <c r="R111" s="83">
        <f ca="1"/>
        <v>45514</v>
      </c>
      <c r="S111" s="55">
        <f t="shared" ca="1" si="33"/>
        <v>45514</v>
      </c>
      <c r="T111" s="55">
        <f t="shared" ca="1" si="27"/>
        <v>728.99196810364572</v>
      </c>
      <c r="U111" s="55">
        <f t="shared" ca="1" si="28"/>
        <v>398.97867027047783</v>
      </c>
      <c r="V111" s="55">
        <f t="shared" ca="1" si="29"/>
        <v>628.13884500717541</v>
      </c>
      <c r="W111" s="55">
        <f t="shared" ca="1" si="34"/>
        <v>-233.78529519812818</v>
      </c>
      <c r="X111" s="55">
        <f t="shared" ca="1" si="35"/>
        <v>62.898646889388566</v>
      </c>
      <c r="Y111" s="55">
        <f t="shared" ca="1" si="36"/>
        <v>-1.3561541772750676</v>
      </c>
      <c r="Z111">
        <f t="shared" ca="1" si="30"/>
        <v>120</v>
      </c>
      <c r="AA111">
        <f t="shared" ca="1" si="37"/>
        <v>205.39008224115918</v>
      </c>
      <c r="AB111">
        <f t="shared" ca="1" si="31"/>
        <v>0</v>
      </c>
      <c r="AC111">
        <f t="shared" ca="1" si="32"/>
        <v>0.98721870896402031</v>
      </c>
      <c r="AD111" s="83">
        <f ca="1"/>
        <v>45655</v>
      </c>
      <c r="AE111" s="55">
        <f t="shared" ca="1" si="41"/>
        <v>45655</v>
      </c>
      <c r="AF111" s="55">
        <f t="shared" ca="1" si="42"/>
        <v>399.14475325912792</v>
      </c>
      <c r="AG111" s="55">
        <f t="shared" ca="1" si="43"/>
        <v>100.04830003063937</v>
      </c>
      <c r="AH111" s="55">
        <f t="shared" ca="1" si="44"/>
        <v>0</v>
      </c>
      <c r="AI111" s="55">
        <f t="shared" ca="1" si="38"/>
        <v>-3.7431302715706809</v>
      </c>
      <c r="AJ111" s="55">
        <f t="shared" ca="1" si="39"/>
        <v>81.740802132797953</v>
      </c>
      <c r="AK111" s="55">
        <f t="shared" ca="1" si="40"/>
        <v>387.81268912660329</v>
      </c>
    </row>
    <row r="112" spans="18:37">
      <c r="R112" s="83">
        <f ca="1"/>
        <v>45515</v>
      </c>
      <c r="S112" s="55">
        <f t="shared" ca="1" si="33"/>
        <v>45515</v>
      </c>
      <c r="T112" s="55">
        <f t="shared" ca="1" si="27"/>
        <v>699.60976830175719</v>
      </c>
      <c r="U112" s="55">
        <f t="shared" ca="1" si="28"/>
        <v>414.53985188450463</v>
      </c>
      <c r="V112" s="55">
        <f t="shared" ca="1" si="29"/>
        <v>0</v>
      </c>
      <c r="W112" s="55">
        <f t="shared" ca="1" si="34"/>
        <v>-248.23375780436012</v>
      </c>
      <c r="X112" s="55">
        <f t="shared" ca="1" si="35"/>
        <v>63.516379211156227</v>
      </c>
      <c r="Y112" s="55">
        <f t="shared" ca="1" si="36"/>
        <v>-1.346442080672547</v>
      </c>
      <c r="Z112">
        <f t="shared" ca="1" si="30"/>
        <v>120</v>
      </c>
      <c r="AA112">
        <f t="shared" ca="1" si="37"/>
        <v>209.14008224115918</v>
      </c>
      <c r="AB112">
        <f t="shared" ca="1" si="31"/>
        <v>0</v>
      </c>
      <c r="AC112">
        <f t="shared" ca="1" si="32"/>
        <v>0.98872516696497736</v>
      </c>
      <c r="AD112" s="83">
        <f ca="1"/>
        <v>45656</v>
      </c>
      <c r="AE112" s="55">
        <f t="shared" ca="1" si="41"/>
        <v>45656</v>
      </c>
      <c r="AF112" s="55">
        <f t="shared" ca="1" si="42"/>
        <v>396.56455962562399</v>
      </c>
      <c r="AG112" s="55">
        <f t="shared" ca="1" si="43"/>
        <v>104.47300249167658</v>
      </c>
      <c r="AH112" s="55">
        <f t="shared" ca="1" si="44"/>
        <v>0</v>
      </c>
      <c r="AI112" s="55">
        <f t="shared" ca="1" si="38"/>
        <v>-3.7431302715706809</v>
      </c>
      <c r="AJ112" s="55">
        <f t="shared" ca="1" si="39"/>
        <v>82.446736485021319</v>
      </c>
      <c r="AK112" s="55">
        <f t="shared" ca="1" si="40"/>
        <v>388.95126360191318</v>
      </c>
    </row>
    <row r="113" spans="18:37">
      <c r="R113" s="83">
        <f ca="1"/>
        <v>45516</v>
      </c>
      <c r="S113" s="55">
        <f t="shared" ca="1" si="33"/>
        <v>45516</v>
      </c>
      <c r="T113" s="55">
        <f t="shared" ca="1" si="27"/>
        <v>676.5357358930853</v>
      </c>
      <c r="U113" s="55">
        <f t="shared" ca="1" si="28"/>
        <v>431.1068251199473</v>
      </c>
      <c r="V113" s="55">
        <f t="shared" ca="1" si="29"/>
        <v>0</v>
      </c>
      <c r="W113" s="55">
        <f t="shared" ca="1" si="34"/>
        <v>-255.38738784649925</v>
      </c>
      <c r="X113" s="55">
        <f t="shared" ca="1" si="35"/>
        <v>64.153047535415482</v>
      </c>
      <c r="Y113" s="55">
        <f t="shared" ca="1" si="36"/>
        <v>-1.3365395360219998</v>
      </c>
      <c r="Z113">
        <f t="shared" ca="1" si="30"/>
        <v>120</v>
      </c>
      <c r="AA113">
        <f t="shared" ca="1" si="37"/>
        <v>211.06008224115919</v>
      </c>
      <c r="AB113">
        <f t="shared" ca="1" si="31"/>
        <v>0</v>
      </c>
      <c r="AC113">
        <f t="shared" ca="1" si="32"/>
        <v>0.99009652438733986</v>
      </c>
      <c r="AD113" s="83">
        <f ca="1"/>
        <v>45657</v>
      </c>
      <c r="AE113" s="55">
        <f t="shared" ca="1" si="41"/>
        <v>45657</v>
      </c>
      <c r="AF113" s="55">
        <f t="shared" ca="1" si="42"/>
        <v>394.09943149846913</v>
      </c>
      <c r="AG113" s="55">
        <f t="shared" ca="1" si="43"/>
        <v>108.53453849048033</v>
      </c>
      <c r="AH113" s="55">
        <f t="shared" ca="1" si="44"/>
        <v>0</v>
      </c>
      <c r="AI113" s="55">
        <f t="shared" ca="1" si="38"/>
        <v>-3.7431302715706809</v>
      </c>
      <c r="AJ113" s="55">
        <f t="shared" ca="1" si="39"/>
        <v>83.042435788128472</v>
      </c>
      <c r="AK113" s="55">
        <f t="shared" ca="1" si="40"/>
        <v>389.95197217045489</v>
      </c>
    </row>
    <row r="114" spans="18:37">
      <c r="R114" s="83">
        <f ca="1"/>
        <v>45517</v>
      </c>
      <c r="S114" s="55">
        <f t="shared" ca="1" si="33"/>
        <v>45517</v>
      </c>
      <c r="T114" s="55">
        <f t="shared" ca="1" si="27"/>
        <v>640.01404631939999</v>
      </c>
      <c r="U114" s="55">
        <f t="shared" ca="1" si="28"/>
        <v>448.69585161609496</v>
      </c>
      <c r="V114" s="55">
        <f t="shared" ca="1" si="29"/>
        <v>0</v>
      </c>
      <c r="W114" s="55">
        <f t="shared" ca="1" si="34"/>
        <v>-274.98480345611705</v>
      </c>
      <c r="X114" s="55">
        <f t="shared" ca="1" si="35"/>
        <v>64.807721023310222</v>
      </c>
      <c r="Y114" s="55">
        <f t="shared" ca="1" si="36"/>
        <v>-1.3264604918365293</v>
      </c>
      <c r="Z114">
        <f t="shared" ca="1" si="30"/>
        <v>120</v>
      </c>
      <c r="AA114">
        <f t="shared" ca="1" si="37"/>
        <v>216.6200822411592</v>
      </c>
      <c r="AB114">
        <f t="shared" ca="1" si="31"/>
        <v>0</v>
      </c>
      <c r="AC114">
        <f t="shared" ca="1" si="32"/>
        <v>0.99133579566577801</v>
      </c>
      <c r="AD114" s="83">
        <f ca="1"/>
        <v>45658</v>
      </c>
      <c r="AE114" s="55">
        <f t="shared" ca="1" si="41"/>
        <v>45658</v>
      </c>
      <c r="AF114" s="55">
        <f t="shared" ca="1" si="42"/>
        <v>390.79628209403893</v>
      </c>
      <c r="AG114" s="55">
        <f t="shared" ca="1" si="43"/>
        <v>113.65614224834114</v>
      </c>
      <c r="AH114" s="55">
        <f t="shared" ca="1" si="44"/>
        <v>0</v>
      </c>
      <c r="AI114" s="55">
        <f t="shared" ca="1" si="38"/>
        <v>-3.7431302715706809</v>
      </c>
      <c r="AJ114" s="55">
        <f t="shared" ca="1" si="39"/>
        <v>83.751377896747613</v>
      </c>
      <c r="AK114" s="55">
        <f t="shared" ca="1" si="40"/>
        <v>391.06148441526636</v>
      </c>
    </row>
    <row r="115" spans="18:37">
      <c r="R115" s="83">
        <f ca="1"/>
        <v>45518</v>
      </c>
      <c r="S115" s="55">
        <f t="shared" ca="1" si="33"/>
        <v>45518</v>
      </c>
      <c r="T115" s="55">
        <f t="shared" ca="1" si="27"/>
        <v>616.23852535078379</v>
      </c>
      <c r="U115" s="55">
        <f t="shared" ca="1" si="28"/>
        <v>466.19074250650635</v>
      </c>
      <c r="V115" s="55">
        <f t="shared" ca="1" si="29"/>
        <v>0</v>
      </c>
      <c r="W115" s="55">
        <f t="shared" ca="1" si="34"/>
        <v>-281.90810932353634</v>
      </c>
      <c r="X115" s="55">
        <f t="shared" ca="1" si="35"/>
        <v>65.440572807435075</v>
      </c>
      <c r="Y115" s="55">
        <f t="shared" ca="1" si="36"/>
        <v>-1.3166364867469471</v>
      </c>
      <c r="Z115">
        <f t="shared" ca="1" si="30"/>
        <v>120</v>
      </c>
      <c r="AA115">
        <f t="shared" ca="1" si="37"/>
        <v>218.66008224115922</v>
      </c>
      <c r="AB115">
        <f t="shared" ca="1" si="31"/>
        <v>0</v>
      </c>
      <c r="AC115">
        <f t="shared" ca="1" si="32"/>
        <v>0.99238581301803586</v>
      </c>
      <c r="AD115" s="83">
        <f ca="1"/>
        <v>45659</v>
      </c>
      <c r="AE115" s="55">
        <f t="shared" ca="1" si="41"/>
        <v>45659</v>
      </c>
      <c r="AF115" s="55">
        <f t="shared" ca="1" si="42"/>
        <v>387.13690360878309</v>
      </c>
      <c r="AG115" s="55">
        <f t="shared" ca="1" si="43"/>
        <v>119.12395338949558</v>
      </c>
      <c r="AH115" s="55">
        <f t="shared" ca="1" si="44"/>
        <v>0</v>
      </c>
      <c r="AI115" s="55">
        <f t="shared" ca="1" si="38"/>
        <v>-3.7431302715706809</v>
      </c>
      <c r="AJ115" s="55">
        <f t="shared" ca="1" si="39"/>
        <v>84.479578352663552</v>
      </c>
      <c r="AK115" s="55">
        <f t="shared" ca="1" si="40"/>
        <v>392.14171661524904</v>
      </c>
    </row>
    <row r="116" spans="18:37">
      <c r="R116" s="83">
        <f ca="1"/>
        <v>45519</v>
      </c>
      <c r="S116" s="55">
        <f t="shared" ca="1" si="33"/>
        <v>45519</v>
      </c>
      <c r="T116" s="55">
        <f t="shared" ca="1" si="27"/>
        <v>597.40204597775062</v>
      </c>
      <c r="U116" s="55">
        <f t="shared" ca="1" si="28"/>
        <v>484.69968519858486</v>
      </c>
      <c r="V116" s="55">
        <f t="shared" ca="1" si="29"/>
        <v>0</v>
      </c>
      <c r="W116" s="55">
        <f t="shared" ca="1" si="34"/>
        <v>-282.89512139949954</v>
      </c>
      <c r="X116" s="55">
        <f t="shared" ca="1" si="35"/>
        <v>66.090069199605168</v>
      </c>
      <c r="Y116" s="55">
        <f t="shared" ca="1" si="36"/>
        <v>-1.3066574839086451</v>
      </c>
      <c r="Z116">
        <f t="shared" ca="1" si="30"/>
        <v>120</v>
      </c>
      <c r="AA116">
        <f t="shared" ca="1" si="37"/>
        <v>218.96008224115923</v>
      </c>
      <c r="AB116">
        <f t="shared" ca="1" si="31"/>
        <v>0</v>
      </c>
      <c r="AC116">
        <f t="shared" ca="1" si="32"/>
        <v>0.99333323544005503</v>
      </c>
      <c r="AD116" s="83">
        <f ca="1"/>
        <v>45660</v>
      </c>
      <c r="AE116" s="55">
        <f t="shared" ca="1" si="41"/>
        <v>45660</v>
      </c>
      <c r="AF116" s="55">
        <f t="shared" ca="1" si="42"/>
        <v>383.39978572640445</v>
      </c>
      <c r="AG116" s="55">
        <f t="shared" ca="1" si="43"/>
        <v>124.73462565725164</v>
      </c>
      <c r="AH116" s="55">
        <f t="shared" ca="1" si="44"/>
        <v>0</v>
      </c>
      <c r="AI116" s="55">
        <f t="shared" ca="1" si="38"/>
        <v>-3.7431302715706809</v>
      </c>
      <c r="AJ116" s="55">
        <f t="shared" ca="1" si="39"/>
        <v>85.2582438005836</v>
      </c>
      <c r="AK116" s="55">
        <f t="shared" ca="1" si="40"/>
        <v>393.23660555270641</v>
      </c>
    </row>
    <row r="117" spans="18:37">
      <c r="R117" s="83">
        <f ca="1"/>
        <v>45520</v>
      </c>
      <c r="S117" s="55">
        <f t="shared" ca="1" si="33"/>
        <v>45520</v>
      </c>
      <c r="T117" s="55">
        <f t="shared" ca="1" si="27"/>
        <v>562.95090070659899</v>
      </c>
      <c r="U117" s="55">
        <f t="shared" ca="1" si="28"/>
        <v>503.59045557189341</v>
      </c>
      <c r="V117" s="55">
        <f t="shared" ca="1" si="29"/>
        <v>0</v>
      </c>
      <c r="W117" s="55">
        <f t="shared" ca="1" si="34"/>
        <v>-299.10973908159076</v>
      </c>
      <c r="X117" s="55">
        <f t="shared" ca="1" si="35"/>
        <v>66.734414725074046</v>
      </c>
      <c r="Y117" s="55">
        <f t="shared" ca="1" si="36"/>
        <v>-1.296760225129364</v>
      </c>
      <c r="Z117">
        <f t="shared" ca="1" si="30"/>
        <v>120</v>
      </c>
      <c r="AA117">
        <f t="shared" ca="1" si="37"/>
        <v>224.19008224115925</v>
      </c>
      <c r="AB117">
        <f t="shared" ca="1" si="31"/>
        <v>0</v>
      </c>
      <c r="AC117">
        <f t="shared" ca="1" si="32"/>
        <v>0.9941570566501694</v>
      </c>
      <c r="AD117" s="83">
        <f ca="1"/>
        <v>45661</v>
      </c>
      <c r="AE117" s="55">
        <f t="shared" ca="1" si="41"/>
        <v>45661</v>
      </c>
      <c r="AF117" s="55">
        <f t="shared" ca="1" si="42"/>
        <v>379.92584366418828</v>
      </c>
      <c r="AG117" s="55">
        <f t="shared" ca="1" si="43"/>
        <v>129.82418058178206</v>
      </c>
      <c r="AH117" s="55">
        <f t="shared" ca="1" si="44"/>
        <v>0</v>
      </c>
      <c r="AI117" s="55">
        <f t="shared" ca="1" si="38"/>
        <v>-3.7431302715706809</v>
      </c>
      <c r="AJ117" s="55">
        <f t="shared" ca="1" si="39"/>
        <v>85.931764313796037</v>
      </c>
      <c r="AK117" s="55">
        <f t="shared" ca="1" si="40"/>
        <v>394.17869790180822</v>
      </c>
    </row>
    <row r="118" spans="18:37">
      <c r="R118" s="83">
        <f ca="1"/>
        <v>45521</v>
      </c>
      <c r="S118" s="55">
        <f t="shared" ca="1" si="33"/>
        <v>45521</v>
      </c>
      <c r="T118" s="55">
        <f t="shared" ca="1" si="27"/>
        <v>540.06583680544634</v>
      </c>
      <c r="U118" s="55">
        <f t="shared" ca="1" si="28"/>
        <v>521.39887711492315</v>
      </c>
      <c r="V118" s="55">
        <f t="shared" ca="1" si="29"/>
        <v>0</v>
      </c>
      <c r="W118" s="55">
        <f t="shared" ca="1" si="34"/>
        <v>-304.79060552149497</v>
      </c>
      <c r="X118" s="55">
        <f t="shared" ca="1" si="35"/>
        <v>67.329295832861504</v>
      </c>
      <c r="Y118" s="55">
        <f t="shared" ca="1" si="36"/>
        <v>-1.2874172511356234</v>
      </c>
      <c r="Z118">
        <f t="shared" ca="1" si="30"/>
        <v>120</v>
      </c>
      <c r="AA118">
        <f t="shared" ca="1" si="37"/>
        <v>226.10008224115924</v>
      </c>
      <c r="AB118">
        <f t="shared" ca="1" si="31"/>
        <v>0</v>
      </c>
      <c r="AC118">
        <f t="shared" ca="1" si="32"/>
        <v>0.99482377587429882</v>
      </c>
      <c r="AD118" s="83">
        <f ca="1"/>
        <v>45662</v>
      </c>
      <c r="AE118" s="55">
        <f t="shared" ca="1" si="41"/>
        <v>45662</v>
      </c>
      <c r="AF118" s="55">
        <f t="shared" ca="1" si="42"/>
        <v>376.49977771509396</v>
      </c>
      <c r="AG118" s="55">
        <f t="shared" ca="1" si="43"/>
        <v>134.74671959290262</v>
      </c>
      <c r="AH118" s="55">
        <f t="shared" ca="1" si="44"/>
        <v>0</v>
      </c>
      <c r="AI118" s="55">
        <f t="shared" ca="1" si="38"/>
        <v>-3.7431302715706809</v>
      </c>
      <c r="AJ118" s="55">
        <f t="shared" ca="1" si="39"/>
        <v>86.569778660277962</v>
      </c>
      <c r="AK118" s="55">
        <f t="shared" ca="1" si="40"/>
        <v>395.03715661735259</v>
      </c>
    </row>
    <row r="119" spans="18:37">
      <c r="R119" s="83">
        <f ca="1"/>
        <v>45522</v>
      </c>
      <c r="S119" s="55">
        <f t="shared" ca="1" si="33"/>
        <v>45522</v>
      </c>
      <c r="T119" s="55">
        <f t="shared" ca="1" si="27"/>
        <v>519.46189341024944</v>
      </c>
      <c r="U119" s="55">
        <f t="shared" ca="1" si="28"/>
        <v>541.01729948916432</v>
      </c>
      <c r="V119" s="55">
        <f t="shared" ca="1" si="29"/>
        <v>0</v>
      </c>
      <c r="W119" s="55">
        <f t="shared" ca="1" si="34"/>
        <v>-306.4212641608089</v>
      </c>
      <c r="X119" s="55">
        <f t="shared" ca="1" si="35"/>
        <v>67.964690344332269</v>
      </c>
      <c r="Y119" s="55">
        <f t="shared" ca="1" si="36"/>
        <v>-1.2776741442481621</v>
      </c>
      <c r="Z119">
        <f t="shared" ca="1" si="30"/>
        <v>120</v>
      </c>
      <c r="AA119">
        <f t="shared" ca="1" si="37"/>
        <v>226.67008224115926</v>
      </c>
      <c r="AB119">
        <f t="shared" ca="1" si="31"/>
        <v>0</v>
      </c>
      <c r="AC119">
        <f t="shared" ca="1" si="32"/>
        <v>0.99545552010326355</v>
      </c>
      <c r="AD119" s="83">
        <f ca="1"/>
        <v>45663</v>
      </c>
      <c r="AE119" s="55">
        <f t="shared" ca="1" si="41"/>
        <v>45663</v>
      </c>
      <c r="AF119" s="55">
        <f t="shared" ca="1" si="42"/>
        <v>372.45757600858781</v>
      </c>
      <c r="AG119" s="55">
        <f t="shared" ca="1" si="43"/>
        <v>140.27185349775635</v>
      </c>
      <c r="AH119" s="55">
        <f t="shared" ca="1" si="44"/>
        <v>0</v>
      </c>
      <c r="AI119" s="55">
        <f t="shared" ca="1" si="38"/>
        <v>-3.7431302715706809</v>
      </c>
      <c r="AJ119" s="55">
        <f t="shared" ca="1" si="39"/>
        <v>87.232548158333287</v>
      </c>
      <c r="AK119" s="55">
        <f t="shared" ca="1" si="40"/>
        <v>395.85731931764479</v>
      </c>
    </row>
    <row r="120" spans="18:37">
      <c r="R120" s="83">
        <f ca="1"/>
        <v>45523</v>
      </c>
      <c r="S120" s="55">
        <f t="shared" ca="1" si="33"/>
        <v>45523</v>
      </c>
      <c r="T120" s="55">
        <f t="shared" ca="1" si="27"/>
        <v>494.41505314607082</v>
      </c>
      <c r="U120" s="55">
        <f t="shared" ca="1" si="28"/>
        <v>560.67766013605706</v>
      </c>
      <c r="V120" s="55">
        <f t="shared" ca="1" si="29"/>
        <v>0</v>
      </c>
      <c r="W120" s="55">
        <f t="shared" ca="1" si="34"/>
        <v>-312.43879693808532</v>
      </c>
      <c r="X120" s="55">
        <f t="shared" ca="1" si="35"/>
        <v>68.586180559147564</v>
      </c>
      <c r="Y120" s="55">
        <f t="shared" ca="1" si="36"/>
        <v>-1.2681111990729348</v>
      </c>
      <c r="Z120">
        <f t="shared" ca="1" si="30"/>
        <v>120</v>
      </c>
      <c r="AA120">
        <f t="shared" ca="1" si="37"/>
        <v>228.88008224115927</v>
      </c>
      <c r="AB120">
        <f t="shared" ca="1" si="31"/>
        <v>0</v>
      </c>
      <c r="AC120">
        <f t="shared" ca="1" si="32"/>
        <v>0.99599839123943756</v>
      </c>
      <c r="AD120" s="83">
        <f ca="1"/>
        <v>45664</v>
      </c>
      <c r="AE120" s="55">
        <f t="shared" ca="1" si="41"/>
        <v>45664</v>
      </c>
      <c r="AF120" s="55">
        <f t="shared" ca="1" si="42"/>
        <v>368.51488344235395</v>
      </c>
      <c r="AG120" s="55">
        <f t="shared" ca="1" si="43"/>
        <v>145.59123303219141</v>
      </c>
      <c r="AH120" s="55">
        <f t="shared" ca="1" si="44"/>
        <v>0</v>
      </c>
      <c r="AI120" s="55">
        <f t="shared" ca="1" si="38"/>
        <v>-3.7431302715706809</v>
      </c>
      <c r="AJ120" s="55">
        <f t="shared" ca="1" si="39"/>
        <v>87.860265484320081</v>
      </c>
      <c r="AK120" s="55">
        <f t="shared" ca="1" si="40"/>
        <v>396.60628895985923</v>
      </c>
    </row>
    <row r="121" spans="18:37">
      <c r="R121" s="83">
        <f ca="1"/>
        <v>45524</v>
      </c>
      <c r="S121" s="55">
        <f t="shared" ca="1" si="33"/>
        <v>45524</v>
      </c>
      <c r="T121" s="55">
        <f t="shared" ca="1" si="27"/>
        <v>472.06444112780696</v>
      </c>
      <c r="U121" s="55">
        <f t="shared" ca="1" si="28"/>
        <v>581.95031818231359</v>
      </c>
      <c r="V121" s="55">
        <f t="shared" ca="1" si="29"/>
        <v>0</v>
      </c>
      <c r="W121" s="55">
        <f t="shared" ca="1" si="34"/>
        <v>-314.18064631071053</v>
      </c>
      <c r="X121" s="55">
        <f t="shared" ca="1" si="35"/>
        <v>69.240205474428052</v>
      </c>
      <c r="Y121" s="55">
        <f t="shared" ca="1" si="36"/>
        <v>-1.2582407137355531</v>
      </c>
      <c r="Z121">
        <f t="shared" ca="1" si="30"/>
        <v>120</v>
      </c>
      <c r="AA121">
        <f t="shared" ca="1" si="37"/>
        <v>229.55008224115926</v>
      </c>
      <c r="AB121">
        <f t="shared" ca="1" si="31"/>
        <v>0</v>
      </c>
      <c r="AC121">
        <f t="shared" ca="1" si="32"/>
        <v>0.99650126089910773</v>
      </c>
      <c r="AD121" s="83">
        <f ca="1"/>
        <v>45665</v>
      </c>
      <c r="AE121" s="55">
        <f t="shared" ca="1" si="41"/>
        <v>45665</v>
      </c>
      <c r="AF121" s="55">
        <f t="shared" ca="1" si="42"/>
        <v>364.31162708164345</v>
      </c>
      <c r="AG121" s="55">
        <f t="shared" ca="1" si="43"/>
        <v>151.16293635169495</v>
      </c>
      <c r="AH121" s="55">
        <f t="shared" ca="1" si="44"/>
        <v>0</v>
      </c>
      <c r="AI121" s="55">
        <f t="shared" ca="1" si="38"/>
        <v>-3.7431302715706809</v>
      </c>
      <c r="AJ121" s="55">
        <f t="shared" ca="1" si="39"/>
        <v>88.500955295879976</v>
      </c>
      <c r="AK121" s="55">
        <f t="shared" ca="1" si="40"/>
        <v>397.33404610709238</v>
      </c>
    </row>
    <row r="122" spans="18:37">
      <c r="R122" s="83">
        <f ca="1"/>
        <v>45525</v>
      </c>
      <c r="S122" s="55">
        <f t="shared" ca="1" si="33"/>
        <v>45525</v>
      </c>
      <c r="T122" s="55">
        <f t="shared" ca="1" si="27"/>
        <v>444.63342477703253</v>
      </c>
      <c r="U122" s="55">
        <f t="shared" ca="1" si="28"/>
        <v>603.1970515539391</v>
      </c>
      <c r="V122" s="55">
        <f t="shared" ca="1" si="29"/>
        <v>0</v>
      </c>
      <c r="W122" s="55">
        <f t="shared" ca="1" si="34"/>
        <v>-321.01253554184979</v>
      </c>
      <c r="X122" s="55">
        <f t="shared" ca="1" si="35"/>
        <v>69.878149245001907</v>
      </c>
      <c r="Y122" s="55">
        <f t="shared" ca="1" si="36"/>
        <v>-1.2485782323190304</v>
      </c>
      <c r="Z122">
        <f t="shared" ca="1" si="30"/>
        <v>120</v>
      </c>
      <c r="AA122">
        <f t="shared" ca="1" si="37"/>
        <v>232.34008224115925</v>
      </c>
      <c r="AB122">
        <f t="shared" ca="1" si="31"/>
        <v>0</v>
      </c>
      <c r="AC122">
        <f t="shared" ca="1" si="32"/>
        <v>0.99693059384981875</v>
      </c>
      <c r="AD122" s="83">
        <f ca="1"/>
        <v>45666</v>
      </c>
      <c r="AE122" s="55">
        <f t="shared" ca="1" si="41"/>
        <v>45666</v>
      </c>
      <c r="AF122" s="55">
        <f t="shared" ca="1" si="42"/>
        <v>360.08692336634249</v>
      </c>
      <c r="AG122" s="55">
        <f t="shared" ca="1" si="43"/>
        <v>156.6005585119353</v>
      </c>
      <c r="AH122" s="55">
        <f t="shared" ca="1" si="44"/>
        <v>0</v>
      </c>
      <c r="AI122" s="55">
        <f t="shared" ca="1" si="38"/>
        <v>-3.7431302715706809</v>
      </c>
      <c r="AJ122" s="55">
        <f t="shared" ca="1" si="39"/>
        <v>89.091668578162199</v>
      </c>
      <c r="AK122" s="55">
        <f t="shared" ca="1" si="40"/>
        <v>397.9562512697496</v>
      </c>
    </row>
    <row r="123" spans="18:37">
      <c r="R123" s="83">
        <f ca="1"/>
        <v>45526</v>
      </c>
      <c r="S123" s="55">
        <f t="shared" ca="1" si="33"/>
        <v>45526</v>
      </c>
      <c r="T123" s="55">
        <f t="shared" ca="1" si="27"/>
        <v>423.30050340436082</v>
      </c>
      <c r="U123" s="55">
        <f t="shared" ca="1" si="28"/>
        <v>625.08816637534858</v>
      </c>
      <c r="V123" s="55">
        <f t="shared" ca="1" si="29"/>
        <v>0</v>
      </c>
      <c r="W123" s="55">
        <f t="shared" ca="1" si="34"/>
        <v>-321.10578434839681</v>
      </c>
      <c r="X123" s="55">
        <f t="shared" ca="1" si="35"/>
        <v>70.519929161520267</v>
      </c>
      <c r="Y123" s="55">
        <f t="shared" ca="1" si="36"/>
        <v>-1.2389158935525959</v>
      </c>
      <c r="Z123">
        <f t="shared" ca="1" si="30"/>
        <v>120</v>
      </c>
      <c r="AA123">
        <f t="shared" ca="1" si="37"/>
        <v>232.38008224115924</v>
      </c>
      <c r="AB123">
        <f t="shared" ca="1" si="31"/>
        <v>0</v>
      </c>
      <c r="AC123">
        <f t="shared" ca="1" si="32"/>
        <v>0.99730960749570996</v>
      </c>
      <c r="AD123" s="83">
        <f ca="1"/>
        <v>45667</v>
      </c>
      <c r="AE123" s="55">
        <f t="shared" ca="1" si="41"/>
        <v>45667</v>
      </c>
      <c r="AF123" s="55">
        <f t="shared" ca="1" si="42"/>
        <v>355.52832665258984</v>
      </c>
      <c r="AG123" s="55">
        <f t="shared" ca="1" si="43"/>
        <v>162.34184842003759</v>
      </c>
      <c r="AH123" s="55">
        <f t="shared" ca="1" si="44"/>
        <v>0</v>
      </c>
      <c r="AI123" s="55">
        <f t="shared" ca="1" si="38"/>
        <v>-3.7431302715706809</v>
      </c>
      <c r="AJ123" s="55">
        <f t="shared" ca="1" si="39"/>
        <v>89.68913325103965</v>
      </c>
      <c r="AK123" s="55">
        <f t="shared" ca="1" si="40"/>
        <v>398.54147979122183</v>
      </c>
    </row>
    <row r="124" spans="18:37">
      <c r="R124" s="83">
        <f ca="1"/>
        <v>45527</v>
      </c>
      <c r="S124" s="55">
        <f t="shared" ca="1" si="33"/>
        <v>45527</v>
      </c>
      <c r="T124" s="55">
        <f t="shared" ca="1" si="27"/>
        <v>400.84349622527895</v>
      </c>
      <c r="U124" s="55">
        <f t="shared" ca="1" si="28"/>
        <v>648.21683679579291</v>
      </c>
      <c r="V124" s="55">
        <f t="shared" ca="1" si="29"/>
        <v>0</v>
      </c>
      <c r="W124" s="55">
        <f t="shared" ca="1" si="34"/>
        <v>-321.10578434839681</v>
      </c>
      <c r="X124" s="55">
        <f t="shared" ca="1" si="35"/>
        <v>71.18176404999592</v>
      </c>
      <c r="Y124" s="55">
        <f t="shared" ca="1" si="36"/>
        <v>-1.2290875406658084</v>
      </c>
      <c r="Z124">
        <f t="shared" ca="1" si="30"/>
        <v>117.96521739130435</v>
      </c>
      <c r="AA124">
        <f t="shared" ca="1" si="37"/>
        <v>232.38008224115924</v>
      </c>
      <c r="AB124">
        <f t="shared" ca="1" si="31"/>
        <v>0</v>
      </c>
      <c r="AC124">
        <f t="shared" ca="1" si="32"/>
        <v>0.99765197141913131</v>
      </c>
      <c r="AD124" s="83">
        <f ca="1"/>
        <v>45668</v>
      </c>
      <c r="AE124" s="55">
        <f t="shared" ca="1" si="41"/>
        <v>45668</v>
      </c>
      <c r="AF124" s="55">
        <f t="shared" ca="1" si="42"/>
        <v>350.83105212497236</v>
      </c>
      <c r="AG124" s="55">
        <f t="shared" ca="1" si="43"/>
        <v>168.13651083803154</v>
      </c>
      <c r="AH124" s="55">
        <f t="shared" ca="1" si="44"/>
        <v>0</v>
      </c>
      <c r="AI124" s="55">
        <f t="shared" ca="1" si="38"/>
        <v>-3.7431302715706809</v>
      </c>
      <c r="AJ124" s="55">
        <f t="shared" ca="1" si="39"/>
        <v>90.2659694229487</v>
      </c>
      <c r="AK124" s="55">
        <f t="shared" ca="1" si="40"/>
        <v>399.06203150968923</v>
      </c>
    </row>
    <row r="125" spans="18:37">
      <c r="R125" s="83">
        <f ca="1"/>
        <v>45528</v>
      </c>
      <c r="S125" s="55">
        <f t="shared" ca="1" si="33"/>
        <v>45528</v>
      </c>
      <c r="T125" s="55">
        <f t="shared" ca="1" si="27"/>
        <v>378.25866035581851</v>
      </c>
      <c r="U125" s="55">
        <f t="shared" ca="1" si="28"/>
        <v>671.46212863533651</v>
      </c>
      <c r="V125" s="55">
        <f t="shared" ca="1" si="29"/>
        <v>0</v>
      </c>
      <c r="W125" s="55">
        <f t="shared" ca="1" si="34"/>
        <v>-321.10578434839681</v>
      </c>
      <c r="X125" s="55">
        <f t="shared" ca="1" si="35"/>
        <v>71.832552255696726</v>
      </c>
      <c r="Y125" s="55">
        <f t="shared" ca="1" si="36"/>
        <v>-1.2194197762834662</v>
      </c>
      <c r="Z125">
        <f t="shared" ca="1" si="30"/>
        <v>119.72182756264547</v>
      </c>
      <c r="AA125">
        <f t="shared" ca="1" si="37"/>
        <v>232.38008224115924</v>
      </c>
      <c r="AB125">
        <f t="shared" ca="1" si="31"/>
        <v>0</v>
      </c>
      <c r="AC125">
        <f t="shared" ca="1" si="32"/>
        <v>0.9979460555209112</v>
      </c>
      <c r="AD125" s="83">
        <f ca="1"/>
        <v>45669</v>
      </c>
      <c r="AE125" s="55">
        <f t="shared" ca="1" si="41"/>
        <v>45669</v>
      </c>
      <c r="AF125" s="55">
        <f t="shared" ca="1" si="42"/>
        <v>345.85562359030718</v>
      </c>
      <c r="AG125" s="55">
        <f t="shared" ca="1" si="43"/>
        <v>174.19317453669532</v>
      </c>
      <c r="AH125" s="55">
        <f t="shared" ca="1" si="44"/>
        <v>0</v>
      </c>
      <c r="AI125" s="55">
        <f t="shared" ca="1" si="38"/>
        <v>-3.7431302715706809</v>
      </c>
      <c r="AJ125" s="55">
        <f t="shared" ca="1" si="39"/>
        <v>90.85257241048518</v>
      </c>
      <c r="AK125" s="55">
        <f t="shared" ca="1" si="40"/>
        <v>399.55666368615135</v>
      </c>
    </row>
    <row r="126" spans="18:37">
      <c r="R126" s="83">
        <f ca="1"/>
        <v>45529</v>
      </c>
      <c r="S126" s="55">
        <f t="shared" ca="1" si="33"/>
        <v>45529</v>
      </c>
      <c r="T126" s="55">
        <f t="shared" ca="1" si="27"/>
        <v>350.0346878377315</v>
      </c>
      <c r="U126" s="55">
        <f t="shared" ca="1" si="28"/>
        <v>697.67640933503844</v>
      </c>
      <c r="V126" s="55">
        <f t="shared" ca="1" si="29"/>
        <v>0</v>
      </c>
      <c r="W126" s="55">
        <f t="shared" ca="1" si="34"/>
        <v>-323.84326688759347</v>
      </c>
      <c r="X126" s="55">
        <f t="shared" ca="1" si="35"/>
        <v>72.550033526891156</v>
      </c>
      <c r="Y126" s="55">
        <f t="shared" ca="1" si="36"/>
        <v>-1.2091103266662984</v>
      </c>
      <c r="Z126">
        <f t="shared" ca="1" si="30"/>
        <v>120</v>
      </c>
      <c r="AA126">
        <f t="shared" ca="1" si="37"/>
        <v>233.80013921030508</v>
      </c>
      <c r="AB126">
        <f t="shared" ca="1" si="31"/>
        <v>0</v>
      </c>
      <c r="AC126">
        <f t="shared" ca="1" si="32"/>
        <v>0.99822794730048714</v>
      </c>
      <c r="AD126" s="83">
        <f ca="1"/>
        <v>45670</v>
      </c>
      <c r="AE126" s="55">
        <f t="shared" ca="1" si="41"/>
        <v>45670</v>
      </c>
      <c r="AF126" s="55">
        <f t="shared" ca="1" si="42"/>
        <v>341.00266245684946</v>
      </c>
      <c r="AG126" s="55">
        <f t="shared" ca="1" si="43"/>
        <v>180.11746975765999</v>
      </c>
      <c r="AH126" s="55">
        <f t="shared" ca="1" si="44"/>
        <v>0</v>
      </c>
      <c r="AI126" s="55">
        <f t="shared" ca="1" si="38"/>
        <v>-3.7431302715706809</v>
      </c>
      <c r="AJ126" s="55">
        <f t="shared" ca="1" si="39"/>
        <v>91.434462352797496</v>
      </c>
      <c r="AK126" s="55">
        <f t="shared" ca="1" si="40"/>
        <v>400.04610783134598</v>
      </c>
    </row>
    <row r="127" spans="18:37">
      <c r="R127" s="83">
        <f ca="1"/>
        <v>45530</v>
      </c>
      <c r="S127" s="55">
        <f t="shared" ca="1" si="33"/>
        <v>45530</v>
      </c>
      <c r="T127" s="55">
        <f t="shared" ca="1" si="27"/>
        <v>323.8856291829465</v>
      </c>
      <c r="U127" s="55">
        <f t="shared" ca="1" si="28"/>
        <v>724.55528881314854</v>
      </c>
      <c r="V127" s="55">
        <f t="shared" ca="1" si="29"/>
        <v>0</v>
      </c>
      <c r="W127" s="55">
        <f t="shared" ca="1" si="34"/>
        <v>-323.84326688759347</v>
      </c>
      <c r="X127" s="55">
        <f t="shared" ca="1" si="35"/>
        <v>73.26957964284324</v>
      </c>
      <c r="Y127" s="55">
        <f t="shared" ca="1" si="36"/>
        <v>-1.1988356192932619</v>
      </c>
      <c r="Z127">
        <f t="shared" ca="1" si="30"/>
        <v>118.9217391304348</v>
      </c>
      <c r="AA127">
        <f t="shared" ca="1" si="37"/>
        <v>233.80013921030508</v>
      </c>
      <c r="AB127">
        <f t="shared" ca="1" si="31"/>
        <v>0</v>
      </c>
      <c r="AC127">
        <f t="shared" ca="1" si="32"/>
        <v>0.99847184205399397</v>
      </c>
      <c r="AD127" s="83">
        <f ca="1"/>
        <v>45671</v>
      </c>
      <c r="AE127" s="55">
        <f t="shared" ca="1" si="41"/>
        <v>45671</v>
      </c>
      <c r="AF127" s="55">
        <f t="shared" ca="1" si="42"/>
        <v>336.39235091626256</v>
      </c>
      <c r="AG127" s="55">
        <f t="shared" ca="1" si="43"/>
        <v>185.75852795712842</v>
      </c>
      <c r="AH127" s="55">
        <f t="shared" ca="1" si="44"/>
        <v>0</v>
      </c>
      <c r="AI127" s="55">
        <f t="shared" ca="1" si="38"/>
        <v>-3.7431302715706809</v>
      </c>
      <c r="AJ127" s="55">
        <f t="shared" ca="1" si="39"/>
        <v>91.996234745567847</v>
      </c>
      <c r="AK127" s="55">
        <f t="shared" ca="1" si="40"/>
        <v>400.51508209745714</v>
      </c>
    </row>
    <row r="128" spans="18:37">
      <c r="R128" s="83">
        <f ca="1"/>
        <v>45531</v>
      </c>
      <c r="S128" s="55">
        <f t="shared" ca="1" si="33"/>
        <v>45531</v>
      </c>
      <c r="T128" s="55">
        <f t="shared" ca="1" si="27"/>
        <v>296.33630035051937</v>
      </c>
      <c r="U128" s="55">
        <f t="shared" ca="1" si="28"/>
        <v>752.8575772308335</v>
      </c>
      <c r="V128" s="55">
        <f t="shared" ca="1" si="29"/>
        <v>0</v>
      </c>
      <c r="W128" s="55">
        <f t="shared" ca="1" si="34"/>
        <v>-323.84326688759347</v>
      </c>
      <c r="X128" s="55">
        <f t="shared" ca="1" si="35"/>
        <v>74.012087040542511</v>
      </c>
      <c r="Y128" s="55">
        <f t="shared" ca="1" si="36"/>
        <v>-1.1883834317346942</v>
      </c>
      <c r="Z128">
        <f t="shared" ca="1" si="30"/>
        <v>119.3739466628101</v>
      </c>
      <c r="AA128">
        <f t="shared" ca="1" si="37"/>
        <v>233.80013921030508</v>
      </c>
      <c r="AB128">
        <f t="shared" ca="1" si="31"/>
        <v>0</v>
      </c>
      <c r="AC128">
        <f t="shared" ca="1" si="32"/>
        <v>0.99868819139491527</v>
      </c>
      <c r="AD128" s="83">
        <f ca="1"/>
        <v>45672</v>
      </c>
      <c r="AE128" s="55">
        <f t="shared" ca="1" si="41"/>
        <v>45672</v>
      </c>
      <c r="AF128" s="55">
        <f t="shared" ca="1" si="42"/>
        <v>331.7038845487009</v>
      </c>
      <c r="AG128" s="55">
        <f t="shared" ca="1" si="43"/>
        <v>191.49043628754566</v>
      </c>
      <c r="AH128" s="55">
        <f t="shared" ca="1" si="44"/>
        <v>0</v>
      </c>
      <c r="AI128" s="55">
        <f t="shared" ca="1" si="38"/>
        <v>-3.7431302715706809</v>
      </c>
      <c r="AJ128" s="55">
        <f t="shared" ca="1" si="39"/>
        <v>92.570944117826699</v>
      </c>
      <c r="AK128" s="55">
        <f t="shared" ca="1" si="40"/>
        <v>400.98381468805388</v>
      </c>
    </row>
    <row r="129" spans="18:37">
      <c r="R129" s="83">
        <f ca="1"/>
        <v>45532</v>
      </c>
      <c r="S129" s="55">
        <f t="shared" ca="1" si="33"/>
        <v>45532</v>
      </c>
      <c r="T129" s="55">
        <f t="shared" ca="1" si="27"/>
        <v>968.96878552555347</v>
      </c>
      <c r="U129" s="55">
        <f t="shared" ca="1" si="28"/>
        <v>780.42685819399969</v>
      </c>
      <c r="V129" s="55">
        <f t="shared" ca="1" si="29"/>
        <v>705.61004606509744</v>
      </c>
      <c r="W129" s="55">
        <f t="shared" ca="1" si="34"/>
        <v>-329.96947818012114</v>
      </c>
      <c r="X129" s="55">
        <f t="shared" ca="1" si="35"/>
        <v>74.719981927214235</v>
      </c>
      <c r="Y129" s="55">
        <f t="shared" ca="1" si="36"/>
        <v>-1.1783469527758377</v>
      </c>
      <c r="Z129">
        <f t="shared" ca="1" si="30"/>
        <v>120</v>
      </c>
      <c r="AA129">
        <f t="shared" ca="1" si="37"/>
        <v>234.9501674736336</v>
      </c>
      <c r="AB129">
        <f t="shared" ca="1" si="31"/>
        <v>0</v>
      </c>
      <c r="AC129">
        <f t="shared" ca="1" si="32"/>
        <v>0.9988661593536633</v>
      </c>
      <c r="AD129" s="83">
        <f ca="1"/>
        <v>45673</v>
      </c>
      <c r="AE129" s="55">
        <f t="shared" ca="1" si="41"/>
        <v>45673</v>
      </c>
      <c r="AF129" s="55">
        <f t="shared" ca="1" si="42"/>
        <v>326.80196899484201</v>
      </c>
      <c r="AG129" s="55">
        <f t="shared" ca="1" si="43"/>
        <v>197.39497012212499</v>
      </c>
      <c r="AH129" s="55">
        <f t="shared" ca="1" si="44"/>
        <v>0</v>
      </c>
      <c r="AI129" s="55">
        <f t="shared" ca="1" si="38"/>
        <v>-3.7431302715706809</v>
      </c>
      <c r="AJ129" s="55">
        <f t="shared" ca="1" si="39"/>
        <v>93.144667351719676</v>
      </c>
      <c r="AK129" s="55">
        <f t="shared" ca="1" si="40"/>
        <v>401.41270973488139</v>
      </c>
    </row>
    <row r="130" spans="18:37">
      <c r="R130" s="83">
        <f ca="1"/>
        <v>45533</v>
      </c>
      <c r="S130" s="55">
        <f t="shared" ca="1" si="33"/>
        <v>45533</v>
      </c>
      <c r="T130" s="55">
        <f t="shared" ca="1" si="27"/>
        <v>940.20192989387954</v>
      </c>
      <c r="U130" s="55">
        <f t="shared" ca="1" si="28"/>
        <v>809.94939082852056</v>
      </c>
      <c r="V130" s="55">
        <f t="shared" ca="1" si="29"/>
        <v>0</v>
      </c>
      <c r="W130" s="55">
        <f t="shared" ca="1" si="34"/>
        <v>-329.96947818012114</v>
      </c>
      <c r="X130" s="55">
        <f t="shared" ca="1" si="35"/>
        <v>75.465303465307684</v>
      </c>
      <c r="Y130" s="55">
        <f t="shared" ca="1" si="36"/>
        <v>-1.1679914880223308</v>
      </c>
      <c r="Z130">
        <f t="shared" ca="1" si="30"/>
        <v>119.63478260869566</v>
      </c>
      <c r="AA130">
        <f t="shared" ca="1" si="37"/>
        <v>234.9501674736336</v>
      </c>
      <c r="AB130">
        <f t="shared" ca="1" si="31"/>
        <v>0</v>
      </c>
      <c r="AC130">
        <f t="shared" ca="1" si="32"/>
        <v>0.99902727400210534</v>
      </c>
      <c r="AD130" s="83">
        <f ca="1"/>
        <v>45674</v>
      </c>
      <c r="AE130" s="55">
        <f t="shared" ca="1" si="41"/>
        <v>45674</v>
      </c>
      <c r="AF130" s="55">
        <f t="shared" ca="1" si="42"/>
        <v>321.81301579678444</v>
      </c>
      <c r="AG130" s="55">
        <f t="shared" ca="1" si="43"/>
        <v>203.38745071212097</v>
      </c>
      <c r="AH130" s="55">
        <f t="shared" ca="1" si="44"/>
        <v>0</v>
      </c>
      <c r="AI130" s="55">
        <f t="shared" ca="1" si="38"/>
        <v>-3.7431302715706809</v>
      </c>
      <c r="AJ130" s="55">
        <f t="shared" ca="1" si="39"/>
        <v>93.728218716965785</v>
      </c>
      <c r="AK130" s="55">
        <f t="shared" ca="1" si="40"/>
        <v>401.83268576157371</v>
      </c>
    </row>
    <row r="131" spans="18:37">
      <c r="R131" s="83">
        <f ca="1"/>
        <v>45534</v>
      </c>
      <c r="S131" s="55">
        <f t="shared" ca="1" si="33"/>
        <v>45534</v>
      </c>
      <c r="T131" s="55">
        <f t="shared" ca="1" si="27"/>
        <v>912.10005681001417</v>
      </c>
      <c r="U131" s="55">
        <f t="shared" ca="1" si="28"/>
        <v>838.7752859434936</v>
      </c>
      <c r="V131" s="55">
        <f t="shared" ca="1" si="29"/>
        <v>0</v>
      </c>
      <c r="W131" s="55">
        <f t="shared" ca="1" si="34"/>
        <v>-329.96947818012114</v>
      </c>
      <c r="X131" s="55">
        <f t="shared" ca="1" si="35"/>
        <v>76.179351661388253</v>
      </c>
      <c r="Y131" s="55">
        <f t="shared" ca="1" si="36"/>
        <v>-1.1580176529953388</v>
      </c>
      <c r="Z131">
        <f t="shared" ca="1" si="30"/>
        <v>119.49566021832254</v>
      </c>
      <c r="AA131">
        <f t="shared" ca="1" si="37"/>
        <v>234.9501674736336</v>
      </c>
      <c r="AB131">
        <f t="shared" ca="1" si="31"/>
        <v>0</v>
      </c>
      <c r="AC131">
        <f t="shared" ca="1" si="32"/>
        <v>0.99916032111091568</v>
      </c>
      <c r="AD131" s="83">
        <f ca="1"/>
        <v>45675</v>
      </c>
      <c r="AE131" s="55">
        <f t="shared" ca="1" si="41"/>
        <v>45675</v>
      </c>
      <c r="AF131" s="55">
        <f t="shared" ca="1" si="42"/>
        <v>317.05334792212091</v>
      </c>
      <c r="AG131" s="55">
        <f t="shared" ca="1" si="43"/>
        <v>209.17516617478822</v>
      </c>
      <c r="AH131" s="55">
        <f t="shared" ca="1" si="44"/>
        <v>0</v>
      </c>
      <c r="AI131" s="55">
        <f t="shared" ca="1" si="38"/>
        <v>-3.7431302715706809</v>
      </c>
      <c r="AJ131" s="55">
        <f t="shared" ca="1" si="39"/>
        <v>94.318128916352407</v>
      </c>
      <c r="AK131" s="55">
        <f t="shared" ca="1" si="40"/>
        <v>402.27082315019084</v>
      </c>
    </row>
    <row r="132" spans="18:37">
      <c r="R132" s="83">
        <f ca="1"/>
        <v>45535</v>
      </c>
      <c r="S132" s="55">
        <f t="shared" ca="1" si="33"/>
        <v>45535</v>
      </c>
      <c r="T132" s="55">
        <f t="shared" ca="1" si="27"/>
        <v>885.02308881544695</v>
      </c>
      <c r="U132" s="55">
        <f t="shared" ca="1" si="28"/>
        <v>866.53876379479357</v>
      </c>
      <c r="V132" s="55">
        <f t="shared" ca="1" si="29"/>
        <v>0</v>
      </c>
      <c r="W132" s="55">
        <f t="shared" ca="1" si="34"/>
        <v>-329.96947818012114</v>
      </c>
      <c r="X132" s="55">
        <f t="shared" ca="1" si="35"/>
        <v>76.856321264088677</v>
      </c>
      <c r="Y132" s="55">
        <f t="shared" ca="1" si="36"/>
        <v>-1.1484773989629584</v>
      </c>
      <c r="Z132">
        <f t="shared" ca="1" si="30"/>
        <v>117.75653939231223</v>
      </c>
      <c r="AA132">
        <f t="shared" ca="1" si="37"/>
        <v>234.9501674736336</v>
      </c>
      <c r="AB132">
        <f t="shared" ca="1" si="31"/>
        <v>0</v>
      </c>
      <c r="AC132">
        <f t="shared" ca="1" si="32"/>
        <v>0.99926966643303661</v>
      </c>
      <c r="AD132" s="83">
        <f ca="1"/>
        <v>45676</v>
      </c>
      <c r="AE132" s="55">
        <f t="shared" ca="1" si="41"/>
        <v>45676</v>
      </c>
      <c r="AF132" s="55">
        <f t="shared" ca="1" si="42"/>
        <v>312.17724856951071</v>
      </c>
      <c r="AG132" s="55">
        <f t="shared" ca="1" si="43"/>
        <v>215.11031139089806</v>
      </c>
      <c r="AH132" s="55">
        <f t="shared" ca="1" si="44"/>
        <v>0</v>
      </c>
      <c r="AI132" s="55">
        <f t="shared" ca="1" si="38"/>
        <v>-3.7431302715706809</v>
      </c>
      <c r="AJ132" s="55">
        <f t="shared" ca="1" si="39"/>
        <v>94.932685758725327</v>
      </c>
      <c r="AK132" s="55">
        <f t="shared" ca="1" si="40"/>
        <v>402.71531217131758</v>
      </c>
    </row>
    <row r="133" spans="18:37">
      <c r="R133" s="83">
        <f ca="1"/>
        <v>45536</v>
      </c>
      <c r="S133" s="55">
        <f t="shared" ca="1" si="33"/>
        <v>45536</v>
      </c>
      <c r="T133" s="55">
        <f t="shared" ca="1" si="27"/>
        <v>857.21329100730691</v>
      </c>
      <c r="U133" s="55">
        <f t="shared" ca="1" si="28"/>
        <v>893.39943186625464</v>
      </c>
      <c r="V133" s="55">
        <f t="shared" ca="1" si="29"/>
        <v>0</v>
      </c>
      <c r="W133" s="55">
        <f t="shared" ca="1" si="34"/>
        <v>-331.57470873877708</v>
      </c>
      <c r="X133" s="55">
        <f t="shared" ca="1" si="35"/>
        <v>77.503238946571528</v>
      </c>
      <c r="Y133" s="55">
        <f t="shared" ca="1" si="36"/>
        <v>-1.1392942594688216</v>
      </c>
      <c r="Z133">
        <f t="shared" ca="1" si="30"/>
        <v>120</v>
      </c>
      <c r="AA133">
        <f t="shared" ca="1" si="37"/>
        <v>235.29019495358767</v>
      </c>
      <c r="AB133">
        <f t="shared" ca="1" si="31"/>
        <v>0</v>
      </c>
      <c r="AC133">
        <f t="shared" ca="1" si="32"/>
        <v>0.99936073977356132</v>
      </c>
      <c r="AD133" s="83">
        <f ca="1"/>
        <v>45677</v>
      </c>
      <c r="AE133" s="55">
        <f t="shared" ca="1" si="41"/>
        <v>45677</v>
      </c>
      <c r="AF133" s="55">
        <f t="shared" ca="1" si="42"/>
        <v>307.52059337149365</v>
      </c>
      <c r="AG133" s="55">
        <f t="shared" ca="1" si="43"/>
        <v>220.81743499475047</v>
      </c>
      <c r="AH133" s="55">
        <f t="shared" ca="1" si="44"/>
        <v>0</v>
      </c>
      <c r="AI133" s="55">
        <f t="shared" ca="1" si="38"/>
        <v>-3.7431302715706809</v>
      </c>
      <c r="AJ133" s="55">
        <f t="shared" ca="1" si="39"/>
        <v>95.54327194762368</v>
      </c>
      <c r="AK133" s="55">
        <f t="shared" ca="1" si="40"/>
        <v>403.15519438825459</v>
      </c>
    </row>
    <row r="134" spans="18:37">
      <c r="R134" s="83">
        <f ca="1"/>
        <v>45537</v>
      </c>
      <c r="S134" s="55">
        <f t="shared" ca="1" si="33"/>
        <v>45537</v>
      </c>
      <c r="T134" s="55">
        <f t="shared" ca="1" si="27"/>
        <v>830.43452309374106</v>
      </c>
      <c r="U134" s="55">
        <f t="shared" ca="1" si="28"/>
        <v>920.84011102130387</v>
      </c>
      <c r="V134" s="55">
        <f t="shared" ca="1" si="29"/>
        <v>0</v>
      </c>
      <c r="W134" s="55">
        <f t="shared" ca="1" si="34"/>
        <v>-331.57470873877708</v>
      </c>
      <c r="X134" s="55">
        <f t="shared" ca="1" si="35"/>
        <v>78.155967947534975</v>
      </c>
      <c r="Y134" s="55">
        <f t="shared" ca="1" si="36"/>
        <v>-1.1301120189488927</v>
      </c>
      <c r="Z134">
        <f t="shared" ca="1" si="30"/>
        <v>118.81739130434781</v>
      </c>
      <c r="AA134">
        <f t="shared" ca="1" si="37"/>
        <v>235.29019495358767</v>
      </c>
      <c r="AB134">
        <f t="shared" ca="1" si="31"/>
        <v>0</v>
      </c>
      <c r="AC134">
        <f t="shared" ca="1" si="32"/>
        <v>0.99944115651990961</v>
      </c>
      <c r="AD134" s="83">
        <f ca="1"/>
        <v>45678</v>
      </c>
      <c r="AE134" s="55">
        <f t="shared" ca="1" si="41"/>
        <v>45678</v>
      </c>
      <c r="AF134" s="55">
        <f t="shared" ca="1" si="42"/>
        <v>303.10417040552329</v>
      </c>
      <c r="AG134" s="55">
        <f t="shared" ca="1" si="43"/>
        <v>226.23699700813461</v>
      </c>
      <c r="AH134" s="55">
        <f t="shared" ca="1" si="44"/>
        <v>0</v>
      </c>
      <c r="AI134" s="55">
        <f t="shared" ca="1" si="38"/>
        <v>-3.7431302715706809</v>
      </c>
      <c r="AJ134" s="55">
        <f t="shared" ca="1" si="39"/>
        <v>96.133074853817789</v>
      </c>
      <c r="AK134" s="55">
        <f t="shared" ca="1" si="40"/>
        <v>403.56853052947429</v>
      </c>
    </row>
    <row r="135" spans="18:37">
      <c r="R135" s="83">
        <f ca="1"/>
        <v>45538</v>
      </c>
      <c r="S135" s="55">
        <f t="shared" ca="1" si="33"/>
        <v>45538</v>
      </c>
      <c r="T135" s="55">
        <f t="shared" ca="1" si="27"/>
        <v>802.48527769240195</v>
      </c>
      <c r="U135" s="55">
        <f t="shared" ca="1" si="28"/>
        <v>949.47167704719038</v>
      </c>
      <c r="V135" s="55">
        <f t="shared" ca="1" si="29"/>
        <v>0</v>
      </c>
      <c r="W135" s="55">
        <f t="shared" ca="1" si="34"/>
        <v>-331.57470873877708</v>
      </c>
      <c r="X135" s="55">
        <f t="shared" ca="1" si="35"/>
        <v>78.828968347025054</v>
      </c>
      <c r="Y135" s="55">
        <f t="shared" ca="1" si="36"/>
        <v>-1.1207917938915362</v>
      </c>
      <c r="Z135">
        <f t="shared" ca="1" si="30"/>
        <v>119.94784109438045</v>
      </c>
      <c r="AA135">
        <f t="shared" ca="1" si="37"/>
        <v>235.29019495358767</v>
      </c>
      <c r="AB135">
        <f t="shared" ca="1" si="31"/>
        <v>0</v>
      </c>
      <c r="AC135">
        <f t="shared" ca="1" si="32"/>
        <v>0.99951354612417642</v>
      </c>
      <c r="AD135" s="83">
        <f ca="1"/>
        <v>45679</v>
      </c>
      <c r="AE135" s="55">
        <f t="shared" ca="1" si="41"/>
        <v>45679</v>
      </c>
      <c r="AF135" s="55">
        <f t="shared" ca="1" si="42"/>
        <v>298.89432877737977</v>
      </c>
      <c r="AG135" s="55">
        <f t="shared" ca="1" si="43"/>
        <v>231.41966033825099</v>
      </c>
      <c r="AH135" s="55">
        <f t="shared" ca="1" si="44"/>
        <v>0</v>
      </c>
      <c r="AI135" s="55">
        <f t="shared" ca="1" si="38"/>
        <v>-3.7431302715706809</v>
      </c>
      <c r="AJ135" s="55">
        <f t="shared" ca="1" si="39"/>
        <v>96.710186829936916</v>
      </c>
      <c r="AK135" s="55">
        <f t="shared" ca="1" si="40"/>
        <v>403.96424025532804</v>
      </c>
    </row>
    <row r="136" spans="18:37">
      <c r="R136" s="83">
        <f ca="1"/>
        <v>45539</v>
      </c>
      <c r="S136" s="55">
        <f t="shared" ca="1" si="33"/>
        <v>45539</v>
      </c>
      <c r="T136" s="55">
        <f t="shared" ca="1" si="27"/>
        <v>767.97079058059171</v>
      </c>
      <c r="U136" s="55">
        <f t="shared" ca="1" si="28"/>
        <v>977.58677455441034</v>
      </c>
      <c r="V136" s="55">
        <f t="shared" ca="1" si="29"/>
        <v>0</v>
      </c>
      <c r="W136" s="55">
        <f t="shared" ca="1" si="34"/>
        <v>-338.63785167864557</v>
      </c>
      <c r="X136" s="55">
        <f t="shared" ca="1" si="35"/>
        <v>79.483641834919794</v>
      </c>
      <c r="Y136" s="55">
        <f t="shared" ca="1" si="36"/>
        <v>-1.1117119465079721</v>
      </c>
      <c r="Z136">
        <f t="shared" ca="1" si="30"/>
        <v>120</v>
      </c>
      <c r="AA136">
        <f t="shared" ca="1" si="37"/>
        <v>236.96020385999987</v>
      </c>
      <c r="AB136">
        <f t="shared" ca="1" si="31"/>
        <v>0</v>
      </c>
      <c r="AC136">
        <f t="shared" ca="1" si="32"/>
        <v>0.99957492444185247</v>
      </c>
      <c r="AD136" s="83">
        <f ca="1"/>
        <v>45680</v>
      </c>
      <c r="AE136" s="55">
        <f t="shared" ca="1" si="41"/>
        <v>45680</v>
      </c>
      <c r="AF136" s="55">
        <f t="shared" ca="1" si="42"/>
        <v>294.8064390172608</v>
      </c>
      <c r="AG136" s="55">
        <f t="shared" ca="1" si="43"/>
        <v>236.56079489316812</v>
      </c>
      <c r="AH136" s="55">
        <f t="shared" ca="1" si="44"/>
        <v>0</v>
      </c>
      <c r="AI136" s="55">
        <f t="shared" ca="1" si="38"/>
        <v>-3.7431302715706809</v>
      </c>
      <c r="AJ136" s="55">
        <f t="shared" ca="1" si="39"/>
        <v>97.327059615346343</v>
      </c>
      <c r="AK136" s="55">
        <f t="shared" ca="1" si="40"/>
        <v>404.40061226471676</v>
      </c>
    </row>
    <row r="137" spans="18:37">
      <c r="R137" s="83">
        <f ca="1"/>
        <v>45540</v>
      </c>
      <c r="S137" s="55">
        <f t="shared" ca="1" si="33"/>
        <v>45540</v>
      </c>
      <c r="T137" s="55">
        <f t="shared" ca="1" si="27"/>
        <v>720.99899969780279</v>
      </c>
      <c r="U137" s="55">
        <f t="shared" ca="1" si="28"/>
        <v>1007.5495046306833</v>
      </c>
      <c r="V137" s="55">
        <f t="shared" ca="1" si="29"/>
        <v>0</v>
      </c>
      <c r="W137" s="55">
        <f t="shared" ca="1" si="34"/>
        <v>-356.34725899296205</v>
      </c>
      <c r="X137" s="55">
        <f t="shared" ca="1" si="35"/>
        <v>80.174620761290797</v>
      </c>
      <c r="Y137" s="55">
        <f t="shared" ca="1" si="36"/>
        <v>-1.1023443650784994</v>
      </c>
      <c r="Z137">
        <f t="shared" ca="1" si="30"/>
        <v>120</v>
      </c>
      <c r="AA137">
        <f t="shared" ca="1" si="37"/>
        <v>241.42020385999987</v>
      </c>
      <c r="AB137">
        <f t="shared" ca="1" si="31"/>
        <v>0</v>
      </c>
      <c r="AC137">
        <f t="shared" ca="1" si="32"/>
        <v>0.99963136817263798</v>
      </c>
      <c r="AD137" s="83">
        <f ca="1"/>
        <v>45681</v>
      </c>
      <c r="AE137" s="55">
        <f t="shared" ca="1" si="41"/>
        <v>45681</v>
      </c>
      <c r="AF137" s="55">
        <f t="shared" ca="1" si="42"/>
        <v>290.71319691394893</v>
      </c>
      <c r="AG137" s="55">
        <f t="shared" ca="1" si="43"/>
        <v>241.67289560871131</v>
      </c>
      <c r="AH137" s="55">
        <f t="shared" ca="1" si="44"/>
        <v>0</v>
      </c>
      <c r="AI137" s="55">
        <f t="shared" ca="1" si="38"/>
        <v>-3.7431302715706809</v>
      </c>
      <c r="AJ137" s="55">
        <f t="shared" ca="1" si="39"/>
        <v>97.938399686243002</v>
      </c>
      <c r="AK137" s="55">
        <f t="shared" ca="1" si="40"/>
        <v>404.80813080605139</v>
      </c>
    </row>
    <row r="138" spans="18:37">
      <c r="R138" s="83">
        <f ca="1"/>
        <v>45541</v>
      </c>
      <c r="S138" s="55">
        <f t="shared" ca="1" si="33"/>
        <v>45541</v>
      </c>
      <c r="T138" s="55">
        <f t="shared" ca="1" si="27"/>
        <v>690.23820998978556</v>
      </c>
      <c r="U138" s="55">
        <f t="shared" ca="1" si="28"/>
        <v>1039.0408064493497</v>
      </c>
      <c r="V138" s="55">
        <f t="shared" ca="1" si="29"/>
        <v>0</v>
      </c>
      <c r="W138" s="55">
        <f t="shared" ca="1" si="34"/>
        <v>-356.34725899296205</v>
      </c>
      <c r="X138" s="55">
        <f t="shared" ca="1" si="35"/>
        <v>80.895545524665721</v>
      </c>
      <c r="Y138" s="55">
        <f t="shared" ca="1" si="36"/>
        <v>-1.0927570178041766</v>
      </c>
      <c r="Z138">
        <f t="shared" ca="1" si="30"/>
        <v>118.9217391304348</v>
      </c>
      <c r="AA138">
        <f t="shared" ca="1" si="37"/>
        <v>241.42020385999987</v>
      </c>
      <c r="AB138">
        <f t="shared" ca="1" si="31"/>
        <v>0</v>
      </c>
      <c r="AC138">
        <f t="shared" ca="1" si="32"/>
        <v>0.99968225362215368</v>
      </c>
      <c r="AD138" s="83">
        <f ca="1"/>
        <v>45682</v>
      </c>
      <c r="AE138" s="55">
        <f t="shared" ca="1" si="41"/>
        <v>45682</v>
      </c>
      <c r="AF138" s="55">
        <f t="shared" ca="1" si="42"/>
        <v>286.63142055391211</v>
      </c>
      <c r="AG138" s="55">
        <f t="shared" ca="1" si="43"/>
        <v>246.71592760040079</v>
      </c>
      <c r="AH138" s="55">
        <f t="shared" ca="1" si="44"/>
        <v>0</v>
      </c>
      <c r="AI138" s="55">
        <f t="shared" ca="1" si="38"/>
        <v>-3.7431302715706809</v>
      </c>
      <c r="AJ138" s="55">
        <f t="shared" ca="1" si="39"/>
        <v>98.533049925019938</v>
      </c>
      <c r="AK138" s="55">
        <f t="shared" ca="1" si="40"/>
        <v>405.17473619892712</v>
      </c>
    </row>
    <row r="139" spans="18:37">
      <c r="R139" s="83">
        <f ca="1"/>
        <v>45542</v>
      </c>
      <c r="S139" s="55">
        <f t="shared" ca="1" si="33"/>
        <v>45542</v>
      </c>
      <c r="T139" s="55">
        <f t="shared" ca="1" si="27"/>
        <v>659.81026266401454</v>
      </c>
      <c r="U139" s="55">
        <f t="shared" ca="1" si="28"/>
        <v>1070.1860397507037</v>
      </c>
      <c r="V139" s="55">
        <f t="shared" ca="1" si="29"/>
        <v>0</v>
      </c>
      <c r="W139" s="55">
        <f t="shared" ca="1" si="34"/>
        <v>-356.34725899296205</v>
      </c>
      <c r="X139" s="55">
        <f t="shared" ca="1" si="35"/>
        <v>81.603440411337445</v>
      </c>
      <c r="Y139" s="55">
        <f t="shared" ca="1" si="36"/>
        <v>-1.0833659288929192</v>
      </c>
      <c r="Z139">
        <f t="shared" ca="1" si="30"/>
        <v>117.18261676309908</v>
      </c>
      <c r="AA139">
        <f t="shared" ca="1" si="37"/>
        <v>241.42020385999987</v>
      </c>
      <c r="AB139">
        <f t="shared" ca="1" si="31"/>
        <v>0</v>
      </c>
      <c r="AC139">
        <f t="shared" ca="1" si="32"/>
        <v>0.99972539811595629</v>
      </c>
      <c r="AD139" s="83">
        <f ca="1"/>
        <v>45683</v>
      </c>
      <c r="AE139" s="55">
        <f t="shared" ca="1" si="41"/>
        <v>45683</v>
      </c>
      <c r="AF139" s="55">
        <f t="shared" ca="1" si="42"/>
        <v>282.32582513027705</v>
      </c>
      <c r="AG139" s="55">
        <f t="shared" ca="1" si="43"/>
        <v>252.03311177229494</v>
      </c>
      <c r="AH139" s="55">
        <f t="shared" ca="1" si="44"/>
        <v>0</v>
      </c>
      <c r="AI139" s="55">
        <f t="shared" ca="1" si="38"/>
        <v>-3.7431302715706809</v>
      </c>
      <c r="AJ139" s="55">
        <f t="shared" ca="1" si="39"/>
        <v>99.170636058294704</v>
      </c>
      <c r="AK139" s="55">
        <f t="shared" ca="1" si="40"/>
        <v>405.54873881391143</v>
      </c>
    </row>
    <row r="140" spans="18:37">
      <c r="R140" s="83">
        <f ca="1"/>
        <v>45543</v>
      </c>
      <c r="S140" s="55">
        <f t="shared" ca="1" si="33"/>
        <v>45543</v>
      </c>
      <c r="T140" s="55">
        <f t="shared" ca="1" si="27"/>
        <v>628.91134417181013</v>
      </c>
      <c r="U140" s="55">
        <f t="shared" ca="1" si="28"/>
        <v>1098.6201128917128</v>
      </c>
      <c r="V140" s="55">
        <f t="shared" ca="1" si="29"/>
        <v>0</v>
      </c>
      <c r="W140" s="55">
        <f t="shared" ca="1" si="34"/>
        <v>-359.46452399129186</v>
      </c>
      <c r="X140" s="55">
        <f t="shared" ca="1" si="35"/>
        <v>82.247143920868297</v>
      </c>
      <c r="Y140" s="55">
        <f t="shared" ca="1" si="36"/>
        <v>-1.0746497912892874</v>
      </c>
      <c r="Z140">
        <f t="shared" ca="1" si="30"/>
        <v>120</v>
      </c>
      <c r="AA140">
        <f t="shared" ca="1" si="37"/>
        <v>242.32021894529066</v>
      </c>
      <c r="AB140">
        <f t="shared" ca="1" si="31"/>
        <v>0</v>
      </c>
      <c r="AC140">
        <f t="shared" ca="1" si="32"/>
        <v>0.99975948909805401</v>
      </c>
      <c r="AD140" s="83">
        <f ca="1"/>
        <v>45684</v>
      </c>
      <c r="AE140" s="55">
        <f t="shared" ca="1" si="41"/>
        <v>45684</v>
      </c>
      <c r="AF140" s="55">
        <f t="shared" ca="1" si="42"/>
        <v>278.33758188028906</v>
      </c>
      <c r="AG140" s="55">
        <f t="shared" ca="1" si="43"/>
        <v>257.04220289073174</v>
      </c>
      <c r="AH140" s="55">
        <f t="shared" ca="1" si="44"/>
        <v>0</v>
      </c>
      <c r="AI140" s="55">
        <f t="shared" ca="1" si="38"/>
        <v>-3.7431302715706809</v>
      </c>
      <c r="AJ140" s="55">
        <f t="shared" ca="1" si="39"/>
        <v>99.810536587816003</v>
      </c>
      <c r="AK140" s="55">
        <f t="shared" ca="1" si="40"/>
        <v>405.92968615283894</v>
      </c>
    </row>
    <row r="141" spans="18:37">
      <c r="R141" s="83">
        <f ca="1"/>
        <v>45544</v>
      </c>
      <c r="S141" s="55">
        <f t="shared" ca="1" si="33"/>
        <v>45544</v>
      </c>
      <c r="T141" s="55">
        <f t="shared" ca="1" si="27"/>
        <v>593.84094091276154</v>
      </c>
      <c r="U141" s="55">
        <f t="shared" ca="1" si="28"/>
        <v>1128.5857861715285</v>
      </c>
      <c r="V141" s="55">
        <f t="shared" ca="1" si="29"/>
        <v>0</v>
      </c>
      <c r="W141" s="55">
        <f t="shared" ca="1" si="34"/>
        <v>-365.25318220662405</v>
      </c>
      <c r="X141" s="55">
        <f t="shared" ca="1" si="35"/>
        <v>82.922127065473134</v>
      </c>
      <c r="Y141" s="55">
        <f t="shared" ca="1" si="36"/>
        <v>-1.0657046997947832</v>
      </c>
      <c r="Z141">
        <f t="shared" ca="1" si="30"/>
        <v>120</v>
      </c>
      <c r="AA141">
        <f t="shared" ca="1" si="37"/>
        <v>244.09021894529064</v>
      </c>
      <c r="AB141">
        <f t="shared" ca="1" si="31"/>
        <v>0</v>
      </c>
      <c r="AC141">
        <f t="shared" ca="1" si="32"/>
        <v>0.99979073885131586</v>
      </c>
      <c r="AD141" s="83">
        <f ca="1"/>
        <v>45685</v>
      </c>
      <c r="AE141" s="55">
        <f t="shared" ca="1" si="41"/>
        <v>45685</v>
      </c>
      <c r="AF141" s="55">
        <f t="shared" ca="1" si="42"/>
        <v>274.52688308635618</v>
      </c>
      <c r="AG141" s="55">
        <f t="shared" ca="1" si="43"/>
        <v>261.80475819233817</v>
      </c>
      <c r="AH141" s="55">
        <f t="shared" ca="1" si="44"/>
        <v>0</v>
      </c>
      <c r="AI141" s="55">
        <f t="shared" ca="1" si="38"/>
        <v>-3.7431302715706809</v>
      </c>
      <c r="AJ141" s="55">
        <f t="shared" ca="1" si="39"/>
        <v>100.42153600247622</v>
      </c>
      <c r="AK141" s="55">
        <f t="shared" ca="1" si="40"/>
        <v>406.27054324585225</v>
      </c>
    </row>
    <row r="142" spans="18:37">
      <c r="R142" s="83">
        <f ca="1"/>
        <v>45545</v>
      </c>
      <c r="S142" s="55">
        <f t="shared" ca="1" si="33"/>
        <v>45545</v>
      </c>
      <c r="T142" s="55">
        <f t="shared" ca="1" si="27"/>
        <v>548.50196234323721</v>
      </c>
      <c r="U142" s="55">
        <f t="shared" ca="1" si="28"/>
        <v>1160.2672785109758</v>
      </c>
      <c r="V142" s="55">
        <f t="shared" ca="1" si="29"/>
        <v>0</v>
      </c>
      <c r="W142" s="55">
        <f t="shared" ca="1" si="34"/>
        <v>-379.63188292381892</v>
      </c>
      <c r="X142" s="55">
        <f t="shared" ca="1" si="35"/>
        <v>83.634120413398165</v>
      </c>
      <c r="Y142" s="55">
        <f t="shared" ca="1" si="36"/>
        <v>-1.0564835606020564</v>
      </c>
      <c r="Z142">
        <f t="shared" ca="1" si="30"/>
        <v>120</v>
      </c>
      <c r="AA142">
        <f t="shared" ca="1" si="37"/>
        <v>248.85021894529064</v>
      </c>
      <c r="AB142">
        <f t="shared" ca="1" si="31"/>
        <v>0</v>
      </c>
      <c r="AC142">
        <f t="shared" ca="1" si="32"/>
        <v>0.99981930520113227</v>
      </c>
      <c r="AD142" s="83">
        <f ca="1"/>
        <v>45686</v>
      </c>
      <c r="AE142" s="55">
        <f t="shared" ca="1" si="41"/>
        <v>45686</v>
      </c>
      <c r="AF142" s="55">
        <f t="shared" ca="1" si="42"/>
        <v>270.62702870976062</v>
      </c>
      <c r="AG142" s="55">
        <f t="shared" ca="1" si="43"/>
        <v>266.63905601107501</v>
      </c>
      <c r="AH142" s="55">
        <f t="shared" ca="1" si="44"/>
        <v>0</v>
      </c>
      <c r="AI142" s="55">
        <f t="shared" ca="1" si="38"/>
        <v>-3.7431302715706809</v>
      </c>
      <c r="AJ142" s="55">
        <f t="shared" ca="1" si="39"/>
        <v>101.04019301121312</v>
      </c>
      <c r="AK142" s="55">
        <f t="shared" ca="1" si="40"/>
        <v>406.58632967925666</v>
      </c>
    </row>
    <row r="143" spans="18:37">
      <c r="R143" s="83">
        <f ca="1"/>
        <v>45546</v>
      </c>
      <c r="S143" s="55">
        <f t="shared" ca="1" si="33"/>
        <v>45546</v>
      </c>
      <c r="T143" s="55">
        <f t="shared" ca="1" si="27"/>
        <v>517.76953417743619</v>
      </c>
      <c r="U143" s="55">
        <f t="shared" ca="1" si="28"/>
        <v>1191.4226529345344</v>
      </c>
      <c r="V143" s="55">
        <f t="shared" ca="1" si="29"/>
        <v>0</v>
      </c>
      <c r="W143" s="55">
        <f t="shared" ca="1" si="34"/>
        <v>-379.91703136293114</v>
      </c>
      <c r="X143" s="55">
        <f t="shared" ca="1" si="35"/>
        <v>84.333186632686491</v>
      </c>
      <c r="Y143" s="55">
        <f t="shared" ca="1" si="36"/>
        <v>-1.0474550830205609</v>
      </c>
      <c r="Z143">
        <f t="shared" ca="1" si="30"/>
        <v>120</v>
      </c>
      <c r="AA143">
        <f t="shared" ca="1" si="37"/>
        <v>248.95021894529063</v>
      </c>
      <c r="AB143">
        <f t="shared" ca="1" si="31"/>
        <v>0</v>
      </c>
      <c r="AC143">
        <f t="shared" ca="1" si="32"/>
        <v>0.99984356305873323</v>
      </c>
      <c r="AD143" s="83">
        <f ca="1"/>
        <v>45687</v>
      </c>
      <c r="AE143" s="55">
        <f t="shared" ca="1" si="41"/>
        <v>45687</v>
      </c>
      <c r="AF143" s="55">
        <f t="shared" ca="1" si="42"/>
        <v>266.84572722549314</v>
      </c>
      <c r="AG143" s="55">
        <f t="shared" ca="1" si="43"/>
        <v>271.33670988404845</v>
      </c>
      <c r="AH143" s="55">
        <f t="shared" ca="1" si="44"/>
        <v>0</v>
      </c>
      <c r="AI143" s="55">
        <f t="shared" ca="1" si="38"/>
        <v>-3.7431302715706809</v>
      </c>
      <c r="AJ143" s="55">
        <f t="shared" ca="1" si="39"/>
        <v>101.65683108789956</v>
      </c>
      <c r="AK143" s="55">
        <f t="shared" ca="1" si="40"/>
        <v>406.88604399127615</v>
      </c>
    </row>
    <row r="144" spans="18:37">
      <c r="R144" s="83">
        <f ca="1"/>
        <v>45547</v>
      </c>
      <c r="S144" s="55">
        <f t="shared" ca="1" si="33"/>
        <v>45547</v>
      </c>
      <c r="T144" s="55">
        <f t="shared" ca="1" si="27"/>
        <v>485.08570043903637</v>
      </c>
      <c r="U144" s="55">
        <f t="shared" ca="1" si="28"/>
        <v>1224.8683182977561</v>
      </c>
      <c r="V144" s="55">
        <f t="shared" ca="1" si="29"/>
        <v>0</v>
      </c>
      <c r="W144" s="55">
        <f t="shared" ca="1" si="34"/>
        <v>-379.91703136293114</v>
      </c>
      <c r="X144" s="55">
        <f t="shared" ca="1" si="35"/>
        <v>85.085572869280426</v>
      </c>
      <c r="Y144" s="55">
        <f t="shared" ca="1" si="36"/>
        <v>-1.0380096947925739</v>
      </c>
      <c r="Z144">
        <f t="shared" ca="1" si="30"/>
        <v>119.33913043478262</v>
      </c>
      <c r="AA144">
        <f t="shared" ca="1" si="37"/>
        <v>248.95021894529063</v>
      </c>
      <c r="AB144">
        <f t="shared" ca="1" si="31"/>
        <v>0</v>
      </c>
      <c r="AC144">
        <f t="shared" ca="1" si="32"/>
        <v>0.99986599583040503</v>
      </c>
      <c r="AD144" s="83">
        <f ca="1"/>
        <v>45688</v>
      </c>
      <c r="AE144" s="55">
        <f t="shared" ca="1" si="41"/>
        <v>45688</v>
      </c>
      <c r="AF144" s="55">
        <f t="shared" ca="1" si="42"/>
        <v>263.27735050552485</v>
      </c>
      <c r="AG144" s="55">
        <f t="shared" ca="1" si="43"/>
        <v>275.74299168932623</v>
      </c>
      <c r="AH144" s="55">
        <f t="shared" ca="1" si="44"/>
        <v>0</v>
      </c>
      <c r="AI144" s="55">
        <f t="shared" ca="1" si="38"/>
        <v>-3.7431302715706809</v>
      </c>
      <c r="AJ144" s="55">
        <f t="shared" ca="1" si="39"/>
        <v>102.23769454522522</v>
      </c>
      <c r="AK144" s="55">
        <f t="shared" ca="1" si="40"/>
        <v>407.14308561925998</v>
      </c>
    </row>
    <row r="145" spans="18:37">
      <c r="R145" s="83">
        <f ca="1"/>
        <v>45548</v>
      </c>
      <c r="S145" s="55">
        <f t="shared" ca="1" si="33"/>
        <v>45548</v>
      </c>
      <c r="T145" s="55">
        <f t="shared" ca="1" si="27"/>
        <v>451.83663271187402</v>
      </c>
      <c r="U145" s="55">
        <f t="shared" ca="1" si="28"/>
        <v>1257.9001180914561</v>
      </c>
      <c r="V145" s="55">
        <f t="shared" ca="1" si="29"/>
        <v>0</v>
      </c>
      <c r="W145" s="55">
        <f t="shared" ca="1" si="34"/>
        <v>-380.88750046956812</v>
      </c>
      <c r="X145" s="55">
        <f t="shared" ca="1" si="35"/>
        <v>85.829486499152097</v>
      </c>
      <c r="Y145" s="55">
        <f t="shared" ca="1" si="36"/>
        <v>-1.0287221514896276</v>
      </c>
      <c r="Z145">
        <f t="shared" ca="1" si="30"/>
        <v>120</v>
      </c>
      <c r="AA145">
        <f t="shared" ca="1" si="37"/>
        <v>249.34021999009101</v>
      </c>
      <c r="AB145">
        <f t="shared" ca="1" si="31"/>
        <v>0</v>
      </c>
      <c r="AC145">
        <f t="shared" ca="1" si="32"/>
        <v>0.99988502196732698</v>
      </c>
      <c r="AD145" s="83">
        <f ca="1"/>
        <v>45689</v>
      </c>
      <c r="AE145" s="55">
        <f t="shared" ca="1" si="41"/>
        <v>45689</v>
      </c>
      <c r="AF145" s="55">
        <f t="shared" ca="1" si="42"/>
        <v>259.95138521771003</v>
      </c>
      <c r="AG145" s="55">
        <f t="shared" ca="1" si="43"/>
        <v>279.97586863805503</v>
      </c>
      <c r="AH145" s="55">
        <f t="shared" ca="1" si="44"/>
        <v>0</v>
      </c>
      <c r="AI145" s="55">
        <f t="shared" ca="1" si="38"/>
        <v>-3.7431302715706809</v>
      </c>
      <c r="AJ145" s="55">
        <f t="shared" ca="1" si="39"/>
        <v>102.85081686381294</v>
      </c>
      <c r="AK145" s="55">
        <f t="shared" ca="1" si="40"/>
        <v>407.43687496158623</v>
      </c>
    </row>
    <row r="146" spans="18:37">
      <c r="R146" s="83">
        <f ca="1"/>
        <v>45549</v>
      </c>
      <c r="S146" s="55">
        <f t="shared" ca="1" si="33"/>
        <v>45549</v>
      </c>
      <c r="T146" s="55">
        <f t="shared" ref="T146:T209" ca="1" si="45">VLOOKUP(S146,ModelOutputs,2,FALSE)</f>
        <v>418.88508197606893</v>
      </c>
      <c r="U146" s="55">
        <f t="shared" ref="U146:U209" ca="1" si="46">VLOOKUP(S146,ModelOutputs,7,FALSE)</f>
        <v>1291.6241118670771</v>
      </c>
      <c r="V146" s="55">
        <f t="shared" ref="V146:V209" ca="1" si="47">VLOOKUP(S146,ModelOutputs,6,FALSE)</f>
        <v>0</v>
      </c>
      <c r="W146" s="55">
        <f t="shared" ca="1" si="34"/>
        <v>-380.88750046956812</v>
      </c>
      <c r="X146" s="55">
        <f t="shared" ca="1" si="35"/>
        <v>86.592548499678486</v>
      </c>
      <c r="Y146" s="55">
        <f t="shared" ca="1" si="36"/>
        <v>-1.0193411122001259</v>
      </c>
      <c r="Z146">
        <f t="shared" ref="Z146:Z209" ca="1" si="48">VLOOKUP(S146,ModelOutputs,10,FALSE)*AWC</f>
        <v>119.13043478260869</v>
      </c>
      <c r="AA146">
        <f t="shared" ca="1" si="37"/>
        <v>249.34021999009101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0.9999017137945071</v>
      </c>
      <c r="AD146" s="83">
        <f ca="1"/>
        <v>45690</v>
      </c>
      <c r="AE146" s="55">
        <f t="shared" ca="1" si="41"/>
        <v>45690</v>
      </c>
      <c r="AF146" s="55">
        <f t="shared" ca="1" si="42"/>
        <v>256.89657541084244</v>
      </c>
      <c r="AG146" s="55">
        <f t="shared" ca="1" si="43"/>
        <v>283.98886040933309</v>
      </c>
      <c r="AH146" s="55">
        <f t="shared" ca="1" si="44"/>
        <v>0</v>
      </c>
      <c r="AI146" s="55">
        <f t="shared" ca="1" si="38"/>
        <v>-3.7431302715706809</v>
      </c>
      <c r="AJ146" s="55">
        <f t="shared" ca="1" si="39"/>
        <v>103.48888266326213</v>
      </c>
      <c r="AK146" s="55">
        <f t="shared" ca="1" si="40"/>
        <v>407.75699112654752</v>
      </c>
    </row>
    <row r="147" spans="18:37">
      <c r="R147" s="83">
        <f ca="1"/>
        <v>45550</v>
      </c>
      <c r="S147" s="55">
        <f t="shared" ref="S147:S210" ca="1" si="51">IF(R147&gt;1,R147,"")</f>
        <v>45550</v>
      </c>
      <c r="T147" s="55">
        <f t="shared" ca="1" si="45"/>
        <v>385.88297394411421</v>
      </c>
      <c r="U147" s="55">
        <f t="shared" ca="1" si="46"/>
        <v>1324.9465386644888</v>
      </c>
      <c r="V147" s="55">
        <f t="shared" ca="1" si="47"/>
        <v>0</v>
      </c>
      <c r="W147" s="55">
        <f t="shared" ref="W147:W210" ca="1" si="52">-VLOOKUP(S147,ModelOutputs,9,FALSE)+W146</f>
        <v>-381.33378496575091</v>
      </c>
      <c r="X147" s="55">
        <f t="shared" ref="X147:X210" ca="1" si="53">VLOOKUP(S147,ModelOutputs,5,FALSE)+X146</f>
        <v>87.349904995213961</v>
      </c>
      <c r="Y147" s="55">
        <f t="shared" ref="Y147:Y210" ca="1" si="54">VLOOKUP(S147,ModelOutputs,4,FALSE)+Y146</f>
        <v>-1.0100943460958343</v>
      </c>
      <c r="Z147">
        <f t="shared" ca="1" si="48"/>
        <v>120</v>
      </c>
      <c r="AA147">
        <f t="shared" ref="AA147:AA210" ca="1" si="55">VLOOKUP(S147,ModelOutputs,11,FALSE)+AA146</f>
        <v>249.5502211420347</v>
      </c>
      <c r="AB147">
        <f t="shared" ca="1" si="49"/>
        <v>0</v>
      </c>
      <c r="AC147">
        <f t="shared" ca="1" si="50"/>
        <v>0.99991588982533586</v>
      </c>
      <c r="AD147" s="83">
        <f ca="1"/>
        <v>45691</v>
      </c>
      <c r="AE147" s="55">
        <f t="shared" ca="1" si="41"/>
        <v>45691</v>
      </c>
      <c r="AF147" s="55">
        <f t="shared" ca="1" si="42"/>
        <v>253.89469423585666</v>
      </c>
      <c r="AG147" s="55">
        <f t="shared" ca="1" si="43"/>
        <v>287.91063047780017</v>
      </c>
      <c r="AH147" s="55">
        <f t="shared" ca="1" si="44"/>
        <v>0</v>
      </c>
      <c r="AI147" s="55">
        <f t="shared" ref="AI147:AI210" ca="1" si="56">-VLOOKUP(AE147,ModelOutputs,9,FALSE)+AI146</f>
        <v>-3.7431302715706809</v>
      </c>
      <c r="AJ147" s="55">
        <f t="shared" ref="AJ147:AJ210" ca="1" si="57">VLOOKUP(AE147,ModelOutputs,5,FALSE)+AJ146</f>
        <v>104.11749255997194</v>
      </c>
      <c r="AK147" s="55">
        <f t="shared" ref="AK147:AK210" ca="1" si="58">VLOOKUP(AE147,ModelOutputs,4,FALSE)+AK146</f>
        <v>408.04827012331901</v>
      </c>
    </row>
    <row r="148" spans="18:37">
      <c r="R148" s="83">
        <f ca="1"/>
        <v>45551</v>
      </c>
      <c r="S148" s="55">
        <f t="shared" ca="1" si="51"/>
        <v>45551</v>
      </c>
      <c r="T148" s="55">
        <f t="shared" ca="1" si="45"/>
        <v>346.04504886536313</v>
      </c>
      <c r="U148" s="55">
        <f t="shared" ca="1" si="46"/>
        <v>1360.7400953400368</v>
      </c>
      <c r="V148" s="55">
        <f t="shared" ca="1" si="47"/>
        <v>0</v>
      </c>
      <c r="W148" s="55">
        <f t="shared" ca="1" si="52"/>
        <v>-386.21251864018893</v>
      </c>
      <c r="X148" s="55">
        <f t="shared" ca="1" si="53"/>
        <v>88.174505429512237</v>
      </c>
      <c r="Y148" s="55">
        <f t="shared" ca="1" si="54"/>
        <v>-1.0003295091591471</v>
      </c>
      <c r="Z148">
        <f t="shared" ca="1" si="48"/>
        <v>120</v>
      </c>
      <c r="AA148">
        <f t="shared" ca="1" si="55"/>
        <v>252.1102211420347</v>
      </c>
      <c r="AB148">
        <f t="shared" ca="1" si="49"/>
        <v>0</v>
      </c>
      <c r="AC148">
        <f t="shared" ca="1" si="50"/>
        <v>0.99992892918011766</v>
      </c>
      <c r="AD148" s="83">
        <f ca="1"/>
        <v>45692</v>
      </c>
      <c r="AE148" s="55">
        <f t="shared" ca="1" si="41"/>
        <v>45692</v>
      </c>
      <c r="AF148" s="55">
        <f t="shared" ca="1" si="42"/>
        <v>251.19581600799131</v>
      </c>
      <c r="AG148" s="55">
        <f t="shared" ca="1" si="43"/>
        <v>291.55218919539601</v>
      </c>
      <c r="AH148" s="55">
        <f t="shared" ca="1" si="44"/>
        <v>0</v>
      </c>
      <c r="AI148" s="55">
        <f t="shared" ca="1" si="56"/>
        <v>-3.7431302715706809</v>
      </c>
      <c r="AJ148" s="55">
        <f t="shared" ca="1" si="57"/>
        <v>104.75526516016247</v>
      </c>
      <c r="AK148" s="55">
        <f t="shared" ca="1" si="58"/>
        <v>408.35317801285896</v>
      </c>
    </row>
    <row r="149" spans="18:37">
      <c r="R149" s="83">
        <f ca="1"/>
        <v>45552</v>
      </c>
      <c r="S149" s="55">
        <f t="shared" ca="1" si="51"/>
        <v>45552</v>
      </c>
      <c r="T149" s="55">
        <f t="shared" ca="1" si="45"/>
        <v>310.54168132089893</v>
      </c>
      <c r="U149" s="55">
        <f t="shared" ca="1" si="46"/>
        <v>1393.730569038742</v>
      </c>
      <c r="V149" s="55">
        <f t="shared" ca="1" si="47"/>
        <v>0</v>
      </c>
      <c r="W149" s="55">
        <f t="shared" ca="1" si="52"/>
        <v>-389.49615937485163</v>
      </c>
      <c r="X149" s="55">
        <f t="shared" ca="1" si="53"/>
        <v>88.936138531377338</v>
      </c>
      <c r="Y149" s="55">
        <f t="shared" ca="1" si="54"/>
        <v>-0.99121572212053222</v>
      </c>
      <c r="Z149">
        <f t="shared" ca="1" si="48"/>
        <v>120</v>
      </c>
      <c r="AA149">
        <f t="shared" ca="1" si="55"/>
        <v>254.03022114203469</v>
      </c>
      <c r="AB149">
        <f t="shared" ca="1" si="49"/>
        <v>0</v>
      </c>
      <c r="AC149">
        <f t="shared" ca="1" si="50"/>
        <v>0.9999392304408341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248.724104892768</v>
      </c>
      <c r="AG149" s="55">
        <f t="shared" ref="AG149:AG212" ca="1" si="61">VLOOKUP(AE149,ModelOutputs,7,FALSE)</f>
        <v>294.91499191177769</v>
      </c>
      <c r="AH149" s="55">
        <f t="shared" ref="AH149:AH212" ca="1" si="62">VLOOKUP(AE149,ModelOutputs,6,FALSE)</f>
        <v>0</v>
      </c>
      <c r="AI149" s="55">
        <f t="shared" ca="1" si="56"/>
        <v>-3.7431302715706809</v>
      </c>
      <c r="AJ149" s="55">
        <f t="shared" ca="1" si="57"/>
        <v>105.36565327096157</v>
      </c>
      <c r="AK149" s="55">
        <f t="shared" ca="1" si="58"/>
        <v>408.63388150321822</v>
      </c>
    </row>
    <row r="150" spans="18:37">
      <c r="R150" s="83">
        <f ca="1"/>
        <v>45553</v>
      </c>
      <c r="S150" s="55">
        <f t="shared" ca="1" si="51"/>
        <v>45553</v>
      </c>
      <c r="T150" s="55">
        <f t="shared" ca="1" si="45"/>
        <v>270.88916807960254</v>
      </c>
      <c r="U150" s="55">
        <f t="shared" ca="1" si="46"/>
        <v>1423.9643670977559</v>
      </c>
      <c r="V150" s="55">
        <f t="shared" ca="1" si="47"/>
        <v>0</v>
      </c>
      <c r="W150" s="55">
        <f t="shared" ca="1" si="52"/>
        <v>-399.62584388903986</v>
      </c>
      <c r="X150" s="55">
        <f t="shared" ca="1" si="53"/>
        <v>89.638592085101948</v>
      </c>
      <c r="Y150" s="55">
        <f t="shared" ca="1" si="54"/>
        <v>-0.98269994393937665</v>
      </c>
      <c r="Z150">
        <f t="shared" ca="1" si="48"/>
        <v>120</v>
      </c>
      <c r="AA150">
        <f t="shared" ca="1" si="55"/>
        <v>260.82022114203471</v>
      </c>
      <c r="AB150">
        <f t="shared" ca="1" si="49"/>
        <v>0</v>
      </c>
      <c r="AC150">
        <f t="shared" ca="1" si="50"/>
        <v>0.99994742573982265</v>
      </c>
      <c r="AD150" s="83">
        <f ca="1"/>
        <v>45694</v>
      </c>
      <c r="AE150" s="55">
        <f t="shared" ca="1" si="59"/>
        <v>45694</v>
      </c>
      <c r="AF150" s="55">
        <f t="shared" ca="1" si="60"/>
        <v>246.4527746015489</v>
      </c>
      <c r="AG150" s="55">
        <f t="shared" ca="1" si="61"/>
        <v>297.98345270977677</v>
      </c>
      <c r="AH150" s="55">
        <f t="shared" ca="1" si="62"/>
        <v>0</v>
      </c>
      <c r="AI150" s="55">
        <f t="shared" ca="1" si="56"/>
        <v>-3.7431302715706809</v>
      </c>
      <c r="AJ150" s="55">
        <f t="shared" ca="1" si="57"/>
        <v>105.92531787409155</v>
      </c>
      <c r="AK150" s="55">
        <f t="shared" ca="1" si="58"/>
        <v>408.87134740686821</v>
      </c>
    </row>
    <row r="151" spans="18:37">
      <c r="R151" s="83">
        <f ca="1"/>
        <v>45554</v>
      </c>
      <c r="S151" s="55">
        <f t="shared" ca="1" si="51"/>
        <v>45554</v>
      </c>
      <c r="T151" s="55">
        <f t="shared" ca="1" si="45"/>
        <v>239.66104292950749</v>
      </c>
      <c r="U151" s="55">
        <f t="shared" ca="1" si="46"/>
        <v>1453.5729094373148</v>
      </c>
      <c r="V151" s="55">
        <f t="shared" ca="1" si="47"/>
        <v>0</v>
      </c>
      <c r="W151" s="55">
        <f t="shared" ca="1" si="52"/>
        <v>-401.94881933123196</v>
      </c>
      <c r="X151" s="55">
        <f t="shared" ca="1" si="53"/>
        <v>90.333607195827611</v>
      </c>
      <c r="Y151" s="55">
        <f t="shared" ca="1" si="54"/>
        <v>-0.97432242300912497</v>
      </c>
      <c r="Z151">
        <f t="shared" ca="1" si="48"/>
        <v>120</v>
      </c>
      <c r="AA151">
        <f t="shared" ca="1" si="55"/>
        <v>262.5802211420347</v>
      </c>
      <c r="AB151">
        <f t="shared" ca="1" si="49"/>
        <v>0</v>
      </c>
      <c r="AC151">
        <f t="shared" ca="1" si="50"/>
        <v>0.99995444680224266</v>
      </c>
      <c r="AD151" s="83">
        <f ca="1"/>
        <v>45695</v>
      </c>
      <c r="AE151" s="55">
        <f t="shared" ca="1" si="59"/>
        <v>45695</v>
      </c>
      <c r="AF151" s="55">
        <f t="shared" ca="1" si="60"/>
        <v>244.38240652061447</v>
      </c>
      <c r="AG151" s="55">
        <f t="shared" ca="1" si="61"/>
        <v>300.83992128639397</v>
      </c>
      <c r="AH151" s="55">
        <f t="shared" ca="1" si="62"/>
        <v>0</v>
      </c>
      <c r="AI151" s="55">
        <f t="shared" ca="1" si="56"/>
        <v>-3.7431302715706809</v>
      </c>
      <c r="AJ151" s="55">
        <f t="shared" ca="1" si="57"/>
        <v>106.47767774851776</v>
      </c>
      <c r="AK151" s="55">
        <f t="shared" ca="1" si="58"/>
        <v>409.10508802812478</v>
      </c>
    </row>
    <row r="152" spans="18:37">
      <c r="R152" s="83">
        <f ca="1"/>
        <v>45555</v>
      </c>
      <c r="S152" s="55">
        <f t="shared" ca="1" si="51"/>
        <v>45555</v>
      </c>
      <c r="T152" s="55">
        <f t="shared" ca="1" si="45"/>
        <v>212.57373348955733</v>
      </c>
      <c r="U152" s="55">
        <f t="shared" ca="1" si="46"/>
        <v>1481.327444242582</v>
      </c>
      <c r="V152" s="55">
        <f t="shared" ca="1" si="47"/>
        <v>0</v>
      </c>
      <c r="W152" s="55">
        <f t="shared" ca="1" si="52"/>
        <v>-401.94881933123196</v>
      </c>
      <c r="X152" s="55">
        <f t="shared" ca="1" si="53"/>
        <v>90.99283218713461</v>
      </c>
      <c r="Y152" s="55">
        <f t="shared" ca="1" si="54"/>
        <v>-0.96632204899905583</v>
      </c>
      <c r="Z152">
        <f t="shared" ca="1" si="48"/>
        <v>119.4086956521739</v>
      </c>
      <c r="AA152">
        <f t="shared" ca="1" si="55"/>
        <v>262.5802211420347</v>
      </c>
      <c r="AB152">
        <f t="shared" ca="1" si="49"/>
        <v>0</v>
      </c>
      <c r="AC152">
        <f t="shared" ca="1" si="50"/>
        <v>0.99996023511441268</v>
      </c>
      <c r="AD152" s="83">
        <f ca="1"/>
        <v>45696</v>
      </c>
      <c r="AE152" s="55">
        <f t="shared" ca="1" si="59"/>
        <v>45696</v>
      </c>
      <c r="AF152" s="55">
        <f t="shared" ca="1" si="60"/>
        <v>242.36523883662912</v>
      </c>
      <c r="AG152" s="55">
        <f t="shared" ca="1" si="61"/>
        <v>303.67058823529408</v>
      </c>
      <c r="AH152" s="55">
        <f t="shared" ca="1" si="62"/>
        <v>0</v>
      </c>
      <c r="AI152" s="55">
        <f t="shared" ca="1" si="56"/>
        <v>-3.7431302715706809</v>
      </c>
      <c r="AJ152" s="55">
        <f t="shared" ca="1" si="57"/>
        <v>107.05269454217883</v>
      </c>
      <c r="AK152" s="55">
        <f t="shared" ca="1" si="58"/>
        <v>409.34357049937847</v>
      </c>
    </row>
    <row r="153" spans="18:37">
      <c r="R153" s="83">
        <f ca="1"/>
        <v>45556</v>
      </c>
      <c r="S153" s="55">
        <f t="shared" ca="1" si="51"/>
        <v>45556</v>
      </c>
      <c r="T153" s="55">
        <f t="shared" ca="1" si="45"/>
        <v>183.6904311490411</v>
      </c>
      <c r="U153" s="55">
        <f t="shared" ca="1" si="46"/>
        <v>1509.603589546387</v>
      </c>
      <c r="V153" s="55">
        <f t="shared" ca="1" si="47"/>
        <v>0</v>
      </c>
      <c r="W153" s="55">
        <f t="shared" ca="1" si="52"/>
        <v>-403.24370415982702</v>
      </c>
      <c r="X153" s="55">
        <f t="shared" ca="1" si="53"/>
        <v>91.672456179553137</v>
      </c>
      <c r="Y153" s="55">
        <f t="shared" ca="1" si="54"/>
        <v>-0.95821824953381718</v>
      </c>
      <c r="Z153">
        <f t="shared" ca="1" si="48"/>
        <v>120</v>
      </c>
      <c r="AA153">
        <f t="shared" ca="1" si="55"/>
        <v>263.86022153546213</v>
      </c>
      <c r="AB153">
        <f t="shared" ca="1" si="49"/>
        <v>0</v>
      </c>
      <c r="AC153">
        <f t="shared" ca="1" si="50"/>
        <v>0.9999654360939324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45557</v>
      </c>
      <c r="S154" s="55">
        <f t="shared" ca="1" si="51"/>
        <v>45557</v>
      </c>
      <c r="T154" s="55">
        <f t="shared" ca="1" si="45"/>
        <v>154.36447562143195</v>
      </c>
      <c r="U154" s="55">
        <f t="shared" ca="1" si="46"/>
        <v>1539.6721388125425</v>
      </c>
      <c r="V154" s="55">
        <f t="shared" ca="1" si="47"/>
        <v>0</v>
      </c>
      <c r="W154" s="55">
        <f t="shared" ca="1" si="52"/>
        <v>-403.24370415982702</v>
      </c>
      <c r="X154" s="55">
        <f t="shared" ca="1" si="53"/>
        <v>92.406561354371235</v>
      </c>
      <c r="Y154" s="55">
        <f t="shared" ca="1" si="54"/>
        <v>-0.94972968580555639</v>
      </c>
      <c r="Z154">
        <f t="shared" ca="1" si="48"/>
        <v>119.40869565217393</v>
      </c>
      <c r="AA154">
        <f t="shared" ca="1" si="55"/>
        <v>263.86022153546213</v>
      </c>
      <c r="AB154">
        <f t="shared" ca="1" si="49"/>
        <v>0</v>
      </c>
      <c r="AC154">
        <f t="shared" ca="1" si="50"/>
        <v>0.99997028661660348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45558</v>
      </c>
      <c r="S155" s="55">
        <f t="shared" ca="1" si="51"/>
        <v>45558</v>
      </c>
      <c r="T155" s="55">
        <f t="shared" ca="1" si="45"/>
        <v>121.38681357063976</v>
      </c>
      <c r="U155" s="55">
        <f t="shared" ca="1" si="46"/>
        <v>1571.102088424856</v>
      </c>
      <c r="V155" s="55">
        <f t="shared" ca="1" si="47"/>
        <v>0</v>
      </c>
      <c r="W155" s="55">
        <f t="shared" ca="1" si="52"/>
        <v>-405.58347911215122</v>
      </c>
      <c r="X155" s="55">
        <f t="shared" ca="1" si="53"/>
        <v>93.189804792894734</v>
      </c>
      <c r="Y155" s="55">
        <f t="shared" ca="1" si="54"/>
        <v>-0.94091061048353142</v>
      </c>
      <c r="Z155">
        <f t="shared" ca="1" si="48"/>
        <v>120</v>
      </c>
      <c r="AA155">
        <f t="shared" ca="1" si="55"/>
        <v>267.36022174491472</v>
      </c>
      <c r="AB155">
        <f t="shared" ca="1" si="49"/>
        <v>0</v>
      </c>
      <c r="AC155">
        <f t="shared" ca="1" si="50"/>
        <v>0.99997469847515486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45559</v>
      </c>
      <c r="S156" s="55">
        <f t="shared" ca="1" si="51"/>
        <v>45559</v>
      </c>
      <c r="T156" s="55">
        <f t="shared" ca="1" si="45"/>
        <v>90.162968217064275</v>
      </c>
      <c r="U156" s="55">
        <f t="shared" ca="1" si="46"/>
        <v>1603.1520647325092</v>
      </c>
      <c r="V156" s="55">
        <f t="shared" ca="1" si="47"/>
        <v>0</v>
      </c>
      <c r="W156" s="55">
        <f t="shared" ca="1" si="52"/>
        <v>-405.58347911215122</v>
      </c>
      <c r="X156" s="55">
        <f t="shared" ca="1" si="53"/>
        <v>94.00692253095589</v>
      </c>
      <c r="Y156" s="55">
        <f t="shared" ca="1" si="54"/>
        <v>-0.93189739446697706</v>
      </c>
      <c r="Z156">
        <f t="shared" ca="1" si="48"/>
        <v>118.95652173913044</v>
      </c>
      <c r="AA156">
        <f t="shared" ca="1" si="55"/>
        <v>267.36022174491472</v>
      </c>
      <c r="AB156">
        <f t="shared" ca="1" si="49"/>
        <v>0</v>
      </c>
      <c r="AC156">
        <f t="shared" ca="1" si="50"/>
        <v>0.99997859157497815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45560</v>
      </c>
      <c r="S157" s="55">
        <f t="shared" ca="1" si="51"/>
        <v>45560</v>
      </c>
      <c r="T157" s="55">
        <f t="shared" ca="1" si="45"/>
        <v>60.656104426370007</v>
      </c>
      <c r="U157" s="55">
        <f t="shared" ca="1" si="46"/>
        <v>1633.4537476679859</v>
      </c>
      <c r="V157" s="55">
        <f t="shared" ca="1" si="47"/>
        <v>0</v>
      </c>
      <c r="W157" s="55">
        <f t="shared" ca="1" si="52"/>
        <v>-405.58347911215122</v>
      </c>
      <c r="X157" s="55">
        <f t="shared" ca="1" si="53"/>
        <v>94.793076022466352</v>
      </c>
      <c r="Y157" s="55">
        <f t="shared" ca="1" si="54"/>
        <v>-0.92323174119498708</v>
      </c>
      <c r="Z157">
        <f t="shared" ca="1" si="48"/>
        <v>116.93913105197623</v>
      </c>
      <c r="AA157">
        <f t="shared" ca="1" si="55"/>
        <v>267.36022174491472</v>
      </c>
      <c r="AB157">
        <f t="shared" ca="1" si="49"/>
        <v>0</v>
      </c>
      <c r="AC157">
        <f t="shared" ca="1" si="50"/>
        <v>0.99998178038926211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45561</v>
      </c>
      <c r="S158" s="55">
        <f t="shared" ca="1" si="51"/>
        <v>45561</v>
      </c>
      <c r="T158" s="55">
        <f t="shared" ca="1" si="45"/>
        <v>30.924888485383413</v>
      </c>
      <c r="U158" s="55">
        <f t="shared" ca="1" si="46"/>
        <v>1664</v>
      </c>
      <c r="V158" s="55">
        <f t="shared" ca="1" si="47"/>
        <v>0</v>
      </c>
      <c r="W158" s="55">
        <f t="shared" ca="1" si="52"/>
        <v>-405.58347911215122</v>
      </c>
      <c r="X158" s="55">
        <f t="shared" ca="1" si="53"/>
        <v>95.599318636101231</v>
      </c>
      <c r="Y158" s="55">
        <f t="shared" ca="1" si="54"/>
        <v>-0.91443796380236186</v>
      </c>
      <c r="Z158">
        <f t="shared" ca="1" si="48"/>
        <v>114.50435012014478</v>
      </c>
      <c r="AA158">
        <f t="shared" ca="1" si="55"/>
        <v>267.36022174491472</v>
      </c>
      <c r="AB158">
        <f t="shared" ca="1" si="49"/>
        <v>0</v>
      </c>
      <c r="AC158">
        <f t="shared" ca="1" si="50"/>
        <v>0.99998457105749694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Z15:AC15"/>
    <mergeCell ref="AD15:AH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I1" zoomScale="105" workbookViewId="0">
      <selection activeCell="M1" sqref="M1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279</v>
      </c>
    </row>
    <row r="2" spans="1:43">
      <c r="H2" t="s">
        <v>277</v>
      </c>
      <c r="I2">
        <f ca="1"/>
        <v>50</v>
      </c>
      <c r="J2">
        <f ca="1"/>
        <v>0</v>
      </c>
      <c r="K2">
        <f ca="1"/>
        <v>16</v>
      </c>
      <c r="L2">
        <f ca="1"/>
        <v>95</v>
      </c>
      <c r="M2">
        <f ca="1"/>
        <v>0</v>
      </c>
      <c r="N2">
        <f ca="1"/>
        <v>2008</v>
      </c>
      <c r="O2">
        <f ca="1"/>
        <v>0</v>
      </c>
      <c r="P2">
        <f ca="1"/>
        <v>2168</v>
      </c>
      <c r="Q2">
        <f ca="1">SUM(I2:O2)</f>
        <v>2169</v>
      </c>
      <c r="R2">
        <f ca="1">Q2-P2</f>
        <v>1</v>
      </c>
    </row>
    <row r="3" spans="1:43">
      <c r="H3" t="s">
        <v>278</v>
      </c>
      <c r="I3">
        <f ca="1"/>
        <v>31</v>
      </c>
      <c r="J3">
        <f ca="1"/>
        <v>0</v>
      </c>
      <c r="K3">
        <f ca="1"/>
        <v>1664</v>
      </c>
      <c r="L3">
        <f ca="1"/>
        <v>0</v>
      </c>
      <c r="M3">
        <f ca="1"/>
        <v>1</v>
      </c>
      <c r="N3">
        <f ca="1"/>
        <v>0</v>
      </c>
      <c r="O3">
        <f ca="1"/>
        <v>473</v>
      </c>
      <c r="P3">
        <f ca="1"/>
        <v>2101</v>
      </c>
      <c r="Q3">
        <f ca="1">SUM(I3:O3)</f>
        <v>2169</v>
      </c>
    </row>
    <row r="4" spans="1:43" ht="15" thickBot="1"/>
    <row r="5" spans="1:43" ht="26.4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Crop Product</v>
      </c>
      <c r="AI5" t="str">
        <f ca="1"/>
        <v>Other Crop Parts</v>
      </c>
      <c r="AJ5" t="str">
        <f ca="1"/>
        <v>Soil Organic</v>
      </c>
      <c r="AK5" t="str">
        <f ca="1"/>
        <v>Residues</v>
      </c>
      <c r="AL5" t="str">
        <f ca="1"/>
        <v>Fertiliser</v>
      </c>
      <c r="AM5" t="str">
        <f ca="1"/>
        <v>Uncharacterised</v>
      </c>
      <c r="AN5" t="str">
        <f ca="1"/>
        <v>Total</v>
      </c>
      <c r="AO5" t="e">
        <f ca="1"/>
        <v>#N/A</v>
      </c>
      <c r="AP5" t="e">
        <f ca="1"/>
        <v>#N/A</v>
      </c>
      <c r="AQ5" t="e">
        <f ca="1"/>
        <v>#N/A</v>
      </c>
    </row>
    <row r="6" spans="1:43" ht="15" thickBot="1">
      <c r="A6" s="12" t="s">
        <v>244</v>
      </c>
      <c r="B6" s="13" t="str">
        <f>Location</f>
        <v>levin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50</v>
      </c>
      <c r="AH6">
        <f ca="1"/>
        <v>0</v>
      </c>
      <c r="AI6">
        <f ca="1"/>
        <v>16</v>
      </c>
      <c r="AJ6">
        <f ca="1"/>
        <v>95</v>
      </c>
      <c r="AK6">
        <f ca="1"/>
        <v>0</v>
      </c>
      <c r="AL6">
        <f ca="1"/>
        <v>2008</v>
      </c>
      <c r="AM6">
        <f ca="1"/>
        <v>0</v>
      </c>
      <c r="AN6">
        <f ca="1"/>
        <v>2168</v>
      </c>
      <c r="AO6" t="e">
        <f ca="1"/>
        <v>#N/A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45422</v>
      </c>
      <c r="K7" s="3">
        <v>50</v>
      </c>
      <c r="L7" s="3"/>
      <c r="M7" s="3">
        <f ca="1">SUMIF($I$12:$I$1005,TRUE,M12:M1005)</f>
        <v>-0.91443796380236186</v>
      </c>
      <c r="N7" s="3">
        <f ca="1">SUMIF($I$12:$I$1005,TRUE,N12:N1005)</f>
        <v>94.724129177807612</v>
      </c>
      <c r="O7" s="3">
        <f ca="1">SUMIF($I$12:$I$1005,TRUE,O12:O1005)</f>
        <v>2008.4114566275175</v>
      </c>
      <c r="P7" s="3">
        <f ca="1">VLOOKUP(B36,ModelOutputs,P9,FALSE)-Q7</f>
        <v>15.911284655702508</v>
      </c>
      <c r="Q7">
        <f ca="1">VLOOKUP(B36,ModelOutputs,Q9,FALSE)</f>
        <v>0</v>
      </c>
      <c r="R7" s="13"/>
      <c r="W7" s="3">
        <f ca="1">MAX(0,X8-X7)</f>
        <v>0</v>
      </c>
      <c r="X7" s="3">
        <f ca="1">SUM(K7:R7)</f>
        <v>2168.1324324972256</v>
      </c>
      <c r="AA7" s="3"/>
      <c r="AG7">
        <f ca="1"/>
        <v>31</v>
      </c>
      <c r="AH7">
        <f ca="1"/>
        <v>0</v>
      </c>
      <c r="AI7">
        <f ca="1"/>
        <v>1664</v>
      </c>
      <c r="AJ7">
        <f ca="1"/>
        <v>0</v>
      </c>
      <c r="AK7">
        <f ca="1"/>
        <v>1</v>
      </c>
      <c r="AL7">
        <f ca="1"/>
        <v>0</v>
      </c>
      <c r="AM7">
        <f ca="1"/>
        <v>473</v>
      </c>
      <c r="AN7">
        <f ca="1"/>
        <v>2101</v>
      </c>
      <c r="AO7" t="e">
        <f ca="1"/>
        <v>#N/A</v>
      </c>
      <c r="AP7" t="e">
        <f ca="1"/>
        <v>#N/A</v>
      </c>
      <c r="AQ7" t="e">
        <f ca="1"/>
        <v>#N/A</v>
      </c>
    </row>
    <row r="8" spans="1:43" ht="1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45561</v>
      </c>
      <c r="K8" s="24">
        <f ca="1">VLOOKUP(J8,ModelOutputs,2,FALSE)</f>
        <v>30.924888485383413</v>
      </c>
      <c r="L8" s="27"/>
      <c r="M8" s="25"/>
      <c r="N8" s="25"/>
      <c r="O8" s="25"/>
      <c r="P8" s="24">
        <f ca="1">(VLOOKUP($J$8,ModelOutputs,P9,FALSE)-VLOOKUP($J$7+1,ModelOutputs,P9,FALSE))-Q8</f>
        <v>1664</v>
      </c>
      <c r="Q8" s="26">
        <f ca="1">VLOOKUP($J$8,ModelOutputs,Q9,FALSE)-VLOOKUP($J$7+1,ModelOutputs,Q9,FALSE)</f>
        <v>0</v>
      </c>
      <c r="R8" s="27">
        <f ca="1">SUMIF($I$12:$I$1005,TRUE,R12:R1005)</f>
        <v>405.58347911215122</v>
      </c>
      <c r="S8" s="3"/>
      <c r="T8" s="3"/>
      <c r="U8" s="3"/>
      <c r="V8" s="3"/>
      <c r="W8" s="3">
        <f ca="1">MAX(0,X7-X8)</f>
        <v>67.624064899690893</v>
      </c>
      <c r="X8" s="3">
        <f ca="1">SUM(K8:R8)</f>
        <v>2100.5083675975347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>
        <f>IF(ConceptDemo!C29="","",ConceptDemo!C29)</f>
        <v>45444</v>
      </c>
      <c r="E9" s="38">
        <f>IF(ConceptDemo!D29="","",ConceptDemo!D29)</f>
        <v>100</v>
      </c>
      <c r="L9">
        <f ca="1">SUMIF(H11:H1004,FALSE,L11:L1004)</f>
        <v>331.75903675075489</v>
      </c>
      <c r="M9">
        <f ca="1">SUMIF(H11:H1004,TRUE,M11:M1004)</f>
        <v>-0.92323174119498708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55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3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45421</v>
      </c>
      <c r="K11">
        <f ca="1"/>
        <v>0</v>
      </c>
      <c r="L11">
        <f ca="1"/>
        <v>4.2565758918211998</v>
      </c>
      <c r="M11">
        <f ca="1"/>
        <v>0</v>
      </c>
      <c r="N11" s="4">
        <f ca="1"/>
        <v>0.87518945829361017</v>
      </c>
      <c r="O11">
        <f ca="1"/>
        <v>0</v>
      </c>
      <c r="P11">
        <f ca="1"/>
        <v>113.75000000000001</v>
      </c>
      <c r="Q11">
        <f ca="1"/>
        <v>104.5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45421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45422</v>
      </c>
      <c r="K12">
        <f ca="1"/>
        <v>50.736616140679708</v>
      </c>
      <c r="L12">
        <f ca="1"/>
        <v>0</v>
      </c>
      <c r="M12">
        <f ca="1"/>
        <v>-0.13363147737113781</v>
      </c>
      <c r="N12" s="4">
        <f ca="1"/>
        <v>0.87024761805084383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0.93982608695652192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45422</v>
      </c>
      <c r="Y12">
        <f t="shared" ca="1" si="2"/>
        <v>0</v>
      </c>
      <c r="Z12" s="3"/>
      <c r="AA12" s="63">
        <f ca="1">K11+M12+N12+O12</f>
        <v>0.73661614067970604</v>
      </c>
      <c r="AB12" s="63">
        <f ca="1">K12+L12+R12</f>
        <v>50.736616140679708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45423</v>
      </c>
      <c r="K13">
        <f ca="1"/>
        <v>51.299502631744268</v>
      </c>
      <c r="L13">
        <f ca="1"/>
        <v>0</v>
      </c>
      <c r="M13">
        <f ca="1"/>
        <v>-0.12928402950433834</v>
      </c>
      <c r="N13" s="4">
        <f ca="1"/>
        <v>0.9306057471470609</v>
      </c>
      <c r="O13">
        <f ca="1"/>
        <v>0</v>
      </c>
      <c r="P13">
        <f ca="1"/>
        <v>0</v>
      </c>
      <c r="Q13">
        <f ca="1"/>
        <v>0</v>
      </c>
      <c r="R13">
        <f ca="1"/>
        <v>0.23843522657816388</v>
      </c>
      <c r="S13">
        <f ca="1"/>
        <v>1</v>
      </c>
      <c r="T13">
        <f ca="1"/>
        <v>0.84396173913044947</v>
      </c>
      <c r="U13">
        <f ca="1"/>
        <v>0</v>
      </c>
      <c r="V13">
        <f ca="1"/>
        <v>0</v>
      </c>
      <c r="X13" s="2">
        <f t="shared" ca="1" si="1"/>
        <v>45423</v>
      </c>
      <c r="Y13">
        <f t="shared" ca="1" si="2"/>
        <v>0</v>
      </c>
      <c r="AA13" s="63">
        <f t="shared" ref="AA13:AA76" ca="1" si="4">K12+M13+N13+O13</f>
        <v>51.537937858322429</v>
      </c>
      <c r="AB13" s="63">
        <f t="shared" ref="AB13:AB76" ca="1" si="5">K13+L13+R13</f>
        <v>51.537937858322429</v>
      </c>
      <c r="AC13" s="3">
        <f t="shared" ref="AC13:AC76" ca="1" si="6">AB13-AA13</f>
        <v>0</v>
      </c>
    </row>
    <row r="14" spans="1:43" ht="1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45424</v>
      </c>
      <c r="K14">
        <f ca="1"/>
        <v>50.985229178376159</v>
      </c>
      <c r="L14">
        <f ca="1"/>
        <v>0</v>
      </c>
      <c r="M14">
        <f ca="1"/>
        <v>-0.11546731432296137</v>
      </c>
      <c r="N14" s="4">
        <f ca="1"/>
        <v>0.8766127384361353</v>
      </c>
      <c r="O14">
        <f ca="1"/>
        <v>0</v>
      </c>
      <c r="P14">
        <f ca="1"/>
        <v>0</v>
      </c>
      <c r="Q14">
        <f ca="1"/>
        <v>0</v>
      </c>
      <c r="R14">
        <f ca="1"/>
        <v>1.0754188774812845</v>
      </c>
      <c r="S14">
        <f ca="1"/>
        <v>1</v>
      </c>
      <c r="T14">
        <f ca="1"/>
        <v>3.8299999999999983</v>
      </c>
      <c r="U14">
        <f ca="1"/>
        <v>0</v>
      </c>
      <c r="V14">
        <f ca="1"/>
        <v>0</v>
      </c>
      <c r="X14" s="2">
        <f t="shared" ca="1" si="1"/>
        <v>45424</v>
      </c>
      <c r="Y14">
        <f t="shared" ca="1" si="2"/>
        <v>0</v>
      </c>
      <c r="AA14" s="63">
        <f t="shared" ca="1" si="4"/>
        <v>52.060648055857442</v>
      </c>
      <c r="AB14" s="63">
        <f t="shared" ca="1" si="5"/>
        <v>52.060648055857442</v>
      </c>
      <c r="AC14" s="3">
        <f t="shared" ca="1" si="6"/>
        <v>0</v>
      </c>
    </row>
    <row r="15" spans="1:43" ht="1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45425</v>
      </c>
      <c r="K15">
        <f ca="1"/>
        <v>50.733248464101017</v>
      </c>
      <c r="L15">
        <f ca="1"/>
        <v>0</v>
      </c>
      <c r="M15">
        <f ca="1"/>
        <v>-0.10899912115609128</v>
      </c>
      <c r="N15" s="4">
        <f ca="1"/>
        <v>0.88521224242005803</v>
      </c>
      <c r="O15">
        <f ca="1"/>
        <v>0</v>
      </c>
      <c r="P15">
        <f ca="1"/>
        <v>0</v>
      </c>
      <c r="Q15">
        <f ca="1"/>
        <v>0</v>
      </c>
      <c r="R15">
        <f ca="1"/>
        <v>1.0281938355391158</v>
      </c>
      <c r="S15">
        <f ca="1"/>
        <v>1</v>
      </c>
      <c r="T15">
        <f ca="1"/>
        <v>3.6800000000000068</v>
      </c>
      <c r="U15">
        <f ca="1"/>
        <v>0</v>
      </c>
      <c r="V15">
        <f ca="1"/>
        <v>0</v>
      </c>
      <c r="X15" s="2">
        <f t="shared" ca="1" si="1"/>
        <v>45425</v>
      </c>
      <c r="Y15">
        <f t="shared" ca="1" si="2"/>
        <v>0</v>
      </c>
      <c r="AA15" s="63">
        <f t="shared" ca="1" si="4"/>
        <v>51.76144229964013</v>
      </c>
      <c r="AB15" s="63">
        <f t="shared" ca="1" si="5"/>
        <v>51.76144229964013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Fodder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45426</v>
      </c>
      <c r="K16">
        <f ca="1"/>
        <v>49.476931744155827</v>
      </c>
      <c r="L16">
        <f ca="1"/>
        <v>0</v>
      </c>
      <c r="M16">
        <f ca="1"/>
        <v>-0.10527218115220993</v>
      </c>
      <c r="N16" s="4">
        <f ca="1"/>
        <v>0.92254084117440827</v>
      </c>
      <c r="O16">
        <f ca="1"/>
        <v>0</v>
      </c>
      <c r="P16">
        <f ca="1"/>
        <v>0</v>
      </c>
      <c r="Q16">
        <f ca="1"/>
        <v>0</v>
      </c>
      <c r="R16">
        <f ca="1"/>
        <v>2.0735853799673882</v>
      </c>
      <c r="S16">
        <f ca="1"/>
        <v>1</v>
      </c>
      <c r="T16">
        <f ca="1"/>
        <v>7.6099999999999994</v>
      </c>
      <c r="U16">
        <f ca="1"/>
        <v>0</v>
      </c>
      <c r="V16">
        <f ca="1"/>
        <v>0</v>
      </c>
      <c r="X16" s="2">
        <f t="shared" ca="1" si="1"/>
        <v>45426</v>
      </c>
      <c r="Y16">
        <f t="shared" ca="1" si="2"/>
        <v>0</v>
      </c>
      <c r="AA16" s="63">
        <f t="shared" ca="1" si="4"/>
        <v>51.550517124123218</v>
      </c>
      <c r="AB16" s="63">
        <f t="shared" ca="1" si="5"/>
        <v>51.550517124123218</v>
      </c>
      <c r="AC16" s="3">
        <f t="shared" ca="1" si="6"/>
        <v>0</v>
      </c>
    </row>
    <row r="17" spans="1:29" ht="15" thickBot="1">
      <c r="A17" s="6" t="s">
        <v>235</v>
      </c>
      <c r="B17" s="32">
        <f>PriorYield</f>
        <v>5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45427</v>
      </c>
      <c r="K17">
        <f ca="1"/>
        <v>49.272610390802811</v>
      </c>
      <c r="L17">
        <f ca="1"/>
        <v>0</v>
      </c>
      <c r="M17">
        <f ca="1"/>
        <v>-9.4352366015682865E-2</v>
      </c>
      <c r="N17" s="4">
        <f ca="1"/>
        <v>0.87505476299706531</v>
      </c>
      <c r="O17">
        <f ca="1"/>
        <v>0</v>
      </c>
      <c r="P17">
        <f ca="1"/>
        <v>0</v>
      </c>
      <c r="Q17">
        <f ca="1"/>
        <v>0</v>
      </c>
      <c r="R17">
        <f ca="1"/>
        <v>0.98502375033439971</v>
      </c>
      <c r="S17">
        <f ca="1"/>
        <v>1</v>
      </c>
      <c r="T17">
        <f ca="1"/>
        <v>3.6300000000000097</v>
      </c>
      <c r="U17">
        <f ca="1"/>
        <v>0</v>
      </c>
      <c r="V17">
        <f ca="1"/>
        <v>0</v>
      </c>
      <c r="X17" s="2">
        <f t="shared" ca="1" si="1"/>
        <v>45427</v>
      </c>
      <c r="Y17">
        <f t="shared" ca="1" si="2"/>
        <v>0</v>
      </c>
      <c r="AA17" s="63">
        <f t="shared" ca="1" si="4"/>
        <v>50.25763414113721</v>
      </c>
      <c r="AB17" s="63">
        <f t="shared" ca="1" si="5"/>
        <v>50.25763414113721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>
        <f>IF(ConceptDemo!C38="","",ConceptDemo!C38)</f>
        <v>45458</v>
      </c>
      <c r="E18" s="17">
        <f>IF(ConceptDemo!D38="","",ConceptDemo!D38)</f>
        <v>50</v>
      </c>
      <c r="H18" t="b">
        <f t="shared" ca="1" si="3"/>
        <v>1</v>
      </c>
      <c r="I18" t="b">
        <f t="shared" ca="1" si="0"/>
        <v>1</v>
      </c>
      <c r="J18" s="2">
        <f ca="1"/>
        <v>45428</v>
      </c>
      <c r="K18">
        <f ca="1"/>
        <v>49.359779616284335</v>
      </c>
      <c r="L18">
        <f ca="1"/>
        <v>0</v>
      </c>
      <c r="M18">
        <f ca="1"/>
        <v>-8.4558418883147191E-2</v>
      </c>
      <c r="N18" s="4">
        <f ca="1"/>
        <v>0.82685353092399017</v>
      </c>
      <c r="O18">
        <f ca="1"/>
        <v>0</v>
      </c>
      <c r="P18">
        <f ca="1"/>
        <v>0</v>
      </c>
      <c r="Q18">
        <f ca="1"/>
        <v>0</v>
      </c>
      <c r="R18">
        <f ca="1"/>
        <v>0.65512588655932069</v>
      </c>
      <c r="S18">
        <f ca="1"/>
        <v>1</v>
      </c>
      <c r="T18">
        <f ca="1"/>
        <v>2.4099999999999966</v>
      </c>
      <c r="U18">
        <f ca="1"/>
        <v>0</v>
      </c>
      <c r="V18">
        <f ca="1"/>
        <v>0</v>
      </c>
      <c r="X18" s="2">
        <f t="shared" ca="1" si="1"/>
        <v>45428</v>
      </c>
      <c r="Y18">
        <f t="shared" ca="1" si="2"/>
        <v>0</v>
      </c>
      <c r="AA18" s="63">
        <f t="shared" ca="1" si="4"/>
        <v>50.014905502843654</v>
      </c>
      <c r="AB18" s="63">
        <f t="shared" ca="1" si="5"/>
        <v>50.014905502843654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45429</v>
      </c>
      <c r="K19">
        <f ca="1"/>
        <v>49.710353800854769</v>
      </c>
      <c r="L19">
        <f ca="1"/>
        <v>0</v>
      </c>
      <c r="M19">
        <f ca="1"/>
        <v>-7.5881542196645557E-2</v>
      </c>
      <c r="N19" s="4">
        <f ca="1"/>
        <v>0.77961537072619613</v>
      </c>
      <c r="O19">
        <f ca="1"/>
        <v>0</v>
      </c>
      <c r="P19">
        <f ca="1"/>
        <v>0</v>
      </c>
      <c r="Q19">
        <f ca="1"/>
        <v>0</v>
      </c>
      <c r="R19">
        <f ca="1"/>
        <v>0.35315964395911775</v>
      </c>
      <c r="S19">
        <f ca="1"/>
        <v>1</v>
      </c>
      <c r="T19">
        <f ca="1"/>
        <v>1.2900000000000063</v>
      </c>
      <c r="U19">
        <f ca="1"/>
        <v>0</v>
      </c>
      <c r="V19">
        <f ca="1"/>
        <v>0</v>
      </c>
      <c r="X19" s="2">
        <f t="shared" ca="1" si="1"/>
        <v>45429</v>
      </c>
      <c r="Y19">
        <f t="shared" ca="1" si="2"/>
        <v>0</v>
      </c>
      <c r="AA19" s="63">
        <f t="shared" ca="1" si="4"/>
        <v>50.063513444813886</v>
      </c>
      <c r="AB19" s="63">
        <f t="shared" ca="1" si="5"/>
        <v>50.063513444813886</v>
      </c>
      <c r="AC19" s="3">
        <f t="shared" ca="1" si="6"/>
        <v>0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45430</v>
      </c>
      <c r="K20">
        <f ca="1"/>
        <v>50.149228009709496</v>
      </c>
      <c r="L20">
        <f ca="1"/>
        <v>0</v>
      </c>
      <c r="M20">
        <f ca="1"/>
        <v>-7.2674657458544067E-2</v>
      </c>
      <c r="N20" s="4">
        <f ca="1"/>
        <v>0.80154222828245403</v>
      </c>
      <c r="O20">
        <f ca="1"/>
        <v>0</v>
      </c>
      <c r="P20">
        <f ca="1"/>
        <v>0</v>
      </c>
      <c r="Q20">
        <f ca="1"/>
        <v>0</v>
      </c>
      <c r="R20">
        <f ca="1"/>
        <v>0.2899933619691889</v>
      </c>
      <c r="S20">
        <f ca="1"/>
        <v>1</v>
      </c>
      <c r="T20">
        <f ca="1"/>
        <v>1.0499999999999972</v>
      </c>
      <c r="U20">
        <f ca="1"/>
        <v>0</v>
      </c>
      <c r="V20">
        <f ca="1"/>
        <v>0</v>
      </c>
      <c r="X20" s="2">
        <f t="shared" ca="1" si="1"/>
        <v>45430</v>
      </c>
      <c r="Y20">
        <f t="shared" ca="1" si="2"/>
        <v>0</v>
      </c>
      <c r="AA20" s="63">
        <f t="shared" ca="1" si="4"/>
        <v>50.439221371678684</v>
      </c>
      <c r="AB20" s="63">
        <f t="shared" ca="1" si="5"/>
        <v>50.439221371678684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45431</v>
      </c>
      <c r="K21">
        <f ca="1"/>
        <v>50.873063548508654</v>
      </c>
      <c r="L21">
        <f ca="1"/>
        <v>0</v>
      </c>
      <c r="M21">
        <f ca="1"/>
        <v>-6.7426809602435411E-2</v>
      </c>
      <c r="N21" s="4">
        <f ca="1"/>
        <v>0.7912623484015936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0.98623188405797102</v>
      </c>
      <c r="T21">
        <f ca="1"/>
        <v>0</v>
      </c>
      <c r="U21">
        <f ca="1"/>
        <v>0</v>
      </c>
      <c r="V21">
        <f ca="1"/>
        <v>0</v>
      </c>
      <c r="X21" s="2">
        <f t="shared" ca="1" si="1"/>
        <v>45431</v>
      </c>
      <c r="Y21">
        <f t="shared" ca="1" si="2"/>
        <v>0</v>
      </c>
      <c r="AA21" s="63">
        <f t="shared" ca="1" si="4"/>
        <v>50.873063548508654</v>
      </c>
      <c r="AB21" s="63">
        <f t="shared" ca="1" si="5"/>
        <v>50.873063548508654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45432</v>
      </c>
      <c r="K22">
        <f ca="1"/>
        <v>51.589603424607759</v>
      </c>
      <c r="L22">
        <f ca="1"/>
        <v>0</v>
      </c>
      <c r="M22">
        <f ca="1"/>
        <v>-6.2494974608825249E-2</v>
      </c>
      <c r="N22" s="4">
        <f ca="1"/>
        <v>0.78034014027493936</v>
      </c>
      <c r="O22">
        <f ca="1"/>
        <v>0</v>
      </c>
      <c r="P22">
        <f ca="1"/>
        <v>0</v>
      </c>
      <c r="Q22">
        <f ca="1"/>
        <v>0</v>
      </c>
      <c r="R22">
        <f ca="1"/>
        <v>1.3052895670070559E-3</v>
      </c>
      <c r="S22">
        <f ca="1"/>
        <v>1</v>
      </c>
      <c r="T22">
        <f ca="1"/>
        <v>4.5942028985450634E-3</v>
      </c>
      <c r="U22">
        <f ca="1"/>
        <v>0</v>
      </c>
      <c r="V22">
        <f ca="1"/>
        <v>0</v>
      </c>
      <c r="X22" s="2">
        <f t="shared" ca="1" si="1"/>
        <v>45432</v>
      </c>
      <c r="Y22">
        <f t="shared" ca="1" si="2"/>
        <v>0</v>
      </c>
      <c r="AA22" s="63">
        <f t="shared" ca="1" si="4"/>
        <v>51.590908714174766</v>
      </c>
      <c r="AB22" s="63">
        <f t="shared" ca="1" si="5"/>
        <v>51.590908714174766</v>
      </c>
      <c r="AC22" s="3">
        <f t="shared" ca="1" si="6"/>
        <v>0</v>
      </c>
    </row>
    <row r="23" spans="1:29" ht="15" thickBot="1">
      <c r="A23" s="6" t="s">
        <v>115</v>
      </c>
      <c r="B23" s="34">
        <f ca="1">PriorEstablishDate</f>
        <v>45376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45433</v>
      </c>
      <c r="K23">
        <f ca="1"/>
        <v>51.698607191370812</v>
      </c>
      <c r="L23">
        <f ca="1"/>
        <v>0</v>
      </c>
      <c r="M23">
        <f ca="1"/>
        <v>-5.309997529146826E-2</v>
      </c>
      <c r="N23" s="4">
        <f ca="1"/>
        <v>0.68028862225092768</v>
      </c>
      <c r="O23">
        <f ca="1"/>
        <v>0</v>
      </c>
      <c r="P23">
        <f ca="1"/>
        <v>0</v>
      </c>
      <c r="Q23">
        <f ca="1"/>
        <v>0</v>
      </c>
      <c r="R23">
        <f ca="1"/>
        <v>0.51818488019640874</v>
      </c>
      <c r="S23">
        <f ca="1"/>
        <v>1</v>
      </c>
      <c r="T23">
        <f ca="1"/>
        <v>1.8200000000000074</v>
      </c>
      <c r="U23">
        <f ca="1"/>
        <v>0</v>
      </c>
      <c r="V23">
        <f ca="1"/>
        <v>0</v>
      </c>
      <c r="X23" s="2">
        <f t="shared" ca="1" si="1"/>
        <v>45433</v>
      </c>
      <c r="Y23">
        <f t="shared" ca="1" si="2"/>
        <v>0</v>
      </c>
      <c r="AA23" s="63">
        <f t="shared" ca="1" si="4"/>
        <v>52.21679207156722</v>
      </c>
      <c r="AB23" s="63">
        <f t="shared" ca="1" si="5"/>
        <v>52.21679207156722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45434</v>
      </c>
      <c r="K24">
        <f ca="1"/>
        <v>51.837408930380015</v>
      </c>
      <c r="L24">
        <f ca="1"/>
        <v>0</v>
      </c>
      <c r="M24">
        <f ca="1"/>
        <v>-5.1915120916464552E-2</v>
      </c>
      <c r="N24" s="4">
        <f ca="1"/>
        <v>0.71885741757866928</v>
      </c>
      <c r="O24">
        <f ca="1"/>
        <v>0</v>
      </c>
      <c r="P24">
        <f ca="1"/>
        <v>0</v>
      </c>
      <c r="Q24">
        <f ca="1"/>
        <v>0</v>
      </c>
      <c r="R24">
        <f ca="1"/>
        <v>0.52814055765300072</v>
      </c>
      <c r="S24">
        <f ca="1"/>
        <v>1</v>
      </c>
      <c r="T24">
        <f ca="1"/>
        <v>1.8499999999999943</v>
      </c>
      <c r="U24">
        <f ca="1"/>
        <v>0</v>
      </c>
      <c r="V24">
        <f ca="1"/>
        <v>0</v>
      </c>
      <c r="X24" s="2">
        <f t="shared" ca="1" si="1"/>
        <v>45434</v>
      </c>
      <c r="Y24">
        <f t="shared" ca="1" si="2"/>
        <v>0</v>
      </c>
      <c r="AA24" s="63">
        <f t="shared" ca="1" si="4"/>
        <v>52.365549488033018</v>
      </c>
      <c r="AB24" s="63">
        <f t="shared" ca="1" si="5"/>
        <v>52.365549488033018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45421</v>
      </c>
      <c r="H25" t="b">
        <f t="shared" ca="1" si="3"/>
        <v>1</v>
      </c>
      <c r="I25" t="b">
        <f t="shared" ca="1" si="0"/>
        <v>1</v>
      </c>
      <c r="J25" s="2">
        <f ca="1"/>
        <v>45435</v>
      </c>
      <c r="K25">
        <f ca="1"/>
        <v>51.209219213039717</v>
      </c>
      <c r="L25">
        <f ca="1"/>
        <v>0</v>
      </c>
      <c r="M25">
        <f ca="1"/>
        <v>-4.9469550845720356E-2</v>
      </c>
      <c r="N25" s="4">
        <f ca="1"/>
        <v>0.73550136078731698</v>
      </c>
      <c r="O25">
        <f ca="1"/>
        <v>0</v>
      </c>
      <c r="P25">
        <f ca="1"/>
        <v>0</v>
      </c>
      <c r="Q25">
        <f ca="1"/>
        <v>0</v>
      </c>
      <c r="R25">
        <f ca="1"/>
        <v>1.3142215272818978</v>
      </c>
      <c r="S25">
        <f ca="1"/>
        <v>1</v>
      </c>
      <c r="T25">
        <f ca="1"/>
        <v>4.6600000000000108</v>
      </c>
      <c r="U25">
        <f ca="1"/>
        <v>0</v>
      </c>
      <c r="V25">
        <f ca="1"/>
        <v>0</v>
      </c>
      <c r="X25" s="2">
        <f t="shared" ca="1" si="1"/>
        <v>45435</v>
      </c>
      <c r="Y25">
        <f t="shared" ca="1" si="2"/>
        <v>0</v>
      </c>
      <c r="AA25" s="63">
        <f t="shared" ca="1" si="4"/>
        <v>52.523440740321611</v>
      </c>
      <c r="AB25" s="63">
        <f t="shared" ca="1" si="5"/>
        <v>52.523440740321611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45436</v>
      </c>
      <c r="K26">
        <f ca="1"/>
        <v>51.268983337905652</v>
      </c>
      <c r="L26">
        <f ca="1"/>
        <v>0</v>
      </c>
      <c r="M26">
        <f ca="1"/>
        <v>-4.5635626956511022E-2</v>
      </c>
      <c r="N26" s="4">
        <f ca="1"/>
        <v>0.72092476337492706</v>
      </c>
      <c r="O26">
        <f ca="1"/>
        <v>0</v>
      </c>
      <c r="P26">
        <f ca="1"/>
        <v>15.911284655702508</v>
      </c>
      <c r="Q26">
        <f ca="1"/>
        <v>0</v>
      </c>
      <c r="R26">
        <f ca="1"/>
        <v>0.61552501155248085</v>
      </c>
      <c r="S26">
        <f ca="1"/>
        <v>1</v>
      </c>
      <c r="T26">
        <f ca="1"/>
        <v>2.1800000000000068</v>
      </c>
      <c r="U26">
        <f ca="1"/>
        <v>0</v>
      </c>
      <c r="V26">
        <f ca="1"/>
        <v>6.6928509242848554E-3</v>
      </c>
      <c r="X26" s="2">
        <f t="shared" ca="1" si="1"/>
        <v>45436</v>
      </c>
      <c r="Y26">
        <f t="shared" ca="1" si="2"/>
        <v>0</v>
      </c>
      <c r="AA26" s="63">
        <f t="shared" ca="1" si="4"/>
        <v>51.88450834945813</v>
      </c>
      <c r="AB26" s="63">
        <f t="shared" ca="1" si="5"/>
        <v>51.88450834945813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45437</v>
      </c>
      <c r="K27">
        <f ca="1"/>
        <v>50.549321872020052</v>
      </c>
      <c r="L27">
        <f ca="1"/>
        <v>0</v>
      </c>
      <c r="M27">
        <f ca="1"/>
        <v>-4.3872432687314777E-2</v>
      </c>
      <c r="N27" s="4">
        <f ca="1"/>
        <v>0.7495553238191357</v>
      </c>
      <c r="O27">
        <f ca="1"/>
        <v>0</v>
      </c>
      <c r="P27">
        <f ca="1"/>
        <v>15.911284655702508</v>
      </c>
      <c r="Q27">
        <f ca="1"/>
        <v>0</v>
      </c>
      <c r="R27">
        <f ca="1"/>
        <v>1.4253443570174245</v>
      </c>
      <c r="S27">
        <f ca="1"/>
        <v>1</v>
      </c>
      <c r="T27">
        <f ca="1"/>
        <v>5.1200000000000045</v>
      </c>
      <c r="U27">
        <f ca="1"/>
        <v>0</v>
      </c>
      <c r="V27">
        <f ca="1"/>
        <v>6.6928509242848554E-3</v>
      </c>
      <c r="X27" s="2">
        <f t="shared" ca="1" si="1"/>
        <v>45437</v>
      </c>
      <c r="Y27">
        <f t="shared" ca="1" si="2"/>
        <v>0</v>
      </c>
      <c r="AA27" s="63">
        <f t="shared" ca="1" si="4"/>
        <v>51.974666229037474</v>
      </c>
      <c r="AB27" s="63">
        <f t="shared" ca="1" si="5"/>
        <v>51.974666229037474</v>
      </c>
      <c r="AC27" s="3">
        <f t="shared" ca="1" si="6"/>
        <v>0</v>
      </c>
    </row>
    <row r="28" spans="1:29" ht="1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45438</v>
      </c>
      <c r="K28">
        <f ca="1"/>
        <v>50.739439418036142</v>
      </c>
      <c r="L28">
        <f ca="1"/>
        <v>0</v>
      </c>
      <c r="M28">
        <f ca="1"/>
        <v>-3.9262563869518541E-2</v>
      </c>
      <c r="N28" s="4">
        <f ca="1"/>
        <v>0.70721326544850838</v>
      </c>
      <c r="O28">
        <f ca="1"/>
        <v>0</v>
      </c>
      <c r="P28">
        <f ca="1"/>
        <v>15.911284655702508</v>
      </c>
      <c r="Q28">
        <f ca="1"/>
        <v>0</v>
      </c>
      <c r="R28">
        <f ca="1"/>
        <v>0.47783315556289513</v>
      </c>
      <c r="S28">
        <f ca="1"/>
        <v>1</v>
      </c>
      <c r="T28">
        <f ca="1"/>
        <v>1.7099999999999937</v>
      </c>
      <c r="U28">
        <f ca="1"/>
        <v>0</v>
      </c>
      <c r="V28">
        <f ca="1"/>
        <v>6.6928509242848554E-3</v>
      </c>
      <c r="X28" s="2">
        <f t="shared" ca="1" si="1"/>
        <v>45438</v>
      </c>
      <c r="Y28">
        <f t="shared" ca="1" si="2"/>
        <v>0</v>
      </c>
      <c r="AA28" s="63">
        <f t="shared" ca="1" si="4"/>
        <v>51.21727257359904</v>
      </c>
      <c r="AB28" s="63">
        <f t="shared" ca="1" si="5"/>
        <v>51.21727257359904</v>
      </c>
      <c r="AC28" s="3">
        <f t="shared" ca="1" si="6"/>
        <v>0</v>
      </c>
    </row>
    <row r="29" spans="1:29" ht="15" thickBot="1">
      <c r="A29" s="8" t="s">
        <v>140</v>
      </c>
      <c r="B29" s="11" t="str">
        <f>CurrentCropNameFull</f>
        <v>Mustard Green manure General</v>
      </c>
      <c r="H29" t="b">
        <f t="shared" ca="1" si="3"/>
        <v>1</v>
      </c>
      <c r="I29" t="b">
        <f t="shared" ca="1" si="0"/>
        <v>1</v>
      </c>
      <c r="J29" s="2">
        <f ca="1"/>
        <v>45439</v>
      </c>
      <c r="K29">
        <f ca="1"/>
        <v>50.894999172633433</v>
      </c>
      <c r="L29">
        <f ca="1"/>
        <v>0</v>
      </c>
      <c r="M29">
        <f ca="1"/>
        <v>-3.5951474347882373E-2</v>
      </c>
      <c r="N29" s="4">
        <f ca="1"/>
        <v>0.68762682957579846</v>
      </c>
      <c r="O29">
        <f ca="1"/>
        <v>0</v>
      </c>
      <c r="P29">
        <f ca="1"/>
        <v>15.911284655702508</v>
      </c>
      <c r="Q29">
        <f ca="1"/>
        <v>0</v>
      </c>
      <c r="R29">
        <f ca="1"/>
        <v>0.49611560063062554</v>
      </c>
      <c r="S29">
        <f ca="1"/>
        <v>1</v>
      </c>
      <c r="T29">
        <f ca="1"/>
        <v>1.769999999999996</v>
      </c>
      <c r="U29">
        <f ca="1"/>
        <v>0</v>
      </c>
      <c r="V29">
        <f ca="1"/>
        <v>6.6928509242848554E-3</v>
      </c>
      <c r="X29" s="2">
        <f t="shared" ca="1" si="1"/>
        <v>45439</v>
      </c>
      <c r="Y29">
        <f t="shared" ca="1" si="2"/>
        <v>0</v>
      </c>
      <c r="AA29" s="63">
        <f t="shared" ca="1" si="4"/>
        <v>51.391114773264057</v>
      </c>
      <c r="AB29" s="63">
        <f t="shared" ca="1" si="5"/>
        <v>51.391114773264057</v>
      </c>
      <c r="AC29" s="3">
        <f t="shared" ca="1" si="6"/>
        <v>0</v>
      </c>
    </row>
    <row r="30" spans="1:29">
      <c r="A30" s="9" t="s">
        <v>236</v>
      </c>
      <c r="B30" s="11">
        <f>CurrentYield</f>
        <v>80</v>
      </c>
      <c r="H30" t="b">
        <f t="shared" ca="1" si="3"/>
        <v>1</v>
      </c>
      <c r="I30" t="b">
        <f t="shared" ca="1" si="0"/>
        <v>1</v>
      </c>
      <c r="J30" s="2">
        <f ca="1"/>
        <v>45440</v>
      </c>
      <c r="K30">
        <f ca="1"/>
        <v>50.982392197667934</v>
      </c>
      <c r="L30">
        <f ca="1"/>
        <v>0</v>
      </c>
      <c r="M30">
        <f ca="1"/>
        <v>-3.4749484419228427E-2</v>
      </c>
      <c r="N30" s="4">
        <f ca="1"/>
        <v>0.72299586213697042</v>
      </c>
      <c r="O30">
        <f ca="1"/>
        <v>0</v>
      </c>
      <c r="P30">
        <f ca="1"/>
        <v>15.911284655702508</v>
      </c>
      <c r="Q30">
        <f ca="1"/>
        <v>0</v>
      </c>
      <c r="R30">
        <f ca="1"/>
        <v>0.60085335268324014</v>
      </c>
      <c r="S30">
        <f ca="1"/>
        <v>1</v>
      </c>
      <c r="T30">
        <f ca="1"/>
        <v>2.1400000000000006</v>
      </c>
      <c r="U30">
        <f ca="1"/>
        <v>0</v>
      </c>
      <c r="V30">
        <f ca="1"/>
        <v>6.6928509242848554E-3</v>
      </c>
      <c r="X30" s="2">
        <f t="shared" ca="1" si="1"/>
        <v>45440</v>
      </c>
      <c r="Y30">
        <f t="shared" ca="1" si="2"/>
        <v>0</v>
      </c>
      <c r="AA30" s="63">
        <f t="shared" ca="1" si="4"/>
        <v>51.583245550351172</v>
      </c>
      <c r="AB30" s="63">
        <f t="shared" ca="1" si="5"/>
        <v>51.583245550351172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45441</v>
      </c>
      <c r="K31">
        <f ca="1"/>
        <v>51.356143863947651</v>
      </c>
      <c r="L31">
        <f ca="1"/>
        <v>0</v>
      </c>
      <c r="M31">
        <f ca="1"/>
        <v>-2.9931410192430619E-2</v>
      </c>
      <c r="N31" s="4">
        <f ca="1"/>
        <v>0.64691768248284565</v>
      </c>
      <c r="O31">
        <f ca="1"/>
        <v>0</v>
      </c>
      <c r="P31">
        <f ca="1"/>
        <v>15.911284655702508</v>
      </c>
      <c r="Q31">
        <f ca="1"/>
        <v>0</v>
      </c>
      <c r="R31">
        <f ca="1"/>
        <v>0.24323460601069682</v>
      </c>
      <c r="S31">
        <f ca="1"/>
        <v>1</v>
      </c>
      <c r="T31">
        <f ca="1"/>
        <v>0.85999999999999943</v>
      </c>
      <c r="U31">
        <f ca="1"/>
        <v>0</v>
      </c>
      <c r="V31">
        <f ca="1"/>
        <v>6.6928509242848554E-3</v>
      </c>
      <c r="X31" s="2">
        <f t="shared" ca="1" si="1"/>
        <v>45441</v>
      </c>
      <c r="Y31">
        <f t="shared" ca="1" si="2"/>
        <v>0</v>
      </c>
      <c r="AA31" s="63">
        <f t="shared" ca="1" si="4"/>
        <v>51.599378469958346</v>
      </c>
      <c r="AB31" s="63">
        <f t="shared" ca="1" si="5"/>
        <v>51.599378469958346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45442</v>
      </c>
      <c r="K32">
        <f ca="1"/>
        <v>50.968382424291484</v>
      </c>
      <c r="L32">
        <f ca="1"/>
        <v>0</v>
      </c>
      <c r="M32">
        <f ca="1"/>
        <v>-2.8046063379709718E-2</v>
      </c>
      <c r="N32" s="4">
        <f ca="1"/>
        <v>0.65078820570080542</v>
      </c>
      <c r="O32">
        <f ca="1"/>
        <v>0</v>
      </c>
      <c r="P32">
        <f ca="1"/>
        <v>15.911284655702508</v>
      </c>
      <c r="Q32">
        <f ca="1"/>
        <v>0</v>
      </c>
      <c r="R32">
        <f ca="1"/>
        <v>1.0105035819772596</v>
      </c>
      <c r="S32">
        <f ca="1"/>
        <v>1</v>
      </c>
      <c r="T32">
        <f ca="1"/>
        <v>3.6000000000000085</v>
      </c>
      <c r="U32">
        <f ca="1"/>
        <v>0</v>
      </c>
      <c r="V32">
        <f ca="1"/>
        <v>6.6928509242848554E-3</v>
      </c>
      <c r="X32" s="2">
        <f t="shared" ca="1" si="1"/>
        <v>45442</v>
      </c>
      <c r="Y32">
        <f t="shared" ca="1" si="2"/>
        <v>0</v>
      </c>
      <c r="AA32" s="63">
        <f t="shared" ca="1" si="4"/>
        <v>51.978886006268745</v>
      </c>
      <c r="AB32" s="63">
        <f t="shared" ca="1" si="5"/>
        <v>51.978886006268745</v>
      </c>
      <c r="AC32" s="3">
        <f t="shared" ca="1" si="6"/>
        <v>0</v>
      </c>
    </row>
    <row r="33" spans="1:29">
      <c r="A33" s="9" t="s">
        <v>119</v>
      </c>
      <c r="B33" s="10">
        <f>CurrentFieldLoss</f>
        <v>1</v>
      </c>
      <c r="H33" t="b">
        <f t="shared" ca="1" si="3"/>
        <v>1</v>
      </c>
      <c r="I33" t="b">
        <f t="shared" ca="1" si="0"/>
        <v>1</v>
      </c>
      <c r="J33" s="2">
        <f ca="1"/>
        <v>45443</v>
      </c>
      <c r="K33">
        <f ca="1"/>
        <v>50.594788946068313</v>
      </c>
      <c r="L33">
        <f ca="1"/>
        <v>0.64543717867388217</v>
      </c>
      <c r="M33">
        <f ca="1"/>
        <v>-2.6613842780941255E-2</v>
      </c>
      <c r="N33" s="4">
        <f ca="1"/>
        <v>0.66904604081632513</v>
      </c>
      <c r="O33">
        <f ca="1"/>
        <v>0</v>
      </c>
      <c r="P33">
        <f ca="1"/>
        <v>16.55672183437639</v>
      </c>
      <c r="Q33">
        <f ca="1"/>
        <v>0</v>
      </c>
      <c r="R33">
        <f ca="1"/>
        <v>0.37058849758467965</v>
      </c>
      <c r="S33">
        <f ca="1"/>
        <v>1</v>
      </c>
      <c r="T33">
        <f ca="1"/>
        <v>1.3299999999999983</v>
      </c>
      <c r="U33">
        <f ca="1"/>
        <v>0</v>
      </c>
      <c r="V33">
        <f ca="1"/>
        <v>7.4660259159340138E-3</v>
      </c>
      <c r="X33" s="2">
        <f t="shared" ca="1" si="1"/>
        <v>45443</v>
      </c>
      <c r="Y33">
        <f t="shared" ca="1" si="2"/>
        <v>0</v>
      </c>
      <c r="AA33" s="63">
        <f t="shared" ca="1" si="4"/>
        <v>51.61081462232687</v>
      </c>
      <c r="AB33" s="63">
        <f t="shared" ca="1" si="5"/>
        <v>51.61081462232687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45444</v>
      </c>
      <c r="K34">
        <f ca="1"/>
        <v>148.96248281931346</v>
      </c>
      <c r="L34">
        <f ca="1"/>
        <v>0.84563287899819528</v>
      </c>
      <c r="M34">
        <f ca="1"/>
        <v>-2.4702488137830825E-2</v>
      </c>
      <c r="N34" s="4">
        <f ca="1"/>
        <v>0.66904604081632513</v>
      </c>
      <c r="O34">
        <f ca="1"/>
        <v>100</v>
      </c>
      <c r="P34">
        <f ca="1"/>
        <v>17.402354713374585</v>
      </c>
      <c r="Q34">
        <f ca="1"/>
        <v>0</v>
      </c>
      <c r="R34">
        <f ca="1"/>
        <v>1.4310168004351314</v>
      </c>
      <c r="S34">
        <f ca="1"/>
        <v>1</v>
      </c>
      <c r="T34">
        <f ca="1"/>
        <v>1.75</v>
      </c>
      <c r="U34">
        <f ca="1"/>
        <v>0</v>
      </c>
      <c r="V34">
        <f ca="1"/>
        <v>8.561118550482423E-3</v>
      </c>
      <c r="X34" s="2">
        <f t="shared" ca="1" si="1"/>
        <v>45444</v>
      </c>
      <c r="Y34">
        <f t="shared" ca="1" si="2"/>
        <v>100</v>
      </c>
      <c r="AA34" s="63">
        <f t="shared" ca="1" si="4"/>
        <v>151.23913249874681</v>
      </c>
      <c r="AB34" s="63">
        <f t="shared" ca="1" si="5"/>
        <v>151.23913249874681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0</v>
      </c>
      <c r="H35" t="b">
        <f t="shared" ca="1" si="3"/>
        <v>1</v>
      </c>
      <c r="I35" t="b">
        <f t="shared" ca="1" si="0"/>
        <v>1</v>
      </c>
      <c r="J35" s="2">
        <f ca="1"/>
        <v>45445</v>
      </c>
      <c r="K35">
        <f ca="1"/>
        <v>148.06237366333363</v>
      </c>
      <c r="L35">
        <f ca="1"/>
        <v>0.87938490418657267</v>
      </c>
      <c r="M35">
        <f ca="1"/>
        <v>-2.272570588855638E-2</v>
      </c>
      <c r="N35" s="4">
        <f ca="1"/>
        <v>0.6624883905238893</v>
      </c>
      <c r="O35">
        <f ca="1"/>
        <v>0</v>
      </c>
      <c r="P35">
        <f ca="1"/>
        <v>18.281739617561158</v>
      </c>
      <c r="Q35">
        <f ca="1"/>
        <v>0</v>
      </c>
      <c r="R35">
        <f ca="1"/>
        <v>0.66048693642861189</v>
      </c>
      <c r="S35">
        <f ca="1"/>
        <v>1</v>
      </c>
      <c r="T35">
        <f ca="1"/>
        <v>0.81000000000000227</v>
      </c>
      <c r="U35">
        <f ca="1"/>
        <v>0</v>
      </c>
      <c r="V35">
        <f ca="1"/>
        <v>9.8018471140296284E-3</v>
      </c>
      <c r="X35" s="2">
        <f t="shared" ca="1" si="1"/>
        <v>45445</v>
      </c>
      <c r="Y35">
        <f t="shared" ca="1" si="2"/>
        <v>0</v>
      </c>
      <c r="AA35" s="63">
        <f t="shared" ca="1" si="4"/>
        <v>149.60224550394881</v>
      </c>
      <c r="AB35" s="63">
        <f t="shared" ca="1" si="5"/>
        <v>149.60224550394881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45436</v>
      </c>
      <c r="H36" t="b">
        <f t="shared" ca="1" si="3"/>
        <v>1</v>
      </c>
      <c r="I36" t="b">
        <f t="shared" ca="1" si="0"/>
        <v>1</v>
      </c>
      <c r="J36" s="2">
        <f ca="1"/>
        <v>45446</v>
      </c>
      <c r="K36">
        <f ca="1"/>
        <v>146.54664637747064</v>
      </c>
      <c r="L36">
        <f ca="1"/>
        <v>1.0240773760774218</v>
      </c>
      <c r="M36">
        <f ca="1"/>
        <v>-2.2525572830351948E-2</v>
      </c>
      <c r="N36" s="4">
        <f ca="1"/>
        <v>0.73340770911614794</v>
      </c>
      <c r="O36">
        <f ca="1"/>
        <v>0</v>
      </c>
      <c r="P36">
        <f ca="1"/>
        <v>19.30581699363858</v>
      </c>
      <c r="Q36">
        <f ca="1"/>
        <v>0</v>
      </c>
      <c r="R36">
        <f ca="1"/>
        <v>1.2025320460713678</v>
      </c>
      <c r="S36">
        <f ca="1"/>
        <v>1</v>
      </c>
      <c r="T36">
        <f ca="1"/>
        <v>1.4900000000000091</v>
      </c>
      <c r="U36">
        <f ca="1"/>
        <v>0</v>
      </c>
      <c r="V36">
        <f ca="1"/>
        <v>1.1382223868066832E-2</v>
      </c>
      <c r="X36" s="2">
        <f t="shared" ca="1" si="1"/>
        <v>45446</v>
      </c>
      <c r="Y36">
        <f t="shared" ca="1" si="2"/>
        <v>0</v>
      </c>
      <c r="AA36" s="63">
        <f t="shared" ca="1" si="4"/>
        <v>148.77325579961942</v>
      </c>
      <c r="AB36" s="63">
        <f t="shared" ca="1" si="5"/>
        <v>148.77325579961942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45447</v>
      </c>
      <c r="K37">
        <f ca="1"/>
        <v>143.58558242597056</v>
      </c>
      <c r="L37">
        <f ca="1"/>
        <v>1.0545979588318275</v>
      </c>
      <c r="M37">
        <f ca="1"/>
        <v>-2.028189172902839E-2</v>
      </c>
      <c r="N37" s="4">
        <f ca="1"/>
        <v>0.7154201765817686</v>
      </c>
      <c r="O37">
        <f ca="1"/>
        <v>0</v>
      </c>
      <c r="P37">
        <f ca="1"/>
        <v>20.360414952470407</v>
      </c>
      <c r="Q37">
        <f ca="1"/>
        <v>0</v>
      </c>
      <c r="R37">
        <f ca="1"/>
        <v>2.6016042775209849</v>
      </c>
      <c r="S37">
        <f ca="1"/>
        <v>1</v>
      </c>
      <c r="T37">
        <f ca="1"/>
        <v>3.289999999999992</v>
      </c>
      <c r="U37">
        <f ca="1"/>
        <v>0</v>
      </c>
      <c r="V37">
        <f ca="1"/>
        <v>1.3167314161149796E-2</v>
      </c>
      <c r="X37" s="2">
        <f t="shared" ca="1" si="1"/>
        <v>45447</v>
      </c>
      <c r="Y37">
        <f t="shared" ca="1" si="2"/>
        <v>0</v>
      </c>
      <c r="AA37" s="63">
        <f t="shared" ca="1" si="4"/>
        <v>147.24178466232337</v>
      </c>
      <c r="AB37" s="63">
        <f t="shared" ca="1" si="5"/>
        <v>147.24178466232337</v>
      </c>
      <c r="AC37" s="3">
        <f t="shared" ca="1" si="6"/>
        <v>0</v>
      </c>
    </row>
    <row r="38" spans="1:29">
      <c r="A38" s="9" t="s">
        <v>124</v>
      </c>
      <c r="B38" s="36">
        <f>CurrentHarvestDate</f>
        <v>45561</v>
      </c>
      <c r="H38" t="b">
        <f t="shared" ca="1" si="3"/>
        <v>1</v>
      </c>
      <c r="I38" t="b">
        <f t="shared" ca="1" si="0"/>
        <v>1</v>
      </c>
      <c r="J38" s="2">
        <f ca="1"/>
        <v>45448</v>
      </c>
      <c r="K38">
        <f ca="1"/>
        <v>139.81113238800955</v>
      </c>
      <c r="L38">
        <f ca="1"/>
        <v>1.0978079312499247</v>
      </c>
      <c r="M38">
        <f ca="1"/>
        <v>-1.8386247194915217E-2</v>
      </c>
      <c r="N38" s="4">
        <f ca="1"/>
        <v>0.70653205995527057</v>
      </c>
      <c r="O38">
        <f ca="1"/>
        <v>0</v>
      </c>
      <c r="P38">
        <f ca="1"/>
        <v>21.458222883720332</v>
      </c>
      <c r="Q38">
        <f ca="1"/>
        <v>0</v>
      </c>
      <c r="R38">
        <f ca="1"/>
        <v>3.3647879194714339</v>
      </c>
      <c r="S38">
        <f ca="1"/>
        <v>1</v>
      </c>
      <c r="T38">
        <f ca="1"/>
        <v>4.3700000000000045</v>
      </c>
      <c r="U38">
        <f ca="1"/>
        <v>0</v>
      </c>
      <c r="V38">
        <f ca="1"/>
        <v>1.5201176131025848E-2</v>
      </c>
      <c r="X38" s="2">
        <f t="shared" ca="1" si="1"/>
        <v>45448</v>
      </c>
      <c r="Y38">
        <f t="shared" ca="1" si="2"/>
        <v>0</v>
      </c>
      <c r="AA38" s="63">
        <f t="shared" ca="1" si="4"/>
        <v>144.27372823873091</v>
      </c>
      <c r="AB38" s="63">
        <f t="shared" ca="1" si="5"/>
        <v>144.27372823873091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EarlyReproductive</v>
      </c>
      <c r="H39" t="b">
        <f t="shared" ca="1" si="3"/>
        <v>1</v>
      </c>
      <c r="I39" t="b">
        <f t="shared" ca="1" si="0"/>
        <v>1</v>
      </c>
      <c r="J39" s="2">
        <f ca="1"/>
        <v>45449</v>
      </c>
      <c r="K39">
        <f ca="1"/>
        <v>138.24506974584401</v>
      </c>
      <c r="L39">
        <f ca="1"/>
        <v>1.1451969766156687</v>
      </c>
      <c r="M39">
        <f ca="1"/>
        <v>-1.6651515325762034E-2</v>
      </c>
      <c r="N39" s="4">
        <f ca="1"/>
        <v>0.69974285600719321</v>
      </c>
      <c r="O39">
        <f ca="1"/>
        <v>0</v>
      </c>
      <c r="P39">
        <f ca="1"/>
        <v>22.603419860336</v>
      </c>
      <c r="Q39">
        <f ca="1"/>
        <v>0</v>
      </c>
      <c r="R39">
        <f ca="1"/>
        <v>1.1039570062313069</v>
      </c>
      <c r="S39">
        <f ca="1"/>
        <v>1</v>
      </c>
      <c r="T39">
        <f ca="1"/>
        <v>1.4500000000000028</v>
      </c>
      <c r="U39">
        <f ca="1"/>
        <v>0</v>
      </c>
      <c r="V39">
        <f ca="1"/>
        <v>1.7519844624628089E-2</v>
      </c>
      <c r="X39" s="2">
        <f t="shared" ca="1" si="1"/>
        <v>45449</v>
      </c>
      <c r="Y39">
        <f t="shared" ca="1" si="2"/>
        <v>0</v>
      </c>
      <c r="AA39" s="63">
        <f t="shared" ca="1" si="4"/>
        <v>140.49422372869097</v>
      </c>
      <c r="AB39" s="63">
        <f t="shared" ca="1" si="5"/>
        <v>140.49422372869097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45450</v>
      </c>
      <c r="K40">
        <f ca="1"/>
        <v>137.27875861399701</v>
      </c>
      <c r="L40">
        <f ca="1"/>
        <v>1.1030323617997588</v>
      </c>
      <c r="M40">
        <f ca="1"/>
        <v>-1.4281310281595516E-2</v>
      </c>
      <c r="N40" s="4">
        <f ca="1"/>
        <v>0.64242070512796057</v>
      </c>
      <c r="O40">
        <f ca="1"/>
        <v>0</v>
      </c>
      <c r="P40">
        <f ca="1"/>
        <v>23.706452222135759</v>
      </c>
      <c r="Q40">
        <f ca="1"/>
        <v>0</v>
      </c>
      <c r="R40">
        <f ca="1"/>
        <v>0.49141816489358781</v>
      </c>
      <c r="S40">
        <f ca="1"/>
        <v>1</v>
      </c>
      <c r="T40">
        <f ca="1"/>
        <v>0.65000000000000568</v>
      </c>
      <c r="U40">
        <f ca="1"/>
        <v>0</v>
      </c>
      <c r="V40">
        <f ca="1"/>
        <v>1.9948897500208947E-2</v>
      </c>
      <c r="X40" s="2">
        <f t="shared" ca="1" si="1"/>
        <v>45450</v>
      </c>
      <c r="Y40">
        <f t="shared" ca="1" si="2"/>
        <v>0</v>
      </c>
      <c r="AA40" s="63">
        <f t="shared" ca="1" si="4"/>
        <v>138.87320914069036</v>
      </c>
      <c r="AB40" s="63">
        <f t="shared" ca="1" si="5"/>
        <v>138.87320914069036</v>
      </c>
      <c r="AC40" s="3">
        <f t="shared" ca="1" si="6"/>
        <v>0</v>
      </c>
    </row>
    <row r="41" spans="1:29" ht="1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45451</v>
      </c>
      <c r="K41">
        <f ca="1"/>
        <v>136.30752715714445</v>
      </c>
      <c r="L41">
        <f ca="1"/>
        <v>1.1439507414193173</v>
      </c>
      <c r="M41">
        <f ca="1"/>
        <v>-1.290444810312108E-2</v>
      </c>
      <c r="N41">
        <f ca="1"/>
        <v>0.63603121371087012</v>
      </c>
      <c r="O41">
        <f ca="1"/>
        <v>0</v>
      </c>
      <c r="P41">
        <f ca="1"/>
        <v>24.850402963555076</v>
      </c>
      <c r="Q41">
        <f ca="1"/>
        <v>0</v>
      </c>
      <c r="R41">
        <f ca="1"/>
        <v>0.45040748104099471</v>
      </c>
      <c r="S41">
        <f ca="1"/>
        <v>1</v>
      </c>
      <c r="T41">
        <f ca="1"/>
        <v>0.59999999999999432</v>
      </c>
      <c r="U41">
        <f ca="1"/>
        <v>0</v>
      </c>
      <c r="V41">
        <f ca="1"/>
        <v>2.2676347121945675E-2</v>
      </c>
      <c r="X41" s="2">
        <f t="shared" ca="1" si="1"/>
        <v>45451</v>
      </c>
      <c r="Y41">
        <f t="shared" ca="1" si="2"/>
        <v>0</v>
      </c>
      <c r="AA41" s="63">
        <f t="shared" ca="1" si="4"/>
        <v>137.90188537960478</v>
      </c>
      <c r="AB41" s="63">
        <f t="shared" ca="1" si="5"/>
        <v>137.90188537960478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45452</v>
      </c>
      <c r="K42">
        <f ca="1"/>
        <v>132.66948408333872</v>
      </c>
      <c r="L42">
        <f ca="1"/>
        <v>1.3814291572338568</v>
      </c>
      <c r="M42">
        <f ca="1"/>
        <v>-1.2821377952380253E-2</v>
      </c>
      <c r="N42">
        <f ca="1"/>
        <v>0.72992665099342668</v>
      </c>
      <c r="O42">
        <f ca="1"/>
        <v>0</v>
      </c>
      <c r="P42">
        <f ca="1"/>
        <v>26.231832120788933</v>
      </c>
      <c r="Q42">
        <f ca="1"/>
        <v>0</v>
      </c>
      <c r="R42">
        <f ca="1"/>
        <v>2.9737191896129178</v>
      </c>
      <c r="S42">
        <f ca="1"/>
        <v>1</v>
      </c>
      <c r="T42">
        <f ca="1"/>
        <v>4.0699999999999932</v>
      </c>
      <c r="U42">
        <f ca="1"/>
        <v>0</v>
      </c>
      <c r="V42">
        <f ca="1"/>
        <v>2.625978033202981E-2</v>
      </c>
      <c r="X42" s="2">
        <f t="shared" ca="1" si="1"/>
        <v>45452</v>
      </c>
      <c r="Y42">
        <f t="shared" ca="1" si="2"/>
        <v>0</v>
      </c>
      <c r="AA42" s="63">
        <f t="shared" ca="1" si="4"/>
        <v>137.02463243018551</v>
      </c>
      <c r="AB42" s="63">
        <f t="shared" ca="1" si="5"/>
        <v>137.02463243018551</v>
      </c>
      <c r="AC42" s="3">
        <f t="shared" ca="1" si="6"/>
        <v>0</v>
      </c>
    </row>
    <row r="43" spans="1:29">
      <c r="A43" s="6" t="s">
        <v>237</v>
      </c>
      <c r="B43" s="32">
        <f>FollowingYIeld</f>
        <v>60</v>
      </c>
      <c r="H43" t="b">
        <f t="shared" ca="1" si="3"/>
        <v>1</v>
      </c>
      <c r="I43" t="b">
        <f t="shared" ca="1" si="0"/>
        <v>1</v>
      </c>
      <c r="J43" s="2">
        <f ca="1"/>
        <v>45453</v>
      </c>
      <c r="K43">
        <f ca="1"/>
        <v>127.45247652472354</v>
      </c>
      <c r="L43">
        <f ca="1"/>
        <v>1.4573186767868016</v>
      </c>
      <c r="M43">
        <f ca="1"/>
        <v>-1.1415763451670946E-2</v>
      </c>
      <c r="N43">
        <f ca="1"/>
        <v>0.72992665099342668</v>
      </c>
      <c r="O43">
        <f ca="1"/>
        <v>0</v>
      </c>
      <c r="P43">
        <f ca="1"/>
        <v>27.689150797575735</v>
      </c>
      <c r="Q43">
        <f ca="1"/>
        <v>0</v>
      </c>
      <c r="R43">
        <f ca="1"/>
        <v>4.4781997693701383</v>
      </c>
      <c r="S43">
        <f ca="1"/>
        <v>1</v>
      </c>
      <c r="T43">
        <f ca="1"/>
        <v>6.3799999999999955</v>
      </c>
      <c r="U43">
        <f ca="1"/>
        <v>0</v>
      </c>
      <c r="V43">
        <f ca="1"/>
        <v>3.0391876717935952E-2</v>
      </c>
      <c r="X43" s="2">
        <f t="shared" ca="1" si="1"/>
        <v>45453</v>
      </c>
      <c r="Y43">
        <f t="shared" ca="1" si="2"/>
        <v>0</v>
      </c>
      <c r="AA43" s="63">
        <f t="shared" ca="1" si="4"/>
        <v>133.38799497088047</v>
      </c>
      <c r="AB43" s="63">
        <f t="shared" ca="1" si="5"/>
        <v>133.3879949708805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45454</v>
      </c>
      <c r="K44">
        <f ca="1"/>
        <v>126.56516140462448</v>
      </c>
      <c r="L44">
        <f ca="1"/>
        <v>1.6737288764755363</v>
      </c>
      <c r="M44">
        <f ca="1"/>
        <v>-1.0712653059111066E-2</v>
      </c>
      <c r="N44">
        <f ca="1"/>
        <v>0.79712640943559065</v>
      </c>
      <c r="O44">
        <f ca="1"/>
        <v>0</v>
      </c>
      <c r="P44">
        <f ca="1"/>
        <v>29.362879674051271</v>
      </c>
      <c r="Q44">
        <f ca="1"/>
        <v>0</v>
      </c>
      <c r="R44">
        <f ca="1"/>
        <v>0</v>
      </c>
      <c r="S44">
        <f ca="1"/>
        <v>0.99985507246376804</v>
      </c>
      <c r="T44">
        <f ca="1"/>
        <v>0</v>
      </c>
      <c r="U44">
        <f ca="1"/>
        <v>0</v>
      </c>
      <c r="V44">
        <f ca="1"/>
        <v>3.5593225169765187E-2</v>
      </c>
      <c r="X44" s="2">
        <f t="shared" ca="1" si="1"/>
        <v>45454</v>
      </c>
      <c r="Y44">
        <f t="shared" ca="1" si="2"/>
        <v>0</v>
      </c>
      <c r="AA44" s="63">
        <f t="shared" ca="1" si="4"/>
        <v>128.2388902811</v>
      </c>
      <c r="AB44" s="63">
        <f t="shared" ca="1" si="5"/>
        <v>128.2388902811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45455</v>
      </c>
      <c r="K45">
        <f ca="1"/>
        <v>122.61306333002658</v>
      </c>
      <c r="L45">
        <f ca="1"/>
        <v>1.5661149184563889</v>
      </c>
      <c r="M45">
        <f ca="1"/>
        <v>-8.5008270705548838E-3</v>
      </c>
      <c r="N45">
        <f ca="1"/>
        <v>0.70177525653905748</v>
      </c>
      <c r="O45">
        <f ca="1"/>
        <v>0</v>
      </c>
      <c r="P45">
        <f ca="1"/>
        <v>30.92899459250766</v>
      </c>
      <c r="Q45">
        <f ca="1"/>
        <v>0</v>
      </c>
      <c r="R45">
        <f ca="1"/>
        <v>3.0792575856100095</v>
      </c>
      <c r="S45">
        <f ca="1"/>
        <v>1</v>
      </c>
      <c r="T45">
        <f ca="1"/>
        <v>4.5601042489766002</v>
      </c>
      <c r="U45">
        <f ca="1"/>
        <v>0</v>
      </c>
      <c r="V45">
        <f ca="1"/>
        <v>4.0909415252448067E-2</v>
      </c>
      <c r="X45" s="2">
        <f t="shared" ca="1" si="1"/>
        <v>45455</v>
      </c>
      <c r="Y45">
        <f t="shared" ca="1" si="2"/>
        <v>0</v>
      </c>
      <c r="AA45" s="63">
        <f t="shared" ca="1" si="4"/>
        <v>127.25843583409298</v>
      </c>
      <c r="AB45" s="63">
        <f t="shared" ca="1" si="5"/>
        <v>127.25843583409298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45456</v>
      </c>
      <c r="K46">
        <f ca="1"/>
        <v>121.61931871342995</v>
      </c>
      <c r="L46">
        <f ca="1"/>
        <v>1.5905036528174143</v>
      </c>
      <c r="M46">
        <f ca="1"/>
        <v>-7.1969138460854509E-3</v>
      </c>
      <c r="N46">
        <f ca="1"/>
        <v>0.67763258082370947</v>
      </c>
      <c r="O46">
        <f ca="1"/>
        <v>0</v>
      </c>
      <c r="P46">
        <f ca="1"/>
        <v>32.519498245325074</v>
      </c>
      <c r="Q46">
        <f ca="1"/>
        <v>0</v>
      </c>
      <c r="R46">
        <f ca="1"/>
        <v>7.3676630756831091E-2</v>
      </c>
      <c r="S46">
        <f ca="1"/>
        <v>1</v>
      </c>
      <c r="T46">
        <f ca="1"/>
        <v>0.10999999999999943</v>
      </c>
      <c r="U46">
        <f ca="1"/>
        <v>0</v>
      </c>
      <c r="V46">
        <f ca="1"/>
        <v>4.6759057647104127E-2</v>
      </c>
      <c r="X46" s="2">
        <f t="shared" ca="1" si="1"/>
        <v>45456</v>
      </c>
      <c r="Y46">
        <f t="shared" ca="1" si="2"/>
        <v>0</v>
      </c>
      <c r="AA46" s="63">
        <f t="shared" ca="1" si="4"/>
        <v>123.2834989970042</v>
      </c>
      <c r="AB46" s="63">
        <f t="shared" ca="1" si="5"/>
        <v>123.2834989970042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45457</v>
      </c>
      <c r="K47">
        <f ca="1"/>
        <v>119.88341978232627</v>
      </c>
      <c r="L47">
        <f ca="1"/>
        <v>1.4856200664537837</v>
      </c>
      <c r="M47">
        <f ca="1"/>
        <v>-5.7496570623243315E-3</v>
      </c>
      <c r="N47">
        <f ca="1"/>
        <v>0.60716430512688691</v>
      </c>
      <c r="O47">
        <f ca="1"/>
        <v>0</v>
      </c>
      <c r="P47">
        <f ca="1"/>
        <v>34.005118311778858</v>
      </c>
      <c r="Q47">
        <f ca="1"/>
        <v>0</v>
      </c>
      <c r="R47">
        <f ca="1"/>
        <v>0.85169351271444382</v>
      </c>
      <c r="S47">
        <f ca="1"/>
        <v>1</v>
      </c>
      <c r="T47">
        <f ca="1"/>
        <v>1.2900000000000063</v>
      </c>
      <c r="U47">
        <f ca="1"/>
        <v>0</v>
      </c>
      <c r="V47">
        <f ca="1"/>
        <v>5.2636600584439808E-2</v>
      </c>
      <c r="X47" s="2">
        <f t="shared" ca="1" si="1"/>
        <v>45457</v>
      </c>
      <c r="Y47">
        <f t="shared" ca="1" si="2"/>
        <v>0</v>
      </c>
      <c r="AA47" s="63">
        <f t="shared" ca="1" si="4"/>
        <v>122.22073336149451</v>
      </c>
      <c r="AB47" s="63">
        <f t="shared" ca="1" si="5"/>
        <v>122.22073336149451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45458</v>
      </c>
      <c r="K48">
        <f ca="1"/>
        <v>50.68656086179309</v>
      </c>
      <c r="L48">
        <f ca="1"/>
        <v>1.7462811047680589</v>
      </c>
      <c r="M48">
        <f ca="1"/>
        <v>-5.2603480938384628E-3</v>
      </c>
      <c r="N48">
        <f ca="1"/>
        <v>0.67763258082370947</v>
      </c>
      <c r="O48">
        <f ca="1"/>
        <v>0</v>
      </c>
      <c r="P48">
        <f ca="1"/>
        <v>35.751399416546917</v>
      </c>
      <c r="Q48">
        <f ca="1"/>
        <v>0</v>
      </c>
      <c r="R48">
        <f ca="1"/>
        <v>0.49888514880465518</v>
      </c>
      <c r="S48">
        <f ca="1"/>
        <v>1</v>
      </c>
      <c r="T48">
        <f ca="1"/>
        <v>1.8299999999999983</v>
      </c>
      <c r="U48">
        <f ca="1"/>
        <v>0</v>
      </c>
      <c r="V48">
        <f ca="1"/>
        <v>6.0058109218742994E-2</v>
      </c>
      <c r="X48" s="2">
        <f t="shared" ca="1" si="1"/>
        <v>45458</v>
      </c>
      <c r="Y48">
        <f t="shared" ca="1" si="2"/>
        <v>0</v>
      </c>
      <c r="AA48" s="63">
        <f t="shared" ca="1" si="4"/>
        <v>120.55579201505614</v>
      </c>
      <c r="AB48" s="63">
        <f t="shared" ca="1" si="5"/>
        <v>52.931727115365803</v>
      </c>
      <c r="AC48" s="3">
        <f t="shared" ca="1" si="6"/>
        <v>-67.624064899690339</v>
      </c>
    </row>
    <row r="49" spans="1:29">
      <c r="A49" s="6" t="s">
        <v>129</v>
      </c>
      <c r="B49" s="34">
        <f>FollowingEstablishDate</f>
        <v>45576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45459</v>
      </c>
      <c r="K49">
        <f ca="1"/>
        <v>49.078248250153493</v>
      </c>
      <c r="L49">
        <f ca="1"/>
        <v>1.8530841751622233</v>
      </c>
      <c r="M49">
        <f ca="1"/>
        <v>-4.3530472884443228E-3</v>
      </c>
      <c r="N49">
        <f ca="1"/>
        <v>0.68428507862910293</v>
      </c>
      <c r="O49">
        <f ca="1"/>
        <v>0</v>
      </c>
      <c r="P49">
        <f ca="1"/>
        <v>37.60448359170914</v>
      </c>
      <c r="Q49">
        <f ca="1"/>
        <v>0</v>
      </c>
      <c r="R49">
        <f ca="1"/>
        <v>0.43516046781803136</v>
      </c>
      <c r="S49">
        <f ca="1"/>
        <v>1</v>
      </c>
      <c r="T49">
        <f ca="1"/>
        <v>1.6100000000000136</v>
      </c>
      <c r="U49">
        <f ca="1"/>
        <v>0</v>
      </c>
      <c r="V49">
        <f ca="1"/>
        <v>6.8538439218077757E-2</v>
      </c>
      <c r="X49" s="2">
        <f t="shared" ca="1" si="1"/>
        <v>45459</v>
      </c>
      <c r="Y49">
        <f t="shared" ca="1" si="2"/>
        <v>0</v>
      </c>
      <c r="AA49" s="63">
        <f t="shared" ca="1" si="4"/>
        <v>51.366492893133746</v>
      </c>
      <c r="AB49" s="63">
        <f t="shared" ca="1" si="5"/>
        <v>51.366492893133746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45460</v>
      </c>
      <c r="K50">
        <f ca="1"/>
        <v>46.581462535308461</v>
      </c>
      <c r="L50">
        <f ca="1"/>
        <v>1.965077963083381</v>
      </c>
      <c r="M50">
        <f ca="1"/>
        <v>-3.4713745293761811E-3</v>
      </c>
      <c r="N50">
        <f ca="1"/>
        <v>0.69030767894500022</v>
      </c>
      <c r="O50">
        <f ca="1"/>
        <v>0</v>
      </c>
      <c r="P50">
        <f ca="1"/>
        <v>39.569561554792521</v>
      </c>
      <c r="Q50">
        <f ca="1"/>
        <v>0</v>
      </c>
      <c r="R50">
        <f ca="1"/>
        <v>1.218544056177272</v>
      </c>
      <c r="S50">
        <f ca="1"/>
        <v>1</v>
      </c>
      <c r="T50">
        <f ca="1"/>
        <v>4.75</v>
      </c>
      <c r="U50">
        <f ca="1"/>
        <v>0</v>
      </c>
      <c r="V50">
        <f ca="1"/>
        <v>7.8206163245916907E-2</v>
      </c>
      <c r="X50" s="2">
        <f t="shared" ca="1" si="1"/>
        <v>45460</v>
      </c>
      <c r="Y50">
        <f t="shared" ca="1" si="2"/>
        <v>0</v>
      </c>
      <c r="AA50" s="63">
        <f t="shared" ca="1" si="4"/>
        <v>49.765084554569114</v>
      </c>
      <c r="AB50" s="63">
        <f t="shared" ca="1" si="5"/>
        <v>49.765084554569114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45696</v>
      </c>
      <c r="H51" t="b">
        <f t="shared" ca="1" si="3"/>
        <v>1</v>
      </c>
      <c r="I51" t="b">
        <f t="shared" ca="1" si="0"/>
        <v>1</v>
      </c>
      <c r="J51" s="2">
        <f ca="1"/>
        <v>45461</v>
      </c>
      <c r="K51">
        <f ca="1"/>
        <v>42.540447913006403</v>
      </c>
      <c r="L51">
        <f ca="1"/>
        <v>2.1378313648055638</v>
      </c>
      <c r="M51">
        <f ca="1"/>
        <v>-2.658533149858755E-3</v>
      </c>
      <c r="N51">
        <f ca="1"/>
        <v>0.71404819608056869</v>
      </c>
      <c r="O51">
        <f ca="1"/>
        <v>0</v>
      </c>
      <c r="P51">
        <f ca="1"/>
        <v>41.707392919598085</v>
      </c>
      <c r="Q51">
        <f ca="1"/>
        <v>0</v>
      </c>
      <c r="R51">
        <f ca="1"/>
        <v>2.6145729204272095</v>
      </c>
      <c r="S51">
        <f ca="1"/>
        <v>1</v>
      </c>
      <c r="T51">
        <f ca="1"/>
        <v>11.159999999999997</v>
      </c>
      <c r="U51">
        <f ca="1"/>
        <v>0</v>
      </c>
      <c r="V51">
        <f ca="1"/>
        <v>8.9499853242182986E-2</v>
      </c>
      <c r="X51" s="2">
        <f t="shared" ca="1" si="1"/>
        <v>45461</v>
      </c>
      <c r="Y51">
        <f t="shared" ca="1" si="2"/>
        <v>0</v>
      </c>
      <c r="AA51" s="63">
        <f t="shared" ca="1" si="4"/>
        <v>47.292852198239174</v>
      </c>
      <c r="AB51" s="63">
        <f t="shared" ca="1" si="5"/>
        <v>47.292852198239174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45462</v>
      </c>
      <c r="K52">
        <f ca="1"/>
        <v>39.239090271299553</v>
      </c>
      <c r="L52">
        <f ca="1"/>
        <v>2.2403383682366567</v>
      </c>
      <c r="M52">
        <f ca="1"/>
        <v>-1.7912276396718774E-3</v>
      </c>
      <c r="N52">
        <f ca="1"/>
        <v>0.71062553014540031</v>
      </c>
      <c r="O52">
        <f ca="1"/>
        <v>0</v>
      </c>
      <c r="P52">
        <f ca="1"/>
        <v>43.947731287834742</v>
      </c>
      <c r="Q52">
        <f ca="1"/>
        <v>0</v>
      </c>
      <c r="R52">
        <f ca="1"/>
        <v>1.7698535759759197</v>
      </c>
      <c r="S52">
        <f ca="1"/>
        <v>1</v>
      </c>
      <c r="T52">
        <f ca="1"/>
        <v>8.1899999999999977</v>
      </c>
      <c r="U52">
        <f ca="1"/>
        <v>0</v>
      </c>
      <c r="V52">
        <f ca="1"/>
        <v>0.10218025369173379</v>
      </c>
      <c r="X52" s="2">
        <f t="shared" ca="1" si="1"/>
        <v>45462</v>
      </c>
      <c r="Y52">
        <f t="shared" ca="1" si="2"/>
        <v>0</v>
      </c>
      <c r="AA52" s="63">
        <f t="shared" ca="1" si="4"/>
        <v>43.249282215512132</v>
      </c>
      <c r="AB52" s="63">
        <f t="shared" ca="1" si="5"/>
        <v>43.249282215512132</v>
      </c>
      <c r="AC52" s="3">
        <f t="shared" ca="1" si="6"/>
        <v>0</v>
      </c>
    </row>
    <row r="53" spans="1:29" ht="1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45463</v>
      </c>
      <c r="K53">
        <f ca="1"/>
        <v>37.478669646485194</v>
      </c>
      <c r="L53">
        <f ca="1"/>
        <v>2.2240829113026095</v>
      </c>
      <c r="M53">
        <f ca="1"/>
        <v>-9.54811404617395E-4</v>
      </c>
      <c r="N53">
        <f ca="1"/>
        <v>0.67102136551119118</v>
      </c>
      <c r="O53">
        <f ca="1"/>
        <v>0</v>
      </c>
      <c r="P53">
        <f ca="1"/>
        <v>46.171814199137351</v>
      </c>
      <c r="Q53">
        <f ca="1"/>
        <v>0</v>
      </c>
      <c r="R53">
        <f ca="1"/>
        <v>0.20640426761832428</v>
      </c>
      <c r="S53">
        <f ca="1"/>
        <v>1</v>
      </c>
      <c r="T53">
        <f ca="1"/>
        <v>1</v>
      </c>
      <c r="U53">
        <f ca="1"/>
        <v>0</v>
      </c>
      <c r="V53">
        <f ca="1"/>
        <v>0.11559268782888762</v>
      </c>
      <c r="X53" s="2">
        <f t="shared" ca="1" si="1"/>
        <v>45463</v>
      </c>
      <c r="Y53">
        <f t="shared" ca="1" si="2"/>
        <v>0</v>
      </c>
      <c r="AA53" s="63">
        <f t="shared" ca="1" si="4"/>
        <v>39.909156825406129</v>
      </c>
      <c r="AB53" s="63">
        <f t="shared" ca="1" si="5"/>
        <v>39.909156825406129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45464</v>
      </c>
      <c r="K54">
        <f ca="1"/>
        <v>35.790707704569144</v>
      </c>
      <c r="L54">
        <f ca="1"/>
        <v>2.0822403972764647</v>
      </c>
      <c r="M54">
        <f ca="1"/>
        <v>-2.4917527794476868E-4</v>
      </c>
      <c r="N54">
        <f ca="1"/>
        <v>0.60346237068763786</v>
      </c>
      <c r="O54">
        <f ca="1"/>
        <v>0</v>
      </c>
      <c r="P54">
        <f ca="1"/>
        <v>48.254054596413816</v>
      </c>
      <c r="Q54">
        <f ca="1"/>
        <v>0</v>
      </c>
      <c r="R54">
        <f ca="1"/>
        <v>0.2089347400492795</v>
      </c>
      <c r="S54">
        <f ca="1"/>
        <v>1</v>
      </c>
      <c r="T54">
        <f ca="1"/>
        <v>1.0599999999999881</v>
      </c>
      <c r="U54">
        <f ca="1"/>
        <v>0</v>
      </c>
      <c r="V54">
        <f ca="1"/>
        <v>0.12885909851855257</v>
      </c>
      <c r="X54" s="2">
        <f t="shared" ca="1" si="1"/>
        <v>45464</v>
      </c>
      <c r="Y54">
        <f t="shared" ca="1" si="2"/>
        <v>0</v>
      </c>
      <c r="AA54" s="63">
        <f t="shared" ca="1" si="4"/>
        <v>38.081882841894888</v>
      </c>
      <c r="AB54" s="63">
        <f t="shared" ca="1" si="5"/>
        <v>38.081882841894888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45465</v>
      </c>
      <c r="K55">
        <f ca="1"/>
        <v>33.803396942761033</v>
      </c>
      <c r="L55">
        <f ca="1"/>
        <v>2.1864966781620794</v>
      </c>
      <c r="M55">
        <f ca="1"/>
        <v>3.3797335114993388E-4</v>
      </c>
      <c r="N55">
        <f ca="1"/>
        <v>0.60654630439072499</v>
      </c>
      <c r="O55">
        <f ca="1"/>
        <v>0</v>
      </c>
      <c r="P55">
        <f ca="1"/>
        <v>50.440551274575895</v>
      </c>
      <c r="Q55">
        <f ca="1"/>
        <v>0</v>
      </c>
      <c r="R55">
        <f ca="1"/>
        <v>0.40769836138790871</v>
      </c>
      <c r="S55">
        <f ca="1"/>
        <v>1</v>
      </c>
      <c r="T55">
        <f ca="1"/>
        <v>2.1899999999999977</v>
      </c>
      <c r="U55">
        <f ca="1"/>
        <v>0</v>
      </c>
      <c r="V55">
        <f ca="1"/>
        <v>0.14348596298578581</v>
      </c>
      <c r="X55" s="2">
        <f t="shared" ca="1" si="1"/>
        <v>45465</v>
      </c>
      <c r="Y55">
        <f t="shared" ca="1" si="2"/>
        <v>0</v>
      </c>
      <c r="AA55" s="63">
        <f t="shared" ca="1" si="4"/>
        <v>36.39759198231102</v>
      </c>
      <c r="AB55" s="63">
        <f t="shared" ca="1" si="5"/>
        <v>36.39759198231102</v>
      </c>
      <c r="AC55" s="3">
        <f t="shared" ca="1" si="6"/>
        <v>0</v>
      </c>
    </row>
    <row r="56" spans="1:29" ht="1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45466</v>
      </c>
      <c r="K56">
        <f ca="1"/>
        <v>31.372226430344803</v>
      </c>
      <c r="L56">
        <f ca="1"/>
        <v>2.6310459101104868</v>
      </c>
      <c r="M56">
        <f ca="1"/>
        <v>1.0155435598742102E-3</v>
      </c>
      <c r="N56">
        <f ca="1"/>
        <v>0.69299515390972399</v>
      </c>
      <c r="O56">
        <f ca="1"/>
        <v>0</v>
      </c>
      <c r="P56">
        <f ca="1"/>
        <v>53.071597184686382</v>
      </c>
      <c r="Q56">
        <f ca="1"/>
        <v>0</v>
      </c>
      <c r="R56">
        <f ca="1"/>
        <v>0.49413529977534393</v>
      </c>
      <c r="S56">
        <f ca="1"/>
        <v>1</v>
      </c>
      <c r="T56">
        <f ca="1"/>
        <v>2.8599999999999994</v>
      </c>
      <c r="U56">
        <f ca="1"/>
        <v>0</v>
      </c>
      <c r="V56">
        <f ca="1"/>
        <v>0.16196296933420759</v>
      </c>
      <c r="X56" s="2">
        <f t="shared" ca="1" si="1"/>
        <v>45466</v>
      </c>
      <c r="Y56">
        <f t="shared" ca="1" si="2"/>
        <v>0</v>
      </c>
      <c r="AA56" s="63">
        <f t="shared" ca="1" si="4"/>
        <v>34.497407640230634</v>
      </c>
      <c r="AB56" s="63">
        <f t="shared" ca="1" si="5"/>
        <v>34.497407640230634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45467</v>
      </c>
      <c r="K57">
        <f ca="1"/>
        <v>29.136358364127435</v>
      </c>
      <c r="L57">
        <f ca="1"/>
        <v>2.5329361695917498</v>
      </c>
      <c r="M57">
        <f ca="1"/>
        <v>1.5444117782950073E-3</v>
      </c>
      <c r="N57">
        <f ca="1"/>
        <v>0.63730584318919359</v>
      </c>
      <c r="O57">
        <f ca="1"/>
        <v>0</v>
      </c>
      <c r="P57">
        <f ca="1"/>
        <v>55.604533354278132</v>
      </c>
      <c r="Q57">
        <f ca="1"/>
        <v>0</v>
      </c>
      <c r="R57">
        <f ca="1"/>
        <v>0.34178215159311154</v>
      </c>
      <c r="S57">
        <f ca="1"/>
        <v>1</v>
      </c>
      <c r="T57">
        <f ca="1"/>
        <v>2.1299999999999955</v>
      </c>
      <c r="U57">
        <f ca="1"/>
        <v>0</v>
      </c>
      <c r="V57">
        <f ca="1"/>
        <v>0.18057106743727977</v>
      </c>
      <c r="X57" s="2">
        <f t="shared" ca="1" si="1"/>
        <v>45467</v>
      </c>
      <c r="Y57">
        <f t="shared" ca="1" si="2"/>
        <v>0</v>
      </c>
      <c r="AA57" s="63">
        <f t="shared" ca="1" si="4"/>
        <v>32.01107668531229</v>
      </c>
      <c r="AB57" s="63">
        <f t="shared" ca="1" si="5"/>
        <v>32.011076685312297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45468</v>
      </c>
      <c r="K58">
        <f ca="1"/>
        <v>27.171788999212062</v>
      </c>
      <c r="L58">
        <f ca="1"/>
        <v>2.5425498115976879</v>
      </c>
      <c r="M58">
        <f ca="1"/>
        <v>2.0242890994626173E-3</v>
      </c>
      <c r="N58">
        <f ca="1"/>
        <v>0.6133665917122002</v>
      </c>
      <c r="O58">
        <f ca="1"/>
        <v>0</v>
      </c>
      <c r="P58">
        <f ca="1"/>
        <v>58.14708316587582</v>
      </c>
      <c r="Q58">
        <f ca="1"/>
        <v>0</v>
      </c>
      <c r="R58">
        <f ca="1"/>
        <v>3.741043412934994E-2</v>
      </c>
      <c r="S58">
        <f ca="1"/>
        <v>1</v>
      </c>
      <c r="T58">
        <f ca="1"/>
        <v>0.25</v>
      </c>
      <c r="U58">
        <f ca="1"/>
        <v>0</v>
      </c>
      <c r="V58">
        <f ca="1"/>
        <v>0.19996472153058853</v>
      </c>
      <c r="X58" s="2">
        <f t="shared" ca="1" si="1"/>
        <v>45468</v>
      </c>
      <c r="Y58">
        <f t="shared" ca="1" si="2"/>
        <v>0</v>
      </c>
      <c r="AA58" s="63">
        <f t="shared" ca="1" si="4"/>
        <v>29.751749244939099</v>
      </c>
      <c r="AB58" s="63">
        <f t="shared" ca="1" si="5"/>
        <v>29.751749244939099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45469</v>
      </c>
      <c r="K59">
        <f ca="1"/>
        <v>593.05632087259994</v>
      </c>
      <c r="L59">
        <f ca="1"/>
        <v>2.5488443731884516</v>
      </c>
      <c r="M59">
        <f ca="1"/>
        <v>2.444492793907127E-3</v>
      </c>
      <c r="N59">
        <f ca="1"/>
        <v>0.59122763328126904</v>
      </c>
      <c r="O59">
        <f ca="1"/>
        <v>574.66256555524456</v>
      </c>
      <c r="P59">
        <f ca="1"/>
        <v>60.695927539064272</v>
      </c>
      <c r="Q59">
        <f ca="1"/>
        <v>0</v>
      </c>
      <c r="R59">
        <f ca="1"/>
        <v>6.8228614347434267</v>
      </c>
      <c r="S59">
        <f ca="1"/>
        <v>1</v>
      </c>
      <c r="T59">
        <f ca="1"/>
        <v>2.0900000000000176</v>
      </c>
      <c r="U59">
        <f ca="1"/>
        <v>0</v>
      </c>
      <c r="V59">
        <f ca="1"/>
        <v>0.22002623866318699</v>
      </c>
      <c r="X59" s="2">
        <f t="shared" ca="1" si="1"/>
        <v>45469</v>
      </c>
      <c r="Y59">
        <f t="shared" ca="1" si="2"/>
        <v>574.66256555524456</v>
      </c>
      <c r="AA59" s="63">
        <f t="shared" ca="1" si="4"/>
        <v>602.42802668053184</v>
      </c>
      <c r="AB59" s="63">
        <f t="shared" ca="1" si="5"/>
        <v>602.42802668053184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45470</v>
      </c>
      <c r="K60">
        <f ca="1"/>
        <v>590.97553352247417</v>
      </c>
      <c r="L60">
        <f ca="1"/>
        <v>2.6791799711858246</v>
      </c>
      <c r="M60">
        <f ca="1"/>
        <v>2.9011898232269573E-3</v>
      </c>
      <c r="N60">
        <f ca="1"/>
        <v>0.59549143123687776</v>
      </c>
      <c r="O60">
        <f ca="1"/>
        <v>0</v>
      </c>
      <c r="P60">
        <f ca="1"/>
        <v>63.375107510250096</v>
      </c>
      <c r="Q60">
        <f ca="1"/>
        <v>0</v>
      </c>
      <c r="R60">
        <f ca="1"/>
        <v>0</v>
      </c>
      <c r="S60">
        <f ca="1"/>
        <v>0.99942028985507236</v>
      </c>
      <c r="T60">
        <f ca="1"/>
        <v>0</v>
      </c>
      <c r="U60">
        <f ca="1"/>
        <v>0</v>
      </c>
      <c r="V60">
        <f ca="1"/>
        <v>0.24166985518465361</v>
      </c>
      <c r="X60" s="2">
        <f t="shared" ca="1" si="1"/>
        <v>45470</v>
      </c>
      <c r="Y60">
        <f t="shared" ca="1" si="2"/>
        <v>0</v>
      </c>
      <c r="AA60" s="63">
        <f t="shared" ca="1" si="4"/>
        <v>593.65471349365998</v>
      </c>
      <c r="AB60" s="63">
        <f t="shared" ca="1" si="5"/>
        <v>593.65471349365998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45471</v>
      </c>
      <c r="K61">
        <f ca="1"/>
        <v>586.19806193373324</v>
      </c>
      <c r="L61">
        <f ca="1"/>
        <v>2.7521204138310864</v>
      </c>
      <c r="M61">
        <f ca="1"/>
        <v>3.2936174233375581E-3</v>
      </c>
      <c r="N61">
        <f ca="1"/>
        <v>0.58758865987009357</v>
      </c>
      <c r="O61">
        <f ca="1"/>
        <v>0</v>
      </c>
      <c r="P61">
        <f ca="1"/>
        <v>66.127227924081183</v>
      </c>
      <c r="Q61">
        <f ca="1"/>
        <v>0</v>
      </c>
      <c r="R61">
        <f ca="1"/>
        <v>2.6162334522032316</v>
      </c>
      <c r="S61">
        <f ca="1"/>
        <v>1</v>
      </c>
      <c r="T61">
        <f ca="1"/>
        <v>0.8103966000058449</v>
      </c>
      <c r="U61">
        <f ca="1"/>
        <v>0</v>
      </c>
      <c r="V61">
        <f ca="1"/>
        <v>0.26437095689734247</v>
      </c>
      <c r="X61" s="2">
        <f t="shared" ca="1" si="1"/>
        <v>45471</v>
      </c>
      <c r="Y61">
        <f t="shared" ca="1" si="2"/>
        <v>0</v>
      </c>
      <c r="AA61" s="63">
        <f t="shared" ca="1" si="4"/>
        <v>591.56641579976758</v>
      </c>
      <c r="AB61" s="63">
        <f t="shared" ca="1" si="5"/>
        <v>591.56641579976758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45472</v>
      </c>
      <c r="K62">
        <f ca="1"/>
        <v>578.39646604729603</v>
      </c>
      <c r="L62">
        <f ca="1"/>
        <v>2.807595344421415</v>
      </c>
      <c r="M62">
        <f ca="1"/>
        <v>3.6416080490582203E-3</v>
      </c>
      <c r="N62">
        <f ca="1"/>
        <v>0.57675857343444648</v>
      </c>
      <c r="O62">
        <f ca="1"/>
        <v>0</v>
      </c>
      <c r="P62">
        <f ca="1"/>
        <v>68.934823268502598</v>
      </c>
      <c r="Q62">
        <f ca="1"/>
        <v>0</v>
      </c>
      <c r="R62">
        <f ca="1"/>
        <v>5.574400723499302</v>
      </c>
      <c r="S62">
        <f ca="1"/>
        <v>1</v>
      </c>
      <c r="T62">
        <f ca="1"/>
        <v>1.75</v>
      </c>
      <c r="U62">
        <f ca="1"/>
        <v>0</v>
      </c>
      <c r="V62">
        <f ca="1"/>
        <v>0.28788411201356784</v>
      </c>
      <c r="X62" s="2">
        <f t="shared" ca="1" si="1"/>
        <v>45472</v>
      </c>
      <c r="Y62">
        <f t="shared" ca="1" si="2"/>
        <v>0</v>
      </c>
      <c r="AA62" s="63">
        <f t="shared" ca="1" si="4"/>
        <v>586.77846211521671</v>
      </c>
      <c r="AB62" s="63">
        <f t="shared" ca="1" si="5"/>
        <v>586.77846211521671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45473</v>
      </c>
      <c r="K63">
        <f ca="1"/>
        <v>571.81344283965439</v>
      </c>
      <c r="L63">
        <f ca="1"/>
        <v>3.0245533926911889</v>
      </c>
      <c r="M63">
        <f ca="1"/>
        <v>4.0941123316868833E-3</v>
      </c>
      <c r="N63">
        <f ca="1"/>
        <v>0.59427118762176234</v>
      </c>
      <c r="O63">
        <f ca="1"/>
        <v>0</v>
      </c>
      <c r="P63">
        <f ca="1"/>
        <v>71.959376661193787</v>
      </c>
      <c r="Q63">
        <f ca="1"/>
        <v>0</v>
      </c>
      <c r="R63">
        <f ca="1"/>
        <v>4.1568351149039007</v>
      </c>
      <c r="S63">
        <f ca="1"/>
        <v>1</v>
      </c>
      <c r="T63">
        <f ca="1"/>
        <v>1.3199999999999932</v>
      </c>
      <c r="U63">
        <f ca="1"/>
        <v>0</v>
      </c>
      <c r="V63">
        <f ca="1"/>
        <v>0.31346028619954192</v>
      </c>
      <c r="X63" s="2">
        <f t="shared" ca="1" si="1"/>
        <v>45473</v>
      </c>
      <c r="Y63">
        <f t="shared" ca="1" si="2"/>
        <v>0</v>
      </c>
      <c r="AA63" s="63">
        <f t="shared" ca="1" si="4"/>
        <v>578.99483134724949</v>
      </c>
      <c r="AB63" s="63">
        <f t="shared" ca="1" si="5"/>
        <v>578.99483134724949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45474</v>
      </c>
      <c r="K64">
        <f ca="1"/>
        <v>569.43879097367244</v>
      </c>
      <c r="L64">
        <f ca="1"/>
        <v>2.9379206598094072</v>
      </c>
      <c r="M64">
        <f ca="1"/>
        <v>4.2719717966792636E-3</v>
      </c>
      <c r="N64">
        <f ca="1"/>
        <v>0.55899682203078382</v>
      </c>
      <c r="O64">
        <f ca="1"/>
        <v>0</v>
      </c>
      <c r="P64">
        <f ca="1"/>
        <v>74.897297321003194</v>
      </c>
      <c r="Q64">
        <f ca="1"/>
        <v>0</v>
      </c>
      <c r="R64">
        <f ca="1"/>
        <v>0</v>
      </c>
      <c r="S64">
        <f ca="1"/>
        <v>0.99739130434782597</v>
      </c>
      <c r="T64">
        <f ca="1"/>
        <v>0</v>
      </c>
      <c r="U64">
        <f ca="1"/>
        <v>0</v>
      </c>
      <c r="V64">
        <f ca="1"/>
        <v>0.33839821416725246</v>
      </c>
      <c r="X64" s="2">
        <f t="shared" ca="1" si="1"/>
        <v>45474</v>
      </c>
      <c r="Y64">
        <f t="shared" ca="1" si="2"/>
        <v>0</v>
      </c>
      <c r="AA64" s="63">
        <f t="shared" ca="1" si="4"/>
        <v>572.37671163348182</v>
      </c>
      <c r="AB64" s="63">
        <f t="shared" ca="1" si="5"/>
        <v>572.37671163348182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45475</v>
      </c>
      <c r="K65">
        <f ca="1"/>
        <v>559.05569557968113</v>
      </c>
      <c r="L65">
        <f ca="1"/>
        <v>3.2810941845886674</v>
      </c>
      <c r="M65">
        <f ca="1"/>
        <v>4.792007889451444E-3</v>
      </c>
      <c r="N65">
        <f ca="1"/>
        <v>0.59488110778745396</v>
      </c>
      <c r="O65">
        <f ca="1"/>
        <v>0</v>
      </c>
      <c r="P65">
        <f ca="1"/>
        <v>78.178391505591861</v>
      </c>
      <c r="Q65">
        <f ca="1"/>
        <v>0</v>
      </c>
      <c r="R65">
        <f ca="1"/>
        <v>7.7016743250795692</v>
      </c>
      <c r="S65">
        <f ca="1"/>
        <v>1</v>
      </c>
      <c r="T65">
        <f ca="1"/>
        <v>2.5014715492206676</v>
      </c>
      <c r="U65">
        <f ca="1"/>
        <v>0</v>
      </c>
      <c r="V65">
        <f ca="1"/>
        <v>0.36618666525129728</v>
      </c>
      <c r="X65" s="2">
        <f t="shared" ca="1" si="1"/>
        <v>45475</v>
      </c>
      <c r="Y65">
        <f t="shared" ca="1" si="2"/>
        <v>0</v>
      </c>
      <c r="AA65" s="63">
        <f t="shared" ca="1" si="4"/>
        <v>570.03846408934942</v>
      </c>
      <c r="AB65" s="63">
        <f t="shared" ca="1" si="5"/>
        <v>570.03846408934942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45476</v>
      </c>
      <c r="K66">
        <f ca="1"/>
        <v>556.31282819947103</v>
      </c>
      <c r="L66">
        <f ca="1"/>
        <v>3.3288588342627605</v>
      </c>
      <c r="M66">
        <f ca="1"/>
        <v>5.0366400998904659E-3</v>
      </c>
      <c r="N66">
        <f ca="1"/>
        <v>0.58095481395279547</v>
      </c>
      <c r="O66">
        <f ca="1"/>
        <v>0</v>
      </c>
      <c r="P66">
        <f ca="1"/>
        <v>81.507250339854622</v>
      </c>
      <c r="Q66">
        <f ca="1"/>
        <v>0</v>
      </c>
      <c r="R66">
        <f ca="1"/>
        <v>0</v>
      </c>
      <c r="S66">
        <f ca="1"/>
        <v>0.99797101449275361</v>
      </c>
      <c r="T66">
        <f ca="1"/>
        <v>0</v>
      </c>
      <c r="U66">
        <f ca="1"/>
        <v>0</v>
      </c>
      <c r="V66">
        <f ca="1"/>
        <v>0.39413698182194101</v>
      </c>
      <c r="X66" s="2">
        <f t="shared" ca="1" si="1"/>
        <v>45476</v>
      </c>
      <c r="Y66">
        <f t="shared" ca="1" si="2"/>
        <v>0</v>
      </c>
      <c r="AA66" s="63">
        <f t="shared" ca="1" si="4"/>
        <v>559.64168703373377</v>
      </c>
      <c r="AB66" s="63">
        <f t="shared" ca="1" si="5"/>
        <v>559.64168703373377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45477</v>
      </c>
      <c r="K67">
        <f ca="1"/>
        <v>553.15395057676767</v>
      </c>
      <c r="L67">
        <f ca="1"/>
        <v>3.7948444198998601</v>
      </c>
      <c r="M67">
        <f ca="1"/>
        <v>5.6512133684742949E-3</v>
      </c>
      <c r="N67">
        <f ca="1"/>
        <v>0.63031558382804642</v>
      </c>
      <c r="O67">
        <f ca="1"/>
        <v>0</v>
      </c>
      <c r="P67">
        <f ca="1"/>
        <v>85.302094759754482</v>
      </c>
      <c r="Q67">
        <f ca="1"/>
        <v>0</v>
      </c>
      <c r="R67">
        <f ca="1"/>
        <v>0</v>
      </c>
      <c r="S67">
        <f ca="1"/>
        <v>0.98537870573070152</v>
      </c>
      <c r="T67">
        <f ca="1"/>
        <v>0</v>
      </c>
      <c r="U67">
        <f ca="1"/>
        <v>0</v>
      </c>
      <c r="V67">
        <f ca="1"/>
        <v>0.4254934913790136</v>
      </c>
      <c r="X67" s="2">
        <f t="shared" ca="1" si="1"/>
        <v>45477</v>
      </c>
      <c r="Y67">
        <f t="shared" ca="1" si="2"/>
        <v>0</v>
      </c>
      <c r="AA67" s="63">
        <f t="shared" ca="1" si="4"/>
        <v>556.94879499666752</v>
      </c>
      <c r="AB67" s="63">
        <f t="shared" ca="1" si="5"/>
        <v>556.94879499666752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45478</v>
      </c>
      <c r="K68">
        <f ca="1"/>
        <v>548.93726494823215</v>
      </c>
      <c r="L68">
        <f ca="1"/>
        <v>3.844041153418118</v>
      </c>
      <c r="M68">
        <f ca="1"/>
        <v>5.8518941274634528E-3</v>
      </c>
      <c r="N68">
        <f ca="1"/>
        <v>0.61274453905525339</v>
      </c>
      <c r="O68">
        <f ca="1"/>
        <v>0</v>
      </c>
      <c r="P68">
        <f ca="1"/>
        <v>89.1461359131726</v>
      </c>
      <c r="Q68">
        <f ca="1"/>
        <v>0</v>
      </c>
      <c r="R68">
        <f ca="1"/>
        <v>0.99124090830005673</v>
      </c>
      <c r="S68">
        <f ca="1"/>
        <v>1</v>
      </c>
      <c r="T68">
        <f ca="1"/>
        <v>0.32788533810801823</v>
      </c>
      <c r="U68">
        <f ca="1"/>
        <v>0</v>
      </c>
      <c r="V68">
        <f ca="1"/>
        <v>0.45650239219607991</v>
      </c>
      <c r="X68" s="2">
        <f t="shared" ca="1" si="1"/>
        <v>45478</v>
      </c>
      <c r="Y68">
        <f t="shared" ca="1" si="2"/>
        <v>0</v>
      </c>
      <c r="AA68" s="63">
        <f t="shared" ca="1" si="4"/>
        <v>553.77254700995036</v>
      </c>
      <c r="AB68" s="63">
        <f t="shared" ca="1" si="5"/>
        <v>553.77254700995024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45479</v>
      </c>
      <c r="K69">
        <f ca="1"/>
        <v>534.27418971999191</v>
      </c>
      <c r="L69">
        <f ca="1"/>
        <v>4.253026719387023</v>
      </c>
      <c r="M69">
        <f ca="1"/>
        <v>6.3810879671892806E-3</v>
      </c>
      <c r="N69">
        <f ca="1"/>
        <v>0.64691768248284565</v>
      </c>
      <c r="O69">
        <f ca="1"/>
        <v>0</v>
      </c>
      <c r="P69">
        <f ca="1"/>
        <v>93.399162632559623</v>
      </c>
      <c r="Q69">
        <f ca="1"/>
        <v>0</v>
      </c>
      <c r="R69">
        <f ca="1"/>
        <v>11.063347279303226</v>
      </c>
      <c r="S69">
        <f ca="1"/>
        <v>1</v>
      </c>
      <c r="T69">
        <f ca="1"/>
        <v>3.7599999999999909</v>
      </c>
      <c r="U69">
        <f ca="1"/>
        <v>0</v>
      </c>
      <c r="V69">
        <f ca="1"/>
        <v>0.48971383402625723</v>
      </c>
      <c r="X69" s="2">
        <f t="shared" ca="1" si="1"/>
        <v>45479</v>
      </c>
      <c r="Y69">
        <f t="shared" ca="1" si="2"/>
        <v>0</v>
      </c>
      <c r="AA69" s="63">
        <f t="shared" ca="1" si="4"/>
        <v>549.59056371868212</v>
      </c>
      <c r="AB69" s="63">
        <f t="shared" ca="1" si="5"/>
        <v>549.59056371868212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45480</v>
      </c>
      <c r="K70">
        <f ca="1"/>
        <v>523.18958355444772</v>
      </c>
      <c r="L70">
        <f ca="1"/>
        <v>3.9167388197434718</v>
      </c>
      <c r="M70">
        <f ca="1"/>
        <v>6.1623751033486052E-3</v>
      </c>
      <c r="N70">
        <f ca="1"/>
        <v>0.57675857343444648</v>
      </c>
      <c r="O70">
        <f ca="1"/>
        <v>0</v>
      </c>
      <c r="P70">
        <f ca="1"/>
        <v>97.315901452303095</v>
      </c>
      <c r="Q70">
        <f ca="1"/>
        <v>0</v>
      </c>
      <c r="R70">
        <f ca="1"/>
        <v>7.7507882943384923</v>
      </c>
      <c r="S70">
        <f ca="1"/>
        <v>1</v>
      </c>
      <c r="T70">
        <f ca="1"/>
        <v>2.6899999999999977</v>
      </c>
      <c r="U70">
        <f ca="1"/>
        <v>0</v>
      </c>
      <c r="V70">
        <f ca="1"/>
        <v>0.51912556291730094</v>
      </c>
      <c r="X70" s="2">
        <f t="shared" ca="1" si="1"/>
        <v>45480</v>
      </c>
      <c r="Y70">
        <f t="shared" ca="1" si="2"/>
        <v>0</v>
      </c>
      <c r="AA70" s="63">
        <f t="shared" ca="1" si="4"/>
        <v>534.85711066852969</v>
      </c>
      <c r="AB70" s="63">
        <f t="shared" ca="1" si="5"/>
        <v>534.85711066852969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45481</v>
      </c>
      <c r="K71">
        <f ca="1"/>
        <v>510.60548055443235</v>
      </c>
      <c r="L71">
        <f ca="1"/>
        <v>3.8936630614899457</v>
      </c>
      <c r="M71">
        <f ca="1"/>
        <v>6.2352748491085741E-3</v>
      </c>
      <c r="N71">
        <f ca="1"/>
        <v>0.55490408791756807</v>
      </c>
      <c r="O71">
        <f ca="1"/>
        <v>0</v>
      </c>
      <c r="P71">
        <f ca="1"/>
        <v>101.20956451379304</v>
      </c>
      <c r="Q71">
        <f ca="1"/>
        <v>0</v>
      </c>
      <c r="R71">
        <f ca="1"/>
        <v>9.2515793012920664</v>
      </c>
      <c r="S71">
        <f ca="1"/>
        <v>1</v>
      </c>
      <c r="T71">
        <f ca="1"/>
        <v>3.2900000000000063</v>
      </c>
      <c r="U71">
        <f ca="1"/>
        <v>0</v>
      </c>
      <c r="V71">
        <f ca="1"/>
        <v>0.54714074716020367</v>
      </c>
      <c r="X71" s="2">
        <f t="shared" ca="1" si="1"/>
        <v>45481</v>
      </c>
      <c r="Y71">
        <f t="shared" ca="1" si="2"/>
        <v>0</v>
      </c>
      <c r="AA71" s="63">
        <f t="shared" ca="1" si="4"/>
        <v>523.75072291721438</v>
      </c>
      <c r="AB71" s="63">
        <f t="shared" ca="1" si="5"/>
        <v>523.75072291721438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45482</v>
      </c>
      <c r="K72">
        <f ca="1"/>
        <v>503.73215341183516</v>
      </c>
      <c r="L72">
        <f ca="1"/>
        <v>4.0826414723986488</v>
      </c>
      <c r="M72">
        <f ca="1"/>
        <v>6.4855014567593017E-3</v>
      </c>
      <c r="N72">
        <f ca="1"/>
        <v>0.55958309122524053</v>
      </c>
      <c r="O72">
        <f ca="1"/>
        <v>0</v>
      </c>
      <c r="P72">
        <f ca="1"/>
        <v>105.29220598619169</v>
      </c>
      <c r="Q72">
        <f ca="1"/>
        <v>0</v>
      </c>
      <c r="R72">
        <f ca="1"/>
        <v>3.3567542628805889</v>
      </c>
      <c r="S72">
        <f ca="1"/>
        <v>1</v>
      </c>
      <c r="T72">
        <f ca="1"/>
        <v>1.2099999999999937</v>
      </c>
      <c r="U72">
        <f ca="1"/>
        <v>0</v>
      </c>
      <c r="V72">
        <f ca="1"/>
        <v>0.57513017510721143</v>
      </c>
      <c r="X72" s="2">
        <f t="shared" ca="1" si="1"/>
        <v>45482</v>
      </c>
      <c r="Y72">
        <f t="shared" ca="1" si="2"/>
        <v>0</v>
      </c>
      <c r="AA72" s="63">
        <f t="shared" ca="1" si="4"/>
        <v>511.17154914711438</v>
      </c>
      <c r="AB72" s="63">
        <f t="shared" ca="1" si="5"/>
        <v>511.17154914711443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45483</v>
      </c>
      <c r="K73">
        <f ca="1"/>
        <v>490.38039225433096</v>
      </c>
      <c r="L73">
        <f ca="1"/>
        <v>4.1293707114307097</v>
      </c>
      <c r="M73">
        <f ca="1"/>
        <v>6.591777355725803E-3</v>
      </c>
      <c r="N73">
        <f ca="1"/>
        <v>0.54735498794846438</v>
      </c>
      <c r="O73">
        <f ca="1"/>
        <v>0</v>
      </c>
      <c r="P73">
        <f ca="1"/>
        <v>109.4215766976224</v>
      </c>
      <c r="Q73">
        <f ca="1"/>
        <v>0</v>
      </c>
      <c r="R73">
        <f ca="1"/>
        <v>9.7763372113776601</v>
      </c>
      <c r="S73">
        <f ca="1"/>
        <v>1</v>
      </c>
      <c r="T73">
        <f ca="1"/>
        <v>3.6200000000000045</v>
      </c>
      <c r="U73">
        <f ca="1"/>
        <v>0</v>
      </c>
      <c r="V73">
        <f ca="1"/>
        <v>0.60195198580097942</v>
      </c>
      <c r="X73" s="2">
        <f t="shared" ca="1" si="1"/>
        <v>45483</v>
      </c>
      <c r="Y73">
        <f t="shared" ca="1" si="2"/>
        <v>0</v>
      </c>
      <c r="AA73" s="63">
        <f t="shared" ca="1" si="4"/>
        <v>504.2861001771393</v>
      </c>
      <c r="AB73" s="63">
        <f t="shared" ca="1" si="5"/>
        <v>504.2861001771393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45484</v>
      </c>
      <c r="K74">
        <f ca="1"/>
        <v>484.83108426897104</v>
      </c>
      <c r="L74">
        <f ca="1"/>
        <v>4.4680398954762381</v>
      </c>
      <c r="M74">
        <f ca="1"/>
        <v>6.9432515537881656E-3</v>
      </c>
      <c r="N74">
        <f ca="1"/>
        <v>0.56724088253026428</v>
      </c>
      <c r="O74">
        <f ca="1"/>
        <v>0</v>
      </c>
      <c r="P74">
        <f ca="1"/>
        <v>113.88961659309864</v>
      </c>
      <c r="Q74">
        <f ca="1"/>
        <v>0</v>
      </c>
      <c r="R74">
        <f ca="1"/>
        <v>1.6554522239676872</v>
      </c>
      <c r="S74">
        <f ca="1"/>
        <v>1</v>
      </c>
      <c r="T74">
        <f ca="1"/>
        <v>0.62000000000000455</v>
      </c>
      <c r="U74">
        <f ca="1"/>
        <v>0</v>
      </c>
      <c r="V74">
        <f ca="1"/>
        <v>0.62927027520819967</v>
      </c>
      <c r="X74" s="2">
        <f t="shared" ca="1" si="1"/>
        <v>45484</v>
      </c>
      <c r="Y74">
        <f t="shared" ca="1" si="2"/>
        <v>0</v>
      </c>
      <c r="AA74" s="63">
        <f t="shared" ca="1" si="4"/>
        <v>490.95457638841498</v>
      </c>
      <c r="AB74" s="63">
        <f t="shared" ca="1" si="5"/>
        <v>490.95457638841498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45485</v>
      </c>
      <c r="K75">
        <f ca="1"/>
        <v>470.03397591490301</v>
      </c>
      <c r="L75">
        <f ca="1"/>
        <v>4.4828389615020114</v>
      </c>
      <c r="M75">
        <f ca="1"/>
        <v>6.9899869190761521E-3</v>
      </c>
      <c r="N75">
        <f ca="1"/>
        <v>0.55083084602490195</v>
      </c>
      <c r="O75">
        <f ca="1"/>
        <v>0</v>
      </c>
      <c r="P75">
        <f ca="1"/>
        <v>118.37245555460065</v>
      </c>
      <c r="Q75">
        <f ca="1"/>
        <v>0</v>
      </c>
      <c r="R75">
        <f ca="1"/>
        <v>10.87209022550994</v>
      </c>
      <c r="S75">
        <f ca="1"/>
        <v>1</v>
      </c>
      <c r="T75">
        <f ca="1"/>
        <v>4.2000000000000028</v>
      </c>
      <c r="U75">
        <f ca="1"/>
        <v>0</v>
      </c>
      <c r="V75">
        <f ca="1"/>
        <v>0.65491323034539928</v>
      </c>
      <c r="X75" s="2">
        <f t="shared" ref="X75:X138" ca="1" si="8">IFERROR(J75,$X$9)</f>
        <v>45485</v>
      </c>
      <c r="Y75">
        <f t="shared" ref="Y75:Y138" ca="1" si="9">IFERROR(O75,0)</f>
        <v>0</v>
      </c>
      <c r="AA75" s="63">
        <f t="shared" ca="1" si="4"/>
        <v>485.38890510191499</v>
      </c>
      <c r="AB75" s="63">
        <f t="shared" ca="1" si="5"/>
        <v>485.38890510191499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45486</v>
      </c>
      <c r="K76">
        <f ca="1"/>
        <v>457.54015011874441</v>
      </c>
      <c r="L76">
        <f ca="1"/>
        <v>4.5502389071821625</v>
      </c>
      <c r="M76">
        <f ca="1"/>
        <v>7.0733978041261913E-3</v>
      </c>
      <c r="N76">
        <f ca="1"/>
        <v>0.54101965875664937</v>
      </c>
      <c r="O76">
        <f ca="1"/>
        <v>0</v>
      </c>
      <c r="P76">
        <f ca="1"/>
        <v>122.92269446178281</v>
      </c>
      <c r="Q76">
        <f ca="1"/>
        <v>0</v>
      </c>
      <c r="R76">
        <f ca="1"/>
        <v>8.4916799455371716</v>
      </c>
      <c r="S76">
        <f ca="1"/>
        <v>1</v>
      </c>
      <c r="T76">
        <f ca="1"/>
        <v>3.3700000000000045</v>
      </c>
      <c r="U76">
        <f ca="1"/>
        <v>0</v>
      </c>
      <c r="V76">
        <f ca="1"/>
        <v>0.67917448064711861</v>
      </c>
      <c r="X76" s="2">
        <f t="shared" ca="1" si="8"/>
        <v>45486</v>
      </c>
      <c r="Y76">
        <f t="shared" ca="1" si="9"/>
        <v>0</v>
      </c>
      <c r="AA76" s="63">
        <f t="shared" ca="1" si="4"/>
        <v>470.58206897146374</v>
      </c>
      <c r="AB76" s="63">
        <f t="shared" ca="1" si="5"/>
        <v>470.58206897146374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45487</v>
      </c>
      <c r="K77">
        <f ca="1"/>
        <v>450.15623476242877</v>
      </c>
      <c r="L77">
        <f ca="1"/>
        <v>5.2861066533261862</v>
      </c>
      <c r="M77">
        <f ca="1"/>
        <v>7.7202179630404544E-3</v>
      </c>
      <c r="N77">
        <f ca="1"/>
        <v>0.59671328830249049</v>
      </c>
      <c r="O77">
        <f ca="1"/>
        <v>0</v>
      </c>
      <c r="P77">
        <f ca="1"/>
        <v>128.208801115109</v>
      </c>
      <c r="Q77">
        <f ca="1"/>
        <v>0</v>
      </c>
      <c r="R77">
        <f ca="1"/>
        <v>2.7022422092550165</v>
      </c>
      <c r="S77">
        <f ca="1"/>
        <v>1</v>
      </c>
      <c r="T77">
        <f ca="1"/>
        <v>1.0899999999999892</v>
      </c>
      <c r="U77">
        <f ca="1"/>
        <v>0</v>
      </c>
      <c r="V77">
        <f ca="1"/>
        <v>0.70520820945610196</v>
      </c>
      <c r="X77" s="2">
        <f t="shared" ca="1" si="8"/>
        <v>45487</v>
      </c>
      <c r="Y77">
        <f t="shared" ca="1" si="9"/>
        <v>0</v>
      </c>
      <c r="AA77" s="63">
        <f t="shared" ref="AA77:AA140" ca="1" si="11">K76+M77+N77+O77</f>
        <v>458.14458362500994</v>
      </c>
      <c r="AB77" s="63">
        <f t="shared" ref="AB77:AB140" ca="1" si="12">K77+L77+R77</f>
        <v>458.14458362501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45488</v>
      </c>
      <c r="K78">
        <f ca="1"/>
        <v>432.67932581599342</v>
      </c>
      <c r="L78">
        <f ca="1"/>
        <v>5.4999455163614925</v>
      </c>
      <c r="M78">
        <f ca="1"/>
        <v>7.8855905686974204E-3</v>
      </c>
      <c r="N78">
        <f ca="1"/>
        <v>0.59671328830249049</v>
      </c>
      <c r="O78">
        <f ca="1"/>
        <v>0</v>
      </c>
      <c r="P78">
        <f ca="1"/>
        <v>133.70874663147049</v>
      </c>
      <c r="Q78">
        <f ca="1"/>
        <v>0</v>
      </c>
      <c r="R78">
        <f ca="1"/>
        <v>12.581562308945061</v>
      </c>
      <c r="S78">
        <f ca="1"/>
        <v>1</v>
      </c>
      <c r="T78">
        <f ca="1"/>
        <v>5.2800000000000011</v>
      </c>
      <c r="U78">
        <f ca="1"/>
        <v>0</v>
      </c>
      <c r="V78">
        <f ca="1"/>
        <v>0.72996931909213636</v>
      </c>
      <c r="X78" s="2">
        <f t="shared" ca="1" si="8"/>
        <v>45488</v>
      </c>
      <c r="Y78">
        <f t="shared" ca="1" si="9"/>
        <v>0</v>
      </c>
      <c r="AA78" s="63">
        <f t="shared" ca="1" si="11"/>
        <v>450.7608336413</v>
      </c>
      <c r="AB78" s="63">
        <f t="shared" ca="1" si="12"/>
        <v>450.7608336413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45489</v>
      </c>
      <c r="K79">
        <f ca="1"/>
        <v>418.68815970015817</v>
      </c>
      <c r="L79">
        <f ca="1"/>
        <v>6.2027515666854924</v>
      </c>
      <c r="M79">
        <f ca="1"/>
        <v>8.4617386349901125E-3</v>
      </c>
      <c r="N79">
        <f ca="1"/>
        <v>0.64242070512796057</v>
      </c>
      <c r="O79">
        <f ca="1"/>
        <v>0</v>
      </c>
      <c r="P79">
        <f ca="1"/>
        <v>139.91149819815598</v>
      </c>
      <c r="Q79">
        <f ca="1"/>
        <v>0</v>
      </c>
      <c r="R79">
        <f ca="1"/>
        <v>8.4392969929127446</v>
      </c>
      <c r="S79">
        <f ca="1"/>
        <v>1</v>
      </c>
      <c r="T79">
        <f ca="1"/>
        <v>3.6599999999999966</v>
      </c>
      <c r="U79">
        <f ca="1"/>
        <v>0</v>
      </c>
      <c r="V79">
        <f ca="1"/>
        <v>0.75524454171206945</v>
      </c>
      <c r="X79" s="2">
        <f t="shared" ca="1" si="8"/>
        <v>45489</v>
      </c>
      <c r="Y79">
        <f t="shared" ca="1" si="9"/>
        <v>0</v>
      </c>
      <c r="AA79" s="63">
        <f t="shared" ca="1" si="11"/>
        <v>433.33020825975638</v>
      </c>
      <c r="AB79" s="63">
        <f t="shared" ca="1" si="12"/>
        <v>433.33020825975643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45490</v>
      </c>
      <c r="K80">
        <f ca="1"/>
        <v>413.14788351843936</v>
      </c>
      <c r="L80">
        <f ca="1"/>
        <v>5.9625403427906178</v>
      </c>
      <c r="M80">
        <f ca="1"/>
        <v>8.1865777903398218E-3</v>
      </c>
      <c r="N80">
        <f ca="1"/>
        <v>0.59610215804894884</v>
      </c>
      <c r="O80">
        <f ca="1"/>
        <v>0</v>
      </c>
      <c r="P80">
        <f ca="1"/>
        <v>145.8740385409466</v>
      </c>
      <c r="Q80">
        <f ca="1"/>
        <v>0</v>
      </c>
      <c r="R80">
        <f ca="1"/>
        <v>0.18202457476754041</v>
      </c>
      <c r="S80">
        <f ca="1"/>
        <v>1</v>
      </c>
      <c r="T80">
        <f ca="1"/>
        <v>7.9999999999998295E-2</v>
      </c>
      <c r="U80">
        <f ca="1"/>
        <v>0</v>
      </c>
      <c r="V80">
        <f ca="1"/>
        <v>0.77710716695513926</v>
      </c>
      <c r="X80" s="2">
        <f t="shared" ca="1" si="8"/>
        <v>45490</v>
      </c>
      <c r="Y80">
        <f t="shared" ca="1" si="9"/>
        <v>0</v>
      </c>
      <c r="AA80" s="63">
        <f t="shared" ca="1" si="11"/>
        <v>419.29244843599747</v>
      </c>
      <c r="AB80" s="63">
        <f t="shared" ca="1" si="12"/>
        <v>419.29244843599747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45491</v>
      </c>
      <c r="K81">
        <f ca="1"/>
        <v>407.0356812803517</v>
      </c>
      <c r="L81">
        <f ca="1"/>
        <v>6.2993868989022417</v>
      </c>
      <c r="M81">
        <f ca="1"/>
        <v>8.4026287145815282E-3</v>
      </c>
      <c r="N81">
        <f ca="1"/>
        <v>0.60469473048323752</v>
      </c>
      <c r="O81">
        <f ca="1"/>
        <v>0</v>
      </c>
      <c r="P81">
        <f ca="1"/>
        <v>152.17342543984884</v>
      </c>
      <c r="Q81">
        <f ca="1"/>
        <v>0</v>
      </c>
      <c r="R81">
        <f ca="1"/>
        <v>0.42591269838320356</v>
      </c>
      <c r="S81">
        <f ca="1"/>
        <v>1</v>
      </c>
      <c r="T81">
        <f ca="1"/>
        <v>0.18999999999999773</v>
      </c>
      <c r="U81">
        <f ca="1"/>
        <v>0</v>
      </c>
      <c r="V81">
        <f ca="1"/>
        <v>0.79785215143830657</v>
      </c>
      <c r="X81" s="2">
        <f t="shared" ca="1" si="8"/>
        <v>45491</v>
      </c>
      <c r="Y81">
        <f t="shared" ca="1" si="9"/>
        <v>0</v>
      </c>
      <c r="AA81" s="63">
        <f t="shared" ca="1" si="11"/>
        <v>413.76098087763717</v>
      </c>
      <c r="AB81" s="63">
        <f t="shared" ca="1" si="12"/>
        <v>413.76098087763717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45492</v>
      </c>
      <c r="K82">
        <f ca="1"/>
        <v>396.81602237747614</v>
      </c>
      <c r="L82">
        <f ca="1"/>
        <v>6.931511933172203</v>
      </c>
      <c r="M82">
        <f ca="1"/>
        <v>8.8391887358683086E-3</v>
      </c>
      <c r="N82">
        <f ca="1"/>
        <v>0.6366683242592589</v>
      </c>
      <c r="O82">
        <f ca="1"/>
        <v>0</v>
      </c>
      <c r="P82">
        <f ca="1"/>
        <v>159.10493737302104</v>
      </c>
      <c r="Q82">
        <f ca="1"/>
        <v>0</v>
      </c>
      <c r="R82">
        <f ca="1"/>
        <v>3.933654482698453</v>
      </c>
      <c r="S82">
        <f ca="1"/>
        <v>1</v>
      </c>
      <c r="T82">
        <f ca="1"/>
        <v>1.7999999999999972</v>
      </c>
      <c r="U82">
        <f ca="1"/>
        <v>0</v>
      </c>
      <c r="V82">
        <f ca="1"/>
        <v>0.81816990221866004</v>
      </c>
      <c r="X82" s="2">
        <f t="shared" ca="1" si="8"/>
        <v>45492</v>
      </c>
      <c r="Y82">
        <f t="shared" ca="1" si="9"/>
        <v>0</v>
      </c>
      <c r="AA82" s="63">
        <f t="shared" ca="1" si="11"/>
        <v>407.68118879334679</v>
      </c>
      <c r="AB82" s="63">
        <f t="shared" ca="1" si="12"/>
        <v>407.68118879334679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45493</v>
      </c>
      <c r="K83">
        <f ca="1"/>
        <v>384.60202710670757</v>
      </c>
      <c r="L83">
        <f ca="1"/>
        <v>7.4799421704480835</v>
      </c>
      <c r="M83">
        <f ca="1"/>
        <v>9.1745980829163187E-3</v>
      </c>
      <c r="N83">
        <f ca="1"/>
        <v>0.65792250835594379</v>
      </c>
      <c r="O83">
        <f ca="1"/>
        <v>0</v>
      </c>
      <c r="P83">
        <f ca="1"/>
        <v>166.58487954346913</v>
      </c>
      <c r="Q83">
        <f ca="1"/>
        <v>0</v>
      </c>
      <c r="R83">
        <f ca="1"/>
        <v>5.4011502067594082</v>
      </c>
      <c r="S83">
        <f ca="1"/>
        <v>1</v>
      </c>
      <c r="T83">
        <f ca="1"/>
        <v>2.5499999999999972</v>
      </c>
      <c r="U83">
        <f ca="1"/>
        <v>0</v>
      </c>
      <c r="V83">
        <f ca="1"/>
        <v>0.83748372975819019</v>
      </c>
      <c r="X83" s="2">
        <f t="shared" ca="1" si="8"/>
        <v>45493</v>
      </c>
      <c r="Y83">
        <f t="shared" ca="1" si="9"/>
        <v>0</v>
      </c>
      <c r="AA83" s="63">
        <f t="shared" ca="1" si="11"/>
        <v>397.483119483915</v>
      </c>
      <c r="AB83" s="63">
        <f t="shared" ca="1" si="12"/>
        <v>397.483119483915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45494</v>
      </c>
      <c r="K84">
        <f ca="1"/>
        <v>369.98103020894109</v>
      </c>
      <c r="L84">
        <f ca="1"/>
        <v>7.9661694481355028</v>
      </c>
      <c r="M84">
        <f ca="1"/>
        <v>9.4272620438613508E-3</v>
      </c>
      <c r="N84">
        <f ca="1"/>
        <v>0.67102136551119118</v>
      </c>
      <c r="O84">
        <f ca="1"/>
        <v>0</v>
      </c>
      <c r="P84">
        <f ca="1"/>
        <v>174.55104899160463</v>
      </c>
      <c r="Q84">
        <f ca="1"/>
        <v>0</v>
      </c>
      <c r="R84">
        <f ca="1"/>
        <v>7.3352760771859797</v>
      </c>
      <c r="S84">
        <f ca="1"/>
        <v>1</v>
      </c>
      <c r="T84">
        <f ca="1"/>
        <v>3.6000000000000085</v>
      </c>
      <c r="U84">
        <f ca="1"/>
        <v>0</v>
      </c>
      <c r="V84">
        <f ca="1"/>
        <v>0.8554509143064164</v>
      </c>
      <c r="X84" s="2">
        <f t="shared" ca="1" si="8"/>
        <v>45494</v>
      </c>
      <c r="Y84">
        <f t="shared" ca="1" si="9"/>
        <v>0</v>
      </c>
      <c r="AA84" s="63">
        <f t="shared" ca="1" si="11"/>
        <v>385.28247573426262</v>
      </c>
      <c r="AB84" s="63">
        <f t="shared" ca="1" si="12"/>
        <v>385.28247573426256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45495</v>
      </c>
      <c r="K85">
        <f ca="1"/>
        <v>354.24965947961869</v>
      </c>
      <c r="L85">
        <f ca="1"/>
        <v>7.8081121496213086</v>
      </c>
      <c r="M85">
        <f ca="1"/>
        <v>9.1515725240083334E-3</v>
      </c>
      <c r="N85">
        <f ca="1"/>
        <v>0.63221712232418492</v>
      </c>
      <c r="O85">
        <f ca="1"/>
        <v>0</v>
      </c>
      <c r="P85">
        <f ca="1"/>
        <v>182.35916114122594</v>
      </c>
      <c r="Q85">
        <f ca="1"/>
        <v>0</v>
      </c>
      <c r="R85">
        <f ca="1"/>
        <v>8.5646272745492471</v>
      </c>
      <c r="S85">
        <f ca="1"/>
        <v>1</v>
      </c>
      <c r="T85">
        <f ca="1"/>
        <v>4.3899999999999864</v>
      </c>
      <c r="U85">
        <f ca="1"/>
        <v>0</v>
      </c>
      <c r="V85">
        <f ca="1"/>
        <v>0.87080746739530179</v>
      </c>
      <c r="X85" s="2">
        <f t="shared" ca="1" si="8"/>
        <v>45495</v>
      </c>
      <c r="Y85">
        <f t="shared" ca="1" si="9"/>
        <v>0</v>
      </c>
      <c r="AA85" s="63">
        <f t="shared" ca="1" si="11"/>
        <v>370.62239890378925</v>
      </c>
      <c r="AB85" s="63">
        <f t="shared" ca="1" si="12"/>
        <v>370.62239890378925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45496</v>
      </c>
      <c r="K86">
        <f ca="1"/>
        <v>344.70020743775757</v>
      </c>
      <c r="L86">
        <f ca="1"/>
        <v>8.100813253279739</v>
      </c>
      <c r="M86">
        <f ca="1"/>
        <v>9.2294929381848689E-3</v>
      </c>
      <c r="N86">
        <f ca="1"/>
        <v>0.63031558382804642</v>
      </c>
      <c r="O86">
        <f ca="1"/>
        <v>0</v>
      </c>
      <c r="P86">
        <f ca="1"/>
        <v>190.45997439450568</v>
      </c>
      <c r="Q86">
        <f ca="1"/>
        <v>0</v>
      </c>
      <c r="R86">
        <f ca="1"/>
        <v>2.0881838653475913</v>
      </c>
      <c r="S86">
        <f ca="1"/>
        <v>1</v>
      </c>
      <c r="T86">
        <f ca="1"/>
        <v>1.1000000000000085</v>
      </c>
      <c r="U86">
        <f ca="1"/>
        <v>0</v>
      </c>
      <c r="V86">
        <f ca="1"/>
        <v>0.88471015526258279</v>
      </c>
      <c r="X86" s="2">
        <f t="shared" ca="1" si="8"/>
        <v>45496</v>
      </c>
      <c r="Y86">
        <f t="shared" ca="1" si="9"/>
        <v>0</v>
      </c>
      <c r="AA86" s="63">
        <f t="shared" ca="1" si="11"/>
        <v>354.88920455638493</v>
      </c>
      <c r="AB86" s="63">
        <f t="shared" ca="1" si="12"/>
        <v>354.88920455638493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45497</v>
      </c>
      <c r="K87">
        <f ca="1"/>
        <v>337.31149842420689</v>
      </c>
      <c r="L87">
        <f ca="1"/>
        <v>7.9987295762447275</v>
      </c>
      <c r="M87">
        <f ca="1"/>
        <v>9.0180596519906508E-3</v>
      </c>
      <c r="N87">
        <f ca="1"/>
        <v>0.60100250304207381</v>
      </c>
      <c r="O87">
        <f ca="1"/>
        <v>0</v>
      </c>
      <c r="P87">
        <f ca="1"/>
        <v>198.45870397075041</v>
      </c>
      <c r="Q87">
        <f ca="1"/>
        <v>0</v>
      </c>
      <c r="R87">
        <f ca="1"/>
        <v>0</v>
      </c>
      <c r="S87">
        <f ca="1"/>
        <v>0.99855072463768124</v>
      </c>
      <c r="T87">
        <f ca="1"/>
        <v>0</v>
      </c>
      <c r="U87">
        <f ca="1"/>
        <v>0</v>
      </c>
      <c r="V87">
        <f ca="1"/>
        <v>0.89669404362083327</v>
      </c>
      <c r="X87" s="2">
        <f t="shared" ca="1" si="8"/>
        <v>45497</v>
      </c>
      <c r="Y87">
        <f t="shared" ca="1" si="9"/>
        <v>0</v>
      </c>
      <c r="AA87" s="63">
        <f t="shared" ca="1" si="11"/>
        <v>345.31022800045162</v>
      </c>
      <c r="AB87" s="63">
        <f t="shared" ca="1" si="12"/>
        <v>345.31022800045162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45498</v>
      </c>
      <c r="K88">
        <f ca="1"/>
        <v>329.76917036029772</v>
      </c>
      <c r="L88">
        <f ca="1"/>
        <v>8.1419350604917611</v>
      </c>
      <c r="M88">
        <f ca="1"/>
        <v>8.9868654266189729E-3</v>
      </c>
      <c r="N88">
        <f ca="1"/>
        <v>0.59062013115596423</v>
      </c>
      <c r="O88">
        <f ca="1"/>
        <v>0</v>
      </c>
      <c r="P88">
        <f ca="1"/>
        <v>206.60063903124217</v>
      </c>
      <c r="Q88">
        <f ca="1"/>
        <v>0</v>
      </c>
      <c r="R88">
        <f ca="1"/>
        <v>0</v>
      </c>
      <c r="S88">
        <f ca="1"/>
        <v>0.98594459730323292</v>
      </c>
      <c r="T88">
        <f ca="1"/>
        <v>0</v>
      </c>
      <c r="U88">
        <f ca="1"/>
        <v>0</v>
      </c>
      <c r="V88">
        <f ca="1"/>
        <v>0.90736544930691265</v>
      </c>
      <c r="X88" s="2">
        <f t="shared" ca="1" si="8"/>
        <v>45498</v>
      </c>
      <c r="Y88">
        <f t="shared" ca="1" si="9"/>
        <v>0</v>
      </c>
      <c r="AA88" s="63">
        <f t="shared" ca="1" si="11"/>
        <v>337.91110542078945</v>
      </c>
      <c r="AB88" s="63">
        <f t="shared" ca="1" si="12"/>
        <v>337.91110542078945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45499</v>
      </c>
      <c r="K89">
        <f ca="1"/>
        <v>321.40147995385007</v>
      </c>
      <c r="L89">
        <f ca="1"/>
        <v>9.0030037318187226</v>
      </c>
      <c r="M89">
        <f ca="1"/>
        <v>9.4204005895344167E-3</v>
      </c>
      <c r="N89">
        <f ca="1"/>
        <v>0.62589292478149161</v>
      </c>
      <c r="O89">
        <f ca="1"/>
        <v>0</v>
      </c>
      <c r="P89">
        <f ca="1"/>
        <v>215.60364276306089</v>
      </c>
      <c r="Q89">
        <f ca="1"/>
        <v>0</v>
      </c>
      <c r="R89">
        <f ca="1"/>
        <v>0</v>
      </c>
      <c r="S89">
        <f ca="1"/>
        <v>0.99900686726819077</v>
      </c>
      <c r="T89">
        <f ca="1"/>
        <v>0</v>
      </c>
      <c r="U89">
        <f ca="1"/>
        <v>0</v>
      </c>
      <c r="V89">
        <f ca="1"/>
        <v>0.91763286877738326</v>
      </c>
      <c r="X89" s="2">
        <f t="shared" ca="1" si="8"/>
        <v>45499</v>
      </c>
      <c r="Y89">
        <f t="shared" ca="1" si="9"/>
        <v>0</v>
      </c>
      <c r="AA89" s="63">
        <f t="shared" ca="1" si="11"/>
        <v>330.40448368566877</v>
      </c>
      <c r="AB89" s="63">
        <f t="shared" ca="1" si="12"/>
        <v>330.40448368566877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45500</v>
      </c>
      <c r="K90">
        <f ca="1"/>
        <v>313.00795969233968</v>
      </c>
      <c r="L90">
        <f ca="1"/>
        <v>9.0074794546539181</v>
      </c>
      <c r="M90">
        <f ca="1"/>
        <v>9.264462660328654E-3</v>
      </c>
      <c r="N90">
        <f ca="1"/>
        <v>0.60469473048323752</v>
      </c>
      <c r="O90">
        <f ca="1"/>
        <v>0</v>
      </c>
      <c r="P90">
        <f ca="1"/>
        <v>224.61112221771481</v>
      </c>
      <c r="Q90">
        <f ca="1"/>
        <v>0</v>
      </c>
      <c r="R90">
        <f ca="1"/>
        <v>0</v>
      </c>
      <c r="S90">
        <f ca="1"/>
        <v>0.99871837623349546</v>
      </c>
      <c r="T90">
        <f ca="1"/>
        <v>0</v>
      </c>
      <c r="U90">
        <f ca="1"/>
        <v>0</v>
      </c>
      <c r="V90">
        <f ca="1"/>
        <v>0.92653533876008576</v>
      </c>
      <c r="X90" s="2">
        <f t="shared" ca="1" si="8"/>
        <v>45500</v>
      </c>
      <c r="Y90">
        <f t="shared" ca="1" si="9"/>
        <v>0</v>
      </c>
      <c r="AA90" s="63">
        <f t="shared" ca="1" si="11"/>
        <v>322.01543914699363</v>
      </c>
      <c r="AB90" s="63">
        <f t="shared" ca="1" si="12"/>
        <v>322.01543914699357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45501</v>
      </c>
      <c r="K91">
        <f ca="1"/>
        <v>301.71727348721174</v>
      </c>
      <c r="L91">
        <f ca="1"/>
        <v>9.3959862307465869</v>
      </c>
      <c r="M91">
        <f ca="1"/>
        <v>9.3532066815185111E-3</v>
      </c>
      <c r="N91">
        <f ca="1"/>
        <v>0.60778271070876377</v>
      </c>
      <c r="O91">
        <f ca="1"/>
        <v>0</v>
      </c>
      <c r="P91">
        <f ca="1"/>
        <v>234.00710844846139</v>
      </c>
      <c r="Q91">
        <f ca="1"/>
        <v>0</v>
      </c>
      <c r="R91">
        <f ca="1"/>
        <v>2.5118358917716184</v>
      </c>
      <c r="S91">
        <f ca="1"/>
        <v>1</v>
      </c>
      <c r="T91">
        <f ca="1"/>
        <v>1.5116685628190965</v>
      </c>
      <c r="U91">
        <f ca="1"/>
        <v>0</v>
      </c>
      <c r="V91">
        <f ca="1"/>
        <v>0.93458642690755878</v>
      </c>
      <c r="X91" s="2">
        <f t="shared" ca="1" si="8"/>
        <v>45501</v>
      </c>
      <c r="Y91">
        <f t="shared" ca="1" si="9"/>
        <v>0</v>
      </c>
      <c r="AA91" s="63">
        <f t="shared" ca="1" si="11"/>
        <v>313.62509560972995</v>
      </c>
      <c r="AB91" s="63">
        <f t="shared" ca="1" si="12"/>
        <v>313.62509560972995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45502</v>
      </c>
      <c r="K92">
        <f ca="1"/>
        <v>293.18930464600567</v>
      </c>
      <c r="L92">
        <f ca="1"/>
        <v>8.8022587295294841</v>
      </c>
      <c r="M92">
        <f ca="1"/>
        <v>8.8582705059243594E-3</v>
      </c>
      <c r="N92">
        <f ca="1"/>
        <v>0.55607145024914084</v>
      </c>
      <c r="O92">
        <f ca="1"/>
        <v>0</v>
      </c>
      <c r="P92">
        <f ca="1"/>
        <v>242.80936717799088</v>
      </c>
      <c r="Q92">
        <f ca="1"/>
        <v>0</v>
      </c>
      <c r="R92">
        <f ca="1"/>
        <v>0.29063983243170355</v>
      </c>
      <c r="S92">
        <f ca="1"/>
        <v>1</v>
      </c>
      <c r="T92">
        <f ca="1"/>
        <v>0.18000000000000682</v>
      </c>
      <c r="U92">
        <f ca="1"/>
        <v>0</v>
      </c>
      <c r="V92">
        <f ca="1"/>
        <v>0.94115690525035012</v>
      </c>
      <c r="X92" s="2">
        <f t="shared" ca="1" si="8"/>
        <v>45502</v>
      </c>
      <c r="Y92">
        <f t="shared" ca="1" si="9"/>
        <v>0</v>
      </c>
      <c r="AA92" s="63">
        <f t="shared" ca="1" si="11"/>
        <v>302.2822032079668</v>
      </c>
      <c r="AB92" s="63">
        <f t="shared" ca="1" si="12"/>
        <v>302.28220320796686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45503</v>
      </c>
      <c r="K93">
        <f ca="1"/>
        <v>281.6451578163888</v>
      </c>
      <c r="L93">
        <f ca="1"/>
        <v>9.7392290215427124</v>
      </c>
      <c r="M93">
        <f ca="1"/>
        <v>9.257536309007719E-3</v>
      </c>
      <c r="N93">
        <f ca="1"/>
        <v>0.59001303175959041</v>
      </c>
      <c r="O93">
        <f ca="1"/>
        <v>0</v>
      </c>
      <c r="P93">
        <f ca="1"/>
        <v>252.54859619953359</v>
      </c>
      <c r="Q93">
        <f ca="1"/>
        <v>0</v>
      </c>
      <c r="R93">
        <f ca="1"/>
        <v>2.4041883761427925</v>
      </c>
      <c r="S93">
        <f ca="1"/>
        <v>1</v>
      </c>
      <c r="T93">
        <f ca="1"/>
        <v>1.5499999999999972</v>
      </c>
      <c r="U93">
        <f ca="1"/>
        <v>0</v>
      </c>
      <c r="V93">
        <f ca="1"/>
        <v>0.94749736647342775</v>
      </c>
      <c r="X93" s="2">
        <f t="shared" ca="1" si="8"/>
        <v>45503</v>
      </c>
      <c r="Y93">
        <f t="shared" ca="1" si="9"/>
        <v>0</v>
      </c>
      <c r="AA93" s="63">
        <f t="shared" ca="1" si="11"/>
        <v>293.78857521407429</v>
      </c>
      <c r="AB93" s="63">
        <f t="shared" ca="1" si="12"/>
        <v>293.78857521407429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45504</v>
      </c>
      <c r="K94">
        <f ca="1"/>
        <v>264.09816336231444</v>
      </c>
      <c r="L94">
        <f ca="1"/>
        <v>11.95124137680412</v>
      </c>
      <c r="M94">
        <f ca="1"/>
        <v>1.038065355440887E-2</v>
      </c>
      <c r="N94">
        <f ca="1"/>
        <v>0.69165058796304768</v>
      </c>
      <c r="O94">
        <f ca="1"/>
        <v>0</v>
      </c>
      <c r="P94">
        <f ca="1"/>
        <v>264.49983757633771</v>
      </c>
      <c r="Q94">
        <f ca="1"/>
        <v>0</v>
      </c>
      <c r="R94">
        <f ca="1"/>
        <v>6.2977843187877101</v>
      </c>
      <c r="S94">
        <f ca="1"/>
        <v>1</v>
      </c>
      <c r="T94">
        <f ca="1"/>
        <v>4.3299999999999983</v>
      </c>
      <c r="U94">
        <f ca="1"/>
        <v>0</v>
      </c>
      <c r="V94">
        <f ca="1"/>
        <v>0.95415779175099857</v>
      </c>
      <c r="X94" s="2">
        <f t="shared" ca="1" si="8"/>
        <v>45504</v>
      </c>
      <c r="Y94">
        <f t="shared" ca="1" si="9"/>
        <v>0</v>
      </c>
      <c r="AA94" s="63">
        <f t="shared" ca="1" si="11"/>
        <v>282.34718905790629</v>
      </c>
      <c r="AB94" s="63">
        <f t="shared" ca="1" si="12"/>
        <v>282.34718905790629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45505</v>
      </c>
      <c r="K95">
        <f ca="1"/>
        <v>247.50298590631007</v>
      </c>
      <c r="L95">
        <f ca="1"/>
        <v>12.76242730641053</v>
      </c>
      <c r="M95">
        <f ca="1"/>
        <v>1.0610614599491974E-2</v>
      </c>
      <c r="N95">
        <f ca="1"/>
        <v>0.70925937656447946</v>
      </c>
      <c r="O95">
        <f ca="1"/>
        <v>0</v>
      </c>
      <c r="P95">
        <f ca="1"/>
        <v>277.26226488274824</v>
      </c>
      <c r="Q95">
        <f ca="1"/>
        <v>0</v>
      </c>
      <c r="R95">
        <f ca="1"/>
        <v>4.5526201407578126</v>
      </c>
      <c r="S95">
        <f ca="1"/>
        <v>1</v>
      </c>
      <c r="T95">
        <f ca="1"/>
        <v>3.3400000000000034</v>
      </c>
      <c r="U95">
        <f ca="1"/>
        <v>0</v>
      </c>
      <c r="V95">
        <f ca="1"/>
        <v>0.96014643972799085</v>
      </c>
      <c r="X95" s="2">
        <f t="shared" ca="1" si="8"/>
        <v>45505</v>
      </c>
      <c r="Y95">
        <f t="shared" ca="1" si="9"/>
        <v>0</v>
      </c>
      <c r="AA95" s="63">
        <f t="shared" ca="1" si="11"/>
        <v>264.81803335347843</v>
      </c>
      <c r="AB95" s="63">
        <f t="shared" ca="1" si="12"/>
        <v>264.81803335347843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45506</v>
      </c>
      <c r="K96">
        <f ca="1"/>
        <v>234.64291820717466</v>
      </c>
      <c r="L96">
        <f ca="1"/>
        <v>12.654351507927686</v>
      </c>
      <c r="M96">
        <f ca="1"/>
        <v>1.0282013320514594E-2</v>
      </c>
      <c r="N96">
        <f ca="1"/>
        <v>0.67564488465902905</v>
      </c>
      <c r="O96">
        <f ca="1"/>
        <v>0</v>
      </c>
      <c r="P96">
        <f ca="1"/>
        <v>289.91661639067593</v>
      </c>
      <c r="Q96">
        <f ca="1"/>
        <v>0</v>
      </c>
      <c r="R96">
        <f ca="1"/>
        <v>0.89164308918726065</v>
      </c>
      <c r="S96">
        <f ca="1"/>
        <v>1</v>
      </c>
      <c r="T96">
        <f ca="1"/>
        <v>0.68999999999999773</v>
      </c>
      <c r="U96">
        <f ca="1"/>
        <v>0</v>
      </c>
      <c r="V96">
        <f ca="1"/>
        <v>0.96514984322608333</v>
      </c>
      <c r="X96" s="2">
        <f t="shared" ca="1" si="8"/>
        <v>45506</v>
      </c>
      <c r="Y96">
        <f t="shared" ca="1" si="9"/>
        <v>0</v>
      </c>
      <c r="AA96" s="63">
        <f t="shared" ca="1" si="11"/>
        <v>248.1889128042896</v>
      </c>
      <c r="AB96" s="63">
        <f t="shared" ca="1" si="12"/>
        <v>248.1889128042896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45507</v>
      </c>
      <c r="K97">
        <f ca="1"/>
        <v>216.18611051239404</v>
      </c>
      <c r="L97">
        <f ca="1"/>
        <v>13.254705503023388</v>
      </c>
      <c r="M97">
        <f ca="1"/>
        <v>1.0365503553070532E-2</v>
      </c>
      <c r="N97">
        <f ca="1"/>
        <v>0.68095366517974043</v>
      </c>
      <c r="O97">
        <f ca="1"/>
        <v>0</v>
      </c>
      <c r="P97">
        <f ca="1"/>
        <v>303.17132189369931</v>
      </c>
      <c r="Q97">
        <f ca="1"/>
        <v>0</v>
      </c>
      <c r="R97">
        <f ca="1"/>
        <v>5.8934213604900485</v>
      </c>
      <c r="S97">
        <f ca="1"/>
        <v>1</v>
      </c>
      <c r="T97">
        <f ca="1"/>
        <v>4.9500000000000028</v>
      </c>
      <c r="U97">
        <f ca="1"/>
        <v>0</v>
      </c>
      <c r="V97">
        <f ca="1"/>
        <v>0.96957759509923935</v>
      </c>
      <c r="X97" s="2">
        <f t="shared" ca="1" si="8"/>
        <v>45507</v>
      </c>
      <c r="Y97">
        <f t="shared" ca="1" si="9"/>
        <v>0</v>
      </c>
      <c r="AA97" s="63">
        <f t="shared" ca="1" si="11"/>
        <v>235.33423737590746</v>
      </c>
      <c r="AB97" s="63">
        <f t="shared" ca="1" si="12"/>
        <v>235.33423737590746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45508</v>
      </c>
      <c r="K98">
        <f ca="1"/>
        <v>201.82331129735431</v>
      </c>
      <c r="L98">
        <f ca="1"/>
        <v>13.204074167321664</v>
      </c>
      <c r="M98">
        <f ca="1"/>
        <v>1.0094784834955739E-2</v>
      </c>
      <c r="N98">
        <f ca="1"/>
        <v>0.65402491528048512</v>
      </c>
      <c r="O98">
        <f ca="1"/>
        <v>0</v>
      </c>
      <c r="P98">
        <f ca="1"/>
        <v>316.37539606102098</v>
      </c>
      <c r="Q98">
        <f ca="1"/>
        <v>0</v>
      </c>
      <c r="R98">
        <f ca="1"/>
        <v>1.8228447478334964</v>
      </c>
      <c r="S98">
        <f ca="1"/>
        <v>1</v>
      </c>
      <c r="T98">
        <f ca="1"/>
        <v>1.6400000000000006</v>
      </c>
      <c r="U98">
        <f ca="1"/>
        <v>0</v>
      </c>
      <c r="V98">
        <f ca="1"/>
        <v>0.97331171663850635</v>
      </c>
      <c r="X98" s="2">
        <f t="shared" ca="1" si="8"/>
        <v>45508</v>
      </c>
      <c r="Y98">
        <f t="shared" ca="1" si="9"/>
        <v>0</v>
      </c>
      <c r="AA98" s="63">
        <f t="shared" ca="1" si="11"/>
        <v>216.85023021250947</v>
      </c>
      <c r="AB98" s="63">
        <f t="shared" ca="1" si="12"/>
        <v>216.85023021250947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45509</v>
      </c>
      <c r="K99">
        <f ca="1"/>
        <v>185.13261916434129</v>
      </c>
      <c r="L99">
        <f ca="1"/>
        <v>13.844540604303234</v>
      </c>
      <c r="M99">
        <f ca="1"/>
        <v>1.0186437812881088E-2</v>
      </c>
      <c r="N99">
        <f ca="1"/>
        <v>0.66118179759982521</v>
      </c>
      <c r="O99">
        <f ca="1"/>
        <v>0</v>
      </c>
      <c r="P99">
        <f ca="1"/>
        <v>330.21993666532421</v>
      </c>
      <c r="Q99">
        <f ca="1"/>
        <v>0</v>
      </c>
      <c r="R99">
        <f ca="1"/>
        <v>3.5175197641224876</v>
      </c>
      <c r="S99">
        <f ca="1"/>
        <v>1</v>
      </c>
      <c r="T99">
        <f ca="1"/>
        <v>3.4500000000000028</v>
      </c>
      <c r="U99">
        <f ca="1"/>
        <v>0</v>
      </c>
      <c r="V99">
        <f ca="1"/>
        <v>0.9766332250195966</v>
      </c>
      <c r="X99" s="2">
        <f t="shared" ca="1" si="8"/>
        <v>45509</v>
      </c>
      <c r="Y99">
        <f t="shared" ca="1" si="9"/>
        <v>0</v>
      </c>
      <c r="AA99" s="63">
        <f t="shared" ca="1" si="11"/>
        <v>202.49467953276701</v>
      </c>
      <c r="AB99" s="63">
        <f t="shared" ca="1" si="12"/>
        <v>202.49467953276701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45510</v>
      </c>
      <c r="K100">
        <f ca="1"/>
        <v>170.26808112384626</v>
      </c>
      <c r="L100">
        <f ca="1"/>
        <v>14.511721312424072</v>
      </c>
      <c r="M100">
        <f ca="1"/>
        <v>1.0273948854957471E-2</v>
      </c>
      <c r="N100">
        <f ca="1"/>
        <v>0.66838842321564695</v>
      </c>
      <c r="O100">
        <f ca="1"/>
        <v>0</v>
      </c>
      <c r="P100">
        <f ca="1"/>
        <v>344.73165797774828</v>
      </c>
      <c r="Q100">
        <f ca="1"/>
        <v>0</v>
      </c>
      <c r="R100">
        <f ca="1"/>
        <v>1.031479100141556</v>
      </c>
      <c r="S100">
        <f ca="1"/>
        <v>1</v>
      </c>
      <c r="T100">
        <f ca="1"/>
        <v>1.0999999999999943</v>
      </c>
      <c r="U100">
        <f ca="1"/>
        <v>0</v>
      </c>
      <c r="V100">
        <f ca="1"/>
        <v>0.97958041815486541</v>
      </c>
      <c r="X100" s="2">
        <f t="shared" ca="1" si="8"/>
        <v>45510</v>
      </c>
      <c r="Y100">
        <f t="shared" ca="1" si="9"/>
        <v>0</v>
      </c>
      <c r="AA100" s="63">
        <f t="shared" ca="1" si="11"/>
        <v>185.81128153641188</v>
      </c>
      <c r="AB100" s="63">
        <f t="shared" ca="1" si="12"/>
        <v>185.81128153641188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45511</v>
      </c>
      <c r="K101">
        <f ca="1"/>
        <v>154.54950698928042</v>
      </c>
      <c r="L101">
        <f ca="1"/>
        <v>14.22623740206808</v>
      </c>
      <c r="M101">
        <f ca="1"/>
        <v>9.9078890162145328E-3</v>
      </c>
      <c r="N101">
        <f ca="1"/>
        <v>0.63412233162189835</v>
      </c>
      <c r="O101">
        <f ca="1"/>
        <v>0</v>
      </c>
      <c r="P101">
        <f ca="1"/>
        <v>358.95789537981636</v>
      </c>
      <c r="Q101">
        <f ca="1"/>
        <v>0</v>
      </c>
      <c r="R101">
        <f ca="1"/>
        <v>2.1363669531358833</v>
      </c>
      <c r="S101">
        <f ca="1"/>
        <v>1</v>
      </c>
      <c r="T101">
        <f ca="1"/>
        <v>2.5100000000000051</v>
      </c>
      <c r="U101">
        <f ca="1"/>
        <v>0</v>
      </c>
      <c r="V101">
        <f ca="1"/>
        <v>0.9820341165933747</v>
      </c>
      <c r="X101" s="2">
        <f t="shared" ca="1" si="8"/>
        <v>45511</v>
      </c>
      <c r="Y101">
        <f t="shared" ca="1" si="9"/>
        <v>0</v>
      </c>
      <c r="AA101" s="63">
        <f t="shared" ca="1" si="11"/>
        <v>170.91211134448437</v>
      </c>
      <c r="AB101" s="63">
        <f t="shared" ca="1" si="12"/>
        <v>170.91211134448437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45512</v>
      </c>
      <c r="K102">
        <f ca="1"/>
        <v>140.43997270355155</v>
      </c>
      <c r="L102">
        <f ca="1"/>
        <v>13.080807710433589</v>
      </c>
      <c r="M102">
        <f ca="1"/>
        <v>9.2254771962378967E-3</v>
      </c>
      <c r="N102">
        <f ca="1"/>
        <v>0.57079801163728261</v>
      </c>
      <c r="O102">
        <f ca="1"/>
        <v>0</v>
      </c>
      <c r="P102">
        <f ca="1"/>
        <v>372.03870309024995</v>
      </c>
      <c r="Q102">
        <f ca="1"/>
        <v>0</v>
      </c>
      <c r="R102">
        <f ca="1"/>
        <v>1.608750064128798</v>
      </c>
      <c r="S102">
        <f ca="1"/>
        <v>1</v>
      </c>
      <c r="T102">
        <f ca="1"/>
        <v>2.0799999999999983</v>
      </c>
      <c r="U102">
        <f ca="1"/>
        <v>0</v>
      </c>
      <c r="V102">
        <f ca="1"/>
        <v>0.98397517842243953</v>
      </c>
      <c r="X102" s="2">
        <f t="shared" ca="1" si="8"/>
        <v>45512</v>
      </c>
      <c r="Y102">
        <f t="shared" ca="1" si="9"/>
        <v>0</v>
      </c>
      <c r="AA102" s="63">
        <f t="shared" ca="1" si="11"/>
        <v>155.12953047811394</v>
      </c>
      <c r="AB102" s="63">
        <f t="shared" ca="1" si="12"/>
        <v>155.12953047811394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45513</v>
      </c>
      <c r="K103">
        <f ca="1"/>
        <v>128.41032143305557</v>
      </c>
      <c r="L103">
        <f ca="1"/>
        <v>12.511299671691063</v>
      </c>
      <c r="M103">
        <f ca="1"/>
        <v>8.8530265554966903E-3</v>
      </c>
      <c r="N103">
        <f ca="1"/>
        <v>0.53644222961072929</v>
      </c>
      <c r="O103">
        <f ca="1"/>
        <v>0</v>
      </c>
      <c r="P103">
        <f ca="1"/>
        <v>384.55000276194102</v>
      </c>
      <c r="Q103">
        <f ca="1"/>
        <v>0</v>
      </c>
      <c r="R103">
        <f ca="1"/>
        <v>6.3646854971159031E-2</v>
      </c>
      <c r="S103">
        <f ca="1"/>
        <v>1</v>
      </c>
      <c r="T103">
        <f ca="1"/>
        <v>8.99999999999892E-2</v>
      </c>
      <c r="U103">
        <f ca="1"/>
        <v>0</v>
      </c>
      <c r="V103">
        <f ca="1"/>
        <v>0.98559445556349112</v>
      </c>
      <c r="X103" s="2">
        <f t="shared" ca="1" si="8"/>
        <v>45513</v>
      </c>
      <c r="Y103">
        <f t="shared" ca="1" si="9"/>
        <v>0</v>
      </c>
      <c r="AA103" s="63">
        <f t="shared" ca="1" si="11"/>
        <v>140.98526795971779</v>
      </c>
      <c r="AB103" s="63">
        <f t="shared" ca="1" si="12"/>
        <v>140.98526795971779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45514</v>
      </c>
      <c r="K104">
        <f ca="1"/>
        <v>728.99196810364572</v>
      </c>
      <c r="L104">
        <f ca="1"/>
        <v>14.428667508536819</v>
      </c>
      <c r="M104">
        <f ca="1"/>
        <v>9.4495123804607672E-3</v>
      </c>
      <c r="N104">
        <f ca="1"/>
        <v>0.59244384603664579</v>
      </c>
      <c r="O104">
        <f ca="1"/>
        <v>628.13884500717541</v>
      </c>
      <c r="P104">
        <f ca="1"/>
        <v>398.97867027047783</v>
      </c>
      <c r="Q104">
        <f ca="1"/>
        <v>0</v>
      </c>
      <c r="R104">
        <f ca="1"/>
        <v>13.730424186465564</v>
      </c>
      <c r="S104">
        <f ca="1"/>
        <v>1</v>
      </c>
      <c r="T104">
        <f ca="1"/>
        <v>3.4300000000000068</v>
      </c>
      <c r="U104">
        <f ca="1"/>
        <v>0</v>
      </c>
      <c r="V104">
        <f ca="1"/>
        <v>0.98721870896402031</v>
      </c>
      <c r="X104" s="2">
        <f t="shared" ca="1" si="8"/>
        <v>45514</v>
      </c>
      <c r="Y104">
        <f t="shared" ca="1" si="9"/>
        <v>628.13884500717541</v>
      </c>
      <c r="AA104" s="63">
        <f t="shared" ca="1" si="11"/>
        <v>757.15105979864802</v>
      </c>
      <c r="AB104" s="63">
        <f t="shared" ca="1" si="12"/>
        <v>757.15105979864813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45515</v>
      </c>
      <c r="K105">
        <f ca="1"/>
        <v>699.60976830175719</v>
      </c>
      <c r="L105">
        <f ca="1"/>
        <v>15.561181614026793</v>
      </c>
      <c r="M105">
        <f ca="1"/>
        <v>9.7120966025205924E-3</v>
      </c>
      <c r="N105">
        <f ca="1"/>
        <v>0.61773232176766324</v>
      </c>
      <c r="O105">
        <f ca="1"/>
        <v>0</v>
      </c>
      <c r="P105">
        <f ca="1"/>
        <v>414.53985188450463</v>
      </c>
      <c r="Q105">
        <f ca="1"/>
        <v>0</v>
      </c>
      <c r="R105">
        <f ca="1"/>
        <v>14.448462606231942</v>
      </c>
      <c r="S105">
        <f ca="1"/>
        <v>1</v>
      </c>
      <c r="T105">
        <f ca="1"/>
        <v>3.75</v>
      </c>
      <c r="U105">
        <f ca="1"/>
        <v>0</v>
      </c>
      <c r="V105">
        <f ca="1"/>
        <v>0.98872516696497736</v>
      </c>
      <c r="X105" s="2">
        <f t="shared" ca="1" si="8"/>
        <v>45515</v>
      </c>
      <c r="Y105">
        <f t="shared" ca="1" si="9"/>
        <v>0</v>
      </c>
      <c r="AA105" s="63">
        <f t="shared" ca="1" si="11"/>
        <v>729.61941252201586</v>
      </c>
      <c r="AB105" s="63">
        <f t="shared" ca="1" si="12"/>
        <v>729.61941252201586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45516</v>
      </c>
      <c r="K106">
        <f ca="1"/>
        <v>676.5357358930853</v>
      </c>
      <c r="L106">
        <f ca="1"/>
        <v>16.566973235442674</v>
      </c>
      <c r="M106">
        <f ca="1"/>
        <v>9.9025446505471848E-3</v>
      </c>
      <c r="N106">
        <f ca="1"/>
        <v>0.6366683242592589</v>
      </c>
      <c r="O106">
        <f ca="1"/>
        <v>0</v>
      </c>
      <c r="P106">
        <f ca="1"/>
        <v>431.1068251199473</v>
      </c>
      <c r="Q106">
        <f ca="1"/>
        <v>0</v>
      </c>
      <c r="R106">
        <f ca="1"/>
        <v>7.1536300421391177</v>
      </c>
      <c r="S106">
        <f ca="1"/>
        <v>1</v>
      </c>
      <c r="T106">
        <f ca="1"/>
        <v>1.9200000000000159</v>
      </c>
      <c r="U106">
        <f ca="1"/>
        <v>0</v>
      </c>
      <c r="V106">
        <f ca="1"/>
        <v>0.99009652438733986</v>
      </c>
      <c r="X106" s="2">
        <f t="shared" ca="1" si="8"/>
        <v>45516</v>
      </c>
      <c r="Y106">
        <f t="shared" ca="1" si="9"/>
        <v>0</v>
      </c>
      <c r="AA106" s="63">
        <f t="shared" ca="1" si="11"/>
        <v>700.25633917066705</v>
      </c>
      <c r="AB106" s="63">
        <f t="shared" ca="1" si="12"/>
        <v>700.25633917066705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45517</v>
      </c>
      <c r="K107">
        <f ca="1"/>
        <v>640.01404631939999</v>
      </c>
      <c r="L107">
        <f ca="1"/>
        <v>17.589026496147653</v>
      </c>
      <c r="M107">
        <f ca="1"/>
        <v>1.0079044185470565E-2</v>
      </c>
      <c r="N107">
        <f ca="1"/>
        <v>0.65467348789473667</v>
      </c>
      <c r="O107">
        <f ca="1"/>
        <v>0</v>
      </c>
      <c r="P107">
        <f ca="1"/>
        <v>448.69585161609496</v>
      </c>
      <c r="Q107">
        <f ca="1"/>
        <v>0</v>
      </c>
      <c r="R107">
        <f ca="1"/>
        <v>19.597415609617808</v>
      </c>
      <c r="S107">
        <f ca="1"/>
        <v>1</v>
      </c>
      <c r="T107">
        <f ca="1"/>
        <v>5.5600000000000023</v>
      </c>
      <c r="U107">
        <f ca="1"/>
        <v>0</v>
      </c>
      <c r="V107">
        <f ca="1"/>
        <v>0.99133579566577801</v>
      </c>
      <c r="X107" s="2">
        <f t="shared" ca="1" si="8"/>
        <v>45517</v>
      </c>
      <c r="Y107">
        <f t="shared" ca="1" si="9"/>
        <v>0</v>
      </c>
      <c r="AA107" s="63">
        <f t="shared" ca="1" si="11"/>
        <v>677.20048842516542</v>
      </c>
      <c r="AB107" s="63">
        <f t="shared" ca="1" si="12"/>
        <v>677.20048842516542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45518</v>
      </c>
      <c r="K108">
        <f ca="1"/>
        <v>616.23852535078379</v>
      </c>
      <c r="L108">
        <f ca="1"/>
        <v>17.494890890411398</v>
      </c>
      <c r="M108">
        <f ca="1"/>
        <v>9.824005089582144E-3</v>
      </c>
      <c r="N108">
        <f ca="1"/>
        <v>0.63285178412484966</v>
      </c>
      <c r="O108">
        <f ca="1"/>
        <v>0</v>
      </c>
      <c r="P108">
        <f ca="1"/>
        <v>466.19074250650635</v>
      </c>
      <c r="Q108">
        <f ca="1"/>
        <v>0</v>
      </c>
      <c r="R108">
        <f ca="1"/>
        <v>6.9233058674192618</v>
      </c>
      <c r="S108">
        <f ca="1"/>
        <v>1</v>
      </c>
      <c r="T108">
        <f ca="1"/>
        <v>2.0400000000000063</v>
      </c>
      <c r="U108">
        <f ca="1"/>
        <v>0</v>
      </c>
      <c r="V108">
        <f ca="1"/>
        <v>0.99238581301803586</v>
      </c>
      <c r="X108" s="2">
        <f t="shared" ca="1" si="8"/>
        <v>45518</v>
      </c>
      <c r="Y108">
        <f t="shared" ca="1" si="9"/>
        <v>0</v>
      </c>
      <c r="AA108" s="63">
        <f t="shared" ca="1" si="11"/>
        <v>640.65672210861442</v>
      </c>
      <c r="AB108" s="63">
        <f t="shared" ca="1" si="12"/>
        <v>640.65672210861442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45519</v>
      </c>
      <c r="K109">
        <f ca="1"/>
        <v>597.40204597775062</v>
      </c>
      <c r="L109">
        <f ca="1"/>
        <v>18.508942692078506</v>
      </c>
      <c r="M109">
        <f ca="1"/>
        <v>9.979002838301998E-3</v>
      </c>
      <c r="N109">
        <f ca="1"/>
        <v>0.64949639217008948</v>
      </c>
      <c r="O109">
        <f ca="1"/>
        <v>0</v>
      </c>
      <c r="P109">
        <f ca="1"/>
        <v>484.69968519858486</v>
      </c>
      <c r="Q109">
        <f ca="1"/>
        <v>0</v>
      </c>
      <c r="R109">
        <f ca="1"/>
        <v>0.98701207596323071</v>
      </c>
      <c r="S109">
        <f ca="1"/>
        <v>1</v>
      </c>
      <c r="T109">
        <f ca="1"/>
        <v>0.29999999999999716</v>
      </c>
      <c r="U109">
        <f ca="1"/>
        <v>0</v>
      </c>
      <c r="V109">
        <f ca="1"/>
        <v>0.99333323544005503</v>
      </c>
      <c r="X109" s="2">
        <f t="shared" ca="1" si="8"/>
        <v>45519</v>
      </c>
      <c r="Y109">
        <f t="shared" ca="1" si="9"/>
        <v>0</v>
      </c>
      <c r="AA109" s="63">
        <f t="shared" ca="1" si="11"/>
        <v>616.89800074579227</v>
      </c>
      <c r="AB109" s="63">
        <f t="shared" ca="1" si="12"/>
        <v>616.89800074579227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45520</v>
      </c>
      <c r="K110">
        <f ca="1"/>
        <v>562.95090070659899</v>
      </c>
      <c r="L110">
        <f ca="1"/>
        <v>18.890770373308555</v>
      </c>
      <c r="M110">
        <f ca="1"/>
        <v>9.8972587792811595E-3</v>
      </c>
      <c r="N110">
        <f ca="1"/>
        <v>0.64434552546887836</v>
      </c>
      <c r="O110">
        <f ca="1"/>
        <v>0</v>
      </c>
      <c r="P110">
        <f ca="1"/>
        <v>503.59045557189341</v>
      </c>
      <c r="Q110">
        <f ca="1"/>
        <v>0</v>
      </c>
      <c r="R110">
        <f ca="1"/>
        <v>16.214617682091241</v>
      </c>
      <c r="S110">
        <f ca="1"/>
        <v>1</v>
      </c>
      <c r="T110">
        <f ca="1"/>
        <v>5.230000000000004</v>
      </c>
      <c r="U110">
        <f ca="1"/>
        <v>0</v>
      </c>
      <c r="V110">
        <f ca="1"/>
        <v>0.9941570566501694</v>
      </c>
      <c r="X110" s="2">
        <f t="shared" ca="1" si="8"/>
        <v>45520</v>
      </c>
      <c r="Y110">
        <f t="shared" ca="1" si="9"/>
        <v>0</v>
      </c>
      <c r="AA110" s="63">
        <f t="shared" ca="1" si="11"/>
        <v>598.05628876199876</v>
      </c>
      <c r="AB110" s="63">
        <f t="shared" ca="1" si="12"/>
        <v>598.05628876199876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45521</v>
      </c>
      <c r="K111">
        <f ca="1"/>
        <v>540.06583680544634</v>
      </c>
      <c r="L111">
        <f ca="1"/>
        <v>17.808421543029738</v>
      </c>
      <c r="M111">
        <f ca="1"/>
        <v>9.342973993740511E-3</v>
      </c>
      <c r="N111">
        <f ca="1"/>
        <v>0.59488110778745396</v>
      </c>
      <c r="O111">
        <f ca="1"/>
        <v>0</v>
      </c>
      <c r="P111">
        <f ca="1"/>
        <v>521.39887711492315</v>
      </c>
      <c r="Q111">
        <f ca="1"/>
        <v>0</v>
      </c>
      <c r="R111">
        <f ca="1"/>
        <v>5.6808664399042357</v>
      </c>
      <c r="S111">
        <f ca="1"/>
        <v>1</v>
      </c>
      <c r="T111">
        <f ca="1"/>
        <v>1.9099999999999966</v>
      </c>
      <c r="U111">
        <f ca="1"/>
        <v>0</v>
      </c>
      <c r="V111">
        <f ca="1"/>
        <v>0.99482377587429882</v>
      </c>
      <c r="X111" s="2">
        <f t="shared" ca="1" si="8"/>
        <v>45521</v>
      </c>
      <c r="Y111">
        <f t="shared" ca="1" si="9"/>
        <v>0</v>
      </c>
      <c r="AA111" s="63">
        <f t="shared" ca="1" si="11"/>
        <v>563.55512478838023</v>
      </c>
      <c r="AB111" s="63">
        <f t="shared" ca="1" si="12"/>
        <v>563.55512478838034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45522</v>
      </c>
      <c r="K112">
        <f ca="1"/>
        <v>519.46189341024944</v>
      </c>
      <c r="L112">
        <f ca="1"/>
        <v>19.618422374241163</v>
      </c>
      <c r="M112">
        <f ca="1"/>
        <v>9.7431068874613835E-3</v>
      </c>
      <c r="N112">
        <f ca="1"/>
        <v>0.63539451147076209</v>
      </c>
      <c r="O112">
        <f ca="1"/>
        <v>0</v>
      </c>
      <c r="P112">
        <f ca="1"/>
        <v>541.01729948916432</v>
      </c>
      <c r="Q112">
        <f ca="1"/>
        <v>0</v>
      </c>
      <c r="R112">
        <f ca="1"/>
        <v>1.6306586393139342</v>
      </c>
      <c r="S112">
        <f ca="1"/>
        <v>1</v>
      </c>
      <c r="T112">
        <f ca="1"/>
        <v>0.57000000000000739</v>
      </c>
      <c r="U112">
        <f ca="1"/>
        <v>0</v>
      </c>
      <c r="V112">
        <f ca="1"/>
        <v>0.99545552010326355</v>
      </c>
      <c r="X112" s="2">
        <f t="shared" ca="1" si="8"/>
        <v>45522</v>
      </c>
      <c r="Y112">
        <f t="shared" ca="1" si="9"/>
        <v>0</v>
      </c>
      <c r="AA112" s="63">
        <f t="shared" ca="1" si="11"/>
        <v>540.71097442380449</v>
      </c>
      <c r="AB112" s="63">
        <f t="shared" ca="1" si="12"/>
        <v>540.71097442380449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45523</v>
      </c>
      <c r="K113">
        <f ca="1"/>
        <v>494.41505314607082</v>
      </c>
      <c r="L113">
        <f ca="1"/>
        <v>19.660360646892741</v>
      </c>
      <c r="M113">
        <f ca="1"/>
        <v>9.5629451752272665E-3</v>
      </c>
      <c r="N113">
        <f ca="1"/>
        <v>0.62149021481529321</v>
      </c>
      <c r="O113">
        <f ca="1"/>
        <v>0</v>
      </c>
      <c r="P113">
        <f ca="1"/>
        <v>560.67766013605706</v>
      </c>
      <c r="Q113">
        <f ca="1"/>
        <v>0</v>
      </c>
      <c r="R113">
        <f ca="1"/>
        <v>6.0175327772764025</v>
      </c>
      <c r="S113">
        <f ca="1"/>
        <v>1</v>
      </c>
      <c r="T113">
        <f ca="1"/>
        <v>2.210000000000008</v>
      </c>
      <c r="U113">
        <f ca="1"/>
        <v>0</v>
      </c>
      <c r="V113">
        <f ca="1"/>
        <v>0.99599839123943756</v>
      </c>
      <c r="X113" s="2">
        <f t="shared" ca="1" si="8"/>
        <v>45523</v>
      </c>
      <c r="Y113">
        <f t="shared" ca="1" si="9"/>
        <v>0</v>
      </c>
      <c r="AA113" s="63">
        <f t="shared" ca="1" si="11"/>
        <v>520.09294657023997</v>
      </c>
      <c r="AB113" s="63">
        <f t="shared" ca="1" si="12"/>
        <v>520.09294657023997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45524</v>
      </c>
      <c r="K114">
        <f ca="1"/>
        <v>472.06444112780696</v>
      </c>
      <c r="L114">
        <f ca="1"/>
        <v>21.272658046256538</v>
      </c>
      <c r="M114">
        <f ca="1"/>
        <v>9.8704853373816626E-3</v>
      </c>
      <c r="N114">
        <f ca="1"/>
        <v>0.65402491528048512</v>
      </c>
      <c r="O114">
        <f ca="1"/>
        <v>0</v>
      </c>
      <c r="P114">
        <f ca="1"/>
        <v>581.95031818231359</v>
      </c>
      <c r="Q114">
        <f ca="1"/>
        <v>0</v>
      </c>
      <c r="R114">
        <f ca="1"/>
        <v>1.7418493726252169</v>
      </c>
      <c r="S114">
        <f ca="1"/>
        <v>1</v>
      </c>
      <c r="T114">
        <f ca="1"/>
        <v>0.67000000000000171</v>
      </c>
      <c r="U114">
        <f ca="1"/>
        <v>0</v>
      </c>
      <c r="V114">
        <f ca="1"/>
        <v>0.99650126089910773</v>
      </c>
      <c r="X114" s="2">
        <f t="shared" ca="1" si="8"/>
        <v>45524</v>
      </c>
      <c r="Y114">
        <f t="shared" ca="1" si="9"/>
        <v>0</v>
      </c>
      <c r="AA114" s="63">
        <f t="shared" ca="1" si="11"/>
        <v>495.07894854668871</v>
      </c>
      <c r="AB114" s="63">
        <f t="shared" ca="1" si="12"/>
        <v>495.07894854668871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45525</v>
      </c>
      <c r="K115">
        <f ca="1"/>
        <v>444.63342477703253</v>
      </c>
      <c r="L115">
        <f ca="1"/>
        <v>21.24673337162551</v>
      </c>
      <c r="M115">
        <f ca="1"/>
        <v>9.6624814165227058E-3</v>
      </c>
      <c r="N115">
        <f ca="1"/>
        <v>0.63794377057385421</v>
      </c>
      <c r="O115">
        <f ca="1"/>
        <v>0</v>
      </c>
      <c r="P115">
        <f ca="1"/>
        <v>603.1970515539391</v>
      </c>
      <c r="Q115">
        <f ca="1"/>
        <v>0</v>
      </c>
      <c r="R115">
        <f ca="1"/>
        <v>6.8318892311392538</v>
      </c>
      <c r="S115">
        <f ca="1"/>
        <v>1</v>
      </c>
      <c r="T115">
        <f ca="1"/>
        <v>2.789999999999992</v>
      </c>
      <c r="U115">
        <f ca="1"/>
        <v>0</v>
      </c>
      <c r="V115">
        <f ca="1"/>
        <v>0.99693059384981875</v>
      </c>
      <c r="X115" s="2">
        <f t="shared" ca="1" si="8"/>
        <v>45525</v>
      </c>
      <c r="Y115">
        <f t="shared" ca="1" si="9"/>
        <v>0</v>
      </c>
      <c r="AA115" s="63">
        <f t="shared" ca="1" si="11"/>
        <v>472.7120473797973</v>
      </c>
      <c r="AB115" s="63">
        <f t="shared" ca="1" si="12"/>
        <v>472.7120473797973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45526</v>
      </c>
      <c r="K116">
        <f ca="1"/>
        <v>423.30050340436082</v>
      </c>
      <c r="L116">
        <f ca="1"/>
        <v>21.891114821409474</v>
      </c>
      <c r="M116">
        <f ca="1"/>
        <v>9.6623387664345195E-3</v>
      </c>
      <c r="N116">
        <f ca="1"/>
        <v>0.64177991651835986</v>
      </c>
      <c r="O116">
        <f ca="1"/>
        <v>0</v>
      </c>
      <c r="P116">
        <f ca="1"/>
        <v>625.08816637534858</v>
      </c>
      <c r="Q116">
        <f ca="1"/>
        <v>0</v>
      </c>
      <c r="R116">
        <f ca="1"/>
        <v>9.3248806547029037E-2</v>
      </c>
      <c r="S116">
        <f ca="1"/>
        <v>1</v>
      </c>
      <c r="T116">
        <f ca="1"/>
        <v>3.9999999999992042E-2</v>
      </c>
      <c r="U116">
        <f ca="1"/>
        <v>0</v>
      </c>
      <c r="V116">
        <f ca="1"/>
        <v>0.99730960749570996</v>
      </c>
      <c r="X116" s="2">
        <f t="shared" ca="1" si="8"/>
        <v>45526</v>
      </c>
      <c r="Y116">
        <f t="shared" ca="1" si="9"/>
        <v>0</v>
      </c>
      <c r="AA116" s="63">
        <f t="shared" ca="1" si="11"/>
        <v>445.28486703231732</v>
      </c>
      <c r="AB116" s="63">
        <f t="shared" ca="1" si="12"/>
        <v>445.28486703231732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45527</v>
      </c>
      <c r="K117">
        <f ca="1"/>
        <v>400.84349622527895</v>
      </c>
      <c r="L117">
        <f ca="1"/>
        <v>23.128670420444337</v>
      </c>
      <c r="M117">
        <f ca="1"/>
        <v>9.828352886787517E-3</v>
      </c>
      <c r="N117">
        <f ca="1"/>
        <v>0.6618348884756482</v>
      </c>
      <c r="O117">
        <f ca="1"/>
        <v>0</v>
      </c>
      <c r="P117">
        <f ca="1"/>
        <v>648.21683679579291</v>
      </c>
      <c r="Q117">
        <f ca="1"/>
        <v>0</v>
      </c>
      <c r="R117">
        <f ca="1"/>
        <v>0</v>
      </c>
      <c r="S117">
        <f ca="1"/>
        <v>0.98304347826086957</v>
      </c>
      <c r="T117">
        <f ca="1"/>
        <v>0</v>
      </c>
      <c r="U117">
        <f ca="1"/>
        <v>0</v>
      </c>
      <c r="V117">
        <f ca="1"/>
        <v>0.99765197141913131</v>
      </c>
      <c r="X117" s="2">
        <f t="shared" ca="1" si="8"/>
        <v>45527</v>
      </c>
      <c r="Y117">
        <f t="shared" ca="1" si="9"/>
        <v>0</v>
      </c>
      <c r="AA117" s="63">
        <f t="shared" ca="1" si="11"/>
        <v>423.97216664572329</v>
      </c>
      <c r="AB117" s="63">
        <f t="shared" ca="1" si="12"/>
        <v>423.97216664572329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45528</v>
      </c>
      <c r="K118">
        <f ca="1"/>
        <v>378.25866035581851</v>
      </c>
      <c r="L118">
        <f ca="1"/>
        <v>23.245291839543597</v>
      </c>
      <c r="M118">
        <f ca="1"/>
        <v>9.6677643823421811E-3</v>
      </c>
      <c r="N118">
        <f ca="1"/>
        <v>0.65078820570080542</v>
      </c>
      <c r="O118">
        <f ca="1"/>
        <v>0</v>
      </c>
      <c r="P118">
        <f ca="1"/>
        <v>671.46212863533651</v>
      </c>
      <c r="Q118">
        <f ca="1"/>
        <v>0</v>
      </c>
      <c r="R118">
        <f ca="1"/>
        <v>0</v>
      </c>
      <c r="S118">
        <f ca="1"/>
        <v>0.99768189635537896</v>
      </c>
      <c r="T118">
        <f ca="1"/>
        <v>0</v>
      </c>
      <c r="U118">
        <f ca="1"/>
        <v>0</v>
      </c>
      <c r="V118">
        <f ca="1"/>
        <v>0.9979460555209112</v>
      </c>
      <c r="X118" s="2">
        <f t="shared" ca="1" si="8"/>
        <v>45528</v>
      </c>
      <c r="Y118">
        <f t="shared" ca="1" si="9"/>
        <v>0</v>
      </c>
      <c r="AA118" s="63">
        <f t="shared" ca="1" si="11"/>
        <v>401.5039521953621</v>
      </c>
      <c r="AB118" s="63">
        <f t="shared" ca="1" si="12"/>
        <v>401.5039521953621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45529</v>
      </c>
      <c r="K119">
        <f ca="1"/>
        <v>350.0346878377315</v>
      </c>
      <c r="L119">
        <f ca="1"/>
        <v>26.214280699701931</v>
      </c>
      <c r="M119">
        <f ca="1"/>
        <v>1.0309449617167843E-2</v>
      </c>
      <c r="N119">
        <f ca="1"/>
        <v>0.71748127119442984</v>
      </c>
      <c r="O119">
        <f ca="1"/>
        <v>0</v>
      </c>
      <c r="P119">
        <f ca="1"/>
        <v>697.67640933503844</v>
      </c>
      <c r="Q119">
        <f ca="1"/>
        <v>0</v>
      </c>
      <c r="R119">
        <f ca="1"/>
        <v>2.7374825391966584</v>
      </c>
      <c r="S119">
        <f ca="1"/>
        <v>1</v>
      </c>
      <c r="T119">
        <f ca="1"/>
        <v>1.4200569691458469</v>
      </c>
      <c r="U119">
        <f ca="1"/>
        <v>0</v>
      </c>
      <c r="V119">
        <f ca="1"/>
        <v>0.99822794730048714</v>
      </c>
      <c r="X119" s="2">
        <f t="shared" ca="1" si="8"/>
        <v>45529</v>
      </c>
      <c r="Y119">
        <f t="shared" ca="1" si="9"/>
        <v>0</v>
      </c>
      <c r="AA119" s="63">
        <f t="shared" ca="1" si="11"/>
        <v>378.98645107663015</v>
      </c>
      <c r="AB119" s="63">
        <f t="shared" ca="1" si="12"/>
        <v>378.98645107663009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45530</v>
      </c>
      <c r="K120">
        <f ca="1"/>
        <v>323.8856291829465</v>
      </c>
      <c r="L120">
        <f ca="1"/>
        <v>26.878879478110093</v>
      </c>
      <c r="M120">
        <f ca="1"/>
        <v>1.0274707373036485E-2</v>
      </c>
      <c r="N120">
        <f ca="1"/>
        <v>0.71954611595208495</v>
      </c>
      <c r="O120">
        <f ca="1"/>
        <v>0</v>
      </c>
      <c r="P120">
        <f ca="1"/>
        <v>724.55528881314854</v>
      </c>
      <c r="Q120">
        <f ca="1"/>
        <v>0</v>
      </c>
      <c r="R120">
        <f ca="1"/>
        <v>0</v>
      </c>
      <c r="S120">
        <f ca="1"/>
        <v>0.9910144927536233</v>
      </c>
      <c r="T120">
        <f ca="1"/>
        <v>0</v>
      </c>
      <c r="U120">
        <f ca="1"/>
        <v>0</v>
      </c>
      <c r="V120">
        <f ca="1"/>
        <v>0.99847184205399397</v>
      </c>
      <c r="X120" s="2">
        <f t="shared" ca="1" si="8"/>
        <v>45530</v>
      </c>
      <c r="Y120">
        <f t="shared" ca="1" si="9"/>
        <v>0</v>
      </c>
      <c r="AA120" s="63">
        <f t="shared" ca="1" si="11"/>
        <v>350.7645086610566</v>
      </c>
      <c r="AB120" s="63">
        <f t="shared" ca="1" si="12"/>
        <v>350.7645086610566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45531</v>
      </c>
      <c r="K121">
        <f ca="1"/>
        <v>296.33630035051937</v>
      </c>
      <c r="L121">
        <f ca="1"/>
        <v>28.302288417684963</v>
      </c>
      <c r="M121">
        <f ca="1"/>
        <v>1.0452187558567694E-2</v>
      </c>
      <c r="N121">
        <f ca="1"/>
        <v>0.74250739769927476</v>
      </c>
      <c r="O121">
        <f ca="1"/>
        <v>0</v>
      </c>
      <c r="P121">
        <f ca="1"/>
        <v>752.8575772308335</v>
      </c>
      <c r="Q121">
        <f ca="1"/>
        <v>0</v>
      </c>
      <c r="R121">
        <f ca="1"/>
        <v>0</v>
      </c>
      <c r="S121">
        <f ca="1"/>
        <v>0.99478288885675081</v>
      </c>
      <c r="T121">
        <f ca="1"/>
        <v>0</v>
      </c>
      <c r="U121">
        <f ca="1"/>
        <v>0</v>
      </c>
      <c r="V121">
        <f ca="1"/>
        <v>0.99868819139491527</v>
      </c>
      <c r="X121" s="2">
        <f t="shared" ca="1" si="8"/>
        <v>45531</v>
      </c>
      <c r="Y121">
        <f t="shared" ca="1" si="9"/>
        <v>0</v>
      </c>
      <c r="AA121" s="63">
        <f t="shared" ca="1" si="11"/>
        <v>324.63858876820433</v>
      </c>
      <c r="AB121" s="63">
        <f t="shared" ca="1" si="12"/>
        <v>324.63858876820433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45532</v>
      </c>
      <c r="K122">
        <f ca="1"/>
        <v>968.96878552555347</v>
      </c>
      <c r="L122">
        <f ca="1"/>
        <v>27.569280963166193</v>
      </c>
      <c r="M122">
        <f ca="1"/>
        <v>1.003647895885651E-2</v>
      </c>
      <c r="N122">
        <f ca="1"/>
        <v>0.70789488667172806</v>
      </c>
      <c r="O122">
        <f ca="1"/>
        <v>705.61004606509744</v>
      </c>
      <c r="P122">
        <f ca="1"/>
        <v>780.42685819399969</v>
      </c>
      <c r="Q122">
        <f ca="1"/>
        <v>0</v>
      </c>
      <c r="R122">
        <f ca="1"/>
        <v>6.126211292527695</v>
      </c>
      <c r="S122">
        <f ca="1"/>
        <v>1</v>
      </c>
      <c r="T122">
        <f ca="1"/>
        <v>1.1500282633285366</v>
      </c>
      <c r="U122">
        <f ca="1"/>
        <v>0</v>
      </c>
      <c r="V122">
        <f ca="1"/>
        <v>0.9988661593536633</v>
      </c>
      <c r="X122" s="2">
        <f t="shared" ca="1" si="8"/>
        <v>45532</v>
      </c>
      <c r="Y122">
        <f t="shared" ca="1" si="9"/>
        <v>705.61004606509744</v>
      </c>
      <c r="AA122" s="63">
        <f t="shared" ca="1" si="11"/>
        <v>1002.6642777812474</v>
      </c>
      <c r="AB122" s="63">
        <f t="shared" ca="1" si="12"/>
        <v>1002.6642777812474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45533</v>
      </c>
      <c r="K123">
        <f ca="1"/>
        <v>940.20192989387954</v>
      </c>
      <c r="L123">
        <f ca="1"/>
        <v>29.522532634520871</v>
      </c>
      <c r="M123">
        <f ca="1"/>
        <v>1.0355464753506904E-2</v>
      </c>
      <c r="N123">
        <f ca="1"/>
        <v>0.74532153809345358</v>
      </c>
      <c r="O123">
        <f ca="1"/>
        <v>0</v>
      </c>
      <c r="P123">
        <f ca="1"/>
        <v>809.94939082852056</v>
      </c>
      <c r="Q123">
        <f ca="1"/>
        <v>0</v>
      </c>
      <c r="R123">
        <f ca="1"/>
        <v>0</v>
      </c>
      <c r="S123">
        <f ca="1"/>
        <v>0.99695652173913052</v>
      </c>
      <c r="T123">
        <f ca="1"/>
        <v>0</v>
      </c>
      <c r="U123">
        <f ca="1"/>
        <v>0</v>
      </c>
      <c r="V123">
        <f ca="1"/>
        <v>0.99902727400210534</v>
      </c>
      <c r="X123" s="2">
        <f t="shared" ca="1" si="8"/>
        <v>45533</v>
      </c>
      <c r="Y123">
        <f t="shared" ca="1" si="9"/>
        <v>0</v>
      </c>
      <c r="AA123" s="63">
        <f t="shared" ca="1" si="11"/>
        <v>969.72446252840041</v>
      </c>
      <c r="AB123" s="63">
        <f t="shared" ca="1" si="12"/>
        <v>969.72446252840041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45534</v>
      </c>
      <c r="K124">
        <f ca="1"/>
        <v>912.10005681001417</v>
      </c>
      <c r="L124">
        <f ca="1"/>
        <v>28.825895114973036</v>
      </c>
      <c r="M124">
        <f ca="1"/>
        <v>9.9738350269920062E-3</v>
      </c>
      <c r="N124">
        <f ca="1"/>
        <v>0.71404819608056869</v>
      </c>
      <c r="O124">
        <f ca="1"/>
        <v>0</v>
      </c>
      <c r="P124">
        <f ca="1"/>
        <v>838.7752859434936</v>
      </c>
      <c r="Q124">
        <f ca="1"/>
        <v>0</v>
      </c>
      <c r="R124">
        <f ca="1"/>
        <v>0</v>
      </c>
      <c r="S124">
        <f ca="1"/>
        <v>0.99579716848602118</v>
      </c>
      <c r="T124">
        <f ca="1"/>
        <v>0</v>
      </c>
      <c r="U124">
        <f ca="1"/>
        <v>0</v>
      </c>
      <c r="V124">
        <f ca="1"/>
        <v>0.99916032111091568</v>
      </c>
      <c r="X124" s="2">
        <f t="shared" ca="1" si="8"/>
        <v>45534</v>
      </c>
      <c r="Y124">
        <f t="shared" ca="1" si="9"/>
        <v>0</v>
      </c>
      <c r="AA124" s="63">
        <f t="shared" ca="1" si="11"/>
        <v>940.9259519249872</v>
      </c>
      <c r="AB124" s="63">
        <f t="shared" ca="1" si="12"/>
        <v>940.9259519249872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45535</v>
      </c>
      <c r="K125">
        <f ca="1"/>
        <v>885.02308881544695</v>
      </c>
      <c r="L125">
        <f ca="1"/>
        <v>27.763477851299967</v>
      </c>
      <c r="M125">
        <f ca="1"/>
        <v>9.5402540323803464E-3</v>
      </c>
      <c r="N125">
        <f ca="1"/>
        <v>0.67696960270042861</v>
      </c>
      <c r="O125">
        <f ca="1"/>
        <v>0</v>
      </c>
      <c r="P125">
        <f ca="1"/>
        <v>866.53876379479357</v>
      </c>
      <c r="Q125">
        <f ca="1"/>
        <v>0</v>
      </c>
      <c r="R125">
        <f ca="1"/>
        <v>0</v>
      </c>
      <c r="S125">
        <f ca="1"/>
        <v>0.9813044949359353</v>
      </c>
      <c r="T125">
        <f ca="1"/>
        <v>0</v>
      </c>
      <c r="U125">
        <f ca="1"/>
        <v>0</v>
      </c>
      <c r="V125">
        <f ca="1"/>
        <v>0.99926966643303661</v>
      </c>
      <c r="X125" s="2">
        <f t="shared" ca="1" si="8"/>
        <v>45535</v>
      </c>
      <c r="Y125">
        <f t="shared" ca="1" si="9"/>
        <v>0</v>
      </c>
      <c r="AA125" s="63">
        <f t="shared" ca="1" si="11"/>
        <v>912.78656666674692</v>
      </c>
      <c r="AB125" s="63">
        <f t="shared" ca="1" si="12"/>
        <v>912.78656666674692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45536</v>
      </c>
      <c r="K126">
        <f ca="1"/>
        <v>857.21329100730691</v>
      </c>
      <c r="L126">
        <f ca="1"/>
        <v>26.860668071461077</v>
      </c>
      <c r="M126">
        <f ca="1"/>
        <v>9.1831394941368494E-3</v>
      </c>
      <c r="N126">
        <f ca="1"/>
        <v>0.64691768248284565</v>
      </c>
      <c r="O126">
        <f ca="1"/>
        <v>0</v>
      </c>
      <c r="P126">
        <f ca="1"/>
        <v>893.39943186625464</v>
      </c>
      <c r="Q126">
        <f ca="1"/>
        <v>0</v>
      </c>
      <c r="R126">
        <f ca="1"/>
        <v>1.6052305586559228</v>
      </c>
      <c r="S126">
        <f ca="1"/>
        <v>1</v>
      </c>
      <c r="T126">
        <f ca="1"/>
        <v>0.34002747995408811</v>
      </c>
      <c r="U126">
        <f ca="1"/>
        <v>0</v>
      </c>
      <c r="V126">
        <f ca="1"/>
        <v>0.99936073977356132</v>
      </c>
      <c r="X126" s="2">
        <f t="shared" ca="1" si="8"/>
        <v>45536</v>
      </c>
      <c r="Y126">
        <f t="shared" ca="1" si="9"/>
        <v>0</v>
      </c>
      <c r="AA126" s="63">
        <f t="shared" ca="1" si="11"/>
        <v>885.67918963742386</v>
      </c>
      <c r="AB126" s="63">
        <f t="shared" ca="1" si="12"/>
        <v>885.67918963742386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45537</v>
      </c>
      <c r="K127">
        <f ca="1"/>
        <v>830.43452309374106</v>
      </c>
      <c r="L127">
        <f ca="1"/>
        <v>27.440679155049224</v>
      </c>
      <c r="M127">
        <f ca="1"/>
        <v>9.1822405199288859E-3</v>
      </c>
      <c r="N127">
        <f ca="1"/>
        <v>0.65272900096344622</v>
      </c>
      <c r="O127">
        <f ca="1"/>
        <v>0</v>
      </c>
      <c r="P127">
        <f ca="1"/>
        <v>920.84011102130387</v>
      </c>
      <c r="Q127">
        <f ca="1"/>
        <v>0</v>
      </c>
      <c r="R127">
        <f ca="1"/>
        <v>0</v>
      </c>
      <c r="S127">
        <f ca="1"/>
        <v>0.99014492753623173</v>
      </c>
      <c r="T127">
        <f ca="1"/>
        <v>0</v>
      </c>
      <c r="U127">
        <f ca="1"/>
        <v>0</v>
      </c>
      <c r="V127">
        <f ca="1"/>
        <v>0.99944115651990961</v>
      </c>
      <c r="X127" s="2">
        <f t="shared" ca="1" si="8"/>
        <v>45537</v>
      </c>
      <c r="Y127">
        <f t="shared" ca="1" si="9"/>
        <v>0</v>
      </c>
      <c r="AA127" s="63">
        <f t="shared" ca="1" si="11"/>
        <v>857.87520224879029</v>
      </c>
      <c r="AB127" s="63">
        <f t="shared" ca="1" si="12"/>
        <v>857.87520224879029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45538</v>
      </c>
      <c r="K128">
        <f ca="1"/>
        <v>802.48527769240195</v>
      </c>
      <c r="L128">
        <f ca="1"/>
        <v>28.631566025886514</v>
      </c>
      <c r="M128">
        <f ca="1"/>
        <v>9.3202250573565237E-3</v>
      </c>
      <c r="N128">
        <f ca="1"/>
        <v>0.67300039949008261</v>
      </c>
      <c r="O128">
        <f ca="1"/>
        <v>0</v>
      </c>
      <c r="P128">
        <f ca="1"/>
        <v>949.47167704719038</v>
      </c>
      <c r="Q128">
        <f ca="1"/>
        <v>0</v>
      </c>
      <c r="R128">
        <f ca="1"/>
        <v>0</v>
      </c>
      <c r="S128">
        <f ca="1"/>
        <v>0.99956534245317041</v>
      </c>
      <c r="T128">
        <f ca="1"/>
        <v>0</v>
      </c>
      <c r="U128">
        <f ca="1"/>
        <v>0</v>
      </c>
      <c r="V128">
        <f ca="1"/>
        <v>0.99951354612417642</v>
      </c>
      <c r="X128" s="2">
        <f t="shared" ca="1" si="8"/>
        <v>45538</v>
      </c>
      <c r="Y128">
        <f t="shared" ca="1" si="9"/>
        <v>0</v>
      </c>
      <c r="AA128" s="63">
        <f t="shared" ca="1" si="11"/>
        <v>831.11684371828846</v>
      </c>
      <c r="AB128" s="63">
        <f t="shared" ca="1" si="12"/>
        <v>831.11684371828846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45539</v>
      </c>
      <c r="K129">
        <f ca="1"/>
        <v>767.97079058059171</v>
      </c>
      <c r="L129">
        <f ca="1"/>
        <v>28.115097507219957</v>
      </c>
      <c r="M129">
        <f ca="1"/>
        <v>9.0798473835640436E-3</v>
      </c>
      <c r="N129">
        <f ca="1"/>
        <v>0.65467348789473667</v>
      </c>
      <c r="O129">
        <f ca="1"/>
        <v>0</v>
      </c>
      <c r="P129">
        <f ca="1"/>
        <v>977.58677455441034</v>
      </c>
      <c r="Q129">
        <f ca="1"/>
        <v>0</v>
      </c>
      <c r="R129">
        <f ca="1"/>
        <v>7.063142939868472</v>
      </c>
      <c r="S129">
        <f ca="1"/>
        <v>1</v>
      </c>
      <c r="T129">
        <f ca="1"/>
        <v>1.6700089064122068</v>
      </c>
      <c r="U129">
        <f ca="1"/>
        <v>0</v>
      </c>
      <c r="V129">
        <f ca="1"/>
        <v>0.99957492444185247</v>
      </c>
      <c r="X129" s="2">
        <f t="shared" ca="1" si="8"/>
        <v>45539</v>
      </c>
      <c r="Y129">
        <f t="shared" ca="1" si="9"/>
        <v>0</v>
      </c>
      <c r="AA129" s="63">
        <f t="shared" ca="1" si="11"/>
        <v>803.14903102768017</v>
      </c>
      <c r="AB129" s="63">
        <f t="shared" ca="1" si="12"/>
        <v>803.14903102768017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45540</v>
      </c>
      <c r="K130">
        <f ca="1"/>
        <v>720.99899969780279</v>
      </c>
      <c r="L130">
        <f ca="1"/>
        <v>29.962730076272919</v>
      </c>
      <c r="M130">
        <f ca="1"/>
        <v>9.3675814294726933E-3</v>
      </c>
      <c r="N130">
        <f ca="1"/>
        <v>0.690978926371002</v>
      </c>
      <c r="O130">
        <f ca="1"/>
        <v>0</v>
      </c>
      <c r="P130">
        <f ca="1"/>
        <v>1007.5495046306833</v>
      </c>
      <c r="Q130">
        <f ca="1"/>
        <v>0</v>
      </c>
      <c r="R130">
        <f ca="1"/>
        <v>17.709407314316501</v>
      </c>
      <c r="S130">
        <f ca="1"/>
        <v>1</v>
      </c>
      <c r="T130">
        <f ca="1"/>
        <v>4.460000000000008</v>
      </c>
      <c r="U130">
        <f ca="1"/>
        <v>0</v>
      </c>
      <c r="V130">
        <f ca="1"/>
        <v>0.99963136817263798</v>
      </c>
      <c r="X130" s="2">
        <f t="shared" ca="1" si="8"/>
        <v>45540</v>
      </c>
      <c r="Y130">
        <f t="shared" ca="1" si="9"/>
        <v>0</v>
      </c>
      <c r="AA130" s="63">
        <f t="shared" ca="1" si="11"/>
        <v>768.67113708839224</v>
      </c>
      <c r="AB130" s="63">
        <f t="shared" ca="1" si="12"/>
        <v>768.67113708839224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45541</v>
      </c>
      <c r="K131">
        <f ca="1"/>
        <v>690.23820998978556</v>
      </c>
      <c r="L131">
        <f ca="1"/>
        <v>31.491301818666443</v>
      </c>
      <c r="M131">
        <f ca="1"/>
        <v>9.587347274322866E-3</v>
      </c>
      <c r="N131">
        <f ca="1"/>
        <v>0.72092476337492706</v>
      </c>
      <c r="O131">
        <f ca="1"/>
        <v>0</v>
      </c>
      <c r="P131">
        <f ca="1"/>
        <v>1039.0408064493497</v>
      </c>
      <c r="Q131">
        <f ca="1"/>
        <v>0</v>
      </c>
      <c r="R131">
        <f ca="1"/>
        <v>0</v>
      </c>
      <c r="S131">
        <f ca="1"/>
        <v>0.9910144927536233</v>
      </c>
      <c r="T131">
        <f ca="1"/>
        <v>0</v>
      </c>
      <c r="U131">
        <f ca="1"/>
        <v>0</v>
      </c>
      <c r="V131">
        <f ca="1"/>
        <v>0.99968225362215368</v>
      </c>
      <c r="X131" s="2">
        <f t="shared" ca="1" si="8"/>
        <v>45541</v>
      </c>
      <c r="Y131">
        <f t="shared" ca="1" si="9"/>
        <v>0</v>
      </c>
      <c r="AA131" s="63">
        <f t="shared" ca="1" si="11"/>
        <v>721.729511808452</v>
      </c>
      <c r="AB131" s="63">
        <f t="shared" ca="1" si="12"/>
        <v>721.729511808452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45542</v>
      </c>
      <c r="K132">
        <f ca="1"/>
        <v>659.81026266401454</v>
      </c>
      <c r="L132">
        <f ca="1"/>
        <v>31.145233301353983</v>
      </c>
      <c r="M132">
        <f ca="1"/>
        <v>9.3910889112573948E-3</v>
      </c>
      <c r="N132">
        <f ca="1"/>
        <v>0.70789488667172806</v>
      </c>
      <c r="O132">
        <f ca="1"/>
        <v>0</v>
      </c>
      <c r="P132">
        <f ca="1"/>
        <v>1070.1860397507037</v>
      </c>
      <c r="Q132">
        <f ca="1"/>
        <v>0</v>
      </c>
      <c r="R132">
        <f ca="1"/>
        <v>0</v>
      </c>
      <c r="S132">
        <f ca="1"/>
        <v>0.97652180635915897</v>
      </c>
      <c r="T132">
        <f ca="1"/>
        <v>0</v>
      </c>
      <c r="U132">
        <f ca="1"/>
        <v>0</v>
      </c>
      <c r="V132">
        <f ca="1"/>
        <v>0.99972539811595629</v>
      </c>
      <c r="X132" s="2">
        <f t="shared" ca="1" si="8"/>
        <v>45542</v>
      </c>
      <c r="Y132">
        <f t="shared" ca="1" si="9"/>
        <v>0</v>
      </c>
      <c r="AA132" s="63">
        <f t="shared" ca="1" si="11"/>
        <v>690.95549596536853</v>
      </c>
      <c r="AB132" s="63">
        <f t="shared" ca="1" si="12"/>
        <v>690.95549596536853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45543</v>
      </c>
      <c r="K133">
        <f ca="1"/>
        <v>628.91134417181013</v>
      </c>
      <c r="L133">
        <f ca="1"/>
        <v>28.434073141009094</v>
      </c>
      <c r="M133">
        <f ca="1"/>
        <v>8.7161376036317684E-3</v>
      </c>
      <c r="N133">
        <f ca="1"/>
        <v>0.64370350953085254</v>
      </c>
      <c r="O133">
        <f ca="1"/>
        <v>0</v>
      </c>
      <c r="P133">
        <f ca="1"/>
        <v>1098.6201128917128</v>
      </c>
      <c r="Q133">
        <f ca="1"/>
        <v>0</v>
      </c>
      <c r="R133">
        <f ca="1"/>
        <v>3.1172649983297873</v>
      </c>
      <c r="S133">
        <f ca="1"/>
        <v>1</v>
      </c>
      <c r="T133">
        <f ca="1"/>
        <v>0.90001508529080354</v>
      </c>
      <c r="U133">
        <f ca="1"/>
        <v>0</v>
      </c>
      <c r="V133">
        <f ca="1"/>
        <v>0.99975948909805401</v>
      </c>
      <c r="X133" s="2">
        <f t="shared" ca="1" si="8"/>
        <v>45543</v>
      </c>
      <c r="Y133">
        <f t="shared" ca="1" si="9"/>
        <v>0</v>
      </c>
      <c r="AA133" s="63">
        <f t="shared" ca="1" si="11"/>
        <v>660.46268231114902</v>
      </c>
      <c r="AB133" s="63">
        <f t="shared" ca="1" si="12"/>
        <v>660.46268231114902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45544</v>
      </c>
      <c r="K134">
        <f ca="1"/>
        <v>593.84094091276154</v>
      </c>
      <c r="L134">
        <f ca="1"/>
        <v>29.965673279815746</v>
      </c>
      <c r="M134">
        <f ca="1"/>
        <v>8.945091494504176E-3</v>
      </c>
      <c r="N134">
        <f ca="1"/>
        <v>0.67498314460483333</v>
      </c>
      <c r="O134">
        <f ca="1"/>
        <v>0</v>
      </c>
      <c r="P134">
        <f ca="1"/>
        <v>1128.5857861715285</v>
      </c>
      <c r="Q134">
        <f ca="1"/>
        <v>0</v>
      </c>
      <c r="R134">
        <f ca="1"/>
        <v>5.7886582153322097</v>
      </c>
      <c r="S134">
        <f ca="1"/>
        <v>1</v>
      </c>
      <c r="T134">
        <f ca="1"/>
        <v>1.769999999999996</v>
      </c>
      <c r="U134">
        <f ca="1"/>
        <v>0</v>
      </c>
      <c r="V134">
        <f ca="1"/>
        <v>0.99979073885131586</v>
      </c>
      <c r="X134" s="2">
        <f t="shared" ca="1" si="8"/>
        <v>45544</v>
      </c>
      <c r="Y134">
        <f t="shared" ca="1" si="9"/>
        <v>0</v>
      </c>
      <c r="AA134" s="63">
        <f t="shared" ca="1" si="11"/>
        <v>629.59527240790953</v>
      </c>
      <c r="AB134" s="63">
        <f t="shared" ca="1" si="12"/>
        <v>629.59527240790953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45545</v>
      </c>
      <c r="K135">
        <f ca="1"/>
        <v>548.50196234323721</v>
      </c>
      <c r="L135">
        <f ca="1"/>
        <v>31.681492339447232</v>
      </c>
      <c r="M135">
        <f ca="1"/>
        <v>9.2211391927268238E-3</v>
      </c>
      <c r="N135">
        <f ca="1"/>
        <v>0.71199334792503333</v>
      </c>
      <c r="O135">
        <f ca="1"/>
        <v>0</v>
      </c>
      <c r="P135">
        <f ca="1"/>
        <v>1160.2672785109758</v>
      </c>
      <c r="Q135">
        <f ca="1"/>
        <v>0</v>
      </c>
      <c r="R135">
        <f ca="1"/>
        <v>14.378700717194866</v>
      </c>
      <c r="S135">
        <f ca="1"/>
        <v>1</v>
      </c>
      <c r="T135">
        <f ca="1"/>
        <v>4.7599999999999909</v>
      </c>
      <c r="U135">
        <f ca="1"/>
        <v>0</v>
      </c>
      <c r="V135">
        <f ca="1"/>
        <v>0.99981930520113227</v>
      </c>
      <c r="X135" s="2">
        <f t="shared" ca="1" si="8"/>
        <v>45545</v>
      </c>
      <c r="Y135">
        <f t="shared" ca="1" si="9"/>
        <v>0</v>
      </c>
      <c r="AA135" s="63">
        <f t="shared" ca="1" si="11"/>
        <v>594.56215539987932</v>
      </c>
      <c r="AB135" s="63">
        <f t="shared" ca="1" si="12"/>
        <v>594.56215539987932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45546</v>
      </c>
      <c r="K136">
        <f ca="1"/>
        <v>517.76953417743619</v>
      </c>
      <c r="L136">
        <f ca="1"/>
        <v>31.155374423558669</v>
      </c>
      <c r="M136">
        <f ca="1"/>
        <v>9.0284775814954976E-3</v>
      </c>
      <c r="N136">
        <f ca="1"/>
        <v>0.69906621928832946</v>
      </c>
      <c r="O136">
        <f ca="1"/>
        <v>0</v>
      </c>
      <c r="P136">
        <f ca="1"/>
        <v>1191.4226529345344</v>
      </c>
      <c r="Q136">
        <f ca="1"/>
        <v>0</v>
      </c>
      <c r="R136">
        <f ca="1"/>
        <v>0.28514843911219501</v>
      </c>
      <c r="S136">
        <f ca="1"/>
        <v>1</v>
      </c>
      <c r="T136">
        <f ca="1"/>
        <v>9.9999999999994316E-2</v>
      </c>
      <c r="U136">
        <f ca="1"/>
        <v>0</v>
      </c>
      <c r="V136">
        <f ca="1"/>
        <v>0.99984356305873323</v>
      </c>
      <c r="X136" s="2">
        <f t="shared" ca="1" si="8"/>
        <v>45546</v>
      </c>
      <c r="Y136">
        <f t="shared" ca="1" si="9"/>
        <v>0</v>
      </c>
      <c r="AA136" s="63">
        <f t="shared" ca="1" si="11"/>
        <v>549.21005704010702</v>
      </c>
      <c r="AB136" s="63">
        <f t="shared" ca="1" si="12"/>
        <v>549.21005704010702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45547</v>
      </c>
      <c r="K137">
        <f ca="1"/>
        <v>485.08570043903637</v>
      </c>
      <c r="L137">
        <f ca="1"/>
        <v>33.445665363221678</v>
      </c>
      <c r="M137">
        <f ca="1"/>
        <v>9.4453882279870172E-3</v>
      </c>
      <c r="N137">
        <f ca="1"/>
        <v>0.75238623659392923</v>
      </c>
      <c r="O137">
        <f ca="1"/>
        <v>0</v>
      </c>
      <c r="P137">
        <f ca="1"/>
        <v>1224.8683182977561</v>
      </c>
      <c r="Q137">
        <f ca="1"/>
        <v>0</v>
      </c>
      <c r="R137">
        <f ca="1"/>
        <v>0</v>
      </c>
      <c r="S137">
        <f ca="1"/>
        <v>0.99449275362318845</v>
      </c>
      <c r="T137">
        <f ca="1"/>
        <v>0</v>
      </c>
      <c r="U137">
        <f ca="1"/>
        <v>0</v>
      </c>
      <c r="V137">
        <f ca="1"/>
        <v>0.99986599583040503</v>
      </c>
      <c r="X137" s="2">
        <f t="shared" ca="1" si="8"/>
        <v>45547</v>
      </c>
      <c r="Y137">
        <f t="shared" ca="1" si="9"/>
        <v>0</v>
      </c>
      <c r="AA137" s="63">
        <f t="shared" ca="1" si="11"/>
        <v>518.53136580225805</v>
      </c>
      <c r="AB137" s="63">
        <f t="shared" ca="1" si="12"/>
        <v>518.53136580225805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45548</v>
      </c>
      <c r="K138">
        <f ca="1"/>
        <v>451.83663271187402</v>
      </c>
      <c r="L138">
        <f ca="1"/>
        <v>33.031799793699975</v>
      </c>
      <c r="M138">
        <f ca="1"/>
        <v>9.2875433029462329E-3</v>
      </c>
      <c r="N138">
        <f ca="1"/>
        <v>0.74391362987167331</v>
      </c>
      <c r="O138">
        <f ca="1"/>
        <v>0</v>
      </c>
      <c r="P138">
        <f ca="1"/>
        <v>1257.9001180914561</v>
      </c>
      <c r="Q138">
        <f ca="1"/>
        <v>0</v>
      </c>
      <c r="R138">
        <f ca="1"/>
        <v>0.97046910663700259</v>
      </c>
      <c r="S138">
        <f ca="1"/>
        <v>1</v>
      </c>
      <c r="T138">
        <f ca="1"/>
        <v>0.39000104480038544</v>
      </c>
      <c r="U138">
        <f ca="1"/>
        <v>0</v>
      </c>
      <c r="V138">
        <f ca="1"/>
        <v>0.99988502196732698</v>
      </c>
      <c r="X138" s="2">
        <f t="shared" ca="1" si="8"/>
        <v>45548</v>
      </c>
      <c r="Y138">
        <f t="shared" ca="1" si="9"/>
        <v>0</v>
      </c>
      <c r="AA138" s="63">
        <f t="shared" ca="1" si="11"/>
        <v>485.83890161221098</v>
      </c>
      <c r="AB138" s="63">
        <f t="shared" ca="1" si="12"/>
        <v>485.83890161221098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45549</v>
      </c>
      <c r="K139">
        <f ca="1"/>
        <v>418.88508197606893</v>
      </c>
      <c r="L139">
        <f ca="1"/>
        <v>33.723993775621011</v>
      </c>
      <c r="M139">
        <f ca="1"/>
        <v>9.3810392895017358E-3</v>
      </c>
      <c r="N139">
        <f ca="1"/>
        <v>0.76306200052639228</v>
      </c>
      <c r="O139">
        <f ca="1"/>
        <v>0</v>
      </c>
      <c r="P139">
        <f ca="1"/>
        <v>1291.6241118670771</v>
      </c>
      <c r="Q139">
        <f ca="1"/>
        <v>0</v>
      </c>
      <c r="R139">
        <f ca="1"/>
        <v>0</v>
      </c>
      <c r="S139">
        <f ca="1"/>
        <v>0.99275362318840576</v>
      </c>
      <c r="T139">
        <f ca="1"/>
        <v>0</v>
      </c>
      <c r="U139">
        <f ca="1"/>
        <v>0</v>
      </c>
      <c r="V139">
        <f ca="1"/>
        <v>0.9999017137945071</v>
      </c>
      <c r="X139" s="2">
        <f t="shared" ref="X139:X202" ca="1" si="15">IFERROR(J139,$X$9)</f>
        <v>45549</v>
      </c>
      <c r="Y139">
        <f t="shared" ref="Y139:Y202" ca="1" si="16">IFERROR(O139,0)</f>
        <v>0</v>
      </c>
      <c r="AA139" s="63">
        <f t="shared" ca="1" si="11"/>
        <v>452.60907575168994</v>
      </c>
      <c r="AB139" s="63">
        <f t="shared" ca="1" si="12"/>
        <v>452.60907575168994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45550</v>
      </c>
      <c r="K140">
        <f ca="1"/>
        <v>385.88297394411421</v>
      </c>
      <c r="L140">
        <f ca="1"/>
        <v>33.322426797411708</v>
      </c>
      <c r="M140">
        <f ca="1"/>
        <v>9.2467661042916482E-3</v>
      </c>
      <c r="N140">
        <f ca="1"/>
        <v>0.75735649553547946</v>
      </c>
      <c r="O140">
        <f ca="1"/>
        <v>0</v>
      </c>
      <c r="P140">
        <f ca="1"/>
        <v>1324.9465386644888</v>
      </c>
      <c r="Q140">
        <f ca="1"/>
        <v>0</v>
      </c>
      <c r="R140">
        <f ca="1"/>
        <v>0.44628449618280269</v>
      </c>
      <c r="S140">
        <f ca="1"/>
        <v>1</v>
      </c>
      <c r="T140">
        <f ca="1"/>
        <v>0.21000115194368618</v>
      </c>
      <c r="U140">
        <f ca="1"/>
        <v>0</v>
      </c>
      <c r="V140">
        <f ca="1"/>
        <v>0.99991588982533586</v>
      </c>
      <c r="X140" s="2">
        <f t="shared" ca="1" si="15"/>
        <v>45550</v>
      </c>
      <c r="Y140">
        <f t="shared" ca="1" si="16"/>
        <v>0</v>
      </c>
      <c r="AA140" s="63">
        <f t="shared" ca="1" si="11"/>
        <v>419.6516852377087</v>
      </c>
      <c r="AB140" s="63">
        <f t="shared" ca="1" si="12"/>
        <v>419.6516852377087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45551</v>
      </c>
      <c r="K141">
        <f ca="1"/>
        <v>346.04504886536313</v>
      </c>
      <c r="L141">
        <f ca="1"/>
        <v>35.793556675547961</v>
      </c>
      <c r="M141">
        <f ca="1"/>
        <v>9.7648369366871712E-3</v>
      </c>
      <c r="N141">
        <f ca="1"/>
        <v>0.8246004342982739</v>
      </c>
      <c r="O141">
        <f ca="1"/>
        <v>0</v>
      </c>
      <c r="P141">
        <f ca="1"/>
        <v>1360.7400953400368</v>
      </c>
      <c r="Q141">
        <f ca="1"/>
        <v>0</v>
      </c>
      <c r="R141">
        <f ca="1"/>
        <v>4.8787336744380525</v>
      </c>
      <c r="S141">
        <f ca="1"/>
        <v>1</v>
      </c>
      <c r="T141">
        <f ca="1"/>
        <v>2.5600000000000023</v>
      </c>
      <c r="U141">
        <f ca="1"/>
        <v>0</v>
      </c>
      <c r="V141">
        <f ca="1"/>
        <v>0.99992892918011766</v>
      </c>
      <c r="X141" s="2">
        <f t="shared" ca="1" si="15"/>
        <v>45551</v>
      </c>
      <c r="Y141">
        <f t="shared" ca="1" si="16"/>
        <v>0</v>
      </c>
      <c r="AA141" s="63">
        <f t="shared" ref="AA141:AA204" ca="1" si="18">K140+M141+N141+O141</f>
        <v>386.71733921534917</v>
      </c>
      <c r="AB141" s="63">
        <f t="shared" ref="AB141:AB204" ca="1" si="19">K141+L141+R141</f>
        <v>386.71733921534917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45552</v>
      </c>
      <c r="K142">
        <f ca="1"/>
        <v>310.54168132089893</v>
      </c>
      <c r="L142">
        <f ca="1"/>
        <v>32.990473698705273</v>
      </c>
      <c r="M142">
        <f ca="1"/>
        <v>9.1137870386148734E-3</v>
      </c>
      <c r="N142">
        <f ca="1"/>
        <v>0.76163310186510647</v>
      </c>
      <c r="O142">
        <f ca="1"/>
        <v>0</v>
      </c>
      <c r="P142">
        <f ca="1"/>
        <v>1393.730569038742</v>
      </c>
      <c r="Q142">
        <f ca="1"/>
        <v>0</v>
      </c>
      <c r="R142">
        <f ca="1"/>
        <v>3.283640734662725</v>
      </c>
      <c r="S142">
        <f ca="1"/>
        <v>1</v>
      </c>
      <c r="T142">
        <f ca="1"/>
        <v>1.9200000000000017</v>
      </c>
      <c r="U142">
        <f ca="1"/>
        <v>0</v>
      </c>
      <c r="V142">
        <f ca="1"/>
        <v>0.9999392304408341</v>
      </c>
      <c r="X142" s="2">
        <f t="shared" ca="1" si="15"/>
        <v>45552</v>
      </c>
      <c r="Y142">
        <f t="shared" ca="1" si="16"/>
        <v>0</v>
      </c>
      <c r="AA142" s="63">
        <f t="shared" ca="1" si="18"/>
        <v>346.81579575426684</v>
      </c>
      <c r="AB142" s="63">
        <f t="shared" ca="1" si="19"/>
        <v>346.8157957542669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45553</v>
      </c>
      <c r="K143">
        <f ca="1"/>
        <v>270.88916807960254</v>
      </c>
      <c r="L143">
        <f ca="1"/>
        <v>30.233798059013907</v>
      </c>
      <c r="M143">
        <f ca="1"/>
        <v>8.5157781811555644E-3</v>
      </c>
      <c r="N143">
        <f ca="1"/>
        <v>0.70245355372461293</v>
      </c>
      <c r="O143">
        <f ca="1"/>
        <v>0</v>
      </c>
      <c r="P143">
        <f ca="1"/>
        <v>1423.9643670977559</v>
      </c>
      <c r="Q143">
        <f ca="1"/>
        <v>0</v>
      </c>
      <c r="R143">
        <f ca="1"/>
        <v>10.129684514188256</v>
      </c>
      <c r="S143">
        <f ca="1"/>
        <v>1</v>
      </c>
      <c r="T143">
        <f ca="1"/>
        <v>6.789999999999992</v>
      </c>
      <c r="U143">
        <f ca="1"/>
        <v>0</v>
      </c>
      <c r="V143">
        <f ca="1"/>
        <v>0.99994742573982265</v>
      </c>
      <c r="X143" s="2">
        <f t="shared" ca="1" si="15"/>
        <v>45553</v>
      </c>
      <c r="Y143">
        <f t="shared" ca="1" si="16"/>
        <v>0</v>
      </c>
      <c r="AA143" s="63">
        <f t="shared" ca="1" si="18"/>
        <v>311.25265065280473</v>
      </c>
      <c r="AB143" s="63">
        <f t="shared" ca="1" si="19"/>
        <v>311.25265065280473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45554</v>
      </c>
      <c r="K144">
        <f ca="1"/>
        <v>239.66104292950749</v>
      </c>
      <c r="L144">
        <f ca="1"/>
        <v>29.60854233955888</v>
      </c>
      <c r="M144">
        <f ca="1"/>
        <v>8.3775209302516807E-3</v>
      </c>
      <c r="N144">
        <f ca="1"/>
        <v>0.69501511072565969</v>
      </c>
      <c r="O144">
        <f ca="1"/>
        <v>0</v>
      </c>
      <c r="P144">
        <f ca="1"/>
        <v>1453.5729094373148</v>
      </c>
      <c r="Q144">
        <f ca="1"/>
        <v>0</v>
      </c>
      <c r="R144">
        <f ca="1"/>
        <v>2.3229754421920834</v>
      </c>
      <c r="S144">
        <f ca="1"/>
        <v>1</v>
      </c>
      <c r="T144">
        <f ca="1"/>
        <v>1.7599999999999909</v>
      </c>
      <c r="U144">
        <f ca="1"/>
        <v>0</v>
      </c>
      <c r="V144">
        <f ca="1"/>
        <v>0.99995444680224266</v>
      </c>
      <c r="X144" s="2">
        <f t="shared" ca="1" si="15"/>
        <v>45554</v>
      </c>
      <c r="Y144">
        <f t="shared" ca="1" si="16"/>
        <v>0</v>
      </c>
      <c r="AA144" s="63">
        <f t="shared" ca="1" si="18"/>
        <v>271.59256071125844</v>
      </c>
      <c r="AB144" s="63">
        <f t="shared" ca="1" si="19"/>
        <v>271.5925607112585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45555</v>
      </c>
      <c r="K145">
        <f ca="1"/>
        <v>212.57373348955733</v>
      </c>
      <c r="L145">
        <f ca="1"/>
        <v>27.754534805267213</v>
      </c>
      <c r="M145">
        <f ca="1"/>
        <v>8.0003740100691445E-3</v>
      </c>
      <c r="N145">
        <f ca="1"/>
        <v>0.65922499130699241</v>
      </c>
      <c r="O145">
        <f ca="1"/>
        <v>0</v>
      </c>
      <c r="P145">
        <f ca="1"/>
        <v>1481.327444242582</v>
      </c>
      <c r="Q145">
        <f ca="1"/>
        <v>0</v>
      </c>
      <c r="R145">
        <f ca="1"/>
        <v>0</v>
      </c>
      <c r="S145">
        <f ca="1"/>
        <v>0.99507246376811587</v>
      </c>
      <c r="T145">
        <f ca="1"/>
        <v>0</v>
      </c>
      <c r="U145">
        <f ca="1"/>
        <v>0</v>
      </c>
      <c r="V145">
        <f ca="1"/>
        <v>0.99996023511441268</v>
      </c>
      <c r="X145" s="2">
        <f t="shared" ca="1" si="15"/>
        <v>45555</v>
      </c>
      <c r="Y145">
        <f t="shared" ca="1" si="16"/>
        <v>0</v>
      </c>
      <c r="AA145" s="63">
        <f t="shared" ca="1" si="18"/>
        <v>240.32826829482454</v>
      </c>
      <c r="AB145" s="63">
        <f t="shared" ca="1" si="19"/>
        <v>240.32826829482454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45556</v>
      </c>
      <c r="K146">
        <f ca="1"/>
        <v>183.6904311490411</v>
      </c>
      <c r="L146">
        <f ca="1"/>
        <v>28.276145303804924</v>
      </c>
      <c r="M146">
        <f ca="1"/>
        <v>8.103799465238648E-3</v>
      </c>
      <c r="N146">
        <f ca="1"/>
        <v>0.67962399241853055</v>
      </c>
      <c r="O146">
        <f ca="1"/>
        <v>0</v>
      </c>
      <c r="P146">
        <f ca="1"/>
        <v>1509.603589546387</v>
      </c>
      <c r="Q146">
        <f ca="1"/>
        <v>0</v>
      </c>
      <c r="R146">
        <f ca="1"/>
        <v>1.2948848285950454</v>
      </c>
      <c r="S146">
        <f ca="1"/>
        <v>1</v>
      </c>
      <c r="T146">
        <f ca="1"/>
        <v>1.2800003934274287</v>
      </c>
      <c r="U146">
        <f ca="1"/>
        <v>0</v>
      </c>
      <c r="V146">
        <f ca="1"/>
        <v>0.9999654360939324</v>
      </c>
      <c r="X146" s="2">
        <f t="shared" ca="1" si="15"/>
        <v>45556</v>
      </c>
      <c r="Y146">
        <f t="shared" ca="1" si="16"/>
        <v>0</v>
      </c>
      <c r="AA146" s="63">
        <f t="shared" ca="1" si="18"/>
        <v>213.26146128144109</v>
      </c>
      <c r="AB146" s="63">
        <f t="shared" ca="1" si="19"/>
        <v>213.26146128144109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45557</v>
      </c>
      <c r="K147">
        <f ca="1"/>
        <v>154.36447562143195</v>
      </c>
      <c r="L147">
        <f ca="1"/>
        <v>30.068549266155514</v>
      </c>
      <c r="M147">
        <f ca="1"/>
        <v>8.4885637282607895E-3</v>
      </c>
      <c r="N147">
        <f ca="1"/>
        <v>0.73410517481809712</v>
      </c>
      <c r="O147">
        <f ca="1"/>
        <v>0</v>
      </c>
      <c r="P147">
        <f ca="1"/>
        <v>1539.6721388125425</v>
      </c>
      <c r="Q147">
        <f ca="1"/>
        <v>0</v>
      </c>
      <c r="R147">
        <f ca="1"/>
        <v>0</v>
      </c>
      <c r="S147">
        <f ca="1"/>
        <v>0.99507246376811609</v>
      </c>
      <c r="T147">
        <f ca="1"/>
        <v>0</v>
      </c>
      <c r="U147">
        <f ca="1"/>
        <v>0</v>
      </c>
      <c r="V147">
        <f ca="1"/>
        <v>0.99997028661660348</v>
      </c>
      <c r="X147" s="2">
        <f t="shared" ca="1" si="15"/>
        <v>45557</v>
      </c>
      <c r="Y147">
        <f t="shared" ca="1" si="16"/>
        <v>0</v>
      </c>
      <c r="AA147" s="63">
        <f t="shared" ca="1" si="18"/>
        <v>184.43302488758746</v>
      </c>
      <c r="AB147" s="63">
        <f t="shared" ca="1" si="19"/>
        <v>184.43302488758746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45558</v>
      </c>
      <c r="K148">
        <f ca="1"/>
        <v>121.38681357063976</v>
      </c>
      <c r="L148">
        <f ca="1"/>
        <v>31.429949612313521</v>
      </c>
      <c r="M148">
        <f ca="1"/>
        <v>8.8190753220249718E-3</v>
      </c>
      <c r="N148">
        <f ca="1"/>
        <v>0.78324343852350387</v>
      </c>
      <c r="O148">
        <f ca="1"/>
        <v>0</v>
      </c>
      <c r="P148">
        <f ca="1"/>
        <v>1571.102088424856</v>
      </c>
      <c r="Q148">
        <f ca="1"/>
        <v>0</v>
      </c>
      <c r="R148">
        <f ca="1"/>
        <v>2.3397749523241993</v>
      </c>
      <c r="S148">
        <f ca="1"/>
        <v>1</v>
      </c>
      <c r="T148">
        <f ca="1"/>
        <v>3.5000002094526224</v>
      </c>
      <c r="U148">
        <f ca="1"/>
        <v>0</v>
      </c>
      <c r="V148">
        <f ca="1"/>
        <v>0.99997469847515486</v>
      </c>
      <c r="X148" s="2">
        <f t="shared" ca="1" si="15"/>
        <v>45558</v>
      </c>
      <c r="Y148">
        <f t="shared" ca="1" si="16"/>
        <v>0</v>
      </c>
      <c r="AA148" s="63">
        <f t="shared" ca="1" si="18"/>
        <v>155.15653813527749</v>
      </c>
      <c r="AB148" s="63">
        <f t="shared" ca="1" si="19"/>
        <v>155.15653813527749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45559</v>
      </c>
      <c r="K149">
        <f ca="1"/>
        <v>90.162968217064275</v>
      </c>
      <c r="L149">
        <f ca="1"/>
        <v>32.049976307653196</v>
      </c>
      <c r="M149">
        <f ca="1"/>
        <v>9.0132160165543596E-3</v>
      </c>
      <c r="N149">
        <f ca="1"/>
        <v>0.81711773806115839</v>
      </c>
      <c r="O149">
        <f ca="1"/>
        <v>0</v>
      </c>
      <c r="P149">
        <f ca="1"/>
        <v>1603.1520647325092</v>
      </c>
      <c r="Q149">
        <f ca="1"/>
        <v>0</v>
      </c>
      <c r="R149">
        <f ca="1"/>
        <v>0</v>
      </c>
      <c r="S149">
        <f ca="1"/>
        <v>0.99130434782608701</v>
      </c>
      <c r="T149">
        <f ca="1"/>
        <v>0</v>
      </c>
      <c r="U149">
        <f ca="1"/>
        <v>0</v>
      </c>
      <c r="V149">
        <f ca="1"/>
        <v>0.99997859157497815</v>
      </c>
      <c r="X149" s="2">
        <f t="shared" ca="1" si="15"/>
        <v>45559</v>
      </c>
      <c r="Y149">
        <f t="shared" ca="1" si="16"/>
        <v>0</v>
      </c>
      <c r="AA149" s="63">
        <f t="shared" ca="1" si="18"/>
        <v>122.21294452471747</v>
      </c>
      <c r="AB149" s="63">
        <f t="shared" ca="1" si="19"/>
        <v>122.21294452471747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45560</v>
      </c>
      <c r="K150">
        <f ca="1"/>
        <v>60.656104426370007</v>
      </c>
      <c r="L150">
        <f ca="1"/>
        <v>30.30168293547672</v>
      </c>
      <c r="M150">
        <f ca="1"/>
        <v>8.6656532719899815E-3</v>
      </c>
      <c r="N150">
        <f ca="1"/>
        <v>0.78615349151045522</v>
      </c>
      <c r="O150">
        <f ca="1"/>
        <v>0</v>
      </c>
      <c r="P150">
        <f ca="1"/>
        <v>1633.4537476679859</v>
      </c>
      <c r="Q150">
        <f ca="1"/>
        <v>0</v>
      </c>
      <c r="R150">
        <f ca="1"/>
        <v>0</v>
      </c>
      <c r="S150">
        <f ca="1"/>
        <v>0.97449275876646857</v>
      </c>
      <c r="T150">
        <f ca="1"/>
        <v>0</v>
      </c>
      <c r="U150">
        <f ca="1"/>
        <v>0</v>
      </c>
      <c r="V150">
        <f ca="1"/>
        <v>0.99998178038926211</v>
      </c>
      <c r="X150" s="2">
        <f t="shared" ca="1" si="15"/>
        <v>45560</v>
      </c>
      <c r="Y150">
        <f t="shared" ca="1" si="16"/>
        <v>0</v>
      </c>
      <c r="AA150" s="63">
        <f t="shared" ca="1" si="18"/>
        <v>90.957787361846727</v>
      </c>
      <c r="AB150" s="63">
        <f t="shared" ca="1" si="19"/>
        <v>90.957787361846727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45561</v>
      </c>
      <c r="K151">
        <f ca="1"/>
        <v>30.924888485383413</v>
      </c>
      <c r="L151">
        <f ca="1"/>
        <v>30.546252332014092</v>
      </c>
      <c r="M151">
        <f ca="1"/>
        <v>8.7937773926252127E-3</v>
      </c>
      <c r="N151">
        <f ca="1"/>
        <v>0.80624261363487215</v>
      </c>
      <c r="O151">
        <f ca="1"/>
        <v>0</v>
      </c>
      <c r="P151">
        <f ca="1"/>
        <v>1664</v>
      </c>
      <c r="Q151">
        <f ca="1"/>
        <v>0</v>
      </c>
      <c r="R151">
        <f ca="1"/>
        <v>0</v>
      </c>
      <c r="S151">
        <f ca="1"/>
        <v>0.95420291766787313</v>
      </c>
      <c r="T151">
        <f ca="1"/>
        <v>0</v>
      </c>
      <c r="U151">
        <f ca="1"/>
        <v>0</v>
      </c>
      <c r="V151">
        <f ca="1"/>
        <v>0.99998457105749694</v>
      </c>
      <c r="X151" s="2">
        <f t="shared" ca="1" si="15"/>
        <v>45561</v>
      </c>
      <c r="Y151">
        <f t="shared" ca="1" si="16"/>
        <v>0</v>
      </c>
      <c r="AA151" s="63">
        <f t="shared" ca="1" si="18"/>
        <v>61.471140817397504</v>
      </c>
      <c r="AB151" s="63">
        <f t="shared" ca="1" si="19"/>
        <v>61.471140817397504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45562</v>
      </c>
      <c r="K152">
        <f ca="1"/>
        <v>31.233526565722901</v>
      </c>
      <c r="L152">
        <f ca="1"/>
        <v>0</v>
      </c>
      <c r="M152">
        <f ca="1"/>
        <v>-0.52499771115463689</v>
      </c>
      <c r="N152">
        <f ca="1"/>
        <v>0.83363579149412448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0.99938476962972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45562</v>
      </c>
      <c r="Y152">
        <f t="shared" ca="1" si="16"/>
        <v>0</v>
      </c>
      <c r="AA152" s="63">
        <f t="shared" ca="1" si="18"/>
        <v>31.233526565722901</v>
      </c>
      <c r="AB152" s="63">
        <f t="shared" ca="1" si="19"/>
        <v>31.233526565722901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45563</v>
      </c>
      <c r="K153">
        <f ca="1"/>
        <v>32.382534607597755</v>
      </c>
      <c r="L153">
        <f ca="1"/>
        <v>0</v>
      </c>
      <c r="M153">
        <f ca="1"/>
        <v>0.29097801965173575</v>
      </c>
      <c r="N153">
        <f ca="1"/>
        <v>0.85803002222311442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0.99708652589284108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45563</v>
      </c>
      <c r="Y153">
        <f t="shared" ca="1" si="16"/>
        <v>0</v>
      </c>
      <c r="AA153" s="63">
        <f t="shared" ca="1" si="18"/>
        <v>32.382534607597748</v>
      </c>
      <c r="AB153" s="63">
        <f t="shared" ca="1" si="19"/>
        <v>32.382534607597755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45564</v>
      </c>
      <c r="K154">
        <f ca="1"/>
        <v>33.719356589506638</v>
      </c>
      <c r="L154">
        <f ca="1"/>
        <v>0</v>
      </c>
      <c r="M154">
        <f ca="1"/>
        <v>1.041420501352377</v>
      </c>
      <c r="N154">
        <f ca="1"/>
        <v>0.84806718552572091</v>
      </c>
      <c r="O154">
        <f ca="1"/>
        <v>0</v>
      </c>
      <c r="P154">
        <f ca="1"/>
        <v>0</v>
      </c>
      <c r="Q154">
        <f ca="1"/>
        <v>0</v>
      </c>
      <c r="R154">
        <f ca="1"/>
        <v>0.55266570496921386</v>
      </c>
      <c r="S154">
        <f ca="1"/>
        <v>1</v>
      </c>
      <c r="T154">
        <f ca="1"/>
        <v>2.9761082981685831</v>
      </c>
      <c r="U154">
        <f ca="1"/>
        <v>0</v>
      </c>
      <c r="V154">
        <f ca="1"/>
        <v>0</v>
      </c>
      <c r="X154" s="2">
        <f t="shared" ca="1" si="15"/>
        <v>45564</v>
      </c>
      <c r="Y154">
        <f t="shared" ca="1" si="16"/>
        <v>0</v>
      </c>
      <c r="AA154" s="63">
        <f t="shared" ca="1" si="18"/>
        <v>34.272022294475853</v>
      </c>
      <c r="AB154" s="63">
        <f t="shared" ca="1" si="19"/>
        <v>34.272022294475853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45565</v>
      </c>
      <c r="K155">
        <f ca="1"/>
        <v>36.107464168833069</v>
      </c>
      <c r="L155">
        <f ca="1"/>
        <v>0</v>
      </c>
      <c r="M155">
        <f ca="1"/>
        <v>1.6048641408029241</v>
      </c>
      <c r="N155">
        <f ca="1"/>
        <v>0.78324343852350387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0.99826086956521731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45565</v>
      </c>
      <c r="Y155">
        <f t="shared" ca="1" si="16"/>
        <v>0</v>
      </c>
      <c r="AA155" s="63">
        <f t="shared" ca="1" si="18"/>
        <v>36.107464168833069</v>
      </c>
      <c r="AB155" s="63">
        <f t="shared" ca="1" si="19"/>
        <v>36.107464168833069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45566</v>
      </c>
      <c r="K156">
        <f ca="1"/>
        <v>39.128095201161891</v>
      </c>
      <c r="L156">
        <f ca="1"/>
        <v>0</v>
      </c>
      <c r="M156">
        <f ca="1"/>
        <v>2.2196254318391855</v>
      </c>
      <c r="N156">
        <f ca="1"/>
        <v>0.81041961802088636</v>
      </c>
      <c r="O156">
        <f ca="1"/>
        <v>0</v>
      </c>
      <c r="P156">
        <f ca="1"/>
        <v>0</v>
      </c>
      <c r="Q156">
        <f ca="1"/>
        <v>0</v>
      </c>
      <c r="R156">
        <f ca="1"/>
        <v>9.4140175312466823E-3</v>
      </c>
      <c r="S156">
        <f ca="1"/>
        <v>1</v>
      </c>
      <c r="T156">
        <f ca="1"/>
        <v>4.3686956521739262E-2</v>
      </c>
      <c r="U156">
        <f ca="1"/>
        <v>0</v>
      </c>
      <c r="V156">
        <f ca="1"/>
        <v>0</v>
      </c>
      <c r="X156" s="2">
        <f t="shared" ca="1" si="15"/>
        <v>45566</v>
      </c>
      <c r="Y156">
        <f t="shared" ca="1" si="16"/>
        <v>0</v>
      </c>
      <c r="AA156" s="63">
        <f t="shared" ca="1" si="18"/>
        <v>39.13750921869314</v>
      </c>
      <c r="AB156" s="63">
        <f t="shared" ca="1" si="19"/>
        <v>39.13750921869314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45567</v>
      </c>
      <c r="K157">
        <f ca="1"/>
        <v>42.569787715921862</v>
      </c>
      <c r="L157">
        <f ca="1"/>
        <v>0</v>
      </c>
      <c r="M157">
        <f ca="1"/>
        <v>2.9456627272444731</v>
      </c>
      <c r="N157">
        <f ca="1"/>
        <v>0.88051517453813799</v>
      </c>
      <c r="O157">
        <f ca="1"/>
        <v>0</v>
      </c>
      <c r="P157">
        <f ca="1"/>
        <v>0</v>
      </c>
      <c r="Q157">
        <f ca="1"/>
        <v>0</v>
      </c>
      <c r="R157">
        <f ca="1"/>
        <v>0.38448538702264512</v>
      </c>
      <c r="S157">
        <f ca="1"/>
        <v>1</v>
      </c>
      <c r="T157">
        <f ca="1"/>
        <v>1.6400000000000006</v>
      </c>
      <c r="U157">
        <f ca="1"/>
        <v>0</v>
      </c>
      <c r="V157">
        <f ca="1"/>
        <v>0</v>
      </c>
      <c r="X157" s="2">
        <f t="shared" ca="1" si="15"/>
        <v>45567</v>
      </c>
      <c r="Y157">
        <f t="shared" ca="1" si="16"/>
        <v>0</v>
      </c>
      <c r="AA157" s="63">
        <f t="shared" ca="1" si="18"/>
        <v>42.954273102944505</v>
      </c>
      <c r="AB157" s="63">
        <f t="shared" ca="1" si="19"/>
        <v>42.954273102944505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45568</v>
      </c>
      <c r="K158">
        <f ca="1"/>
        <v>46.613786448451023</v>
      </c>
      <c r="L158">
        <f ca="1"/>
        <v>0</v>
      </c>
      <c r="M158">
        <f ca="1"/>
        <v>3.2387650087746742</v>
      </c>
      <c r="N158">
        <f ca="1"/>
        <v>0.8052337237544851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0.98405797101449266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45568</v>
      </c>
      <c r="Y158">
        <f t="shared" ca="1" si="16"/>
        <v>0</v>
      </c>
      <c r="AA158" s="63">
        <f t="shared" ca="1" si="18"/>
        <v>46.613786448451023</v>
      </c>
      <c r="AB158" s="63">
        <f t="shared" ca="1" si="19"/>
        <v>46.613786448451023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45569</v>
      </c>
      <c r="K159">
        <f ca="1"/>
        <v>51.066005716442191</v>
      </c>
      <c r="L159">
        <f ca="1"/>
        <v>0</v>
      </c>
      <c r="M159">
        <f ca="1"/>
        <v>3.6506770397087074</v>
      </c>
      <c r="N159">
        <f ca="1"/>
        <v>0.80154222828245403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0.98253959252257905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45569</v>
      </c>
      <c r="Y159">
        <f t="shared" ca="1" si="16"/>
        <v>0</v>
      </c>
      <c r="AA159" s="63">
        <f t="shared" ca="1" si="18"/>
        <v>51.066005716442191</v>
      </c>
      <c r="AB159" s="63">
        <f t="shared" ca="1" si="19"/>
        <v>51.066005716442191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45570</v>
      </c>
      <c r="K160">
        <f ca="1"/>
        <v>55.873241850320753</v>
      </c>
      <c r="L160">
        <f ca="1"/>
        <v>0</v>
      </c>
      <c r="M160">
        <f ca="1"/>
        <v>4.0108442127232795</v>
      </c>
      <c r="N160">
        <f ca="1"/>
        <v>0.79639192115528268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0.9673801755203052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45570</v>
      </c>
      <c r="Y160">
        <f t="shared" ca="1" si="16"/>
        <v>0</v>
      </c>
      <c r="AA160" s="63">
        <f t="shared" ca="1" si="18"/>
        <v>55.873241850320753</v>
      </c>
      <c r="AB160" s="63">
        <f t="shared" ca="1" si="19"/>
        <v>55.873241850320753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45571</v>
      </c>
      <c r="K161">
        <f ca="1"/>
        <v>61.129463745030748</v>
      </c>
      <c r="L161">
        <f ca="1"/>
        <v>0</v>
      </c>
      <c r="M161">
        <f ca="1"/>
        <v>4.4440572382951729</v>
      </c>
      <c r="N161">
        <f ca="1"/>
        <v>0.81216465641481972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0.95420949962109414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45571</v>
      </c>
      <c r="Y161">
        <f t="shared" ca="1" si="16"/>
        <v>0</v>
      </c>
      <c r="AA161" s="63">
        <f t="shared" ca="1" si="18"/>
        <v>61.129463745030748</v>
      </c>
      <c r="AB161" s="63">
        <f t="shared" ca="1" si="19"/>
        <v>61.129463745030748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45572</v>
      </c>
      <c r="K162">
        <f ca="1"/>
        <v>66.600098194401994</v>
      </c>
      <c r="L162">
        <f ca="1"/>
        <v>0</v>
      </c>
      <c r="M162">
        <f ca="1"/>
        <v>4.6713020356539054</v>
      </c>
      <c r="N162">
        <f ca="1"/>
        <v>0.79933241371734298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0.98588634231373051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45572</v>
      </c>
      <c r="Y162">
        <f t="shared" ca="1" si="16"/>
        <v>0</v>
      </c>
      <c r="AA162" s="63">
        <f t="shared" ca="1" si="18"/>
        <v>66.600098194401994</v>
      </c>
      <c r="AB162" s="63">
        <f t="shared" ca="1" si="19"/>
        <v>66.600098194401994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45573</v>
      </c>
      <c r="K163">
        <f ca="1"/>
        <v>72.198137768277519</v>
      </c>
      <c r="L163">
        <f ca="1"/>
        <v>0</v>
      </c>
      <c r="M163">
        <f ca="1"/>
        <v>4.8234857800668749</v>
      </c>
      <c r="N163">
        <f ca="1"/>
        <v>0.77455379380864642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0.9849116131228921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45573</v>
      </c>
      <c r="Y163">
        <f t="shared" ca="1" si="16"/>
        <v>0</v>
      </c>
      <c r="AA163" s="63">
        <f t="shared" ca="1" si="18"/>
        <v>72.198137768277519</v>
      </c>
      <c r="AB163" s="63">
        <f t="shared" ca="1" si="19"/>
        <v>72.198137768277519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45574</v>
      </c>
      <c r="K164">
        <f ca="1"/>
        <v>77.935196583896584</v>
      </c>
      <c r="L164">
        <f ca="1"/>
        <v>0</v>
      </c>
      <c r="M164">
        <f ca="1"/>
        <v>4.9775659082955528</v>
      </c>
      <c r="N164">
        <f ca="1"/>
        <v>0.7594929073235045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0.99141562985150322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45574</v>
      </c>
      <c r="Y164">
        <f t="shared" ca="1" si="16"/>
        <v>0</v>
      </c>
      <c r="AA164" s="63">
        <f t="shared" ca="1" si="18"/>
        <v>77.935196583896584</v>
      </c>
      <c r="AB164" s="63">
        <f t="shared" ca="1" si="19"/>
        <v>77.935196583896584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45575</v>
      </c>
      <c r="K165">
        <f ca="1"/>
        <v>84.154665159724402</v>
      </c>
      <c r="L165">
        <f ca="1"/>
        <v>0</v>
      </c>
      <c r="M165">
        <f ca="1"/>
        <v>5.6109811004717329</v>
      </c>
      <c r="N165">
        <f ca="1"/>
        <v>0.84425453070851975</v>
      </c>
      <c r="O165">
        <f ca="1"/>
        <v>0</v>
      </c>
      <c r="P165">
        <f ca="1"/>
        <v>0</v>
      </c>
      <c r="Q165">
        <f ca="1"/>
        <v>0</v>
      </c>
      <c r="R165">
        <f ca="1"/>
        <v>0.23576705535243433</v>
      </c>
      <c r="S165">
        <f ca="1"/>
        <v>1</v>
      </c>
      <c r="T165">
        <f ca="1"/>
        <v>0.50871016661754709</v>
      </c>
      <c r="U165">
        <f ca="1"/>
        <v>0</v>
      </c>
      <c r="V165">
        <f ca="1"/>
        <v>0</v>
      </c>
      <c r="X165" s="2">
        <f t="shared" ca="1" si="15"/>
        <v>45575</v>
      </c>
      <c r="Y165">
        <f t="shared" ca="1" si="16"/>
        <v>0</v>
      </c>
      <c r="AA165" s="63">
        <f t="shared" ca="1" si="18"/>
        <v>84.390432215076842</v>
      </c>
      <c r="AB165" s="63">
        <f t="shared" ca="1" si="19"/>
        <v>84.390432215076842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45576</v>
      </c>
      <c r="K166">
        <f ca="1"/>
        <v>90.85799954368008</v>
      </c>
      <c r="L166">
        <f ca="1"/>
        <v>0</v>
      </c>
      <c r="M166">
        <f ca="1"/>
        <v>5.8514438771046144</v>
      </c>
      <c r="N166">
        <f ca="1"/>
        <v>0.85189050685106671</v>
      </c>
      <c r="O166">
        <f ca="1"/>
        <v>0</v>
      </c>
      <c r="P166">
        <f ca="1"/>
        <v>2.4578038165533278</v>
      </c>
      <c r="Q166">
        <f ca="1"/>
        <v>2.097874387350958</v>
      </c>
      <c r="R166">
        <f ca="1"/>
        <v>0</v>
      </c>
      <c r="S166">
        <f ca="1"/>
        <v>0.98855072463768112</v>
      </c>
      <c r="T166">
        <f ca="1"/>
        <v>0</v>
      </c>
      <c r="U166">
        <f ca="1"/>
        <v>0</v>
      </c>
      <c r="V166">
        <f ca="1"/>
        <v>7.5273031088973043E-3</v>
      </c>
      <c r="X166" s="2">
        <f t="shared" ca="1" si="15"/>
        <v>45576</v>
      </c>
      <c r="Y166">
        <f t="shared" ca="1" si="16"/>
        <v>0</v>
      </c>
      <c r="AA166" s="63">
        <f t="shared" ca="1" si="18"/>
        <v>90.85799954368008</v>
      </c>
      <c r="AB166" s="63">
        <f t="shared" ca="1" si="19"/>
        <v>90.85799954368008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45577</v>
      </c>
      <c r="K167">
        <f ca="1"/>
        <v>97.425777852750954</v>
      </c>
      <c r="L167">
        <f ca="1"/>
        <v>9.2360489756035502E-2</v>
      </c>
      <c r="M167">
        <f ca="1"/>
        <v>5.8415279201302468</v>
      </c>
      <c r="N167">
        <f ca="1"/>
        <v>0.81861087869665961</v>
      </c>
      <c r="O167">
        <f ca="1"/>
        <v>0</v>
      </c>
      <c r="P167">
        <f ca="1"/>
        <v>2.5501643063093633</v>
      </c>
      <c r="Q167">
        <f ca="1"/>
        <v>2.1767092823728462</v>
      </c>
      <c r="R167">
        <f ca="1"/>
        <v>0</v>
      </c>
      <c r="S167">
        <f ca="1"/>
        <v>0.99959291772365422</v>
      </c>
      <c r="T167">
        <f ca="1"/>
        <v>0</v>
      </c>
      <c r="U167">
        <f ca="1"/>
        <v>0</v>
      </c>
      <c r="V167">
        <f ca="1"/>
        <v>8.4073704210625311E-3</v>
      </c>
      <c r="X167" s="2">
        <f t="shared" ca="1" si="15"/>
        <v>45577</v>
      </c>
      <c r="Y167">
        <f t="shared" ca="1" si="16"/>
        <v>0</v>
      </c>
      <c r="AA167" s="63">
        <f t="shared" ca="1" si="18"/>
        <v>97.518138342506987</v>
      </c>
      <c r="AB167" s="63">
        <f t="shared" ca="1" si="19"/>
        <v>97.518138342506987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45578</v>
      </c>
      <c r="K168">
        <f ca="1"/>
        <v>103.64853359863206</v>
      </c>
      <c r="L168">
        <f ca="1"/>
        <v>0.10444013532131313</v>
      </c>
      <c r="M168">
        <f ca="1"/>
        <v>6.2500102128742796</v>
      </c>
      <c r="N168">
        <f ca="1"/>
        <v>0.86651651131153773</v>
      </c>
      <c r="O168">
        <f ca="1"/>
        <v>0</v>
      </c>
      <c r="P168">
        <f ca="1"/>
        <v>2.6546044416306764</v>
      </c>
      <c r="Q168">
        <f ca="1"/>
        <v>2.2658548372077743</v>
      </c>
      <c r="R168">
        <f ca="1"/>
        <v>0.78933084298339773</v>
      </c>
      <c r="S168">
        <f ca="1"/>
        <v>1</v>
      </c>
      <c r="T168">
        <f ca="1"/>
        <v>1.3828064770252126</v>
      </c>
      <c r="U168">
        <f ca="1"/>
        <v>0</v>
      </c>
      <c r="V168">
        <f ca="1"/>
        <v>9.4814049211180904E-3</v>
      </c>
      <c r="X168" s="2">
        <f t="shared" ca="1" si="15"/>
        <v>45578</v>
      </c>
      <c r="Y168">
        <f t="shared" ca="1" si="16"/>
        <v>0</v>
      </c>
      <c r="AA168" s="63">
        <f t="shared" ca="1" si="18"/>
        <v>104.54230457693676</v>
      </c>
      <c r="AB168" s="63">
        <f t="shared" ca="1" si="19"/>
        <v>104.54230457693677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45579</v>
      </c>
      <c r="K169">
        <f ca="1"/>
        <v>109.63056259505785</v>
      </c>
      <c r="L169">
        <f ca="1"/>
        <v>0.10754102363739726</v>
      </c>
      <c r="M169">
        <f ca="1"/>
        <v>6.3401536650748156</v>
      </c>
      <c r="N169">
        <f ca="1"/>
        <v>0.86033938928496634</v>
      </c>
      <c r="O169">
        <f ca="1"/>
        <v>0</v>
      </c>
      <c r="P169">
        <f ca="1"/>
        <v>2.7621454652680737</v>
      </c>
      <c r="Q169">
        <f ca="1"/>
        <v>2.3576471753752597</v>
      </c>
      <c r="R169">
        <f ca="1"/>
        <v>1.1109230342965797</v>
      </c>
      <c r="S169">
        <f ca="1"/>
        <v>1</v>
      </c>
      <c r="T169">
        <f ca="1"/>
        <v>1.8399999999999892</v>
      </c>
      <c r="U169">
        <f ca="1"/>
        <v>0</v>
      </c>
      <c r="V169">
        <f ca="1"/>
        <v>1.0677947825690893E-2</v>
      </c>
      <c r="X169" s="2">
        <f t="shared" ca="1" si="15"/>
        <v>45579</v>
      </c>
      <c r="Y169">
        <f t="shared" ca="1" si="16"/>
        <v>0</v>
      </c>
      <c r="AA169" s="63">
        <f t="shared" ca="1" si="18"/>
        <v>110.84902665299184</v>
      </c>
      <c r="AB169" s="63">
        <f t="shared" ca="1" si="19"/>
        <v>110.84902665299182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45580</v>
      </c>
      <c r="K170">
        <f ca="1"/>
        <v>116.62840400834689</v>
      </c>
      <c r="L170">
        <f ca="1"/>
        <v>0.10622288032669136</v>
      </c>
      <c r="M170">
        <f ca="1"/>
        <v>6.2726930854462211</v>
      </c>
      <c r="N170">
        <f ca="1"/>
        <v>0.83137120816951871</v>
      </c>
      <c r="O170">
        <f ca="1"/>
        <v>0</v>
      </c>
      <c r="P170">
        <f ca="1"/>
        <v>2.8683683455947651</v>
      </c>
      <c r="Q170">
        <f ca="1"/>
        <v>2.4483144037712639</v>
      </c>
      <c r="R170">
        <f ca="1"/>
        <v>0</v>
      </c>
      <c r="S170">
        <f ca="1"/>
        <v>0.98101449275362318</v>
      </c>
      <c r="T170">
        <f ca="1"/>
        <v>0</v>
      </c>
      <c r="U170">
        <f ca="1"/>
        <v>0</v>
      </c>
      <c r="V170">
        <f ca="1"/>
        <v>1.1953298774263058E-2</v>
      </c>
      <c r="X170" s="2">
        <f t="shared" ca="1" si="15"/>
        <v>45580</v>
      </c>
      <c r="Y170">
        <f t="shared" ca="1" si="16"/>
        <v>0</v>
      </c>
      <c r="AA170" s="63">
        <f t="shared" ca="1" si="18"/>
        <v>116.73462688867359</v>
      </c>
      <c r="AB170" s="63">
        <f t="shared" ca="1" si="19"/>
        <v>116.73462688867359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45581</v>
      </c>
      <c r="K171">
        <f ca="1"/>
        <v>124.05338838430485</v>
      </c>
      <c r="L171">
        <f ca="1"/>
        <v>0.1209111478124667</v>
      </c>
      <c r="M171">
        <f ca="1"/>
        <v>6.6614671979263562</v>
      </c>
      <c r="N171">
        <f ca="1"/>
        <v>0.88442832584407161</v>
      </c>
      <c r="O171">
        <f ca="1"/>
        <v>0</v>
      </c>
      <c r="P171">
        <f ca="1"/>
        <v>2.9892794934072318</v>
      </c>
      <c r="Q171">
        <f ca="1"/>
        <v>2.5515188981383905</v>
      </c>
      <c r="R171">
        <f ca="1"/>
        <v>0</v>
      </c>
      <c r="S171">
        <f ca="1"/>
        <v>0.98318306200894112</v>
      </c>
      <c r="T171">
        <f ca="1"/>
        <v>0</v>
      </c>
      <c r="U171">
        <f ca="1"/>
        <v>0</v>
      </c>
      <c r="V171">
        <f ca="1"/>
        <v>1.3522043909604828E-2</v>
      </c>
      <c r="X171" s="2">
        <f t="shared" ca="1" si="15"/>
        <v>45581</v>
      </c>
      <c r="Y171">
        <f t="shared" ca="1" si="16"/>
        <v>0</v>
      </c>
      <c r="AA171" s="63">
        <f t="shared" ca="1" si="18"/>
        <v>124.17429953211732</v>
      </c>
      <c r="AB171" s="63">
        <f t="shared" ca="1" si="19"/>
        <v>124.17429953211732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45582</v>
      </c>
      <c r="K172">
        <f ca="1"/>
        <v>131.40475086933452</v>
      </c>
      <c r="L172">
        <f ca="1"/>
        <v>0.12194276421949013</v>
      </c>
      <c r="M172">
        <f ca="1"/>
        <v>6.6083355842634006</v>
      </c>
      <c r="N172">
        <f ca="1"/>
        <v>0.86496966498575589</v>
      </c>
      <c r="O172">
        <f ca="1"/>
        <v>0</v>
      </c>
      <c r="P172">
        <f ca="1"/>
        <v>3.1112222576267219</v>
      </c>
      <c r="Q172">
        <f ca="1"/>
        <v>2.6556039353801313</v>
      </c>
      <c r="R172">
        <f ca="1"/>
        <v>0</v>
      </c>
      <c r="S172">
        <f ca="1"/>
        <v>0.99589219884888691</v>
      </c>
      <c r="T172">
        <f ca="1"/>
        <v>0</v>
      </c>
      <c r="U172">
        <f ca="1"/>
        <v>0</v>
      </c>
      <c r="V172">
        <f ca="1"/>
        <v>1.5234740589182087E-2</v>
      </c>
      <c r="X172" s="2">
        <f t="shared" ca="1" si="15"/>
        <v>45582</v>
      </c>
      <c r="Y172">
        <f t="shared" ca="1" si="16"/>
        <v>0</v>
      </c>
      <c r="AA172" s="63">
        <f t="shared" ca="1" si="18"/>
        <v>131.526693633554</v>
      </c>
      <c r="AB172" s="63">
        <f t="shared" ca="1" si="19"/>
        <v>131.526693633554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45583</v>
      </c>
      <c r="K173">
        <f ca="1"/>
        <v>138.49149262058552</v>
      </c>
      <c r="L173">
        <f ca="1"/>
        <v>0.11702226396137938</v>
      </c>
      <c r="M173">
        <f ca="1"/>
        <v>6.3836582969827873</v>
      </c>
      <c r="N173">
        <f ca="1"/>
        <v>0.82010571822960532</v>
      </c>
      <c r="O173">
        <f ca="1"/>
        <v>0</v>
      </c>
      <c r="P173">
        <f ca="1"/>
        <v>3.2282445215881013</v>
      </c>
      <c r="Q173">
        <f ca="1"/>
        <v>2.7554890477153666</v>
      </c>
      <c r="R173">
        <f ca="1"/>
        <v>0</v>
      </c>
      <c r="S173">
        <f ca="1"/>
        <v>0.9686758721182237</v>
      </c>
      <c r="T173">
        <f ca="1"/>
        <v>0</v>
      </c>
      <c r="U173">
        <f ca="1"/>
        <v>0</v>
      </c>
      <c r="V173">
        <f ca="1"/>
        <v>1.7005725712784185E-2</v>
      </c>
      <c r="X173" s="2">
        <f t="shared" ca="1" si="15"/>
        <v>45583</v>
      </c>
      <c r="Y173">
        <f t="shared" ca="1" si="16"/>
        <v>0</v>
      </c>
      <c r="AA173" s="63">
        <f t="shared" ca="1" si="18"/>
        <v>138.60851488454691</v>
      </c>
      <c r="AB173" s="63">
        <f t="shared" ca="1" si="19"/>
        <v>138.60851488454691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45584</v>
      </c>
      <c r="K174">
        <f ca="1"/>
        <v>145.84965430627653</v>
      </c>
      <c r="L174">
        <f ca="1"/>
        <v>0.13038376268696661</v>
      </c>
      <c r="M174">
        <f ca="1"/>
        <v>6.6434071344507828</v>
      </c>
      <c r="N174">
        <f ca="1"/>
        <v>0.84513831392717065</v>
      </c>
      <c r="O174">
        <f ca="1"/>
        <v>0</v>
      </c>
      <c r="P174">
        <f ca="1"/>
        <v>3.3586282842750679</v>
      </c>
      <c r="Q174">
        <f ca="1"/>
        <v>2.8667789539418989</v>
      </c>
      <c r="R174">
        <f ca="1"/>
        <v>0</v>
      </c>
      <c r="S174">
        <f ca="1"/>
        <v>0.94698405218659687</v>
      </c>
      <c r="T174">
        <f ca="1"/>
        <v>0</v>
      </c>
      <c r="U174">
        <f ca="1"/>
        <v>0</v>
      </c>
      <c r="V174">
        <f ca="1"/>
        <v>1.9130553750369851E-2</v>
      </c>
      <c r="X174" s="2">
        <f t="shared" ca="1" si="15"/>
        <v>45584</v>
      </c>
      <c r="Y174">
        <f t="shared" ca="1" si="16"/>
        <v>0</v>
      </c>
      <c r="AA174" s="63">
        <f t="shared" ca="1" si="18"/>
        <v>145.98003806896349</v>
      </c>
      <c r="AB174" s="63">
        <f t="shared" ca="1" si="19"/>
        <v>145.98003806896349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45585</v>
      </c>
      <c r="K175">
        <f ca="1"/>
        <v>153.09616716658672</v>
      </c>
      <c r="L175">
        <f ca="1"/>
        <v>0.13235370285264025</v>
      </c>
      <c r="M175">
        <f ca="1"/>
        <v>6.5718976168640637</v>
      </c>
      <c r="N175">
        <f ca="1"/>
        <v>0.8069689462987707</v>
      </c>
      <c r="O175">
        <f ca="1"/>
        <v>0</v>
      </c>
      <c r="P175">
        <f ca="1"/>
        <v>3.4909819871277081</v>
      </c>
      <c r="Q175">
        <f ca="1"/>
        <v>2.9797503153726046</v>
      </c>
      <c r="R175">
        <f ca="1"/>
        <v>0</v>
      </c>
      <c r="S175">
        <f ca="1"/>
        <v>0.92305364107958943</v>
      </c>
      <c r="T175">
        <f ca="1"/>
        <v>0</v>
      </c>
      <c r="U175">
        <f ca="1"/>
        <v>0</v>
      </c>
      <c r="V175">
        <f ca="1"/>
        <v>2.1455905874155731E-2</v>
      </c>
      <c r="X175" s="2">
        <f t="shared" ca="1" si="15"/>
        <v>45585</v>
      </c>
      <c r="Y175">
        <f t="shared" ca="1" si="16"/>
        <v>0</v>
      </c>
      <c r="AA175" s="63">
        <f t="shared" ca="1" si="18"/>
        <v>153.22852086943939</v>
      </c>
      <c r="AB175" s="63">
        <f t="shared" ca="1" si="19"/>
        <v>153.22852086943936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45586</v>
      </c>
      <c r="K176">
        <f ca="1"/>
        <v>160.58678180011975</v>
      </c>
      <c r="L176">
        <f ca="1"/>
        <v>0.14575828119608891</v>
      </c>
      <c r="M176">
        <f ca="1"/>
        <v>6.7726150513817061</v>
      </c>
      <c r="N176">
        <f ca="1"/>
        <v>0.86375786334742333</v>
      </c>
      <c r="O176">
        <f ca="1"/>
        <v>0</v>
      </c>
      <c r="P176">
        <f ca="1"/>
        <v>3.636740268323797</v>
      </c>
      <c r="Q176">
        <f ca="1"/>
        <v>3.1041632415818188</v>
      </c>
      <c r="R176">
        <f ca="1"/>
        <v>0</v>
      </c>
      <c r="S176">
        <f ca="1"/>
        <v>0.94586801912802021</v>
      </c>
      <c r="T176">
        <f ca="1"/>
        <v>0</v>
      </c>
      <c r="U176">
        <f ca="1"/>
        <v>0</v>
      </c>
      <c r="V176">
        <f ca="1"/>
        <v>2.4218995422875027E-2</v>
      </c>
      <c r="X176" s="2">
        <f t="shared" ca="1" si="15"/>
        <v>45586</v>
      </c>
      <c r="Y176">
        <f t="shared" ca="1" si="16"/>
        <v>0</v>
      </c>
      <c r="AA176" s="63">
        <f t="shared" ca="1" si="18"/>
        <v>160.73254008131585</v>
      </c>
      <c r="AB176" s="63">
        <f t="shared" ca="1" si="19"/>
        <v>160.73254008131585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45587</v>
      </c>
      <c r="K177">
        <f ca="1"/>
        <v>167.70066518409581</v>
      </c>
      <c r="L177">
        <f ca="1"/>
        <v>0.13813192576016142</v>
      </c>
      <c r="M177">
        <f ca="1"/>
        <v>6.4371845756500932</v>
      </c>
      <c r="N177">
        <f ca="1"/>
        <v>0.8148307340861175</v>
      </c>
      <c r="O177">
        <f ca="1"/>
        <v>0</v>
      </c>
      <c r="P177">
        <f ca="1"/>
        <v>3.7748721940839585</v>
      </c>
      <c r="Q177">
        <f ca="1"/>
        <v>3.2220666426490694</v>
      </c>
      <c r="R177">
        <f ca="1"/>
        <v>0</v>
      </c>
      <c r="S177">
        <f ca="1"/>
        <v>0.94953842276044698</v>
      </c>
      <c r="T177">
        <f ca="1"/>
        <v>0</v>
      </c>
      <c r="U177">
        <f ca="1"/>
        <v>0</v>
      </c>
      <c r="V177">
        <f ca="1"/>
        <v>2.7038608381970697E-2</v>
      </c>
      <c r="X177" s="2">
        <f t="shared" ca="1" si="15"/>
        <v>45587</v>
      </c>
      <c r="Y177">
        <f t="shared" ca="1" si="16"/>
        <v>0</v>
      </c>
      <c r="AA177" s="63">
        <f t="shared" ca="1" si="18"/>
        <v>167.83879710985596</v>
      </c>
      <c r="AB177" s="63">
        <f t="shared" ca="1" si="19"/>
        <v>167.83879710985596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45588</v>
      </c>
      <c r="K178">
        <f ca="1"/>
        <v>174.77577662809659</v>
      </c>
      <c r="L178">
        <f ca="1"/>
        <v>0.14412737632777617</v>
      </c>
      <c r="M178">
        <f ca="1"/>
        <v>6.4300231076477132</v>
      </c>
      <c r="N178">
        <f ca="1"/>
        <v>0.78921571268086876</v>
      </c>
      <c r="O178">
        <f ca="1"/>
        <v>0</v>
      </c>
      <c r="P178">
        <f ca="1"/>
        <v>3.9189995704117346</v>
      </c>
      <c r="Q178">
        <f ca="1"/>
        <v>3.345087499430937</v>
      </c>
      <c r="R178">
        <f ca="1"/>
        <v>0</v>
      </c>
      <c r="S178">
        <f ca="1"/>
        <v>0.92119591303667703</v>
      </c>
      <c r="T178">
        <f ca="1"/>
        <v>0</v>
      </c>
      <c r="U178">
        <f ca="1"/>
        <v>0</v>
      </c>
      <c r="V178">
        <f ca="1"/>
        <v>3.0194638515424334E-2</v>
      </c>
      <c r="X178" s="2">
        <f t="shared" ca="1" si="15"/>
        <v>45588</v>
      </c>
      <c r="Y178">
        <f t="shared" ca="1" si="16"/>
        <v>0</v>
      </c>
      <c r="AA178" s="63">
        <f t="shared" ca="1" si="18"/>
        <v>174.91990400442438</v>
      </c>
      <c r="AB178" s="63">
        <f t="shared" ca="1" si="19"/>
        <v>174.91990400442438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45589</v>
      </c>
      <c r="K179">
        <f ca="1"/>
        <v>182.08575190555752</v>
      </c>
      <c r="L179">
        <f ca="1"/>
        <v>0.16194893546564204</v>
      </c>
      <c r="M179">
        <f ca="1"/>
        <v>6.6614859097374222</v>
      </c>
      <c r="N179">
        <f ca="1"/>
        <v>0.81043830318913856</v>
      </c>
      <c r="O179">
        <f ca="1"/>
        <v>0</v>
      </c>
      <c r="P179">
        <f ca="1"/>
        <v>4.0809485058773767</v>
      </c>
      <c r="Q179">
        <f ca="1"/>
        <v>3.4833200635940789</v>
      </c>
      <c r="R179">
        <f ca="1"/>
        <v>0</v>
      </c>
      <c r="S179">
        <f ca="1"/>
        <v>0.90023957446874658</v>
      </c>
      <c r="T179">
        <f ca="1"/>
        <v>0</v>
      </c>
      <c r="U179">
        <f ca="1"/>
        <v>0</v>
      </c>
      <c r="V179">
        <f ca="1"/>
        <v>3.4007982410498988E-2</v>
      </c>
      <c r="X179" s="2">
        <f t="shared" ca="1" si="15"/>
        <v>45589</v>
      </c>
      <c r="Y179">
        <f t="shared" ca="1" si="16"/>
        <v>0</v>
      </c>
      <c r="AA179" s="63">
        <f t="shared" ca="1" si="18"/>
        <v>182.24770084102315</v>
      </c>
      <c r="AB179" s="63">
        <f t="shared" ca="1" si="19"/>
        <v>182.24770084102315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45590</v>
      </c>
      <c r="K180">
        <f ca="1"/>
        <v>189.83232208040985</v>
      </c>
      <c r="L180">
        <f ca="1"/>
        <v>0.18851396632851003</v>
      </c>
      <c r="M180">
        <f ca="1"/>
        <v>7.042917487025278</v>
      </c>
      <c r="N180">
        <f ca="1"/>
        <v>0.89216665415557683</v>
      </c>
      <c r="O180">
        <f ca="1"/>
        <v>0</v>
      </c>
      <c r="P180">
        <f ca="1"/>
        <v>4.2694624722058867</v>
      </c>
      <c r="Q180">
        <f ca="1"/>
        <v>3.6442273821338951</v>
      </c>
      <c r="R180">
        <f ca="1"/>
        <v>0</v>
      </c>
      <c r="S180">
        <f ca="1"/>
        <v>0.91312415214287213</v>
      </c>
      <c r="T180">
        <f ca="1"/>
        <v>0</v>
      </c>
      <c r="U180">
        <f ca="1"/>
        <v>0</v>
      </c>
      <c r="V180">
        <f ca="1"/>
        <v>3.8811121680470934E-2</v>
      </c>
      <c r="X180" s="2">
        <f t="shared" ca="1" si="15"/>
        <v>45590</v>
      </c>
      <c r="Y180">
        <f t="shared" ca="1" si="16"/>
        <v>0</v>
      </c>
      <c r="AA180" s="63">
        <f t="shared" ca="1" si="18"/>
        <v>190.02083604673837</v>
      </c>
      <c r="AB180" s="63">
        <f t="shared" ca="1" si="19"/>
        <v>190.02083604673837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45591</v>
      </c>
      <c r="K181">
        <f ca="1"/>
        <v>197.61798003743735</v>
      </c>
      <c r="L181">
        <f ca="1"/>
        <v>0.20009907182936182</v>
      </c>
      <c r="M181">
        <f ca="1"/>
        <v>7.0414523509272442</v>
      </c>
      <c r="N181">
        <f ca="1"/>
        <v>0.94430467792961992</v>
      </c>
      <c r="O181">
        <f ca="1"/>
        <v>0</v>
      </c>
      <c r="P181">
        <f ca="1"/>
        <v>4.4695615440352485</v>
      </c>
      <c r="Q181">
        <f ca="1"/>
        <v>3.8150232426074924</v>
      </c>
      <c r="R181">
        <f ca="1"/>
        <v>0</v>
      </c>
      <c r="S181">
        <f ca="1"/>
        <v>0.94940540758780401</v>
      </c>
      <c r="T181">
        <f ca="1"/>
        <v>0</v>
      </c>
      <c r="U181">
        <f ca="1"/>
        <v>0</v>
      </c>
      <c r="V181">
        <f ca="1"/>
        <v>4.4347599723322986E-2</v>
      </c>
      <c r="X181" s="2">
        <f t="shared" ca="1" si="15"/>
        <v>45591</v>
      </c>
      <c r="Y181">
        <f t="shared" ca="1" si="16"/>
        <v>0</v>
      </c>
      <c r="AA181" s="63">
        <f t="shared" ca="1" si="18"/>
        <v>197.81807910926671</v>
      </c>
      <c r="AB181" s="63">
        <f t="shared" ca="1" si="19"/>
        <v>197.81807910926671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45592</v>
      </c>
      <c r="K182">
        <f ca="1"/>
        <v>205.08348471738873</v>
      </c>
      <c r="L182">
        <f ca="1"/>
        <v>0.19805771818167983</v>
      </c>
      <c r="M182">
        <f ca="1"/>
        <v>6.7442354528556052</v>
      </c>
      <c r="N182">
        <f ca="1"/>
        <v>0.91932694527745284</v>
      </c>
      <c r="O182">
        <f ca="1"/>
        <v>0</v>
      </c>
      <c r="P182">
        <f ca="1"/>
        <v>4.6676192622169284</v>
      </c>
      <c r="Q182">
        <f ca="1"/>
        <v>3.9840766924362074</v>
      </c>
      <c r="R182">
        <f ca="1"/>
        <v>0</v>
      </c>
      <c r="S182">
        <f ca="1"/>
        <v>0.99540498386492315</v>
      </c>
      <c r="T182">
        <f ca="1"/>
        <v>0</v>
      </c>
      <c r="U182">
        <f ca="1"/>
        <v>0</v>
      </c>
      <c r="V182">
        <f ca="1"/>
        <v>5.0280255469813712E-2</v>
      </c>
      <c r="X182" s="2">
        <f t="shared" ca="1" si="15"/>
        <v>45592</v>
      </c>
      <c r="Y182">
        <f t="shared" ca="1" si="16"/>
        <v>0</v>
      </c>
      <c r="AA182" s="63">
        <f t="shared" ca="1" si="18"/>
        <v>205.2815424355704</v>
      </c>
      <c r="AB182" s="63">
        <f t="shared" ca="1" si="19"/>
        <v>205.2815424355704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45593</v>
      </c>
      <c r="K183">
        <f ca="1"/>
        <v>212.07920890693271</v>
      </c>
      <c r="L183">
        <f ca="1"/>
        <v>0.22000504845495517</v>
      </c>
      <c r="M183">
        <f ca="1"/>
        <v>6.9138021524924795</v>
      </c>
      <c r="N183">
        <f ca="1"/>
        <v>0.96247131492161553</v>
      </c>
      <c r="O183">
        <f ca="1"/>
        <v>0</v>
      </c>
      <c r="P183">
        <f ca="1"/>
        <v>4.8876243106718835</v>
      </c>
      <c r="Q183">
        <f ca="1"/>
        <v>4.1718634283559171</v>
      </c>
      <c r="R183">
        <f ca="1"/>
        <v>0.66054422941516366</v>
      </c>
      <c r="S183">
        <f ca="1"/>
        <v>1</v>
      </c>
      <c r="T183">
        <f ca="1"/>
        <v>0.56554778040559484</v>
      </c>
      <c r="U183">
        <f ca="1"/>
        <v>0</v>
      </c>
      <c r="V183">
        <f ca="1"/>
        <v>5.7405930679849171E-2</v>
      </c>
      <c r="X183" s="2">
        <f t="shared" ca="1" si="15"/>
        <v>45593</v>
      </c>
      <c r="Y183">
        <f t="shared" ca="1" si="16"/>
        <v>0</v>
      </c>
      <c r="AA183" s="63">
        <f t="shared" ca="1" si="18"/>
        <v>212.95975818480284</v>
      </c>
      <c r="AB183" s="63">
        <f t="shared" ca="1" si="19"/>
        <v>212.95975818480284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45594</v>
      </c>
      <c r="K184">
        <f ca="1"/>
        <v>219.1685278617031</v>
      </c>
      <c r="L184">
        <f ca="1"/>
        <v>0.2063612699123345</v>
      </c>
      <c r="M184">
        <f ca="1"/>
        <v>6.4076346591484139</v>
      </c>
      <c r="N184">
        <f ca="1"/>
        <v>0.88804556553429637</v>
      </c>
      <c r="O184">
        <f ca="1"/>
        <v>0</v>
      </c>
      <c r="P184">
        <f ca="1"/>
        <v>5.093985580584218</v>
      </c>
      <c r="Q184">
        <f ca="1"/>
        <v>4.3480044286158179</v>
      </c>
      <c r="R184">
        <f ca="1"/>
        <v>0</v>
      </c>
      <c r="S184">
        <f ca="1"/>
        <v>0.95956521739130451</v>
      </c>
      <c r="T184">
        <f ca="1"/>
        <v>0</v>
      </c>
      <c r="U184">
        <f ca="1"/>
        <v>0</v>
      </c>
      <c r="V184">
        <f ca="1"/>
        <v>6.4606804955682273E-2</v>
      </c>
      <c r="X184" s="2">
        <f t="shared" ca="1" si="15"/>
        <v>45594</v>
      </c>
      <c r="Y184">
        <f t="shared" ca="1" si="16"/>
        <v>0</v>
      </c>
      <c r="AA184" s="63">
        <f t="shared" ca="1" si="18"/>
        <v>219.37488913161542</v>
      </c>
      <c r="AB184" s="63">
        <f t="shared" ca="1" si="19"/>
        <v>219.37488913161542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45595</v>
      </c>
      <c r="K185">
        <f ca="1"/>
        <v>225.95766816026935</v>
      </c>
      <c r="L185">
        <f ca="1"/>
        <v>0.20323739850491851</v>
      </c>
      <c r="M185">
        <f ca="1"/>
        <v>6.136653196403671</v>
      </c>
      <c r="N185">
        <f ca="1"/>
        <v>0.85572450066749473</v>
      </c>
      <c r="O185">
        <f ca="1"/>
        <v>0</v>
      </c>
      <c r="P185">
        <f ca="1"/>
        <v>5.2972229790891365</v>
      </c>
      <c r="Q185">
        <f ca="1"/>
        <v>4.5214790281765023</v>
      </c>
      <c r="R185">
        <f ca="1"/>
        <v>0</v>
      </c>
      <c r="S185">
        <f ca="1"/>
        <v>0.96549710514017351</v>
      </c>
      <c r="T185">
        <f ca="1"/>
        <v>0</v>
      </c>
      <c r="U185">
        <f ca="1"/>
        <v>0</v>
      </c>
      <c r="V185">
        <f ca="1"/>
        <v>7.2189809476224984E-2</v>
      </c>
      <c r="X185" s="2">
        <f t="shared" ca="1" si="15"/>
        <v>45595</v>
      </c>
      <c r="Y185">
        <f t="shared" ca="1" si="16"/>
        <v>0</v>
      </c>
      <c r="AA185" s="63">
        <f t="shared" ca="1" si="18"/>
        <v>226.16090555877426</v>
      </c>
      <c r="AB185" s="63">
        <f t="shared" ca="1" si="19"/>
        <v>226.16090555877426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45596</v>
      </c>
      <c r="K186">
        <f ca="1"/>
        <v>232.58792907533828</v>
      </c>
      <c r="L186">
        <f ca="1"/>
        <v>0.20726333328429902</v>
      </c>
      <c r="M186">
        <f ca="1"/>
        <v>5.9925080397130444</v>
      </c>
      <c r="N186">
        <f ca="1"/>
        <v>0.84501620864018312</v>
      </c>
      <c r="O186">
        <f ca="1"/>
        <v>0</v>
      </c>
      <c r="P186">
        <f ca="1"/>
        <v>5.5044863123734356</v>
      </c>
      <c r="Q186">
        <f ca="1"/>
        <v>4.6983899904777449</v>
      </c>
      <c r="R186">
        <f ca="1"/>
        <v>0</v>
      </c>
      <c r="S186">
        <f ca="1"/>
        <v>0.96083561076784152</v>
      </c>
      <c r="T186">
        <f ca="1"/>
        <v>0</v>
      </c>
      <c r="U186">
        <f ca="1"/>
        <v>0</v>
      </c>
      <c r="V186">
        <f ca="1"/>
        <v>8.0424161053573084E-2</v>
      </c>
      <c r="X186" s="2">
        <f t="shared" ca="1" si="15"/>
        <v>45596</v>
      </c>
      <c r="Y186">
        <f t="shared" ca="1" si="16"/>
        <v>0</v>
      </c>
      <c r="AA186" s="63">
        <f t="shared" ca="1" si="18"/>
        <v>232.79519240862257</v>
      </c>
      <c r="AB186" s="63">
        <f t="shared" ca="1" si="19"/>
        <v>232.79519240862257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45597</v>
      </c>
      <c r="K187">
        <f ca="1"/>
        <v>239.48181207561402</v>
      </c>
      <c r="L187">
        <f ca="1"/>
        <v>0.23962744485289189</v>
      </c>
      <c r="M187">
        <f ca="1"/>
        <v>6.2509866315550653</v>
      </c>
      <c r="N187">
        <f ca="1"/>
        <v>0.88252381357355525</v>
      </c>
      <c r="O187">
        <f ca="1"/>
        <v>0</v>
      </c>
      <c r="P187">
        <f ca="1"/>
        <v>5.7441137572263274</v>
      </c>
      <c r="Q187">
        <f ca="1"/>
        <v>4.9029255501011342</v>
      </c>
      <c r="R187">
        <f ca="1"/>
        <v>0</v>
      </c>
      <c r="S187">
        <f ca="1"/>
        <v>0.93626547191841714</v>
      </c>
      <c r="T187">
        <f ca="1"/>
        <v>0</v>
      </c>
      <c r="U187">
        <f ca="1"/>
        <v>0</v>
      </c>
      <c r="V187">
        <f ca="1"/>
        <v>9.057019958509481E-2</v>
      </c>
      <c r="X187" s="2">
        <f t="shared" ca="1" si="15"/>
        <v>45597</v>
      </c>
      <c r="Y187">
        <f t="shared" ca="1" si="16"/>
        <v>0</v>
      </c>
      <c r="AA187" s="63">
        <f t="shared" ca="1" si="18"/>
        <v>239.7214395204669</v>
      </c>
      <c r="AB187" s="63">
        <f t="shared" ca="1" si="19"/>
        <v>239.7214395204669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45598</v>
      </c>
      <c r="K188">
        <f ca="1"/>
        <v>246.79820675637103</v>
      </c>
      <c r="L188">
        <f ca="1"/>
        <v>0.28189450068362376</v>
      </c>
      <c r="M188">
        <f ca="1"/>
        <v>6.6032940915402492</v>
      </c>
      <c r="N188">
        <f ca="1"/>
        <v>0.99499508990038266</v>
      </c>
      <c r="O188">
        <f ca="1"/>
        <v>0</v>
      </c>
      <c r="P188">
        <f ca="1"/>
        <v>6.0260082579099512</v>
      </c>
      <c r="Q188">
        <f ca="1"/>
        <v>5.1435384293457327</v>
      </c>
      <c r="R188">
        <f ca="1"/>
        <v>0</v>
      </c>
      <c r="S188">
        <f ca="1"/>
        <v>0.97481223121011396</v>
      </c>
      <c r="T188">
        <f ca="1"/>
        <v>0</v>
      </c>
      <c r="U188">
        <f ca="1"/>
        <v>0</v>
      </c>
      <c r="V188">
        <f ca="1"/>
        <v>0.10335136621281954</v>
      </c>
      <c r="X188" s="2">
        <f t="shared" ca="1" si="15"/>
        <v>45598</v>
      </c>
      <c r="Y188">
        <f t="shared" ca="1" si="16"/>
        <v>0</v>
      </c>
      <c r="AA188" s="63">
        <f t="shared" ca="1" si="18"/>
        <v>247.08010125705465</v>
      </c>
      <c r="AB188" s="63">
        <f t="shared" ca="1" si="19"/>
        <v>247.08010125705465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45599</v>
      </c>
      <c r="K189">
        <f ca="1"/>
        <v>253.74821158983136</v>
      </c>
      <c r="L189">
        <f ca="1"/>
        <v>0.28029011341745225</v>
      </c>
      <c r="M189">
        <f ca="1"/>
        <v>6.274413747673691</v>
      </c>
      <c r="N189">
        <f ca="1"/>
        <v>0.95588119920410863</v>
      </c>
      <c r="O189">
        <f ca="1"/>
        <v>0</v>
      </c>
      <c r="P189">
        <f ca="1"/>
        <v>6.3062983713274035</v>
      </c>
      <c r="Q189">
        <f ca="1"/>
        <v>5.3827818734342685</v>
      </c>
      <c r="R189">
        <f ca="1"/>
        <v>0</v>
      </c>
      <c r="S189">
        <f ca="1"/>
        <v>0.9630867790577714</v>
      </c>
      <c r="T189">
        <f ca="1"/>
        <v>0</v>
      </c>
      <c r="U189">
        <f ca="1"/>
        <v>0</v>
      </c>
      <c r="V189">
        <f ca="1"/>
        <v>0.11694189737639614</v>
      </c>
      <c r="X189" s="2">
        <f t="shared" ca="1" si="15"/>
        <v>45599</v>
      </c>
      <c r="Y189">
        <f t="shared" ca="1" si="16"/>
        <v>0</v>
      </c>
      <c r="AA189" s="63">
        <f t="shared" ca="1" si="18"/>
        <v>254.02850170324882</v>
      </c>
      <c r="AB189" s="63">
        <f t="shared" ca="1" si="19"/>
        <v>254.02850170324882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45600</v>
      </c>
      <c r="K190">
        <f ca="1"/>
        <v>260.27594414691686</v>
      </c>
      <c r="L190">
        <f ca="1"/>
        <v>0.27420858130159509</v>
      </c>
      <c r="M190">
        <f ca="1"/>
        <v>5.9237720875428863</v>
      </c>
      <c r="N190">
        <f ca="1"/>
        <v>0.87816905084424735</v>
      </c>
      <c r="O190">
        <f ca="1"/>
        <v>0</v>
      </c>
      <c r="P190">
        <f ca="1"/>
        <v>6.5805069526289985</v>
      </c>
      <c r="Q190">
        <f ca="1"/>
        <v>5.6168343863444186</v>
      </c>
      <c r="R190">
        <f ca="1"/>
        <v>0</v>
      </c>
      <c r="S190">
        <f ca="1"/>
        <v>0.93162848200963677</v>
      </c>
      <c r="T190">
        <f ca="1"/>
        <v>0</v>
      </c>
      <c r="U190">
        <f ca="1"/>
        <v>0</v>
      </c>
      <c r="V190">
        <f ca="1"/>
        <v>0.13105620543155114</v>
      </c>
      <c r="X190" s="2">
        <f t="shared" ca="1" si="15"/>
        <v>45600</v>
      </c>
      <c r="Y190">
        <f t="shared" ca="1" si="16"/>
        <v>0</v>
      </c>
      <c r="AA190" s="63">
        <f t="shared" ca="1" si="18"/>
        <v>260.55015272821845</v>
      </c>
      <c r="AB190" s="63">
        <f t="shared" ca="1" si="19"/>
        <v>260.55015272821845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45601</v>
      </c>
      <c r="K191">
        <f ca="1"/>
        <v>266.56479438049837</v>
      </c>
      <c r="L191">
        <f ca="1"/>
        <v>0.27993388080425508</v>
      </c>
      <c r="M191">
        <f ca="1"/>
        <v>5.7444474931213279</v>
      </c>
      <c r="N191">
        <f ca="1"/>
        <v>0.82433662126446172</v>
      </c>
      <c r="O191">
        <f ca="1"/>
        <v>0</v>
      </c>
      <c r="P191">
        <f ca="1"/>
        <v>6.8604408334332536</v>
      </c>
      <c r="Q191">
        <f ca="1"/>
        <v>5.8557737657756643</v>
      </c>
      <c r="R191">
        <f ca="1"/>
        <v>0</v>
      </c>
      <c r="S191">
        <f ca="1"/>
        <v>0.89340567262305004</v>
      </c>
      <c r="T191">
        <f ca="1"/>
        <v>0</v>
      </c>
      <c r="U191">
        <f ca="1"/>
        <v>0</v>
      </c>
      <c r="V191">
        <f ca="1"/>
        <v>0.14625909989320854</v>
      </c>
      <c r="X191" s="2">
        <f t="shared" ca="1" si="15"/>
        <v>45601</v>
      </c>
      <c r="Y191">
        <f t="shared" ca="1" si="16"/>
        <v>0</v>
      </c>
      <c r="AA191" s="63">
        <f t="shared" ca="1" si="18"/>
        <v>266.84472826130263</v>
      </c>
      <c r="AB191" s="63">
        <f t="shared" ca="1" si="19"/>
        <v>266.84472826130263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45602</v>
      </c>
      <c r="K192">
        <f ca="1"/>
        <v>272.83418979507064</v>
      </c>
      <c r="L192">
        <f ca="1"/>
        <v>0.30146163680424465</v>
      </c>
      <c r="M192">
        <f ca="1"/>
        <v>5.7387365002953459</v>
      </c>
      <c r="N192">
        <f ca="1"/>
        <v>0.83212055108119265</v>
      </c>
      <c r="O192">
        <f ca="1"/>
        <v>0</v>
      </c>
      <c r="P192">
        <f ca="1"/>
        <v>7.1619024702374983</v>
      </c>
      <c r="Q192">
        <f ca="1"/>
        <v>6.1130883009558561</v>
      </c>
      <c r="R192">
        <f ca="1"/>
        <v>0</v>
      </c>
      <c r="S192">
        <f ca="1"/>
        <v>0.88218611311322426</v>
      </c>
      <c r="T192">
        <f ca="1"/>
        <v>0</v>
      </c>
      <c r="U192">
        <f ca="1"/>
        <v>0</v>
      </c>
      <c r="V192">
        <f ca="1"/>
        <v>0.16347132890573529</v>
      </c>
      <c r="X192" s="2">
        <f t="shared" ca="1" si="15"/>
        <v>45602</v>
      </c>
      <c r="Y192">
        <f t="shared" ca="1" si="16"/>
        <v>0</v>
      </c>
      <c r="AA192" s="63">
        <f t="shared" ca="1" si="18"/>
        <v>273.13565143187486</v>
      </c>
      <c r="AB192" s="63">
        <f t="shared" ca="1" si="19"/>
        <v>273.13565143187486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45603</v>
      </c>
      <c r="K193">
        <f ca="1"/>
        <v>279.16710515743404</v>
      </c>
      <c r="L193">
        <f ca="1"/>
        <v>0.33160150370981967</v>
      </c>
      <c r="M193">
        <f ca="1"/>
        <v>5.798205677926461</v>
      </c>
      <c r="N193">
        <f ca="1"/>
        <v>0.86631118814675434</v>
      </c>
      <c r="O193">
        <f ca="1"/>
        <v>0</v>
      </c>
      <c r="P193">
        <f ca="1"/>
        <v>7.4935039739473179</v>
      </c>
      <c r="Q193">
        <f ca="1"/>
        <v>6.396128915001059</v>
      </c>
      <c r="R193">
        <f ca="1"/>
        <v>0</v>
      </c>
      <c r="S193">
        <f ca="1"/>
        <v>0.88317549871557122</v>
      </c>
      <c r="T193">
        <f ca="1"/>
        <v>0</v>
      </c>
      <c r="U193">
        <f ca="1"/>
        <v>0</v>
      </c>
      <c r="V193">
        <f ca="1"/>
        <v>0.18332753890099351</v>
      </c>
      <c r="X193" s="2">
        <f t="shared" ca="1" si="15"/>
        <v>45603</v>
      </c>
      <c r="Y193">
        <f t="shared" ca="1" si="16"/>
        <v>0</v>
      </c>
      <c r="AA193" s="63">
        <f t="shared" ca="1" si="18"/>
        <v>279.4987066611439</v>
      </c>
      <c r="AB193" s="63">
        <f t="shared" ca="1" si="19"/>
        <v>279.49870666114384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45604</v>
      </c>
      <c r="K194">
        <f ca="1"/>
        <v>285.48739801289872</v>
      </c>
      <c r="L194">
        <f ca="1"/>
        <v>0.35819973866492383</v>
      </c>
      <c r="M194">
        <f ca="1"/>
        <v>5.7866849290528535</v>
      </c>
      <c r="N194">
        <f ca="1"/>
        <v>0.8918076650767689</v>
      </c>
      <c r="O194">
        <f ca="1"/>
        <v>0</v>
      </c>
      <c r="P194">
        <f ca="1"/>
        <v>7.8517037126122418</v>
      </c>
      <c r="Q194">
        <f ca="1"/>
        <v>6.7018726249912026</v>
      </c>
      <c r="R194">
        <f ca="1"/>
        <v>0</v>
      </c>
      <c r="S194">
        <f ca="1"/>
        <v>0.88645379014241921</v>
      </c>
      <c r="T194">
        <f ca="1"/>
        <v>0</v>
      </c>
      <c r="U194">
        <f ca="1"/>
        <v>0</v>
      </c>
      <c r="V194">
        <f ca="1"/>
        <v>0.20574437132006154</v>
      </c>
      <c r="X194" s="2">
        <f t="shared" ca="1" si="15"/>
        <v>45604</v>
      </c>
      <c r="Y194">
        <f t="shared" ca="1" si="16"/>
        <v>0</v>
      </c>
      <c r="AA194" s="63">
        <f t="shared" ca="1" si="18"/>
        <v>285.84559775156367</v>
      </c>
      <c r="AB194" s="63">
        <f t="shared" ca="1" si="19"/>
        <v>285.84559775156367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45605</v>
      </c>
      <c r="K195">
        <f ca="1"/>
        <v>291.45070098537349</v>
      </c>
      <c r="L195">
        <f ca="1"/>
        <v>0.35442396194967252</v>
      </c>
      <c r="M195">
        <f ca="1"/>
        <v>5.468614166542153</v>
      </c>
      <c r="N195">
        <f ca="1"/>
        <v>0.84911276788228196</v>
      </c>
      <c r="O195">
        <f ca="1"/>
        <v>0</v>
      </c>
      <c r="P195">
        <f ca="1"/>
        <v>8.2061276745619143</v>
      </c>
      <c r="Q195">
        <f ca="1"/>
        <v>7.0043934962787899</v>
      </c>
      <c r="R195">
        <f ca="1"/>
        <v>0</v>
      </c>
      <c r="S195">
        <f ca="1"/>
        <v>0.88098908236565887</v>
      </c>
      <c r="T195">
        <f ca="1"/>
        <v>0</v>
      </c>
      <c r="U195">
        <f ca="1"/>
        <v>0</v>
      </c>
      <c r="V195">
        <f ca="1"/>
        <v>0.22877557593583117</v>
      </c>
      <c r="X195" s="2">
        <f t="shared" ca="1" si="15"/>
        <v>45605</v>
      </c>
      <c r="Y195">
        <f t="shared" ca="1" si="16"/>
        <v>0</v>
      </c>
      <c r="AA195" s="63">
        <f t="shared" ca="1" si="18"/>
        <v>291.80512494732318</v>
      </c>
      <c r="AB195" s="63">
        <f t="shared" ca="1" si="19"/>
        <v>291.80512494732318</v>
      </c>
      <c r="AC195" s="3">
        <f t="shared" ca="1" si="20"/>
        <v>0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45606</v>
      </c>
      <c r="K196">
        <f ca="1"/>
        <v>297.38862781666114</v>
      </c>
      <c r="L196">
        <f ca="1"/>
        <v>0.38005965762832972</v>
      </c>
      <c r="M196">
        <f ca="1"/>
        <v>5.4304208760433426</v>
      </c>
      <c r="N196">
        <f ca="1"/>
        <v>0.8875656128726811</v>
      </c>
      <c r="O196">
        <f ca="1"/>
        <v>0</v>
      </c>
      <c r="P196">
        <f ca="1"/>
        <v>8.586187332190244</v>
      </c>
      <c r="Q196">
        <f ca="1"/>
        <v>7.3287958818694969</v>
      </c>
      <c r="R196">
        <f ca="1"/>
        <v>0</v>
      </c>
      <c r="S196">
        <f ca="1"/>
        <v>0.90020081133979679</v>
      </c>
      <c r="T196">
        <f ca="1"/>
        <v>0</v>
      </c>
      <c r="U196">
        <f ca="1"/>
        <v>0</v>
      </c>
      <c r="V196">
        <f ca="1"/>
        <v>0.25424296645648076</v>
      </c>
      <c r="X196" s="2">
        <f t="shared" ca="1" si="15"/>
        <v>45606</v>
      </c>
      <c r="Y196">
        <f t="shared" ca="1" si="16"/>
        <v>0</v>
      </c>
      <c r="AA196" s="63">
        <f t="shared" ca="1" si="18"/>
        <v>297.76868747428949</v>
      </c>
      <c r="AB196" s="63">
        <f t="shared" ca="1" si="19"/>
        <v>297.76868747428949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45607</v>
      </c>
      <c r="K197">
        <f ca="1"/>
        <v>302.86717800259964</v>
      </c>
      <c r="L197">
        <f ca="1"/>
        <v>0.3589621937184031</v>
      </c>
      <c r="M197">
        <f ca="1"/>
        <v>5.0067069405768052</v>
      </c>
      <c r="N197">
        <f ca="1"/>
        <v>0.83080543908009585</v>
      </c>
      <c r="O197">
        <f ca="1"/>
        <v>0</v>
      </c>
      <c r="P197">
        <f ca="1"/>
        <v>8.9451495259086471</v>
      </c>
      <c r="Q197">
        <f ca="1"/>
        <v>7.6351903903153309</v>
      </c>
      <c r="R197">
        <f ca="1"/>
        <v>0</v>
      </c>
      <c r="S197">
        <f ca="1"/>
        <v>0.90582385921882769</v>
      </c>
      <c r="T197">
        <f ca="1"/>
        <v>0</v>
      </c>
      <c r="U197">
        <f ca="1"/>
        <v>0</v>
      </c>
      <c r="V197">
        <f ca="1"/>
        <v>0.27886224158777728</v>
      </c>
      <c r="X197" s="2">
        <f t="shared" ca="1" si="15"/>
        <v>45607</v>
      </c>
      <c r="Y197">
        <f t="shared" ca="1" si="16"/>
        <v>0</v>
      </c>
      <c r="AA197" s="63">
        <f t="shared" ca="1" si="18"/>
        <v>303.22614019631806</v>
      </c>
      <c r="AB197" s="63">
        <f t="shared" ca="1" si="19"/>
        <v>303.22614019631806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45608</v>
      </c>
      <c r="K198">
        <f ca="1"/>
        <v>308.01052052103097</v>
      </c>
      <c r="L198">
        <f ca="1"/>
        <v>0.34948268730185639</v>
      </c>
      <c r="M198">
        <f ca="1"/>
        <v>4.7256483209330895</v>
      </c>
      <c r="N198">
        <f ca="1"/>
        <v>0.7671768848000855</v>
      </c>
      <c r="O198">
        <f ca="1"/>
        <v>0</v>
      </c>
      <c r="P198">
        <f ca="1"/>
        <v>9.2946322132105035</v>
      </c>
      <c r="Q198">
        <f ca="1"/>
        <v>7.9334936045813516</v>
      </c>
      <c r="R198">
        <f ca="1"/>
        <v>0</v>
      </c>
      <c r="S198">
        <f ca="1"/>
        <v>0.87893375118099037</v>
      </c>
      <c r="T198">
        <f ca="1"/>
        <v>0</v>
      </c>
      <c r="U198">
        <f ca="1"/>
        <v>0</v>
      </c>
      <c r="V198">
        <f ca="1"/>
        <v>0.30320383730734163</v>
      </c>
      <c r="X198" s="2">
        <f t="shared" ca="1" si="15"/>
        <v>45608</v>
      </c>
      <c r="Y198">
        <f t="shared" ca="1" si="16"/>
        <v>0</v>
      </c>
      <c r="AA198" s="63">
        <f t="shared" ca="1" si="18"/>
        <v>308.36000320833284</v>
      </c>
      <c r="AB198" s="63">
        <f t="shared" ca="1" si="19"/>
        <v>308.36000320833284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45609</v>
      </c>
      <c r="K199">
        <f ca="1"/>
        <v>313.02475443211091</v>
      </c>
      <c r="L199">
        <f ca="1"/>
        <v>0.36471173058579076</v>
      </c>
      <c r="M199">
        <f ca="1"/>
        <v>4.6334314171222672</v>
      </c>
      <c r="N199">
        <f ca="1"/>
        <v>0.74551422454347049</v>
      </c>
      <c r="O199">
        <f ca="1"/>
        <v>0</v>
      </c>
      <c r="P199">
        <f ca="1"/>
        <v>9.6593439437962942</v>
      </c>
      <c r="Q199">
        <f ca="1"/>
        <v>8.2447956675081358</v>
      </c>
      <c r="R199">
        <f ca="1"/>
        <v>0</v>
      </c>
      <c r="S199">
        <f ca="1"/>
        <v>0.85377546563446527</v>
      </c>
      <c r="T199">
        <f ca="1"/>
        <v>0</v>
      </c>
      <c r="U199">
        <f ca="1"/>
        <v>0</v>
      </c>
      <c r="V199">
        <f ca="1"/>
        <v>0.32883969316651179</v>
      </c>
      <c r="X199" s="2">
        <f t="shared" ca="1" si="15"/>
        <v>45609</v>
      </c>
      <c r="Y199">
        <f t="shared" ca="1" si="16"/>
        <v>0</v>
      </c>
      <c r="AA199" s="63">
        <f t="shared" ca="1" si="18"/>
        <v>313.38946616269669</v>
      </c>
      <c r="AB199" s="63">
        <f t="shared" ca="1" si="19"/>
        <v>313.38946616269669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45610</v>
      </c>
      <c r="K200">
        <f ca="1"/>
        <v>318.19862985981149</v>
      </c>
      <c r="L200">
        <f ca="1"/>
        <v>0.4229119216211501</v>
      </c>
      <c r="M200">
        <f ca="1"/>
        <v>4.8065231409209446</v>
      </c>
      <c r="N200">
        <f ca="1"/>
        <v>0.79026420840082157</v>
      </c>
      <c r="O200">
        <f ca="1"/>
        <v>0</v>
      </c>
      <c r="P200">
        <f ca="1"/>
        <v>10.082255865417444</v>
      </c>
      <c r="Q200">
        <f ca="1"/>
        <v>8.6057748809420875</v>
      </c>
      <c r="R200">
        <f ca="1"/>
        <v>0</v>
      </c>
      <c r="S200">
        <f ca="1"/>
        <v>0.83925246977830648</v>
      </c>
      <c r="T200">
        <f ca="1"/>
        <v>0</v>
      </c>
      <c r="U200">
        <f ca="1"/>
        <v>0</v>
      </c>
      <c r="V200">
        <f ca="1"/>
        <v>0.35865940166418425</v>
      </c>
      <c r="X200" s="2">
        <f t="shared" ca="1" si="15"/>
        <v>45610</v>
      </c>
      <c r="Y200">
        <f t="shared" ca="1" si="16"/>
        <v>0</v>
      </c>
      <c r="AA200" s="63">
        <f t="shared" ca="1" si="18"/>
        <v>318.62154178143265</v>
      </c>
      <c r="AB200" s="63">
        <f t="shared" ca="1" si="19"/>
        <v>318.62154178143265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45611</v>
      </c>
      <c r="K201">
        <f ca="1"/>
        <v>323.7289818743302</v>
      </c>
      <c r="L201">
        <f ca="1"/>
        <v>0.5097059165870661</v>
      </c>
      <c r="M201">
        <f ca="1"/>
        <v>5.1215698863650232</v>
      </c>
      <c r="N201">
        <f ca="1"/>
        <v>0.91848804474072909</v>
      </c>
      <c r="O201">
        <f ca="1"/>
        <v>0</v>
      </c>
      <c r="P201">
        <f ca="1"/>
        <v>10.59196178200451</v>
      </c>
      <c r="Q201">
        <f ca="1"/>
        <v>9.0408376716691237</v>
      </c>
      <c r="R201">
        <f ca="1"/>
        <v>0</v>
      </c>
      <c r="S201">
        <f ca="1"/>
        <v>0.87055683731194888</v>
      </c>
      <c r="T201">
        <f ca="1"/>
        <v>0</v>
      </c>
      <c r="U201">
        <f ca="1"/>
        <v>0</v>
      </c>
      <c r="V201">
        <f ca="1"/>
        <v>0.39441972305052225</v>
      </c>
      <c r="X201" s="2">
        <f t="shared" ca="1" si="15"/>
        <v>45611</v>
      </c>
      <c r="Y201">
        <f t="shared" ca="1" si="16"/>
        <v>0</v>
      </c>
      <c r="AA201" s="63">
        <f t="shared" ca="1" si="18"/>
        <v>324.23868779091725</v>
      </c>
      <c r="AB201" s="63">
        <f t="shared" ca="1" si="19"/>
        <v>324.23868779091725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45612</v>
      </c>
      <c r="K202">
        <f ca="1"/>
        <v>329.21525426014972</v>
      </c>
      <c r="L202">
        <f ca="1"/>
        <v>0.54587398437216628</v>
      </c>
      <c r="M202">
        <f ca="1"/>
        <v>5.0508998887556231</v>
      </c>
      <c r="N202">
        <f ca="1"/>
        <v>0.98124648143608284</v>
      </c>
      <c r="O202">
        <f ca="1"/>
        <v>0</v>
      </c>
      <c r="P202">
        <f ca="1"/>
        <v>11.137835766376677</v>
      </c>
      <c r="Q202">
        <f ca="1"/>
        <v>9.506771951216912</v>
      </c>
      <c r="R202">
        <f ca="1"/>
        <v>0</v>
      </c>
      <c r="S202">
        <f ca="1"/>
        <v>0.90940082898663943</v>
      </c>
      <c r="T202">
        <f ca="1"/>
        <v>0</v>
      </c>
      <c r="U202">
        <f ca="1"/>
        <v>0</v>
      </c>
      <c r="V202">
        <f ca="1"/>
        <v>0.43211453948422701</v>
      </c>
      <c r="X202" s="2">
        <f t="shared" ca="1" si="15"/>
        <v>45612</v>
      </c>
      <c r="Y202">
        <f t="shared" ca="1" si="16"/>
        <v>0</v>
      </c>
      <c r="AA202" s="63">
        <f t="shared" ca="1" si="18"/>
        <v>329.7611282445219</v>
      </c>
      <c r="AB202" s="63">
        <f t="shared" ca="1" si="19"/>
        <v>329.7611282445219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45613</v>
      </c>
      <c r="K203">
        <f ca="1"/>
        <v>334.40942358119838</v>
      </c>
      <c r="L203">
        <f ca="1"/>
        <v>0.54358084772465176</v>
      </c>
      <c r="M203">
        <f ca="1"/>
        <v>4.744448235246125</v>
      </c>
      <c r="N203">
        <f ca="1"/>
        <v>0.99330193352716678</v>
      </c>
      <c r="O203">
        <f ca="1"/>
        <v>0</v>
      </c>
      <c r="P203">
        <f ca="1"/>
        <v>11.681416614101328</v>
      </c>
      <c r="Q203">
        <f ca="1"/>
        <v>9.9707489091074084</v>
      </c>
      <c r="R203">
        <f ca="1"/>
        <v>0</v>
      </c>
      <c r="S203">
        <f ca="1"/>
        <v>0.95240681168156716</v>
      </c>
      <c r="T203">
        <f ca="1"/>
        <v>0</v>
      </c>
      <c r="U203">
        <f ca="1"/>
        <v>0</v>
      </c>
      <c r="V203">
        <f ca="1"/>
        <v>0.46866541681173551</v>
      </c>
      <c r="X203" s="2">
        <f t="shared" ref="X203:X266" ca="1" si="22">IFERROR(J203,$X$9)</f>
        <v>45613</v>
      </c>
      <c r="Y203">
        <f t="shared" ref="Y203:Y266" ca="1" si="23">IFERROR(O203,0)</f>
        <v>0</v>
      </c>
      <c r="AA203" s="63">
        <f t="shared" ca="1" si="18"/>
        <v>334.95300442892301</v>
      </c>
      <c r="AB203" s="63">
        <f t="shared" ca="1" si="19"/>
        <v>334.95300442892301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45614</v>
      </c>
      <c r="K204">
        <f ca="1"/>
        <v>339.23583662769471</v>
      </c>
      <c r="L204">
        <f ca="1"/>
        <v>0.53777216529485017</v>
      </c>
      <c r="M204">
        <f ca="1"/>
        <v>4.4559535062946338</v>
      </c>
      <c r="N204">
        <f ca="1"/>
        <v>0.90823170549649357</v>
      </c>
      <c r="O204">
        <f ca="1"/>
        <v>0</v>
      </c>
      <c r="P204">
        <f ca="1"/>
        <v>12.219188779396179</v>
      </c>
      <c r="Q204">
        <f ca="1"/>
        <v>10.42976782843858</v>
      </c>
      <c r="R204">
        <f ca="1"/>
        <v>0</v>
      </c>
      <c r="S204">
        <f ca="1"/>
        <v>0.91566851208049493</v>
      </c>
      <c r="T204">
        <f ca="1"/>
        <v>0</v>
      </c>
      <c r="U204">
        <f ca="1"/>
        <v>0</v>
      </c>
      <c r="V204">
        <f ca="1"/>
        <v>0.50356266813203765</v>
      </c>
      <c r="X204" s="2">
        <f t="shared" ca="1" si="22"/>
        <v>45614</v>
      </c>
      <c r="Y204">
        <f t="shared" ca="1" si="23"/>
        <v>0</v>
      </c>
      <c r="AA204" s="63">
        <f t="shared" ca="1" si="18"/>
        <v>339.77360879298953</v>
      </c>
      <c r="AB204" s="63">
        <f t="shared" ca="1" si="19"/>
        <v>339.77360879298953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45615</v>
      </c>
      <c r="K205">
        <f ca="1"/>
        <v>343.96194798472794</v>
      </c>
      <c r="L205">
        <f ca="1"/>
        <v>0.57316144503471378</v>
      </c>
      <c r="M205">
        <f ca="1"/>
        <v>4.3897621870204375</v>
      </c>
      <c r="N205">
        <f ca="1"/>
        <v>0.90951061504750719</v>
      </c>
      <c r="O205">
        <f ca="1"/>
        <v>0</v>
      </c>
      <c r="P205">
        <f ca="1"/>
        <v>12.792350224430892</v>
      </c>
      <c r="Q205">
        <f ca="1"/>
        <v>10.918993497003775</v>
      </c>
      <c r="R205">
        <f ca="1"/>
        <v>0</v>
      </c>
      <c r="S205">
        <f ca="1"/>
        <v>0.90460625411617479</v>
      </c>
      <c r="T205">
        <f ca="1"/>
        <v>0</v>
      </c>
      <c r="U205">
        <f ca="1"/>
        <v>0</v>
      </c>
      <c r="V205">
        <f ca="1"/>
        <v>0.5391244703616126</v>
      </c>
      <c r="X205" s="2">
        <f t="shared" ca="1" si="22"/>
        <v>45615</v>
      </c>
      <c r="Y205">
        <f t="shared" ca="1" si="23"/>
        <v>0</v>
      </c>
      <c r="AA205" s="63">
        <f ca="1">K204+M205+N205+O205</f>
        <v>344.53510942976266</v>
      </c>
      <c r="AB205" s="63">
        <f ca="1">K205+L205+R205</f>
        <v>344.53510942976266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45616</v>
      </c>
      <c r="K206">
        <f ca="1"/>
        <v>348.53764288567908</v>
      </c>
      <c r="L206">
        <f ca="1"/>
        <v>0.60436213713757958</v>
      </c>
      <c r="M206">
        <f ca="1"/>
        <v>4.2920738095289153</v>
      </c>
      <c r="N206">
        <f ca="1"/>
        <v>0.88798322855977663</v>
      </c>
      <c r="O206">
        <f ca="1"/>
        <v>0</v>
      </c>
      <c r="P206">
        <f ca="1"/>
        <v>13.396712361568472</v>
      </c>
      <c r="Q206">
        <f ca="1"/>
        <v>11.434850718660957</v>
      </c>
      <c r="R206">
        <f ca="1"/>
        <v>0</v>
      </c>
      <c r="S206">
        <f ca="1"/>
        <v>0.88041306254174212</v>
      </c>
      <c r="T206">
        <f ca="1"/>
        <v>0</v>
      </c>
      <c r="U206">
        <f ca="1"/>
        <v>0</v>
      </c>
      <c r="V206">
        <f ca="1"/>
        <v>0.57459813464393139</v>
      </c>
      <c r="X206" s="2">
        <f t="shared" ca="1" si="22"/>
        <v>45616</v>
      </c>
      <c r="Y206">
        <f t="shared" ca="1" si="23"/>
        <v>0</v>
      </c>
      <c r="AA206" s="63">
        <f ca="1">K205+M206+N206+O206</f>
        <v>349.14200502281665</v>
      </c>
      <c r="AB206" s="63">
        <f ca="1">K206+L206+R206</f>
        <v>349.14200502281665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45617</v>
      </c>
      <c r="K207">
        <f ca="1"/>
        <v>352.96150366397075</v>
      </c>
      <c r="L207">
        <f ca="1"/>
        <v>0.63805664467916934</v>
      </c>
      <c r="M207">
        <f ca="1"/>
        <v>4.1973210653217166</v>
      </c>
      <c r="N207">
        <f ca="1"/>
        <v>0.86459635764915466</v>
      </c>
      <c r="O207">
        <f ca="1"/>
        <v>0</v>
      </c>
      <c r="P207">
        <f ca="1"/>
        <v>14.034769006247641</v>
      </c>
      <c r="Q207">
        <f ca="1"/>
        <v>11.979468105751126</v>
      </c>
      <c r="R207">
        <f ca="1"/>
        <v>0</v>
      </c>
      <c r="S207">
        <f ca="1"/>
        <v>0.85361272892734719</v>
      </c>
      <c r="T207">
        <f ca="1"/>
        <v>0</v>
      </c>
      <c r="U207">
        <f ca="1"/>
        <v>0</v>
      </c>
      <c r="V207">
        <f ca="1"/>
        <v>0.60965486075179931</v>
      </c>
      <c r="X207" s="2">
        <f t="shared" ca="1" si="22"/>
        <v>45617</v>
      </c>
      <c r="Y207">
        <f t="shared" ca="1" si="23"/>
        <v>0</v>
      </c>
      <c r="AA207" s="63">
        <f ca="1">K206+M207+N207+O207</f>
        <v>353.59956030864993</v>
      </c>
      <c r="AB207" s="63">
        <f ca="1">K207+L207+R207</f>
        <v>353.59956030864993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45618</v>
      </c>
      <c r="K208">
        <f ca="1"/>
        <v>357.34447893728878</v>
      </c>
      <c r="L208">
        <f ca="1"/>
        <v>0.70977292505137513</v>
      </c>
      <c r="M208">
        <f ca="1"/>
        <v>4.2421525156747748</v>
      </c>
      <c r="N208">
        <f ca="1"/>
        <v>0.85059568269465147</v>
      </c>
      <c r="O208">
        <f ca="1"/>
        <v>0</v>
      </c>
      <c r="P208">
        <f ca="1"/>
        <v>14.744541931299016</v>
      </c>
      <c r="Q208">
        <f ca="1"/>
        <v>12.585299389058575</v>
      </c>
      <c r="R208">
        <f ca="1"/>
        <v>0</v>
      </c>
      <c r="S208">
        <f ca="1"/>
        <v>0.80334837775041046</v>
      </c>
      <c r="T208">
        <f ca="1"/>
        <v>0</v>
      </c>
      <c r="U208">
        <f ca="1"/>
        <v>0</v>
      </c>
      <c r="V208">
        <f ca="1"/>
        <v>0.64569143142884378</v>
      </c>
      <c r="X208" s="2">
        <f t="shared" ca="1" si="22"/>
        <v>45618</v>
      </c>
      <c r="Y208">
        <f t="shared" ca="1" si="23"/>
        <v>0</v>
      </c>
      <c r="AA208" s="63">
        <f t="shared" ref="AA208:AA271" ca="1" si="25">K207+M208+N208+O208</f>
        <v>358.05425186234015</v>
      </c>
      <c r="AB208" s="63">
        <f t="shared" ref="AB208:AB271" ca="1" si="26">K208+L208+R208</f>
        <v>358.05425186234015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45619</v>
      </c>
      <c r="K209">
        <f ca="1"/>
        <v>361.54778548901623</v>
      </c>
      <c r="L209">
        <f ca="1"/>
        <v>0.74479999694686505</v>
      </c>
      <c r="M209">
        <f ca="1"/>
        <v>4.1174802412630811</v>
      </c>
      <c r="N209">
        <f ca="1"/>
        <v>0.83062630741125798</v>
      </c>
      <c r="O209">
        <f ca="1"/>
        <v>0</v>
      </c>
      <c r="P209">
        <f ca="1"/>
        <v>15.489341928245882</v>
      </c>
      <c r="Q209">
        <f ca="1"/>
        <v>13.221028256745438</v>
      </c>
      <c r="R209">
        <f ca="1"/>
        <v>0</v>
      </c>
      <c r="S209">
        <f ca="1"/>
        <v>0.78450870612230239</v>
      </c>
      <c r="T209">
        <f ca="1"/>
        <v>0</v>
      </c>
      <c r="U209">
        <f ca="1"/>
        <v>0</v>
      </c>
      <c r="V209">
        <f ca="1"/>
        <v>0.68018056217308454</v>
      </c>
      <c r="X209" s="2">
        <f t="shared" ca="1" si="22"/>
        <v>45619</v>
      </c>
      <c r="Y209">
        <f t="shared" ca="1" si="23"/>
        <v>0</v>
      </c>
      <c r="AA209" s="63">
        <f t="shared" ca="1" si="25"/>
        <v>362.29258548596312</v>
      </c>
      <c r="AB209" s="63">
        <f t="shared" ca="1" si="26"/>
        <v>362.29258548596312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45620</v>
      </c>
      <c r="K210">
        <f ca="1"/>
        <v>365.82433202697649</v>
      </c>
      <c r="L210">
        <f ca="1"/>
        <v>0.85599138859323531</v>
      </c>
      <c r="M210">
        <f ca="1"/>
        <v>4.2538239872531562</v>
      </c>
      <c r="N210">
        <f ca="1"/>
        <v>0.8787139393003266</v>
      </c>
      <c r="O210">
        <f ca="1"/>
        <v>0</v>
      </c>
      <c r="P210">
        <f ca="1"/>
        <v>16.345333316839117</v>
      </c>
      <c r="Q210">
        <f ca="1"/>
        <v>13.951665257887782</v>
      </c>
      <c r="R210">
        <f ca="1"/>
        <v>0</v>
      </c>
      <c r="S210">
        <f ca="1"/>
        <v>0.76929541153674263</v>
      </c>
      <c r="T210">
        <f ca="1"/>
        <v>0</v>
      </c>
      <c r="U210">
        <f ca="1"/>
        <v>0</v>
      </c>
      <c r="V210">
        <f ca="1"/>
        <v>0.71577262852042967</v>
      </c>
      <c r="X210" s="2">
        <f t="shared" ca="1" si="22"/>
        <v>45620</v>
      </c>
      <c r="Y210">
        <f t="shared" ca="1" si="23"/>
        <v>0</v>
      </c>
      <c r="AA210" s="63">
        <f t="shared" ca="1" si="25"/>
        <v>366.68032341556972</v>
      </c>
      <c r="AB210" s="63">
        <f t="shared" ca="1" si="26"/>
        <v>366.68032341556972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45621</v>
      </c>
      <c r="K211">
        <f ca="1"/>
        <v>370.00264432592172</v>
      </c>
      <c r="L211">
        <f ca="1"/>
        <v>0.91285071309902577</v>
      </c>
      <c r="M211">
        <f ca="1"/>
        <v>4.1541193404225396</v>
      </c>
      <c r="N211">
        <f ca="1"/>
        <v>0.93704367162173252</v>
      </c>
      <c r="O211">
        <f ca="1"/>
        <v>0</v>
      </c>
      <c r="P211">
        <f ca="1"/>
        <v>17.258184029938143</v>
      </c>
      <c r="Q211">
        <f ca="1"/>
        <v>14.730834904214985</v>
      </c>
      <c r="R211">
        <f ca="1"/>
        <v>0</v>
      </c>
      <c r="S211">
        <f ca="1"/>
        <v>0.80986274522524859</v>
      </c>
      <c r="T211">
        <f ca="1"/>
        <v>0</v>
      </c>
      <c r="U211">
        <f ca="1"/>
        <v>0</v>
      </c>
      <c r="V211">
        <f ca="1"/>
        <v>0.74927754434612703</v>
      </c>
      <c r="X211" s="2">
        <f t="shared" ca="1" si="22"/>
        <v>45621</v>
      </c>
      <c r="Y211">
        <f t="shared" ca="1" si="23"/>
        <v>0</v>
      </c>
      <c r="AA211" s="63">
        <f t="shared" ca="1" si="25"/>
        <v>370.91549503902075</v>
      </c>
      <c r="AB211" s="63">
        <f t="shared" ca="1" si="26"/>
        <v>370.91549503902075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45622</v>
      </c>
      <c r="K212">
        <f ca="1"/>
        <v>374.05254731471672</v>
      </c>
      <c r="L212">
        <f ca="1"/>
        <v>0.99080906651696665</v>
      </c>
      <c r="M212">
        <f ca="1"/>
        <v>4.1068742090763521</v>
      </c>
      <c r="N212">
        <f ca="1"/>
        <v>0.93383784623564525</v>
      </c>
      <c r="O212">
        <f ca="1"/>
        <v>0</v>
      </c>
      <c r="P212">
        <f ca="1"/>
        <v>18.248993096455109</v>
      </c>
      <c r="Q212">
        <f ca="1"/>
        <v>15.576546408689719</v>
      </c>
      <c r="R212">
        <f ca="1"/>
        <v>0</v>
      </c>
      <c r="S212">
        <f ca="1"/>
        <v>0.78700584685371289</v>
      </c>
      <c r="T212">
        <f ca="1"/>
        <v>0</v>
      </c>
      <c r="U212">
        <f ca="1"/>
        <v>0</v>
      </c>
      <c r="V212">
        <f ca="1"/>
        <v>0.78093038388890079</v>
      </c>
      <c r="X212" s="2">
        <f t="shared" ca="1" si="22"/>
        <v>45622</v>
      </c>
      <c r="Y212">
        <f t="shared" ca="1" si="23"/>
        <v>0</v>
      </c>
      <c r="AA212" s="63">
        <f t="shared" ca="1" si="25"/>
        <v>375.04335638123371</v>
      </c>
      <c r="AB212" s="63">
        <f t="shared" ca="1" si="26"/>
        <v>375.04335638123371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45623</v>
      </c>
      <c r="K213">
        <f ca="1"/>
        <v>377.93741926999405</v>
      </c>
      <c r="L213">
        <f ca="1"/>
        <v>1.0244757898683972</v>
      </c>
      <c r="M213">
        <f ca="1"/>
        <v>3.9091646510251508</v>
      </c>
      <c r="N213">
        <f ca="1"/>
        <v>1.0001830941206054</v>
      </c>
      <c r="O213">
        <f ca="1"/>
        <v>0</v>
      </c>
      <c r="P213">
        <f ca="1"/>
        <v>19.273468886323506</v>
      </c>
      <c r="Q213">
        <f ca="1"/>
        <v>16.450994363221739</v>
      </c>
      <c r="R213">
        <f ca="1"/>
        <v>0</v>
      </c>
      <c r="S213">
        <f ca="1"/>
        <v>0.852837598907911</v>
      </c>
      <c r="T213">
        <f ca="1"/>
        <v>0</v>
      </c>
      <c r="U213">
        <f ca="1"/>
        <v>0</v>
      </c>
      <c r="V213">
        <f ca="1"/>
        <v>0.80909604687972048</v>
      </c>
      <c r="X213" s="2">
        <f t="shared" ca="1" si="22"/>
        <v>45623</v>
      </c>
      <c r="Y213">
        <f t="shared" ca="1" si="23"/>
        <v>0</v>
      </c>
      <c r="AA213" s="63">
        <f t="shared" ca="1" si="25"/>
        <v>378.96189505986246</v>
      </c>
      <c r="AB213" s="63">
        <f t="shared" ca="1" si="26"/>
        <v>378.96189505986246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45624</v>
      </c>
      <c r="K214">
        <f ca="1"/>
        <v>381.34189069417221</v>
      </c>
      <c r="L214">
        <f ca="1"/>
        <v>0.97480663270426504</v>
      </c>
      <c r="M214">
        <f ca="1"/>
        <v>3.5170213410537485</v>
      </c>
      <c r="N214">
        <f ca="1"/>
        <v>0.8622567158286657</v>
      </c>
      <c r="O214">
        <f ca="1"/>
        <v>0</v>
      </c>
      <c r="P214">
        <f ca="1"/>
        <v>20.248275519027771</v>
      </c>
      <c r="Q214">
        <f ca="1"/>
        <v>17.283046886534166</v>
      </c>
      <c r="R214">
        <f ca="1"/>
        <v>0</v>
      </c>
      <c r="S214">
        <f ca="1"/>
        <v>0.8036057755998578</v>
      </c>
      <c r="T214">
        <f ca="1"/>
        <v>0</v>
      </c>
      <c r="U214">
        <f ca="1"/>
        <v>0</v>
      </c>
      <c r="V214">
        <f ca="1"/>
        <v>0.83214975537695079</v>
      </c>
      <c r="X214" s="2">
        <f t="shared" ca="1" si="22"/>
        <v>45624</v>
      </c>
      <c r="Y214">
        <f t="shared" ca="1" si="23"/>
        <v>0</v>
      </c>
      <c r="AA214" s="63">
        <f t="shared" ca="1" si="25"/>
        <v>382.31669732687647</v>
      </c>
      <c r="AB214" s="63">
        <f t="shared" ca="1" si="26"/>
        <v>382.31669732687647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45625</v>
      </c>
      <c r="K215">
        <f ca="1"/>
        <v>384.84397584958509</v>
      </c>
      <c r="L215">
        <f ca="1"/>
        <v>1.1347810887225727</v>
      </c>
      <c r="M215">
        <f ca="1"/>
        <v>3.6664641329699066</v>
      </c>
      <c r="N215">
        <f ca="1"/>
        <v>0.97040211116553909</v>
      </c>
      <c r="O215">
        <f ca="1"/>
        <v>0</v>
      </c>
      <c r="P215">
        <f ca="1"/>
        <v>21.383056607750344</v>
      </c>
      <c r="Q215">
        <f ca="1"/>
        <v>18.251646644272263</v>
      </c>
      <c r="R215">
        <f ca="1"/>
        <v>0</v>
      </c>
      <c r="S215">
        <f ca="1"/>
        <v>0.82632058347669968</v>
      </c>
      <c r="T215">
        <f ca="1"/>
        <v>0</v>
      </c>
      <c r="U215">
        <f ca="1"/>
        <v>0</v>
      </c>
      <c r="V215">
        <f ca="1"/>
        <v>0.85505018767394136</v>
      </c>
      <c r="X215" s="2">
        <f t="shared" ca="1" si="22"/>
        <v>45625</v>
      </c>
      <c r="Y215">
        <f t="shared" ca="1" si="23"/>
        <v>0</v>
      </c>
      <c r="AA215" s="63">
        <f t="shared" ca="1" si="25"/>
        <v>385.97875693830764</v>
      </c>
      <c r="AB215" s="63">
        <f t="shared" ca="1" si="26"/>
        <v>385.97875693830764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45626</v>
      </c>
      <c r="K216">
        <f ca="1"/>
        <v>388.17708165371795</v>
      </c>
      <c r="L216">
        <f ca="1"/>
        <v>1.1687494408204806</v>
      </c>
      <c r="M216">
        <f ca="1"/>
        <v>3.4836166387747198</v>
      </c>
      <c r="N216">
        <f ca="1"/>
        <v>1.0182386061786162</v>
      </c>
      <c r="O216">
        <f ca="1"/>
        <v>0</v>
      </c>
      <c r="P216">
        <f ca="1"/>
        <v>22.551806048570825</v>
      </c>
      <c r="Q216">
        <f ca="1"/>
        <v>19.249240309240371</v>
      </c>
      <c r="R216">
        <f ca="1"/>
        <v>0</v>
      </c>
      <c r="S216">
        <f ca="1"/>
        <v>0.87806859629502165</v>
      </c>
      <c r="T216">
        <f ca="1"/>
        <v>0</v>
      </c>
      <c r="U216">
        <f ca="1"/>
        <v>0</v>
      </c>
      <c r="V216">
        <f ca="1"/>
        <v>0.87490146035415883</v>
      </c>
      <c r="X216" s="2">
        <f t="shared" ca="1" si="22"/>
        <v>45626</v>
      </c>
      <c r="Y216">
        <f t="shared" ca="1" si="23"/>
        <v>0</v>
      </c>
      <c r="AA216" s="63">
        <f t="shared" ca="1" si="25"/>
        <v>389.34583109453843</v>
      </c>
      <c r="AB216" s="63">
        <f t="shared" ca="1" si="26"/>
        <v>389.34583109453843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45627</v>
      </c>
      <c r="K217">
        <f ca="1"/>
        <v>391.33040096633937</v>
      </c>
      <c r="L217">
        <f ca="1"/>
        <v>1.258116645887835</v>
      </c>
      <c r="M217">
        <f ca="1"/>
        <v>3.4232512483997084</v>
      </c>
      <c r="N217">
        <f ca="1"/>
        <v>0.98818471010952669</v>
      </c>
      <c r="O217">
        <f ca="1"/>
        <v>0</v>
      </c>
      <c r="P217">
        <f ca="1"/>
        <v>23.80992269445866</v>
      </c>
      <c r="Q217">
        <f ca="1"/>
        <v>20.323113931671831</v>
      </c>
      <c r="R217">
        <f ca="1"/>
        <v>0</v>
      </c>
      <c r="S217">
        <f ca="1"/>
        <v>0.83851019418791783</v>
      </c>
      <c r="T217">
        <f ca="1"/>
        <v>0</v>
      </c>
      <c r="U217">
        <f ca="1"/>
        <v>0</v>
      </c>
      <c r="V217">
        <f ca="1"/>
        <v>0.8927659725265501</v>
      </c>
      <c r="X217" s="2">
        <f t="shared" ca="1" si="22"/>
        <v>45627</v>
      </c>
      <c r="Y217">
        <f t="shared" ca="1" si="23"/>
        <v>0</v>
      </c>
      <c r="AA217" s="63">
        <f t="shared" ca="1" si="25"/>
        <v>392.58851761222718</v>
      </c>
      <c r="AB217" s="63">
        <f t="shared" ca="1" si="26"/>
        <v>392.58851761222718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45628</v>
      </c>
      <c r="K218">
        <f ca="1"/>
        <v>394.26235216336062</v>
      </c>
      <c r="L218">
        <f ca="1"/>
        <v>1.3120224100544107</v>
      </c>
      <c r="M218">
        <f ca="1"/>
        <v>3.281821637253131</v>
      </c>
      <c r="N218">
        <f ca="1"/>
        <v>0.96215196982253204</v>
      </c>
      <c r="O218">
        <f ca="1"/>
        <v>0</v>
      </c>
      <c r="P218">
        <f ca="1"/>
        <v>25.12194510451307</v>
      </c>
      <c r="Q218">
        <f ca="1"/>
        <v>21.442999168705722</v>
      </c>
      <c r="R218">
        <f ca="1"/>
        <v>0</v>
      </c>
      <c r="S218">
        <f ca="1"/>
        <v>0.82343476291964779</v>
      </c>
      <c r="T218">
        <f ca="1"/>
        <v>0</v>
      </c>
      <c r="U218">
        <f ca="1"/>
        <v>0</v>
      </c>
      <c r="V218">
        <f ca="1"/>
        <v>0.90822942308265275</v>
      </c>
      <c r="X218" s="2">
        <f t="shared" ca="1" si="22"/>
        <v>45628</v>
      </c>
      <c r="Y218">
        <f t="shared" ca="1" si="23"/>
        <v>0</v>
      </c>
      <c r="AA218" s="63">
        <f t="shared" ca="1" si="25"/>
        <v>395.57437457341501</v>
      </c>
      <c r="AB218" s="63">
        <f t="shared" ca="1" si="26"/>
        <v>395.57437457341501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45629</v>
      </c>
      <c r="K219">
        <f ca="1"/>
        <v>397.08737289512311</v>
      </c>
      <c r="L219">
        <f ca="1"/>
        <v>1.446276140238389</v>
      </c>
      <c r="M219">
        <f ca="1"/>
        <v>3.2818077940929129</v>
      </c>
      <c r="N219">
        <f ca="1"/>
        <v>0.98948907790799501</v>
      </c>
      <c r="O219">
        <f ca="1"/>
        <v>0</v>
      </c>
      <c r="P219">
        <f ca="1"/>
        <v>26.568221244751459</v>
      </c>
      <c r="Q219">
        <f ca="1"/>
        <v>22.677477547821329</v>
      </c>
      <c r="R219">
        <f ca="1"/>
        <v>0</v>
      </c>
      <c r="S219">
        <f ca="1"/>
        <v>0.81260251341746059</v>
      </c>
      <c r="T219">
        <f ca="1"/>
        <v>0</v>
      </c>
      <c r="U219">
        <f ca="1"/>
        <v>0</v>
      </c>
      <c r="V219">
        <f ca="1"/>
        <v>0.92225481092277839</v>
      </c>
      <c r="X219" s="2">
        <f t="shared" ca="1" si="22"/>
        <v>45629</v>
      </c>
      <c r="Y219">
        <f t="shared" ca="1" si="23"/>
        <v>0</v>
      </c>
      <c r="AA219" s="63">
        <f t="shared" ca="1" si="25"/>
        <v>398.53364903536152</v>
      </c>
      <c r="AB219" s="63">
        <f t="shared" ca="1" si="26"/>
        <v>398.53364903536152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45630</v>
      </c>
      <c r="K220">
        <f ca="1"/>
        <v>399.65062137467584</v>
      </c>
      <c r="L220">
        <f ca="1"/>
        <v>1.5022048103922501</v>
      </c>
      <c r="M220">
        <f ca="1"/>
        <v>3.1284752689056177</v>
      </c>
      <c r="N220">
        <f ca="1"/>
        <v>0.93697802103935424</v>
      </c>
      <c r="O220">
        <f ca="1"/>
        <v>0</v>
      </c>
      <c r="P220">
        <f ca="1"/>
        <v>28.070426055143709</v>
      </c>
      <c r="Q220">
        <f ca="1"/>
        <v>23.959694206064089</v>
      </c>
      <c r="R220">
        <f ca="1"/>
        <v>0</v>
      </c>
      <c r="S220">
        <f ca="1"/>
        <v>0.77987368878789365</v>
      </c>
      <c r="T220">
        <f ca="1"/>
        <v>0</v>
      </c>
      <c r="U220">
        <f ca="1"/>
        <v>0</v>
      </c>
      <c r="V220">
        <f ca="1"/>
        <v>0.93414766376609171</v>
      </c>
      <c r="X220" s="2">
        <f t="shared" ca="1" si="22"/>
        <v>45630</v>
      </c>
      <c r="Y220">
        <f t="shared" ca="1" si="23"/>
        <v>0</v>
      </c>
      <c r="AA220" s="63">
        <f t="shared" ca="1" si="25"/>
        <v>401.15282618506808</v>
      </c>
      <c r="AB220" s="63">
        <f t="shared" ca="1" si="26"/>
        <v>401.15282618506808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45631</v>
      </c>
      <c r="K221">
        <f ca="1"/>
        <v>402.01898710280602</v>
      </c>
      <c r="L221">
        <f ca="1"/>
        <v>1.58084489929292</v>
      </c>
      <c r="M221">
        <f ca="1"/>
        <v>3.0154823529810528</v>
      </c>
      <c r="N221">
        <f ca="1"/>
        <v>0.933728274442026</v>
      </c>
      <c r="O221">
        <f ca="1"/>
        <v>0</v>
      </c>
      <c r="P221">
        <f ca="1"/>
        <v>29.65127095443663</v>
      </c>
      <c r="Q221">
        <f ca="1"/>
        <v>25.309034622196958</v>
      </c>
      <c r="R221">
        <f ca="1"/>
        <v>0</v>
      </c>
      <c r="S221">
        <f ca="1"/>
        <v>0.77661697697332432</v>
      </c>
      <c r="T221">
        <f ca="1"/>
        <v>0</v>
      </c>
      <c r="U221">
        <f ca="1"/>
        <v>0</v>
      </c>
      <c r="V221">
        <f ca="1"/>
        <v>0.94433927281906427</v>
      </c>
      <c r="X221" s="2">
        <f t="shared" ca="1" si="22"/>
        <v>45631</v>
      </c>
      <c r="Y221">
        <f t="shared" ca="1" si="23"/>
        <v>0</v>
      </c>
      <c r="AA221" s="63">
        <f t="shared" ca="1" si="25"/>
        <v>403.59983200209894</v>
      </c>
      <c r="AB221" s="63">
        <f t="shared" ca="1" si="26"/>
        <v>403.59983200209894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45632</v>
      </c>
      <c r="K222">
        <f ca="1"/>
        <v>404.12323995781099</v>
      </c>
      <c r="L222">
        <f ca="1"/>
        <v>1.5766444202773933</v>
      </c>
      <c r="M222">
        <f ca="1"/>
        <v>2.7934837355508648</v>
      </c>
      <c r="N222">
        <f ca="1"/>
        <v>0.88741353973148129</v>
      </c>
      <c r="O222">
        <f ca="1"/>
        <v>0</v>
      </c>
      <c r="P222">
        <f ca="1"/>
        <v>31.227915374714023</v>
      </c>
      <c r="Q222">
        <f ca="1"/>
        <v>26.654789692224522</v>
      </c>
      <c r="R222">
        <f ca="1"/>
        <v>0</v>
      </c>
      <c r="S222">
        <f ca="1"/>
        <v>0.77250375090206314</v>
      </c>
      <c r="T222">
        <f ca="1"/>
        <v>0</v>
      </c>
      <c r="U222">
        <f ca="1"/>
        <v>0</v>
      </c>
      <c r="V222">
        <f ca="1"/>
        <v>0.95263242799561176</v>
      </c>
      <c r="X222" s="2">
        <f t="shared" ca="1" si="22"/>
        <v>45632</v>
      </c>
      <c r="Y222">
        <f t="shared" ca="1" si="23"/>
        <v>0</v>
      </c>
      <c r="AA222" s="63">
        <f t="shared" ca="1" si="25"/>
        <v>405.69988437808837</v>
      </c>
      <c r="AB222" s="63">
        <f t="shared" ca="1" si="26"/>
        <v>405.69988437808837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45633</v>
      </c>
      <c r="K223">
        <f ca="1"/>
        <v>406.04663173267068</v>
      </c>
      <c r="L223">
        <f ca="1"/>
        <v>1.555750071403466</v>
      </c>
      <c r="M223">
        <f ca="1"/>
        <v>2.5822950564107714</v>
      </c>
      <c r="N223">
        <f ca="1"/>
        <v>0.89684678985234867</v>
      </c>
      <c r="O223">
        <f ca="1"/>
        <v>0</v>
      </c>
      <c r="P223">
        <f ca="1"/>
        <v>32.783665446117489</v>
      </c>
      <c r="Q223">
        <f ca="1"/>
        <v>27.982710255263463</v>
      </c>
      <c r="R223">
        <f ca="1"/>
        <v>0</v>
      </c>
      <c r="S223">
        <f ca="1"/>
        <v>0.81927041704152792</v>
      </c>
      <c r="T223">
        <f ca="1"/>
        <v>0</v>
      </c>
      <c r="U223">
        <f ca="1"/>
        <v>0</v>
      </c>
      <c r="V223">
        <f ca="1"/>
        <v>0.95936647839124067</v>
      </c>
      <c r="X223" s="2">
        <f t="shared" ca="1" si="22"/>
        <v>45633</v>
      </c>
      <c r="Y223">
        <f t="shared" ca="1" si="23"/>
        <v>0</v>
      </c>
      <c r="AA223" s="63">
        <f t="shared" ca="1" si="25"/>
        <v>407.60238180407413</v>
      </c>
      <c r="AB223" s="63">
        <f t="shared" ca="1" si="26"/>
        <v>407.60238180407413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45634</v>
      </c>
      <c r="K224">
        <f ca="1"/>
        <v>407.83469562740248</v>
      </c>
      <c r="L224">
        <f ca="1"/>
        <v>1.7303014389338145</v>
      </c>
      <c r="M224">
        <f ca="1"/>
        <v>2.6062561068151808</v>
      </c>
      <c r="N224">
        <f ca="1"/>
        <v>0.91210922685041373</v>
      </c>
      <c r="O224">
        <f ca="1"/>
        <v>0</v>
      </c>
      <c r="P224">
        <f ca="1"/>
        <v>34.513966885051303</v>
      </c>
      <c r="Q224">
        <f ca="1"/>
        <v>29.459620270085633</v>
      </c>
      <c r="R224">
        <f ca="1"/>
        <v>0</v>
      </c>
      <c r="S224">
        <f ca="1"/>
        <v>0.79163448035273132</v>
      </c>
      <c r="T224">
        <f ca="1"/>
        <v>0</v>
      </c>
      <c r="U224">
        <f ca="1"/>
        <v>0</v>
      </c>
      <c r="V224">
        <f ca="1"/>
        <v>0.96551806767446891</v>
      </c>
      <c r="X224" s="2">
        <f t="shared" ca="1" si="22"/>
        <v>45634</v>
      </c>
      <c r="Y224">
        <f t="shared" ca="1" si="23"/>
        <v>0</v>
      </c>
      <c r="AA224" s="63">
        <f t="shared" ca="1" si="25"/>
        <v>409.56499706633628</v>
      </c>
      <c r="AB224" s="63">
        <f t="shared" ca="1" si="26"/>
        <v>409.56499706633628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45635</v>
      </c>
      <c r="K225">
        <f ca="1"/>
        <v>409.57798611264832</v>
      </c>
      <c r="L225">
        <f ca="1"/>
        <v>1.9490483065008704</v>
      </c>
      <c r="M225">
        <f ca="1"/>
        <v>2.6544149764494591</v>
      </c>
      <c r="N225">
        <f ca="1"/>
        <v>1.0379238152972319</v>
      </c>
      <c r="O225">
        <f ca="1"/>
        <v>0</v>
      </c>
      <c r="P225">
        <f ca="1"/>
        <v>36.463015191552174</v>
      </c>
      <c r="Q225">
        <f ca="1"/>
        <v>31.123243092370895</v>
      </c>
      <c r="R225">
        <f ca="1"/>
        <v>0</v>
      </c>
      <c r="S225">
        <f ca="1"/>
        <v>0.84162279215836056</v>
      </c>
      <c r="T225">
        <f ca="1"/>
        <v>0</v>
      </c>
      <c r="U225">
        <f ca="1"/>
        <v>0</v>
      </c>
      <c r="V225">
        <f ca="1"/>
        <v>0.97112393766861049</v>
      </c>
      <c r="X225" s="2">
        <f t="shared" ca="1" si="22"/>
        <v>45635</v>
      </c>
      <c r="Y225">
        <f t="shared" ca="1" si="23"/>
        <v>0</v>
      </c>
      <c r="AA225" s="63">
        <f t="shared" ca="1" si="25"/>
        <v>411.52703441914917</v>
      </c>
      <c r="AB225" s="63">
        <f t="shared" ca="1" si="26"/>
        <v>411.52703441914917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45636</v>
      </c>
      <c r="K226">
        <f ca="1"/>
        <v>411.16824220921956</v>
      </c>
      <c r="L226">
        <f ca="1"/>
        <v>2.190860524979044</v>
      </c>
      <c r="M226">
        <f ca="1"/>
        <v>2.6971330606026527</v>
      </c>
      <c r="N226">
        <f ca="1"/>
        <v>1.0839835609476347</v>
      </c>
      <c r="O226">
        <f ca="1"/>
        <v>0</v>
      </c>
      <c r="P226">
        <f ca="1"/>
        <v>38.653875716531218</v>
      </c>
      <c r="Q226">
        <f ca="1"/>
        <v>32.993266301976441</v>
      </c>
      <c r="R226">
        <f ca="1"/>
        <v>0</v>
      </c>
      <c r="S226">
        <f ca="1"/>
        <v>0.82671847551983324</v>
      </c>
      <c r="T226">
        <f ca="1"/>
        <v>0</v>
      </c>
      <c r="U226">
        <f ca="1"/>
        <v>0</v>
      </c>
      <c r="V226">
        <f ca="1"/>
        <v>0.97613796430466082</v>
      </c>
      <c r="X226" s="2">
        <f t="shared" ca="1" si="22"/>
        <v>45636</v>
      </c>
      <c r="Y226">
        <f t="shared" ca="1" si="23"/>
        <v>0</v>
      </c>
      <c r="AA226" s="63">
        <f t="shared" ca="1" si="25"/>
        <v>413.35910273419859</v>
      </c>
      <c r="AB226" s="63">
        <f t="shared" ca="1" si="26"/>
        <v>413.35910273419859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45637</v>
      </c>
      <c r="K227">
        <f ca="1"/>
        <v>412.47771955018322</v>
      </c>
      <c r="L227">
        <f ca="1"/>
        <v>2.2055785401269148</v>
      </c>
      <c r="M227">
        <f ca="1"/>
        <v>2.4960873444135814</v>
      </c>
      <c r="N227">
        <f ca="1"/>
        <v>1.0189685366769945</v>
      </c>
      <c r="O227">
        <f ca="1"/>
        <v>0</v>
      </c>
      <c r="P227">
        <f ca="1"/>
        <v>40.859454256658132</v>
      </c>
      <c r="Q227">
        <f ca="1"/>
        <v>34.875852168863013</v>
      </c>
      <c r="R227">
        <f ca="1"/>
        <v>0</v>
      </c>
      <c r="S227">
        <f ca="1"/>
        <v>0.81052122844649788</v>
      </c>
      <c r="T227">
        <f ca="1"/>
        <v>0</v>
      </c>
      <c r="U227">
        <f ca="1"/>
        <v>0</v>
      </c>
      <c r="V227">
        <f ca="1"/>
        <v>0.98013837120285485</v>
      </c>
      <c r="X227" s="2">
        <f t="shared" ca="1" si="22"/>
        <v>45637</v>
      </c>
      <c r="Y227">
        <f t="shared" ca="1" si="23"/>
        <v>0</v>
      </c>
      <c r="AA227" s="63">
        <f t="shared" ca="1" si="25"/>
        <v>414.68329809031013</v>
      </c>
      <c r="AB227" s="63">
        <f t="shared" ca="1" si="26"/>
        <v>414.68329809031013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45638</v>
      </c>
      <c r="K228">
        <f ca="1"/>
        <v>413.53046992121182</v>
      </c>
      <c r="L228">
        <f ca="1"/>
        <v>2.2904600128066122</v>
      </c>
      <c r="M228">
        <f ca="1"/>
        <v>2.3784712141454634</v>
      </c>
      <c r="N228">
        <f ca="1"/>
        <v>0.9647391696897254</v>
      </c>
      <c r="O228">
        <f ca="1"/>
        <v>0</v>
      </c>
      <c r="P228">
        <f ca="1"/>
        <v>43.149914269464745</v>
      </c>
      <c r="Q228">
        <f ca="1"/>
        <v>36.830889167241878</v>
      </c>
      <c r="R228">
        <f ca="1"/>
        <v>0</v>
      </c>
      <c r="S228">
        <f ca="1"/>
        <v>0.7757818564057003</v>
      </c>
      <c r="T228">
        <f ca="1"/>
        <v>0</v>
      </c>
      <c r="U228">
        <f ca="1"/>
        <v>0</v>
      </c>
      <c r="V228">
        <f ca="1"/>
        <v>0.98344896462158338</v>
      </c>
      <c r="X228" s="2">
        <f t="shared" ca="1" si="22"/>
        <v>45638</v>
      </c>
      <c r="Y228">
        <f t="shared" ca="1" si="23"/>
        <v>0</v>
      </c>
      <c r="AA228" s="63">
        <f t="shared" ca="1" si="25"/>
        <v>415.82092993401841</v>
      </c>
      <c r="AB228" s="63">
        <f t="shared" ca="1" si="26"/>
        <v>415.82092993401841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45639</v>
      </c>
      <c r="K229">
        <f ca="1"/>
        <v>414.32852574240792</v>
      </c>
      <c r="L229">
        <f ca="1"/>
        <v>2.2576697048323169</v>
      </c>
      <c r="M229">
        <f ca="1"/>
        <v>2.1807149388467337</v>
      </c>
      <c r="N229">
        <f ca="1"/>
        <v>0.87501058718166957</v>
      </c>
      <c r="O229">
        <f ca="1"/>
        <v>0</v>
      </c>
      <c r="P229">
        <f ca="1"/>
        <v>45.407583974297062</v>
      </c>
      <c r="Q229">
        <f ca="1"/>
        <v>38.757937785592468</v>
      </c>
      <c r="R229">
        <f ca="1"/>
        <v>0</v>
      </c>
      <c r="S229">
        <f ca="1"/>
        <v>0.74291086547912855</v>
      </c>
      <c r="T229">
        <f ca="1"/>
        <v>0</v>
      </c>
      <c r="U229">
        <f ca="1"/>
        <v>0</v>
      </c>
      <c r="V229">
        <f ca="1"/>
        <v>0.98606809279972429</v>
      </c>
      <c r="X229" s="2">
        <f t="shared" ca="1" si="22"/>
        <v>45639</v>
      </c>
      <c r="Y229">
        <f t="shared" ca="1" si="23"/>
        <v>0</v>
      </c>
      <c r="AA229" s="63">
        <f t="shared" ca="1" si="25"/>
        <v>416.58619544724024</v>
      </c>
      <c r="AB229" s="63">
        <f t="shared" ca="1" si="26"/>
        <v>416.58619544724024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45640</v>
      </c>
      <c r="K230">
        <f ca="1"/>
        <v>414.95897115938646</v>
      </c>
      <c r="L230">
        <f ca="1"/>
        <v>2.2629707982916685</v>
      </c>
      <c r="M230">
        <f ca="1"/>
        <v>2.0372071509598868</v>
      </c>
      <c r="N230">
        <f ca="1"/>
        <v>0.85620906431032362</v>
      </c>
      <c r="O230">
        <f ca="1"/>
        <v>0</v>
      </c>
      <c r="P230">
        <f ca="1"/>
        <v>47.67055477258873</v>
      </c>
      <c r="Q230">
        <f ca="1"/>
        <v>40.689511186644772</v>
      </c>
      <c r="R230">
        <f ca="1"/>
        <v>0</v>
      </c>
      <c r="S230">
        <f ca="1"/>
        <v>0.75324136487699489</v>
      </c>
      <c r="T230">
        <f ca="1"/>
        <v>0</v>
      </c>
      <c r="U230">
        <f ca="1"/>
        <v>0</v>
      </c>
      <c r="V230">
        <f ca="1"/>
        <v>0.98819774368721769</v>
      </c>
      <c r="X230" s="2">
        <f t="shared" ca="1" si="22"/>
        <v>45640</v>
      </c>
      <c r="Y230">
        <f t="shared" ca="1" si="23"/>
        <v>0</v>
      </c>
      <c r="AA230" s="63">
        <f t="shared" ca="1" si="25"/>
        <v>417.22194195767815</v>
      </c>
      <c r="AB230" s="63">
        <f t="shared" ca="1" si="26"/>
        <v>417.22194195767815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45641</v>
      </c>
      <c r="K231">
        <f ca="1"/>
        <v>415.36295328334467</v>
      </c>
      <c r="L231">
        <f ca="1"/>
        <v>2.5860778174064762</v>
      </c>
      <c r="M231">
        <f ca="1"/>
        <v>2.1040030726261989</v>
      </c>
      <c r="N231">
        <f ca="1"/>
        <v>0.8860568687384619</v>
      </c>
      <c r="O231">
        <f ca="1"/>
        <v>0</v>
      </c>
      <c r="P231">
        <f ca="1"/>
        <v>50.256632589995206</v>
      </c>
      <c r="Q231">
        <f ca="1"/>
        <v>42.896874679326451</v>
      </c>
      <c r="R231">
        <f ca="1"/>
        <v>0</v>
      </c>
      <c r="S231">
        <f ca="1"/>
        <v>0.71773203735696478</v>
      </c>
      <c r="T231">
        <f ca="1"/>
        <v>0</v>
      </c>
      <c r="U231">
        <f ca="1"/>
        <v>0</v>
      </c>
      <c r="V231">
        <f ca="1"/>
        <v>0.99016170192705211</v>
      </c>
      <c r="X231" s="2">
        <f t="shared" ca="1" si="22"/>
        <v>45641</v>
      </c>
      <c r="Y231">
        <f t="shared" ca="1" si="23"/>
        <v>0</v>
      </c>
      <c r="AA231" s="63">
        <f t="shared" ca="1" si="25"/>
        <v>417.94903110075114</v>
      </c>
      <c r="AB231" s="63">
        <f t="shared" ca="1" si="26"/>
        <v>417.94903110075114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45642</v>
      </c>
      <c r="K232">
        <f ca="1"/>
        <v>415.57616981325407</v>
      </c>
      <c r="L232">
        <f ca="1"/>
        <v>2.7020460489084144</v>
      </c>
      <c r="M232">
        <f ca="1"/>
        <v>2.021713927505175</v>
      </c>
      <c r="N232">
        <f ca="1"/>
        <v>0.89354865131262762</v>
      </c>
      <c r="O232">
        <f ca="1"/>
        <v>0</v>
      </c>
      <c r="P232">
        <f ca="1"/>
        <v>52.958678638903621</v>
      </c>
      <c r="Q232">
        <f ca="1"/>
        <v>45.203223608101844</v>
      </c>
      <c r="R232">
        <f ca="1"/>
        <v>0</v>
      </c>
      <c r="S232">
        <f ca="1"/>
        <v>0.7240943862306789</v>
      </c>
      <c r="T232">
        <f ca="1"/>
        <v>0</v>
      </c>
      <c r="U232">
        <f ca="1"/>
        <v>0</v>
      </c>
      <c r="V232">
        <f ca="1"/>
        <v>0.99180155842553774</v>
      </c>
      <c r="X232" s="2">
        <f t="shared" ca="1" si="22"/>
        <v>45642</v>
      </c>
      <c r="Y232">
        <f t="shared" ca="1" si="23"/>
        <v>0</v>
      </c>
      <c r="AA232" s="63">
        <f t="shared" ca="1" si="25"/>
        <v>418.27821586216248</v>
      </c>
      <c r="AB232" s="63">
        <f t="shared" ca="1" si="26"/>
        <v>418.27821586216248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45643</v>
      </c>
      <c r="K233">
        <f ca="1"/>
        <v>415.53500315332258</v>
      </c>
      <c r="L233">
        <f ca="1"/>
        <v>2.923434411936995</v>
      </c>
      <c r="M233">
        <f ca="1"/>
        <v>1.9986902218970499</v>
      </c>
      <c r="N233">
        <f ca="1"/>
        <v>0.88357753010849949</v>
      </c>
      <c r="O233">
        <f ca="1"/>
        <v>0</v>
      </c>
      <c r="P233">
        <f ca="1"/>
        <v>55.882113050840616</v>
      </c>
      <c r="Q233">
        <f ca="1"/>
        <v>47.698540009922532</v>
      </c>
      <c r="R233">
        <f ca="1"/>
        <v>0</v>
      </c>
      <c r="S233">
        <f ca="1"/>
        <v>0.69100203222684475</v>
      </c>
      <c r="T233">
        <f ca="1"/>
        <v>0</v>
      </c>
      <c r="U233">
        <f ca="1"/>
        <v>0</v>
      </c>
      <c r="V233">
        <f ca="1"/>
        <v>0.99321436071964442</v>
      </c>
      <c r="X233" s="2">
        <f t="shared" ca="1" si="22"/>
        <v>45643</v>
      </c>
      <c r="Y233">
        <f t="shared" ca="1" si="23"/>
        <v>0</v>
      </c>
      <c r="AA233" s="63">
        <f t="shared" ca="1" si="25"/>
        <v>418.4584375652596</v>
      </c>
      <c r="AB233" s="63">
        <f t="shared" ca="1" si="26"/>
        <v>418.4584375652596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45644</v>
      </c>
      <c r="K234">
        <f ca="1"/>
        <v>415.37391596253428</v>
      </c>
      <c r="L234">
        <f ca="1"/>
        <v>2.935533253716919</v>
      </c>
      <c r="M234">
        <f ca="1"/>
        <v>1.8589541523289199</v>
      </c>
      <c r="N234">
        <f ca="1"/>
        <v>0.91549191059971291</v>
      </c>
      <c r="O234">
        <f ca="1"/>
        <v>0</v>
      </c>
      <c r="P234">
        <f ca="1"/>
        <v>58.817646304557535</v>
      </c>
      <c r="Q234">
        <f ca="1"/>
        <v>50.20418345660979</v>
      </c>
      <c r="R234">
        <f ca="1"/>
        <v>0</v>
      </c>
      <c r="S234">
        <f ca="1"/>
        <v>0.7448390331346143</v>
      </c>
      <c r="T234">
        <f ca="1"/>
        <v>0</v>
      </c>
      <c r="U234">
        <f ca="1"/>
        <v>0</v>
      </c>
      <c r="V234">
        <f ca="1"/>
        <v>0.99434478643610891</v>
      </c>
      <c r="X234" s="2">
        <f t="shared" ca="1" si="22"/>
        <v>45644</v>
      </c>
      <c r="Y234">
        <f t="shared" ca="1" si="23"/>
        <v>0</v>
      </c>
      <c r="AA234" s="63">
        <f t="shared" ca="1" si="25"/>
        <v>418.30944921625121</v>
      </c>
      <c r="AB234" s="63">
        <f t="shared" ca="1" si="26"/>
        <v>418.30944921625121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45645</v>
      </c>
      <c r="K235">
        <f ca="1"/>
        <v>415.0869853646202</v>
      </c>
      <c r="L235">
        <f ca="1"/>
        <v>2.8531438129588409</v>
      </c>
      <c r="M235">
        <f ca="1"/>
        <v>1.694977780676993</v>
      </c>
      <c r="N235">
        <f ca="1"/>
        <v>0.87123543436774042</v>
      </c>
      <c r="O235">
        <f ca="1"/>
        <v>0</v>
      </c>
      <c r="P235">
        <f ca="1"/>
        <v>61.670790117516376</v>
      </c>
      <c r="Q235">
        <f ca="1"/>
        <v>52.639502861813142</v>
      </c>
      <c r="R235">
        <f ca="1"/>
        <v>0</v>
      </c>
      <c r="S235">
        <f ca="1"/>
        <v>0.75360046649399604</v>
      </c>
      <c r="T235">
        <f ca="1"/>
        <v>0</v>
      </c>
      <c r="U235">
        <f ca="1"/>
        <v>0</v>
      </c>
      <c r="V235">
        <f ca="1"/>
        <v>0.99523099568250006</v>
      </c>
      <c r="X235" s="2">
        <f t="shared" ca="1" si="22"/>
        <v>45645</v>
      </c>
      <c r="Y235">
        <f t="shared" ca="1" si="23"/>
        <v>0</v>
      </c>
      <c r="AA235" s="63">
        <f t="shared" ca="1" si="25"/>
        <v>417.94012917757902</v>
      </c>
      <c r="AB235" s="63">
        <f t="shared" ca="1" si="26"/>
        <v>417.94012917757902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45646</v>
      </c>
      <c r="K236">
        <f ca="1"/>
        <v>414.57197127619725</v>
      </c>
      <c r="L236">
        <f ca="1"/>
        <v>2.9941741649140141</v>
      </c>
      <c r="M236">
        <f ca="1"/>
        <v>1.6451865407528885</v>
      </c>
      <c r="N236">
        <f ca="1"/>
        <v>0.83397353573813127</v>
      </c>
      <c r="O236">
        <f ca="1"/>
        <v>0</v>
      </c>
      <c r="P236">
        <f ca="1"/>
        <v>64.66496428243039</v>
      </c>
      <c r="Q236">
        <f ca="1"/>
        <v>55.195199638559849</v>
      </c>
      <c r="R236">
        <f ca="1"/>
        <v>0</v>
      </c>
      <c r="S236">
        <f ca="1"/>
        <v>0.71321857119930065</v>
      </c>
      <c r="T236">
        <f ca="1"/>
        <v>0</v>
      </c>
      <c r="U236">
        <f ca="1"/>
        <v>0</v>
      </c>
      <c r="V236">
        <f ca="1"/>
        <v>0.99598639753932661</v>
      </c>
      <c r="X236" s="2">
        <f t="shared" ca="1" si="22"/>
        <v>45646</v>
      </c>
      <c r="Y236">
        <f t="shared" ca="1" si="23"/>
        <v>0</v>
      </c>
      <c r="AA236" s="63">
        <f t="shared" ca="1" si="25"/>
        <v>417.56614544111125</v>
      </c>
      <c r="AB236" s="63">
        <f t="shared" ca="1" si="26"/>
        <v>417.56614544111125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45647</v>
      </c>
      <c r="K237">
        <f ca="1"/>
        <v>413.83059321045243</v>
      </c>
      <c r="L237">
        <f ca="1"/>
        <v>3.1257189910854208</v>
      </c>
      <c r="M237">
        <f ca="1"/>
        <v>1.5908643771404627</v>
      </c>
      <c r="N237">
        <f ca="1"/>
        <v>0.79347654820014812</v>
      </c>
      <c r="O237">
        <f ca="1"/>
        <v>0</v>
      </c>
      <c r="P237">
        <f ca="1"/>
        <v>67.79068327351581</v>
      </c>
      <c r="Q237">
        <f ca="1"/>
        <v>57.863177354800108</v>
      </c>
      <c r="R237">
        <f ca="1"/>
        <v>0</v>
      </c>
      <c r="S237">
        <f ca="1"/>
        <v>0.67153076212612373</v>
      </c>
      <c r="T237">
        <f ca="1"/>
        <v>0</v>
      </c>
      <c r="U237">
        <f ca="1"/>
        <v>0</v>
      </c>
      <c r="V237">
        <f ca="1"/>
        <v>0.99662623249216897</v>
      </c>
      <c r="X237" s="2">
        <f t="shared" ca="1" si="22"/>
        <v>45647</v>
      </c>
      <c r="Y237">
        <f t="shared" ca="1" si="23"/>
        <v>0</v>
      </c>
      <c r="AA237" s="63">
        <f t="shared" ca="1" si="25"/>
        <v>416.95631220153786</v>
      </c>
      <c r="AB237" s="63">
        <f t="shared" ca="1" si="26"/>
        <v>416.95631220153786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45648</v>
      </c>
      <c r="K238">
        <f ca="1"/>
        <v>412.78239484001256</v>
      </c>
      <c r="L238">
        <f ca="1"/>
        <v>3.4379108979123743</v>
      </c>
      <c r="M238">
        <f ca="1"/>
        <v>1.6019952409686198</v>
      </c>
      <c r="N238">
        <f ca="1"/>
        <v>0.78771728650390294</v>
      </c>
      <c r="O238">
        <f ca="1"/>
        <v>0</v>
      </c>
      <c r="P238">
        <f ca="1"/>
        <v>71.228594171428185</v>
      </c>
      <c r="Q238">
        <f ca="1"/>
        <v>60.797628497788068</v>
      </c>
      <c r="R238">
        <f ca="1"/>
        <v>0</v>
      </c>
      <c r="S238">
        <f ca="1"/>
        <v>0.62637067925480439</v>
      </c>
      <c r="T238">
        <f ca="1"/>
        <v>0</v>
      </c>
      <c r="U238">
        <f ca="1"/>
        <v>0</v>
      </c>
      <c r="V238">
        <f ca="1"/>
        <v>0.99719381932476414</v>
      </c>
      <c r="X238" s="2">
        <f t="shared" ca="1" si="22"/>
        <v>45648</v>
      </c>
      <c r="Y238">
        <f t="shared" ca="1" si="23"/>
        <v>0</v>
      </c>
      <c r="AA238" s="63">
        <f t="shared" ca="1" si="25"/>
        <v>416.22030573792495</v>
      </c>
      <c r="AB238" s="63">
        <f t="shared" ca="1" si="26"/>
        <v>416.22030573792495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45649</v>
      </c>
      <c r="K239">
        <f ca="1"/>
        <v>411.54199051971102</v>
      </c>
      <c r="L239">
        <f ca="1"/>
        <v>3.584989668580647</v>
      </c>
      <c r="M239">
        <f ca="1"/>
        <v>1.5448144739830241</v>
      </c>
      <c r="N239">
        <f ca="1"/>
        <v>0.79977087429607097</v>
      </c>
      <c r="O239">
        <f ca="1"/>
        <v>0</v>
      </c>
      <c r="P239">
        <f ca="1"/>
        <v>74.813583840008832</v>
      </c>
      <c r="Q239">
        <f ca="1"/>
        <v>63.857619679338086</v>
      </c>
      <c r="R239">
        <f ca="1"/>
        <v>0</v>
      </c>
      <c r="S239">
        <f ca="1"/>
        <v>0.6342423454605326</v>
      </c>
      <c r="T239">
        <f ca="1"/>
        <v>0</v>
      </c>
      <c r="U239">
        <f ca="1"/>
        <v>0</v>
      </c>
      <c r="V239">
        <f ca="1"/>
        <v>0.99766832452063803</v>
      </c>
      <c r="X239" s="2">
        <f t="shared" ca="1" si="22"/>
        <v>45649</v>
      </c>
      <c r="Y239">
        <f t="shared" ca="1" si="23"/>
        <v>0</v>
      </c>
      <c r="AA239" s="63">
        <f t="shared" ca="1" si="25"/>
        <v>415.12698018829167</v>
      </c>
      <c r="AB239" s="63">
        <f t="shared" ca="1" si="26"/>
        <v>415.12698018829167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45650</v>
      </c>
      <c r="K240">
        <f ca="1"/>
        <v>410.04562246283444</v>
      </c>
      <c r="L240">
        <f ca="1"/>
        <v>3.880747035088902</v>
      </c>
      <c r="M240">
        <f ca="1"/>
        <v>1.5366344053161356</v>
      </c>
      <c r="N240">
        <f ca="1"/>
        <v>0.84774457289619509</v>
      </c>
      <c r="O240">
        <f ca="1"/>
        <v>0</v>
      </c>
      <c r="P240">
        <f ca="1"/>
        <v>78.694330875097734</v>
      </c>
      <c r="Q240">
        <f ca="1"/>
        <v>67.170056479162909</v>
      </c>
      <c r="R240">
        <f ca="1"/>
        <v>0</v>
      </c>
      <c r="S240">
        <f ca="1"/>
        <v>0.64776226733833842</v>
      </c>
      <c r="T240">
        <f ca="1"/>
        <v>0</v>
      </c>
      <c r="U240">
        <f ca="1"/>
        <v>0</v>
      </c>
      <c r="V240">
        <f ca="1"/>
        <v>0.99807840378292012</v>
      </c>
      <c r="X240" s="2">
        <f t="shared" ca="1" si="22"/>
        <v>45650</v>
      </c>
      <c r="Y240">
        <f t="shared" ca="1" si="23"/>
        <v>0</v>
      </c>
      <c r="AA240" s="63">
        <f t="shared" ca="1" si="25"/>
        <v>413.92636949792336</v>
      </c>
      <c r="AB240" s="63">
        <f t="shared" ca="1" si="26"/>
        <v>413.92636949792336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45651</v>
      </c>
      <c r="K241">
        <f ca="1"/>
        <v>408.20129791602886</v>
      </c>
      <c r="L241">
        <f ca="1"/>
        <v>4.1939722579121934</v>
      </c>
      <c r="M241">
        <f ca="1"/>
        <v>1.5261556632454472</v>
      </c>
      <c r="N241">
        <f ca="1"/>
        <v>0.82349204786115238</v>
      </c>
      <c r="O241">
        <f ca="1"/>
        <v>0</v>
      </c>
      <c r="P241">
        <f ca="1"/>
        <v>82.888303133009927</v>
      </c>
      <c r="Q241">
        <f ca="1"/>
        <v>70.749848699305559</v>
      </c>
      <c r="R241">
        <f ca="1"/>
        <v>0</v>
      </c>
      <c r="S241">
        <f ca="1"/>
        <v>0.59634602771491285</v>
      </c>
      <c r="T241">
        <f ca="1"/>
        <v>0</v>
      </c>
      <c r="U241">
        <f ca="1"/>
        <v>0</v>
      </c>
      <c r="V241">
        <f ca="1"/>
        <v>0.9984292754826426</v>
      </c>
      <c r="X241" s="2">
        <f t="shared" ca="1" si="22"/>
        <v>45651</v>
      </c>
      <c r="Y241">
        <f t="shared" ca="1" si="23"/>
        <v>0</v>
      </c>
      <c r="AA241" s="63">
        <f t="shared" ca="1" si="25"/>
        <v>412.39527017394107</v>
      </c>
      <c r="AB241" s="63">
        <f t="shared" ca="1" si="26"/>
        <v>412.39527017394107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45652</v>
      </c>
      <c r="K242">
        <f ca="1"/>
        <v>406.16604084212133</v>
      </c>
      <c r="L242">
        <f ca="1"/>
        <v>4.2164397595342535</v>
      </c>
      <c r="M242">
        <f ca="1"/>
        <v>1.4237639310981081</v>
      </c>
      <c r="N242">
        <f ca="1"/>
        <v>0.75741875452861451</v>
      </c>
      <c r="O242">
        <f ca="1"/>
        <v>0</v>
      </c>
      <c r="P242">
        <f ca="1"/>
        <v>87.104742892544181</v>
      </c>
      <c r="Q242">
        <f ca="1"/>
        <v>74.348818201167433</v>
      </c>
      <c r="R242">
        <f ca="1"/>
        <v>0</v>
      </c>
      <c r="S242">
        <f ca="1"/>
        <v>0.55521337233976664</v>
      </c>
      <c r="T242">
        <f ca="1"/>
        <v>0</v>
      </c>
      <c r="U242">
        <f ca="1"/>
        <v>0</v>
      </c>
      <c r="V242">
        <f ca="1"/>
        <v>0.99870852335276383</v>
      </c>
      <c r="X242" s="2">
        <f t="shared" ca="1" si="22"/>
        <v>45652</v>
      </c>
      <c r="Y242">
        <f t="shared" ca="1" si="23"/>
        <v>0</v>
      </c>
      <c r="AA242" s="63">
        <f t="shared" ca="1" si="25"/>
        <v>410.38248060165557</v>
      </c>
      <c r="AB242" s="63">
        <f t="shared" ca="1" si="26"/>
        <v>410.38248060165557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45653</v>
      </c>
      <c r="K243">
        <f ca="1"/>
        <v>404.00732470566231</v>
      </c>
      <c r="L243">
        <f ca="1"/>
        <v>4.1712849398834635</v>
      </c>
      <c r="M243">
        <f ca="1"/>
        <v>1.3162598301958042</v>
      </c>
      <c r="N243">
        <f ca="1"/>
        <v>0.69630897322866259</v>
      </c>
      <c r="O243">
        <f ca="1"/>
        <v>0</v>
      </c>
      <c r="P243">
        <f ca="1"/>
        <v>91.276027832427644</v>
      </c>
      <c r="Q243">
        <f ca="1"/>
        <v>77.909245513871298</v>
      </c>
      <c r="R243">
        <f ca="1"/>
        <v>0</v>
      </c>
      <c r="S243">
        <f ca="1"/>
        <v>0.52255724567195339</v>
      </c>
      <c r="T243">
        <f ca="1"/>
        <v>0</v>
      </c>
      <c r="U243">
        <f ca="1"/>
        <v>0</v>
      </c>
      <c r="V243">
        <f ca="1"/>
        <v>0.99892935407601768</v>
      </c>
      <c r="X243" s="2">
        <f t="shared" ca="1" si="22"/>
        <v>45653</v>
      </c>
      <c r="Y243">
        <f t="shared" ca="1" si="23"/>
        <v>0</v>
      </c>
      <c r="AA243" s="63">
        <f t="shared" ca="1" si="25"/>
        <v>408.17860964554581</v>
      </c>
      <c r="AB243" s="63">
        <f t="shared" ca="1" si="26"/>
        <v>408.17860964554575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45654</v>
      </c>
      <c r="K244">
        <f ca="1"/>
        <v>401.65679143056246</v>
      </c>
      <c r="L244">
        <f ca="1"/>
        <v>4.3319650639816132</v>
      </c>
      <c r="M244">
        <f ca="1"/>
        <v>1.2711404998594844</v>
      </c>
      <c r="N244">
        <f ca="1"/>
        <v>0.7102912890223011</v>
      </c>
      <c r="O244">
        <f ca="1"/>
        <v>0</v>
      </c>
      <c r="P244">
        <f ca="1"/>
        <v>95.607992896409257</v>
      </c>
      <c r="Q244">
        <f ca="1"/>
        <v>81.606822388566911</v>
      </c>
      <c r="R244">
        <f ca="1"/>
        <v>0</v>
      </c>
      <c r="S244">
        <f ca="1"/>
        <v>0.53230600718473098</v>
      </c>
      <c r="T244">
        <f ca="1"/>
        <v>0</v>
      </c>
      <c r="U244">
        <f ca="1"/>
        <v>0</v>
      </c>
      <c r="V244">
        <f ca="1"/>
        <v>0.99911370503063301</v>
      </c>
      <c r="X244" s="2">
        <f t="shared" ca="1" si="22"/>
        <v>45654</v>
      </c>
      <c r="Y244">
        <f t="shared" ca="1" si="23"/>
        <v>0</v>
      </c>
      <c r="AA244" s="63">
        <f t="shared" ca="1" si="25"/>
        <v>405.98875649454408</v>
      </c>
      <c r="AB244" s="63">
        <f t="shared" ca="1" si="26"/>
        <v>405.98875649454408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45655</v>
      </c>
      <c r="K245">
        <f ca="1"/>
        <v>399.14475325912792</v>
      </c>
      <c r="L245">
        <f ca="1"/>
        <v>4.4403071342301104</v>
      </c>
      <c r="M245">
        <f ca="1"/>
        <v>1.2156634584633821</v>
      </c>
      <c r="N245">
        <f ca="1"/>
        <v>0.71260550433219405</v>
      </c>
      <c r="O245">
        <f ca="1"/>
        <v>0</v>
      </c>
      <c r="P245">
        <f ca="1"/>
        <v>100.04830003063937</v>
      </c>
      <c r="Q245">
        <f ca="1"/>
        <v>85.396875339959976</v>
      </c>
      <c r="R245">
        <f ca="1"/>
        <v>0</v>
      </c>
      <c r="S245">
        <f ca="1"/>
        <v>0.53768479918086043</v>
      </c>
      <c r="T245">
        <f ca="1"/>
        <v>0</v>
      </c>
      <c r="U245">
        <f ca="1"/>
        <v>0</v>
      </c>
      <c r="V245">
        <f ca="1"/>
        <v>0.99926576327277894</v>
      </c>
      <c r="X245" s="2">
        <f t="shared" ca="1" si="22"/>
        <v>45655</v>
      </c>
      <c r="Y245">
        <f t="shared" ca="1" si="23"/>
        <v>0</v>
      </c>
      <c r="AA245" s="63">
        <f t="shared" ca="1" si="25"/>
        <v>403.58506039335805</v>
      </c>
      <c r="AB245" s="63">
        <f t="shared" ca="1" si="26"/>
        <v>403.58506039335805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45656</v>
      </c>
      <c r="K246">
        <f ca="1"/>
        <v>396.56455962562399</v>
      </c>
      <c r="L246">
        <f ca="1"/>
        <v>4.4247024610372137</v>
      </c>
      <c r="M246">
        <f ca="1"/>
        <v>1.1385744753098948</v>
      </c>
      <c r="N246">
        <f ca="1"/>
        <v>0.70593435222335943</v>
      </c>
      <c r="O246">
        <f ca="1"/>
        <v>0</v>
      </c>
      <c r="P246">
        <f ca="1"/>
        <v>104.47300249167658</v>
      </c>
      <c r="Q246">
        <f ca="1"/>
        <v>89.173608821347386</v>
      </c>
      <c r="R246">
        <f ca="1"/>
        <v>0</v>
      </c>
      <c r="S246">
        <f ca="1"/>
        <v>0.55175797525579418</v>
      </c>
      <c r="T246">
        <f ca="1"/>
        <v>0</v>
      </c>
      <c r="U246">
        <f ca="1"/>
        <v>0</v>
      </c>
      <c r="V246">
        <f ca="1"/>
        <v>0.99938831876324752</v>
      </c>
      <c r="X246" s="2">
        <f t="shared" ca="1" si="22"/>
        <v>45656</v>
      </c>
      <c r="Y246">
        <f t="shared" ca="1" si="23"/>
        <v>0</v>
      </c>
      <c r="AA246" s="63">
        <f t="shared" ca="1" si="25"/>
        <v>400.9892620866612</v>
      </c>
      <c r="AB246" s="63">
        <f t="shared" ca="1" si="26"/>
        <v>400.9892620866612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45657</v>
      </c>
      <c r="K247">
        <f ca="1"/>
        <v>394.09943149846913</v>
      </c>
      <c r="L247">
        <f ca="1"/>
        <v>4.0615359988037483</v>
      </c>
      <c r="M247">
        <f ca="1"/>
        <v>1.000708568541711</v>
      </c>
      <c r="N247">
        <f ca="1"/>
        <v>0.59569930310715347</v>
      </c>
      <c r="O247">
        <f ca="1"/>
        <v>0</v>
      </c>
      <c r="P247">
        <f ca="1"/>
        <v>108.53453849048033</v>
      </c>
      <c r="Q247">
        <f ca="1"/>
        <v>92.640359213631754</v>
      </c>
      <c r="R247">
        <f ca="1"/>
        <v>0</v>
      </c>
      <c r="S247">
        <f ca="1"/>
        <v>0.49656045986734859</v>
      </c>
      <c r="T247">
        <f ca="1"/>
        <v>0</v>
      </c>
      <c r="U247">
        <f ca="1"/>
        <v>0</v>
      </c>
      <c r="V247">
        <f ca="1"/>
        <v>0.99948070293371349</v>
      </c>
      <c r="X247" s="2">
        <f t="shared" ca="1" si="22"/>
        <v>45657</v>
      </c>
      <c r="Y247">
        <f t="shared" ca="1" si="23"/>
        <v>0</v>
      </c>
      <c r="AA247" s="63">
        <f t="shared" ca="1" si="25"/>
        <v>398.16096749727285</v>
      </c>
      <c r="AB247" s="63">
        <f t="shared" ca="1" si="26"/>
        <v>398.16096749727285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45658</v>
      </c>
      <c r="K248">
        <f ca="1"/>
        <v>390.79628209403893</v>
      </c>
      <c r="L248">
        <f ca="1"/>
        <v>5.1216037578608109</v>
      </c>
      <c r="M248">
        <f ca="1"/>
        <v>1.1095122448114694</v>
      </c>
      <c r="N248">
        <f ca="1"/>
        <v>0.7089421086191442</v>
      </c>
      <c r="O248">
        <f ca="1"/>
        <v>0</v>
      </c>
      <c r="P248">
        <f ca="1"/>
        <v>113.65614224834114</v>
      </c>
      <c r="Q248">
        <f ca="1"/>
        <v>97.011937316575725</v>
      </c>
      <c r="R248">
        <f ca="1"/>
        <v>0</v>
      </c>
      <c r="S248">
        <f ca="1"/>
        <v>0.483849786871067</v>
      </c>
      <c r="T248">
        <f ca="1"/>
        <v>0</v>
      </c>
      <c r="U248">
        <f ca="1"/>
        <v>0</v>
      </c>
      <c r="V248">
        <f ca="1"/>
        <v>0.99957556595055963</v>
      </c>
      <c r="X248" s="2">
        <f t="shared" ca="1" si="22"/>
        <v>45658</v>
      </c>
      <c r="Y248">
        <f t="shared" ca="1" si="23"/>
        <v>0</v>
      </c>
      <c r="AA248" s="63">
        <f t="shared" ca="1" si="25"/>
        <v>395.91788585189977</v>
      </c>
      <c r="AB248" s="63">
        <f t="shared" ca="1" si="26"/>
        <v>395.91788585189977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45659</v>
      </c>
      <c r="K249">
        <f ca="1"/>
        <v>387.13690360878309</v>
      </c>
      <c r="L249">
        <f ca="1"/>
        <v>5.4678111411544421</v>
      </c>
      <c r="M249">
        <f ca="1"/>
        <v>1.0802321999826745</v>
      </c>
      <c r="N249">
        <f ca="1"/>
        <v>0.72820045591594385</v>
      </c>
      <c r="O249">
        <f ca="1"/>
        <v>0</v>
      </c>
      <c r="P249">
        <f ca="1"/>
        <v>119.12395338949558</v>
      </c>
      <c r="Q249">
        <f ca="1"/>
        <v>101.67902297680796</v>
      </c>
      <c r="R249">
        <f ca="1"/>
        <v>0</v>
      </c>
      <c r="S249">
        <f ca="1"/>
        <v>0.47342282653248685</v>
      </c>
      <c r="T249">
        <f ca="1"/>
        <v>0</v>
      </c>
      <c r="U249">
        <f ca="1"/>
        <v>0</v>
      </c>
      <c r="V249">
        <f ca="1"/>
        <v>0.9996560207819648</v>
      </c>
      <c r="X249" s="2">
        <f t="shared" ca="1" si="22"/>
        <v>45659</v>
      </c>
      <c r="Y249">
        <f t="shared" ca="1" si="23"/>
        <v>0</v>
      </c>
      <c r="AA249" s="63">
        <f t="shared" ca="1" si="25"/>
        <v>392.60471474993756</v>
      </c>
      <c r="AB249" s="63">
        <f t="shared" ca="1" si="26"/>
        <v>392.60471474993756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45660</v>
      </c>
      <c r="K250">
        <f ca="1"/>
        <v>383.39978572640445</v>
      </c>
      <c r="L250">
        <f ca="1"/>
        <v>5.6106722677560583</v>
      </c>
      <c r="M250">
        <f ca="1"/>
        <v>1.0948889374573696</v>
      </c>
      <c r="N250">
        <f ca="1"/>
        <v>0.77866544792005188</v>
      </c>
      <c r="O250">
        <f ca="1"/>
        <v>0</v>
      </c>
      <c r="P250">
        <f ca="1"/>
        <v>124.73462565725164</v>
      </c>
      <c r="Q250">
        <f ca="1"/>
        <v>106.46804867815624</v>
      </c>
      <c r="R250">
        <f ca="1"/>
        <v>0</v>
      </c>
      <c r="S250">
        <f ca="1"/>
        <v>0.52216073366167859</v>
      </c>
      <c r="T250">
        <f ca="1"/>
        <v>0</v>
      </c>
      <c r="U250">
        <f ca="1"/>
        <v>0</v>
      </c>
      <c r="V250">
        <f ca="1"/>
        <v>0.99972140322839154</v>
      </c>
      <c r="X250" s="2">
        <f t="shared" ca="1" si="22"/>
        <v>45660</v>
      </c>
      <c r="Y250">
        <f t="shared" ca="1" si="23"/>
        <v>0</v>
      </c>
      <c r="AA250" s="63">
        <f t="shared" ca="1" si="25"/>
        <v>389.0104579941605</v>
      </c>
      <c r="AB250" s="63">
        <f t="shared" ca="1" si="26"/>
        <v>389.0104579941605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45661</v>
      </c>
      <c r="K251">
        <f ca="1"/>
        <v>379.92584366418828</v>
      </c>
      <c r="L251">
        <f ca="1"/>
        <v>5.0895549245304181</v>
      </c>
      <c r="M251">
        <f ca="1"/>
        <v>0.94209234910181294</v>
      </c>
      <c r="N251">
        <f ca="1"/>
        <v>0.67352051321244311</v>
      </c>
      <c r="O251">
        <f ca="1"/>
        <v>0</v>
      </c>
      <c r="P251">
        <f ca="1"/>
        <v>129.82418058178206</v>
      </c>
      <c r="Q251">
        <f ca="1"/>
        <v>110.81227129156294</v>
      </c>
      <c r="R251">
        <f ca="1"/>
        <v>0</v>
      </c>
      <c r="S251">
        <f ca="1"/>
        <v>0.4979074777696908</v>
      </c>
      <c r="T251">
        <f ca="1"/>
        <v>0</v>
      </c>
      <c r="U251">
        <f ca="1"/>
        <v>0</v>
      </c>
      <c r="V251">
        <f ca="1"/>
        <v>0.9997690446870654</v>
      </c>
      <c r="X251" s="2">
        <f t="shared" ca="1" si="22"/>
        <v>45661</v>
      </c>
      <c r="Y251">
        <f t="shared" ca="1" si="23"/>
        <v>0</v>
      </c>
      <c r="AA251" s="63">
        <f t="shared" ca="1" si="25"/>
        <v>385.01539858871871</v>
      </c>
      <c r="AB251" s="63">
        <f t="shared" ca="1" si="26"/>
        <v>385.01539858871871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45662</v>
      </c>
      <c r="K252">
        <f ca="1"/>
        <v>376.49977771509396</v>
      </c>
      <c r="L252">
        <f ca="1"/>
        <v>4.9225390111205627</v>
      </c>
      <c r="M252">
        <f ca="1"/>
        <v>0.85845871554437281</v>
      </c>
      <c r="N252">
        <f ca="1"/>
        <v>0.63801434648192379</v>
      </c>
      <c r="O252">
        <f ca="1"/>
        <v>0</v>
      </c>
      <c r="P252">
        <f ca="1"/>
        <v>134.74671959290262</v>
      </c>
      <c r="Q252">
        <f ca="1"/>
        <v>115.01393638892107</v>
      </c>
      <c r="R252">
        <f ca="1"/>
        <v>0</v>
      </c>
      <c r="S252">
        <f ca="1"/>
        <v>0.49129941973200764</v>
      </c>
      <c r="T252">
        <f ca="1"/>
        <v>0</v>
      </c>
      <c r="U252">
        <f ca="1"/>
        <v>0</v>
      </c>
      <c r="V252">
        <f ca="1"/>
        <v>0.99980679729699184</v>
      </c>
      <c r="X252" s="2">
        <f t="shared" ca="1" si="22"/>
        <v>45662</v>
      </c>
      <c r="Y252">
        <f t="shared" ca="1" si="23"/>
        <v>0</v>
      </c>
      <c r="AA252" s="63">
        <f t="shared" ca="1" si="25"/>
        <v>381.42231672621455</v>
      </c>
      <c r="AB252" s="63">
        <f t="shared" ca="1" si="26"/>
        <v>381.42231672621449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45663</v>
      </c>
      <c r="K253">
        <f ca="1"/>
        <v>372.45757600858781</v>
      </c>
      <c r="L253">
        <f ca="1"/>
        <v>5.5251339048537318</v>
      </c>
      <c r="M253">
        <f ca="1"/>
        <v>0.82016270029220095</v>
      </c>
      <c r="N253">
        <f ca="1"/>
        <v>0.66276949805533114</v>
      </c>
      <c r="O253">
        <f ca="1"/>
        <v>0</v>
      </c>
      <c r="P253">
        <f ca="1"/>
        <v>140.27185349775635</v>
      </c>
      <c r="Q253">
        <f ca="1"/>
        <v>119.72995026586736</v>
      </c>
      <c r="R253">
        <f ca="1"/>
        <v>0</v>
      </c>
      <c r="S253">
        <f ca="1"/>
        <v>0.44839675458963041</v>
      </c>
      <c r="T253">
        <f ca="1"/>
        <v>0</v>
      </c>
      <c r="U253">
        <f ca="1"/>
        <v>0</v>
      </c>
      <c r="V253">
        <f ca="1"/>
        <v>0.99984140762570661</v>
      </c>
      <c r="X253" s="2">
        <f t="shared" ca="1" si="22"/>
        <v>45663</v>
      </c>
      <c r="Y253">
        <f t="shared" ca="1" si="23"/>
        <v>0</v>
      </c>
      <c r="AA253" s="63">
        <f t="shared" ca="1" si="25"/>
        <v>377.98270991344151</v>
      </c>
      <c r="AB253" s="63">
        <f t="shared" ca="1" si="26"/>
        <v>377.98270991344157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45664</v>
      </c>
      <c r="K254">
        <f ca="1"/>
        <v>368.51488344235395</v>
      </c>
      <c r="L254">
        <f ca="1"/>
        <v>5.3193795344350576</v>
      </c>
      <c r="M254">
        <f ca="1"/>
        <v>0.74896964221443341</v>
      </c>
      <c r="N254">
        <f ca="1"/>
        <v>0.62771732598679764</v>
      </c>
      <c r="O254">
        <f ca="1"/>
        <v>0</v>
      </c>
      <c r="P254">
        <f ca="1"/>
        <v>145.59123303219141</v>
      </c>
      <c r="Q254">
        <f ca="1"/>
        <v>124.27034116555252</v>
      </c>
      <c r="R254">
        <f ca="1"/>
        <v>0</v>
      </c>
      <c r="S254">
        <f ca="1"/>
        <v>0.44384386706678475</v>
      </c>
      <c r="T254">
        <f ca="1"/>
        <v>0</v>
      </c>
      <c r="U254">
        <f ca="1"/>
        <v>0</v>
      </c>
      <c r="V254">
        <f ca="1"/>
        <v>0.99986853042346047</v>
      </c>
      <c r="X254" s="2">
        <f t="shared" ca="1" si="22"/>
        <v>45664</v>
      </c>
      <c r="Y254">
        <f t="shared" ca="1" si="23"/>
        <v>0</v>
      </c>
      <c r="AA254" s="63">
        <f t="shared" ca="1" si="25"/>
        <v>373.83426297678903</v>
      </c>
      <c r="AB254" s="63">
        <f t="shared" ca="1" si="26"/>
        <v>373.83426297678898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45665</v>
      </c>
      <c r="K255">
        <f ca="1"/>
        <v>364.31162708164345</v>
      </c>
      <c r="L255">
        <f ca="1"/>
        <v>5.5717033195035413</v>
      </c>
      <c r="M255">
        <f ca="1"/>
        <v>0.72775714723314877</v>
      </c>
      <c r="N255">
        <f ca="1"/>
        <v>0.64068981155989491</v>
      </c>
      <c r="O255">
        <f ca="1"/>
        <v>0</v>
      </c>
      <c r="P255">
        <f ca="1"/>
        <v>151.16293635169495</v>
      </c>
      <c r="Q255">
        <f ca="1"/>
        <v>129.02610466839235</v>
      </c>
      <c r="R255">
        <f ca="1"/>
        <v>0</v>
      </c>
      <c r="S255">
        <f ca="1"/>
        <v>0.43394926752694829</v>
      </c>
      <c r="T255">
        <f ca="1"/>
        <v>0</v>
      </c>
      <c r="U255">
        <f ca="1"/>
        <v>0</v>
      </c>
      <c r="V255">
        <f ca="1"/>
        <v>0.99989174518302049</v>
      </c>
      <c r="X255" s="2">
        <f t="shared" ca="1" si="22"/>
        <v>45665</v>
      </c>
      <c r="Y255">
        <f t="shared" ca="1" si="23"/>
        <v>0</v>
      </c>
      <c r="AA255" s="63">
        <f t="shared" ca="1" si="25"/>
        <v>369.88333040114696</v>
      </c>
      <c r="AB255" s="63">
        <f t="shared" ca="1" si="26"/>
        <v>369.88333040114696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45666</v>
      </c>
      <c r="K256">
        <f ca="1"/>
        <v>360.08692336634249</v>
      </c>
      <c r="L256">
        <f ca="1"/>
        <v>5.4376221602403518</v>
      </c>
      <c r="M256">
        <f ca="1"/>
        <v>0.62220516265722381</v>
      </c>
      <c r="N256">
        <f ca="1"/>
        <v>0.59071328228222175</v>
      </c>
      <c r="O256">
        <f ca="1"/>
        <v>0</v>
      </c>
      <c r="P256">
        <f ca="1"/>
        <v>156.6005585119353</v>
      </c>
      <c r="Q256">
        <f ca="1"/>
        <v>133.6674223281791</v>
      </c>
      <c r="R256">
        <f ca="1"/>
        <v>0</v>
      </c>
      <c r="S256">
        <f ca="1"/>
        <v>0.39489982539092683</v>
      </c>
      <c r="T256">
        <f ca="1"/>
        <v>0</v>
      </c>
      <c r="U256">
        <f ca="1"/>
        <v>0</v>
      </c>
      <c r="V256">
        <f ca="1"/>
        <v>0.99991028796985792</v>
      </c>
      <c r="X256" s="2">
        <f t="shared" ca="1" si="22"/>
        <v>45666</v>
      </c>
      <c r="Y256">
        <f t="shared" ca="1" si="23"/>
        <v>0</v>
      </c>
      <c r="AA256" s="63">
        <f t="shared" ca="1" si="25"/>
        <v>365.52454552658287</v>
      </c>
      <c r="AB256" s="63">
        <f t="shared" ca="1" si="26"/>
        <v>365.52454552658287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45667</v>
      </c>
      <c r="K257">
        <f ca="1"/>
        <v>355.52832665258984</v>
      </c>
      <c r="L257">
        <f ca="1"/>
        <v>5.7412899081022886</v>
      </c>
      <c r="M257">
        <f ca="1"/>
        <v>0.58522852147223148</v>
      </c>
      <c r="N257">
        <f ca="1"/>
        <v>0.59746467287745231</v>
      </c>
      <c r="O257">
        <f ca="1"/>
        <v>0</v>
      </c>
      <c r="P257">
        <f ca="1"/>
        <v>162.34184842003759</v>
      </c>
      <c r="Q257">
        <f ca="1"/>
        <v>138.56793756354674</v>
      </c>
      <c r="R257">
        <f ca="1"/>
        <v>0</v>
      </c>
      <c r="S257">
        <f ca="1"/>
        <v>0.36816199869439536</v>
      </c>
      <c r="T257">
        <f ca="1"/>
        <v>0</v>
      </c>
      <c r="U257">
        <f ca="1"/>
        <v>0</v>
      </c>
      <c r="V257">
        <f ca="1"/>
        <v>0.99992632580629848</v>
      </c>
      <c r="X257" s="2">
        <f t="shared" ca="1" si="22"/>
        <v>45667</v>
      </c>
      <c r="Y257">
        <f t="shared" ca="1" si="23"/>
        <v>0</v>
      </c>
      <c r="AA257" s="63">
        <f t="shared" ca="1" si="25"/>
        <v>361.26961656069216</v>
      </c>
      <c r="AB257" s="63">
        <f t="shared" ca="1" si="26"/>
        <v>361.26961656069216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45668</v>
      </c>
      <c r="K258">
        <f ca="1"/>
        <v>350.83105212497236</v>
      </c>
      <c r="L258">
        <f ca="1"/>
        <v>5.7946624179939477</v>
      </c>
      <c r="M258">
        <f ca="1"/>
        <v>0.52055171846740222</v>
      </c>
      <c r="N258">
        <f ca="1"/>
        <v>0.57683617190905123</v>
      </c>
      <c r="O258">
        <f ca="1"/>
        <v>0</v>
      </c>
      <c r="P258">
        <f ca="1"/>
        <v>168.13651083803154</v>
      </c>
      <c r="Q258">
        <f ca="1"/>
        <v>143.51400925087214</v>
      </c>
      <c r="R258">
        <f ca="1"/>
        <v>0</v>
      </c>
      <c r="S258">
        <f ca="1"/>
        <v>0.33612708496742411</v>
      </c>
      <c r="T258">
        <f ca="1"/>
        <v>0</v>
      </c>
      <c r="U258">
        <f ca="1"/>
        <v>0</v>
      </c>
      <c r="V258">
        <f ca="1"/>
        <v>0.99993954399845042</v>
      </c>
      <c r="X258" s="2">
        <f t="shared" ca="1" si="22"/>
        <v>45668</v>
      </c>
      <c r="Y258">
        <f t="shared" ca="1" si="23"/>
        <v>0</v>
      </c>
      <c r="AA258" s="63">
        <f t="shared" ca="1" si="25"/>
        <v>356.62571454296631</v>
      </c>
      <c r="AB258" s="63">
        <f t="shared" ca="1" si="26"/>
        <v>356.62571454296631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45669</v>
      </c>
      <c r="K259">
        <f ca="1"/>
        <v>345.85562359030718</v>
      </c>
      <c r="L259">
        <f ca="1"/>
        <v>6.0566636986637832</v>
      </c>
      <c r="M259">
        <f ca="1"/>
        <v>0.49463217646211888</v>
      </c>
      <c r="N259">
        <f ca="1"/>
        <v>0.5866029875364781</v>
      </c>
      <c r="O259">
        <f ca="1"/>
        <v>0</v>
      </c>
      <c r="P259">
        <f ca="1"/>
        <v>174.19317453669532</v>
      </c>
      <c r="Q259">
        <f ca="1"/>
        <v>148.68371383048469</v>
      </c>
      <c r="R259">
        <f ca="1"/>
        <v>0</v>
      </c>
      <c r="S259">
        <f ca="1"/>
        <v>0.31657143912513797</v>
      </c>
      <c r="T259">
        <f ca="1"/>
        <v>0</v>
      </c>
      <c r="U259">
        <f ca="1"/>
        <v>0</v>
      </c>
      <c r="V259">
        <f ca="1"/>
        <v>0.99995080008066495</v>
      </c>
      <c r="X259" s="2">
        <f t="shared" ca="1" si="22"/>
        <v>45669</v>
      </c>
      <c r="Y259">
        <f t="shared" ca="1" si="23"/>
        <v>0</v>
      </c>
      <c r="AA259" s="63">
        <f t="shared" ca="1" si="25"/>
        <v>351.91228728897096</v>
      </c>
      <c r="AB259" s="63">
        <f t="shared" ca="1" si="26"/>
        <v>351.91228728897096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45670</v>
      </c>
      <c r="K260">
        <f ca="1"/>
        <v>341.00266245684946</v>
      </c>
      <c r="L260">
        <f ca="1"/>
        <v>5.924295220964666</v>
      </c>
      <c r="M260">
        <f ca="1"/>
        <v>0.48944414519462498</v>
      </c>
      <c r="N260">
        <f ca="1"/>
        <v>0.58188994231231395</v>
      </c>
      <c r="O260">
        <f ca="1"/>
        <v>0</v>
      </c>
      <c r="P260">
        <f ca="1"/>
        <v>180.11746975765999</v>
      </c>
      <c r="Q260">
        <f ca="1"/>
        <v>153.74043443750057</v>
      </c>
      <c r="R260">
        <f ca="1"/>
        <v>0</v>
      </c>
      <c r="S260">
        <f ca="1"/>
        <v>0.32882660227927796</v>
      </c>
      <c r="T260">
        <f ca="1"/>
        <v>0</v>
      </c>
      <c r="U260">
        <f ca="1"/>
        <v>0</v>
      </c>
      <c r="V260">
        <f ca="1"/>
        <v>0.99995977231047561</v>
      </c>
      <c r="X260" s="2">
        <f t="shared" ca="1" si="22"/>
        <v>45670</v>
      </c>
      <c r="Y260">
        <f t="shared" ca="1" si="23"/>
        <v>0</v>
      </c>
      <c r="AA260" s="63">
        <f t="shared" ca="1" si="25"/>
        <v>346.92695767781413</v>
      </c>
      <c r="AB260" s="63">
        <f t="shared" ca="1" si="26"/>
        <v>346.92695767781413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45671</v>
      </c>
      <c r="K261">
        <f ca="1"/>
        <v>336.39235091626256</v>
      </c>
      <c r="L261">
        <f ca="1"/>
        <v>5.6410581994684321</v>
      </c>
      <c r="M261">
        <f ca="1"/>
        <v>0.46897426611116089</v>
      </c>
      <c r="N261">
        <f ca="1"/>
        <v>0.5617723927703504</v>
      </c>
      <c r="O261">
        <f ca="1"/>
        <v>0</v>
      </c>
      <c r="P261">
        <f ca="1"/>
        <v>185.75852795712842</v>
      </c>
      <c r="Q261">
        <f ca="1"/>
        <v>158.55539624792553</v>
      </c>
      <c r="R261">
        <f ca="1"/>
        <v>0</v>
      </c>
      <c r="S261">
        <f ca="1"/>
        <v>0.33768237787656902</v>
      </c>
      <c r="T261">
        <f ca="1"/>
        <v>0</v>
      </c>
      <c r="U261">
        <f ca="1"/>
        <v>0</v>
      </c>
      <c r="V261">
        <f ca="1"/>
        <v>0.99996679844808056</v>
      </c>
      <c r="X261" s="2">
        <f t="shared" ca="1" si="22"/>
        <v>45671</v>
      </c>
      <c r="Y261">
        <f t="shared" ca="1" si="23"/>
        <v>0</v>
      </c>
      <c r="AA261" s="63">
        <f t="shared" ca="1" si="25"/>
        <v>342.03340911573099</v>
      </c>
      <c r="AB261" s="63">
        <f t="shared" ca="1" si="26"/>
        <v>342.03340911573099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45672</v>
      </c>
      <c r="K262">
        <f ca="1"/>
        <v>331.7038845487009</v>
      </c>
      <c r="L262">
        <f ca="1"/>
        <v>5.7319083304172409</v>
      </c>
      <c r="M262">
        <f ca="1"/>
        <v>0.4687325905967441</v>
      </c>
      <c r="N262">
        <f ca="1"/>
        <v>0.57470937225885088</v>
      </c>
      <c r="O262">
        <f ca="1"/>
        <v>0</v>
      </c>
      <c r="P262">
        <f ca="1"/>
        <v>191.49043628754566</v>
      </c>
      <c r="Q262">
        <f ca="1"/>
        <v>163.44790377681724</v>
      </c>
      <c r="R262">
        <f ca="1"/>
        <v>0</v>
      </c>
      <c r="S262">
        <f ca="1"/>
        <v>0.34130488196174857</v>
      </c>
      <c r="T262">
        <f ca="1"/>
        <v>0</v>
      </c>
      <c r="U262">
        <f ca="1"/>
        <v>0</v>
      </c>
      <c r="V262">
        <f ca="1"/>
        <v>0.99997270005237204</v>
      </c>
      <c r="X262" s="2">
        <f t="shared" ca="1" si="22"/>
        <v>45672</v>
      </c>
      <c r="Y262">
        <f t="shared" ca="1" si="23"/>
        <v>0</v>
      </c>
      <c r="AA262" s="63">
        <f t="shared" ca="1" si="25"/>
        <v>337.43579287911814</v>
      </c>
      <c r="AB262" s="63">
        <f t="shared" ca="1" si="26"/>
        <v>337.43579287911814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45673</v>
      </c>
      <c r="K263">
        <f ca="1"/>
        <v>326.80196899484201</v>
      </c>
      <c r="L263">
        <f ca="1"/>
        <v>5.9045338345793255</v>
      </c>
      <c r="M263">
        <f ca="1"/>
        <v>0.42889504682750612</v>
      </c>
      <c r="N263">
        <f ca="1"/>
        <v>0.57372323389297231</v>
      </c>
      <c r="O263">
        <f ca="1"/>
        <v>0</v>
      </c>
      <c r="P263">
        <f ca="1"/>
        <v>197.39497012212499</v>
      </c>
      <c r="Q263">
        <f ca="1"/>
        <v>168.48775692432429</v>
      </c>
      <c r="R263">
        <f ca="1"/>
        <v>0</v>
      </c>
      <c r="S263">
        <f ca="1"/>
        <v>0.31108699291117975</v>
      </c>
      <c r="T263">
        <f ca="1"/>
        <v>0</v>
      </c>
      <c r="U263">
        <f ca="1"/>
        <v>0</v>
      </c>
      <c r="V263">
        <f ca="1"/>
        <v>0.99997771001502556</v>
      </c>
      <c r="X263" s="2">
        <f t="shared" ca="1" si="22"/>
        <v>45673</v>
      </c>
      <c r="Y263">
        <f t="shared" ca="1" si="23"/>
        <v>0</v>
      </c>
      <c r="AA263" s="63">
        <f t="shared" ca="1" si="25"/>
        <v>332.70650282942137</v>
      </c>
      <c r="AB263" s="63">
        <f t="shared" ca="1" si="26"/>
        <v>332.70650282942131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45674</v>
      </c>
      <c r="K264">
        <f ca="1"/>
        <v>321.81301579678444</v>
      </c>
      <c r="L264">
        <f ca="1"/>
        <v>5.9924805899959779</v>
      </c>
      <c r="M264">
        <f ca="1"/>
        <v>0.41997602669232492</v>
      </c>
      <c r="N264">
        <f ca="1"/>
        <v>0.58355136524610496</v>
      </c>
      <c r="O264">
        <f ca="1"/>
        <v>0</v>
      </c>
      <c r="P264">
        <f ca="1"/>
        <v>203.38745071212097</v>
      </c>
      <c r="Q264">
        <f ca="1"/>
        <v>173.60267759528318</v>
      </c>
      <c r="R264">
        <f ca="1"/>
        <v>0</v>
      </c>
      <c r="S264">
        <f ca="1"/>
        <v>0.30635475322397154</v>
      </c>
      <c r="T264">
        <f ca="1"/>
        <v>0</v>
      </c>
      <c r="U264">
        <f ca="1"/>
        <v>0</v>
      </c>
      <c r="V264">
        <f ca="1"/>
        <v>0.99998188573759084</v>
      </c>
      <c r="X264" s="2">
        <f t="shared" ca="1" si="22"/>
        <v>45674</v>
      </c>
      <c r="Y264">
        <f t="shared" ca="1" si="23"/>
        <v>0</v>
      </c>
      <c r="AA264" s="63">
        <f t="shared" ca="1" si="25"/>
        <v>327.80549638678042</v>
      </c>
      <c r="AB264" s="63">
        <f t="shared" ca="1" si="26"/>
        <v>327.80549638678042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45675</v>
      </c>
      <c r="K265">
        <f ca="1"/>
        <v>317.05334792212091</v>
      </c>
      <c r="L265">
        <f ca="1"/>
        <v>5.7877154626672507</v>
      </c>
      <c r="M265">
        <f ca="1"/>
        <v>0.43813738861712181</v>
      </c>
      <c r="N265">
        <f ca="1"/>
        <v>0.58991019938662936</v>
      </c>
      <c r="O265">
        <f ca="1"/>
        <v>0</v>
      </c>
      <c r="P265">
        <f ca="1"/>
        <v>209.17516617478822</v>
      </c>
      <c r="Q265">
        <f ca="1"/>
        <v>178.54281966383599</v>
      </c>
      <c r="R265">
        <f ca="1"/>
        <v>0</v>
      </c>
      <c r="S265">
        <f ca="1"/>
        <v>0.33586394925864288</v>
      </c>
      <c r="T265">
        <f ca="1"/>
        <v>0</v>
      </c>
      <c r="U265">
        <f ca="1"/>
        <v>0</v>
      </c>
      <c r="V265">
        <f ca="1"/>
        <v>0.99998520538514157</v>
      </c>
      <c r="X265" s="2">
        <f t="shared" ca="1" si="22"/>
        <v>45675</v>
      </c>
      <c r="Y265">
        <f t="shared" ca="1" si="23"/>
        <v>0</v>
      </c>
      <c r="AA265" s="63">
        <f t="shared" ca="1" si="25"/>
        <v>322.84106338478819</v>
      </c>
      <c r="AB265" s="63">
        <f t="shared" ca="1" si="26"/>
        <v>322.84106338478819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45676</v>
      </c>
      <c r="K266">
        <f ca="1"/>
        <v>312.17724856951071</v>
      </c>
      <c r="L266">
        <f ca="1"/>
        <v>5.935145216109845</v>
      </c>
      <c r="M266">
        <f ca="1"/>
        <v>0.44448902112674205</v>
      </c>
      <c r="N266">
        <f ca="1"/>
        <v>0.61455684237292496</v>
      </c>
      <c r="O266">
        <f ca="1"/>
        <v>0</v>
      </c>
      <c r="P266">
        <f ca="1"/>
        <v>215.11031139089806</v>
      </c>
      <c r="Q266">
        <f ca="1"/>
        <v>183.60880135457407</v>
      </c>
      <c r="R266">
        <f ca="1"/>
        <v>0</v>
      </c>
      <c r="S266">
        <f ca="1"/>
        <v>0.33879905477579725</v>
      </c>
      <c r="T266">
        <f ca="1"/>
        <v>0</v>
      </c>
      <c r="U266">
        <f ca="1"/>
        <v>0</v>
      </c>
      <c r="V266">
        <f ca="1"/>
        <v>0.99998801075278065</v>
      </c>
      <c r="X266" s="2">
        <f t="shared" ca="1" si="22"/>
        <v>45676</v>
      </c>
      <c r="Y266">
        <f t="shared" ca="1" si="23"/>
        <v>0</v>
      </c>
      <c r="AA266" s="63">
        <f t="shared" ca="1" si="25"/>
        <v>318.11239378562055</v>
      </c>
      <c r="AB266" s="63">
        <f t="shared" ca="1" si="26"/>
        <v>318.11239378562055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45677</v>
      </c>
      <c r="K267">
        <f ca="1"/>
        <v>307.52059337149365</v>
      </c>
      <c r="L267">
        <f ca="1"/>
        <v>5.7071236038524091</v>
      </c>
      <c r="M267">
        <f ca="1"/>
        <v>0.4398822169370078</v>
      </c>
      <c r="N267">
        <f ca="1"/>
        <v>0.61058618889835903</v>
      </c>
      <c r="O267">
        <f ca="1"/>
        <v>0</v>
      </c>
      <c r="P267">
        <f ca="1"/>
        <v>220.81743499475047</v>
      </c>
      <c r="Q267">
        <f ca="1"/>
        <v>188.48015371936862</v>
      </c>
      <c r="R267">
        <f ca="1"/>
        <v>0</v>
      </c>
      <c r="S267">
        <f ca="1"/>
        <v>0.35317980502765506</v>
      </c>
      <c r="T267">
        <f ca="1"/>
        <v>0</v>
      </c>
      <c r="U267">
        <f ca="1"/>
        <v>0</v>
      </c>
      <c r="V267">
        <f ca="1"/>
        <v>0.99999023544588217</v>
      </c>
      <c r="X267" s="2">
        <f t="shared" ref="X267:X330" ca="1" si="29">IFERROR(J267,$X$9)</f>
        <v>45677</v>
      </c>
      <c r="Y267">
        <f t="shared" ref="Y267:Y330" ca="1" si="30">IFERROR(O267,0)</f>
        <v>0</v>
      </c>
      <c r="AA267" s="63">
        <f t="shared" ca="1" si="25"/>
        <v>313.22771697534608</v>
      </c>
      <c r="AB267" s="63">
        <f t="shared" ca="1" si="26"/>
        <v>313.22771697534608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45678</v>
      </c>
      <c r="K268">
        <f ca="1"/>
        <v>303.10417040552329</v>
      </c>
      <c r="L268">
        <f ca="1"/>
        <v>5.4195620133841373</v>
      </c>
      <c r="M268">
        <f ca="1"/>
        <v>0.41333614121970186</v>
      </c>
      <c r="N268">
        <f ca="1"/>
        <v>0.58980290619410547</v>
      </c>
      <c r="O268">
        <f ca="1"/>
        <v>0</v>
      </c>
      <c r="P268">
        <f ca="1"/>
        <v>226.23699700813461</v>
      </c>
      <c r="Q268">
        <f ca="1"/>
        <v>193.10605602367977</v>
      </c>
      <c r="R268">
        <f ca="1"/>
        <v>0</v>
      </c>
      <c r="S268">
        <f ca="1"/>
        <v>0.35264427334605108</v>
      </c>
      <c r="T268">
        <f ca="1"/>
        <v>0</v>
      </c>
      <c r="U268">
        <f ca="1"/>
        <v>0</v>
      </c>
      <c r="V268">
        <f ca="1"/>
        <v>0.99999199119360782</v>
      </c>
      <c r="X268" s="2">
        <f t="shared" ca="1" si="29"/>
        <v>45678</v>
      </c>
      <c r="Y268">
        <f t="shared" ca="1" si="30"/>
        <v>0</v>
      </c>
      <c r="AA268" s="63">
        <f t="shared" ca="1" si="25"/>
        <v>308.52373241890746</v>
      </c>
      <c r="AB268" s="63">
        <f t="shared" ca="1" si="26"/>
        <v>308.52373241890746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45679</v>
      </c>
      <c r="K269">
        <f ca="1"/>
        <v>298.89432877737977</v>
      </c>
      <c r="L269">
        <f ca="1"/>
        <v>5.1826633301163838</v>
      </c>
      <c r="M269">
        <f ca="1"/>
        <v>0.39570972585374875</v>
      </c>
      <c r="N269">
        <f ca="1"/>
        <v>0.57711197611912035</v>
      </c>
      <c r="O269">
        <f ca="1"/>
        <v>0</v>
      </c>
      <c r="P269">
        <f ca="1"/>
        <v>231.41966033825099</v>
      </c>
      <c r="Q269">
        <f ca="1"/>
        <v>197.52975192051551</v>
      </c>
      <c r="R269">
        <f ca="1"/>
        <v>0</v>
      </c>
      <c r="S269">
        <f ca="1"/>
        <v>0.35549567668148879</v>
      </c>
      <c r="T269">
        <f ca="1"/>
        <v>0</v>
      </c>
      <c r="U269">
        <f ca="1"/>
        <v>0</v>
      </c>
      <c r="V269">
        <f ca="1"/>
        <v>0.99999339727189274</v>
      </c>
      <c r="X269" s="2">
        <f t="shared" ca="1" si="29"/>
        <v>45679</v>
      </c>
      <c r="Y269">
        <f t="shared" ca="1" si="30"/>
        <v>0</v>
      </c>
      <c r="AA269" s="63">
        <f t="shared" ca="1" si="25"/>
        <v>304.07699210749615</v>
      </c>
      <c r="AB269" s="63">
        <f t="shared" ca="1" si="26"/>
        <v>304.07699210749615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45680</v>
      </c>
      <c r="K270">
        <f ca="1"/>
        <v>294.8064390172608</v>
      </c>
      <c r="L270">
        <f ca="1"/>
        <v>5.1411345549171301</v>
      </c>
      <c r="M270">
        <f ca="1"/>
        <v>0.43637200938871956</v>
      </c>
      <c r="N270">
        <f ca="1"/>
        <v>0.61687278540942259</v>
      </c>
      <c r="O270">
        <f ca="1"/>
        <v>0</v>
      </c>
      <c r="P270">
        <f ca="1"/>
        <v>236.56079489316812</v>
      </c>
      <c r="Q270">
        <f ca="1"/>
        <v>201.91800066195106</v>
      </c>
      <c r="R270">
        <f ca="1"/>
        <v>0</v>
      </c>
      <c r="S270">
        <f ca="1"/>
        <v>0.39994601192316609</v>
      </c>
      <c r="T270">
        <f ca="1"/>
        <v>0</v>
      </c>
      <c r="U270">
        <f ca="1"/>
        <v>0</v>
      </c>
      <c r="V270">
        <f ca="1"/>
        <v>0.99999456924049612</v>
      </c>
      <c r="X270" s="2">
        <f t="shared" ca="1" si="29"/>
        <v>45680</v>
      </c>
      <c r="Y270">
        <f t="shared" ca="1" si="30"/>
        <v>0</v>
      </c>
      <c r="AA270" s="63">
        <f t="shared" ca="1" si="25"/>
        <v>299.94757357217793</v>
      </c>
      <c r="AB270" s="63">
        <f t="shared" ca="1" si="26"/>
        <v>299.94757357217793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45681</v>
      </c>
      <c r="K271">
        <f ca="1"/>
        <v>290.71319691394893</v>
      </c>
      <c r="L271">
        <f ca="1"/>
        <v>5.1121007155431926</v>
      </c>
      <c r="M271">
        <f ca="1"/>
        <v>0.40751854133463894</v>
      </c>
      <c r="N271">
        <f ca="1"/>
        <v>0.61134007089666442</v>
      </c>
      <c r="O271">
        <f ca="1"/>
        <v>0</v>
      </c>
      <c r="P271">
        <f ca="1"/>
        <v>241.67289560871131</v>
      </c>
      <c r="Q271">
        <f ca="1"/>
        <v>206.28146738149422</v>
      </c>
      <c r="R271">
        <f ca="1"/>
        <v>0</v>
      </c>
      <c r="S271">
        <f ca="1"/>
        <v>0.37995130698988711</v>
      </c>
      <c r="T271">
        <f ca="1"/>
        <v>0</v>
      </c>
      <c r="U271">
        <f ca="1"/>
        <v>0</v>
      </c>
      <c r="V271">
        <f ca="1"/>
        <v>0.99999554782794298</v>
      </c>
      <c r="X271" s="2">
        <f t="shared" ca="1" si="29"/>
        <v>45681</v>
      </c>
      <c r="Y271">
        <f t="shared" ca="1" si="30"/>
        <v>0</v>
      </c>
      <c r="AA271" s="63">
        <f t="shared" ca="1" si="25"/>
        <v>295.82529762949213</v>
      </c>
      <c r="AB271" s="63">
        <f t="shared" ca="1" si="26"/>
        <v>295.82529762949213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45682</v>
      </c>
      <c r="K272">
        <f ca="1"/>
        <v>286.63142055391211</v>
      </c>
      <c r="L272">
        <f ca="1"/>
        <v>5.0430319916894746</v>
      </c>
      <c r="M272">
        <f ca="1"/>
        <v>0.36660539287572647</v>
      </c>
      <c r="N272">
        <f ca="1"/>
        <v>0.59465023877693135</v>
      </c>
      <c r="O272">
        <f ca="1"/>
        <v>0</v>
      </c>
      <c r="P272">
        <f ca="1"/>
        <v>246.71592760040079</v>
      </c>
      <c r="Q272">
        <f ca="1"/>
        <v>210.58598004385675</v>
      </c>
      <c r="R272">
        <f ca="1"/>
        <v>0</v>
      </c>
      <c r="S272">
        <f ca="1"/>
        <v>0.34876768726766427</v>
      </c>
      <c r="T272">
        <f ca="1"/>
        <v>0</v>
      </c>
      <c r="U272">
        <f ca="1"/>
        <v>0</v>
      </c>
      <c r="V272">
        <f ca="1"/>
        <v>0.99999635806017617</v>
      </c>
      <c r="X272" s="2">
        <f t="shared" ca="1" si="29"/>
        <v>45682</v>
      </c>
      <c r="Y272">
        <f t="shared" ca="1" si="30"/>
        <v>0</v>
      </c>
      <c r="AA272" s="63">
        <f t="shared" ref="AA272:AA335" ca="1" si="32">K271+M272+N272+O272</f>
        <v>291.67445254560158</v>
      </c>
      <c r="AB272" s="63">
        <f t="shared" ref="AB272:AB335" ca="1" si="33">K272+L272+R272</f>
        <v>291.67445254560158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45683</v>
      </c>
      <c r="K273">
        <f ca="1"/>
        <v>282.32582513027705</v>
      </c>
      <c r="L273">
        <f ca="1"/>
        <v>5.317184171894155</v>
      </c>
      <c r="M273">
        <f ca="1"/>
        <v>0.37400261498430609</v>
      </c>
      <c r="N273">
        <f ca="1"/>
        <v>0.63758613327477276</v>
      </c>
      <c r="O273">
        <f ca="1"/>
        <v>0</v>
      </c>
      <c r="P273">
        <f ca="1"/>
        <v>252.03311177229494</v>
      </c>
      <c r="Q273">
        <f ca="1"/>
        <v>215.12449707760743</v>
      </c>
      <c r="R273">
        <f ca="1"/>
        <v>0</v>
      </c>
      <c r="S273">
        <f ca="1"/>
        <v>0.33997781435653274</v>
      </c>
      <c r="T273">
        <f ca="1"/>
        <v>0</v>
      </c>
      <c r="U273">
        <f ca="1"/>
        <v>0</v>
      </c>
      <c r="V273">
        <f ca="1"/>
        <v>0.99999707071683486</v>
      </c>
      <c r="X273" s="2">
        <f t="shared" ca="1" si="29"/>
        <v>45683</v>
      </c>
      <c r="Y273">
        <f t="shared" ca="1" si="30"/>
        <v>0</v>
      </c>
      <c r="AA273" s="63">
        <f t="shared" ca="1" si="32"/>
        <v>287.64300930217121</v>
      </c>
      <c r="AB273" s="63">
        <f t="shared" ca="1" si="33"/>
        <v>287.64300930217121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45684</v>
      </c>
      <c r="K274">
        <f ca="1"/>
        <v>278.33758188028906</v>
      </c>
      <c r="L274">
        <f ca="1"/>
        <v>5.0090911184367997</v>
      </c>
      <c r="M274">
        <f ca="1"/>
        <v>0.38094733892751265</v>
      </c>
      <c r="N274">
        <f ca="1"/>
        <v>0.63990052952130227</v>
      </c>
      <c r="O274">
        <f ca="1"/>
        <v>0</v>
      </c>
      <c r="P274">
        <f ca="1"/>
        <v>257.04220289073174</v>
      </c>
      <c r="Q274">
        <f ca="1"/>
        <v>219.40003928748655</v>
      </c>
      <c r="R274">
        <f ca="1"/>
        <v>0</v>
      </c>
      <c r="S274">
        <f ca="1"/>
        <v>0.367139414777858</v>
      </c>
      <c r="T274">
        <f ca="1"/>
        <v>0</v>
      </c>
      <c r="U274">
        <f ca="1"/>
        <v>0</v>
      </c>
      <c r="V274">
        <f ca="1"/>
        <v>0.99999762914220292</v>
      </c>
      <c r="X274" s="2">
        <f t="shared" ca="1" si="29"/>
        <v>45684</v>
      </c>
      <c r="Y274">
        <f t="shared" ca="1" si="30"/>
        <v>0</v>
      </c>
      <c r="AA274" s="63">
        <f t="shared" ca="1" si="32"/>
        <v>283.34667299872586</v>
      </c>
      <c r="AB274" s="63">
        <f t="shared" ca="1" si="33"/>
        <v>283.34667299872586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45685</v>
      </c>
      <c r="K275">
        <f ca="1"/>
        <v>274.52688308635618</v>
      </c>
      <c r="L275">
        <f ca="1"/>
        <v>4.7625553016064259</v>
      </c>
      <c r="M275">
        <f ca="1"/>
        <v>0.34085709301331235</v>
      </c>
      <c r="N275">
        <f ca="1"/>
        <v>0.61099941466021335</v>
      </c>
      <c r="O275">
        <f ca="1"/>
        <v>0</v>
      </c>
      <c r="P275">
        <f ca="1"/>
        <v>261.80475819233817</v>
      </c>
      <c r="Q275">
        <f ca="1"/>
        <v>223.46514925203761</v>
      </c>
      <c r="R275">
        <f ca="1"/>
        <v>0</v>
      </c>
      <c r="S275">
        <f ca="1"/>
        <v>0.3444834057741275</v>
      </c>
      <c r="T275">
        <f ca="1"/>
        <v>0</v>
      </c>
      <c r="U275">
        <f ca="1"/>
        <v>0</v>
      </c>
      <c r="V275">
        <f ca="1"/>
        <v>0.99999807359820658</v>
      </c>
      <c r="X275" s="2">
        <f t="shared" ca="1" si="29"/>
        <v>45685</v>
      </c>
      <c r="Y275">
        <f t="shared" ca="1" si="30"/>
        <v>0</v>
      </c>
      <c r="AA275" s="63">
        <f t="shared" ca="1" si="32"/>
        <v>279.2894383879626</v>
      </c>
      <c r="AB275" s="63">
        <f t="shared" ca="1" si="33"/>
        <v>279.2894383879626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45686</v>
      </c>
      <c r="K276">
        <f ca="1"/>
        <v>270.62702870976062</v>
      </c>
      <c r="L276">
        <f ca="1"/>
        <v>4.8342978187368431</v>
      </c>
      <c r="M276">
        <f ca="1"/>
        <v>0.31578643340441204</v>
      </c>
      <c r="N276">
        <f ca="1"/>
        <v>0.61865700873689766</v>
      </c>
      <c r="O276">
        <f ca="1"/>
        <v>0</v>
      </c>
      <c r="P276">
        <f ca="1"/>
        <v>266.63905601107501</v>
      </c>
      <c r="Q276">
        <f ca="1"/>
        <v>227.59149550736109</v>
      </c>
      <c r="R276">
        <f ca="1"/>
        <v>0</v>
      </c>
      <c r="S276">
        <f ca="1"/>
        <v>0.31336836388535116</v>
      </c>
      <c r="T276">
        <f ca="1"/>
        <v>0</v>
      </c>
      <c r="U276">
        <f ca="1"/>
        <v>0</v>
      </c>
      <c r="V276">
        <f ca="1"/>
        <v>0.99999845104237461</v>
      </c>
      <c r="X276" s="2">
        <f t="shared" ca="1" si="29"/>
        <v>45686</v>
      </c>
      <c r="Y276">
        <f t="shared" ca="1" si="30"/>
        <v>0</v>
      </c>
      <c r="AA276" s="63">
        <f t="shared" ca="1" si="32"/>
        <v>275.46132652849747</v>
      </c>
      <c r="AB276" s="63">
        <f t="shared" ca="1" si="33"/>
        <v>275.46132652849747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45687</v>
      </c>
      <c r="K277">
        <f ca="1"/>
        <v>266.84572722549314</v>
      </c>
      <c r="L277">
        <f ca="1"/>
        <v>4.697653872973433</v>
      </c>
      <c r="M277">
        <f ca="1"/>
        <v>0.29971431201948917</v>
      </c>
      <c r="N277">
        <f ca="1"/>
        <v>0.61663807668644022</v>
      </c>
      <c r="O277">
        <f ca="1"/>
        <v>0</v>
      </c>
      <c r="P277">
        <f ca="1"/>
        <v>271.33670988404845</v>
      </c>
      <c r="Q277">
        <f ca="1"/>
        <v>231.60120843659368</v>
      </c>
      <c r="R277">
        <f ca="1"/>
        <v>0</v>
      </c>
      <c r="S277">
        <f ca="1"/>
        <v>0.30304599682047434</v>
      </c>
      <c r="T277">
        <f ca="1"/>
        <v>0</v>
      </c>
      <c r="U277">
        <f ca="1"/>
        <v>0</v>
      </c>
      <c r="V277">
        <f ca="1"/>
        <v>0.99999875686732786</v>
      </c>
      <c r="X277" s="2">
        <f t="shared" ca="1" si="29"/>
        <v>45687</v>
      </c>
      <c r="Y277">
        <f t="shared" ca="1" si="30"/>
        <v>0</v>
      </c>
      <c r="AA277" s="63">
        <f t="shared" ca="1" si="32"/>
        <v>271.54338109846657</v>
      </c>
      <c r="AB277" s="63">
        <f t="shared" ca="1" si="33"/>
        <v>271.54338109846657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45688</v>
      </c>
      <c r="K278">
        <f ca="1"/>
        <v>263.27735050552485</v>
      </c>
      <c r="L278">
        <f ca="1"/>
        <v>4.4062818052777857</v>
      </c>
      <c r="M278">
        <f ca="1"/>
        <v>0.25704162798382413</v>
      </c>
      <c r="N278">
        <f ca="1"/>
        <v>0.58086345732566624</v>
      </c>
      <c r="O278">
        <f ca="1"/>
        <v>0</v>
      </c>
      <c r="P278">
        <f ca="1"/>
        <v>275.74299168932623</v>
      </c>
      <c r="Q278">
        <f ca="1"/>
        <v>235.36221884779312</v>
      </c>
      <c r="R278">
        <f ca="1"/>
        <v>0</v>
      </c>
      <c r="S278">
        <f ca="1"/>
        <v>0.27303123502802329</v>
      </c>
      <c r="T278">
        <f ca="1"/>
        <v>0</v>
      </c>
      <c r="U278">
        <f ca="1"/>
        <v>0</v>
      </c>
      <c r="V278">
        <f ca="1"/>
        <v>0.99999899683685145</v>
      </c>
      <c r="X278" s="2">
        <f t="shared" ca="1" si="29"/>
        <v>45688</v>
      </c>
      <c r="Y278">
        <f t="shared" ca="1" si="30"/>
        <v>0</v>
      </c>
      <c r="AA278" s="63">
        <f t="shared" ca="1" si="32"/>
        <v>267.68363231080264</v>
      </c>
      <c r="AB278" s="63">
        <f t="shared" ca="1" si="33"/>
        <v>267.68363231080264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45689</v>
      </c>
      <c r="K279">
        <f ca="1"/>
        <v>259.95138521771003</v>
      </c>
      <c r="L279">
        <f ca="1"/>
        <v>4.2328769487288014</v>
      </c>
      <c r="M279">
        <f ca="1"/>
        <v>0.29378934232624943</v>
      </c>
      <c r="N279">
        <f ca="1"/>
        <v>0.61312231858771726</v>
      </c>
      <c r="O279">
        <f ca="1"/>
        <v>0</v>
      </c>
      <c r="P279">
        <f ca="1"/>
        <v>279.97586863805503</v>
      </c>
      <c r="Q279">
        <f ca="1"/>
        <v>238.97521841909304</v>
      </c>
      <c r="R279">
        <f ca="1"/>
        <v>0</v>
      </c>
      <c r="S279">
        <f ca="1"/>
        <v>0.32007592691337061</v>
      </c>
      <c r="T279">
        <f ca="1"/>
        <v>0</v>
      </c>
      <c r="U279">
        <f ca="1"/>
        <v>0</v>
      </c>
      <c r="V279">
        <f ca="1"/>
        <v>0.99999919048362373</v>
      </c>
      <c r="X279" s="2">
        <f t="shared" ca="1" si="29"/>
        <v>45689</v>
      </c>
      <c r="Y279">
        <f t="shared" ca="1" si="30"/>
        <v>0</v>
      </c>
      <c r="AA279" s="63">
        <f t="shared" ca="1" si="32"/>
        <v>264.18426216643883</v>
      </c>
      <c r="AB279" s="63">
        <f t="shared" ca="1" si="33"/>
        <v>264.18426216643883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45690</v>
      </c>
      <c r="K280">
        <f ca="1"/>
        <v>256.89657541084244</v>
      </c>
      <c r="L280">
        <f ca="1"/>
        <v>4.0129917712780525</v>
      </c>
      <c r="M280">
        <f ca="1"/>
        <v>0.32011616496129136</v>
      </c>
      <c r="N280">
        <f ca="1"/>
        <v>0.63806579944920006</v>
      </c>
      <c r="O280">
        <f ca="1"/>
        <v>0</v>
      </c>
      <c r="P280">
        <f ca="1"/>
        <v>283.98886040933309</v>
      </c>
      <c r="Q280">
        <f ca="1"/>
        <v>242.4005335711463</v>
      </c>
      <c r="R280">
        <f ca="1"/>
        <v>0</v>
      </c>
      <c r="S280">
        <f ca="1"/>
        <v>0.36299586021627972</v>
      </c>
      <c r="T280">
        <f ca="1"/>
        <v>0</v>
      </c>
      <c r="U280">
        <f ca="1"/>
        <v>0</v>
      </c>
      <c r="V280">
        <f ca="1"/>
        <v>0.99999934511364497</v>
      </c>
      <c r="X280" s="2">
        <f t="shared" ca="1" si="29"/>
        <v>45690</v>
      </c>
      <c r="Y280">
        <f t="shared" ca="1" si="30"/>
        <v>0</v>
      </c>
      <c r="AA280" s="63">
        <f t="shared" ca="1" si="32"/>
        <v>260.9095671821205</v>
      </c>
      <c r="AB280" s="63">
        <f t="shared" ca="1" si="33"/>
        <v>260.9095671821205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45691</v>
      </c>
      <c r="K281">
        <f ca="1"/>
        <v>253.89469423585666</v>
      </c>
      <c r="L281">
        <f ca="1"/>
        <v>3.9217700684670831</v>
      </c>
      <c r="M281">
        <f ca="1"/>
        <v>0.29127899677149571</v>
      </c>
      <c r="N281">
        <f ca="1"/>
        <v>0.62860989670981005</v>
      </c>
      <c r="O281">
        <f ca="1"/>
        <v>0</v>
      </c>
      <c r="P281">
        <f ca="1"/>
        <v>287.91063047780017</v>
      </c>
      <c r="Q281">
        <f ca="1"/>
        <v>245.74798584715998</v>
      </c>
      <c r="R281">
        <f ca="1"/>
        <v>0</v>
      </c>
      <c r="S281">
        <f ca="1"/>
        <v>0.33365278333543047</v>
      </c>
      <c r="T281">
        <f ca="1"/>
        <v>0</v>
      </c>
      <c r="U281">
        <f ca="1"/>
        <v>0</v>
      </c>
      <c r="V281">
        <f ca="1"/>
        <v>0.99999947252085475</v>
      </c>
      <c r="X281" s="2">
        <f t="shared" ca="1" si="29"/>
        <v>45691</v>
      </c>
      <c r="Y281">
        <f t="shared" ca="1" si="30"/>
        <v>0</v>
      </c>
      <c r="AA281" s="63">
        <f t="shared" ca="1" si="32"/>
        <v>257.81646430432374</v>
      </c>
      <c r="AB281" s="63">
        <f t="shared" ca="1" si="33"/>
        <v>257.81646430432374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45692</v>
      </c>
      <c r="K282">
        <f ca="1"/>
        <v>251.19581600799131</v>
      </c>
      <c r="L282">
        <f ca="1"/>
        <v>3.6415587175958422</v>
      </c>
      <c r="M282">
        <f ca="1"/>
        <v>0.30490788953994752</v>
      </c>
      <c r="N282">
        <f ca="1"/>
        <v>0.63777260019053705</v>
      </c>
      <c r="O282">
        <f ca="1"/>
        <v>0</v>
      </c>
      <c r="P282">
        <f ca="1"/>
        <v>291.55218919539601</v>
      </c>
      <c r="Q282">
        <f ca="1"/>
        <v>248.85626190736733</v>
      </c>
      <c r="R282">
        <f ca="1"/>
        <v>0</v>
      </c>
      <c r="S282">
        <f ca="1"/>
        <v>0.36985271513692841</v>
      </c>
      <c r="T282">
        <f ca="1"/>
        <v>0</v>
      </c>
      <c r="U282">
        <f ca="1"/>
        <v>0</v>
      </c>
      <c r="V282">
        <f ca="1"/>
        <v>0.99999957247623494</v>
      </c>
      <c r="X282" s="2">
        <f t="shared" ca="1" si="29"/>
        <v>45692</v>
      </c>
      <c r="Y282">
        <f t="shared" ca="1" si="30"/>
        <v>0</v>
      </c>
      <c r="AA282" s="63">
        <f t="shared" ca="1" si="32"/>
        <v>254.83737472558715</v>
      </c>
      <c r="AB282" s="63">
        <f t="shared" ca="1" si="33"/>
        <v>254.83737472558715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45693</v>
      </c>
      <c r="K283">
        <f ca="1"/>
        <v>248.724104892768</v>
      </c>
      <c r="L283">
        <f ca="1"/>
        <v>3.3628027163816796</v>
      </c>
      <c r="M283">
        <f ca="1"/>
        <v>0.28070349035925801</v>
      </c>
      <c r="N283">
        <f ca="1"/>
        <v>0.61038811079910182</v>
      </c>
      <c r="O283">
        <f ca="1"/>
        <v>0</v>
      </c>
      <c r="P283">
        <f ca="1"/>
        <v>294.91499191177769</v>
      </c>
      <c r="Q283">
        <f ca="1"/>
        <v>251.72660397490648</v>
      </c>
      <c r="R283">
        <f ca="1"/>
        <v>0</v>
      </c>
      <c r="S283">
        <f ca="1"/>
        <v>0.36214279885189843</v>
      </c>
      <c r="T283">
        <f ca="1"/>
        <v>0</v>
      </c>
      <c r="U283">
        <f ca="1"/>
        <v>0</v>
      </c>
      <c r="V283">
        <f ca="1"/>
        <v>0.99999965098974297</v>
      </c>
      <c r="X283" s="2">
        <f t="shared" ca="1" si="29"/>
        <v>45693</v>
      </c>
      <c r="Y283">
        <f t="shared" ca="1" si="30"/>
        <v>0</v>
      </c>
      <c r="AA283" s="63">
        <f t="shared" ca="1" si="32"/>
        <v>252.08690760914968</v>
      </c>
      <c r="AB283" s="63">
        <f t="shared" ca="1" si="33"/>
        <v>252.08690760914968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45694</v>
      </c>
      <c r="K284">
        <f ca="1"/>
        <v>246.4527746015489</v>
      </c>
      <c r="L284">
        <f ca="1"/>
        <v>3.0684607979990801</v>
      </c>
      <c r="M284">
        <f ca="1"/>
        <v>0.23746590364999065</v>
      </c>
      <c r="N284">
        <f ca="1"/>
        <v>0.55966460312997957</v>
      </c>
      <c r="O284">
        <f ca="1"/>
        <v>0</v>
      </c>
      <c r="P284">
        <f ca="1"/>
        <v>297.98345270977677</v>
      </c>
      <c r="Q284">
        <f ca="1"/>
        <v>254.34570858909819</v>
      </c>
      <c r="R284">
        <f ca="1"/>
        <v>0</v>
      </c>
      <c r="S284">
        <f ca="1"/>
        <v>0.3281024264704851</v>
      </c>
      <c r="T284">
        <f ca="1"/>
        <v>0</v>
      </c>
      <c r="U284">
        <f ca="1"/>
        <v>0</v>
      </c>
      <c r="V284">
        <f ca="1"/>
        <v>0.99999971239955532</v>
      </c>
      <c r="X284" s="2">
        <f t="shared" ca="1" si="29"/>
        <v>45694</v>
      </c>
      <c r="Y284">
        <f t="shared" ca="1" si="30"/>
        <v>0</v>
      </c>
      <c r="AA284" s="63">
        <f t="shared" ca="1" si="32"/>
        <v>249.52123539954798</v>
      </c>
      <c r="AB284" s="63">
        <f t="shared" ca="1" si="33"/>
        <v>249.52123539954798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45695</v>
      </c>
      <c r="K285">
        <f ca="1"/>
        <v>244.38240652061447</v>
      </c>
      <c r="L285">
        <f ca="1"/>
        <v>2.8564685766172033</v>
      </c>
      <c r="M285">
        <f ca="1"/>
        <v>0.23374062125657247</v>
      </c>
      <c r="N285">
        <f ca="1"/>
        <v>0.55235987442621326</v>
      </c>
      <c r="O285">
        <f ca="1"/>
        <v>0</v>
      </c>
      <c r="P285">
        <f ca="1"/>
        <v>300.83992128639397</v>
      </c>
      <c r="Q285">
        <f ca="1"/>
        <v>256.78386586788446</v>
      </c>
      <c r="R285">
        <f ca="1"/>
        <v>0</v>
      </c>
      <c r="S285">
        <f ca="1"/>
        <v>0.33906029536963173</v>
      </c>
      <c r="T285">
        <f ca="1"/>
        <v>0</v>
      </c>
      <c r="U285">
        <f ca="1"/>
        <v>0</v>
      </c>
      <c r="V285">
        <f ca="1"/>
        <v>0.99999976174106597</v>
      </c>
      <c r="X285" s="2">
        <f t="shared" ca="1" si="29"/>
        <v>45695</v>
      </c>
      <c r="Y285">
        <f t="shared" ca="1" si="30"/>
        <v>0</v>
      </c>
      <c r="AA285" s="63">
        <f t="shared" ca="1" si="32"/>
        <v>247.23887509723167</v>
      </c>
      <c r="AB285" s="63">
        <f t="shared" ca="1" si="33"/>
        <v>247.23887509723167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45696</v>
      </c>
      <c r="K286">
        <f ca="1"/>
        <v>242.36523883662912</v>
      </c>
      <c r="L286">
        <f ca="1"/>
        <v>2.8306669489001024</v>
      </c>
      <c r="M286">
        <f ca="1"/>
        <v>0.23848247125368971</v>
      </c>
      <c r="N286">
        <f ca="1"/>
        <v>0.57501679366105918</v>
      </c>
      <c r="O286">
        <f ca="1"/>
        <v>0</v>
      </c>
      <c r="P286">
        <f ca="1"/>
        <v>303.67058823529408</v>
      </c>
      <c r="Q286">
        <f ca="1"/>
        <v>259.2</v>
      </c>
      <c r="R286">
        <f ca="1"/>
        <v>0</v>
      </c>
      <c r="S286">
        <f ca="1"/>
        <v>0.34428470061527722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45696</v>
      </c>
      <c r="Y286">
        <f t="shared" ca="1" si="30"/>
        <v>0</v>
      </c>
      <c r="AA286" s="63">
        <f t="shared" ca="1" si="32"/>
        <v>245.19590578552922</v>
      </c>
      <c r="AB286" s="63">
        <f t="shared" ca="1" si="33"/>
        <v>245.19590578552922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4" workbookViewId="0">
      <selection activeCell="AM11" sqref="AM11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7.33203125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  <col min="39" max="39" width="15.88671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" thickBot="1">
      <c r="A37" s="12"/>
      <c r="G37" s="51" t="s">
        <v>85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2024-06-22T06:18:22Z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