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1A2FE296-DB38-41FB-9D8F-1B8FAF6BF97C}" xr6:coauthVersionLast="47" xr6:coauthVersionMax="47" xr10:uidLastSave="{00000000-0000-0000-0000-000000000000}"/>
  <bookViews>
    <workbookView xWindow="-120" yWindow="-120" windowWidth="29040" windowHeight="15720" activeTab="1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1" i="1" l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2" i="1"/>
  <c r="R14" i="1" s="1"/>
  <c r="D50" i="1"/>
  <c r="G9" i="1"/>
  <c r="D10" i="1"/>
  <c r="B38" i="3" s="1"/>
  <c r="J8" i="3" s="1"/>
  <c r="B21" i="1"/>
  <c r="B44" i="1"/>
  <c r="D44" i="1"/>
  <c r="B36" i="3"/>
  <c r="B29" i="3"/>
  <c r="D18" i="3"/>
  <c r="D9" i="3"/>
  <c r="AI10" i="3" a="1"/>
  <c r="AI9" i="3" a="1"/>
  <c r="AI11" i="3" a="1"/>
  <c r="G52" i="1" l="1"/>
  <c r="D54" i="1"/>
  <c r="B17" i="3" s="1"/>
  <c r="AI9" i="3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H10" i="3" a="1"/>
  <c r="AG10" i="3" a="1"/>
  <c r="AG5" i="3" a="1"/>
  <c r="AH11" i="3" a="1"/>
  <c r="AH9" i="3" a="1"/>
  <c r="I1" i="3" a="1"/>
  <c r="J10" i="3" a="1"/>
  <c r="AG11" i="3" a="1"/>
  <c r="AG9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K11" i="3" a="1"/>
  <c r="AN10" i="3" a="1"/>
  <c r="AN11" i="3" a="1"/>
  <c r="AM11" i="3" a="1"/>
  <c r="AL11" i="3" a="1"/>
  <c r="AO10" i="3" a="1"/>
  <c r="AL10" i="3" a="1"/>
  <c r="AO11" i="3" a="1"/>
  <c r="AJ11" i="3" a="1"/>
  <c r="AL9" i="3" a="1"/>
  <c r="AJ10" i="3" a="1"/>
  <c r="AO9" i="3" a="1"/>
  <c r="AK9" i="3" a="1"/>
  <c r="AK10" i="3" a="1"/>
  <c r="AN9" i="3" a="1"/>
  <c r="AJ9" i="3" a="1"/>
  <c r="AM9" i="3" a="1"/>
  <c r="AM10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<sst xmlns="http://schemas.openxmlformats.org/spreadsheetml/2006/main" count="490" uniqueCount="284">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</sst>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</c:v>
                </c:pt>
                <c:pt idx="1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141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44751</c:v>
                </c:pt>
                <c:pt idx="1">
                  <c:v>44752</c:v>
                </c:pt>
                <c:pt idx="2">
                  <c:v>44753</c:v>
                </c:pt>
                <c:pt idx="3">
                  <c:v>44754</c:v>
                </c:pt>
                <c:pt idx="4">
                  <c:v>44755</c:v>
                </c:pt>
                <c:pt idx="5">
                  <c:v>44756</c:v>
                </c:pt>
                <c:pt idx="6">
                  <c:v>44757</c:v>
                </c:pt>
                <c:pt idx="7">
                  <c:v>44758</c:v>
                </c:pt>
                <c:pt idx="8">
                  <c:v>44759</c:v>
                </c:pt>
                <c:pt idx="9">
                  <c:v>44760</c:v>
                </c:pt>
                <c:pt idx="10">
                  <c:v>44761</c:v>
                </c:pt>
                <c:pt idx="11">
                  <c:v>44762</c:v>
                </c:pt>
                <c:pt idx="12">
                  <c:v>44763</c:v>
                </c:pt>
                <c:pt idx="13">
                  <c:v>44764</c:v>
                </c:pt>
                <c:pt idx="14">
                  <c:v>44765</c:v>
                </c:pt>
                <c:pt idx="15">
                  <c:v>44766</c:v>
                </c:pt>
                <c:pt idx="16">
                  <c:v>44767</c:v>
                </c:pt>
                <c:pt idx="17">
                  <c:v>44768</c:v>
                </c:pt>
                <c:pt idx="18">
                  <c:v>44769</c:v>
                </c:pt>
                <c:pt idx="19">
                  <c:v>44770</c:v>
                </c:pt>
                <c:pt idx="20">
                  <c:v>44771</c:v>
                </c:pt>
                <c:pt idx="21">
                  <c:v>44772</c:v>
                </c:pt>
                <c:pt idx="22">
                  <c:v>44773</c:v>
                </c:pt>
                <c:pt idx="23">
                  <c:v>44774</c:v>
                </c:pt>
                <c:pt idx="24">
                  <c:v>44775</c:v>
                </c:pt>
                <c:pt idx="25">
                  <c:v>44776</c:v>
                </c:pt>
                <c:pt idx="26">
                  <c:v>44777</c:v>
                </c:pt>
                <c:pt idx="27">
                  <c:v>44778</c:v>
                </c:pt>
                <c:pt idx="28">
                  <c:v>44779</c:v>
                </c:pt>
                <c:pt idx="29">
                  <c:v>44780</c:v>
                </c:pt>
                <c:pt idx="30">
                  <c:v>44781</c:v>
                </c:pt>
                <c:pt idx="31">
                  <c:v>44782</c:v>
                </c:pt>
                <c:pt idx="32">
                  <c:v>44783</c:v>
                </c:pt>
                <c:pt idx="33">
                  <c:v>44784</c:v>
                </c:pt>
                <c:pt idx="34">
                  <c:v>44785</c:v>
                </c:pt>
                <c:pt idx="35">
                  <c:v>44786</c:v>
                </c:pt>
                <c:pt idx="36">
                  <c:v>44787</c:v>
                </c:pt>
                <c:pt idx="37">
                  <c:v>44788</c:v>
                </c:pt>
                <c:pt idx="38">
                  <c:v>44789</c:v>
                </c:pt>
                <c:pt idx="39">
                  <c:v>44790</c:v>
                </c:pt>
                <c:pt idx="40">
                  <c:v>44791</c:v>
                </c:pt>
                <c:pt idx="41">
                  <c:v>44792</c:v>
                </c:pt>
                <c:pt idx="42">
                  <c:v>44793</c:v>
                </c:pt>
                <c:pt idx="43">
                  <c:v>44794</c:v>
                </c:pt>
                <c:pt idx="44">
                  <c:v>44795</c:v>
                </c:pt>
                <c:pt idx="45">
                  <c:v>44796</c:v>
                </c:pt>
                <c:pt idx="46">
                  <c:v>44797</c:v>
                </c:pt>
                <c:pt idx="47">
                  <c:v>44798</c:v>
                </c:pt>
                <c:pt idx="48">
                  <c:v>44799</c:v>
                </c:pt>
                <c:pt idx="49">
                  <c:v>44800</c:v>
                </c:pt>
                <c:pt idx="50">
                  <c:v>44801</c:v>
                </c:pt>
                <c:pt idx="51">
                  <c:v>44802</c:v>
                </c:pt>
                <c:pt idx="52">
                  <c:v>44803</c:v>
                </c:pt>
                <c:pt idx="53">
                  <c:v>44804</c:v>
                </c:pt>
                <c:pt idx="54">
                  <c:v>44805</c:v>
                </c:pt>
                <c:pt idx="55">
                  <c:v>44806</c:v>
                </c:pt>
                <c:pt idx="56">
                  <c:v>44807</c:v>
                </c:pt>
                <c:pt idx="57">
                  <c:v>44808</c:v>
                </c:pt>
                <c:pt idx="58">
                  <c:v>44809</c:v>
                </c:pt>
                <c:pt idx="59">
                  <c:v>44810</c:v>
                </c:pt>
                <c:pt idx="60">
                  <c:v>44811</c:v>
                </c:pt>
                <c:pt idx="61">
                  <c:v>44812</c:v>
                </c:pt>
                <c:pt idx="62">
                  <c:v>44813</c:v>
                </c:pt>
                <c:pt idx="63">
                  <c:v>44814</c:v>
                </c:pt>
                <c:pt idx="64">
                  <c:v>44815</c:v>
                </c:pt>
                <c:pt idx="65">
                  <c:v>44816</c:v>
                </c:pt>
                <c:pt idx="66">
                  <c:v>44817</c:v>
                </c:pt>
                <c:pt idx="67">
                  <c:v>44818</c:v>
                </c:pt>
                <c:pt idx="68">
                  <c:v>44819</c:v>
                </c:pt>
                <c:pt idx="69">
                  <c:v>44820</c:v>
                </c:pt>
                <c:pt idx="70">
                  <c:v>44821</c:v>
                </c:pt>
                <c:pt idx="71">
                  <c:v>44822</c:v>
                </c:pt>
                <c:pt idx="72">
                  <c:v>44823</c:v>
                </c:pt>
                <c:pt idx="73">
                  <c:v>44824</c:v>
                </c:pt>
                <c:pt idx="74">
                  <c:v>44825</c:v>
                </c:pt>
                <c:pt idx="75">
                  <c:v>44826</c:v>
                </c:pt>
                <c:pt idx="76">
                  <c:v>44827</c:v>
                </c:pt>
                <c:pt idx="77">
                  <c:v>44828</c:v>
                </c:pt>
                <c:pt idx="78">
                  <c:v>44829</c:v>
                </c:pt>
                <c:pt idx="79">
                  <c:v>44830</c:v>
                </c:pt>
                <c:pt idx="80">
                  <c:v>44831</c:v>
                </c:pt>
                <c:pt idx="81">
                  <c:v>44832</c:v>
                </c:pt>
                <c:pt idx="82">
                  <c:v>44833</c:v>
                </c:pt>
                <c:pt idx="83">
                  <c:v>44834</c:v>
                </c:pt>
                <c:pt idx="84">
                  <c:v>44835</c:v>
                </c:pt>
                <c:pt idx="85">
                  <c:v>44836</c:v>
                </c:pt>
                <c:pt idx="86">
                  <c:v>44837</c:v>
                </c:pt>
                <c:pt idx="87">
                  <c:v>44838</c:v>
                </c:pt>
                <c:pt idx="88">
                  <c:v>44839</c:v>
                </c:pt>
                <c:pt idx="89">
                  <c:v>44840</c:v>
                </c:pt>
                <c:pt idx="90">
                  <c:v>44841</c:v>
                </c:pt>
                <c:pt idx="91">
                  <c:v>44842</c:v>
                </c:pt>
                <c:pt idx="92">
                  <c:v>44843</c:v>
                </c:pt>
                <c:pt idx="93">
                  <c:v>44844</c:v>
                </c:pt>
                <c:pt idx="94">
                  <c:v>44845</c:v>
                </c:pt>
                <c:pt idx="95">
                  <c:v>44846</c:v>
                </c:pt>
                <c:pt idx="96">
                  <c:v>44847</c:v>
                </c:pt>
                <c:pt idx="97">
                  <c:v>44848</c:v>
                </c:pt>
                <c:pt idx="98">
                  <c:v>44849</c:v>
                </c:pt>
                <c:pt idx="99">
                  <c:v>44850</c:v>
                </c:pt>
                <c:pt idx="100">
                  <c:v>44851</c:v>
                </c:pt>
                <c:pt idx="101">
                  <c:v>44852</c:v>
                </c:pt>
                <c:pt idx="102">
                  <c:v>44853</c:v>
                </c:pt>
                <c:pt idx="103">
                  <c:v>44854</c:v>
                </c:pt>
                <c:pt idx="104">
                  <c:v>44855</c:v>
                </c:pt>
                <c:pt idx="105">
                  <c:v>44856</c:v>
                </c:pt>
                <c:pt idx="106">
                  <c:v>44857</c:v>
                </c:pt>
                <c:pt idx="107">
                  <c:v>44858</c:v>
                </c:pt>
                <c:pt idx="108">
                  <c:v>44859</c:v>
                </c:pt>
                <c:pt idx="109">
                  <c:v>44860</c:v>
                </c:pt>
                <c:pt idx="110">
                  <c:v>44861</c:v>
                </c:pt>
                <c:pt idx="111">
                  <c:v>44862</c:v>
                </c:pt>
                <c:pt idx="112">
                  <c:v>44863</c:v>
                </c:pt>
                <c:pt idx="113">
                  <c:v>44864</c:v>
                </c:pt>
                <c:pt idx="114">
                  <c:v>44865</c:v>
                </c:pt>
                <c:pt idx="115">
                  <c:v>44866</c:v>
                </c:pt>
                <c:pt idx="116">
                  <c:v>44867</c:v>
                </c:pt>
                <c:pt idx="117">
                  <c:v>44868</c:v>
                </c:pt>
                <c:pt idx="118">
                  <c:v>44869</c:v>
                </c:pt>
                <c:pt idx="119">
                  <c:v>44870</c:v>
                </c:pt>
                <c:pt idx="120">
                  <c:v>44871</c:v>
                </c:pt>
                <c:pt idx="121">
                  <c:v>44872</c:v>
                </c:pt>
                <c:pt idx="122">
                  <c:v>44873</c:v>
                </c:pt>
                <c:pt idx="123">
                  <c:v>44874</c:v>
                </c:pt>
                <c:pt idx="124">
                  <c:v>44875</c:v>
                </c:pt>
                <c:pt idx="125">
                  <c:v>44876</c:v>
                </c:pt>
                <c:pt idx="126">
                  <c:v>44877</c:v>
                </c:pt>
                <c:pt idx="127">
                  <c:v>44878</c:v>
                </c:pt>
                <c:pt idx="128">
                  <c:v>44879</c:v>
                </c:pt>
                <c:pt idx="129">
                  <c:v>44880</c:v>
                </c:pt>
                <c:pt idx="130">
                  <c:v>44881</c:v>
                </c:pt>
                <c:pt idx="131">
                  <c:v>44882</c:v>
                </c:pt>
                <c:pt idx="132">
                  <c:v>44883</c:v>
                </c:pt>
                <c:pt idx="133">
                  <c:v>44884</c:v>
                </c:pt>
                <c:pt idx="134">
                  <c:v>44885</c:v>
                </c:pt>
                <c:pt idx="135">
                  <c:v>44886</c:v>
                </c:pt>
                <c:pt idx="136">
                  <c:v>44887</c:v>
                </c:pt>
                <c:pt idx="137">
                  <c:v>44888</c:v>
                </c:pt>
                <c:pt idx="138">
                  <c:v>44889</c:v>
                </c:pt>
                <c:pt idx="139">
                  <c:v>44890</c:v>
                </c:pt>
                <c:pt idx="140">
                  <c:v>44891</c:v>
                </c:pt>
                <c:pt idx="141">
                  <c:v>44892</c:v>
                </c:pt>
                <c:pt idx="142">
                  <c:v>44893</c:v>
                </c:pt>
                <c:pt idx="143">
                  <c:v>44894</c:v>
                </c:pt>
                <c:pt idx="144">
                  <c:v>44895</c:v>
                </c:pt>
                <c:pt idx="145">
                  <c:v>44896</c:v>
                </c:pt>
                <c:pt idx="146">
                  <c:v>44897</c:v>
                </c:pt>
                <c:pt idx="147">
                  <c:v>44898</c:v>
                </c:pt>
                <c:pt idx="148">
                  <c:v>44899</c:v>
                </c:pt>
                <c:pt idx="149">
                  <c:v>44900</c:v>
                </c:pt>
                <c:pt idx="150">
                  <c:v>44901</c:v>
                </c:pt>
                <c:pt idx="151">
                  <c:v>44902</c:v>
                </c:pt>
                <c:pt idx="152">
                  <c:v>44903</c:v>
                </c:pt>
                <c:pt idx="153">
                  <c:v>44904</c:v>
                </c:pt>
                <c:pt idx="154">
                  <c:v>44905</c:v>
                </c:pt>
                <c:pt idx="155">
                  <c:v>44906</c:v>
                </c:pt>
                <c:pt idx="156">
                  <c:v>44907</c:v>
                </c:pt>
                <c:pt idx="157">
                  <c:v>44908</c:v>
                </c:pt>
                <c:pt idx="158">
                  <c:v>44909</c:v>
                </c:pt>
                <c:pt idx="159">
                  <c:v>44910</c:v>
                </c:pt>
                <c:pt idx="160">
                  <c:v>44911</c:v>
                </c:pt>
                <c:pt idx="161">
                  <c:v>44912</c:v>
                </c:pt>
                <c:pt idx="162">
                  <c:v>44913</c:v>
                </c:pt>
                <c:pt idx="163">
                  <c:v>44914</c:v>
                </c:pt>
                <c:pt idx="164">
                  <c:v>44915</c:v>
                </c:pt>
                <c:pt idx="165">
                  <c:v>44916</c:v>
                </c:pt>
                <c:pt idx="166">
                  <c:v>44917</c:v>
                </c:pt>
                <c:pt idx="167">
                  <c:v>44918</c:v>
                </c:pt>
                <c:pt idx="168">
                  <c:v>44919</c:v>
                </c:pt>
                <c:pt idx="169">
                  <c:v>44920</c:v>
                </c:pt>
                <c:pt idx="170">
                  <c:v>44921</c:v>
                </c:pt>
                <c:pt idx="171">
                  <c:v>44922</c:v>
                </c:pt>
                <c:pt idx="172">
                  <c:v>44923</c:v>
                </c:pt>
                <c:pt idx="173">
                  <c:v>44924</c:v>
                </c:pt>
                <c:pt idx="174">
                  <c:v>44925</c:v>
                </c:pt>
                <c:pt idx="175">
                  <c:v>44926</c:v>
                </c:pt>
                <c:pt idx="176">
                  <c:v>44927</c:v>
                </c:pt>
                <c:pt idx="177">
                  <c:v>44928</c:v>
                </c:pt>
                <c:pt idx="178">
                  <c:v>44929</c:v>
                </c:pt>
                <c:pt idx="179">
                  <c:v>44930</c:v>
                </c:pt>
                <c:pt idx="180">
                  <c:v>44931</c:v>
                </c:pt>
                <c:pt idx="181">
                  <c:v>44932</c:v>
                </c:pt>
                <c:pt idx="182">
                  <c:v>44933</c:v>
                </c:pt>
                <c:pt idx="183">
                  <c:v>44934</c:v>
                </c:pt>
                <c:pt idx="184">
                  <c:v>44935</c:v>
                </c:pt>
                <c:pt idx="185">
                  <c:v>44936</c:v>
                </c:pt>
                <c:pt idx="186">
                  <c:v>44937</c:v>
                </c:pt>
                <c:pt idx="187">
                  <c:v>44938</c:v>
                </c:pt>
                <c:pt idx="188">
                  <c:v>44939</c:v>
                </c:pt>
                <c:pt idx="189">
                  <c:v>44940</c:v>
                </c:pt>
                <c:pt idx="190">
                  <c:v>44941</c:v>
                </c:pt>
                <c:pt idx="191">
                  <c:v>44942</c:v>
                </c:pt>
                <c:pt idx="192">
                  <c:v>44943</c:v>
                </c:pt>
                <c:pt idx="193">
                  <c:v>44944</c:v>
                </c:pt>
                <c:pt idx="194">
                  <c:v>44945</c:v>
                </c:pt>
                <c:pt idx="195">
                  <c:v>44946</c:v>
                </c:pt>
                <c:pt idx="196">
                  <c:v>44947</c:v>
                </c:pt>
                <c:pt idx="197">
                  <c:v>44948</c:v>
                </c:pt>
                <c:pt idx="198">
                  <c:v>44949</c:v>
                </c:pt>
                <c:pt idx="199">
                  <c:v>44950</c:v>
                </c:pt>
                <c:pt idx="200">
                  <c:v>44951</c:v>
                </c:pt>
                <c:pt idx="201">
                  <c:v>44952</c:v>
                </c:pt>
                <c:pt idx="202">
                  <c:v>44953</c:v>
                </c:pt>
                <c:pt idx="203">
                  <c:v>44954</c:v>
                </c:pt>
                <c:pt idx="204">
                  <c:v>44955</c:v>
                </c:pt>
                <c:pt idx="205">
                  <c:v>44956</c:v>
                </c:pt>
                <c:pt idx="206">
                  <c:v>44957</c:v>
                </c:pt>
                <c:pt idx="207">
                  <c:v>44958</c:v>
                </c:pt>
                <c:pt idx="208">
                  <c:v>44959</c:v>
                </c:pt>
                <c:pt idx="209">
                  <c:v>44960</c:v>
                </c:pt>
                <c:pt idx="210">
                  <c:v>44961</c:v>
                </c:pt>
                <c:pt idx="211">
                  <c:v>44962</c:v>
                </c:pt>
                <c:pt idx="212">
                  <c:v>44963</c:v>
                </c:pt>
                <c:pt idx="213">
                  <c:v>44964</c:v>
                </c:pt>
                <c:pt idx="214">
                  <c:v>44965</c:v>
                </c:pt>
                <c:pt idx="215">
                  <c:v>44966</c:v>
                </c:pt>
                <c:pt idx="216">
                  <c:v>44967</c:v>
                </c:pt>
                <c:pt idx="217">
                  <c:v>44968</c:v>
                </c:pt>
                <c:pt idx="218">
                  <c:v>44969</c:v>
                </c:pt>
                <c:pt idx="219">
                  <c:v>44970</c:v>
                </c:pt>
                <c:pt idx="220">
                  <c:v>44971</c:v>
                </c:pt>
                <c:pt idx="221">
                  <c:v>44972</c:v>
                </c:pt>
                <c:pt idx="222">
                  <c:v>44973</c:v>
                </c:pt>
                <c:pt idx="223">
                  <c:v>44974</c:v>
                </c:pt>
                <c:pt idx="224">
                  <c:v>44975</c:v>
                </c:pt>
                <c:pt idx="225">
                  <c:v>44976</c:v>
                </c:pt>
                <c:pt idx="226">
                  <c:v>44977</c:v>
                </c:pt>
                <c:pt idx="227">
                  <c:v>44978</c:v>
                </c:pt>
                <c:pt idx="228">
                  <c:v>44979</c:v>
                </c:pt>
                <c:pt idx="229">
                  <c:v>44980</c:v>
                </c:pt>
                <c:pt idx="230">
                  <c:v>44981</c:v>
                </c:pt>
                <c:pt idx="231">
                  <c:v>44982</c:v>
                </c:pt>
                <c:pt idx="232">
                  <c:v>44983</c:v>
                </c:pt>
                <c:pt idx="233">
                  <c:v>44984</c:v>
                </c:pt>
                <c:pt idx="234">
                  <c:v>44985</c:v>
                </c:pt>
                <c:pt idx="235">
                  <c:v>44986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1.0274988320595217</c:v>
                </c:pt>
                <c:pt idx="16">
                  <c:v>1.0274988320595217</c:v>
                </c:pt>
                <c:pt idx="17">
                  <c:v>1.0274988320595217</c:v>
                </c:pt>
                <c:pt idx="18">
                  <c:v>1.0274988320595217</c:v>
                </c:pt>
                <c:pt idx="19">
                  <c:v>1.0274988320595217</c:v>
                </c:pt>
                <c:pt idx="20">
                  <c:v>1.0274988320595217</c:v>
                </c:pt>
                <c:pt idx="21">
                  <c:v>1.0274988320595217</c:v>
                </c:pt>
                <c:pt idx="22">
                  <c:v>1.0274988320595217</c:v>
                </c:pt>
                <c:pt idx="23">
                  <c:v>1.0274988320595217</c:v>
                </c:pt>
                <c:pt idx="24">
                  <c:v>1.0274988320595217</c:v>
                </c:pt>
                <c:pt idx="25">
                  <c:v>1.0274988320595217</c:v>
                </c:pt>
                <c:pt idx="26">
                  <c:v>1.0274988320595217</c:v>
                </c:pt>
                <c:pt idx="27">
                  <c:v>1.0274988320595217</c:v>
                </c:pt>
                <c:pt idx="28">
                  <c:v>1.0274988320595217</c:v>
                </c:pt>
                <c:pt idx="29">
                  <c:v>1.0274988320595217</c:v>
                </c:pt>
                <c:pt idx="30">
                  <c:v>1.0274988320595217</c:v>
                </c:pt>
                <c:pt idx="31">
                  <c:v>1.0274988320595217</c:v>
                </c:pt>
                <c:pt idx="32">
                  <c:v>1.0274988320595217</c:v>
                </c:pt>
                <c:pt idx="33">
                  <c:v>1.0274988320595217</c:v>
                </c:pt>
                <c:pt idx="34">
                  <c:v>1.0274988320595217</c:v>
                </c:pt>
                <c:pt idx="35">
                  <c:v>1.0274988320595217</c:v>
                </c:pt>
                <c:pt idx="36">
                  <c:v>1.0274988320595217</c:v>
                </c:pt>
                <c:pt idx="37">
                  <c:v>1.0274988320595217</c:v>
                </c:pt>
                <c:pt idx="38">
                  <c:v>1.0274988320595217</c:v>
                </c:pt>
                <c:pt idx="39">
                  <c:v>1.0274988320595217</c:v>
                </c:pt>
                <c:pt idx="40">
                  <c:v>1.0274988320595217</c:v>
                </c:pt>
                <c:pt idx="41">
                  <c:v>1.0274988320595217</c:v>
                </c:pt>
                <c:pt idx="42">
                  <c:v>1.0274988320595217</c:v>
                </c:pt>
                <c:pt idx="43">
                  <c:v>1.0274988320595217</c:v>
                </c:pt>
                <c:pt idx="44">
                  <c:v>1.0274988320595217</c:v>
                </c:pt>
                <c:pt idx="45">
                  <c:v>1.0274988320595217</c:v>
                </c:pt>
                <c:pt idx="46">
                  <c:v>1.0274988320595217</c:v>
                </c:pt>
                <c:pt idx="47">
                  <c:v>1.0274988320595217</c:v>
                </c:pt>
                <c:pt idx="48">
                  <c:v>1.0274988320595217</c:v>
                </c:pt>
                <c:pt idx="49">
                  <c:v>1.0274988320595217</c:v>
                </c:pt>
                <c:pt idx="50">
                  <c:v>1.0274988320595217</c:v>
                </c:pt>
                <c:pt idx="51">
                  <c:v>1.0274988320595217</c:v>
                </c:pt>
                <c:pt idx="52">
                  <c:v>1.0274988320595217</c:v>
                </c:pt>
                <c:pt idx="53">
                  <c:v>1.0274988320595217</c:v>
                </c:pt>
                <c:pt idx="54">
                  <c:v>1.0274988320595217</c:v>
                </c:pt>
                <c:pt idx="55">
                  <c:v>1.0274988320595217</c:v>
                </c:pt>
                <c:pt idx="56">
                  <c:v>1.0274988320595217</c:v>
                </c:pt>
                <c:pt idx="57">
                  <c:v>1.0274988320595217</c:v>
                </c:pt>
                <c:pt idx="58">
                  <c:v>1.0274988320595217</c:v>
                </c:pt>
                <c:pt idx="59">
                  <c:v>1.0274988320595217</c:v>
                </c:pt>
                <c:pt idx="60">
                  <c:v>1.0274988320595217</c:v>
                </c:pt>
                <c:pt idx="61">
                  <c:v>1.0274988320595217</c:v>
                </c:pt>
                <c:pt idx="62">
                  <c:v>1.0274988320595217</c:v>
                </c:pt>
                <c:pt idx="63">
                  <c:v>1.0274988320595217</c:v>
                </c:pt>
                <c:pt idx="64">
                  <c:v>1.0274988320595217</c:v>
                </c:pt>
                <c:pt idx="65">
                  <c:v>1.0274988320595217</c:v>
                </c:pt>
                <c:pt idx="66">
                  <c:v>1.0274988320595217</c:v>
                </c:pt>
                <c:pt idx="67">
                  <c:v>1.0274988320595217</c:v>
                </c:pt>
                <c:pt idx="68">
                  <c:v>1.0274988320595217</c:v>
                </c:pt>
                <c:pt idx="69">
                  <c:v>1.0274988320595217</c:v>
                </c:pt>
                <c:pt idx="70">
                  <c:v>1.0274988320595217</c:v>
                </c:pt>
                <c:pt idx="71">
                  <c:v>1.0274988320595217</c:v>
                </c:pt>
                <c:pt idx="72">
                  <c:v>1.0274988320595217</c:v>
                </c:pt>
                <c:pt idx="73">
                  <c:v>1.0274988320595217</c:v>
                </c:pt>
                <c:pt idx="74">
                  <c:v>1.0274988320595217</c:v>
                </c:pt>
                <c:pt idx="75">
                  <c:v>1.0274988320595217</c:v>
                </c:pt>
                <c:pt idx="76">
                  <c:v>1.0274988320595217</c:v>
                </c:pt>
                <c:pt idx="77">
                  <c:v>1.0274988320595217</c:v>
                </c:pt>
                <c:pt idx="78">
                  <c:v>1.0274988320595217</c:v>
                </c:pt>
                <c:pt idx="79">
                  <c:v>1.0274988320595217</c:v>
                </c:pt>
                <c:pt idx="80">
                  <c:v>1.0274988320595217</c:v>
                </c:pt>
                <c:pt idx="81">
                  <c:v>1.0274988320595217</c:v>
                </c:pt>
                <c:pt idx="82">
                  <c:v>1.0274988320595217</c:v>
                </c:pt>
                <c:pt idx="83">
                  <c:v>1.0274988320595217</c:v>
                </c:pt>
                <c:pt idx="84">
                  <c:v>1.0274988320595217</c:v>
                </c:pt>
                <c:pt idx="85">
                  <c:v>1.0274988320595217</c:v>
                </c:pt>
                <c:pt idx="86">
                  <c:v>1.0274988320595217</c:v>
                </c:pt>
                <c:pt idx="87">
                  <c:v>1.0274988320595217</c:v>
                </c:pt>
                <c:pt idx="88">
                  <c:v>1.0274988320595217</c:v>
                </c:pt>
                <c:pt idx="89">
                  <c:v>1.0274988320595217</c:v>
                </c:pt>
                <c:pt idx="90">
                  <c:v>1.0274988320595217</c:v>
                </c:pt>
                <c:pt idx="91">
                  <c:v>1.0274988320595217</c:v>
                </c:pt>
                <c:pt idx="92">
                  <c:v>1.0729857628633064</c:v>
                </c:pt>
                <c:pt idx="93">
                  <c:v>1.1239375026567262</c:v>
                </c:pt>
                <c:pt idx="94">
                  <c:v>1.179143153671625</c:v>
                </c:pt>
                <c:pt idx="95">
                  <c:v>1.2407174465268733</c:v>
                </c:pt>
                <c:pt idx="96">
                  <c:v>1.3048718396190055</c:v>
                </c:pt>
                <c:pt idx="97">
                  <c:v>1.3696814454529651</c:v>
                </c:pt>
                <c:pt idx="98">
                  <c:v>1.4352570494907142</c:v>
                </c:pt>
                <c:pt idx="99">
                  <c:v>1.5043783182505215</c:v>
                </c:pt>
                <c:pt idx="100">
                  <c:v>1.5822081556573342</c:v>
                </c:pt>
                <c:pt idx="101">
                  <c:v>1.659292592110748</c:v>
                </c:pt>
                <c:pt idx="102">
                  <c:v>1.7375665981323531</c:v>
                </c:pt>
                <c:pt idx="103">
                  <c:v>1.8182227156916022</c:v>
                </c:pt>
                <c:pt idx="104">
                  <c:v>1.9076564564223533</c:v>
                </c:pt>
                <c:pt idx="105">
                  <c:v>2.0046805867725332</c:v>
                </c:pt>
                <c:pt idx="106">
                  <c:v>2.1110882839585612</c:v>
                </c:pt>
                <c:pt idx="107">
                  <c:v>2.2154859683080863</c:v>
                </c:pt>
                <c:pt idx="108">
                  <c:v>2.3310234694902081</c:v>
                </c:pt>
                <c:pt idx="109">
                  <c:v>2.4566003282053401</c:v>
                </c:pt>
                <c:pt idx="110">
                  <c:v>2.6002059442635641</c:v>
                </c:pt>
                <c:pt idx="111">
                  <c:v>2.7430245382439278</c:v>
                </c:pt>
                <c:pt idx="112">
                  <c:v>2.8938705037983454</c:v>
                </c:pt>
                <c:pt idx="113">
                  <c:v>3.0604058592007037</c:v>
                </c:pt>
                <c:pt idx="114">
                  <c:v>3.2327873728411207</c:v>
                </c:pt>
                <c:pt idx="115">
                  <c:v>3.4050677942365741</c:v>
                </c:pt>
                <c:pt idx="116">
                  <c:v>3.5875440820465516</c:v>
                </c:pt>
                <c:pt idx="117">
                  <c:v>3.7771732502843478</c:v>
                </c:pt>
                <c:pt idx="118">
                  <c:v>3.9813378665655339</c:v>
                </c:pt>
                <c:pt idx="119">
                  <c:v>4.2046228124137839</c:v>
                </c:pt>
                <c:pt idx="120">
                  <c:v>4.4301979739477346</c:v>
                </c:pt>
                <c:pt idx="121">
                  <c:v>4.6757394143460376</c:v>
                </c:pt>
                <c:pt idx="122">
                  <c:v>4.9417338584408856</c:v>
                </c:pt>
                <c:pt idx="123">
                  <c:v>5.2116789459320101</c:v>
                </c:pt>
                <c:pt idx="124">
                  <c:v>5.5067223343989626</c:v>
                </c:pt>
                <c:pt idx="125">
                  <c:v>5.8211001701314116</c:v>
                </c:pt>
                <c:pt idx="126">
                  <c:v>6.1516397060406156</c:v>
                </c:pt>
                <c:pt idx="127">
                  <c:v>6.4917228472870123</c:v>
                </c:pt>
                <c:pt idx="128">
                  <c:v>6.847812530083166</c:v>
                </c:pt>
                <c:pt idx="129">
                  <c:v>7.2366295437142076</c:v>
                </c:pt>
                <c:pt idx="130">
                  <c:v>7.6604595361557521</c:v>
                </c:pt>
                <c:pt idx="131">
                  <c:v>8.0906226658476168</c:v>
                </c:pt>
                <c:pt idx="132">
                  <c:v>8.5260192880864949</c:v>
                </c:pt>
                <c:pt idx="133">
                  <c:v>8.9819100691772196</c:v>
                </c:pt>
                <c:pt idx="134">
                  <c:v>9.4824984908107375</c:v>
                </c:pt>
                <c:pt idx="135">
                  <c:v>10.012899666740916</c:v>
                </c:pt>
                <c:pt idx="136">
                  <c:v>10.584088692686318</c:v>
                </c:pt>
                <c:pt idx="137">
                  <c:v>11.199331488767418</c:v>
                </c:pt>
                <c:pt idx="138">
                  <c:v>11.837750068601403</c:v>
                </c:pt>
                <c:pt idx="139">
                  <c:v>12.551245504696544</c:v>
                </c:pt>
                <c:pt idx="140">
                  <c:v>13.307274250848243</c:v>
                </c:pt>
                <c:pt idx="141">
                  <c:v>14.077241586831963</c:v>
                </c:pt>
                <c:pt idx="142">
                  <c:v>14.880717505364755</c:v>
                </c:pt>
                <c:pt idx="143">
                  <c:v>15.733997621727033</c:v>
                </c:pt>
                <c:pt idx="144">
                  <c:v>16.654726344014918</c:v>
                </c:pt>
                <c:pt idx="145">
                  <c:v>17.645350056856863</c:v>
                </c:pt>
                <c:pt idx="146">
                  <c:v>18.726388367724329</c:v>
                </c:pt>
                <c:pt idx="147">
                  <c:v>19.893433148319364</c:v>
                </c:pt>
                <c:pt idx="148">
                  <c:v>21.127159678680353</c:v>
                </c:pt>
                <c:pt idx="149">
                  <c:v>22.404332090409362</c:v>
                </c:pt>
                <c:pt idx="150">
                  <c:v>23.748399783582521</c:v>
                </c:pt>
                <c:pt idx="151">
                  <c:v>25.093484670036798</c:v>
                </c:pt>
                <c:pt idx="152">
                  <c:v>26.49276256796287</c:v>
                </c:pt>
                <c:pt idx="153">
                  <c:v>28.014876278255755</c:v>
                </c:pt>
                <c:pt idx="154">
                  <c:v>29.591438461625195</c:v>
                </c:pt>
                <c:pt idx="155">
                  <c:v>31.313584577410719</c:v>
                </c:pt>
                <c:pt idx="156">
                  <c:v>33.179356875658641</c:v>
                </c:pt>
                <c:pt idx="157">
                  <c:v>35.087786796065089</c:v>
                </c:pt>
                <c:pt idx="158">
                  <c:v>37.058967452987304</c:v>
                </c:pt>
                <c:pt idx="159">
                  <c:v>39.076956092753989</c:v>
                </c:pt>
                <c:pt idx="160">
                  <c:v>41.183677809442202</c:v>
                </c:pt>
                <c:pt idx="161">
                  <c:v>43.368251192662228</c:v>
                </c:pt>
                <c:pt idx="162">
                  <c:v>45.565196835504516</c:v>
                </c:pt>
                <c:pt idx="163">
                  <c:v>47.859914230667691</c:v>
                </c:pt>
                <c:pt idx="164">
                  <c:v>50.271997756088467</c:v>
                </c:pt>
                <c:pt idx="165">
                  <c:v>52.744963319311374</c:v>
                </c:pt>
                <c:pt idx="166">
                  <c:v>55.307682086483602</c:v>
                </c:pt>
                <c:pt idx="167">
                  <c:v>57.842911457883154</c:v>
                </c:pt>
                <c:pt idx="168">
                  <c:v>60.452973349618233</c:v>
                </c:pt>
                <c:pt idx="169">
                  <c:v>63.157683674026593</c:v>
                </c:pt>
                <c:pt idx="170">
                  <c:v>65.833701088883316</c:v>
                </c:pt>
                <c:pt idx="171">
                  <c:v>68.552696430250805</c:v>
                </c:pt>
                <c:pt idx="172">
                  <c:v>71.47204594981396</c:v>
                </c:pt>
                <c:pt idx="173">
                  <c:v>74.481131890187328</c:v>
                </c:pt>
                <c:pt idx="174">
                  <c:v>77.445431832889881</c:v>
                </c:pt>
                <c:pt idx="175">
                  <c:v>80.32900949188614</c:v>
                </c:pt>
                <c:pt idx="176">
                  <c:v>83.164496718478816</c:v>
                </c:pt>
                <c:pt idx="177">
                  <c:v>86.064642914930133</c:v>
                </c:pt>
                <c:pt idx="178">
                  <c:v>88.8985429868533</c:v>
                </c:pt>
                <c:pt idx="179">
                  <c:v>91.750927368527542</c:v>
                </c:pt>
                <c:pt idx="180">
                  <c:v>94.473481911262368</c:v>
                </c:pt>
                <c:pt idx="181">
                  <c:v>97.166517721974031</c:v>
                </c:pt>
                <c:pt idx="182">
                  <c:v>99.896727943343436</c:v>
                </c:pt>
                <c:pt idx="183">
                  <c:v>102.60599486583403</c:v>
                </c:pt>
                <c:pt idx="184">
                  <c:v>105.28726433693527</c:v>
                </c:pt>
                <c:pt idx="185">
                  <c:v>107.86000480969928</c:v>
                </c:pt>
                <c:pt idx="186">
                  <c:v>110.30440851720019</c:v>
                </c:pt>
                <c:pt idx="187">
                  <c:v>112.68863805810706</c:v>
                </c:pt>
                <c:pt idx="188">
                  <c:v>115.01438709884836</c:v>
                </c:pt>
                <c:pt idx="189">
                  <c:v>117.28606951233304</c:v>
                </c:pt>
                <c:pt idx="190">
                  <c:v>119.45875498445878</c:v>
                </c:pt>
                <c:pt idx="191">
                  <c:v>121.53372095619559</c:v>
                </c:pt>
                <c:pt idx="192">
                  <c:v>123.48284925214402</c:v>
                </c:pt>
                <c:pt idx="193">
                  <c:v>125.34750341369859</c:v>
                </c:pt>
                <c:pt idx="194">
                  <c:v>127.1583512488193</c:v>
                </c:pt>
                <c:pt idx="195">
                  <c:v>128.86719231274049</c:v>
                </c:pt>
                <c:pt idx="196">
                  <c:v>130.51175880805607</c:v>
                </c:pt>
                <c:pt idx="197">
                  <c:v>132.07464134149316</c:v>
                </c:pt>
                <c:pt idx="198">
                  <c:v>133.54965654443316</c:v>
                </c:pt>
                <c:pt idx="199">
                  <c:v>134.94133804399158</c:v>
                </c:pt>
                <c:pt idx="200">
                  <c:v>136.26927518905649</c:v>
                </c:pt>
                <c:pt idx="201">
                  <c:v>137.52366248354474</c:v>
                </c:pt>
                <c:pt idx="202">
                  <c:v>138.67080301453757</c:v>
                </c:pt>
                <c:pt idx="203">
                  <c:v>139.75570414954657</c:v>
                </c:pt>
                <c:pt idx="204">
                  <c:v>140.78510496406807</c:v>
                </c:pt>
                <c:pt idx="205">
                  <c:v>141.75932784892802</c:v>
                </c:pt>
                <c:pt idx="206">
                  <c:v>142.6612257407607</c:v>
                </c:pt>
                <c:pt idx="207">
                  <c:v>143.50435775450558</c:v>
                </c:pt>
                <c:pt idx="208">
                  <c:v>144.27505688888314</c:v>
                </c:pt>
                <c:pt idx="209">
                  <c:v>144.97957510123769</c:v>
                </c:pt>
                <c:pt idx="210">
                  <c:v>145.60607069065452</c:v>
                </c:pt>
                <c:pt idx="211">
                  <c:v>146.20818392641903</c:v>
                </c:pt>
                <c:pt idx="212">
                  <c:v>146.76207160049356</c:v>
                </c:pt>
                <c:pt idx="213">
                  <c:v>147.27967156322521</c:v>
                </c:pt>
                <c:pt idx="214">
                  <c:v>147.75854358391609</c:v>
                </c:pt>
                <c:pt idx="215">
                  <c:v>148.20592330357999</c:v>
                </c:pt>
                <c:pt idx="216">
                  <c:v>148.63002399386866</c:v>
                </c:pt>
                <c:pt idx="217">
                  <c:v>149.02618761321688</c:v>
                </c:pt>
                <c:pt idx="218">
                  <c:v>149.38950759771404</c:v>
                </c:pt>
                <c:pt idx="219">
                  <c:v>149.71986309077025</c:v>
                </c:pt>
                <c:pt idx="220">
                  <c:v>150.0248281924674</c:v>
                </c:pt>
                <c:pt idx="221">
                  <c:v>150.3016029547403</c:v>
                </c:pt>
                <c:pt idx="222">
                  <c:v>150.55519767753623</c:v>
                </c:pt>
                <c:pt idx="223">
                  <c:v>150.78949996253291</c:v>
                </c:pt>
                <c:pt idx="224">
                  <c:v>151.00763984797956</c:v>
                </c:pt>
                <c:pt idx="225">
                  <c:v>151.20863146084676</c:v>
                </c:pt>
                <c:pt idx="226">
                  <c:v>151.39489019926444</c:v>
                </c:pt>
                <c:pt idx="227">
                  <c:v>151.56555197168348</c:v>
                </c:pt>
                <c:pt idx="228">
                  <c:v>151.72048974015343</c:v>
                </c:pt>
                <c:pt idx="229">
                  <c:v>151.86319446441308</c:v>
                </c:pt>
                <c:pt idx="230">
                  <c:v>151.99088661610782</c:v>
                </c:pt>
                <c:pt idx="231">
                  <c:v>152.10480710150361</c:v>
                </c:pt>
                <c:pt idx="232">
                  <c:v>152.21116316541159</c:v>
                </c:pt>
                <c:pt idx="233">
                  <c:v>152.31037663503514</c:v>
                </c:pt>
                <c:pt idx="234">
                  <c:v>152.40037214915662</c:v>
                </c:pt>
                <c:pt idx="235">
                  <c:v>152.48409090909092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44751</c:v>
                </c:pt>
                <c:pt idx="1">
                  <c:v>44752</c:v>
                </c:pt>
                <c:pt idx="2">
                  <c:v>44753</c:v>
                </c:pt>
                <c:pt idx="3">
                  <c:v>44754</c:v>
                </c:pt>
                <c:pt idx="4">
                  <c:v>44755</c:v>
                </c:pt>
                <c:pt idx="5">
                  <c:v>44756</c:v>
                </c:pt>
                <c:pt idx="6">
                  <c:v>44757</c:v>
                </c:pt>
                <c:pt idx="7">
                  <c:v>44758</c:v>
                </c:pt>
                <c:pt idx="8">
                  <c:v>44759</c:v>
                </c:pt>
                <c:pt idx="9">
                  <c:v>44760</c:v>
                </c:pt>
                <c:pt idx="10">
                  <c:v>44761</c:v>
                </c:pt>
                <c:pt idx="11">
                  <c:v>44762</c:v>
                </c:pt>
                <c:pt idx="12">
                  <c:v>44763</c:v>
                </c:pt>
                <c:pt idx="13">
                  <c:v>44764</c:v>
                </c:pt>
                <c:pt idx="14">
                  <c:v>44765</c:v>
                </c:pt>
                <c:pt idx="15">
                  <c:v>44766</c:v>
                </c:pt>
                <c:pt idx="16">
                  <c:v>44767</c:v>
                </c:pt>
                <c:pt idx="17">
                  <c:v>44768</c:v>
                </c:pt>
                <c:pt idx="18">
                  <c:v>44769</c:v>
                </c:pt>
                <c:pt idx="19">
                  <c:v>44770</c:v>
                </c:pt>
                <c:pt idx="20">
                  <c:v>44771</c:v>
                </c:pt>
                <c:pt idx="21">
                  <c:v>44772</c:v>
                </c:pt>
                <c:pt idx="22">
                  <c:v>44773</c:v>
                </c:pt>
                <c:pt idx="23">
                  <c:v>44774</c:v>
                </c:pt>
                <c:pt idx="24">
                  <c:v>44775</c:v>
                </c:pt>
                <c:pt idx="25">
                  <c:v>44776</c:v>
                </c:pt>
                <c:pt idx="26">
                  <c:v>44777</c:v>
                </c:pt>
                <c:pt idx="27">
                  <c:v>44778</c:v>
                </c:pt>
                <c:pt idx="28">
                  <c:v>44779</c:v>
                </c:pt>
                <c:pt idx="29">
                  <c:v>44780</c:v>
                </c:pt>
                <c:pt idx="30">
                  <c:v>44781</c:v>
                </c:pt>
                <c:pt idx="31">
                  <c:v>44782</c:v>
                </c:pt>
                <c:pt idx="32">
                  <c:v>44783</c:v>
                </c:pt>
                <c:pt idx="33">
                  <c:v>44784</c:v>
                </c:pt>
                <c:pt idx="34">
                  <c:v>44785</c:v>
                </c:pt>
                <c:pt idx="35">
                  <c:v>44786</c:v>
                </c:pt>
                <c:pt idx="36">
                  <c:v>44787</c:v>
                </c:pt>
                <c:pt idx="37">
                  <c:v>44788</c:v>
                </c:pt>
                <c:pt idx="38">
                  <c:v>44789</c:v>
                </c:pt>
                <c:pt idx="39">
                  <c:v>44790</c:v>
                </c:pt>
                <c:pt idx="40">
                  <c:v>44791</c:v>
                </c:pt>
                <c:pt idx="41">
                  <c:v>44792</c:v>
                </c:pt>
                <c:pt idx="42">
                  <c:v>44793</c:v>
                </c:pt>
                <c:pt idx="43">
                  <c:v>44794</c:v>
                </c:pt>
                <c:pt idx="44">
                  <c:v>44795</c:v>
                </c:pt>
                <c:pt idx="45">
                  <c:v>44796</c:v>
                </c:pt>
                <c:pt idx="46">
                  <c:v>44797</c:v>
                </c:pt>
                <c:pt idx="47">
                  <c:v>44798</c:v>
                </c:pt>
                <c:pt idx="48">
                  <c:v>44799</c:v>
                </c:pt>
                <c:pt idx="49">
                  <c:v>44800</c:v>
                </c:pt>
                <c:pt idx="50">
                  <c:v>44801</c:v>
                </c:pt>
                <c:pt idx="51">
                  <c:v>44802</c:v>
                </c:pt>
                <c:pt idx="52">
                  <c:v>44803</c:v>
                </c:pt>
                <c:pt idx="53">
                  <c:v>44804</c:v>
                </c:pt>
                <c:pt idx="54">
                  <c:v>44805</c:v>
                </c:pt>
                <c:pt idx="55">
                  <c:v>44806</c:v>
                </c:pt>
                <c:pt idx="56">
                  <c:v>44807</c:v>
                </c:pt>
                <c:pt idx="57">
                  <c:v>44808</c:v>
                </c:pt>
                <c:pt idx="58">
                  <c:v>44809</c:v>
                </c:pt>
                <c:pt idx="59">
                  <c:v>44810</c:v>
                </c:pt>
                <c:pt idx="60">
                  <c:v>44811</c:v>
                </c:pt>
                <c:pt idx="61">
                  <c:v>44812</c:v>
                </c:pt>
                <c:pt idx="62">
                  <c:v>44813</c:v>
                </c:pt>
                <c:pt idx="63">
                  <c:v>44814</c:v>
                </c:pt>
                <c:pt idx="64">
                  <c:v>44815</c:v>
                </c:pt>
                <c:pt idx="65">
                  <c:v>44816</c:v>
                </c:pt>
                <c:pt idx="66">
                  <c:v>44817</c:v>
                </c:pt>
                <c:pt idx="67">
                  <c:v>44818</c:v>
                </c:pt>
                <c:pt idx="68">
                  <c:v>44819</c:v>
                </c:pt>
                <c:pt idx="69">
                  <c:v>44820</c:v>
                </c:pt>
                <c:pt idx="70">
                  <c:v>44821</c:v>
                </c:pt>
                <c:pt idx="71">
                  <c:v>44822</c:v>
                </c:pt>
                <c:pt idx="72">
                  <c:v>44823</c:v>
                </c:pt>
                <c:pt idx="73">
                  <c:v>44824</c:v>
                </c:pt>
                <c:pt idx="74">
                  <c:v>44825</c:v>
                </c:pt>
                <c:pt idx="75">
                  <c:v>44826</c:v>
                </c:pt>
                <c:pt idx="76">
                  <c:v>44827</c:v>
                </c:pt>
                <c:pt idx="77">
                  <c:v>44828</c:v>
                </c:pt>
                <c:pt idx="78">
                  <c:v>44829</c:v>
                </c:pt>
                <c:pt idx="79">
                  <c:v>44830</c:v>
                </c:pt>
                <c:pt idx="80">
                  <c:v>44831</c:v>
                </c:pt>
                <c:pt idx="81">
                  <c:v>44832</c:v>
                </c:pt>
                <c:pt idx="82">
                  <c:v>44833</c:v>
                </c:pt>
                <c:pt idx="83">
                  <c:v>44834</c:v>
                </c:pt>
                <c:pt idx="84">
                  <c:v>44835</c:v>
                </c:pt>
                <c:pt idx="85">
                  <c:v>44836</c:v>
                </c:pt>
                <c:pt idx="86">
                  <c:v>44837</c:v>
                </c:pt>
                <c:pt idx="87">
                  <c:v>44838</c:v>
                </c:pt>
                <c:pt idx="88">
                  <c:v>44839</c:v>
                </c:pt>
                <c:pt idx="89">
                  <c:v>44840</c:v>
                </c:pt>
                <c:pt idx="90">
                  <c:v>44841</c:v>
                </c:pt>
                <c:pt idx="91">
                  <c:v>44842</c:v>
                </c:pt>
                <c:pt idx="92">
                  <c:v>44843</c:v>
                </c:pt>
                <c:pt idx="93">
                  <c:v>44844</c:v>
                </c:pt>
                <c:pt idx="94">
                  <c:v>44845</c:v>
                </c:pt>
                <c:pt idx="95">
                  <c:v>44846</c:v>
                </c:pt>
                <c:pt idx="96">
                  <c:v>44847</c:v>
                </c:pt>
                <c:pt idx="97">
                  <c:v>44848</c:v>
                </c:pt>
                <c:pt idx="98">
                  <c:v>44849</c:v>
                </c:pt>
                <c:pt idx="99">
                  <c:v>44850</c:v>
                </c:pt>
                <c:pt idx="100">
                  <c:v>44851</c:v>
                </c:pt>
                <c:pt idx="101">
                  <c:v>44852</c:v>
                </c:pt>
                <c:pt idx="102">
                  <c:v>44853</c:v>
                </c:pt>
                <c:pt idx="103">
                  <c:v>44854</c:v>
                </c:pt>
                <c:pt idx="104">
                  <c:v>44855</c:v>
                </c:pt>
                <c:pt idx="105">
                  <c:v>44856</c:v>
                </c:pt>
                <c:pt idx="106">
                  <c:v>44857</c:v>
                </c:pt>
                <c:pt idx="107">
                  <c:v>44858</c:v>
                </c:pt>
                <c:pt idx="108">
                  <c:v>44859</c:v>
                </c:pt>
                <c:pt idx="109">
                  <c:v>44860</c:v>
                </c:pt>
                <c:pt idx="110">
                  <c:v>44861</c:v>
                </c:pt>
                <c:pt idx="111">
                  <c:v>44862</c:v>
                </c:pt>
                <c:pt idx="112">
                  <c:v>44863</c:v>
                </c:pt>
                <c:pt idx="113">
                  <c:v>44864</c:v>
                </c:pt>
                <c:pt idx="114">
                  <c:v>44865</c:v>
                </c:pt>
                <c:pt idx="115">
                  <c:v>44866</c:v>
                </c:pt>
                <c:pt idx="116">
                  <c:v>44867</c:v>
                </c:pt>
                <c:pt idx="117">
                  <c:v>44868</c:v>
                </c:pt>
                <c:pt idx="118">
                  <c:v>44869</c:v>
                </c:pt>
                <c:pt idx="119">
                  <c:v>44870</c:v>
                </c:pt>
                <c:pt idx="120">
                  <c:v>44871</c:v>
                </c:pt>
                <c:pt idx="121">
                  <c:v>44872</c:v>
                </c:pt>
                <c:pt idx="122">
                  <c:v>44873</c:v>
                </c:pt>
                <c:pt idx="123">
                  <c:v>44874</c:v>
                </c:pt>
                <c:pt idx="124">
                  <c:v>44875</c:v>
                </c:pt>
                <c:pt idx="125">
                  <c:v>44876</c:v>
                </c:pt>
                <c:pt idx="126">
                  <c:v>44877</c:v>
                </c:pt>
                <c:pt idx="127">
                  <c:v>44878</c:v>
                </c:pt>
                <c:pt idx="128">
                  <c:v>44879</c:v>
                </c:pt>
                <c:pt idx="129">
                  <c:v>44880</c:v>
                </c:pt>
                <c:pt idx="130">
                  <c:v>44881</c:v>
                </c:pt>
                <c:pt idx="131">
                  <c:v>44882</c:v>
                </c:pt>
                <c:pt idx="132">
                  <c:v>44883</c:v>
                </c:pt>
                <c:pt idx="133">
                  <c:v>44884</c:v>
                </c:pt>
                <c:pt idx="134">
                  <c:v>44885</c:v>
                </c:pt>
                <c:pt idx="135">
                  <c:v>44886</c:v>
                </c:pt>
                <c:pt idx="136">
                  <c:v>44887</c:v>
                </c:pt>
                <c:pt idx="137">
                  <c:v>44888</c:v>
                </c:pt>
                <c:pt idx="138">
                  <c:v>44889</c:v>
                </c:pt>
                <c:pt idx="139">
                  <c:v>44890</c:v>
                </c:pt>
                <c:pt idx="140">
                  <c:v>44891</c:v>
                </c:pt>
                <c:pt idx="141">
                  <c:v>44892</c:v>
                </c:pt>
                <c:pt idx="142">
                  <c:v>44893</c:v>
                </c:pt>
                <c:pt idx="143">
                  <c:v>44894</c:v>
                </c:pt>
                <c:pt idx="144">
                  <c:v>44895</c:v>
                </c:pt>
                <c:pt idx="145">
                  <c:v>44896</c:v>
                </c:pt>
                <c:pt idx="146">
                  <c:v>44897</c:v>
                </c:pt>
                <c:pt idx="147">
                  <c:v>44898</c:v>
                </c:pt>
                <c:pt idx="148">
                  <c:v>44899</c:v>
                </c:pt>
                <c:pt idx="149">
                  <c:v>44900</c:v>
                </c:pt>
                <c:pt idx="150">
                  <c:v>44901</c:v>
                </c:pt>
                <c:pt idx="151">
                  <c:v>44902</c:v>
                </c:pt>
                <c:pt idx="152">
                  <c:v>44903</c:v>
                </c:pt>
                <c:pt idx="153">
                  <c:v>44904</c:v>
                </c:pt>
                <c:pt idx="154">
                  <c:v>44905</c:v>
                </c:pt>
                <c:pt idx="155">
                  <c:v>44906</c:v>
                </c:pt>
                <c:pt idx="156">
                  <c:v>44907</c:v>
                </c:pt>
                <c:pt idx="157">
                  <c:v>44908</c:v>
                </c:pt>
                <c:pt idx="158">
                  <c:v>44909</c:v>
                </c:pt>
                <c:pt idx="159">
                  <c:v>44910</c:v>
                </c:pt>
                <c:pt idx="160">
                  <c:v>44911</c:v>
                </c:pt>
                <c:pt idx="161">
                  <c:v>44912</c:v>
                </c:pt>
                <c:pt idx="162">
                  <c:v>44913</c:v>
                </c:pt>
                <c:pt idx="163">
                  <c:v>44914</c:v>
                </c:pt>
                <c:pt idx="164">
                  <c:v>44915</c:v>
                </c:pt>
                <c:pt idx="165">
                  <c:v>44916</c:v>
                </c:pt>
                <c:pt idx="166">
                  <c:v>44917</c:v>
                </c:pt>
                <c:pt idx="167">
                  <c:v>44918</c:v>
                </c:pt>
                <c:pt idx="168">
                  <c:v>44919</c:v>
                </c:pt>
                <c:pt idx="169">
                  <c:v>44920</c:v>
                </c:pt>
                <c:pt idx="170">
                  <c:v>44921</c:v>
                </c:pt>
                <c:pt idx="171">
                  <c:v>44922</c:v>
                </c:pt>
                <c:pt idx="172">
                  <c:v>44923</c:v>
                </c:pt>
                <c:pt idx="173">
                  <c:v>44924</c:v>
                </c:pt>
                <c:pt idx="174">
                  <c:v>44925</c:v>
                </c:pt>
                <c:pt idx="175">
                  <c:v>44926</c:v>
                </c:pt>
                <c:pt idx="176">
                  <c:v>44927</c:v>
                </c:pt>
                <c:pt idx="177">
                  <c:v>44928</c:v>
                </c:pt>
                <c:pt idx="178">
                  <c:v>44929</c:v>
                </c:pt>
                <c:pt idx="179">
                  <c:v>44930</c:v>
                </c:pt>
                <c:pt idx="180">
                  <c:v>44931</c:v>
                </c:pt>
                <c:pt idx="181">
                  <c:v>44932</c:v>
                </c:pt>
                <c:pt idx="182">
                  <c:v>44933</c:v>
                </c:pt>
                <c:pt idx="183">
                  <c:v>44934</c:v>
                </c:pt>
                <c:pt idx="184">
                  <c:v>44935</c:v>
                </c:pt>
                <c:pt idx="185">
                  <c:v>44936</c:v>
                </c:pt>
                <c:pt idx="186">
                  <c:v>44937</c:v>
                </c:pt>
                <c:pt idx="187">
                  <c:v>44938</c:v>
                </c:pt>
                <c:pt idx="188">
                  <c:v>44939</c:v>
                </c:pt>
                <c:pt idx="189">
                  <c:v>44940</c:v>
                </c:pt>
                <c:pt idx="190">
                  <c:v>44941</c:v>
                </c:pt>
                <c:pt idx="191">
                  <c:v>44942</c:v>
                </c:pt>
                <c:pt idx="192">
                  <c:v>44943</c:v>
                </c:pt>
                <c:pt idx="193">
                  <c:v>44944</c:v>
                </c:pt>
                <c:pt idx="194">
                  <c:v>44945</c:v>
                </c:pt>
                <c:pt idx="195">
                  <c:v>44946</c:v>
                </c:pt>
                <c:pt idx="196">
                  <c:v>44947</c:v>
                </c:pt>
                <c:pt idx="197">
                  <c:v>44948</c:v>
                </c:pt>
                <c:pt idx="198">
                  <c:v>44949</c:v>
                </c:pt>
                <c:pt idx="199">
                  <c:v>44950</c:v>
                </c:pt>
                <c:pt idx="200">
                  <c:v>44951</c:v>
                </c:pt>
                <c:pt idx="201">
                  <c:v>44952</c:v>
                </c:pt>
                <c:pt idx="202">
                  <c:v>44953</c:v>
                </c:pt>
                <c:pt idx="203">
                  <c:v>44954</c:v>
                </c:pt>
                <c:pt idx="204">
                  <c:v>44955</c:v>
                </c:pt>
                <c:pt idx="205">
                  <c:v>44956</c:v>
                </c:pt>
                <c:pt idx="206">
                  <c:v>44957</c:v>
                </c:pt>
                <c:pt idx="207">
                  <c:v>44958</c:v>
                </c:pt>
                <c:pt idx="208">
                  <c:v>44959</c:v>
                </c:pt>
                <c:pt idx="209">
                  <c:v>44960</c:v>
                </c:pt>
                <c:pt idx="210">
                  <c:v>44961</c:v>
                </c:pt>
                <c:pt idx="211">
                  <c:v>44962</c:v>
                </c:pt>
                <c:pt idx="212">
                  <c:v>44963</c:v>
                </c:pt>
                <c:pt idx="213">
                  <c:v>44964</c:v>
                </c:pt>
                <c:pt idx="214">
                  <c:v>44965</c:v>
                </c:pt>
                <c:pt idx="215">
                  <c:v>44966</c:v>
                </c:pt>
                <c:pt idx="216">
                  <c:v>44967</c:v>
                </c:pt>
                <c:pt idx="217">
                  <c:v>44968</c:v>
                </c:pt>
                <c:pt idx="218">
                  <c:v>44969</c:v>
                </c:pt>
                <c:pt idx="219">
                  <c:v>44970</c:v>
                </c:pt>
                <c:pt idx="220">
                  <c:v>44971</c:v>
                </c:pt>
                <c:pt idx="221">
                  <c:v>44972</c:v>
                </c:pt>
                <c:pt idx="222">
                  <c:v>44973</c:v>
                </c:pt>
                <c:pt idx="223">
                  <c:v>44974</c:v>
                </c:pt>
                <c:pt idx="224">
                  <c:v>44975</c:v>
                </c:pt>
                <c:pt idx="225">
                  <c:v>44976</c:v>
                </c:pt>
                <c:pt idx="226">
                  <c:v>44977</c:v>
                </c:pt>
                <c:pt idx="227">
                  <c:v>44978</c:v>
                </c:pt>
                <c:pt idx="228">
                  <c:v>44979</c:v>
                </c:pt>
                <c:pt idx="229">
                  <c:v>44980</c:v>
                </c:pt>
                <c:pt idx="230">
                  <c:v>44981</c:v>
                </c:pt>
                <c:pt idx="231">
                  <c:v>44982</c:v>
                </c:pt>
                <c:pt idx="232">
                  <c:v>44983</c:v>
                </c:pt>
                <c:pt idx="233">
                  <c:v>44984</c:v>
                </c:pt>
                <c:pt idx="234">
                  <c:v>44985</c:v>
                </c:pt>
                <c:pt idx="235">
                  <c:v>44986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141.2847594203235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44751</c:v>
                </c:pt>
                <c:pt idx="1">
                  <c:v>44752</c:v>
                </c:pt>
                <c:pt idx="2">
                  <c:v>44753</c:v>
                </c:pt>
                <c:pt idx="3">
                  <c:v>44754</c:v>
                </c:pt>
                <c:pt idx="4">
                  <c:v>44755</c:v>
                </c:pt>
                <c:pt idx="5">
                  <c:v>44756</c:v>
                </c:pt>
                <c:pt idx="6">
                  <c:v>44757</c:v>
                </c:pt>
                <c:pt idx="7">
                  <c:v>44758</c:v>
                </c:pt>
                <c:pt idx="8">
                  <c:v>44759</c:v>
                </c:pt>
                <c:pt idx="9">
                  <c:v>44760</c:v>
                </c:pt>
                <c:pt idx="10">
                  <c:v>44761</c:v>
                </c:pt>
                <c:pt idx="11">
                  <c:v>44762</c:v>
                </c:pt>
                <c:pt idx="12">
                  <c:v>44763</c:v>
                </c:pt>
                <c:pt idx="13">
                  <c:v>44764</c:v>
                </c:pt>
                <c:pt idx="14">
                  <c:v>44765</c:v>
                </c:pt>
                <c:pt idx="15">
                  <c:v>44766</c:v>
                </c:pt>
                <c:pt idx="16">
                  <c:v>44767</c:v>
                </c:pt>
                <c:pt idx="17">
                  <c:v>44768</c:v>
                </c:pt>
                <c:pt idx="18">
                  <c:v>44769</c:v>
                </c:pt>
                <c:pt idx="19">
                  <c:v>44770</c:v>
                </c:pt>
                <c:pt idx="20">
                  <c:v>44771</c:v>
                </c:pt>
                <c:pt idx="21">
                  <c:v>44772</c:v>
                </c:pt>
                <c:pt idx="22">
                  <c:v>44773</c:v>
                </c:pt>
                <c:pt idx="23">
                  <c:v>44774</c:v>
                </c:pt>
                <c:pt idx="24">
                  <c:v>44775</c:v>
                </c:pt>
                <c:pt idx="25">
                  <c:v>44776</c:v>
                </c:pt>
                <c:pt idx="26">
                  <c:v>44777</c:v>
                </c:pt>
                <c:pt idx="27">
                  <c:v>44778</c:v>
                </c:pt>
                <c:pt idx="28">
                  <c:v>44779</c:v>
                </c:pt>
                <c:pt idx="29">
                  <c:v>44780</c:v>
                </c:pt>
                <c:pt idx="30">
                  <c:v>44781</c:v>
                </c:pt>
                <c:pt idx="31">
                  <c:v>44782</c:v>
                </c:pt>
                <c:pt idx="32">
                  <c:v>44783</c:v>
                </c:pt>
                <c:pt idx="33">
                  <c:v>44784</c:v>
                </c:pt>
                <c:pt idx="34">
                  <c:v>44785</c:v>
                </c:pt>
                <c:pt idx="35">
                  <c:v>44786</c:v>
                </c:pt>
                <c:pt idx="36">
                  <c:v>44787</c:v>
                </c:pt>
                <c:pt idx="37">
                  <c:v>44788</c:v>
                </c:pt>
                <c:pt idx="38">
                  <c:v>44789</c:v>
                </c:pt>
                <c:pt idx="39">
                  <c:v>44790</c:v>
                </c:pt>
                <c:pt idx="40">
                  <c:v>44791</c:v>
                </c:pt>
                <c:pt idx="41">
                  <c:v>44792</c:v>
                </c:pt>
                <c:pt idx="42">
                  <c:v>44793</c:v>
                </c:pt>
                <c:pt idx="43">
                  <c:v>44794</c:v>
                </c:pt>
                <c:pt idx="44">
                  <c:v>44795</c:v>
                </c:pt>
                <c:pt idx="45">
                  <c:v>44796</c:v>
                </c:pt>
                <c:pt idx="46">
                  <c:v>44797</c:v>
                </c:pt>
                <c:pt idx="47">
                  <c:v>44798</c:v>
                </c:pt>
                <c:pt idx="48">
                  <c:v>44799</c:v>
                </c:pt>
                <c:pt idx="49">
                  <c:v>44800</c:v>
                </c:pt>
                <c:pt idx="50">
                  <c:v>44801</c:v>
                </c:pt>
                <c:pt idx="51">
                  <c:v>44802</c:v>
                </c:pt>
                <c:pt idx="52">
                  <c:v>44803</c:v>
                </c:pt>
                <c:pt idx="53">
                  <c:v>44804</c:v>
                </c:pt>
                <c:pt idx="54">
                  <c:v>44805</c:v>
                </c:pt>
                <c:pt idx="55">
                  <c:v>44806</c:v>
                </c:pt>
                <c:pt idx="56">
                  <c:v>44807</c:v>
                </c:pt>
                <c:pt idx="57">
                  <c:v>44808</c:v>
                </c:pt>
                <c:pt idx="58">
                  <c:v>44809</c:v>
                </c:pt>
                <c:pt idx="59">
                  <c:v>44810</c:v>
                </c:pt>
                <c:pt idx="60">
                  <c:v>44811</c:v>
                </c:pt>
                <c:pt idx="61">
                  <c:v>44812</c:v>
                </c:pt>
                <c:pt idx="62">
                  <c:v>44813</c:v>
                </c:pt>
                <c:pt idx="63">
                  <c:v>44814</c:v>
                </c:pt>
                <c:pt idx="64">
                  <c:v>44815</c:v>
                </c:pt>
                <c:pt idx="65">
                  <c:v>44816</c:v>
                </c:pt>
                <c:pt idx="66">
                  <c:v>44817</c:v>
                </c:pt>
                <c:pt idx="67">
                  <c:v>44818</c:v>
                </c:pt>
                <c:pt idx="68">
                  <c:v>44819</c:v>
                </c:pt>
                <c:pt idx="69">
                  <c:v>44820</c:v>
                </c:pt>
                <c:pt idx="70">
                  <c:v>44821</c:v>
                </c:pt>
                <c:pt idx="71">
                  <c:v>44822</c:v>
                </c:pt>
                <c:pt idx="72">
                  <c:v>44823</c:v>
                </c:pt>
                <c:pt idx="73">
                  <c:v>44824</c:v>
                </c:pt>
                <c:pt idx="74">
                  <c:v>44825</c:v>
                </c:pt>
                <c:pt idx="75">
                  <c:v>44826</c:v>
                </c:pt>
                <c:pt idx="76">
                  <c:v>44827</c:v>
                </c:pt>
                <c:pt idx="77">
                  <c:v>44828</c:v>
                </c:pt>
                <c:pt idx="78">
                  <c:v>44829</c:v>
                </c:pt>
                <c:pt idx="79">
                  <c:v>44830</c:v>
                </c:pt>
                <c:pt idx="80">
                  <c:v>44831</c:v>
                </c:pt>
                <c:pt idx="81">
                  <c:v>44832</c:v>
                </c:pt>
                <c:pt idx="82">
                  <c:v>44833</c:v>
                </c:pt>
                <c:pt idx="83">
                  <c:v>44834</c:v>
                </c:pt>
                <c:pt idx="84">
                  <c:v>44835</c:v>
                </c:pt>
                <c:pt idx="85">
                  <c:v>44836</c:v>
                </c:pt>
                <c:pt idx="86">
                  <c:v>44837</c:v>
                </c:pt>
                <c:pt idx="87">
                  <c:v>44838</c:v>
                </c:pt>
                <c:pt idx="88">
                  <c:v>44839</c:v>
                </c:pt>
                <c:pt idx="89">
                  <c:v>44840</c:v>
                </c:pt>
                <c:pt idx="90">
                  <c:v>44841</c:v>
                </c:pt>
                <c:pt idx="91">
                  <c:v>44842</c:v>
                </c:pt>
                <c:pt idx="92">
                  <c:v>44843</c:v>
                </c:pt>
                <c:pt idx="93">
                  <c:v>44844</c:v>
                </c:pt>
                <c:pt idx="94">
                  <c:v>44845</c:v>
                </c:pt>
                <c:pt idx="95">
                  <c:v>44846</c:v>
                </c:pt>
                <c:pt idx="96">
                  <c:v>44847</c:v>
                </c:pt>
                <c:pt idx="97">
                  <c:v>44848</c:v>
                </c:pt>
                <c:pt idx="98">
                  <c:v>44849</c:v>
                </c:pt>
                <c:pt idx="99">
                  <c:v>44850</c:v>
                </c:pt>
                <c:pt idx="100">
                  <c:v>44851</c:v>
                </c:pt>
                <c:pt idx="101">
                  <c:v>44852</c:v>
                </c:pt>
                <c:pt idx="102">
                  <c:v>44853</c:v>
                </c:pt>
                <c:pt idx="103">
                  <c:v>44854</c:v>
                </c:pt>
                <c:pt idx="104">
                  <c:v>44855</c:v>
                </c:pt>
                <c:pt idx="105">
                  <c:v>44856</c:v>
                </c:pt>
                <c:pt idx="106">
                  <c:v>44857</c:v>
                </c:pt>
                <c:pt idx="107">
                  <c:v>44858</c:v>
                </c:pt>
                <c:pt idx="108">
                  <c:v>44859</c:v>
                </c:pt>
                <c:pt idx="109">
                  <c:v>44860</c:v>
                </c:pt>
                <c:pt idx="110">
                  <c:v>44861</c:v>
                </c:pt>
                <c:pt idx="111">
                  <c:v>44862</c:v>
                </c:pt>
                <c:pt idx="112">
                  <c:v>44863</c:v>
                </c:pt>
                <c:pt idx="113">
                  <c:v>44864</c:v>
                </c:pt>
                <c:pt idx="114">
                  <c:v>44865</c:v>
                </c:pt>
                <c:pt idx="115">
                  <c:v>44866</c:v>
                </c:pt>
                <c:pt idx="116">
                  <c:v>44867</c:v>
                </c:pt>
                <c:pt idx="117">
                  <c:v>44868</c:v>
                </c:pt>
                <c:pt idx="118">
                  <c:v>44869</c:v>
                </c:pt>
                <c:pt idx="119">
                  <c:v>44870</c:v>
                </c:pt>
                <c:pt idx="120">
                  <c:v>44871</c:v>
                </c:pt>
                <c:pt idx="121">
                  <c:v>44872</c:v>
                </c:pt>
                <c:pt idx="122">
                  <c:v>44873</c:v>
                </c:pt>
                <c:pt idx="123">
                  <c:v>44874</c:v>
                </c:pt>
                <c:pt idx="124">
                  <c:v>44875</c:v>
                </c:pt>
                <c:pt idx="125">
                  <c:v>44876</c:v>
                </c:pt>
                <c:pt idx="126">
                  <c:v>44877</c:v>
                </c:pt>
                <c:pt idx="127">
                  <c:v>44878</c:v>
                </c:pt>
                <c:pt idx="128">
                  <c:v>44879</c:v>
                </c:pt>
                <c:pt idx="129">
                  <c:v>44880</c:v>
                </c:pt>
                <c:pt idx="130">
                  <c:v>44881</c:v>
                </c:pt>
                <c:pt idx="131">
                  <c:v>44882</c:v>
                </c:pt>
                <c:pt idx="132">
                  <c:v>44883</c:v>
                </c:pt>
                <c:pt idx="133">
                  <c:v>44884</c:v>
                </c:pt>
                <c:pt idx="134">
                  <c:v>44885</c:v>
                </c:pt>
                <c:pt idx="135">
                  <c:v>44886</c:v>
                </c:pt>
                <c:pt idx="136">
                  <c:v>44887</c:v>
                </c:pt>
                <c:pt idx="137">
                  <c:v>44888</c:v>
                </c:pt>
                <c:pt idx="138">
                  <c:v>44889</c:v>
                </c:pt>
                <c:pt idx="139">
                  <c:v>44890</c:v>
                </c:pt>
                <c:pt idx="140">
                  <c:v>44891</c:v>
                </c:pt>
                <c:pt idx="141">
                  <c:v>44892</c:v>
                </c:pt>
                <c:pt idx="142">
                  <c:v>44893</c:v>
                </c:pt>
                <c:pt idx="143">
                  <c:v>44894</c:v>
                </c:pt>
                <c:pt idx="144">
                  <c:v>44895</c:v>
                </c:pt>
                <c:pt idx="145">
                  <c:v>44896</c:v>
                </c:pt>
                <c:pt idx="146">
                  <c:v>44897</c:v>
                </c:pt>
                <c:pt idx="147">
                  <c:v>44898</c:v>
                </c:pt>
                <c:pt idx="148">
                  <c:v>44899</c:v>
                </c:pt>
                <c:pt idx="149">
                  <c:v>44900</c:v>
                </c:pt>
                <c:pt idx="150">
                  <c:v>44901</c:v>
                </c:pt>
                <c:pt idx="151">
                  <c:v>44902</c:v>
                </c:pt>
                <c:pt idx="152">
                  <c:v>44903</c:v>
                </c:pt>
                <c:pt idx="153">
                  <c:v>44904</c:v>
                </c:pt>
                <c:pt idx="154">
                  <c:v>44905</c:v>
                </c:pt>
                <c:pt idx="155">
                  <c:v>44906</c:v>
                </c:pt>
                <c:pt idx="156">
                  <c:v>44907</c:v>
                </c:pt>
                <c:pt idx="157">
                  <c:v>44908</c:v>
                </c:pt>
                <c:pt idx="158">
                  <c:v>44909</c:v>
                </c:pt>
                <c:pt idx="159">
                  <c:v>44910</c:v>
                </c:pt>
                <c:pt idx="160">
                  <c:v>44911</c:v>
                </c:pt>
                <c:pt idx="161">
                  <c:v>44912</c:v>
                </c:pt>
                <c:pt idx="162">
                  <c:v>44913</c:v>
                </c:pt>
                <c:pt idx="163">
                  <c:v>44914</c:v>
                </c:pt>
                <c:pt idx="164">
                  <c:v>44915</c:v>
                </c:pt>
                <c:pt idx="165">
                  <c:v>44916</c:v>
                </c:pt>
                <c:pt idx="166">
                  <c:v>44917</c:v>
                </c:pt>
                <c:pt idx="167">
                  <c:v>44918</c:v>
                </c:pt>
                <c:pt idx="168">
                  <c:v>44919</c:v>
                </c:pt>
                <c:pt idx="169">
                  <c:v>44920</c:v>
                </c:pt>
                <c:pt idx="170">
                  <c:v>44921</c:v>
                </c:pt>
                <c:pt idx="171">
                  <c:v>44922</c:v>
                </c:pt>
                <c:pt idx="172">
                  <c:v>44923</c:v>
                </c:pt>
                <c:pt idx="173">
                  <c:v>44924</c:v>
                </c:pt>
                <c:pt idx="174">
                  <c:v>44925</c:v>
                </c:pt>
                <c:pt idx="175">
                  <c:v>44926</c:v>
                </c:pt>
                <c:pt idx="176">
                  <c:v>44927</c:v>
                </c:pt>
                <c:pt idx="177">
                  <c:v>44928</c:v>
                </c:pt>
                <c:pt idx="178">
                  <c:v>44929</c:v>
                </c:pt>
                <c:pt idx="179">
                  <c:v>44930</c:v>
                </c:pt>
                <c:pt idx="180">
                  <c:v>44931</c:v>
                </c:pt>
                <c:pt idx="181">
                  <c:v>44932</c:v>
                </c:pt>
                <c:pt idx="182">
                  <c:v>44933</c:v>
                </c:pt>
                <c:pt idx="183">
                  <c:v>44934</c:v>
                </c:pt>
                <c:pt idx="184">
                  <c:v>44935</c:v>
                </c:pt>
                <c:pt idx="185">
                  <c:v>44936</c:v>
                </c:pt>
                <c:pt idx="186">
                  <c:v>44937</c:v>
                </c:pt>
                <c:pt idx="187">
                  <c:v>44938</c:v>
                </c:pt>
                <c:pt idx="188">
                  <c:v>44939</c:v>
                </c:pt>
                <c:pt idx="189">
                  <c:v>44940</c:v>
                </c:pt>
                <c:pt idx="190">
                  <c:v>44941</c:v>
                </c:pt>
                <c:pt idx="191">
                  <c:v>44942</c:v>
                </c:pt>
                <c:pt idx="192">
                  <c:v>44943</c:v>
                </c:pt>
                <c:pt idx="193">
                  <c:v>44944</c:v>
                </c:pt>
                <c:pt idx="194">
                  <c:v>44945</c:v>
                </c:pt>
                <c:pt idx="195">
                  <c:v>44946</c:v>
                </c:pt>
                <c:pt idx="196">
                  <c:v>44947</c:v>
                </c:pt>
                <c:pt idx="197">
                  <c:v>44948</c:v>
                </c:pt>
                <c:pt idx="198">
                  <c:v>44949</c:v>
                </c:pt>
                <c:pt idx="199">
                  <c:v>44950</c:v>
                </c:pt>
                <c:pt idx="200">
                  <c:v>44951</c:v>
                </c:pt>
                <c:pt idx="201">
                  <c:v>44952</c:v>
                </c:pt>
                <c:pt idx="202">
                  <c:v>44953</c:v>
                </c:pt>
                <c:pt idx="203">
                  <c:v>44954</c:v>
                </c:pt>
                <c:pt idx="204">
                  <c:v>44955</c:v>
                </c:pt>
                <c:pt idx="205">
                  <c:v>44956</c:v>
                </c:pt>
                <c:pt idx="206">
                  <c:v>44957</c:v>
                </c:pt>
                <c:pt idx="207">
                  <c:v>44958</c:v>
                </c:pt>
                <c:pt idx="208">
                  <c:v>44959</c:v>
                </c:pt>
                <c:pt idx="209">
                  <c:v>44960</c:v>
                </c:pt>
                <c:pt idx="210">
                  <c:v>44961</c:v>
                </c:pt>
                <c:pt idx="211">
                  <c:v>44962</c:v>
                </c:pt>
                <c:pt idx="212">
                  <c:v>44963</c:v>
                </c:pt>
                <c:pt idx="213">
                  <c:v>44964</c:v>
                </c:pt>
                <c:pt idx="214">
                  <c:v>44965</c:v>
                </c:pt>
                <c:pt idx="215">
                  <c:v>44966</c:v>
                </c:pt>
                <c:pt idx="216">
                  <c:v>44967</c:v>
                </c:pt>
                <c:pt idx="217">
                  <c:v>44968</c:v>
                </c:pt>
                <c:pt idx="218">
                  <c:v>44969</c:v>
                </c:pt>
                <c:pt idx="219">
                  <c:v>44970</c:v>
                </c:pt>
                <c:pt idx="220">
                  <c:v>44971</c:v>
                </c:pt>
                <c:pt idx="221">
                  <c:v>44972</c:v>
                </c:pt>
                <c:pt idx="222">
                  <c:v>44973</c:v>
                </c:pt>
                <c:pt idx="223">
                  <c:v>44974</c:v>
                </c:pt>
                <c:pt idx="224">
                  <c:v>44975</c:v>
                </c:pt>
                <c:pt idx="225">
                  <c:v>44976</c:v>
                </c:pt>
                <c:pt idx="226">
                  <c:v>44977</c:v>
                </c:pt>
                <c:pt idx="227">
                  <c:v>44978</c:v>
                </c:pt>
                <c:pt idx="228">
                  <c:v>44979</c:v>
                </c:pt>
                <c:pt idx="229">
                  <c:v>44980</c:v>
                </c:pt>
                <c:pt idx="230">
                  <c:v>44981</c:v>
                </c:pt>
                <c:pt idx="231">
                  <c:v>44982</c:v>
                </c:pt>
                <c:pt idx="232">
                  <c:v>44983</c:v>
                </c:pt>
                <c:pt idx="233">
                  <c:v>44984</c:v>
                </c:pt>
                <c:pt idx="234">
                  <c:v>44985</c:v>
                </c:pt>
                <c:pt idx="235">
                  <c:v>44986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49.129929187991216</c:v>
                </c:pt>
                <c:pt idx="4">
                  <c:v>48.787235816408085</c:v>
                </c:pt>
                <c:pt idx="5">
                  <c:v>47.882973123958067</c:v>
                </c:pt>
                <c:pt idx="6">
                  <c:v>46.522267293895403</c:v>
                </c:pt>
                <c:pt idx="7">
                  <c:v>45.498010565142543</c:v>
                </c:pt>
                <c:pt idx="8">
                  <c:v>43.876187138723893</c:v>
                </c:pt>
                <c:pt idx="9">
                  <c:v>42.291041992057941</c:v>
                </c:pt>
                <c:pt idx="10">
                  <c:v>41.582377474135107</c:v>
                </c:pt>
                <c:pt idx="11">
                  <c:v>41.238101806027217</c:v>
                </c:pt>
                <c:pt idx="12">
                  <c:v>40.444050285423408</c:v>
                </c:pt>
                <c:pt idx="13">
                  <c:v>39.495792219498895</c:v>
                </c:pt>
                <c:pt idx="14">
                  <c:v>38.024586403732656</c:v>
                </c:pt>
                <c:pt idx="15">
                  <c:v>37.406472779291811</c:v>
                </c:pt>
                <c:pt idx="16">
                  <c:v>36.663427318960871</c:v>
                </c:pt>
                <c:pt idx="17">
                  <c:v>36.215127932283963</c:v>
                </c:pt>
                <c:pt idx="18">
                  <c:v>35.429768073325256</c:v>
                </c:pt>
                <c:pt idx="19">
                  <c:v>35.022446408729188</c:v>
                </c:pt>
                <c:pt idx="20">
                  <c:v>34.189770098778041</c:v>
                </c:pt>
                <c:pt idx="21">
                  <c:v>33.922195929070853</c:v>
                </c:pt>
                <c:pt idx="22">
                  <c:v>33.355655179730284</c:v>
                </c:pt>
                <c:pt idx="23">
                  <c:v>32.895418371783244</c:v>
                </c:pt>
                <c:pt idx="24">
                  <c:v>32.091667960588502</c:v>
                </c:pt>
                <c:pt idx="25">
                  <c:v>31.76249303279409</c:v>
                </c:pt>
                <c:pt idx="26">
                  <c:v>31.114001807247874</c:v>
                </c:pt>
                <c:pt idx="27">
                  <c:v>30.490788568180072</c:v>
                </c:pt>
                <c:pt idx="28">
                  <c:v>30.02575333993639</c:v>
                </c:pt>
                <c:pt idx="29">
                  <c:v>29.721156517685444</c:v>
                </c:pt>
                <c:pt idx="30">
                  <c:v>29.615438377054627</c:v>
                </c:pt>
                <c:pt idx="31">
                  <c:v>29.122474311884368</c:v>
                </c:pt>
                <c:pt idx="32">
                  <c:v>28.668555516211025</c:v>
                </c:pt>
                <c:pt idx="33">
                  <c:v>28.031061229758489</c:v>
                </c:pt>
                <c:pt idx="34">
                  <c:v>27.688313470584735</c:v>
                </c:pt>
                <c:pt idx="35">
                  <c:v>27.269112835987865</c:v>
                </c:pt>
                <c:pt idx="36">
                  <c:v>26.762172412501364</c:v>
                </c:pt>
                <c:pt idx="37">
                  <c:v>26.257237773380538</c:v>
                </c:pt>
                <c:pt idx="38">
                  <c:v>25.868504698233448</c:v>
                </c:pt>
                <c:pt idx="39">
                  <c:v>25.380431313043822</c:v>
                </c:pt>
                <c:pt idx="40">
                  <c:v>25.084359853560134</c:v>
                </c:pt>
                <c:pt idx="41">
                  <c:v>24.835552770351701</c:v>
                </c:pt>
                <c:pt idx="42">
                  <c:v>24.411095598997019</c:v>
                </c:pt>
                <c:pt idx="43">
                  <c:v>24.107126647541204</c:v>
                </c:pt>
                <c:pt idx="44">
                  <c:v>23.827264594306257</c:v>
                </c:pt>
                <c:pt idx="45">
                  <c:v>23.658358254766167</c:v>
                </c:pt>
                <c:pt idx="46">
                  <c:v>23.486621233444044</c:v>
                </c:pt>
                <c:pt idx="47">
                  <c:v>22.791145961233084</c:v>
                </c:pt>
                <c:pt idx="48">
                  <c:v>22.462646769387437</c:v>
                </c:pt>
                <c:pt idx="49">
                  <c:v>22.348129535917025</c:v>
                </c:pt>
                <c:pt idx="50">
                  <c:v>22.310877131978479</c:v>
                </c:pt>
                <c:pt idx="51">
                  <c:v>22.281371194971804</c:v>
                </c:pt>
                <c:pt idx="52">
                  <c:v>22.133545936655477</c:v>
                </c:pt>
                <c:pt idx="53">
                  <c:v>21.789795406694115</c:v>
                </c:pt>
                <c:pt idx="54">
                  <c:v>21.672501203212487</c:v>
                </c:pt>
                <c:pt idx="55">
                  <c:v>21.579317785502365</c:v>
                </c:pt>
                <c:pt idx="56">
                  <c:v>21.565659534463872</c:v>
                </c:pt>
                <c:pt idx="57">
                  <c:v>21.357841266864174</c:v>
                </c:pt>
                <c:pt idx="58">
                  <c:v>20.917061729687664</c:v>
                </c:pt>
                <c:pt idx="59">
                  <c:v>20.71313153466906</c:v>
                </c:pt>
                <c:pt idx="60">
                  <c:v>20.648932127508985</c:v>
                </c:pt>
                <c:pt idx="61">
                  <c:v>20.412701500148177</c:v>
                </c:pt>
                <c:pt idx="62">
                  <c:v>20.244853262192542</c:v>
                </c:pt>
                <c:pt idx="63">
                  <c:v>20.244853262192542</c:v>
                </c:pt>
                <c:pt idx="64">
                  <c:v>20.228580549994213</c:v>
                </c:pt>
                <c:pt idx="65">
                  <c:v>20.054230287284458</c:v>
                </c:pt>
                <c:pt idx="66">
                  <c:v>19.729353598036784</c:v>
                </c:pt>
                <c:pt idx="67">
                  <c:v>19.602944308676591</c:v>
                </c:pt>
                <c:pt idx="68">
                  <c:v>19.497421898040528</c:v>
                </c:pt>
                <c:pt idx="69">
                  <c:v>19.351464939752518</c:v>
                </c:pt>
                <c:pt idx="70">
                  <c:v>19.315876899888483</c:v>
                </c:pt>
                <c:pt idx="71">
                  <c:v>19.303651254094223</c:v>
                </c:pt>
                <c:pt idx="72">
                  <c:v>19.161334794755</c:v>
                </c:pt>
                <c:pt idx="73">
                  <c:v>19.160231629903581</c:v>
                </c:pt>
                <c:pt idx="74">
                  <c:v>19.142597237297103</c:v>
                </c:pt>
                <c:pt idx="75">
                  <c:v>18.951645056050534</c:v>
                </c:pt>
                <c:pt idx="76">
                  <c:v>18.849628581364723</c:v>
                </c:pt>
                <c:pt idx="77">
                  <c:v>18.630801350951728</c:v>
                </c:pt>
                <c:pt idx="78">
                  <c:v>18.545380205761553</c:v>
                </c:pt>
                <c:pt idx="79">
                  <c:v>18.35410815141994</c:v>
                </c:pt>
                <c:pt idx="80">
                  <c:v>18.334051809894572</c:v>
                </c:pt>
                <c:pt idx="81">
                  <c:v>18.144959339684945</c:v>
                </c:pt>
                <c:pt idx="82">
                  <c:v>18.036956232065062</c:v>
                </c:pt>
                <c:pt idx="83">
                  <c:v>17.747775060846362</c:v>
                </c:pt>
                <c:pt idx="84">
                  <c:v>17.300530143707071</c:v>
                </c:pt>
                <c:pt idx="85">
                  <c:v>17.120146059318433</c:v>
                </c:pt>
                <c:pt idx="86">
                  <c:v>16.901198712362824</c:v>
                </c:pt>
                <c:pt idx="87">
                  <c:v>16.901198712362824</c:v>
                </c:pt>
                <c:pt idx="88">
                  <c:v>16.824382977594933</c:v>
                </c:pt>
                <c:pt idx="89">
                  <c:v>16.824382977594933</c:v>
                </c:pt>
                <c:pt idx="90">
                  <c:v>16.824382977594933</c:v>
                </c:pt>
                <c:pt idx="91">
                  <c:v>16.728570097706996</c:v>
                </c:pt>
                <c:pt idx="92">
                  <c:v>16.53834756758447</c:v>
                </c:pt>
                <c:pt idx="93">
                  <c:v>16.327583420373458</c:v>
                </c:pt>
                <c:pt idx="94">
                  <c:v>16.27237776935856</c:v>
                </c:pt>
                <c:pt idx="95">
                  <c:v>16.028736411271794</c:v>
                </c:pt>
                <c:pt idx="96">
                  <c:v>15.785535774530969</c:v>
                </c:pt>
                <c:pt idx="97">
                  <c:v>15.474817254507203</c:v>
                </c:pt>
                <c:pt idx="98">
                  <c:v>15.169064791274279</c:v>
                </c:pt>
                <c:pt idx="99">
                  <c:v>15.09038627787182</c:v>
                </c:pt>
                <c:pt idx="100">
                  <c:v>14.996151559516566</c:v>
                </c:pt>
                <c:pt idx="101">
                  <c:v>14.861736847285593</c:v>
                </c:pt>
                <c:pt idx="102">
                  <c:v>14.783462841263988</c:v>
                </c:pt>
                <c:pt idx="103">
                  <c:v>14.70280672370474</c:v>
                </c:pt>
                <c:pt idx="104">
                  <c:v>14.613372982973988</c:v>
                </c:pt>
                <c:pt idx="105">
                  <c:v>14.516348852623809</c:v>
                </c:pt>
                <c:pt idx="106">
                  <c:v>14.409941155437782</c:v>
                </c:pt>
                <c:pt idx="107">
                  <c:v>14.305543471088257</c:v>
                </c:pt>
                <c:pt idx="108">
                  <c:v>14.190005969906135</c:v>
                </c:pt>
                <c:pt idx="109">
                  <c:v>14.064429111191004</c:v>
                </c:pt>
                <c:pt idx="110">
                  <c:v>13.92082349513278</c:v>
                </c:pt>
                <c:pt idx="111">
                  <c:v>13.778004901152416</c:v>
                </c:pt>
                <c:pt idx="112">
                  <c:v>13.627158935597999</c:v>
                </c:pt>
                <c:pt idx="113">
                  <c:v>13.460623580195641</c:v>
                </c:pt>
                <c:pt idx="114">
                  <c:v>13.288242066555224</c:v>
                </c:pt>
                <c:pt idx="115">
                  <c:v>13.115961645159771</c:v>
                </c:pt>
                <c:pt idx="116">
                  <c:v>12.933485357349793</c:v>
                </c:pt>
                <c:pt idx="117">
                  <c:v>12.743856189111998</c:v>
                </c:pt>
                <c:pt idx="118">
                  <c:v>12.539691572830812</c:v>
                </c:pt>
                <c:pt idx="119">
                  <c:v>12.316406626982562</c:v>
                </c:pt>
                <c:pt idx="120">
                  <c:v>12.090831465448613</c:v>
                </c:pt>
                <c:pt idx="121">
                  <c:v>11.845290025050311</c:v>
                </c:pt>
                <c:pt idx="122">
                  <c:v>11.579295580955463</c:v>
                </c:pt>
                <c:pt idx="123">
                  <c:v>11.30935049346434</c:v>
                </c:pt>
                <c:pt idx="124">
                  <c:v>11.014307104997387</c:v>
                </c:pt>
                <c:pt idx="125">
                  <c:v>10.699929269264938</c:v>
                </c:pt>
                <c:pt idx="126">
                  <c:v>10.369389733355735</c:v>
                </c:pt>
                <c:pt idx="127">
                  <c:v>10.029306592109339</c:v>
                </c:pt>
                <c:pt idx="128">
                  <c:v>9.6732169093131866</c:v>
                </c:pt>
                <c:pt idx="129">
                  <c:v>9.2843998956821459</c:v>
                </c:pt>
                <c:pt idx="130">
                  <c:v>8.8605699032406022</c:v>
                </c:pt>
                <c:pt idx="131">
                  <c:v>8.4304067735487376</c:v>
                </c:pt>
                <c:pt idx="132">
                  <c:v>7.9950101513098595</c:v>
                </c:pt>
                <c:pt idx="133">
                  <c:v>7.5391193702191348</c:v>
                </c:pt>
                <c:pt idx="134">
                  <c:v>7.0385309485856169</c:v>
                </c:pt>
                <c:pt idx="135">
                  <c:v>6.5081297726554386</c:v>
                </c:pt>
                <c:pt idx="136">
                  <c:v>5.9369407467100359</c:v>
                </c:pt>
                <c:pt idx="137">
                  <c:v>146.60645737095243</c:v>
                </c:pt>
                <c:pt idx="138">
                  <c:v>145.96803879111843</c:v>
                </c:pt>
                <c:pt idx="139">
                  <c:v>145.25454335502329</c:v>
                </c:pt>
                <c:pt idx="140">
                  <c:v>144.49851460887157</c:v>
                </c:pt>
                <c:pt idx="141">
                  <c:v>143.72854727288785</c:v>
                </c:pt>
                <c:pt idx="142">
                  <c:v>142.92507135435505</c:v>
                </c:pt>
                <c:pt idx="143">
                  <c:v>142.07179123799278</c:v>
                </c:pt>
                <c:pt idx="144">
                  <c:v>141.15106251570489</c:v>
                </c:pt>
                <c:pt idx="145">
                  <c:v>140.16043880286296</c:v>
                </c:pt>
                <c:pt idx="146">
                  <c:v>139.0794004919955</c:v>
                </c:pt>
                <c:pt idx="147">
                  <c:v>137.91235571140047</c:v>
                </c:pt>
                <c:pt idx="148">
                  <c:v>136.67862918103947</c:v>
                </c:pt>
                <c:pt idx="149">
                  <c:v>135.40145676931047</c:v>
                </c:pt>
                <c:pt idx="150">
                  <c:v>134.05738907613733</c:v>
                </c:pt>
                <c:pt idx="151">
                  <c:v>132.71230418968304</c:v>
                </c:pt>
                <c:pt idx="152">
                  <c:v>131.31302629175696</c:v>
                </c:pt>
                <c:pt idx="153">
                  <c:v>129.79091258146406</c:v>
                </c:pt>
                <c:pt idx="154">
                  <c:v>128.21435039809461</c:v>
                </c:pt>
                <c:pt idx="155">
                  <c:v>126.49220428230909</c:v>
                </c:pt>
                <c:pt idx="156">
                  <c:v>124.62643198406117</c:v>
                </c:pt>
                <c:pt idx="157">
                  <c:v>122.71800206365472</c:v>
                </c:pt>
                <c:pt idx="158">
                  <c:v>120.74682140673251</c:v>
                </c:pt>
                <c:pt idx="159">
                  <c:v>118.72883276696582</c:v>
                </c:pt>
                <c:pt idx="160">
                  <c:v>116.62211105027761</c:v>
                </c:pt>
                <c:pt idx="161">
                  <c:v>114.43753766705758</c:v>
                </c:pt>
                <c:pt idx="162">
                  <c:v>112.24059202421529</c:v>
                </c:pt>
                <c:pt idx="163">
                  <c:v>109.94587462905211</c:v>
                </c:pt>
                <c:pt idx="164">
                  <c:v>107.53379110363133</c:v>
                </c:pt>
                <c:pt idx="165">
                  <c:v>105.06082554040842</c:v>
                </c:pt>
                <c:pt idx="166">
                  <c:v>102.49810677323619</c:v>
                </c:pt>
                <c:pt idx="167">
                  <c:v>99.962877401836636</c:v>
                </c:pt>
                <c:pt idx="168">
                  <c:v>97.35281551010155</c:v>
                </c:pt>
                <c:pt idx="169">
                  <c:v>94.648105185693197</c:v>
                </c:pt>
                <c:pt idx="170">
                  <c:v>91.972087770836481</c:v>
                </c:pt>
                <c:pt idx="171">
                  <c:v>89.253092429468992</c:v>
                </c:pt>
                <c:pt idx="172">
                  <c:v>86.333742909905837</c:v>
                </c:pt>
                <c:pt idx="173">
                  <c:v>83.324656969532469</c:v>
                </c:pt>
                <c:pt idx="174">
                  <c:v>80.360357026829917</c:v>
                </c:pt>
                <c:pt idx="175">
                  <c:v>77.476779367833657</c:v>
                </c:pt>
                <c:pt idx="176">
                  <c:v>74.641292141240982</c:v>
                </c:pt>
                <c:pt idx="177">
                  <c:v>71.741145944789665</c:v>
                </c:pt>
                <c:pt idx="178">
                  <c:v>68.907245872866497</c:v>
                </c:pt>
                <c:pt idx="179">
                  <c:v>66.054861491192256</c:v>
                </c:pt>
                <c:pt idx="180">
                  <c:v>63.332306948457429</c:v>
                </c:pt>
                <c:pt idx="181">
                  <c:v>60.639271137745766</c:v>
                </c:pt>
                <c:pt idx="182">
                  <c:v>57.909060916376362</c:v>
                </c:pt>
                <c:pt idx="183">
                  <c:v>55.199793993885763</c:v>
                </c:pt>
                <c:pt idx="184">
                  <c:v>52.518524522784531</c:v>
                </c:pt>
                <c:pt idx="185">
                  <c:v>49.945784050020521</c:v>
                </c:pt>
                <c:pt idx="186">
                  <c:v>47.50138034251961</c:v>
                </c:pt>
                <c:pt idx="187">
                  <c:v>45.117150801612738</c:v>
                </c:pt>
                <c:pt idx="188">
                  <c:v>42.791401760871437</c:v>
                </c:pt>
                <c:pt idx="189">
                  <c:v>40.519719347386754</c:v>
                </c:pt>
                <c:pt idx="190">
                  <c:v>38.347033875261019</c:v>
                </c:pt>
                <c:pt idx="191">
                  <c:v>36.272067903524203</c:v>
                </c:pt>
                <c:pt idx="192">
                  <c:v>34.322939607575776</c:v>
                </c:pt>
                <c:pt idx="193">
                  <c:v>32.458285446021208</c:v>
                </c:pt>
                <c:pt idx="194">
                  <c:v>30.647437610900496</c:v>
                </c:pt>
                <c:pt idx="195">
                  <c:v>28.938596546979312</c:v>
                </c:pt>
                <c:pt idx="196">
                  <c:v>27.294030051663725</c:v>
                </c:pt>
                <c:pt idx="197">
                  <c:v>25.731147518226635</c:v>
                </c:pt>
                <c:pt idx="198">
                  <c:v>24.256132315286635</c:v>
                </c:pt>
                <c:pt idx="199">
                  <c:v>22.864450815728219</c:v>
                </c:pt>
                <c:pt idx="200">
                  <c:v>21.536513670663311</c:v>
                </c:pt>
                <c:pt idx="201">
                  <c:v>20.282126376175057</c:v>
                </c:pt>
                <c:pt idx="202">
                  <c:v>19.134985845182229</c:v>
                </c:pt>
                <c:pt idx="203">
                  <c:v>18.050084710173223</c:v>
                </c:pt>
                <c:pt idx="204">
                  <c:v>17.020683895651729</c:v>
                </c:pt>
                <c:pt idx="205">
                  <c:v>16.046461010791774</c:v>
                </c:pt>
                <c:pt idx="206">
                  <c:v>15.144563118959098</c:v>
                </c:pt>
                <c:pt idx="207">
                  <c:v>14.30143110521422</c:v>
                </c:pt>
                <c:pt idx="208">
                  <c:v>13.530731970836655</c:v>
                </c:pt>
                <c:pt idx="209">
                  <c:v>12.826213758482112</c:v>
                </c:pt>
                <c:pt idx="210">
                  <c:v>12.199718169065278</c:v>
                </c:pt>
                <c:pt idx="211">
                  <c:v>11.597604933300772</c:v>
                </c:pt>
                <c:pt idx="212">
                  <c:v>11.043717259226241</c:v>
                </c:pt>
                <c:pt idx="213">
                  <c:v>10.52611729649459</c:v>
                </c:pt>
                <c:pt idx="214">
                  <c:v>10.047245275803704</c:v>
                </c:pt>
                <c:pt idx="215">
                  <c:v>9.5998655561398039</c:v>
                </c:pt>
                <c:pt idx="216">
                  <c:v>9.1757648658511357</c:v>
                </c:pt>
                <c:pt idx="217">
                  <c:v>8.7796012465029207</c:v>
                </c:pt>
                <c:pt idx="218">
                  <c:v>8.4162812620057537</c:v>
                </c:pt>
                <c:pt idx="219">
                  <c:v>8.0859257689495507</c:v>
                </c:pt>
                <c:pt idx="220">
                  <c:v>7.7809606672524012</c:v>
                </c:pt>
                <c:pt idx="221">
                  <c:v>7.5041859049794937</c:v>
                </c:pt>
                <c:pt idx="222">
                  <c:v>7.2505911821835696</c:v>
                </c:pt>
                <c:pt idx="223">
                  <c:v>7.0162888971868824</c:v>
                </c:pt>
                <c:pt idx="224">
                  <c:v>6.7981490117402359</c:v>
                </c:pt>
                <c:pt idx="225">
                  <c:v>6.597157398873037</c:v>
                </c:pt>
                <c:pt idx="226">
                  <c:v>6.4108986604553593</c:v>
                </c:pt>
                <c:pt idx="227">
                  <c:v>6.2402368880363213</c:v>
                </c:pt>
                <c:pt idx="228">
                  <c:v>6.0852991195663719</c:v>
                </c:pt>
                <c:pt idx="229">
                  <c:v>5.9425943953067133</c:v>
                </c:pt>
                <c:pt idx="230">
                  <c:v>5.8149022436119822</c:v>
                </c:pt>
                <c:pt idx="231">
                  <c:v>5.7009817582161872</c:v>
                </c:pt>
                <c:pt idx="232">
                  <c:v>5.5946256943082062</c:v>
                </c:pt>
                <c:pt idx="233">
                  <c:v>5.4954122246846566</c:v>
                </c:pt>
                <c:pt idx="234">
                  <c:v>5.4054167105631734</c:v>
                </c:pt>
                <c:pt idx="235">
                  <c:v>5.3216979506288737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44751</c:v>
                </c:pt>
                <c:pt idx="1">
                  <c:v>44752</c:v>
                </c:pt>
                <c:pt idx="2">
                  <c:v>44753</c:v>
                </c:pt>
                <c:pt idx="3">
                  <c:v>44754</c:v>
                </c:pt>
                <c:pt idx="4">
                  <c:v>44755</c:v>
                </c:pt>
                <c:pt idx="5">
                  <c:v>44756</c:v>
                </c:pt>
                <c:pt idx="6">
                  <c:v>44757</c:v>
                </c:pt>
                <c:pt idx="7">
                  <c:v>44758</c:v>
                </c:pt>
                <c:pt idx="8">
                  <c:v>44759</c:v>
                </c:pt>
                <c:pt idx="9">
                  <c:v>44760</c:v>
                </c:pt>
                <c:pt idx="10">
                  <c:v>44761</c:v>
                </c:pt>
                <c:pt idx="11">
                  <c:v>44762</c:v>
                </c:pt>
                <c:pt idx="12">
                  <c:v>44763</c:v>
                </c:pt>
                <c:pt idx="13">
                  <c:v>44764</c:v>
                </c:pt>
                <c:pt idx="14">
                  <c:v>44765</c:v>
                </c:pt>
                <c:pt idx="15">
                  <c:v>44766</c:v>
                </c:pt>
                <c:pt idx="16">
                  <c:v>44767</c:v>
                </c:pt>
                <c:pt idx="17">
                  <c:v>44768</c:v>
                </c:pt>
                <c:pt idx="18">
                  <c:v>44769</c:v>
                </c:pt>
                <c:pt idx="19">
                  <c:v>44770</c:v>
                </c:pt>
                <c:pt idx="20">
                  <c:v>44771</c:v>
                </c:pt>
                <c:pt idx="21">
                  <c:v>44772</c:v>
                </c:pt>
                <c:pt idx="22">
                  <c:v>44773</c:v>
                </c:pt>
                <c:pt idx="23">
                  <c:v>44774</c:v>
                </c:pt>
                <c:pt idx="24">
                  <c:v>44775</c:v>
                </c:pt>
                <c:pt idx="25">
                  <c:v>44776</c:v>
                </c:pt>
                <c:pt idx="26">
                  <c:v>44777</c:v>
                </c:pt>
                <c:pt idx="27">
                  <c:v>44778</c:v>
                </c:pt>
                <c:pt idx="28">
                  <c:v>44779</c:v>
                </c:pt>
                <c:pt idx="29">
                  <c:v>44780</c:v>
                </c:pt>
                <c:pt idx="30">
                  <c:v>44781</c:v>
                </c:pt>
                <c:pt idx="31">
                  <c:v>44782</c:v>
                </c:pt>
                <c:pt idx="32">
                  <c:v>44783</c:v>
                </c:pt>
                <c:pt idx="33">
                  <c:v>44784</c:v>
                </c:pt>
                <c:pt idx="34">
                  <c:v>44785</c:v>
                </c:pt>
                <c:pt idx="35">
                  <c:v>44786</c:v>
                </c:pt>
                <c:pt idx="36">
                  <c:v>44787</c:v>
                </c:pt>
                <c:pt idx="37">
                  <c:v>44788</c:v>
                </c:pt>
                <c:pt idx="38">
                  <c:v>44789</c:v>
                </c:pt>
                <c:pt idx="39">
                  <c:v>44790</c:v>
                </c:pt>
                <c:pt idx="40">
                  <c:v>44791</c:v>
                </c:pt>
                <c:pt idx="41">
                  <c:v>44792</c:v>
                </c:pt>
                <c:pt idx="42">
                  <c:v>44793</c:v>
                </c:pt>
                <c:pt idx="43">
                  <c:v>44794</c:v>
                </c:pt>
                <c:pt idx="44">
                  <c:v>44795</c:v>
                </c:pt>
                <c:pt idx="45">
                  <c:v>44796</c:v>
                </c:pt>
                <c:pt idx="46">
                  <c:v>44797</c:v>
                </c:pt>
                <c:pt idx="47">
                  <c:v>44798</c:v>
                </c:pt>
                <c:pt idx="48">
                  <c:v>44799</c:v>
                </c:pt>
                <c:pt idx="49">
                  <c:v>44800</c:v>
                </c:pt>
                <c:pt idx="50">
                  <c:v>44801</c:v>
                </c:pt>
                <c:pt idx="51">
                  <c:v>44802</c:v>
                </c:pt>
                <c:pt idx="52">
                  <c:v>44803</c:v>
                </c:pt>
                <c:pt idx="53">
                  <c:v>44804</c:v>
                </c:pt>
                <c:pt idx="54">
                  <c:v>44805</c:v>
                </c:pt>
                <c:pt idx="55">
                  <c:v>44806</c:v>
                </c:pt>
                <c:pt idx="56">
                  <c:v>44807</c:v>
                </c:pt>
                <c:pt idx="57">
                  <c:v>44808</c:v>
                </c:pt>
                <c:pt idx="58">
                  <c:v>44809</c:v>
                </c:pt>
                <c:pt idx="59">
                  <c:v>44810</c:v>
                </c:pt>
                <c:pt idx="60">
                  <c:v>44811</c:v>
                </c:pt>
                <c:pt idx="61">
                  <c:v>44812</c:v>
                </c:pt>
                <c:pt idx="62">
                  <c:v>44813</c:v>
                </c:pt>
                <c:pt idx="63">
                  <c:v>44814</c:v>
                </c:pt>
                <c:pt idx="64">
                  <c:v>44815</c:v>
                </c:pt>
                <c:pt idx="65">
                  <c:v>44816</c:v>
                </c:pt>
                <c:pt idx="66">
                  <c:v>44817</c:v>
                </c:pt>
                <c:pt idx="67">
                  <c:v>44818</c:v>
                </c:pt>
                <c:pt idx="68">
                  <c:v>44819</c:v>
                </c:pt>
                <c:pt idx="69">
                  <c:v>44820</c:v>
                </c:pt>
                <c:pt idx="70">
                  <c:v>44821</c:v>
                </c:pt>
                <c:pt idx="71">
                  <c:v>44822</c:v>
                </c:pt>
                <c:pt idx="72">
                  <c:v>44823</c:v>
                </c:pt>
                <c:pt idx="73">
                  <c:v>44824</c:v>
                </c:pt>
                <c:pt idx="74">
                  <c:v>44825</c:v>
                </c:pt>
                <c:pt idx="75">
                  <c:v>44826</c:v>
                </c:pt>
                <c:pt idx="76">
                  <c:v>44827</c:v>
                </c:pt>
                <c:pt idx="77">
                  <c:v>44828</c:v>
                </c:pt>
                <c:pt idx="78">
                  <c:v>44829</c:v>
                </c:pt>
                <c:pt idx="79">
                  <c:v>44830</c:v>
                </c:pt>
                <c:pt idx="80">
                  <c:v>44831</c:v>
                </c:pt>
                <c:pt idx="81">
                  <c:v>44832</c:v>
                </c:pt>
                <c:pt idx="82">
                  <c:v>44833</c:v>
                </c:pt>
                <c:pt idx="83">
                  <c:v>44834</c:v>
                </c:pt>
                <c:pt idx="84">
                  <c:v>44835</c:v>
                </c:pt>
                <c:pt idx="85">
                  <c:v>44836</c:v>
                </c:pt>
                <c:pt idx="86">
                  <c:v>44837</c:v>
                </c:pt>
                <c:pt idx="87">
                  <c:v>44838</c:v>
                </c:pt>
                <c:pt idx="88">
                  <c:v>44839</c:v>
                </c:pt>
                <c:pt idx="89">
                  <c:v>44840</c:v>
                </c:pt>
                <c:pt idx="90">
                  <c:v>44841</c:v>
                </c:pt>
                <c:pt idx="91">
                  <c:v>44842</c:v>
                </c:pt>
                <c:pt idx="92">
                  <c:v>44843</c:v>
                </c:pt>
                <c:pt idx="93">
                  <c:v>44844</c:v>
                </c:pt>
                <c:pt idx="94">
                  <c:v>44845</c:v>
                </c:pt>
                <c:pt idx="95">
                  <c:v>44846</c:v>
                </c:pt>
                <c:pt idx="96">
                  <c:v>44847</c:v>
                </c:pt>
                <c:pt idx="97">
                  <c:v>44848</c:v>
                </c:pt>
                <c:pt idx="98">
                  <c:v>44849</c:v>
                </c:pt>
                <c:pt idx="99">
                  <c:v>44850</c:v>
                </c:pt>
                <c:pt idx="100">
                  <c:v>44851</c:v>
                </c:pt>
                <c:pt idx="101">
                  <c:v>44852</c:v>
                </c:pt>
                <c:pt idx="102">
                  <c:v>44853</c:v>
                </c:pt>
                <c:pt idx="103">
                  <c:v>44854</c:v>
                </c:pt>
                <c:pt idx="104">
                  <c:v>44855</c:v>
                </c:pt>
                <c:pt idx="105">
                  <c:v>44856</c:v>
                </c:pt>
                <c:pt idx="106">
                  <c:v>44857</c:v>
                </c:pt>
                <c:pt idx="107">
                  <c:v>44858</c:v>
                </c:pt>
                <c:pt idx="108">
                  <c:v>44859</c:v>
                </c:pt>
                <c:pt idx="109">
                  <c:v>44860</c:v>
                </c:pt>
                <c:pt idx="110">
                  <c:v>44861</c:v>
                </c:pt>
                <c:pt idx="111">
                  <c:v>44862</c:v>
                </c:pt>
                <c:pt idx="112">
                  <c:v>44863</c:v>
                </c:pt>
                <c:pt idx="113">
                  <c:v>44864</c:v>
                </c:pt>
                <c:pt idx="114">
                  <c:v>44865</c:v>
                </c:pt>
                <c:pt idx="115">
                  <c:v>44866</c:v>
                </c:pt>
                <c:pt idx="116">
                  <c:v>44867</c:v>
                </c:pt>
                <c:pt idx="117">
                  <c:v>44868</c:v>
                </c:pt>
                <c:pt idx="118">
                  <c:v>44869</c:v>
                </c:pt>
                <c:pt idx="119">
                  <c:v>44870</c:v>
                </c:pt>
                <c:pt idx="120">
                  <c:v>44871</c:v>
                </c:pt>
                <c:pt idx="121">
                  <c:v>44872</c:v>
                </c:pt>
                <c:pt idx="122">
                  <c:v>44873</c:v>
                </c:pt>
                <c:pt idx="123">
                  <c:v>44874</c:v>
                </c:pt>
                <c:pt idx="124">
                  <c:v>44875</c:v>
                </c:pt>
                <c:pt idx="125">
                  <c:v>44876</c:v>
                </c:pt>
                <c:pt idx="126">
                  <c:v>44877</c:v>
                </c:pt>
                <c:pt idx="127">
                  <c:v>44878</c:v>
                </c:pt>
                <c:pt idx="128">
                  <c:v>44879</c:v>
                </c:pt>
                <c:pt idx="129">
                  <c:v>44880</c:v>
                </c:pt>
                <c:pt idx="130">
                  <c:v>44881</c:v>
                </c:pt>
                <c:pt idx="131">
                  <c:v>44882</c:v>
                </c:pt>
                <c:pt idx="132">
                  <c:v>44883</c:v>
                </c:pt>
                <c:pt idx="133">
                  <c:v>44884</c:v>
                </c:pt>
                <c:pt idx="134">
                  <c:v>44885</c:v>
                </c:pt>
                <c:pt idx="135">
                  <c:v>44886</c:v>
                </c:pt>
                <c:pt idx="136">
                  <c:v>44887</c:v>
                </c:pt>
                <c:pt idx="137">
                  <c:v>44888</c:v>
                </c:pt>
                <c:pt idx="138">
                  <c:v>44889</c:v>
                </c:pt>
                <c:pt idx="139">
                  <c:v>44890</c:v>
                </c:pt>
                <c:pt idx="140">
                  <c:v>44891</c:v>
                </c:pt>
                <c:pt idx="141">
                  <c:v>44892</c:v>
                </c:pt>
                <c:pt idx="142">
                  <c:v>44893</c:v>
                </c:pt>
                <c:pt idx="143">
                  <c:v>44894</c:v>
                </c:pt>
                <c:pt idx="144">
                  <c:v>44895</c:v>
                </c:pt>
                <c:pt idx="145">
                  <c:v>44896</c:v>
                </c:pt>
                <c:pt idx="146">
                  <c:v>44897</c:v>
                </c:pt>
                <c:pt idx="147">
                  <c:v>44898</c:v>
                </c:pt>
                <c:pt idx="148">
                  <c:v>44899</c:v>
                </c:pt>
                <c:pt idx="149">
                  <c:v>44900</c:v>
                </c:pt>
                <c:pt idx="150">
                  <c:v>44901</c:v>
                </c:pt>
                <c:pt idx="151">
                  <c:v>44902</c:v>
                </c:pt>
                <c:pt idx="152">
                  <c:v>44903</c:v>
                </c:pt>
                <c:pt idx="153">
                  <c:v>44904</c:v>
                </c:pt>
                <c:pt idx="154">
                  <c:v>44905</c:v>
                </c:pt>
                <c:pt idx="155">
                  <c:v>44906</c:v>
                </c:pt>
                <c:pt idx="156">
                  <c:v>44907</c:v>
                </c:pt>
                <c:pt idx="157">
                  <c:v>44908</c:v>
                </c:pt>
                <c:pt idx="158">
                  <c:v>44909</c:v>
                </c:pt>
                <c:pt idx="159">
                  <c:v>44910</c:v>
                </c:pt>
                <c:pt idx="160">
                  <c:v>44911</c:v>
                </c:pt>
                <c:pt idx="161">
                  <c:v>44912</c:v>
                </c:pt>
                <c:pt idx="162">
                  <c:v>44913</c:v>
                </c:pt>
                <c:pt idx="163">
                  <c:v>44914</c:v>
                </c:pt>
                <c:pt idx="164">
                  <c:v>44915</c:v>
                </c:pt>
                <c:pt idx="165">
                  <c:v>44916</c:v>
                </c:pt>
                <c:pt idx="166">
                  <c:v>44917</c:v>
                </c:pt>
                <c:pt idx="167">
                  <c:v>44918</c:v>
                </c:pt>
                <c:pt idx="168">
                  <c:v>44919</c:v>
                </c:pt>
                <c:pt idx="169">
                  <c:v>44920</c:v>
                </c:pt>
                <c:pt idx="170">
                  <c:v>44921</c:v>
                </c:pt>
                <c:pt idx="171">
                  <c:v>44922</c:v>
                </c:pt>
                <c:pt idx="172">
                  <c:v>44923</c:v>
                </c:pt>
                <c:pt idx="173">
                  <c:v>44924</c:v>
                </c:pt>
                <c:pt idx="174">
                  <c:v>44925</c:v>
                </c:pt>
                <c:pt idx="175">
                  <c:v>44926</c:v>
                </c:pt>
                <c:pt idx="176">
                  <c:v>44927</c:v>
                </c:pt>
                <c:pt idx="177">
                  <c:v>44928</c:v>
                </c:pt>
                <c:pt idx="178">
                  <c:v>44929</c:v>
                </c:pt>
                <c:pt idx="179">
                  <c:v>44930</c:v>
                </c:pt>
                <c:pt idx="180">
                  <c:v>44931</c:v>
                </c:pt>
                <c:pt idx="181">
                  <c:v>44932</c:v>
                </c:pt>
                <c:pt idx="182">
                  <c:v>44933</c:v>
                </c:pt>
                <c:pt idx="183">
                  <c:v>44934</c:v>
                </c:pt>
                <c:pt idx="184">
                  <c:v>44935</c:v>
                </c:pt>
                <c:pt idx="185">
                  <c:v>44936</c:v>
                </c:pt>
                <c:pt idx="186">
                  <c:v>44937</c:v>
                </c:pt>
                <c:pt idx="187">
                  <c:v>44938</c:v>
                </c:pt>
                <c:pt idx="188">
                  <c:v>44939</c:v>
                </c:pt>
                <c:pt idx="189">
                  <c:v>44940</c:v>
                </c:pt>
                <c:pt idx="190">
                  <c:v>44941</c:v>
                </c:pt>
                <c:pt idx="191">
                  <c:v>44942</c:v>
                </c:pt>
                <c:pt idx="192">
                  <c:v>44943</c:v>
                </c:pt>
                <c:pt idx="193">
                  <c:v>44944</c:v>
                </c:pt>
                <c:pt idx="194">
                  <c:v>44945</c:v>
                </c:pt>
                <c:pt idx="195">
                  <c:v>44946</c:v>
                </c:pt>
                <c:pt idx="196">
                  <c:v>44947</c:v>
                </c:pt>
                <c:pt idx="197">
                  <c:v>44948</c:v>
                </c:pt>
                <c:pt idx="198">
                  <c:v>44949</c:v>
                </c:pt>
                <c:pt idx="199">
                  <c:v>44950</c:v>
                </c:pt>
                <c:pt idx="200">
                  <c:v>44951</c:v>
                </c:pt>
                <c:pt idx="201">
                  <c:v>44952</c:v>
                </c:pt>
                <c:pt idx="202">
                  <c:v>44953</c:v>
                </c:pt>
                <c:pt idx="203">
                  <c:v>44954</c:v>
                </c:pt>
                <c:pt idx="204">
                  <c:v>44955</c:v>
                </c:pt>
                <c:pt idx="205">
                  <c:v>44956</c:v>
                </c:pt>
                <c:pt idx="206">
                  <c:v>44957</c:v>
                </c:pt>
                <c:pt idx="207">
                  <c:v>44958</c:v>
                </c:pt>
                <c:pt idx="208">
                  <c:v>44959</c:v>
                </c:pt>
                <c:pt idx="209">
                  <c:v>44960</c:v>
                </c:pt>
                <c:pt idx="210">
                  <c:v>44961</c:v>
                </c:pt>
                <c:pt idx="211">
                  <c:v>44962</c:v>
                </c:pt>
                <c:pt idx="212">
                  <c:v>44963</c:v>
                </c:pt>
                <c:pt idx="213">
                  <c:v>44964</c:v>
                </c:pt>
                <c:pt idx="214">
                  <c:v>44965</c:v>
                </c:pt>
                <c:pt idx="215">
                  <c:v>44966</c:v>
                </c:pt>
                <c:pt idx="216">
                  <c:v>44967</c:v>
                </c:pt>
                <c:pt idx="217">
                  <c:v>44968</c:v>
                </c:pt>
                <c:pt idx="218">
                  <c:v>44969</c:v>
                </c:pt>
                <c:pt idx="219">
                  <c:v>44970</c:v>
                </c:pt>
                <c:pt idx="220">
                  <c:v>44971</c:v>
                </c:pt>
                <c:pt idx="221">
                  <c:v>44972</c:v>
                </c:pt>
                <c:pt idx="222">
                  <c:v>44973</c:v>
                </c:pt>
                <c:pt idx="223">
                  <c:v>44974</c:v>
                </c:pt>
                <c:pt idx="224">
                  <c:v>44975</c:v>
                </c:pt>
                <c:pt idx="225">
                  <c:v>44976</c:v>
                </c:pt>
                <c:pt idx="226">
                  <c:v>44977</c:v>
                </c:pt>
                <c:pt idx="227">
                  <c:v>44978</c:v>
                </c:pt>
                <c:pt idx="228">
                  <c:v>44979</c:v>
                </c:pt>
                <c:pt idx="229">
                  <c:v>44980</c:v>
                </c:pt>
                <c:pt idx="230">
                  <c:v>44981</c:v>
                </c:pt>
                <c:pt idx="231">
                  <c:v>44982</c:v>
                </c:pt>
                <c:pt idx="232">
                  <c:v>44983</c:v>
                </c:pt>
                <c:pt idx="233">
                  <c:v>44984</c:v>
                </c:pt>
                <c:pt idx="234">
                  <c:v>44985</c:v>
                </c:pt>
                <c:pt idx="235">
                  <c:v>44986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-0.87007081200878389</c:v>
                </c:pt>
                <c:pt idx="4">
                  <c:v>-1.2127641835919167</c:v>
                </c:pt>
                <c:pt idx="5">
                  <c:v>-2.1170268760419333</c:v>
                </c:pt>
                <c:pt idx="6">
                  <c:v>-3.4777327061045948</c:v>
                </c:pt>
                <c:pt idx="7">
                  <c:v>-4.501989434857455</c:v>
                </c:pt>
                <c:pt idx="8">
                  <c:v>-6.1238128612761038</c:v>
                </c:pt>
                <c:pt idx="9">
                  <c:v>-7.7089580079420585</c:v>
                </c:pt>
                <c:pt idx="10">
                  <c:v>-8.4176225258648927</c:v>
                </c:pt>
                <c:pt idx="11">
                  <c:v>-8.7618981939727831</c:v>
                </c:pt>
                <c:pt idx="12">
                  <c:v>-9.5559497145765953</c:v>
                </c:pt>
                <c:pt idx="13">
                  <c:v>-10.50420778050111</c:v>
                </c:pt>
                <c:pt idx="14">
                  <c:v>-11.975413596267348</c:v>
                </c:pt>
                <c:pt idx="15">
                  <c:v>-12.593527220708193</c:v>
                </c:pt>
                <c:pt idx="16">
                  <c:v>-13.336572681039137</c:v>
                </c:pt>
                <c:pt idx="17">
                  <c:v>-13.784872067716046</c:v>
                </c:pt>
                <c:pt idx="18">
                  <c:v>-14.570231926674754</c:v>
                </c:pt>
                <c:pt idx="19">
                  <c:v>-14.977553591270823</c:v>
                </c:pt>
                <c:pt idx="20">
                  <c:v>-15.810229901221973</c:v>
                </c:pt>
                <c:pt idx="21">
                  <c:v>-16.077804070929162</c:v>
                </c:pt>
                <c:pt idx="22">
                  <c:v>-16.644344820269733</c:v>
                </c:pt>
                <c:pt idx="23">
                  <c:v>-17.104581628216771</c:v>
                </c:pt>
                <c:pt idx="24">
                  <c:v>-17.908332039411508</c:v>
                </c:pt>
                <c:pt idx="25">
                  <c:v>-18.23750696720592</c:v>
                </c:pt>
                <c:pt idx="26">
                  <c:v>-18.885998192752137</c:v>
                </c:pt>
                <c:pt idx="27">
                  <c:v>-19.509211431819939</c:v>
                </c:pt>
                <c:pt idx="28">
                  <c:v>-19.974246660063621</c:v>
                </c:pt>
                <c:pt idx="29">
                  <c:v>-20.278843482314567</c:v>
                </c:pt>
                <c:pt idx="30">
                  <c:v>-20.384561622945384</c:v>
                </c:pt>
                <c:pt idx="31">
                  <c:v>-20.877525688115643</c:v>
                </c:pt>
                <c:pt idx="32">
                  <c:v>-21.331444483788985</c:v>
                </c:pt>
                <c:pt idx="33">
                  <c:v>-21.968938770241522</c:v>
                </c:pt>
                <c:pt idx="34">
                  <c:v>-22.311686529415276</c:v>
                </c:pt>
                <c:pt idx="35">
                  <c:v>-22.730887164012145</c:v>
                </c:pt>
                <c:pt idx="36">
                  <c:v>-23.237827587498646</c:v>
                </c:pt>
                <c:pt idx="37">
                  <c:v>-23.742762226619472</c:v>
                </c:pt>
                <c:pt idx="38">
                  <c:v>-24.131495301766563</c:v>
                </c:pt>
                <c:pt idx="39">
                  <c:v>-24.619568686956189</c:v>
                </c:pt>
                <c:pt idx="40">
                  <c:v>-24.915640146439877</c:v>
                </c:pt>
                <c:pt idx="41">
                  <c:v>-25.16444722964831</c:v>
                </c:pt>
                <c:pt idx="42">
                  <c:v>-25.588904401002992</c:v>
                </c:pt>
                <c:pt idx="43">
                  <c:v>-25.892873352458807</c:v>
                </c:pt>
                <c:pt idx="44">
                  <c:v>-26.172735405693754</c:v>
                </c:pt>
                <c:pt idx="45">
                  <c:v>-26.341641745233844</c:v>
                </c:pt>
                <c:pt idx="46">
                  <c:v>-26.513378766555967</c:v>
                </c:pt>
                <c:pt idx="47">
                  <c:v>-27.208854038766926</c:v>
                </c:pt>
                <c:pt idx="48">
                  <c:v>-27.537353230612574</c:v>
                </c:pt>
                <c:pt idx="49">
                  <c:v>-27.651870464082986</c:v>
                </c:pt>
                <c:pt idx="50">
                  <c:v>-27.689122868021531</c:v>
                </c:pt>
                <c:pt idx="51">
                  <c:v>-27.718628805028203</c:v>
                </c:pt>
                <c:pt idx="52">
                  <c:v>-27.866454063344531</c:v>
                </c:pt>
                <c:pt idx="53">
                  <c:v>-28.210204593305892</c:v>
                </c:pt>
                <c:pt idx="54">
                  <c:v>-28.32749879678752</c:v>
                </c:pt>
                <c:pt idx="55">
                  <c:v>-28.420682214497642</c:v>
                </c:pt>
                <c:pt idx="56">
                  <c:v>-28.434340465536135</c:v>
                </c:pt>
                <c:pt idx="57">
                  <c:v>-28.642158733135833</c:v>
                </c:pt>
                <c:pt idx="58">
                  <c:v>-29.082938270312344</c:v>
                </c:pt>
                <c:pt idx="59">
                  <c:v>-29.286868465330947</c:v>
                </c:pt>
                <c:pt idx="60">
                  <c:v>-29.351067872491022</c:v>
                </c:pt>
                <c:pt idx="61">
                  <c:v>-29.58729849985183</c:v>
                </c:pt>
                <c:pt idx="62">
                  <c:v>-29.755146737807465</c:v>
                </c:pt>
                <c:pt idx="63">
                  <c:v>-29.755146737807465</c:v>
                </c:pt>
                <c:pt idx="64">
                  <c:v>-29.771419450005794</c:v>
                </c:pt>
                <c:pt idx="65">
                  <c:v>-29.945769712715549</c:v>
                </c:pt>
                <c:pt idx="66">
                  <c:v>-30.270646401963223</c:v>
                </c:pt>
                <c:pt idx="67">
                  <c:v>-30.397055691323416</c:v>
                </c:pt>
                <c:pt idx="68">
                  <c:v>-30.502578101959479</c:v>
                </c:pt>
                <c:pt idx="69">
                  <c:v>-30.64853506024749</c:v>
                </c:pt>
                <c:pt idx="70">
                  <c:v>-30.684123100111524</c:v>
                </c:pt>
                <c:pt idx="71">
                  <c:v>-30.696348745905784</c:v>
                </c:pt>
                <c:pt idx="72">
                  <c:v>-30.838665205245007</c:v>
                </c:pt>
                <c:pt idx="73">
                  <c:v>-30.839768370096426</c:v>
                </c:pt>
                <c:pt idx="74">
                  <c:v>-30.857402762702904</c:v>
                </c:pt>
                <c:pt idx="75">
                  <c:v>-31.048354943949473</c:v>
                </c:pt>
                <c:pt idx="76">
                  <c:v>-31.150371418635284</c:v>
                </c:pt>
                <c:pt idx="77">
                  <c:v>-31.369198649048279</c:v>
                </c:pt>
                <c:pt idx="78">
                  <c:v>-31.454619794238454</c:v>
                </c:pt>
                <c:pt idx="79">
                  <c:v>-31.645891848580067</c:v>
                </c:pt>
                <c:pt idx="80">
                  <c:v>-31.665948190105436</c:v>
                </c:pt>
                <c:pt idx="81">
                  <c:v>-31.855040660315062</c:v>
                </c:pt>
                <c:pt idx="82">
                  <c:v>-31.963043767934945</c:v>
                </c:pt>
                <c:pt idx="83">
                  <c:v>-32.252224939153642</c:v>
                </c:pt>
                <c:pt idx="84">
                  <c:v>-32.699469856292929</c:v>
                </c:pt>
                <c:pt idx="85">
                  <c:v>-32.879853940681564</c:v>
                </c:pt>
                <c:pt idx="86">
                  <c:v>-33.098801287637173</c:v>
                </c:pt>
                <c:pt idx="87">
                  <c:v>-33.098801287637173</c:v>
                </c:pt>
                <c:pt idx="88">
                  <c:v>-33.175617022405063</c:v>
                </c:pt>
                <c:pt idx="89">
                  <c:v>-33.175617022405063</c:v>
                </c:pt>
                <c:pt idx="90">
                  <c:v>-33.175617022405063</c:v>
                </c:pt>
                <c:pt idx="91">
                  <c:v>-33.271429902293001</c:v>
                </c:pt>
                <c:pt idx="92">
                  <c:v>-33.416165501611736</c:v>
                </c:pt>
                <c:pt idx="93">
                  <c:v>-33.575977909029334</c:v>
                </c:pt>
                <c:pt idx="94">
                  <c:v>-33.575977909029334</c:v>
                </c:pt>
                <c:pt idx="95">
                  <c:v>-33.758044974260855</c:v>
                </c:pt>
                <c:pt idx="96">
                  <c:v>-33.937091217909547</c:v>
                </c:pt>
                <c:pt idx="97">
                  <c:v>-34.183000132099352</c:v>
                </c:pt>
                <c:pt idx="98">
                  <c:v>-34.423176991294525</c:v>
                </c:pt>
                <c:pt idx="99">
                  <c:v>-34.432734235937176</c:v>
                </c:pt>
                <c:pt idx="100">
                  <c:v>-34.449139116885618</c:v>
                </c:pt>
                <c:pt idx="101">
                  <c:v>-34.506469392663178</c:v>
                </c:pt>
                <c:pt idx="102">
                  <c:v>-34.506469392663178</c:v>
                </c:pt>
                <c:pt idx="103">
                  <c:v>-34.506469392663178</c:v>
                </c:pt>
                <c:pt idx="104">
                  <c:v>-34.506469392663178</c:v>
                </c:pt>
                <c:pt idx="105">
                  <c:v>-34.506469392663178</c:v>
                </c:pt>
                <c:pt idx="106">
                  <c:v>-34.506469392663178</c:v>
                </c:pt>
                <c:pt idx="107">
                  <c:v>-34.506469392663178</c:v>
                </c:pt>
                <c:pt idx="108">
                  <c:v>-34.506469392663178</c:v>
                </c:pt>
                <c:pt idx="109">
                  <c:v>-34.506469392663178</c:v>
                </c:pt>
                <c:pt idx="110">
                  <c:v>-34.506469392663178</c:v>
                </c:pt>
                <c:pt idx="111">
                  <c:v>-34.506469392663178</c:v>
                </c:pt>
                <c:pt idx="112">
                  <c:v>-34.506469392663178</c:v>
                </c:pt>
                <c:pt idx="113">
                  <c:v>-34.506469392663178</c:v>
                </c:pt>
                <c:pt idx="114">
                  <c:v>-34.506469392663178</c:v>
                </c:pt>
                <c:pt idx="115">
                  <c:v>-34.506469392663178</c:v>
                </c:pt>
                <c:pt idx="116">
                  <c:v>-34.506469392663178</c:v>
                </c:pt>
                <c:pt idx="117">
                  <c:v>-34.506469392663178</c:v>
                </c:pt>
                <c:pt idx="118">
                  <c:v>-34.506469392663178</c:v>
                </c:pt>
                <c:pt idx="119">
                  <c:v>-34.506469392663178</c:v>
                </c:pt>
                <c:pt idx="120">
                  <c:v>-34.506469392663178</c:v>
                </c:pt>
                <c:pt idx="121">
                  <c:v>-34.506469392663178</c:v>
                </c:pt>
                <c:pt idx="122">
                  <c:v>-34.506469392663178</c:v>
                </c:pt>
                <c:pt idx="123">
                  <c:v>-34.506469392663178</c:v>
                </c:pt>
                <c:pt idx="124">
                  <c:v>-34.506469392663178</c:v>
                </c:pt>
                <c:pt idx="125">
                  <c:v>-34.506469392663178</c:v>
                </c:pt>
                <c:pt idx="126">
                  <c:v>-34.506469392663178</c:v>
                </c:pt>
                <c:pt idx="127">
                  <c:v>-34.506469392663178</c:v>
                </c:pt>
                <c:pt idx="128">
                  <c:v>-34.506469392663178</c:v>
                </c:pt>
                <c:pt idx="129">
                  <c:v>-34.506469392663178</c:v>
                </c:pt>
                <c:pt idx="130">
                  <c:v>-34.506469392663178</c:v>
                </c:pt>
                <c:pt idx="131">
                  <c:v>-34.506469392663178</c:v>
                </c:pt>
                <c:pt idx="132">
                  <c:v>-34.506469392663178</c:v>
                </c:pt>
                <c:pt idx="133">
                  <c:v>-34.506469392663178</c:v>
                </c:pt>
                <c:pt idx="134">
                  <c:v>-34.506469392663178</c:v>
                </c:pt>
                <c:pt idx="135">
                  <c:v>-34.506469392663178</c:v>
                </c:pt>
                <c:pt idx="136">
                  <c:v>-34.506469392663178</c:v>
                </c:pt>
                <c:pt idx="137">
                  <c:v>-34.506469392663178</c:v>
                </c:pt>
                <c:pt idx="138">
                  <c:v>-34.506469392663178</c:v>
                </c:pt>
                <c:pt idx="139">
                  <c:v>-34.506469392663178</c:v>
                </c:pt>
                <c:pt idx="140">
                  <c:v>-34.506469392663178</c:v>
                </c:pt>
                <c:pt idx="141">
                  <c:v>-34.506469392663178</c:v>
                </c:pt>
                <c:pt idx="142">
                  <c:v>-34.506469392663178</c:v>
                </c:pt>
                <c:pt idx="143">
                  <c:v>-34.506469392663178</c:v>
                </c:pt>
                <c:pt idx="144">
                  <c:v>-34.506469392663178</c:v>
                </c:pt>
                <c:pt idx="145">
                  <c:v>-34.506469392663178</c:v>
                </c:pt>
                <c:pt idx="146">
                  <c:v>-34.506469392663178</c:v>
                </c:pt>
                <c:pt idx="147">
                  <c:v>-34.506469392663178</c:v>
                </c:pt>
                <c:pt idx="148">
                  <c:v>-34.506469392663178</c:v>
                </c:pt>
                <c:pt idx="149">
                  <c:v>-34.506469392663178</c:v>
                </c:pt>
                <c:pt idx="150">
                  <c:v>-34.506469392663178</c:v>
                </c:pt>
                <c:pt idx="151">
                  <c:v>-34.506469392663178</c:v>
                </c:pt>
                <c:pt idx="152">
                  <c:v>-34.506469392663178</c:v>
                </c:pt>
                <c:pt idx="153">
                  <c:v>-34.506469392663178</c:v>
                </c:pt>
                <c:pt idx="154">
                  <c:v>-34.506469392663178</c:v>
                </c:pt>
                <c:pt idx="155">
                  <c:v>-34.506469392663178</c:v>
                </c:pt>
                <c:pt idx="156">
                  <c:v>-34.506469392663178</c:v>
                </c:pt>
                <c:pt idx="157">
                  <c:v>-34.506469392663178</c:v>
                </c:pt>
                <c:pt idx="158">
                  <c:v>-34.506469392663178</c:v>
                </c:pt>
                <c:pt idx="159">
                  <c:v>-34.506469392663178</c:v>
                </c:pt>
                <c:pt idx="160">
                  <c:v>-34.506469392663178</c:v>
                </c:pt>
                <c:pt idx="161">
                  <c:v>-34.506469392663178</c:v>
                </c:pt>
                <c:pt idx="162">
                  <c:v>-34.506469392663178</c:v>
                </c:pt>
                <c:pt idx="163">
                  <c:v>-34.506469392663178</c:v>
                </c:pt>
                <c:pt idx="164">
                  <c:v>-34.506469392663178</c:v>
                </c:pt>
                <c:pt idx="165">
                  <c:v>-34.506469392663178</c:v>
                </c:pt>
                <c:pt idx="166">
                  <c:v>-34.506469392663178</c:v>
                </c:pt>
                <c:pt idx="167">
                  <c:v>-34.506469392663178</c:v>
                </c:pt>
                <c:pt idx="168">
                  <c:v>-34.506469392663178</c:v>
                </c:pt>
                <c:pt idx="169">
                  <c:v>-34.506469392663178</c:v>
                </c:pt>
                <c:pt idx="170">
                  <c:v>-34.506469392663178</c:v>
                </c:pt>
                <c:pt idx="171">
                  <c:v>-34.506469392663178</c:v>
                </c:pt>
                <c:pt idx="172">
                  <c:v>-34.506469392663178</c:v>
                </c:pt>
                <c:pt idx="173">
                  <c:v>-34.506469392663178</c:v>
                </c:pt>
                <c:pt idx="174">
                  <c:v>-34.506469392663178</c:v>
                </c:pt>
                <c:pt idx="175">
                  <c:v>-34.506469392663178</c:v>
                </c:pt>
                <c:pt idx="176">
                  <c:v>-34.506469392663178</c:v>
                </c:pt>
                <c:pt idx="177">
                  <c:v>-34.506469392663178</c:v>
                </c:pt>
                <c:pt idx="178">
                  <c:v>-34.506469392663178</c:v>
                </c:pt>
                <c:pt idx="179">
                  <c:v>-34.506469392663178</c:v>
                </c:pt>
                <c:pt idx="180">
                  <c:v>-34.506469392663178</c:v>
                </c:pt>
                <c:pt idx="181">
                  <c:v>-34.506469392663178</c:v>
                </c:pt>
                <c:pt idx="182">
                  <c:v>-34.506469392663178</c:v>
                </c:pt>
                <c:pt idx="183">
                  <c:v>-34.506469392663178</c:v>
                </c:pt>
                <c:pt idx="184">
                  <c:v>-34.506469392663178</c:v>
                </c:pt>
                <c:pt idx="185">
                  <c:v>-34.506469392663178</c:v>
                </c:pt>
                <c:pt idx="186">
                  <c:v>-34.506469392663178</c:v>
                </c:pt>
                <c:pt idx="187">
                  <c:v>-34.506469392663178</c:v>
                </c:pt>
                <c:pt idx="188">
                  <c:v>-34.506469392663178</c:v>
                </c:pt>
                <c:pt idx="189">
                  <c:v>-34.506469392663178</c:v>
                </c:pt>
                <c:pt idx="190">
                  <c:v>-34.506469392663178</c:v>
                </c:pt>
                <c:pt idx="191">
                  <c:v>-34.506469392663178</c:v>
                </c:pt>
                <c:pt idx="192">
                  <c:v>-34.506469392663178</c:v>
                </c:pt>
                <c:pt idx="193">
                  <c:v>-34.506469392663178</c:v>
                </c:pt>
                <c:pt idx="194">
                  <c:v>-34.506469392663178</c:v>
                </c:pt>
                <c:pt idx="195">
                  <c:v>-34.506469392663178</c:v>
                </c:pt>
                <c:pt idx="196">
                  <c:v>-34.506469392663178</c:v>
                </c:pt>
                <c:pt idx="197">
                  <c:v>-34.506469392663178</c:v>
                </c:pt>
                <c:pt idx="198">
                  <c:v>-34.506469392663178</c:v>
                </c:pt>
                <c:pt idx="199">
                  <c:v>-34.506469392663178</c:v>
                </c:pt>
                <c:pt idx="200">
                  <c:v>-34.506469392663178</c:v>
                </c:pt>
                <c:pt idx="201">
                  <c:v>-34.506469392663178</c:v>
                </c:pt>
                <c:pt idx="202">
                  <c:v>-34.506469392663178</c:v>
                </c:pt>
                <c:pt idx="203">
                  <c:v>-34.506469392663178</c:v>
                </c:pt>
                <c:pt idx="204">
                  <c:v>-34.506469392663178</c:v>
                </c:pt>
                <c:pt idx="205">
                  <c:v>-34.506469392663178</c:v>
                </c:pt>
                <c:pt idx="206">
                  <c:v>-34.506469392663178</c:v>
                </c:pt>
                <c:pt idx="207">
                  <c:v>-34.506469392663178</c:v>
                </c:pt>
                <c:pt idx="208">
                  <c:v>-34.506469392663178</c:v>
                </c:pt>
                <c:pt idx="209">
                  <c:v>-34.506469392663178</c:v>
                </c:pt>
                <c:pt idx="210">
                  <c:v>-34.506469392663178</c:v>
                </c:pt>
                <c:pt idx="211">
                  <c:v>-34.506469392663178</c:v>
                </c:pt>
                <c:pt idx="212">
                  <c:v>-34.506469392663178</c:v>
                </c:pt>
                <c:pt idx="213">
                  <c:v>-34.506469392663178</c:v>
                </c:pt>
                <c:pt idx="214">
                  <c:v>-34.506469392663178</c:v>
                </c:pt>
                <c:pt idx="215">
                  <c:v>-34.506469392663178</c:v>
                </c:pt>
                <c:pt idx="216">
                  <c:v>-34.506469392663178</c:v>
                </c:pt>
                <c:pt idx="217">
                  <c:v>-34.506469392663178</c:v>
                </c:pt>
                <c:pt idx="218">
                  <c:v>-34.506469392663178</c:v>
                </c:pt>
                <c:pt idx="219">
                  <c:v>-34.506469392663178</c:v>
                </c:pt>
                <c:pt idx="220">
                  <c:v>-34.506469392663178</c:v>
                </c:pt>
                <c:pt idx="221">
                  <c:v>-34.506469392663178</c:v>
                </c:pt>
                <c:pt idx="222">
                  <c:v>-34.506469392663178</c:v>
                </c:pt>
                <c:pt idx="223">
                  <c:v>-34.506469392663178</c:v>
                </c:pt>
                <c:pt idx="224">
                  <c:v>-34.506469392663178</c:v>
                </c:pt>
                <c:pt idx="225">
                  <c:v>-34.506469392663178</c:v>
                </c:pt>
                <c:pt idx="226">
                  <c:v>-34.506469392663178</c:v>
                </c:pt>
                <c:pt idx="227">
                  <c:v>-34.506469392663178</c:v>
                </c:pt>
                <c:pt idx="228">
                  <c:v>-34.506469392663178</c:v>
                </c:pt>
                <c:pt idx="229">
                  <c:v>-34.506469392663178</c:v>
                </c:pt>
                <c:pt idx="230">
                  <c:v>-34.506469392663178</c:v>
                </c:pt>
                <c:pt idx="231">
                  <c:v>-34.506469392663178</c:v>
                </c:pt>
                <c:pt idx="232">
                  <c:v>-34.506469392663178</c:v>
                </c:pt>
                <c:pt idx="233">
                  <c:v>-34.506469392663178</c:v>
                </c:pt>
                <c:pt idx="234">
                  <c:v>-34.506469392663178</c:v>
                </c:pt>
                <c:pt idx="235">
                  <c:v>-34.506469392663178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44751</c:v>
                </c:pt>
                <c:pt idx="1">
                  <c:v>44752</c:v>
                </c:pt>
                <c:pt idx="2">
                  <c:v>44753</c:v>
                </c:pt>
                <c:pt idx="3">
                  <c:v>44754</c:v>
                </c:pt>
                <c:pt idx="4">
                  <c:v>44755</c:v>
                </c:pt>
                <c:pt idx="5">
                  <c:v>44756</c:v>
                </c:pt>
                <c:pt idx="6">
                  <c:v>44757</c:v>
                </c:pt>
                <c:pt idx="7">
                  <c:v>44758</c:v>
                </c:pt>
                <c:pt idx="8">
                  <c:v>44759</c:v>
                </c:pt>
                <c:pt idx="9">
                  <c:v>44760</c:v>
                </c:pt>
                <c:pt idx="10">
                  <c:v>44761</c:v>
                </c:pt>
                <c:pt idx="11">
                  <c:v>44762</c:v>
                </c:pt>
                <c:pt idx="12">
                  <c:v>44763</c:v>
                </c:pt>
                <c:pt idx="13">
                  <c:v>44764</c:v>
                </c:pt>
                <c:pt idx="14">
                  <c:v>44765</c:v>
                </c:pt>
                <c:pt idx="15">
                  <c:v>44766</c:v>
                </c:pt>
                <c:pt idx="16">
                  <c:v>44767</c:v>
                </c:pt>
                <c:pt idx="17">
                  <c:v>44768</c:v>
                </c:pt>
                <c:pt idx="18">
                  <c:v>44769</c:v>
                </c:pt>
                <c:pt idx="19">
                  <c:v>44770</c:v>
                </c:pt>
                <c:pt idx="20">
                  <c:v>44771</c:v>
                </c:pt>
                <c:pt idx="21">
                  <c:v>44772</c:v>
                </c:pt>
                <c:pt idx="22">
                  <c:v>44773</c:v>
                </c:pt>
                <c:pt idx="23">
                  <c:v>44774</c:v>
                </c:pt>
                <c:pt idx="24">
                  <c:v>44775</c:v>
                </c:pt>
                <c:pt idx="25">
                  <c:v>44776</c:v>
                </c:pt>
                <c:pt idx="26">
                  <c:v>44777</c:v>
                </c:pt>
                <c:pt idx="27">
                  <c:v>44778</c:v>
                </c:pt>
                <c:pt idx="28">
                  <c:v>44779</c:v>
                </c:pt>
                <c:pt idx="29">
                  <c:v>44780</c:v>
                </c:pt>
                <c:pt idx="30">
                  <c:v>44781</c:v>
                </c:pt>
                <c:pt idx="31">
                  <c:v>44782</c:v>
                </c:pt>
                <c:pt idx="32">
                  <c:v>44783</c:v>
                </c:pt>
                <c:pt idx="33">
                  <c:v>44784</c:v>
                </c:pt>
                <c:pt idx="34">
                  <c:v>44785</c:v>
                </c:pt>
                <c:pt idx="35">
                  <c:v>44786</c:v>
                </c:pt>
                <c:pt idx="36">
                  <c:v>44787</c:v>
                </c:pt>
                <c:pt idx="37">
                  <c:v>44788</c:v>
                </c:pt>
                <c:pt idx="38">
                  <c:v>44789</c:v>
                </c:pt>
                <c:pt idx="39">
                  <c:v>44790</c:v>
                </c:pt>
                <c:pt idx="40">
                  <c:v>44791</c:v>
                </c:pt>
                <c:pt idx="41">
                  <c:v>44792</c:v>
                </c:pt>
                <c:pt idx="42">
                  <c:v>44793</c:v>
                </c:pt>
                <c:pt idx="43">
                  <c:v>44794</c:v>
                </c:pt>
                <c:pt idx="44">
                  <c:v>44795</c:v>
                </c:pt>
                <c:pt idx="45">
                  <c:v>44796</c:v>
                </c:pt>
                <c:pt idx="46">
                  <c:v>44797</c:v>
                </c:pt>
                <c:pt idx="47">
                  <c:v>44798</c:v>
                </c:pt>
                <c:pt idx="48">
                  <c:v>44799</c:v>
                </c:pt>
                <c:pt idx="49">
                  <c:v>44800</c:v>
                </c:pt>
                <c:pt idx="50">
                  <c:v>44801</c:v>
                </c:pt>
                <c:pt idx="51">
                  <c:v>44802</c:v>
                </c:pt>
                <c:pt idx="52">
                  <c:v>44803</c:v>
                </c:pt>
                <c:pt idx="53">
                  <c:v>44804</c:v>
                </c:pt>
                <c:pt idx="54">
                  <c:v>44805</c:v>
                </c:pt>
                <c:pt idx="55">
                  <c:v>44806</c:v>
                </c:pt>
                <c:pt idx="56">
                  <c:v>44807</c:v>
                </c:pt>
                <c:pt idx="57">
                  <c:v>44808</c:v>
                </c:pt>
                <c:pt idx="58">
                  <c:v>44809</c:v>
                </c:pt>
                <c:pt idx="59">
                  <c:v>44810</c:v>
                </c:pt>
                <c:pt idx="60">
                  <c:v>44811</c:v>
                </c:pt>
                <c:pt idx="61">
                  <c:v>44812</c:v>
                </c:pt>
                <c:pt idx="62">
                  <c:v>44813</c:v>
                </c:pt>
                <c:pt idx="63">
                  <c:v>44814</c:v>
                </c:pt>
                <c:pt idx="64">
                  <c:v>44815</c:v>
                </c:pt>
                <c:pt idx="65">
                  <c:v>44816</c:v>
                </c:pt>
                <c:pt idx="66">
                  <c:v>44817</c:v>
                </c:pt>
                <c:pt idx="67">
                  <c:v>44818</c:v>
                </c:pt>
                <c:pt idx="68">
                  <c:v>44819</c:v>
                </c:pt>
                <c:pt idx="69">
                  <c:v>44820</c:v>
                </c:pt>
                <c:pt idx="70">
                  <c:v>44821</c:v>
                </c:pt>
                <c:pt idx="71">
                  <c:v>44822</c:v>
                </c:pt>
                <c:pt idx="72">
                  <c:v>44823</c:v>
                </c:pt>
                <c:pt idx="73">
                  <c:v>44824</c:v>
                </c:pt>
                <c:pt idx="74">
                  <c:v>44825</c:v>
                </c:pt>
                <c:pt idx="75">
                  <c:v>44826</c:v>
                </c:pt>
                <c:pt idx="76">
                  <c:v>44827</c:v>
                </c:pt>
                <c:pt idx="77">
                  <c:v>44828</c:v>
                </c:pt>
                <c:pt idx="78">
                  <c:v>44829</c:v>
                </c:pt>
                <c:pt idx="79">
                  <c:v>44830</c:v>
                </c:pt>
                <c:pt idx="80">
                  <c:v>44831</c:v>
                </c:pt>
                <c:pt idx="81">
                  <c:v>44832</c:v>
                </c:pt>
                <c:pt idx="82">
                  <c:v>44833</c:v>
                </c:pt>
                <c:pt idx="83">
                  <c:v>44834</c:v>
                </c:pt>
                <c:pt idx="84">
                  <c:v>44835</c:v>
                </c:pt>
                <c:pt idx="85">
                  <c:v>44836</c:v>
                </c:pt>
                <c:pt idx="86">
                  <c:v>44837</c:v>
                </c:pt>
                <c:pt idx="87">
                  <c:v>44838</c:v>
                </c:pt>
                <c:pt idx="88">
                  <c:v>44839</c:v>
                </c:pt>
                <c:pt idx="89">
                  <c:v>44840</c:v>
                </c:pt>
                <c:pt idx="90">
                  <c:v>44841</c:v>
                </c:pt>
                <c:pt idx="91">
                  <c:v>44842</c:v>
                </c:pt>
                <c:pt idx="92">
                  <c:v>44843</c:v>
                </c:pt>
                <c:pt idx="93">
                  <c:v>44844</c:v>
                </c:pt>
                <c:pt idx="94">
                  <c:v>44845</c:v>
                </c:pt>
                <c:pt idx="95">
                  <c:v>44846</c:v>
                </c:pt>
                <c:pt idx="96">
                  <c:v>44847</c:v>
                </c:pt>
                <c:pt idx="97">
                  <c:v>44848</c:v>
                </c:pt>
                <c:pt idx="98">
                  <c:v>44849</c:v>
                </c:pt>
                <c:pt idx="99">
                  <c:v>44850</c:v>
                </c:pt>
                <c:pt idx="100">
                  <c:v>44851</c:v>
                </c:pt>
                <c:pt idx="101">
                  <c:v>44852</c:v>
                </c:pt>
                <c:pt idx="102">
                  <c:v>44853</c:v>
                </c:pt>
                <c:pt idx="103">
                  <c:v>44854</c:v>
                </c:pt>
                <c:pt idx="104">
                  <c:v>44855</c:v>
                </c:pt>
                <c:pt idx="105">
                  <c:v>44856</c:v>
                </c:pt>
                <c:pt idx="106">
                  <c:v>44857</c:v>
                </c:pt>
                <c:pt idx="107">
                  <c:v>44858</c:v>
                </c:pt>
                <c:pt idx="108">
                  <c:v>44859</c:v>
                </c:pt>
                <c:pt idx="109">
                  <c:v>44860</c:v>
                </c:pt>
                <c:pt idx="110">
                  <c:v>44861</c:v>
                </c:pt>
                <c:pt idx="111">
                  <c:v>44862</c:v>
                </c:pt>
                <c:pt idx="112">
                  <c:v>44863</c:v>
                </c:pt>
                <c:pt idx="113">
                  <c:v>44864</c:v>
                </c:pt>
                <c:pt idx="114">
                  <c:v>44865</c:v>
                </c:pt>
                <c:pt idx="115">
                  <c:v>44866</c:v>
                </c:pt>
                <c:pt idx="116">
                  <c:v>44867</c:v>
                </c:pt>
                <c:pt idx="117">
                  <c:v>44868</c:v>
                </c:pt>
                <c:pt idx="118">
                  <c:v>44869</c:v>
                </c:pt>
                <c:pt idx="119">
                  <c:v>44870</c:v>
                </c:pt>
                <c:pt idx="120">
                  <c:v>44871</c:v>
                </c:pt>
                <c:pt idx="121">
                  <c:v>44872</c:v>
                </c:pt>
                <c:pt idx="122">
                  <c:v>44873</c:v>
                </c:pt>
                <c:pt idx="123">
                  <c:v>44874</c:v>
                </c:pt>
                <c:pt idx="124">
                  <c:v>44875</c:v>
                </c:pt>
                <c:pt idx="125">
                  <c:v>44876</c:v>
                </c:pt>
                <c:pt idx="126">
                  <c:v>44877</c:v>
                </c:pt>
                <c:pt idx="127">
                  <c:v>44878</c:v>
                </c:pt>
                <c:pt idx="128">
                  <c:v>44879</c:v>
                </c:pt>
                <c:pt idx="129">
                  <c:v>44880</c:v>
                </c:pt>
                <c:pt idx="130">
                  <c:v>44881</c:v>
                </c:pt>
                <c:pt idx="131">
                  <c:v>44882</c:v>
                </c:pt>
                <c:pt idx="132">
                  <c:v>44883</c:v>
                </c:pt>
                <c:pt idx="133">
                  <c:v>44884</c:v>
                </c:pt>
                <c:pt idx="134">
                  <c:v>44885</c:v>
                </c:pt>
                <c:pt idx="135">
                  <c:v>44886</c:v>
                </c:pt>
                <c:pt idx="136">
                  <c:v>44887</c:v>
                </c:pt>
                <c:pt idx="137">
                  <c:v>44888</c:v>
                </c:pt>
                <c:pt idx="138">
                  <c:v>44889</c:v>
                </c:pt>
                <c:pt idx="139">
                  <c:v>44890</c:v>
                </c:pt>
                <c:pt idx="140">
                  <c:v>44891</c:v>
                </c:pt>
                <c:pt idx="141">
                  <c:v>44892</c:v>
                </c:pt>
                <c:pt idx="142">
                  <c:v>44893</c:v>
                </c:pt>
                <c:pt idx="143">
                  <c:v>44894</c:v>
                </c:pt>
                <c:pt idx="144">
                  <c:v>44895</c:v>
                </c:pt>
                <c:pt idx="145">
                  <c:v>44896</c:v>
                </c:pt>
                <c:pt idx="146">
                  <c:v>44897</c:v>
                </c:pt>
                <c:pt idx="147">
                  <c:v>44898</c:v>
                </c:pt>
                <c:pt idx="148">
                  <c:v>44899</c:v>
                </c:pt>
                <c:pt idx="149">
                  <c:v>44900</c:v>
                </c:pt>
                <c:pt idx="150">
                  <c:v>44901</c:v>
                </c:pt>
                <c:pt idx="151">
                  <c:v>44902</c:v>
                </c:pt>
                <c:pt idx="152">
                  <c:v>44903</c:v>
                </c:pt>
                <c:pt idx="153">
                  <c:v>44904</c:v>
                </c:pt>
                <c:pt idx="154">
                  <c:v>44905</c:v>
                </c:pt>
                <c:pt idx="155">
                  <c:v>44906</c:v>
                </c:pt>
                <c:pt idx="156">
                  <c:v>44907</c:v>
                </c:pt>
                <c:pt idx="157">
                  <c:v>44908</c:v>
                </c:pt>
                <c:pt idx="158">
                  <c:v>44909</c:v>
                </c:pt>
                <c:pt idx="159">
                  <c:v>44910</c:v>
                </c:pt>
                <c:pt idx="160">
                  <c:v>44911</c:v>
                </c:pt>
                <c:pt idx="161">
                  <c:v>44912</c:v>
                </c:pt>
                <c:pt idx="162">
                  <c:v>44913</c:v>
                </c:pt>
                <c:pt idx="163">
                  <c:v>44914</c:v>
                </c:pt>
                <c:pt idx="164">
                  <c:v>44915</c:v>
                </c:pt>
                <c:pt idx="165">
                  <c:v>44916</c:v>
                </c:pt>
                <c:pt idx="166">
                  <c:v>44917</c:v>
                </c:pt>
                <c:pt idx="167">
                  <c:v>44918</c:v>
                </c:pt>
                <c:pt idx="168">
                  <c:v>44919</c:v>
                </c:pt>
                <c:pt idx="169">
                  <c:v>44920</c:v>
                </c:pt>
                <c:pt idx="170">
                  <c:v>44921</c:v>
                </c:pt>
                <c:pt idx="171">
                  <c:v>44922</c:v>
                </c:pt>
                <c:pt idx="172">
                  <c:v>44923</c:v>
                </c:pt>
                <c:pt idx="173">
                  <c:v>44924</c:v>
                </c:pt>
                <c:pt idx="174">
                  <c:v>44925</c:v>
                </c:pt>
                <c:pt idx="175">
                  <c:v>44926</c:v>
                </c:pt>
                <c:pt idx="176">
                  <c:v>44927</c:v>
                </c:pt>
                <c:pt idx="177">
                  <c:v>44928</c:v>
                </c:pt>
                <c:pt idx="178">
                  <c:v>44929</c:v>
                </c:pt>
                <c:pt idx="179">
                  <c:v>44930</c:v>
                </c:pt>
                <c:pt idx="180">
                  <c:v>44931</c:v>
                </c:pt>
                <c:pt idx="181">
                  <c:v>44932</c:v>
                </c:pt>
                <c:pt idx="182">
                  <c:v>44933</c:v>
                </c:pt>
                <c:pt idx="183">
                  <c:v>44934</c:v>
                </c:pt>
                <c:pt idx="184">
                  <c:v>44935</c:v>
                </c:pt>
                <c:pt idx="185">
                  <c:v>44936</c:v>
                </c:pt>
                <c:pt idx="186">
                  <c:v>44937</c:v>
                </c:pt>
                <c:pt idx="187">
                  <c:v>44938</c:v>
                </c:pt>
                <c:pt idx="188">
                  <c:v>44939</c:v>
                </c:pt>
                <c:pt idx="189">
                  <c:v>44940</c:v>
                </c:pt>
                <c:pt idx="190">
                  <c:v>44941</c:v>
                </c:pt>
                <c:pt idx="191">
                  <c:v>44942</c:v>
                </c:pt>
                <c:pt idx="192">
                  <c:v>44943</c:v>
                </c:pt>
                <c:pt idx="193">
                  <c:v>44944</c:v>
                </c:pt>
                <c:pt idx="194">
                  <c:v>44945</c:v>
                </c:pt>
                <c:pt idx="195">
                  <c:v>44946</c:v>
                </c:pt>
                <c:pt idx="196">
                  <c:v>44947</c:v>
                </c:pt>
                <c:pt idx="197">
                  <c:v>44948</c:v>
                </c:pt>
                <c:pt idx="198">
                  <c:v>44949</c:v>
                </c:pt>
                <c:pt idx="199">
                  <c:v>44950</c:v>
                </c:pt>
                <c:pt idx="200">
                  <c:v>44951</c:v>
                </c:pt>
                <c:pt idx="201">
                  <c:v>44952</c:v>
                </c:pt>
                <c:pt idx="202">
                  <c:v>44953</c:v>
                </c:pt>
                <c:pt idx="203">
                  <c:v>44954</c:v>
                </c:pt>
                <c:pt idx="204">
                  <c:v>44955</c:v>
                </c:pt>
                <c:pt idx="205">
                  <c:v>44956</c:v>
                </c:pt>
                <c:pt idx="206">
                  <c:v>44957</c:v>
                </c:pt>
                <c:pt idx="207">
                  <c:v>44958</c:v>
                </c:pt>
                <c:pt idx="208">
                  <c:v>44959</c:v>
                </c:pt>
                <c:pt idx="209">
                  <c:v>44960</c:v>
                </c:pt>
                <c:pt idx="210">
                  <c:v>44961</c:v>
                </c:pt>
                <c:pt idx="211">
                  <c:v>44962</c:v>
                </c:pt>
                <c:pt idx="212">
                  <c:v>44963</c:v>
                </c:pt>
                <c:pt idx="213">
                  <c:v>44964</c:v>
                </c:pt>
                <c:pt idx="214">
                  <c:v>44965</c:v>
                </c:pt>
                <c:pt idx="215">
                  <c:v>44966</c:v>
                </c:pt>
                <c:pt idx="216">
                  <c:v>44967</c:v>
                </c:pt>
                <c:pt idx="217">
                  <c:v>44968</c:v>
                </c:pt>
                <c:pt idx="218">
                  <c:v>44969</c:v>
                </c:pt>
                <c:pt idx="219">
                  <c:v>44970</c:v>
                </c:pt>
                <c:pt idx="220">
                  <c:v>44971</c:v>
                </c:pt>
                <c:pt idx="221">
                  <c:v>44972</c:v>
                </c:pt>
                <c:pt idx="222">
                  <c:v>44973</c:v>
                </c:pt>
                <c:pt idx="223">
                  <c:v>44974</c:v>
                </c:pt>
                <c:pt idx="224">
                  <c:v>44975</c:v>
                </c:pt>
                <c:pt idx="225">
                  <c:v>44976</c:v>
                </c:pt>
                <c:pt idx="226">
                  <c:v>44977</c:v>
                </c:pt>
                <c:pt idx="227">
                  <c:v>44978</c:v>
                </c:pt>
                <c:pt idx="228">
                  <c:v>44979</c:v>
                </c:pt>
                <c:pt idx="229">
                  <c:v>44980</c:v>
                </c:pt>
                <c:pt idx="230">
                  <c:v>44981</c:v>
                </c:pt>
                <c:pt idx="231">
                  <c:v>44982</c:v>
                </c:pt>
                <c:pt idx="232">
                  <c:v>44983</c:v>
                </c:pt>
                <c:pt idx="233">
                  <c:v>44984</c:v>
                </c:pt>
                <c:pt idx="234">
                  <c:v>44985</c:v>
                </c:pt>
                <c:pt idx="235">
                  <c:v>44986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44751</c:v>
                </c:pt>
                <c:pt idx="1">
                  <c:v>44752</c:v>
                </c:pt>
                <c:pt idx="2">
                  <c:v>44753</c:v>
                </c:pt>
                <c:pt idx="3">
                  <c:v>44754</c:v>
                </c:pt>
                <c:pt idx="4">
                  <c:v>44755</c:v>
                </c:pt>
                <c:pt idx="5">
                  <c:v>44756</c:v>
                </c:pt>
                <c:pt idx="6">
                  <c:v>44757</c:v>
                </c:pt>
                <c:pt idx="7">
                  <c:v>44758</c:v>
                </c:pt>
                <c:pt idx="8">
                  <c:v>44759</c:v>
                </c:pt>
                <c:pt idx="9">
                  <c:v>44760</c:v>
                </c:pt>
                <c:pt idx="10">
                  <c:v>44761</c:v>
                </c:pt>
                <c:pt idx="11">
                  <c:v>44762</c:v>
                </c:pt>
                <c:pt idx="12">
                  <c:v>44763</c:v>
                </c:pt>
                <c:pt idx="13">
                  <c:v>44764</c:v>
                </c:pt>
                <c:pt idx="14">
                  <c:v>44765</c:v>
                </c:pt>
                <c:pt idx="15">
                  <c:v>44766</c:v>
                </c:pt>
                <c:pt idx="16">
                  <c:v>44767</c:v>
                </c:pt>
                <c:pt idx="17">
                  <c:v>44768</c:v>
                </c:pt>
                <c:pt idx="18">
                  <c:v>44769</c:v>
                </c:pt>
                <c:pt idx="19">
                  <c:v>44770</c:v>
                </c:pt>
                <c:pt idx="20">
                  <c:v>44771</c:v>
                </c:pt>
                <c:pt idx="21">
                  <c:v>44772</c:v>
                </c:pt>
                <c:pt idx="22">
                  <c:v>44773</c:v>
                </c:pt>
                <c:pt idx="23">
                  <c:v>44774</c:v>
                </c:pt>
                <c:pt idx="24">
                  <c:v>44775</c:v>
                </c:pt>
                <c:pt idx="25">
                  <c:v>44776</c:v>
                </c:pt>
                <c:pt idx="26">
                  <c:v>44777</c:v>
                </c:pt>
                <c:pt idx="27">
                  <c:v>44778</c:v>
                </c:pt>
                <c:pt idx="28">
                  <c:v>44779</c:v>
                </c:pt>
                <c:pt idx="29">
                  <c:v>44780</c:v>
                </c:pt>
                <c:pt idx="30">
                  <c:v>44781</c:v>
                </c:pt>
                <c:pt idx="31">
                  <c:v>44782</c:v>
                </c:pt>
                <c:pt idx="32">
                  <c:v>44783</c:v>
                </c:pt>
                <c:pt idx="33">
                  <c:v>44784</c:v>
                </c:pt>
                <c:pt idx="34">
                  <c:v>44785</c:v>
                </c:pt>
                <c:pt idx="35">
                  <c:v>44786</c:v>
                </c:pt>
                <c:pt idx="36">
                  <c:v>44787</c:v>
                </c:pt>
                <c:pt idx="37">
                  <c:v>44788</c:v>
                </c:pt>
                <c:pt idx="38">
                  <c:v>44789</c:v>
                </c:pt>
                <c:pt idx="39">
                  <c:v>44790</c:v>
                </c:pt>
                <c:pt idx="40">
                  <c:v>44791</c:v>
                </c:pt>
                <c:pt idx="41">
                  <c:v>44792</c:v>
                </c:pt>
                <c:pt idx="42">
                  <c:v>44793</c:v>
                </c:pt>
                <c:pt idx="43">
                  <c:v>44794</c:v>
                </c:pt>
                <c:pt idx="44">
                  <c:v>44795</c:v>
                </c:pt>
                <c:pt idx="45">
                  <c:v>44796</c:v>
                </c:pt>
                <c:pt idx="46">
                  <c:v>44797</c:v>
                </c:pt>
                <c:pt idx="47">
                  <c:v>44798</c:v>
                </c:pt>
                <c:pt idx="48">
                  <c:v>44799</c:v>
                </c:pt>
                <c:pt idx="49">
                  <c:v>44800</c:v>
                </c:pt>
                <c:pt idx="50">
                  <c:v>44801</c:v>
                </c:pt>
                <c:pt idx="51">
                  <c:v>44802</c:v>
                </c:pt>
                <c:pt idx="52">
                  <c:v>44803</c:v>
                </c:pt>
                <c:pt idx="53">
                  <c:v>44804</c:v>
                </c:pt>
                <c:pt idx="54">
                  <c:v>44805</c:v>
                </c:pt>
                <c:pt idx="55">
                  <c:v>44806</c:v>
                </c:pt>
                <c:pt idx="56">
                  <c:v>44807</c:v>
                </c:pt>
                <c:pt idx="57">
                  <c:v>44808</c:v>
                </c:pt>
                <c:pt idx="58">
                  <c:v>44809</c:v>
                </c:pt>
                <c:pt idx="59">
                  <c:v>44810</c:v>
                </c:pt>
                <c:pt idx="60">
                  <c:v>44811</c:v>
                </c:pt>
                <c:pt idx="61">
                  <c:v>44812</c:v>
                </c:pt>
                <c:pt idx="62">
                  <c:v>44813</c:v>
                </c:pt>
                <c:pt idx="63">
                  <c:v>44814</c:v>
                </c:pt>
                <c:pt idx="64">
                  <c:v>44815</c:v>
                </c:pt>
                <c:pt idx="65">
                  <c:v>44816</c:v>
                </c:pt>
                <c:pt idx="66">
                  <c:v>44817</c:v>
                </c:pt>
                <c:pt idx="67">
                  <c:v>44818</c:v>
                </c:pt>
                <c:pt idx="68">
                  <c:v>44819</c:v>
                </c:pt>
                <c:pt idx="69">
                  <c:v>44820</c:v>
                </c:pt>
                <c:pt idx="70">
                  <c:v>44821</c:v>
                </c:pt>
                <c:pt idx="71">
                  <c:v>44822</c:v>
                </c:pt>
                <c:pt idx="72">
                  <c:v>44823</c:v>
                </c:pt>
                <c:pt idx="73">
                  <c:v>44824</c:v>
                </c:pt>
                <c:pt idx="74">
                  <c:v>44825</c:v>
                </c:pt>
                <c:pt idx="75">
                  <c:v>44826</c:v>
                </c:pt>
                <c:pt idx="76">
                  <c:v>44827</c:v>
                </c:pt>
                <c:pt idx="77">
                  <c:v>44828</c:v>
                </c:pt>
                <c:pt idx="78">
                  <c:v>44829</c:v>
                </c:pt>
                <c:pt idx="79">
                  <c:v>44830</c:v>
                </c:pt>
                <c:pt idx="80">
                  <c:v>44831</c:v>
                </c:pt>
                <c:pt idx="81">
                  <c:v>44832</c:v>
                </c:pt>
                <c:pt idx="82">
                  <c:v>44833</c:v>
                </c:pt>
                <c:pt idx="83">
                  <c:v>44834</c:v>
                </c:pt>
                <c:pt idx="84">
                  <c:v>44835</c:v>
                </c:pt>
                <c:pt idx="85">
                  <c:v>44836</c:v>
                </c:pt>
                <c:pt idx="86">
                  <c:v>44837</c:v>
                </c:pt>
                <c:pt idx="87">
                  <c:v>44838</c:v>
                </c:pt>
                <c:pt idx="88">
                  <c:v>44839</c:v>
                </c:pt>
                <c:pt idx="89">
                  <c:v>44840</c:v>
                </c:pt>
                <c:pt idx="90">
                  <c:v>44841</c:v>
                </c:pt>
                <c:pt idx="91">
                  <c:v>44842</c:v>
                </c:pt>
                <c:pt idx="92">
                  <c:v>44843</c:v>
                </c:pt>
                <c:pt idx="93">
                  <c:v>44844</c:v>
                </c:pt>
                <c:pt idx="94">
                  <c:v>44845</c:v>
                </c:pt>
                <c:pt idx="95">
                  <c:v>44846</c:v>
                </c:pt>
                <c:pt idx="96">
                  <c:v>44847</c:v>
                </c:pt>
                <c:pt idx="97">
                  <c:v>44848</c:v>
                </c:pt>
                <c:pt idx="98">
                  <c:v>44849</c:v>
                </c:pt>
                <c:pt idx="99">
                  <c:v>44850</c:v>
                </c:pt>
                <c:pt idx="100">
                  <c:v>44851</c:v>
                </c:pt>
                <c:pt idx="101">
                  <c:v>44852</c:v>
                </c:pt>
                <c:pt idx="102">
                  <c:v>44853</c:v>
                </c:pt>
                <c:pt idx="103">
                  <c:v>44854</c:v>
                </c:pt>
                <c:pt idx="104">
                  <c:v>44855</c:v>
                </c:pt>
                <c:pt idx="105">
                  <c:v>44856</c:v>
                </c:pt>
                <c:pt idx="106">
                  <c:v>44857</c:v>
                </c:pt>
                <c:pt idx="107">
                  <c:v>44858</c:v>
                </c:pt>
                <c:pt idx="108">
                  <c:v>44859</c:v>
                </c:pt>
                <c:pt idx="109">
                  <c:v>44860</c:v>
                </c:pt>
                <c:pt idx="110">
                  <c:v>44861</c:v>
                </c:pt>
                <c:pt idx="111">
                  <c:v>44862</c:v>
                </c:pt>
                <c:pt idx="112">
                  <c:v>44863</c:v>
                </c:pt>
                <c:pt idx="113">
                  <c:v>44864</c:v>
                </c:pt>
                <c:pt idx="114">
                  <c:v>44865</c:v>
                </c:pt>
                <c:pt idx="115">
                  <c:v>44866</c:v>
                </c:pt>
                <c:pt idx="116">
                  <c:v>44867</c:v>
                </c:pt>
                <c:pt idx="117">
                  <c:v>44868</c:v>
                </c:pt>
                <c:pt idx="118">
                  <c:v>44869</c:v>
                </c:pt>
                <c:pt idx="119">
                  <c:v>44870</c:v>
                </c:pt>
                <c:pt idx="120">
                  <c:v>44871</c:v>
                </c:pt>
                <c:pt idx="121">
                  <c:v>44872</c:v>
                </c:pt>
                <c:pt idx="122">
                  <c:v>44873</c:v>
                </c:pt>
                <c:pt idx="123">
                  <c:v>44874</c:v>
                </c:pt>
                <c:pt idx="124">
                  <c:v>44875</c:v>
                </c:pt>
                <c:pt idx="125">
                  <c:v>44876</c:v>
                </c:pt>
                <c:pt idx="126">
                  <c:v>44877</c:v>
                </c:pt>
                <c:pt idx="127">
                  <c:v>44878</c:v>
                </c:pt>
                <c:pt idx="128">
                  <c:v>44879</c:v>
                </c:pt>
                <c:pt idx="129">
                  <c:v>44880</c:v>
                </c:pt>
                <c:pt idx="130">
                  <c:v>44881</c:v>
                </c:pt>
                <c:pt idx="131">
                  <c:v>44882</c:v>
                </c:pt>
                <c:pt idx="132">
                  <c:v>44883</c:v>
                </c:pt>
                <c:pt idx="133">
                  <c:v>44884</c:v>
                </c:pt>
                <c:pt idx="134">
                  <c:v>44885</c:v>
                </c:pt>
                <c:pt idx="135">
                  <c:v>44886</c:v>
                </c:pt>
                <c:pt idx="136">
                  <c:v>44887</c:v>
                </c:pt>
                <c:pt idx="137">
                  <c:v>44888</c:v>
                </c:pt>
                <c:pt idx="138">
                  <c:v>44889</c:v>
                </c:pt>
                <c:pt idx="139">
                  <c:v>44890</c:v>
                </c:pt>
                <c:pt idx="140">
                  <c:v>44891</c:v>
                </c:pt>
                <c:pt idx="141">
                  <c:v>44892</c:v>
                </c:pt>
                <c:pt idx="142">
                  <c:v>44893</c:v>
                </c:pt>
                <c:pt idx="143">
                  <c:v>44894</c:v>
                </c:pt>
                <c:pt idx="144">
                  <c:v>44895</c:v>
                </c:pt>
                <c:pt idx="145">
                  <c:v>44896</c:v>
                </c:pt>
                <c:pt idx="146">
                  <c:v>44897</c:v>
                </c:pt>
                <c:pt idx="147">
                  <c:v>44898</c:v>
                </c:pt>
                <c:pt idx="148">
                  <c:v>44899</c:v>
                </c:pt>
                <c:pt idx="149">
                  <c:v>44900</c:v>
                </c:pt>
                <c:pt idx="150">
                  <c:v>44901</c:v>
                </c:pt>
                <c:pt idx="151">
                  <c:v>44902</c:v>
                </c:pt>
                <c:pt idx="152">
                  <c:v>44903</c:v>
                </c:pt>
                <c:pt idx="153">
                  <c:v>44904</c:v>
                </c:pt>
                <c:pt idx="154">
                  <c:v>44905</c:v>
                </c:pt>
                <c:pt idx="155">
                  <c:v>44906</c:v>
                </c:pt>
                <c:pt idx="156">
                  <c:v>44907</c:v>
                </c:pt>
                <c:pt idx="157">
                  <c:v>44908</c:v>
                </c:pt>
                <c:pt idx="158">
                  <c:v>44909</c:v>
                </c:pt>
                <c:pt idx="159">
                  <c:v>44910</c:v>
                </c:pt>
                <c:pt idx="160">
                  <c:v>44911</c:v>
                </c:pt>
                <c:pt idx="161">
                  <c:v>44912</c:v>
                </c:pt>
                <c:pt idx="162">
                  <c:v>44913</c:v>
                </c:pt>
                <c:pt idx="163">
                  <c:v>44914</c:v>
                </c:pt>
                <c:pt idx="164">
                  <c:v>44915</c:v>
                </c:pt>
                <c:pt idx="165">
                  <c:v>44916</c:v>
                </c:pt>
                <c:pt idx="166">
                  <c:v>44917</c:v>
                </c:pt>
                <c:pt idx="167">
                  <c:v>44918</c:v>
                </c:pt>
                <c:pt idx="168">
                  <c:v>44919</c:v>
                </c:pt>
                <c:pt idx="169">
                  <c:v>44920</c:v>
                </c:pt>
                <c:pt idx="170">
                  <c:v>44921</c:v>
                </c:pt>
                <c:pt idx="171">
                  <c:v>44922</c:v>
                </c:pt>
                <c:pt idx="172">
                  <c:v>44923</c:v>
                </c:pt>
                <c:pt idx="173">
                  <c:v>44924</c:v>
                </c:pt>
                <c:pt idx="174">
                  <c:v>44925</c:v>
                </c:pt>
                <c:pt idx="175">
                  <c:v>44926</c:v>
                </c:pt>
                <c:pt idx="176">
                  <c:v>44927</c:v>
                </c:pt>
                <c:pt idx="177">
                  <c:v>44928</c:v>
                </c:pt>
                <c:pt idx="178">
                  <c:v>44929</c:v>
                </c:pt>
                <c:pt idx="179">
                  <c:v>44930</c:v>
                </c:pt>
                <c:pt idx="180">
                  <c:v>44931</c:v>
                </c:pt>
                <c:pt idx="181">
                  <c:v>44932</c:v>
                </c:pt>
                <c:pt idx="182">
                  <c:v>44933</c:v>
                </c:pt>
                <c:pt idx="183">
                  <c:v>44934</c:v>
                </c:pt>
                <c:pt idx="184">
                  <c:v>44935</c:v>
                </c:pt>
                <c:pt idx="185">
                  <c:v>44936</c:v>
                </c:pt>
                <c:pt idx="186">
                  <c:v>44937</c:v>
                </c:pt>
                <c:pt idx="187">
                  <c:v>44938</c:v>
                </c:pt>
                <c:pt idx="188">
                  <c:v>44939</c:v>
                </c:pt>
                <c:pt idx="189">
                  <c:v>44940</c:v>
                </c:pt>
                <c:pt idx="190">
                  <c:v>44941</c:v>
                </c:pt>
                <c:pt idx="191">
                  <c:v>44942</c:v>
                </c:pt>
                <c:pt idx="192">
                  <c:v>44943</c:v>
                </c:pt>
                <c:pt idx="193">
                  <c:v>44944</c:v>
                </c:pt>
                <c:pt idx="194">
                  <c:v>44945</c:v>
                </c:pt>
                <c:pt idx="195">
                  <c:v>44946</c:v>
                </c:pt>
                <c:pt idx="196">
                  <c:v>44947</c:v>
                </c:pt>
                <c:pt idx="197">
                  <c:v>44948</c:v>
                </c:pt>
                <c:pt idx="198">
                  <c:v>44949</c:v>
                </c:pt>
                <c:pt idx="199">
                  <c:v>44950</c:v>
                </c:pt>
                <c:pt idx="200">
                  <c:v>44951</c:v>
                </c:pt>
                <c:pt idx="201">
                  <c:v>44952</c:v>
                </c:pt>
                <c:pt idx="202">
                  <c:v>44953</c:v>
                </c:pt>
                <c:pt idx="203">
                  <c:v>44954</c:v>
                </c:pt>
                <c:pt idx="204">
                  <c:v>44955</c:v>
                </c:pt>
                <c:pt idx="205">
                  <c:v>44956</c:v>
                </c:pt>
                <c:pt idx="206">
                  <c:v>44957</c:v>
                </c:pt>
                <c:pt idx="207">
                  <c:v>44958</c:v>
                </c:pt>
                <c:pt idx="208">
                  <c:v>44959</c:v>
                </c:pt>
                <c:pt idx="209">
                  <c:v>44960</c:v>
                </c:pt>
                <c:pt idx="210">
                  <c:v>44961</c:v>
                </c:pt>
                <c:pt idx="211">
                  <c:v>44962</c:v>
                </c:pt>
                <c:pt idx="212">
                  <c:v>44963</c:v>
                </c:pt>
                <c:pt idx="213">
                  <c:v>44964</c:v>
                </c:pt>
                <c:pt idx="214">
                  <c:v>44965</c:v>
                </c:pt>
                <c:pt idx="215">
                  <c:v>44966</c:v>
                </c:pt>
                <c:pt idx="216">
                  <c:v>44967</c:v>
                </c:pt>
                <c:pt idx="217">
                  <c:v>44968</c:v>
                </c:pt>
                <c:pt idx="218">
                  <c:v>44969</c:v>
                </c:pt>
                <c:pt idx="219">
                  <c:v>44970</c:v>
                </c:pt>
                <c:pt idx="220">
                  <c:v>44971</c:v>
                </c:pt>
                <c:pt idx="221">
                  <c:v>44972</c:v>
                </c:pt>
                <c:pt idx="222">
                  <c:v>44973</c:v>
                </c:pt>
                <c:pt idx="223">
                  <c:v>44974</c:v>
                </c:pt>
                <c:pt idx="224">
                  <c:v>44975</c:v>
                </c:pt>
                <c:pt idx="225">
                  <c:v>44976</c:v>
                </c:pt>
                <c:pt idx="226">
                  <c:v>44977</c:v>
                </c:pt>
                <c:pt idx="227">
                  <c:v>44978</c:v>
                </c:pt>
                <c:pt idx="228">
                  <c:v>44979</c:v>
                </c:pt>
                <c:pt idx="229">
                  <c:v>44980</c:v>
                </c:pt>
                <c:pt idx="230">
                  <c:v>44981</c:v>
                </c:pt>
                <c:pt idx="231">
                  <c:v>44982</c:v>
                </c:pt>
                <c:pt idx="232">
                  <c:v>44983</c:v>
                </c:pt>
                <c:pt idx="233">
                  <c:v>44984</c:v>
                </c:pt>
                <c:pt idx="234">
                  <c:v>44985</c:v>
                </c:pt>
                <c:pt idx="235">
                  <c:v>44986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44987</c:v>
                </c:pt>
                <c:pt idx="1">
                  <c:v>44988</c:v>
                </c:pt>
                <c:pt idx="2">
                  <c:v>44989</c:v>
                </c:pt>
                <c:pt idx="3">
                  <c:v>44990</c:v>
                </c:pt>
                <c:pt idx="4">
                  <c:v>44991</c:v>
                </c:pt>
                <c:pt idx="5">
                  <c:v>44992</c:v>
                </c:pt>
                <c:pt idx="6">
                  <c:v>44993</c:v>
                </c:pt>
                <c:pt idx="7">
                  <c:v>44994</c:v>
                </c:pt>
                <c:pt idx="8">
                  <c:v>44995</c:v>
                </c:pt>
                <c:pt idx="9">
                  <c:v>44996</c:v>
                </c:pt>
                <c:pt idx="10">
                  <c:v>44997</c:v>
                </c:pt>
                <c:pt idx="11">
                  <c:v>44998</c:v>
                </c:pt>
                <c:pt idx="12">
                  <c:v>44999</c:v>
                </c:pt>
                <c:pt idx="13">
                  <c:v>45000</c:v>
                </c:pt>
                <c:pt idx="14">
                  <c:v>45001</c:v>
                </c:pt>
                <c:pt idx="15">
                  <c:v>45002</c:v>
                </c:pt>
                <c:pt idx="16">
                  <c:v>45003</c:v>
                </c:pt>
                <c:pt idx="17">
                  <c:v>45004</c:v>
                </c:pt>
                <c:pt idx="18">
                  <c:v>45005</c:v>
                </c:pt>
                <c:pt idx="19">
                  <c:v>45006</c:v>
                </c:pt>
                <c:pt idx="20">
                  <c:v>45007</c:v>
                </c:pt>
                <c:pt idx="21">
                  <c:v>45008</c:v>
                </c:pt>
                <c:pt idx="22">
                  <c:v>45009</c:v>
                </c:pt>
                <c:pt idx="23">
                  <c:v>45010</c:v>
                </c:pt>
                <c:pt idx="24">
                  <c:v>45011</c:v>
                </c:pt>
                <c:pt idx="25">
                  <c:v>45012</c:v>
                </c:pt>
                <c:pt idx="26">
                  <c:v>45013</c:v>
                </c:pt>
                <c:pt idx="27">
                  <c:v>45014</c:v>
                </c:pt>
                <c:pt idx="28">
                  <c:v>45015</c:v>
                </c:pt>
                <c:pt idx="29">
                  <c:v>45016</c:v>
                </c:pt>
                <c:pt idx="30">
                  <c:v>45017</c:v>
                </c:pt>
                <c:pt idx="31">
                  <c:v>45018</c:v>
                </c:pt>
                <c:pt idx="32">
                  <c:v>45019</c:v>
                </c:pt>
                <c:pt idx="33">
                  <c:v>45020</c:v>
                </c:pt>
                <c:pt idx="34">
                  <c:v>45021</c:v>
                </c:pt>
                <c:pt idx="35">
                  <c:v>45022</c:v>
                </c:pt>
                <c:pt idx="36">
                  <c:v>45023</c:v>
                </c:pt>
                <c:pt idx="37">
                  <c:v>45024</c:v>
                </c:pt>
                <c:pt idx="38">
                  <c:v>45025</c:v>
                </c:pt>
                <c:pt idx="39">
                  <c:v>45026</c:v>
                </c:pt>
                <c:pt idx="40">
                  <c:v>45027</c:v>
                </c:pt>
                <c:pt idx="41">
                  <c:v>45028</c:v>
                </c:pt>
                <c:pt idx="42">
                  <c:v>45029</c:v>
                </c:pt>
                <c:pt idx="43">
                  <c:v>45030</c:v>
                </c:pt>
                <c:pt idx="44">
                  <c:v>45031</c:v>
                </c:pt>
                <c:pt idx="45">
                  <c:v>45032</c:v>
                </c:pt>
                <c:pt idx="46">
                  <c:v>45033</c:v>
                </c:pt>
                <c:pt idx="47">
                  <c:v>45034</c:v>
                </c:pt>
                <c:pt idx="48">
                  <c:v>45035</c:v>
                </c:pt>
                <c:pt idx="49">
                  <c:v>45036</c:v>
                </c:pt>
                <c:pt idx="50">
                  <c:v>45037</c:v>
                </c:pt>
                <c:pt idx="51">
                  <c:v>45038</c:v>
                </c:pt>
                <c:pt idx="52">
                  <c:v>45039</c:v>
                </c:pt>
                <c:pt idx="53">
                  <c:v>45040</c:v>
                </c:pt>
                <c:pt idx="54">
                  <c:v>45041</c:v>
                </c:pt>
                <c:pt idx="55">
                  <c:v>45042</c:v>
                </c:pt>
                <c:pt idx="56">
                  <c:v>45043</c:v>
                </c:pt>
                <c:pt idx="57">
                  <c:v>45044</c:v>
                </c:pt>
                <c:pt idx="58">
                  <c:v>45045</c:v>
                </c:pt>
                <c:pt idx="59">
                  <c:v>45046</c:v>
                </c:pt>
                <c:pt idx="60">
                  <c:v>45047</c:v>
                </c:pt>
                <c:pt idx="61">
                  <c:v>45048</c:v>
                </c:pt>
                <c:pt idx="62">
                  <c:v>45049</c:v>
                </c:pt>
                <c:pt idx="63">
                  <c:v>45050</c:v>
                </c:pt>
                <c:pt idx="64">
                  <c:v>45051</c:v>
                </c:pt>
                <c:pt idx="65">
                  <c:v>45052</c:v>
                </c:pt>
                <c:pt idx="66">
                  <c:v>45053</c:v>
                </c:pt>
                <c:pt idx="67">
                  <c:v>45054</c:v>
                </c:pt>
                <c:pt idx="68">
                  <c:v>45055</c:v>
                </c:pt>
                <c:pt idx="69">
                  <c:v>45056</c:v>
                </c:pt>
                <c:pt idx="70">
                  <c:v>45057</c:v>
                </c:pt>
                <c:pt idx="71">
                  <c:v>45058</c:v>
                </c:pt>
                <c:pt idx="72">
                  <c:v>45059</c:v>
                </c:pt>
                <c:pt idx="73">
                  <c:v>45060</c:v>
                </c:pt>
                <c:pt idx="74">
                  <c:v>45061</c:v>
                </c:pt>
                <c:pt idx="75">
                  <c:v>45062</c:v>
                </c:pt>
                <c:pt idx="76">
                  <c:v>45063</c:v>
                </c:pt>
                <c:pt idx="77">
                  <c:v>45064</c:v>
                </c:pt>
                <c:pt idx="78">
                  <c:v>45065</c:v>
                </c:pt>
                <c:pt idx="79">
                  <c:v>45066</c:v>
                </c:pt>
                <c:pt idx="80">
                  <c:v>45067</c:v>
                </c:pt>
                <c:pt idx="81">
                  <c:v>45068</c:v>
                </c:pt>
                <c:pt idx="82">
                  <c:v>45069</c:v>
                </c:pt>
                <c:pt idx="83">
                  <c:v>45070</c:v>
                </c:pt>
                <c:pt idx="84">
                  <c:v>45071</c:v>
                </c:pt>
                <c:pt idx="85">
                  <c:v>45072</c:v>
                </c:pt>
                <c:pt idx="86">
                  <c:v>45073</c:v>
                </c:pt>
                <c:pt idx="87">
                  <c:v>45074</c:v>
                </c:pt>
                <c:pt idx="88">
                  <c:v>45075</c:v>
                </c:pt>
                <c:pt idx="89">
                  <c:v>45076</c:v>
                </c:pt>
                <c:pt idx="90">
                  <c:v>45077</c:v>
                </c:pt>
                <c:pt idx="91">
                  <c:v>45078</c:v>
                </c:pt>
                <c:pt idx="92">
                  <c:v>45079</c:v>
                </c:pt>
                <c:pt idx="93">
                  <c:v>45080</c:v>
                </c:pt>
                <c:pt idx="94">
                  <c:v>45081</c:v>
                </c:pt>
                <c:pt idx="95">
                  <c:v>45082</c:v>
                </c:pt>
                <c:pt idx="96">
                  <c:v>45083</c:v>
                </c:pt>
                <c:pt idx="97">
                  <c:v>45084</c:v>
                </c:pt>
                <c:pt idx="98">
                  <c:v>45085</c:v>
                </c:pt>
                <c:pt idx="99">
                  <c:v>45086</c:v>
                </c:pt>
                <c:pt idx="100">
                  <c:v>45087</c:v>
                </c:pt>
                <c:pt idx="101">
                  <c:v>45088</c:v>
                </c:pt>
                <c:pt idx="102">
                  <c:v>45089</c:v>
                </c:pt>
                <c:pt idx="103">
                  <c:v>45090</c:v>
                </c:pt>
                <c:pt idx="104">
                  <c:v>45091</c:v>
                </c:pt>
                <c:pt idx="105">
                  <c:v>45092</c:v>
                </c:pt>
                <c:pt idx="106">
                  <c:v>45093</c:v>
                </c:pt>
                <c:pt idx="107">
                  <c:v>45094</c:v>
                </c:pt>
                <c:pt idx="108">
                  <c:v>45095</c:v>
                </c:pt>
                <c:pt idx="109">
                  <c:v>45096</c:v>
                </c:pt>
                <c:pt idx="110">
                  <c:v>45097</c:v>
                </c:pt>
                <c:pt idx="111">
                  <c:v>45098</c:v>
                </c:pt>
                <c:pt idx="112">
                  <c:v>45099</c:v>
                </c:pt>
                <c:pt idx="113">
                  <c:v>45100</c:v>
                </c:pt>
                <c:pt idx="114">
                  <c:v>45101</c:v>
                </c:pt>
                <c:pt idx="115">
                  <c:v>45102</c:v>
                </c:pt>
                <c:pt idx="116">
                  <c:v>45103</c:v>
                </c:pt>
                <c:pt idx="117">
                  <c:v>45104</c:v>
                </c:pt>
                <c:pt idx="118">
                  <c:v>45105</c:v>
                </c:pt>
                <c:pt idx="119">
                  <c:v>45106</c:v>
                </c:pt>
                <c:pt idx="120">
                  <c:v>45107</c:v>
                </c:pt>
                <c:pt idx="121">
                  <c:v>45108</c:v>
                </c:pt>
                <c:pt idx="122">
                  <c:v>45109</c:v>
                </c:pt>
                <c:pt idx="123">
                  <c:v>45110</c:v>
                </c:pt>
                <c:pt idx="124">
                  <c:v>45111</c:v>
                </c:pt>
                <c:pt idx="125">
                  <c:v>45112</c:v>
                </c:pt>
                <c:pt idx="126">
                  <c:v>45113</c:v>
                </c:pt>
                <c:pt idx="127">
                  <c:v>45114</c:v>
                </c:pt>
                <c:pt idx="128">
                  <c:v>45115</c:v>
                </c:pt>
                <c:pt idx="129">
                  <c:v>45116</c:v>
                </c:pt>
                <c:pt idx="130">
                  <c:v>45117</c:v>
                </c:pt>
                <c:pt idx="131">
                  <c:v>45118</c:v>
                </c:pt>
                <c:pt idx="132">
                  <c:v>45119</c:v>
                </c:pt>
                <c:pt idx="133">
                  <c:v>45120</c:v>
                </c:pt>
                <c:pt idx="134">
                  <c:v>45121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2.999183249640863</c:v>
                </c:pt>
                <c:pt idx="15">
                  <c:v>3.2617168270220405</c:v>
                </c:pt>
                <c:pt idx="16">
                  <c:v>3.5451594567054734</c:v>
                </c:pt>
                <c:pt idx="17">
                  <c:v>3.8415818882941353</c:v>
                </c:pt>
                <c:pt idx="18">
                  <c:v>4.163908494442917</c:v>
                </c:pt>
                <c:pt idx="19">
                  <c:v>4.5213093824681589</c:v>
                </c:pt>
                <c:pt idx="20">
                  <c:v>4.905466675117645</c:v>
                </c:pt>
                <c:pt idx="21">
                  <c:v>5.3099596128007445</c:v>
                </c:pt>
                <c:pt idx="22">
                  <c:v>5.7443174025967574</c:v>
                </c:pt>
                <c:pt idx="23">
                  <c:v>6.2144779930809593</c:v>
                </c:pt>
                <c:pt idx="24">
                  <c:v>6.7255660705002169</c:v>
                </c:pt>
                <c:pt idx="25">
                  <c:v>7.2850763232020217</c:v>
                </c:pt>
                <c:pt idx="26">
                  <c:v>7.8866207833079516</c:v>
                </c:pt>
                <c:pt idx="27">
                  <c:v>8.5479273100615867</c:v>
                </c:pt>
                <c:pt idx="28">
                  <c:v>9.2513642908317308</c:v>
                </c:pt>
                <c:pt idx="29">
                  <c:v>9.9969552378587068</c:v>
                </c:pt>
                <c:pt idx="30">
                  <c:v>10.780734346993572</c:v>
                </c:pt>
                <c:pt idx="31">
                  <c:v>11.617419223714769</c:v>
                </c:pt>
                <c:pt idx="32">
                  <c:v>12.529139177931283</c:v>
                </c:pt>
                <c:pt idx="33">
                  <c:v>13.475238919443337</c:v>
                </c:pt>
                <c:pt idx="34">
                  <c:v>14.489258093856552</c:v>
                </c:pt>
                <c:pt idx="35">
                  <c:v>15.577598018154527</c:v>
                </c:pt>
                <c:pt idx="36">
                  <c:v>16.739965791026773</c:v>
                </c:pt>
                <c:pt idx="37">
                  <c:v>17.95538102615582</c:v>
                </c:pt>
                <c:pt idx="38">
                  <c:v>19.219334568737551</c:v>
                </c:pt>
                <c:pt idx="39">
                  <c:v>20.555912595053005</c:v>
                </c:pt>
                <c:pt idx="40">
                  <c:v>21.942864430561329</c:v>
                </c:pt>
                <c:pt idx="41">
                  <c:v>23.425151803349078</c:v>
                </c:pt>
                <c:pt idx="42">
                  <c:v>25.041835463076438</c:v>
                </c:pt>
                <c:pt idx="43">
                  <c:v>26.710807277651533</c:v>
                </c:pt>
                <c:pt idx="44">
                  <c:v>28.451065312813967</c:v>
                </c:pt>
                <c:pt idx="45">
                  <c:v>30.389358324828564</c:v>
                </c:pt>
                <c:pt idx="46">
                  <c:v>32.398808378960986</c:v>
                </c:pt>
                <c:pt idx="47">
                  <c:v>34.531213126866639</c:v>
                </c:pt>
                <c:pt idx="48">
                  <c:v>36.739089129470386</c:v>
                </c:pt>
                <c:pt idx="49">
                  <c:v>39.125354827631107</c:v>
                </c:pt>
                <c:pt idx="50">
                  <c:v>41.612034175282311</c:v>
                </c:pt>
                <c:pt idx="51">
                  <c:v>44.046450861369273</c:v>
                </c:pt>
                <c:pt idx="52">
                  <c:v>46.646660585544574</c:v>
                </c:pt>
                <c:pt idx="53">
                  <c:v>49.32481601619525</c:v>
                </c:pt>
                <c:pt idx="54">
                  <c:v>52.219741640230353</c:v>
                </c:pt>
                <c:pt idx="55">
                  <c:v>55.331993975096324</c:v>
                </c:pt>
                <c:pt idx="56">
                  <c:v>58.733510311247954</c:v>
                </c:pt>
                <c:pt idx="57">
                  <c:v>62.392152176489695</c:v>
                </c:pt>
                <c:pt idx="58">
                  <c:v>65.899871732274278</c:v>
                </c:pt>
                <c:pt idx="59">
                  <c:v>69.411708022034404</c:v>
                </c:pt>
                <c:pt idx="60">
                  <c:v>73.099195871044458</c:v>
                </c:pt>
                <c:pt idx="61">
                  <c:v>76.896932964182014</c:v>
                </c:pt>
                <c:pt idx="62">
                  <c:v>80.797324760200951</c:v>
                </c:pt>
                <c:pt idx="63">
                  <c:v>84.719931856991778</c:v>
                </c:pt>
                <c:pt idx="64">
                  <c:v>88.823665646240755</c:v>
                </c:pt>
                <c:pt idx="65">
                  <c:v>93.146415942654059</c:v>
                </c:pt>
                <c:pt idx="66">
                  <c:v>97.457384175366172</c:v>
                </c:pt>
                <c:pt idx="67">
                  <c:v>101.7713902399348</c:v>
                </c:pt>
                <c:pt idx="68">
                  <c:v>105.99158720281397</c:v>
                </c:pt>
                <c:pt idx="69">
                  <c:v>110.39447692047399</c:v>
                </c:pt>
                <c:pt idx="70">
                  <c:v>115.07162908671698</c:v>
                </c:pt>
                <c:pt idx="71">
                  <c:v>120.04933641377283</c:v>
                </c:pt>
                <c:pt idx="72">
                  <c:v>125.10519764999576</c:v>
                </c:pt>
                <c:pt idx="73">
                  <c:v>130.08331957973704</c:v>
                </c:pt>
                <c:pt idx="74">
                  <c:v>135.11782502953432</c:v>
                </c:pt>
                <c:pt idx="75">
                  <c:v>140.25639263224164</c:v>
                </c:pt>
                <c:pt idx="76">
                  <c:v>145.23715690408099</c:v>
                </c:pt>
                <c:pt idx="77">
                  <c:v>150.20798722659865</c:v>
                </c:pt>
                <c:pt idx="78">
                  <c:v>155.55922505190998</c:v>
                </c:pt>
                <c:pt idx="79">
                  <c:v>160.95121223542449</c:v>
                </c:pt>
                <c:pt idx="80">
                  <c:v>166.60035672188047</c:v>
                </c:pt>
                <c:pt idx="81">
                  <c:v>171.95805493137257</c:v>
                </c:pt>
                <c:pt idx="82">
                  <c:v>177.20213061602243</c:v>
                </c:pt>
                <c:pt idx="83">
                  <c:v>182.43716494860337</c:v>
                </c:pt>
                <c:pt idx="84">
                  <c:v>187.89371087823977</c:v>
                </c:pt>
                <c:pt idx="85">
                  <c:v>193.64924977085647</c:v>
                </c:pt>
                <c:pt idx="86">
                  <c:v>198.99949891737742</c:v>
                </c:pt>
                <c:pt idx="87">
                  <c:v>203.85866720975696</c:v>
                </c:pt>
                <c:pt idx="88">
                  <c:v>208.46652832226036</c:v>
                </c:pt>
                <c:pt idx="89">
                  <c:v>213.2773746365678</c:v>
                </c:pt>
                <c:pt idx="90">
                  <c:v>217.88208501886484</c:v>
                </c:pt>
                <c:pt idx="91">
                  <c:v>222.49533718635004</c:v>
                </c:pt>
                <c:pt idx="92">
                  <c:v>226.98341165522555</c:v>
                </c:pt>
                <c:pt idx="93">
                  <c:v>231.08671947785797</c:v>
                </c:pt>
                <c:pt idx="94">
                  <c:v>235.24381740624713</c:v>
                </c:pt>
                <c:pt idx="95">
                  <c:v>239.46352921251292</c:v>
                </c:pt>
                <c:pt idx="96">
                  <c:v>243.61480846659936</c:v>
                </c:pt>
                <c:pt idx="97">
                  <c:v>247.80703179732896</c:v>
                </c:pt>
                <c:pt idx="98">
                  <c:v>252.15234190017222</c:v>
                </c:pt>
                <c:pt idx="99">
                  <c:v>256.70611556592564</c:v>
                </c:pt>
                <c:pt idx="100">
                  <c:v>261.22044674825327</c:v>
                </c:pt>
                <c:pt idx="101">
                  <c:v>265.71601118520084</c:v>
                </c:pt>
                <c:pt idx="102">
                  <c:v>270.03882470498434</c:v>
                </c:pt>
                <c:pt idx="103">
                  <c:v>274.18408835318115</c:v>
                </c:pt>
                <c:pt idx="104">
                  <c:v>277.92526896840701</c:v>
                </c:pt>
                <c:pt idx="105">
                  <c:v>281.6487608643223</c:v>
                </c:pt>
                <c:pt idx="106">
                  <c:v>284.98282546048375</c:v>
                </c:pt>
                <c:pt idx="107">
                  <c:v>288.30939542948556</c:v>
                </c:pt>
                <c:pt idx="108">
                  <c:v>291.88608788669126</c:v>
                </c:pt>
                <c:pt idx="109">
                  <c:v>295.20628075259555</c:v>
                </c:pt>
                <c:pt idx="110">
                  <c:v>298.55795021020913</c:v>
                </c:pt>
                <c:pt idx="111">
                  <c:v>301.90838486785032</c:v>
                </c:pt>
                <c:pt idx="112">
                  <c:v>305.01607986385193</c:v>
                </c:pt>
                <c:pt idx="113">
                  <c:v>307.93166707282336</c:v>
                </c:pt>
                <c:pt idx="114">
                  <c:v>310.85003230033936</c:v>
                </c:pt>
                <c:pt idx="115">
                  <c:v>313.79732317432934</c:v>
                </c:pt>
                <c:pt idx="116">
                  <c:v>316.50448371493422</c:v>
                </c:pt>
                <c:pt idx="117">
                  <c:v>319.20693894266878</c:v>
                </c:pt>
                <c:pt idx="118">
                  <c:v>321.79841358647394</c:v>
                </c:pt>
                <c:pt idx="119">
                  <c:v>324.38329582397284</c:v>
                </c:pt>
                <c:pt idx="120">
                  <c:v>326.95410533151562</c:v>
                </c:pt>
                <c:pt idx="121">
                  <c:v>329.20035174364915</c:v>
                </c:pt>
                <c:pt idx="122">
                  <c:v>331.19454271899713</c:v>
                </c:pt>
                <c:pt idx="123">
                  <c:v>333.20734686123211</c:v>
                </c:pt>
                <c:pt idx="124">
                  <c:v>335.38109180371424</c:v>
                </c:pt>
                <c:pt idx="125">
                  <c:v>337.71112136719563</c:v>
                </c:pt>
                <c:pt idx="126">
                  <c:v>339.96570371174982</c:v>
                </c:pt>
                <c:pt idx="127">
                  <c:v>342.1428218599923</c:v>
                </c:pt>
                <c:pt idx="128">
                  <c:v>344.15413984378864</c:v>
                </c:pt>
                <c:pt idx="129">
                  <c:v>346.17391253996993</c:v>
                </c:pt>
                <c:pt idx="130">
                  <c:v>347.91090967266604</c:v>
                </c:pt>
                <c:pt idx="131">
                  <c:v>349.48335955606382</c:v>
                </c:pt>
                <c:pt idx="132">
                  <c:v>351.12417628493148</c:v>
                </c:pt>
                <c:pt idx="133">
                  <c:v>352.78997622708744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44987</c:v>
                </c:pt>
                <c:pt idx="1">
                  <c:v>44988</c:v>
                </c:pt>
                <c:pt idx="2">
                  <c:v>44989</c:v>
                </c:pt>
                <c:pt idx="3">
                  <c:v>44990</c:v>
                </c:pt>
                <c:pt idx="4">
                  <c:v>44991</c:v>
                </c:pt>
                <c:pt idx="5">
                  <c:v>44992</c:v>
                </c:pt>
                <c:pt idx="6">
                  <c:v>44993</c:v>
                </c:pt>
                <c:pt idx="7">
                  <c:v>44994</c:v>
                </c:pt>
                <c:pt idx="8">
                  <c:v>44995</c:v>
                </c:pt>
                <c:pt idx="9">
                  <c:v>44996</c:v>
                </c:pt>
                <c:pt idx="10">
                  <c:v>44997</c:v>
                </c:pt>
                <c:pt idx="11">
                  <c:v>44998</c:v>
                </c:pt>
                <c:pt idx="12">
                  <c:v>44999</c:v>
                </c:pt>
                <c:pt idx="13">
                  <c:v>45000</c:v>
                </c:pt>
                <c:pt idx="14">
                  <c:v>45001</c:v>
                </c:pt>
                <c:pt idx="15">
                  <c:v>45002</c:v>
                </c:pt>
                <c:pt idx="16">
                  <c:v>45003</c:v>
                </c:pt>
                <c:pt idx="17">
                  <c:v>45004</c:v>
                </c:pt>
                <c:pt idx="18">
                  <c:v>45005</c:v>
                </c:pt>
                <c:pt idx="19">
                  <c:v>45006</c:v>
                </c:pt>
                <c:pt idx="20">
                  <c:v>45007</c:v>
                </c:pt>
                <c:pt idx="21">
                  <c:v>45008</c:v>
                </c:pt>
                <c:pt idx="22">
                  <c:v>45009</c:v>
                </c:pt>
                <c:pt idx="23">
                  <c:v>45010</c:v>
                </c:pt>
                <c:pt idx="24">
                  <c:v>45011</c:v>
                </c:pt>
                <c:pt idx="25">
                  <c:v>45012</c:v>
                </c:pt>
                <c:pt idx="26">
                  <c:v>45013</c:v>
                </c:pt>
                <c:pt idx="27">
                  <c:v>45014</c:v>
                </c:pt>
                <c:pt idx="28">
                  <c:v>45015</c:v>
                </c:pt>
                <c:pt idx="29">
                  <c:v>45016</c:v>
                </c:pt>
                <c:pt idx="30">
                  <c:v>45017</c:v>
                </c:pt>
                <c:pt idx="31">
                  <c:v>45018</c:v>
                </c:pt>
                <c:pt idx="32">
                  <c:v>45019</c:v>
                </c:pt>
                <c:pt idx="33">
                  <c:v>45020</c:v>
                </c:pt>
                <c:pt idx="34">
                  <c:v>45021</c:v>
                </c:pt>
                <c:pt idx="35">
                  <c:v>45022</c:v>
                </c:pt>
                <c:pt idx="36">
                  <c:v>45023</c:v>
                </c:pt>
                <c:pt idx="37">
                  <c:v>45024</c:v>
                </c:pt>
                <c:pt idx="38">
                  <c:v>45025</c:v>
                </c:pt>
                <c:pt idx="39">
                  <c:v>45026</c:v>
                </c:pt>
                <c:pt idx="40">
                  <c:v>45027</c:v>
                </c:pt>
                <c:pt idx="41">
                  <c:v>45028</c:v>
                </c:pt>
                <c:pt idx="42">
                  <c:v>45029</c:v>
                </c:pt>
                <c:pt idx="43">
                  <c:v>45030</c:v>
                </c:pt>
                <c:pt idx="44">
                  <c:v>45031</c:v>
                </c:pt>
                <c:pt idx="45">
                  <c:v>45032</c:v>
                </c:pt>
                <c:pt idx="46">
                  <c:v>45033</c:v>
                </c:pt>
                <c:pt idx="47">
                  <c:v>45034</c:v>
                </c:pt>
                <c:pt idx="48">
                  <c:v>45035</c:v>
                </c:pt>
                <c:pt idx="49">
                  <c:v>45036</c:v>
                </c:pt>
                <c:pt idx="50">
                  <c:v>45037</c:v>
                </c:pt>
                <c:pt idx="51">
                  <c:v>45038</c:v>
                </c:pt>
                <c:pt idx="52">
                  <c:v>45039</c:v>
                </c:pt>
                <c:pt idx="53">
                  <c:v>45040</c:v>
                </c:pt>
                <c:pt idx="54">
                  <c:v>45041</c:v>
                </c:pt>
                <c:pt idx="55">
                  <c:v>45042</c:v>
                </c:pt>
                <c:pt idx="56">
                  <c:v>45043</c:v>
                </c:pt>
                <c:pt idx="57">
                  <c:v>45044</c:v>
                </c:pt>
                <c:pt idx="58">
                  <c:v>45045</c:v>
                </c:pt>
                <c:pt idx="59">
                  <c:v>45046</c:v>
                </c:pt>
                <c:pt idx="60">
                  <c:v>45047</c:v>
                </c:pt>
                <c:pt idx="61">
                  <c:v>45048</c:v>
                </c:pt>
                <c:pt idx="62">
                  <c:v>45049</c:v>
                </c:pt>
                <c:pt idx="63">
                  <c:v>45050</c:v>
                </c:pt>
                <c:pt idx="64">
                  <c:v>45051</c:v>
                </c:pt>
                <c:pt idx="65">
                  <c:v>45052</c:v>
                </c:pt>
                <c:pt idx="66">
                  <c:v>45053</c:v>
                </c:pt>
                <c:pt idx="67">
                  <c:v>45054</c:v>
                </c:pt>
                <c:pt idx="68">
                  <c:v>45055</c:v>
                </c:pt>
                <c:pt idx="69">
                  <c:v>45056</c:v>
                </c:pt>
                <c:pt idx="70">
                  <c:v>45057</c:v>
                </c:pt>
                <c:pt idx="71">
                  <c:v>45058</c:v>
                </c:pt>
                <c:pt idx="72">
                  <c:v>45059</c:v>
                </c:pt>
                <c:pt idx="73">
                  <c:v>45060</c:v>
                </c:pt>
                <c:pt idx="74">
                  <c:v>45061</c:v>
                </c:pt>
                <c:pt idx="75">
                  <c:v>45062</c:v>
                </c:pt>
                <c:pt idx="76">
                  <c:v>45063</c:v>
                </c:pt>
                <c:pt idx="77">
                  <c:v>45064</c:v>
                </c:pt>
                <c:pt idx="78">
                  <c:v>45065</c:v>
                </c:pt>
                <c:pt idx="79">
                  <c:v>45066</c:v>
                </c:pt>
                <c:pt idx="80">
                  <c:v>45067</c:v>
                </c:pt>
                <c:pt idx="81">
                  <c:v>45068</c:v>
                </c:pt>
                <c:pt idx="82">
                  <c:v>45069</c:v>
                </c:pt>
                <c:pt idx="83">
                  <c:v>45070</c:v>
                </c:pt>
                <c:pt idx="84">
                  <c:v>45071</c:v>
                </c:pt>
                <c:pt idx="85">
                  <c:v>45072</c:v>
                </c:pt>
                <c:pt idx="86">
                  <c:v>45073</c:v>
                </c:pt>
                <c:pt idx="87">
                  <c:v>45074</c:v>
                </c:pt>
                <c:pt idx="88">
                  <c:v>45075</c:v>
                </c:pt>
                <c:pt idx="89">
                  <c:v>45076</c:v>
                </c:pt>
                <c:pt idx="90">
                  <c:v>45077</c:v>
                </c:pt>
                <c:pt idx="91">
                  <c:v>45078</c:v>
                </c:pt>
                <c:pt idx="92">
                  <c:v>45079</c:v>
                </c:pt>
                <c:pt idx="93">
                  <c:v>45080</c:v>
                </c:pt>
                <c:pt idx="94">
                  <c:v>45081</c:v>
                </c:pt>
                <c:pt idx="95">
                  <c:v>45082</c:v>
                </c:pt>
                <c:pt idx="96">
                  <c:v>45083</c:v>
                </c:pt>
                <c:pt idx="97">
                  <c:v>45084</c:v>
                </c:pt>
                <c:pt idx="98">
                  <c:v>45085</c:v>
                </c:pt>
                <c:pt idx="99">
                  <c:v>45086</c:v>
                </c:pt>
                <c:pt idx="100">
                  <c:v>45087</c:v>
                </c:pt>
                <c:pt idx="101">
                  <c:v>45088</c:v>
                </c:pt>
                <c:pt idx="102">
                  <c:v>45089</c:v>
                </c:pt>
                <c:pt idx="103">
                  <c:v>45090</c:v>
                </c:pt>
                <c:pt idx="104">
                  <c:v>45091</c:v>
                </c:pt>
                <c:pt idx="105">
                  <c:v>45092</c:v>
                </c:pt>
                <c:pt idx="106">
                  <c:v>45093</c:v>
                </c:pt>
                <c:pt idx="107">
                  <c:v>45094</c:v>
                </c:pt>
                <c:pt idx="108">
                  <c:v>45095</c:v>
                </c:pt>
                <c:pt idx="109">
                  <c:v>45096</c:v>
                </c:pt>
                <c:pt idx="110">
                  <c:v>45097</c:v>
                </c:pt>
                <c:pt idx="111">
                  <c:v>45098</c:v>
                </c:pt>
                <c:pt idx="112">
                  <c:v>45099</c:v>
                </c:pt>
                <c:pt idx="113">
                  <c:v>45100</c:v>
                </c:pt>
                <c:pt idx="114">
                  <c:v>45101</c:v>
                </c:pt>
                <c:pt idx="115">
                  <c:v>45102</c:v>
                </c:pt>
                <c:pt idx="116">
                  <c:v>45103</c:v>
                </c:pt>
                <c:pt idx="117">
                  <c:v>45104</c:v>
                </c:pt>
                <c:pt idx="118">
                  <c:v>45105</c:v>
                </c:pt>
                <c:pt idx="119">
                  <c:v>45106</c:v>
                </c:pt>
                <c:pt idx="120">
                  <c:v>45107</c:v>
                </c:pt>
                <c:pt idx="121">
                  <c:v>45108</c:v>
                </c:pt>
                <c:pt idx="122">
                  <c:v>45109</c:v>
                </c:pt>
                <c:pt idx="123">
                  <c:v>45110</c:v>
                </c:pt>
                <c:pt idx="124">
                  <c:v>45111</c:v>
                </c:pt>
                <c:pt idx="125">
                  <c:v>45112</c:v>
                </c:pt>
                <c:pt idx="126">
                  <c:v>45113</c:v>
                </c:pt>
                <c:pt idx="127">
                  <c:v>45114</c:v>
                </c:pt>
                <c:pt idx="128">
                  <c:v>45115</c:v>
                </c:pt>
                <c:pt idx="129">
                  <c:v>45116</c:v>
                </c:pt>
                <c:pt idx="130">
                  <c:v>45117</c:v>
                </c:pt>
                <c:pt idx="131">
                  <c:v>45118</c:v>
                </c:pt>
                <c:pt idx="132">
                  <c:v>45119</c:v>
                </c:pt>
                <c:pt idx="133">
                  <c:v>45120</c:v>
                </c:pt>
                <c:pt idx="134">
                  <c:v>45121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4.7342890335642878</c:v>
                </c:pt>
                <c:pt idx="1">
                  <c:v>4.1549304153860485</c:v>
                </c:pt>
                <c:pt idx="2">
                  <c:v>3.6255795726527422</c:v>
                </c:pt>
                <c:pt idx="3">
                  <c:v>3.142018725451742</c:v>
                </c:pt>
                <c:pt idx="4">
                  <c:v>2.6862691161729906</c:v>
                </c:pt>
                <c:pt idx="5">
                  <c:v>2.2855315948973565</c:v>
                </c:pt>
                <c:pt idx="6">
                  <c:v>1.910474160006193</c:v>
                </c:pt>
                <c:pt idx="7">
                  <c:v>1.5635872190056523</c:v>
                </c:pt>
                <c:pt idx="8">
                  <c:v>1.2548951185912389</c:v>
                </c:pt>
                <c:pt idx="9">
                  <c:v>0.97846775757257687</c:v>
                </c:pt>
                <c:pt idx="10">
                  <c:v>0.72567098486680903</c:v>
                </c:pt>
                <c:pt idx="11">
                  <c:v>0.50378638236846607</c:v>
                </c:pt>
                <c:pt idx="12">
                  <c:v>0.30449732034977428</c:v>
                </c:pt>
                <c:pt idx="13">
                  <c:v>0.12816538779585818</c:v>
                </c:pt>
                <c:pt idx="14">
                  <c:v>-3.032876416947472E-2</c:v>
                </c:pt>
                <c:pt idx="15">
                  <c:v>-0.43283591327787985</c:v>
                </c:pt>
                <c:pt idx="16">
                  <c:v>-0.83856433933767738</c:v>
                </c:pt>
                <c:pt idx="17">
                  <c:v>-1.2385014413658899</c:v>
                </c:pt>
                <c:pt idx="18">
                  <c:v>-1.6508406182011863</c:v>
                </c:pt>
                <c:pt idx="19">
                  <c:v>-2.0866874485954372</c:v>
                </c:pt>
                <c:pt idx="20">
                  <c:v>-2.5363001681354649</c:v>
                </c:pt>
                <c:pt idx="21">
                  <c:v>-2.9936275864887798</c:v>
                </c:pt>
                <c:pt idx="22">
                  <c:v>-3.4704030943128497</c:v>
                </c:pt>
                <c:pt idx="23">
                  <c:v>-3.9736223800368271</c:v>
                </c:pt>
                <c:pt idx="24">
                  <c:v>-4.5091012757432267</c:v>
                </c:pt>
                <c:pt idx="25">
                  <c:v>-5.0849087634887598</c:v>
                </c:pt>
                <c:pt idx="26">
                  <c:v>-5.6949445469054254</c:v>
                </c:pt>
                <c:pt idx="27">
                  <c:v>-6.357573056345279</c:v>
                </c:pt>
                <c:pt idx="28">
                  <c:v>-7.0556657214291549</c:v>
                </c:pt>
                <c:pt idx="29">
                  <c:v>-7.7900302736220874</c:v>
                </c:pt>
                <c:pt idx="30">
                  <c:v>-8.5575009749569837</c:v>
                </c:pt>
                <c:pt idx="31">
                  <c:v>-9.3731730945750833</c:v>
                </c:pt>
                <c:pt idx="32">
                  <c:v>-10.259171342901736</c:v>
                </c:pt>
                <c:pt idx="33">
                  <c:v>-11.176263011774667</c:v>
                </c:pt>
                <c:pt idx="34">
                  <c:v>-12.157676993262148</c:v>
                </c:pt>
                <c:pt idx="35">
                  <c:v>-13.210061706124618</c:v>
                </c:pt>
                <c:pt idx="36">
                  <c:v>-14.33353307176702</c:v>
                </c:pt>
                <c:pt idx="37">
                  <c:v>-15.50804010359758</c:v>
                </c:pt>
                <c:pt idx="38">
                  <c:v>-16.729519614858653</c:v>
                </c:pt>
                <c:pt idx="39">
                  <c:v>-18.021756410916211</c:v>
                </c:pt>
                <c:pt idx="40">
                  <c:v>-19.363305690958061</c:v>
                </c:pt>
                <c:pt idx="41">
                  <c:v>-20.79832749423073</c:v>
                </c:pt>
                <c:pt idx="42">
                  <c:v>-22.365296089335995</c:v>
                </c:pt>
                <c:pt idx="43">
                  <c:v>-23.984208408424696</c:v>
                </c:pt>
                <c:pt idx="44">
                  <c:v>-25.673805609251605</c:v>
                </c:pt>
                <c:pt idx="45">
                  <c:v>-27.558508432561442</c:v>
                </c:pt>
                <c:pt idx="46">
                  <c:v>-29.5142838111435</c:v>
                </c:pt>
                <c:pt idx="47">
                  <c:v>-31.592099132306817</c:v>
                </c:pt>
                <c:pt idx="48">
                  <c:v>-33.745500931718055</c:v>
                </c:pt>
                <c:pt idx="49">
                  <c:v>-36.075799946516938</c:v>
                </c:pt>
                <c:pt idx="50">
                  <c:v>-38.506537844384113</c:v>
                </c:pt>
                <c:pt idx="51">
                  <c:v>-40.887345085020854</c:v>
                </c:pt>
                <c:pt idx="52">
                  <c:v>-43.433036594081557</c:v>
                </c:pt>
                <c:pt idx="53">
                  <c:v>-46.057112329900235</c:v>
                </c:pt>
                <c:pt idx="54">
                  <c:v>-48.896683790536642</c:v>
                </c:pt>
                <c:pt idx="55">
                  <c:v>-51.952535408032688</c:v>
                </c:pt>
                <c:pt idx="56">
                  <c:v>-55.29596575709926</c:v>
                </c:pt>
                <c:pt idx="57">
                  <c:v>-58.895508546634581</c:v>
                </c:pt>
                <c:pt idx="58">
                  <c:v>-62.347761409815348</c:v>
                </c:pt>
                <c:pt idx="59">
                  <c:v>-65.805712952148525</c:v>
                </c:pt>
                <c:pt idx="60">
                  <c:v>-69.439160972714589</c:v>
                </c:pt>
                <c:pt idx="61">
                  <c:v>-73.18337646176181</c:v>
                </c:pt>
                <c:pt idx="62">
                  <c:v>-77.030831587556435</c:v>
                </c:pt>
                <c:pt idx="63">
                  <c:v>-80.901723961608994</c:v>
                </c:pt>
                <c:pt idx="64">
                  <c:v>-84.953653261120635</c:v>
                </c:pt>
                <c:pt idx="65">
                  <c:v>-89.224287879169239</c:v>
                </c:pt>
                <c:pt idx="66">
                  <c:v>-93.4845682760063</c:v>
                </c:pt>
                <c:pt idx="67">
                  <c:v>-97.74908824435623</c:v>
                </c:pt>
                <c:pt idx="68">
                  <c:v>-101.92151961385592</c:v>
                </c:pt>
                <c:pt idx="69">
                  <c:v>-106.27652942731922</c:v>
                </c:pt>
                <c:pt idx="70">
                  <c:v>-110.90517584834463</c:v>
                </c:pt>
                <c:pt idx="71">
                  <c:v>-115.83366799007531</c:v>
                </c:pt>
                <c:pt idx="72">
                  <c:v>-120.84098142501648</c:v>
                </c:pt>
                <c:pt idx="73">
                  <c:v>-125.77204821913469</c:v>
                </c:pt>
                <c:pt idx="74">
                  <c:v>-130.76015818515964</c:v>
                </c:pt>
                <c:pt idx="75">
                  <c:v>-135.85270811959188</c:v>
                </c:pt>
                <c:pt idx="76">
                  <c:v>-140.78911628941631</c:v>
                </c:pt>
                <c:pt idx="77">
                  <c:v>-145.71641928155461</c:v>
                </c:pt>
                <c:pt idx="78">
                  <c:v>-151.02308424415008</c:v>
                </c:pt>
                <c:pt idx="79">
                  <c:v>-156.37109212022929</c:v>
                </c:pt>
                <c:pt idx="80">
                  <c:v>-161.97582336211627</c:v>
                </c:pt>
                <c:pt idx="81">
                  <c:v>-167.2911551462258</c:v>
                </c:pt>
                <c:pt idx="82">
                  <c:v>-172.49399426980722</c:v>
                </c:pt>
                <c:pt idx="83">
                  <c:v>-177.68842010992597</c:v>
                </c:pt>
                <c:pt idx="84">
                  <c:v>-183.10400559849569</c:v>
                </c:pt>
                <c:pt idx="85">
                  <c:v>-188.8179032597929</c:v>
                </c:pt>
                <c:pt idx="86">
                  <c:v>-194.12871321878572</c:v>
                </c:pt>
                <c:pt idx="87">
                  <c:v>-198.95079902063372</c:v>
                </c:pt>
                <c:pt idx="88">
                  <c:v>-203.52290336829378</c:v>
                </c:pt>
                <c:pt idx="89">
                  <c:v>-208.29763672337506</c:v>
                </c:pt>
                <c:pt idx="90">
                  <c:v>-212.86734107544569</c:v>
                </c:pt>
                <c:pt idx="91">
                  <c:v>-217.44590047864739</c:v>
                </c:pt>
                <c:pt idx="92">
                  <c:v>-221.9000452822369</c:v>
                </c:pt>
                <c:pt idx="93">
                  <c:v>-225.97102777628004</c:v>
                </c:pt>
                <c:pt idx="94">
                  <c:v>-230.0959079911899</c:v>
                </c:pt>
                <c:pt idx="95">
                  <c:v>-234.28347135248856</c:v>
                </c:pt>
                <c:pt idx="96">
                  <c:v>-238.40309532448074</c:v>
                </c:pt>
                <c:pt idx="97">
                  <c:v>-242.56378350499472</c:v>
                </c:pt>
                <c:pt idx="98">
                  <c:v>-246.8772921822204</c:v>
                </c:pt>
                <c:pt idx="99">
                  <c:v>-251.39878532012821</c:v>
                </c:pt>
                <c:pt idx="100">
                  <c:v>-255.88118824833751</c:v>
                </c:pt>
                <c:pt idx="101">
                  <c:v>-260.34508961070009</c:v>
                </c:pt>
                <c:pt idx="102">
                  <c:v>-264.63702262202099</c:v>
                </c:pt>
                <c:pt idx="103">
                  <c:v>-268.75218795421551</c:v>
                </c:pt>
                <c:pt idx="104">
                  <c:v>-272.46478859350862</c:v>
                </c:pt>
                <c:pt idx="105">
                  <c:v>-276.15992713698432</c:v>
                </c:pt>
                <c:pt idx="106">
                  <c:v>-279.4670615622565</c:v>
                </c:pt>
                <c:pt idx="107">
                  <c:v>-282.76688926245833</c:v>
                </c:pt>
                <c:pt idx="108">
                  <c:v>-286.31617456354627</c:v>
                </c:pt>
                <c:pt idx="109">
                  <c:v>-289.6099448805665</c:v>
                </c:pt>
                <c:pt idx="110">
                  <c:v>-292.93522411803548</c:v>
                </c:pt>
                <c:pt idx="111">
                  <c:v>-296.25939688857977</c:v>
                </c:pt>
                <c:pt idx="112">
                  <c:v>-299.34175949281808</c:v>
                </c:pt>
                <c:pt idx="113">
                  <c:v>-302.23277025492808</c:v>
                </c:pt>
                <c:pt idx="114">
                  <c:v>-305.1266729169555</c:v>
                </c:pt>
                <c:pt idx="115">
                  <c:v>-308.04951747198874</c:v>
                </c:pt>
                <c:pt idx="116">
                  <c:v>-310.73314479111951</c:v>
                </c:pt>
                <c:pt idx="117">
                  <c:v>-313.41219415219467</c:v>
                </c:pt>
                <c:pt idx="118">
                  <c:v>-315.98074291265004</c:v>
                </c:pt>
                <c:pt idx="119">
                  <c:v>-318.54282532388112</c:v>
                </c:pt>
                <c:pt idx="120">
                  <c:v>-321.09097908997035</c:v>
                </c:pt>
                <c:pt idx="121">
                  <c:v>-323.31577545744204</c:v>
                </c:pt>
                <c:pt idx="122">
                  <c:v>-325.28946554812597</c:v>
                </c:pt>
                <c:pt idx="123">
                  <c:v>-327.28182759198546</c:v>
                </c:pt>
                <c:pt idx="124">
                  <c:v>-329.43469469291762</c:v>
                </c:pt>
                <c:pt idx="125">
                  <c:v>-331.743381703311</c:v>
                </c:pt>
                <c:pt idx="126">
                  <c:v>-333.97696759368864</c:v>
                </c:pt>
                <c:pt idx="127">
                  <c:v>-336.13344395211283</c:v>
                </c:pt>
                <c:pt idx="128">
                  <c:v>-338.12480125298021</c:v>
                </c:pt>
                <c:pt idx="129">
                  <c:v>-340.12465979045282</c:v>
                </c:pt>
                <c:pt idx="130">
                  <c:v>-341.84285754292995</c:v>
                </c:pt>
                <c:pt idx="131">
                  <c:v>-343.39719282442218</c:v>
                </c:pt>
                <c:pt idx="132">
                  <c:v>-345.01975042332595</c:v>
                </c:pt>
                <c:pt idx="133">
                  <c:v>-346.6672895799183</c:v>
                </c:pt>
                <c:pt idx="134">
                  <c:v>-348.14213449354094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-0.58740891706458553</c:v>
                </c:pt>
                <c:pt idx="2">
                  <c:v>-1.1667675352428248</c:v>
                </c:pt>
                <c:pt idx="3">
                  <c:v>-1.6961183779761311</c:v>
                </c:pt>
                <c:pt idx="4">
                  <c:v>-2.1796792251771313</c:v>
                </c:pt>
                <c:pt idx="5">
                  <c:v>-2.6354288344558827</c:v>
                </c:pt>
                <c:pt idx="6">
                  <c:v>-3.0361663557315168</c:v>
                </c:pt>
                <c:pt idx="7">
                  <c:v>-3.4112237906226803</c:v>
                </c:pt>
                <c:pt idx="8">
                  <c:v>-3.758110731623221</c:v>
                </c:pt>
                <c:pt idx="9">
                  <c:v>-4.0668028320376344</c:v>
                </c:pt>
                <c:pt idx="10">
                  <c:v>-4.3432301930562964</c:v>
                </c:pt>
                <c:pt idx="11">
                  <c:v>-4.5960269657620643</c:v>
                </c:pt>
                <c:pt idx="12">
                  <c:v>-4.8179115682604072</c:v>
                </c:pt>
                <c:pt idx="13">
                  <c:v>-5.017200630279099</c:v>
                </c:pt>
                <c:pt idx="14">
                  <c:v>-5.1935325628330151</c:v>
                </c:pt>
                <c:pt idx="15">
                  <c:v>-5.352026714798348</c:v>
                </c:pt>
                <c:pt idx="16">
                  <c:v>-5.4920002865255757</c:v>
                </c:pt>
                <c:pt idx="17">
                  <c:v>-5.6142860829019403</c:v>
                </c:pt>
                <c:pt idx="18">
                  <c:v>-5.717800753341491</c:v>
                </c:pt>
                <c:pt idx="19">
                  <c:v>-5.8078133240280057</c:v>
                </c:pt>
                <c:pt idx="20">
                  <c:v>-5.8862592663970146</c:v>
                </c:pt>
                <c:pt idx="21">
                  <c:v>-5.9517146932875562</c:v>
                </c:pt>
                <c:pt idx="22">
                  <c:v>-6.0045491739577717</c:v>
                </c:pt>
                <c:pt idx="23">
                  <c:v>-6.0469668919858286</c:v>
                </c:pt>
                <c:pt idx="24">
                  <c:v>-6.0800255872256042</c:v>
                </c:pt>
                <c:pt idx="25">
                  <c:v>-6.1044164055127457</c:v>
                </c:pt>
                <c:pt idx="26">
                  <c:v>-6.1207136405564739</c:v>
                </c:pt>
                <c:pt idx="27">
                  <c:v>-6.1292049638672097</c:v>
                </c:pt>
                <c:pt idx="28">
                  <c:v>-6.1305269465534282</c:v>
                </c:pt>
                <c:pt idx="29">
                  <c:v>-6.12518263086716</c:v>
                </c:pt>
                <c:pt idx="30">
                  <c:v>-6.1139562360331166</c:v>
                </c:pt>
                <c:pt idx="31">
                  <c:v>-6.0976478282331472</c:v>
                </c:pt>
                <c:pt idx="32">
                  <c:v>-6.0766350711300507</c:v>
                </c:pt>
                <c:pt idx="33">
                  <c:v>-6.0509133652401896</c:v>
                </c:pt>
                <c:pt idx="34">
                  <c:v>-6.0219052926010672</c:v>
                </c:pt>
                <c:pt idx="35">
                  <c:v>-5.9893000996753329</c:v>
                </c:pt>
                <c:pt idx="36">
                  <c:v>-5.9533448882398279</c:v>
                </c:pt>
                <c:pt idx="37">
                  <c:v>-5.9144484810099849</c:v>
                </c:pt>
                <c:pt idx="38">
                  <c:v>-5.8735402777114984</c:v>
                </c:pt>
                <c:pt idx="39">
                  <c:v>-5.8310662463908409</c:v>
                </c:pt>
                <c:pt idx="40">
                  <c:v>-5.7867250161329453</c:v>
                </c:pt>
                <c:pt idx="41">
                  <c:v>-5.7413224606664706</c:v>
                </c:pt>
                <c:pt idx="42">
                  <c:v>-5.6940568911513889</c:v>
                </c:pt>
                <c:pt idx="43">
                  <c:v>-5.644341826529292</c:v>
                </c:pt>
                <c:pt idx="44">
                  <c:v>-5.5942823310428968</c:v>
                </c:pt>
                <c:pt idx="45">
                  <c:v>-5.5436214967073729</c:v>
                </c:pt>
                <c:pt idx="46">
                  <c:v>-5.4900313080026137</c:v>
                </c:pt>
                <c:pt idx="47">
                  <c:v>-5.436356632452247</c:v>
                </c:pt>
                <c:pt idx="48">
                  <c:v>-5.3817672057099122</c:v>
                </c:pt>
                <c:pt idx="49">
                  <c:v>-5.3272930025174006</c:v>
                </c:pt>
                <c:pt idx="50">
                  <c:v>-5.2713263191555626</c:v>
                </c:pt>
                <c:pt idx="51">
                  <c:v>-5.2153848693715315</c:v>
                </c:pt>
                <c:pt idx="52">
                  <c:v>-5.1617754239213145</c:v>
                </c:pt>
                <c:pt idx="53">
                  <c:v>-5.1072572088067156</c:v>
                </c:pt>
                <c:pt idx="54">
                  <c:v>-5.0531775139747195</c:v>
                </c:pt>
                <c:pt idx="55">
                  <c:v>-4.9978233505760237</c:v>
                </c:pt>
                <c:pt idx="56">
                  <c:v>-4.9414226332060958</c:v>
                </c:pt>
                <c:pt idx="57">
                  <c:v>-4.883336646121041</c:v>
                </c:pt>
                <c:pt idx="58">
                  <c:v>-4.8242375704146232</c:v>
                </c:pt>
                <c:pt idx="59">
                  <c:v>-4.7687708778108071</c:v>
                </c:pt>
                <c:pt idx="60">
                  <c:v>-4.7148861303838618</c:v>
                </c:pt>
                <c:pt idx="61">
                  <c:v>-4.6608463019398716</c:v>
                </c:pt>
                <c:pt idx="62">
                  <c:v>-4.6073246978495401</c:v>
                </c:pt>
                <c:pt idx="63">
                  <c:v>-4.5543880276252322</c:v>
                </c:pt>
                <c:pt idx="64">
                  <c:v>-4.5026733048869598</c:v>
                </c:pt>
                <c:pt idx="65">
                  <c:v>-4.4508688151496276</c:v>
                </c:pt>
                <c:pt idx="66">
                  <c:v>-4.3987531367849293</c:v>
                </c:pt>
                <c:pt idx="67">
                  <c:v>-4.3480653009098829</c:v>
                </c:pt>
                <c:pt idx="68">
                  <c:v>-4.2985792046911859</c:v>
                </c:pt>
                <c:pt idx="69">
                  <c:v>-4.2508136113116999</c:v>
                </c:pt>
                <c:pt idx="70">
                  <c:v>-4.2029337071149753</c:v>
                </c:pt>
                <c:pt idx="71">
                  <c:v>-4.1544279618973885</c:v>
                </c:pt>
                <c:pt idx="72">
                  <c:v>-4.1052127765722224</c:v>
                </c:pt>
                <c:pt idx="73">
                  <c:v>-4.0566649752904649</c:v>
                </c:pt>
                <c:pt idx="74">
                  <c:v>-4.0096098396674007</c:v>
                </c:pt>
                <c:pt idx="75">
                  <c:v>-3.963214355895067</c:v>
                </c:pt>
                <c:pt idx="76">
                  <c:v>-3.9171966876199704</c:v>
                </c:pt>
                <c:pt idx="77">
                  <c:v>-3.8728405856050427</c:v>
                </c:pt>
                <c:pt idx="78">
                  <c:v>-3.8293132552256806</c:v>
                </c:pt>
                <c:pt idx="79">
                  <c:v>-3.7847403925098408</c:v>
                </c:pt>
                <c:pt idx="80">
                  <c:v>-3.7407610850745403</c:v>
                </c:pt>
                <c:pt idx="81">
                  <c:v>-3.6963478405055481</c:v>
                </c:pt>
                <c:pt idx="82">
                  <c:v>-3.653981415122991</c:v>
                </c:pt>
                <c:pt idx="83">
                  <c:v>-3.6127448540545455</c:v>
                </c:pt>
                <c:pt idx="84">
                  <c:v>-3.5721363615923734</c:v>
                </c:pt>
                <c:pt idx="85">
                  <c:v>-3.5311759205256905</c:v>
                </c:pt>
                <c:pt idx="86">
                  <c:v>-3.4895346892062129</c:v>
                </c:pt>
                <c:pt idx="87">
                  <c:v>-3.4500955016780885</c:v>
                </c:pt>
                <c:pt idx="88">
                  <c:v>-3.4130130111465613</c:v>
                </c:pt>
                <c:pt idx="89">
                  <c:v>-3.3772562463032276</c:v>
                </c:pt>
                <c:pt idx="90">
                  <c:v>-3.3411432870770765</c:v>
                </c:pt>
                <c:pt idx="91">
                  <c:v>-3.3061372568506737</c:v>
                </c:pt>
                <c:pt idx="92">
                  <c:v>-3.2714444925671797</c:v>
                </c:pt>
                <c:pt idx="93">
                  <c:v>-3.2375148272811876</c:v>
                </c:pt>
                <c:pt idx="94">
                  <c:v>-3.2051894986919018</c:v>
                </c:pt>
                <c:pt idx="95">
                  <c:v>-3.172971785212602</c:v>
                </c:pt>
                <c:pt idx="96">
                  <c:v>-3.1408233402454568</c:v>
                </c:pt>
                <c:pt idx="97">
                  <c:v>-3.1091680581511962</c:v>
                </c:pt>
                <c:pt idx="98">
                  <c:v>-3.0776329079355564</c:v>
                </c:pt>
                <c:pt idx="99">
                  <c:v>-3.0458314823179826</c:v>
                </c:pt>
                <c:pt idx="100">
                  <c:v>-3.0135509544723815</c:v>
                </c:pt>
                <c:pt idx="101">
                  <c:v>-2.9816227003540536</c:v>
                </c:pt>
                <c:pt idx="102">
                  <c:v>-2.9499596257690595</c:v>
                </c:pt>
                <c:pt idx="103">
                  <c:v>-2.9190791173064934</c:v>
                </c:pt>
                <c:pt idx="104">
                  <c:v>-2.8889808013041742</c:v>
                </c:pt>
                <c:pt idx="105">
                  <c:v>-2.8604008253714133</c:v>
                </c:pt>
                <c:pt idx="106">
                  <c:v>-2.8320474729318539</c:v>
                </c:pt>
                <c:pt idx="107">
                  <c:v>-2.8051173020425768</c:v>
                </c:pt>
                <c:pt idx="108">
                  <c:v>-2.7783750332426127</c:v>
                </c:pt>
                <c:pt idx="109">
                  <c:v>-2.7509678771248556</c:v>
                </c:pt>
                <c:pt idx="110">
                  <c:v>-2.7245453282407892</c:v>
                </c:pt>
                <c:pt idx="111">
                  <c:v>-2.6981551080961763</c:v>
                </c:pt>
                <c:pt idx="112">
                  <c:v>-2.6718932209992978</c:v>
                </c:pt>
                <c:pt idx="113">
                  <c:v>-2.6465608292359759</c:v>
                </c:pt>
                <c:pt idx="114">
                  <c:v>-2.6219843823745439</c:v>
                </c:pt>
                <c:pt idx="115">
                  <c:v>-2.5975218168859273</c:v>
                </c:pt>
                <c:pt idx="116">
                  <c:v>-2.5730754979291852</c:v>
                </c:pt>
                <c:pt idx="117">
                  <c:v>-2.5495422764550799</c:v>
                </c:pt>
                <c:pt idx="118">
                  <c:v>-2.5261364097956767</c:v>
                </c:pt>
                <c:pt idx="119">
                  <c:v>-2.5032105264458693</c:v>
                </c:pt>
                <c:pt idx="120">
                  <c:v>-2.4804107001780222</c:v>
                </c:pt>
                <c:pt idx="121">
                  <c:v>-2.457754958724494</c:v>
                </c:pt>
                <c:pt idx="122">
                  <c:v>-2.4363049140626423</c:v>
                </c:pt>
                <c:pt idx="123">
                  <c:v>-2.415804029398573</c:v>
                </c:pt>
                <c:pt idx="124">
                  <c:v>-2.3953619310230589</c:v>
                </c:pt>
                <c:pt idx="125">
                  <c:v>-2.3744840894731016</c:v>
                </c:pt>
                <c:pt idx="126">
                  <c:v>-2.3531415363850812</c:v>
                </c:pt>
                <c:pt idx="127">
                  <c:v>-2.3321450822085019</c:v>
                </c:pt>
                <c:pt idx="128">
                  <c:v>-2.3115032923902223</c:v>
                </c:pt>
                <c:pt idx="129">
                  <c:v>-2.2915426094612439</c:v>
                </c:pt>
                <c:pt idx="130">
                  <c:v>-2.2716284507525977</c:v>
                </c:pt>
                <c:pt idx="131">
                  <c:v>-2.2528290705335987</c:v>
                </c:pt>
                <c:pt idx="132">
                  <c:v>-2.2347144686280425</c:v>
                </c:pt>
                <c:pt idx="133">
                  <c:v>-2.2164553386641197</c:v>
                </c:pt>
                <c:pt idx="134">
                  <c:v>-2.1981945531005431</c:v>
                </c:pt>
                <c:pt idx="135">
                  <c:v>-2.1806627526341504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44751</c:v>
                </c:pt>
                <c:pt idx="1">
                  <c:v>44752</c:v>
                </c:pt>
                <c:pt idx="2">
                  <c:v>44753</c:v>
                </c:pt>
                <c:pt idx="3">
                  <c:v>44754</c:v>
                </c:pt>
                <c:pt idx="4">
                  <c:v>44755</c:v>
                </c:pt>
                <c:pt idx="5">
                  <c:v>44756</c:v>
                </c:pt>
                <c:pt idx="6">
                  <c:v>44757</c:v>
                </c:pt>
                <c:pt idx="7">
                  <c:v>44758</c:v>
                </c:pt>
                <c:pt idx="8">
                  <c:v>44759</c:v>
                </c:pt>
                <c:pt idx="9">
                  <c:v>44760</c:v>
                </c:pt>
                <c:pt idx="10">
                  <c:v>44761</c:v>
                </c:pt>
                <c:pt idx="11">
                  <c:v>44762</c:v>
                </c:pt>
                <c:pt idx="12">
                  <c:v>44763</c:v>
                </c:pt>
                <c:pt idx="13">
                  <c:v>44764</c:v>
                </c:pt>
                <c:pt idx="14">
                  <c:v>44765</c:v>
                </c:pt>
                <c:pt idx="15">
                  <c:v>44766</c:v>
                </c:pt>
                <c:pt idx="16">
                  <c:v>44767</c:v>
                </c:pt>
                <c:pt idx="17">
                  <c:v>44768</c:v>
                </c:pt>
                <c:pt idx="18">
                  <c:v>44769</c:v>
                </c:pt>
                <c:pt idx="19">
                  <c:v>44770</c:v>
                </c:pt>
                <c:pt idx="20">
                  <c:v>44771</c:v>
                </c:pt>
                <c:pt idx="21">
                  <c:v>44772</c:v>
                </c:pt>
                <c:pt idx="22">
                  <c:v>44773</c:v>
                </c:pt>
                <c:pt idx="23">
                  <c:v>44774</c:v>
                </c:pt>
                <c:pt idx="24">
                  <c:v>44775</c:v>
                </c:pt>
                <c:pt idx="25">
                  <c:v>44776</c:v>
                </c:pt>
                <c:pt idx="26">
                  <c:v>44777</c:v>
                </c:pt>
                <c:pt idx="27">
                  <c:v>44778</c:v>
                </c:pt>
                <c:pt idx="28">
                  <c:v>44779</c:v>
                </c:pt>
                <c:pt idx="29">
                  <c:v>44780</c:v>
                </c:pt>
                <c:pt idx="30">
                  <c:v>44781</c:v>
                </c:pt>
                <c:pt idx="31">
                  <c:v>44782</c:v>
                </c:pt>
                <c:pt idx="32">
                  <c:v>44783</c:v>
                </c:pt>
                <c:pt idx="33">
                  <c:v>44784</c:v>
                </c:pt>
                <c:pt idx="34">
                  <c:v>44785</c:v>
                </c:pt>
                <c:pt idx="35">
                  <c:v>44786</c:v>
                </c:pt>
                <c:pt idx="36">
                  <c:v>44787</c:v>
                </c:pt>
                <c:pt idx="37">
                  <c:v>44788</c:v>
                </c:pt>
                <c:pt idx="38">
                  <c:v>44789</c:v>
                </c:pt>
                <c:pt idx="39">
                  <c:v>44790</c:v>
                </c:pt>
                <c:pt idx="40">
                  <c:v>44791</c:v>
                </c:pt>
                <c:pt idx="41">
                  <c:v>44792</c:v>
                </c:pt>
                <c:pt idx="42">
                  <c:v>44793</c:v>
                </c:pt>
                <c:pt idx="43">
                  <c:v>44794</c:v>
                </c:pt>
                <c:pt idx="44">
                  <c:v>44795</c:v>
                </c:pt>
                <c:pt idx="45">
                  <c:v>44796</c:v>
                </c:pt>
                <c:pt idx="46">
                  <c:v>44797</c:v>
                </c:pt>
                <c:pt idx="47">
                  <c:v>44798</c:v>
                </c:pt>
                <c:pt idx="48">
                  <c:v>44799</c:v>
                </c:pt>
                <c:pt idx="49">
                  <c:v>44800</c:v>
                </c:pt>
                <c:pt idx="50">
                  <c:v>44801</c:v>
                </c:pt>
                <c:pt idx="51">
                  <c:v>44802</c:v>
                </c:pt>
                <c:pt idx="52">
                  <c:v>44803</c:v>
                </c:pt>
                <c:pt idx="53">
                  <c:v>44804</c:v>
                </c:pt>
                <c:pt idx="54">
                  <c:v>44805</c:v>
                </c:pt>
                <c:pt idx="55">
                  <c:v>44806</c:v>
                </c:pt>
                <c:pt idx="56">
                  <c:v>44807</c:v>
                </c:pt>
                <c:pt idx="57">
                  <c:v>44808</c:v>
                </c:pt>
                <c:pt idx="58">
                  <c:v>44809</c:v>
                </c:pt>
                <c:pt idx="59">
                  <c:v>44810</c:v>
                </c:pt>
                <c:pt idx="60">
                  <c:v>44811</c:v>
                </c:pt>
                <c:pt idx="61">
                  <c:v>44812</c:v>
                </c:pt>
                <c:pt idx="62">
                  <c:v>44813</c:v>
                </c:pt>
                <c:pt idx="63">
                  <c:v>44814</c:v>
                </c:pt>
                <c:pt idx="64">
                  <c:v>44815</c:v>
                </c:pt>
                <c:pt idx="65">
                  <c:v>44816</c:v>
                </c:pt>
                <c:pt idx="66">
                  <c:v>44817</c:v>
                </c:pt>
                <c:pt idx="67">
                  <c:v>44818</c:v>
                </c:pt>
                <c:pt idx="68">
                  <c:v>44819</c:v>
                </c:pt>
                <c:pt idx="69">
                  <c:v>44820</c:v>
                </c:pt>
                <c:pt idx="70">
                  <c:v>44821</c:v>
                </c:pt>
                <c:pt idx="71">
                  <c:v>44822</c:v>
                </c:pt>
                <c:pt idx="72">
                  <c:v>44823</c:v>
                </c:pt>
                <c:pt idx="73">
                  <c:v>44824</c:v>
                </c:pt>
                <c:pt idx="74">
                  <c:v>44825</c:v>
                </c:pt>
                <c:pt idx="75">
                  <c:v>44826</c:v>
                </c:pt>
                <c:pt idx="76">
                  <c:v>44827</c:v>
                </c:pt>
                <c:pt idx="77">
                  <c:v>44828</c:v>
                </c:pt>
                <c:pt idx="78">
                  <c:v>44829</c:v>
                </c:pt>
                <c:pt idx="79">
                  <c:v>44830</c:v>
                </c:pt>
                <c:pt idx="80">
                  <c:v>44831</c:v>
                </c:pt>
                <c:pt idx="81">
                  <c:v>44832</c:v>
                </c:pt>
                <c:pt idx="82">
                  <c:v>44833</c:v>
                </c:pt>
                <c:pt idx="83">
                  <c:v>44834</c:v>
                </c:pt>
                <c:pt idx="84">
                  <c:v>44835</c:v>
                </c:pt>
                <c:pt idx="85">
                  <c:v>44836</c:v>
                </c:pt>
                <c:pt idx="86">
                  <c:v>44837</c:v>
                </c:pt>
                <c:pt idx="87">
                  <c:v>44838</c:v>
                </c:pt>
                <c:pt idx="88">
                  <c:v>44839</c:v>
                </c:pt>
                <c:pt idx="89">
                  <c:v>44840</c:v>
                </c:pt>
                <c:pt idx="90">
                  <c:v>44841</c:v>
                </c:pt>
                <c:pt idx="91">
                  <c:v>44842</c:v>
                </c:pt>
                <c:pt idx="92">
                  <c:v>44843</c:v>
                </c:pt>
                <c:pt idx="93">
                  <c:v>44844</c:v>
                </c:pt>
                <c:pt idx="94">
                  <c:v>44845</c:v>
                </c:pt>
                <c:pt idx="95">
                  <c:v>44846</c:v>
                </c:pt>
                <c:pt idx="96">
                  <c:v>44847</c:v>
                </c:pt>
                <c:pt idx="97">
                  <c:v>44848</c:v>
                </c:pt>
                <c:pt idx="98">
                  <c:v>44849</c:v>
                </c:pt>
                <c:pt idx="99">
                  <c:v>44850</c:v>
                </c:pt>
                <c:pt idx="100">
                  <c:v>44851</c:v>
                </c:pt>
                <c:pt idx="101">
                  <c:v>44852</c:v>
                </c:pt>
                <c:pt idx="102">
                  <c:v>44853</c:v>
                </c:pt>
                <c:pt idx="103">
                  <c:v>44854</c:v>
                </c:pt>
                <c:pt idx="104">
                  <c:v>44855</c:v>
                </c:pt>
                <c:pt idx="105">
                  <c:v>44856</c:v>
                </c:pt>
                <c:pt idx="106">
                  <c:v>44857</c:v>
                </c:pt>
                <c:pt idx="107">
                  <c:v>44858</c:v>
                </c:pt>
                <c:pt idx="108">
                  <c:v>44859</c:v>
                </c:pt>
                <c:pt idx="109">
                  <c:v>44860</c:v>
                </c:pt>
                <c:pt idx="110">
                  <c:v>44861</c:v>
                </c:pt>
                <c:pt idx="111">
                  <c:v>44862</c:v>
                </c:pt>
                <c:pt idx="112">
                  <c:v>44863</c:v>
                </c:pt>
                <c:pt idx="113">
                  <c:v>44864</c:v>
                </c:pt>
                <c:pt idx="114">
                  <c:v>44865</c:v>
                </c:pt>
                <c:pt idx="115">
                  <c:v>44866</c:v>
                </c:pt>
                <c:pt idx="116">
                  <c:v>44867</c:v>
                </c:pt>
                <c:pt idx="117">
                  <c:v>44868</c:v>
                </c:pt>
                <c:pt idx="118">
                  <c:v>44869</c:v>
                </c:pt>
                <c:pt idx="119">
                  <c:v>44870</c:v>
                </c:pt>
                <c:pt idx="120">
                  <c:v>44871</c:v>
                </c:pt>
                <c:pt idx="121">
                  <c:v>44872</c:v>
                </c:pt>
                <c:pt idx="122">
                  <c:v>44873</c:v>
                </c:pt>
                <c:pt idx="123">
                  <c:v>44874</c:v>
                </c:pt>
                <c:pt idx="124">
                  <c:v>44875</c:v>
                </c:pt>
                <c:pt idx="125">
                  <c:v>44876</c:v>
                </c:pt>
                <c:pt idx="126">
                  <c:v>44877</c:v>
                </c:pt>
                <c:pt idx="127">
                  <c:v>44878</c:v>
                </c:pt>
                <c:pt idx="128">
                  <c:v>44879</c:v>
                </c:pt>
                <c:pt idx="129">
                  <c:v>44880</c:v>
                </c:pt>
                <c:pt idx="130">
                  <c:v>44881</c:v>
                </c:pt>
                <c:pt idx="131">
                  <c:v>44882</c:v>
                </c:pt>
                <c:pt idx="132">
                  <c:v>44883</c:v>
                </c:pt>
                <c:pt idx="133">
                  <c:v>44884</c:v>
                </c:pt>
                <c:pt idx="134">
                  <c:v>44885</c:v>
                </c:pt>
                <c:pt idx="135">
                  <c:v>44886</c:v>
                </c:pt>
                <c:pt idx="136">
                  <c:v>44887</c:v>
                </c:pt>
                <c:pt idx="137">
                  <c:v>44888</c:v>
                </c:pt>
                <c:pt idx="138">
                  <c:v>44889</c:v>
                </c:pt>
                <c:pt idx="139">
                  <c:v>44890</c:v>
                </c:pt>
                <c:pt idx="140">
                  <c:v>44891</c:v>
                </c:pt>
                <c:pt idx="141">
                  <c:v>44892</c:v>
                </c:pt>
                <c:pt idx="142">
                  <c:v>44893</c:v>
                </c:pt>
                <c:pt idx="143">
                  <c:v>44894</c:v>
                </c:pt>
                <c:pt idx="144">
                  <c:v>44895</c:v>
                </c:pt>
                <c:pt idx="145">
                  <c:v>44896</c:v>
                </c:pt>
                <c:pt idx="146">
                  <c:v>44897</c:v>
                </c:pt>
                <c:pt idx="147">
                  <c:v>44898</c:v>
                </c:pt>
                <c:pt idx="148">
                  <c:v>44899</c:v>
                </c:pt>
                <c:pt idx="149">
                  <c:v>44900</c:v>
                </c:pt>
                <c:pt idx="150">
                  <c:v>44901</c:v>
                </c:pt>
                <c:pt idx="151">
                  <c:v>44902</c:v>
                </c:pt>
                <c:pt idx="152">
                  <c:v>44903</c:v>
                </c:pt>
                <c:pt idx="153">
                  <c:v>44904</c:v>
                </c:pt>
                <c:pt idx="154">
                  <c:v>44905</c:v>
                </c:pt>
                <c:pt idx="155">
                  <c:v>44906</c:v>
                </c:pt>
                <c:pt idx="156">
                  <c:v>44907</c:v>
                </c:pt>
                <c:pt idx="157">
                  <c:v>44908</c:v>
                </c:pt>
                <c:pt idx="158">
                  <c:v>44909</c:v>
                </c:pt>
                <c:pt idx="159">
                  <c:v>44910</c:v>
                </c:pt>
                <c:pt idx="160">
                  <c:v>44911</c:v>
                </c:pt>
                <c:pt idx="161">
                  <c:v>44912</c:v>
                </c:pt>
                <c:pt idx="162">
                  <c:v>44913</c:v>
                </c:pt>
                <c:pt idx="163">
                  <c:v>44914</c:v>
                </c:pt>
                <c:pt idx="164">
                  <c:v>44915</c:v>
                </c:pt>
                <c:pt idx="165">
                  <c:v>44916</c:v>
                </c:pt>
                <c:pt idx="166">
                  <c:v>44917</c:v>
                </c:pt>
                <c:pt idx="167">
                  <c:v>44918</c:v>
                </c:pt>
                <c:pt idx="168">
                  <c:v>44919</c:v>
                </c:pt>
                <c:pt idx="169">
                  <c:v>44920</c:v>
                </c:pt>
                <c:pt idx="170">
                  <c:v>44921</c:v>
                </c:pt>
                <c:pt idx="171">
                  <c:v>44922</c:v>
                </c:pt>
                <c:pt idx="172">
                  <c:v>44923</c:v>
                </c:pt>
                <c:pt idx="173">
                  <c:v>44924</c:v>
                </c:pt>
                <c:pt idx="174">
                  <c:v>44925</c:v>
                </c:pt>
                <c:pt idx="175">
                  <c:v>44926</c:v>
                </c:pt>
                <c:pt idx="176">
                  <c:v>44927</c:v>
                </c:pt>
                <c:pt idx="177">
                  <c:v>44928</c:v>
                </c:pt>
                <c:pt idx="178">
                  <c:v>44929</c:v>
                </c:pt>
                <c:pt idx="179">
                  <c:v>44930</c:v>
                </c:pt>
                <c:pt idx="180">
                  <c:v>44931</c:v>
                </c:pt>
                <c:pt idx="181">
                  <c:v>44932</c:v>
                </c:pt>
                <c:pt idx="182">
                  <c:v>44933</c:v>
                </c:pt>
                <c:pt idx="183">
                  <c:v>44934</c:v>
                </c:pt>
                <c:pt idx="184">
                  <c:v>44935</c:v>
                </c:pt>
                <c:pt idx="185">
                  <c:v>44936</c:v>
                </c:pt>
                <c:pt idx="186">
                  <c:v>44937</c:v>
                </c:pt>
                <c:pt idx="187">
                  <c:v>44938</c:v>
                </c:pt>
                <c:pt idx="188">
                  <c:v>44939</c:v>
                </c:pt>
                <c:pt idx="189">
                  <c:v>44940</c:v>
                </c:pt>
                <c:pt idx="190">
                  <c:v>44941</c:v>
                </c:pt>
                <c:pt idx="191">
                  <c:v>44942</c:v>
                </c:pt>
                <c:pt idx="192">
                  <c:v>44943</c:v>
                </c:pt>
                <c:pt idx="193">
                  <c:v>44944</c:v>
                </c:pt>
                <c:pt idx="194">
                  <c:v>44945</c:v>
                </c:pt>
                <c:pt idx="195">
                  <c:v>44946</c:v>
                </c:pt>
                <c:pt idx="196">
                  <c:v>44947</c:v>
                </c:pt>
                <c:pt idx="197">
                  <c:v>44948</c:v>
                </c:pt>
                <c:pt idx="198">
                  <c:v>44949</c:v>
                </c:pt>
                <c:pt idx="199">
                  <c:v>44950</c:v>
                </c:pt>
                <c:pt idx="200">
                  <c:v>44951</c:v>
                </c:pt>
                <c:pt idx="201">
                  <c:v>44952</c:v>
                </c:pt>
                <c:pt idx="202">
                  <c:v>44953</c:v>
                </c:pt>
                <c:pt idx="203">
                  <c:v>44954</c:v>
                </c:pt>
                <c:pt idx="204">
                  <c:v>44955</c:v>
                </c:pt>
                <c:pt idx="205">
                  <c:v>44956</c:v>
                </c:pt>
                <c:pt idx="206">
                  <c:v>44957</c:v>
                </c:pt>
                <c:pt idx="207">
                  <c:v>44958</c:v>
                </c:pt>
                <c:pt idx="208">
                  <c:v>44959</c:v>
                </c:pt>
                <c:pt idx="209">
                  <c:v>44960</c:v>
                </c:pt>
                <c:pt idx="210">
                  <c:v>44961</c:v>
                </c:pt>
                <c:pt idx="211">
                  <c:v>44962</c:v>
                </c:pt>
                <c:pt idx="212">
                  <c:v>44963</c:v>
                </c:pt>
                <c:pt idx="213">
                  <c:v>44964</c:v>
                </c:pt>
                <c:pt idx="214">
                  <c:v>44965</c:v>
                </c:pt>
                <c:pt idx="215">
                  <c:v>44966</c:v>
                </c:pt>
                <c:pt idx="216">
                  <c:v>44967</c:v>
                </c:pt>
                <c:pt idx="217">
                  <c:v>44968</c:v>
                </c:pt>
                <c:pt idx="218">
                  <c:v>44969</c:v>
                </c:pt>
                <c:pt idx="219">
                  <c:v>44970</c:v>
                </c:pt>
                <c:pt idx="220">
                  <c:v>44971</c:v>
                </c:pt>
                <c:pt idx="221">
                  <c:v>44972</c:v>
                </c:pt>
                <c:pt idx="222">
                  <c:v>44973</c:v>
                </c:pt>
                <c:pt idx="223">
                  <c:v>44974</c:v>
                </c:pt>
                <c:pt idx="224">
                  <c:v>44975</c:v>
                </c:pt>
                <c:pt idx="225">
                  <c:v>44976</c:v>
                </c:pt>
                <c:pt idx="226">
                  <c:v>44977</c:v>
                </c:pt>
                <c:pt idx="227">
                  <c:v>44978</c:v>
                </c:pt>
                <c:pt idx="228">
                  <c:v>44979</c:v>
                </c:pt>
                <c:pt idx="229">
                  <c:v>44980</c:v>
                </c:pt>
                <c:pt idx="230">
                  <c:v>44981</c:v>
                </c:pt>
                <c:pt idx="231">
                  <c:v>44982</c:v>
                </c:pt>
                <c:pt idx="232">
                  <c:v>44983</c:v>
                </c:pt>
                <c:pt idx="233">
                  <c:v>44984</c:v>
                </c:pt>
                <c:pt idx="234">
                  <c:v>44985</c:v>
                </c:pt>
                <c:pt idx="235">
                  <c:v>44986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109.80545454545455</c:v>
                </c:pt>
                <c:pt idx="2">
                  <c:v>114.93970743801653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118.45454545454544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119.49090909090908</c:v>
                </c:pt>
                <c:pt idx="88">
                  <c:v>120</c:v>
                </c:pt>
                <c:pt idx="89">
                  <c:v>119.63636363636364</c:v>
                </c:pt>
                <c:pt idx="90">
                  <c:v>119.26999945415048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119.05454545454546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118.18181818181819</c:v>
                </c:pt>
                <c:pt idx="103">
                  <c:v>115.1988557448044</c:v>
                </c:pt>
                <c:pt idx="104">
                  <c:v>115.3734691767738</c:v>
                </c:pt>
                <c:pt idx="105">
                  <c:v>116.37448664003392</c:v>
                </c:pt>
                <c:pt idx="106">
                  <c:v>118.52898284827738</c:v>
                </c:pt>
                <c:pt idx="107">
                  <c:v>118.69132309475297</c:v>
                </c:pt>
                <c:pt idx="108">
                  <c:v>115.86679618889598</c:v>
                </c:pt>
                <c:pt idx="109">
                  <c:v>111.54088202985665</c:v>
                </c:pt>
                <c:pt idx="110">
                  <c:v>112.17294775396152</c:v>
                </c:pt>
                <c:pt idx="111">
                  <c:v>114.73169318686575</c:v>
                </c:pt>
                <c:pt idx="112">
                  <c:v>113.72460353078952</c:v>
                </c:pt>
                <c:pt idx="113">
                  <c:v>111.66524402616295</c:v>
                </c:pt>
                <c:pt idx="114">
                  <c:v>108.42059884501569</c:v>
                </c:pt>
                <c:pt idx="115">
                  <c:v>106.12682004870575</c:v>
                </c:pt>
                <c:pt idx="116">
                  <c:v>101.77877102901107</c:v>
                </c:pt>
                <c:pt idx="117">
                  <c:v>101.13353564012037</c:v>
                </c:pt>
                <c:pt idx="118">
                  <c:v>101.75452935352349</c:v>
                </c:pt>
                <c:pt idx="119">
                  <c:v>107.64095133017997</c:v>
                </c:pt>
                <c:pt idx="120">
                  <c:v>109.3251222533338</c:v>
                </c:pt>
                <c:pt idx="121">
                  <c:v>111.3984505915674</c:v>
                </c:pt>
                <c:pt idx="122">
                  <c:v>111.6744678603845</c:v>
                </c:pt>
                <c:pt idx="123">
                  <c:v>111.99250815402529</c:v>
                </c:pt>
                <c:pt idx="124">
                  <c:v>110.63411120176008</c:v>
                </c:pt>
                <c:pt idx="125">
                  <c:v>107.56629637239443</c:v>
                </c:pt>
                <c:pt idx="126">
                  <c:v>108.37601237773499</c:v>
                </c:pt>
                <c:pt idx="127">
                  <c:v>107.57919449535234</c:v>
                </c:pt>
                <c:pt idx="128">
                  <c:v>107.07393948874787</c:v>
                </c:pt>
                <c:pt idx="129">
                  <c:v>104.56952250949293</c:v>
                </c:pt>
                <c:pt idx="130">
                  <c:v>106.47961674191714</c:v>
                </c:pt>
                <c:pt idx="131">
                  <c:v>104.21219730846371</c:v>
                </c:pt>
                <c:pt idx="132">
                  <c:v>102.05072860023698</c:v>
                </c:pt>
                <c:pt idx="133">
                  <c:v>98.888126428526917</c:v>
                </c:pt>
                <c:pt idx="134">
                  <c:v>97.490292697097374</c:v>
                </c:pt>
                <c:pt idx="135">
                  <c:v>97.232536087361311</c:v>
                </c:pt>
                <c:pt idx="136">
                  <c:v>99.034921403736647</c:v>
                </c:pt>
                <c:pt idx="137">
                  <c:v>98.437921630417179</c:v>
                </c:pt>
                <c:pt idx="138">
                  <c:v>97.112963861987282</c:v>
                </c:pt>
                <c:pt idx="139">
                  <c:v>95.877593084870639</c:v>
                </c:pt>
                <c:pt idx="140">
                  <c:v>93.764568230246667</c:v>
                </c:pt>
                <c:pt idx="141">
                  <c:v>93.980552636142249</c:v>
                </c:pt>
                <c:pt idx="142">
                  <c:v>96.570759272503679</c:v>
                </c:pt>
                <c:pt idx="143">
                  <c:v>95.276419613275053</c:v>
                </c:pt>
                <c:pt idx="144">
                  <c:v>94.362721879855911</c:v>
                </c:pt>
                <c:pt idx="145">
                  <c:v>91.33347501737552</c:v>
                </c:pt>
                <c:pt idx="146">
                  <c:v>95.310519955340865</c:v>
                </c:pt>
                <c:pt idx="147">
                  <c:v>92.338479633602219</c:v>
                </c:pt>
                <c:pt idx="148">
                  <c:v>97.709654716744893</c:v>
                </c:pt>
                <c:pt idx="149">
                  <c:v>100.48607229002552</c:v>
                </c:pt>
                <c:pt idx="150">
                  <c:v>100.7487326739685</c:v>
                </c:pt>
                <c:pt idx="151">
                  <c:v>101.38236880189186</c:v>
                </c:pt>
                <c:pt idx="152">
                  <c:v>99.055325454762269</c:v>
                </c:pt>
                <c:pt idx="153">
                  <c:v>94.811282809586785</c:v>
                </c:pt>
                <c:pt idx="154">
                  <c:v>93.667449474771516</c:v>
                </c:pt>
                <c:pt idx="155">
                  <c:v>89.021085885847981</c:v>
                </c:pt>
                <c:pt idx="156">
                  <c:v>86.332986662632408</c:v>
                </c:pt>
                <c:pt idx="157">
                  <c:v>82.928230232346337</c:v>
                </c:pt>
                <c:pt idx="158">
                  <c:v>84.112854480359886</c:v>
                </c:pt>
                <c:pt idx="159">
                  <c:v>82.188344801830041</c:v>
                </c:pt>
                <c:pt idx="160">
                  <c:v>85.614322715695707</c:v>
                </c:pt>
                <c:pt idx="161">
                  <c:v>87.667189447052436</c:v>
                </c:pt>
                <c:pt idx="162">
                  <c:v>89.393912540445442</c:v>
                </c:pt>
                <c:pt idx="163">
                  <c:v>90.399757656667489</c:v>
                </c:pt>
                <c:pt idx="164">
                  <c:v>85.877698464529772</c:v>
                </c:pt>
                <c:pt idx="165">
                  <c:v>86.115575070398975</c:v>
                </c:pt>
                <c:pt idx="166">
                  <c:v>82.254524007093053</c:v>
                </c:pt>
                <c:pt idx="167">
                  <c:v>79.518743555652065</c:v>
                </c:pt>
                <c:pt idx="168">
                  <c:v>78.942936117288525</c:v>
                </c:pt>
                <c:pt idx="169">
                  <c:v>80.834189130444116</c:v>
                </c:pt>
                <c:pt idx="170">
                  <c:v>75.640558696041168</c:v>
                </c:pt>
                <c:pt idx="171">
                  <c:v>72.179201081445513</c:v>
                </c:pt>
                <c:pt idx="172">
                  <c:v>66.717845613968251</c:v>
                </c:pt>
                <c:pt idx="173">
                  <c:v>65.35950420928431</c:v>
                </c:pt>
                <c:pt idx="174">
                  <c:v>67.3022215195017</c:v>
                </c:pt>
                <c:pt idx="175">
                  <c:v>77.095038948249297</c:v>
                </c:pt>
                <c:pt idx="176">
                  <c:v>74.694061876924465</c:v>
                </c:pt>
                <c:pt idx="177">
                  <c:v>69.536305835983555</c:v>
                </c:pt>
                <c:pt idx="178">
                  <c:v>64.452264492684264</c:v>
                </c:pt>
                <c:pt idx="179">
                  <c:v>59.348659606034872</c:v>
                </c:pt>
                <c:pt idx="180">
                  <c:v>55.408154053914494</c:v>
                </c:pt>
                <c:pt idx="181">
                  <c:v>52.301721576827482</c:v>
                </c:pt>
                <c:pt idx="182">
                  <c:v>49.051324451375145</c:v>
                </c:pt>
                <c:pt idx="183">
                  <c:v>48.38777555301705</c:v>
                </c:pt>
                <c:pt idx="184">
                  <c:v>48.351184469679751</c:v>
                </c:pt>
                <c:pt idx="185">
                  <c:v>45.104320933699135</c:v>
                </c:pt>
                <c:pt idx="186">
                  <c:v>42.362220103499752</c:v>
                </c:pt>
                <c:pt idx="187">
                  <c:v>39.289921330350488</c:v>
                </c:pt>
                <c:pt idx="188">
                  <c:v>41.572960012052924</c:v>
                </c:pt>
                <c:pt idx="189">
                  <c:v>40.908148761689908</c:v>
                </c:pt>
                <c:pt idx="190">
                  <c:v>38.631920771209124</c:v>
                </c:pt>
                <c:pt idx="191">
                  <c:v>39.698888645408374</c:v>
                </c:pt>
                <c:pt idx="192">
                  <c:v>40.271075341767315</c:v>
                </c:pt>
                <c:pt idx="193">
                  <c:v>39.615668538024565</c:v>
                </c:pt>
                <c:pt idx="194">
                  <c:v>39.141918376389071</c:v>
                </c:pt>
                <c:pt idx="195">
                  <c:v>36.58503398702284</c:v>
                </c:pt>
                <c:pt idx="196">
                  <c:v>47.736020753808717</c:v>
                </c:pt>
                <c:pt idx="197">
                  <c:v>49.1759789106016</c:v>
                </c:pt>
                <c:pt idx="198">
                  <c:v>47.955728409353398</c:v>
                </c:pt>
                <c:pt idx="199">
                  <c:v>48.641184066547979</c:v>
                </c:pt>
                <c:pt idx="200">
                  <c:v>49.610064576355136</c:v>
                </c:pt>
                <c:pt idx="201">
                  <c:v>45.988416866711887</c:v>
                </c:pt>
                <c:pt idx="202">
                  <c:v>45.210205736530767</c:v>
                </c:pt>
                <c:pt idx="203">
                  <c:v>42.907337258471614</c:v>
                </c:pt>
                <c:pt idx="204">
                  <c:v>41.365922476609221</c:v>
                </c:pt>
                <c:pt idx="205">
                  <c:v>41.833245865702445</c:v>
                </c:pt>
                <c:pt idx="206">
                  <c:v>41.614050195526822</c:v>
                </c:pt>
                <c:pt idx="207">
                  <c:v>38.276284399764364</c:v>
                </c:pt>
                <c:pt idx="208">
                  <c:v>40.659525733586094</c:v>
                </c:pt>
                <c:pt idx="209">
                  <c:v>37.21677059058333</c:v>
                </c:pt>
                <c:pt idx="210">
                  <c:v>41.387679791306105</c:v>
                </c:pt>
                <c:pt idx="211">
                  <c:v>40.576665865995949</c:v>
                </c:pt>
                <c:pt idx="212">
                  <c:v>35.736262898069938</c:v>
                </c:pt>
                <c:pt idx="213">
                  <c:v>32.388380657093457</c:v>
                </c:pt>
                <c:pt idx="214">
                  <c:v>31.866782148812579</c:v>
                </c:pt>
                <c:pt idx="215">
                  <c:v>29.523480280387076</c:v>
                </c:pt>
                <c:pt idx="216">
                  <c:v>28.477269915625147</c:v>
                </c:pt>
                <c:pt idx="217">
                  <c:v>29.224396424746729</c:v>
                </c:pt>
                <c:pt idx="218">
                  <c:v>30.526292923102062</c:v>
                </c:pt>
                <c:pt idx="219">
                  <c:v>27.868693142644684</c:v>
                </c:pt>
                <c:pt idx="220">
                  <c:v>27.770427502596025</c:v>
                </c:pt>
                <c:pt idx="221">
                  <c:v>29.441654755351735</c:v>
                </c:pt>
                <c:pt idx="222">
                  <c:v>29.573092113167547</c:v>
                </c:pt>
                <c:pt idx="223">
                  <c:v>34.797938159141097</c:v>
                </c:pt>
                <c:pt idx="224">
                  <c:v>34.167781784911433</c:v>
                </c:pt>
                <c:pt idx="225">
                  <c:v>34.004702246581353</c:v>
                </c:pt>
                <c:pt idx="226">
                  <c:v>38.269054776971238</c:v>
                </c:pt>
                <c:pt idx="227">
                  <c:v>40.806651016203759</c:v>
                </c:pt>
                <c:pt idx="228">
                  <c:v>40.724331325872413</c:v>
                </c:pt>
                <c:pt idx="229">
                  <c:v>43.53438813439449</c:v>
                </c:pt>
                <c:pt idx="230">
                  <c:v>43.581136018186946</c:v>
                </c:pt>
                <c:pt idx="231">
                  <c:v>42.79894157178488</c:v>
                </c:pt>
                <c:pt idx="232">
                  <c:v>43.546303388292564</c:v>
                </c:pt>
                <c:pt idx="233">
                  <c:v>43.652588569273483</c:v>
                </c:pt>
                <c:pt idx="234">
                  <c:v>47.58906468566817</c:v>
                </c:pt>
                <c:pt idx="235">
                  <c:v>52.518234601997094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44751</c:v>
                </c:pt>
                <c:pt idx="1">
                  <c:v>44752</c:v>
                </c:pt>
                <c:pt idx="2">
                  <c:v>44753</c:v>
                </c:pt>
                <c:pt idx="3">
                  <c:v>44754</c:v>
                </c:pt>
                <c:pt idx="4">
                  <c:v>44755</c:v>
                </c:pt>
                <c:pt idx="5">
                  <c:v>44756</c:v>
                </c:pt>
                <c:pt idx="6">
                  <c:v>44757</c:v>
                </c:pt>
                <c:pt idx="7">
                  <c:v>44758</c:v>
                </c:pt>
                <c:pt idx="8">
                  <c:v>44759</c:v>
                </c:pt>
                <c:pt idx="9">
                  <c:v>44760</c:v>
                </c:pt>
                <c:pt idx="10">
                  <c:v>44761</c:v>
                </c:pt>
                <c:pt idx="11">
                  <c:v>44762</c:v>
                </c:pt>
                <c:pt idx="12">
                  <c:v>44763</c:v>
                </c:pt>
                <c:pt idx="13">
                  <c:v>44764</c:v>
                </c:pt>
                <c:pt idx="14">
                  <c:v>44765</c:v>
                </c:pt>
                <c:pt idx="15">
                  <c:v>44766</c:v>
                </c:pt>
                <c:pt idx="16">
                  <c:v>44767</c:v>
                </c:pt>
                <c:pt idx="17">
                  <c:v>44768</c:v>
                </c:pt>
                <c:pt idx="18">
                  <c:v>44769</c:v>
                </c:pt>
                <c:pt idx="19">
                  <c:v>44770</c:v>
                </c:pt>
                <c:pt idx="20">
                  <c:v>44771</c:v>
                </c:pt>
                <c:pt idx="21">
                  <c:v>44772</c:v>
                </c:pt>
                <c:pt idx="22">
                  <c:v>44773</c:v>
                </c:pt>
                <c:pt idx="23">
                  <c:v>44774</c:v>
                </c:pt>
                <c:pt idx="24">
                  <c:v>44775</c:v>
                </c:pt>
                <c:pt idx="25">
                  <c:v>44776</c:v>
                </c:pt>
                <c:pt idx="26">
                  <c:v>44777</c:v>
                </c:pt>
                <c:pt idx="27">
                  <c:v>44778</c:v>
                </c:pt>
                <c:pt idx="28">
                  <c:v>44779</c:v>
                </c:pt>
                <c:pt idx="29">
                  <c:v>44780</c:v>
                </c:pt>
                <c:pt idx="30">
                  <c:v>44781</c:v>
                </c:pt>
                <c:pt idx="31">
                  <c:v>44782</c:v>
                </c:pt>
                <c:pt idx="32">
                  <c:v>44783</c:v>
                </c:pt>
                <c:pt idx="33">
                  <c:v>44784</c:v>
                </c:pt>
                <c:pt idx="34">
                  <c:v>44785</c:v>
                </c:pt>
                <c:pt idx="35">
                  <c:v>44786</c:v>
                </c:pt>
                <c:pt idx="36">
                  <c:v>44787</c:v>
                </c:pt>
                <c:pt idx="37">
                  <c:v>44788</c:v>
                </c:pt>
                <c:pt idx="38">
                  <c:v>44789</c:v>
                </c:pt>
                <c:pt idx="39">
                  <c:v>44790</c:v>
                </c:pt>
                <c:pt idx="40">
                  <c:v>44791</c:v>
                </c:pt>
                <c:pt idx="41">
                  <c:v>44792</c:v>
                </c:pt>
                <c:pt idx="42">
                  <c:v>44793</c:v>
                </c:pt>
                <c:pt idx="43">
                  <c:v>44794</c:v>
                </c:pt>
                <c:pt idx="44">
                  <c:v>44795</c:v>
                </c:pt>
                <c:pt idx="45">
                  <c:v>44796</c:v>
                </c:pt>
                <c:pt idx="46">
                  <c:v>44797</c:v>
                </c:pt>
                <c:pt idx="47">
                  <c:v>44798</c:v>
                </c:pt>
                <c:pt idx="48">
                  <c:v>44799</c:v>
                </c:pt>
                <c:pt idx="49">
                  <c:v>44800</c:v>
                </c:pt>
                <c:pt idx="50">
                  <c:v>44801</c:v>
                </c:pt>
                <c:pt idx="51">
                  <c:v>44802</c:v>
                </c:pt>
                <c:pt idx="52">
                  <c:v>44803</c:v>
                </c:pt>
                <c:pt idx="53">
                  <c:v>44804</c:v>
                </c:pt>
                <c:pt idx="54">
                  <c:v>44805</c:v>
                </c:pt>
                <c:pt idx="55">
                  <c:v>44806</c:v>
                </c:pt>
                <c:pt idx="56">
                  <c:v>44807</c:v>
                </c:pt>
                <c:pt idx="57">
                  <c:v>44808</c:v>
                </c:pt>
                <c:pt idx="58">
                  <c:v>44809</c:v>
                </c:pt>
                <c:pt idx="59">
                  <c:v>44810</c:v>
                </c:pt>
                <c:pt idx="60">
                  <c:v>44811</c:v>
                </c:pt>
                <c:pt idx="61">
                  <c:v>44812</c:v>
                </c:pt>
                <c:pt idx="62">
                  <c:v>44813</c:v>
                </c:pt>
                <c:pt idx="63">
                  <c:v>44814</c:v>
                </c:pt>
                <c:pt idx="64">
                  <c:v>44815</c:v>
                </c:pt>
                <c:pt idx="65">
                  <c:v>44816</c:v>
                </c:pt>
                <c:pt idx="66">
                  <c:v>44817</c:v>
                </c:pt>
                <c:pt idx="67">
                  <c:v>44818</c:v>
                </c:pt>
                <c:pt idx="68">
                  <c:v>44819</c:v>
                </c:pt>
                <c:pt idx="69">
                  <c:v>44820</c:v>
                </c:pt>
                <c:pt idx="70">
                  <c:v>44821</c:v>
                </c:pt>
                <c:pt idx="71">
                  <c:v>44822</c:v>
                </c:pt>
                <c:pt idx="72">
                  <c:v>44823</c:v>
                </c:pt>
                <c:pt idx="73">
                  <c:v>44824</c:v>
                </c:pt>
                <c:pt idx="74">
                  <c:v>44825</c:v>
                </c:pt>
                <c:pt idx="75">
                  <c:v>44826</c:v>
                </c:pt>
                <c:pt idx="76">
                  <c:v>44827</c:v>
                </c:pt>
                <c:pt idx="77">
                  <c:v>44828</c:v>
                </c:pt>
                <c:pt idx="78">
                  <c:v>44829</c:v>
                </c:pt>
                <c:pt idx="79">
                  <c:v>44830</c:v>
                </c:pt>
                <c:pt idx="80">
                  <c:v>44831</c:v>
                </c:pt>
                <c:pt idx="81">
                  <c:v>44832</c:v>
                </c:pt>
                <c:pt idx="82">
                  <c:v>44833</c:v>
                </c:pt>
                <c:pt idx="83">
                  <c:v>44834</c:v>
                </c:pt>
                <c:pt idx="84">
                  <c:v>44835</c:v>
                </c:pt>
                <c:pt idx="85">
                  <c:v>44836</c:v>
                </c:pt>
                <c:pt idx="86">
                  <c:v>44837</c:v>
                </c:pt>
                <c:pt idx="87">
                  <c:v>44838</c:v>
                </c:pt>
                <c:pt idx="88">
                  <c:v>44839</c:v>
                </c:pt>
                <c:pt idx="89">
                  <c:v>44840</c:v>
                </c:pt>
                <c:pt idx="90">
                  <c:v>44841</c:v>
                </c:pt>
                <c:pt idx="91">
                  <c:v>44842</c:v>
                </c:pt>
                <c:pt idx="92">
                  <c:v>44843</c:v>
                </c:pt>
                <c:pt idx="93">
                  <c:v>44844</c:v>
                </c:pt>
                <c:pt idx="94">
                  <c:v>44845</c:v>
                </c:pt>
                <c:pt idx="95">
                  <c:v>44846</c:v>
                </c:pt>
                <c:pt idx="96">
                  <c:v>44847</c:v>
                </c:pt>
                <c:pt idx="97">
                  <c:v>44848</c:v>
                </c:pt>
                <c:pt idx="98">
                  <c:v>44849</c:v>
                </c:pt>
                <c:pt idx="99">
                  <c:v>44850</c:v>
                </c:pt>
                <c:pt idx="100">
                  <c:v>44851</c:v>
                </c:pt>
                <c:pt idx="101">
                  <c:v>44852</c:v>
                </c:pt>
                <c:pt idx="102">
                  <c:v>44853</c:v>
                </c:pt>
                <c:pt idx="103">
                  <c:v>44854</c:v>
                </c:pt>
                <c:pt idx="104">
                  <c:v>44855</c:v>
                </c:pt>
                <c:pt idx="105">
                  <c:v>44856</c:v>
                </c:pt>
                <c:pt idx="106">
                  <c:v>44857</c:v>
                </c:pt>
                <c:pt idx="107">
                  <c:v>44858</c:v>
                </c:pt>
                <c:pt idx="108">
                  <c:v>44859</c:v>
                </c:pt>
                <c:pt idx="109">
                  <c:v>44860</c:v>
                </c:pt>
                <c:pt idx="110">
                  <c:v>44861</c:v>
                </c:pt>
                <c:pt idx="111">
                  <c:v>44862</c:v>
                </c:pt>
                <c:pt idx="112">
                  <c:v>44863</c:v>
                </c:pt>
                <c:pt idx="113">
                  <c:v>44864</c:v>
                </c:pt>
                <c:pt idx="114">
                  <c:v>44865</c:v>
                </c:pt>
                <c:pt idx="115">
                  <c:v>44866</c:v>
                </c:pt>
                <c:pt idx="116">
                  <c:v>44867</c:v>
                </c:pt>
                <c:pt idx="117">
                  <c:v>44868</c:v>
                </c:pt>
                <c:pt idx="118">
                  <c:v>44869</c:v>
                </c:pt>
                <c:pt idx="119">
                  <c:v>44870</c:v>
                </c:pt>
                <c:pt idx="120">
                  <c:v>44871</c:v>
                </c:pt>
                <c:pt idx="121">
                  <c:v>44872</c:v>
                </c:pt>
                <c:pt idx="122">
                  <c:v>44873</c:v>
                </c:pt>
                <c:pt idx="123">
                  <c:v>44874</c:v>
                </c:pt>
                <c:pt idx="124">
                  <c:v>44875</c:v>
                </c:pt>
                <c:pt idx="125">
                  <c:v>44876</c:v>
                </c:pt>
                <c:pt idx="126">
                  <c:v>44877</c:v>
                </c:pt>
                <c:pt idx="127">
                  <c:v>44878</c:v>
                </c:pt>
                <c:pt idx="128">
                  <c:v>44879</c:v>
                </c:pt>
                <c:pt idx="129">
                  <c:v>44880</c:v>
                </c:pt>
                <c:pt idx="130">
                  <c:v>44881</c:v>
                </c:pt>
                <c:pt idx="131">
                  <c:v>44882</c:v>
                </c:pt>
                <c:pt idx="132">
                  <c:v>44883</c:v>
                </c:pt>
                <c:pt idx="133">
                  <c:v>44884</c:v>
                </c:pt>
                <c:pt idx="134">
                  <c:v>44885</c:v>
                </c:pt>
                <c:pt idx="135">
                  <c:v>44886</c:v>
                </c:pt>
                <c:pt idx="136">
                  <c:v>44887</c:v>
                </c:pt>
                <c:pt idx="137">
                  <c:v>44888</c:v>
                </c:pt>
                <c:pt idx="138">
                  <c:v>44889</c:v>
                </c:pt>
                <c:pt idx="139">
                  <c:v>44890</c:v>
                </c:pt>
                <c:pt idx="140">
                  <c:v>44891</c:v>
                </c:pt>
                <c:pt idx="141">
                  <c:v>44892</c:v>
                </c:pt>
                <c:pt idx="142">
                  <c:v>44893</c:v>
                </c:pt>
                <c:pt idx="143">
                  <c:v>44894</c:v>
                </c:pt>
                <c:pt idx="144">
                  <c:v>44895</c:v>
                </c:pt>
                <c:pt idx="145">
                  <c:v>44896</c:v>
                </c:pt>
                <c:pt idx="146">
                  <c:v>44897</c:v>
                </c:pt>
                <c:pt idx="147">
                  <c:v>44898</c:v>
                </c:pt>
                <c:pt idx="148">
                  <c:v>44899</c:v>
                </c:pt>
                <c:pt idx="149">
                  <c:v>44900</c:v>
                </c:pt>
                <c:pt idx="150">
                  <c:v>44901</c:v>
                </c:pt>
                <c:pt idx="151">
                  <c:v>44902</c:v>
                </c:pt>
                <c:pt idx="152">
                  <c:v>44903</c:v>
                </c:pt>
                <c:pt idx="153">
                  <c:v>44904</c:v>
                </c:pt>
                <c:pt idx="154">
                  <c:v>44905</c:v>
                </c:pt>
                <c:pt idx="155">
                  <c:v>44906</c:v>
                </c:pt>
                <c:pt idx="156">
                  <c:v>44907</c:v>
                </c:pt>
                <c:pt idx="157">
                  <c:v>44908</c:v>
                </c:pt>
                <c:pt idx="158">
                  <c:v>44909</c:v>
                </c:pt>
                <c:pt idx="159">
                  <c:v>44910</c:v>
                </c:pt>
                <c:pt idx="160">
                  <c:v>44911</c:v>
                </c:pt>
                <c:pt idx="161">
                  <c:v>44912</c:v>
                </c:pt>
                <c:pt idx="162">
                  <c:v>44913</c:v>
                </c:pt>
                <c:pt idx="163">
                  <c:v>44914</c:v>
                </c:pt>
                <c:pt idx="164">
                  <c:v>44915</c:v>
                </c:pt>
                <c:pt idx="165">
                  <c:v>44916</c:v>
                </c:pt>
                <c:pt idx="166">
                  <c:v>44917</c:v>
                </c:pt>
                <c:pt idx="167">
                  <c:v>44918</c:v>
                </c:pt>
                <c:pt idx="168">
                  <c:v>44919</c:v>
                </c:pt>
                <c:pt idx="169">
                  <c:v>44920</c:v>
                </c:pt>
                <c:pt idx="170">
                  <c:v>44921</c:v>
                </c:pt>
                <c:pt idx="171">
                  <c:v>44922</c:v>
                </c:pt>
                <c:pt idx="172">
                  <c:v>44923</c:v>
                </c:pt>
                <c:pt idx="173">
                  <c:v>44924</c:v>
                </c:pt>
                <c:pt idx="174">
                  <c:v>44925</c:v>
                </c:pt>
                <c:pt idx="175">
                  <c:v>44926</c:v>
                </c:pt>
                <c:pt idx="176">
                  <c:v>44927</c:v>
                </c:pt>
                <c:pt idx="177">
                  <c:v>44928</c:v>
                </c:pt>
                <c:pt idx="178">
                  <c:v>44929</c:v>
                </c:pt>
                <c:pt idx="179">
                  <c:v>44930</c:v>
                </c:pt>
                <c:pt idx="180">
                  <c:v>44931</c:v>
                </c:pt>
                <c:pt idx="181">
                  <c:v>44932</c:v>
                </c:pt>
                <c:pt idx="182">
                  <c:v>44933</c:v>
                </c:pt>
                <c:pt idx="183">
                  <c:v>44934</c:v>
                </c:pt>
                <c:pt idx="184">
                  <c:v>44935</c:v>
                </c:pt>
                <c:pt idx="185">
                  <c:v>44936</c:v>
                </c:pt>
                <c:pt idx="186">
                  <c:v>44937</c:v>
                </c:pt>
                <c:pt idx="187">
                  <c:v>44938</c:v>
                </c:pt>
                <c:pt idx="188">
                  <c:v>44939</c:v>
                </c:pt>
                <c:pt idx="189">
                  <c:v>44940</c:v>
                </c:pt>
                <c:pt idx="190">
                  <c:v>44941</c:v>
                </c:pt>
                <c:pt idx="191">
                  <c:v>44942</c:v>
                </c:pt>
                <c:pt idx="192">
                  <c:v>44943</c:v>
                </c:pt>
                <c:pt idx="193">
                  <c:v>44944</c:v>
                </c:pt>
                <c:pt idx="194">
                  <c:v>44945</c:v>
                </c:pt>
                <c:pt idx="195">
                  <c:v>44946</c:v>
                </c:pt>
                <c:pt idx="196">
                  <c:v>44947</c:v>
                </c:pt>
                <c:pt idx="197">
                  <c:v>44948</c:v>
                </c:pt>
                <c:pt idx="198">
                  <c:v>44949</c:v>
                </c:pt>
                <c:pt idx="199">
                  <c:v>44950</c:v>
                </c:pt>
                <c:pt idx="200">
                  <c:v>44951</c:v>
                </c:pt>
                <c:pt idx="201">
                  <c:v>44952</c:v>
                </c:pt>
                <c:pt idx="202">
                  <c:v>44953</c:v>
                </c:pt>
                <c:pt idx="203">
                  <c:v>44954</c:v>
                </c:pt>
                <c:pt idx="204">
                  <c:v>44955</c:v>
                </c:pt>
                <c:pt idx="205">
                  <c:v>44956</c:v>
                </c:pt>
                <c:pt idx="206">
                  <c:v>44957</c:v>
                </c:pt>
                <c:pt idx="207">
                  <c:v>44958</c:v>
                </c:pt>
                <c:pt idx="208">
                  <c:v>44959</c:v>
                </c:pt>
                <c:pt idx="209">
                  <c:v>44960</c:v>
                </c:pt>
                <c:pt idx="210">
                  <c:v>44961</c:v>
                </c:pt>
                <c:pt idx="211">
                  <c:v>44962</c:v>
                </c:pt>
                <c:pt idx="212">
                  <c:v>44963</c:v>
                </c:pt>
                <c:pt idx="213">
                  <c:v>44964</c:v>
                </c:pt>
                <c:pt idx="214">
                  <c:v>44965</c:v>
                </c:pt>
                <c:pt idx="215">
                  <c:v>44966</c:v>
                </c:pt>
                <c:pt idx="216">
                  <c:v>44967</c:v>
                </c:pt>
                <c:pt idx="217">
                  <c:v>44968</c:v>
                </c:pt>
                <c:pt idx="218">
                  <c:v>44969</c:v>
                </c:pt>
                <c:pt idx="219">
                  <c:v>44970</c:v>
                </c:pt>
                <c:pt idx="220">
                  <c:v>44971</c:v>
                </c:pt>
                <c:pt idx="221">
                  <c:v>44972</c:v>
                </c:pt>
                <c:pt idx="222">
                  <c:v>44973</c:v>
                </c:pt>
                <c:pt idx="223">
                  <c:v>44974</c:v>
                </c:pt>
                <c:pt idx="224">
                  <c:v>44975</c:v>
                </c:pt>
                <c:pt idx="225">
                  <c:v>44976</c:v>
                </c:pt>
                <c:pt idx="226">
                  <c:v>44977</c:v>
                </c:pt>
                <c:pt idx="227">
                  <c:v>44978</c:v>
                </c:pt>
                <c:pt idx="228">
                  <c:v>44979</c:v>
                </c:pt>
                <c:pt idx="229">
                  <c:v>44980</c:v>
                </c:pt>
                <c:pt idx="230">
                  <c:v>44981</c:v>
                </c:pt>
                <c:pt idx="231">
                  <c:v>44982</c:v>
                </c:pt>
                <c:pt idx="232">
                  <c:v>44983</c:v>
                </c:pt>
                <c:pt idx="233">
                  <c:v>44984</c:v>
                </c:pt>
                <c:pt idx="234">
                  <c:v>44985</c:v>
                </c:pt>
                <c:pt idx="235">
                  <c:v>44986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44751</c:v>
                </c:pt>
                <c:pt idx="1">
                  <c:v>44752</c:v>
                </c:pt>
                <c:pt idx="2">
                  <c:v>44753</c:v>
                </c:pt>
                <c:pt idx="3">
                  <c:v>44754</c:v>
                </c:pt>
                <c:pt idx="4">
                  <c:v>44755</c:v>
                </c:pt>
                <c:pt idx="5">
                  <c:v>44756</c:v>
                </c:pt>
                <c:pt idx="6">
                  <c:v>44757</c:v>
                </c:pt>
                <c:pt idx="7">
                  <c:v>44758</c:v>
                </c:pt>
                <c:pt idx="8">
                  <c:v>44759</c:v>
                </c:pt>
                <c:pt idx="9">
                  <c:v>44760</c:v>
                </c:pt>
                <c:pt idx="10">
                  <c:v>44761</c:v>
                </c:pt>
                <c:pt idx="11">
                  <c:v>44762</c:v>
                </c:pt>
                <c:pt idx="12">
                  <c:v>44763</c:v>
                </c:pt>
                <c:pt idx="13">
                  <c:v>44764</c:v>
                </c:pt>
                <c:pt idx="14">
                  <c:v>44765</c:v>
                </c:pt>
                <c:pt idx="15">
                  <c:v>44766</c:v>
                </c:pt>
                <c:pt idx="16">
                  <c:v>44767</c:v>
                </c:pt>
                <c:pt idx="17">
                  <c:v>44768</c:v>
                </c:pt>
                <c:pt idx="18">
                  <c:v>44769</c:v>
                </c:pt>
                <c:pt idx="19">
                  <c:v>44770</c:v>
                </c:pt>
                <c:pt idx="20">
                  <c:v>44771</c:v>
                </c:pt>
                <c:pt idx="21">
                  <c:v>44772</c:v>
                </c:pt>
                <c:pt idx="22">
                  <c:v>44773</c:v>
                </c:pt>
                <c:pt idx="23">
                  <c:v>44774</c:v>
                </c:pt>
                <c:pt idx="24">
                  <c:v>44775</c:v>
                </c:pt>
                <c:pt idx="25">
                  <c:v>44776</c:v>
                </c:pt>
                <c:pt idx="26">
                  <c:v>44777</c:v>
                </c:pt>
                <c:pt idx="27">
                  <c:v>44778</c:v>
                </c:pt>
                <c:pt idx="28">
                  <c:v>44779</c:v>
                </c:pt>
                <c:pt idx="29">
                  <c:v>44780</c:v>
                </c:pt>
                <c:pt idx="30">
                  <c:v>44781</c:v>
                </c:pt>
                <c:pt idx="31">
                  <c:v>44782</c:v>
                </c:pt>
                <c:pt idx="32">
                  <c:v>44783</c:v>
                </c:pt>
                <c:pt idx="33">
                  <c:v>44784</c:v>
                </c:pt>
                <c:pt idx="34">
                  <c:v>44785</c:v>
                </c:pt>
                <c:pt idx="35">
                  <c:v>44786</c:v>
                </c:pt>
                <c:pt idx="36">
                  <c:v>44787</c:v>
                </c:pt>
                <c:pt idx="37">
                  <c:v>44788</c:v>
                </c:pt>
                <c:pt idx="38">
                  <c:v>44789</c:v>
                </c:pt>
                <c:pt idx="39">
                  <c:v>44790</c:v>
                </c:pt>
                <c:pt idx="40">
                  <c:v>44791</c:v>
                </c:pt>
                <c:pt idx="41">
                  <c:v>44792</c:v>
                </c:pt>
                <c:pt idx="42">
                  <c:v>44793</c:v>
                </c:pt>
                <c:pt idx="43">
                  <c:v>44794</c:v>
                </c:pt>
                <c:pt idx="44">
                  <c:v>44795</c:v>
                </c:pt>
                <c:pt idx="45">
                  <c:v>44796</c:v>
                </c:pt>
                <c:pt idx="46">
                  <c:v>44797</c:v>
                </c:pt>
                <c:pt idx="47">
                  <c:v>44798</c:v>
                </c:pt>
                <c:pt idx="48">
                  <c:v>44799</c:v>
                </c:pt>
                <c:pt idx="49">
                  <c:v>44800</c:v>
                </c:pt>
                <c:pt idx="50">
                  <c:v>44801</c:v>
                </c:pt>
                <c:pt idx="51">
                  <c:v>44802</c:v>
                </c:pt>
                <c:pt idx="52">
                  <c:v>44803</c:v>
                </c:pt>
                <c:pt idx="53">
                  <c:v>44804</c:v>
                </c:pt>
                <c:pt idx="54">
                  <c:v>44805</c:v>
                </c:pt>
                <c:pt idx="55">
                  <c:v>44806</c:v>
                </c:pt>
                <c:pt idx="56">
                  <c:v>44807</c:v>
                </c:pt>
                <c:pt idx="57">
                  <c:v>44808</c:v>
                </c:pt>
                <c:pt idx="58">
                  <c:v>44809</c:v>
                </c:pt>
                <c:pt idx="59">
                  <c:v>44810</c:v>
                </c:pt>
                <c:pt idx="60">
                  <c:v>44811</c:v>
                </c:pt>
                <c:pt idx="61">
                  <c:v>44812</c:v>
                </c:pt>
                <c:pt idx="62">
                  <c:v>44813</c:v>
                </c:pt>
                <c:pt idx="63">
                  <c:v>44814</c:v>
                </c:pt>
                <c:pt idx="64">
                  <c:v>44815</c:v>
                </c:pt>
                <c:pt idx="65">
                  <c:v>44816</c:v>
                </c:pt>
                <c:pt idx="66">
                  <c:v>44817</c:v>
                </c:pt>
                <c:pt idx="67">
                  <c:v>44818</c:v>
                </c:pt>
                <c:pt idx="68">
                  <c:v>44819</c:v>
                </c:pt>
                <c:pt idx="69">
                  <c:v>44820</c:v>
                </c:pt>
                <c:pt idx="70">
                  <c:v>44821</c:v>
                </c:pt>
                <c:pt idx="71">
                  <c:v>44822</c:v>
                </c:pt>
                <c:pt idx="72">
                  <c:v>44823</c:v>
                </c:pt>
                <c:pt idx="73">
                  <c:v>44824</c:v>
                </c:pt>
                <c:pt idx="74">
                  <c:v>44825</c:v>
                </c:pt>
                <c:pt idx="75">
                  <c:v>44826</c:v>
                </c:pt>
                <c:pt idx="76">
                  <c:v>44827</c:v>
                </c:pt>
                <c:pt idx="77">
                  <c:v>44828</c:v>
                </c:pt>
                <c:pt idx="78">
                  <c:v>44829</c:v>
                </c:pt>
                <c:pt idx="79">
                  <c:v>44830</c:v>
                </c:pt>
                <c:pt idx="80">
                  <c:v>44831</c:v>
                </c:pt>
                <c:pt idx="81">
                  <c:v>44832</c:v>
                </c:pt>
                <c:pt idx="82">
                  <c:v>44833</c:v>
                </c:pt>
                <c:pt idx="83">
                  <c:v>44834</c:v>
                </c:pt>
                <c:pt idx="84">
                  <c:v>44835</c:v>
                </c:pt>
                <c:pt idx="85">
                  <c:v>44836</c:v>
                </c:pt>
                <c:pt idx="86">
                  <c:v>44837</c:v>
                </c:pt>
                <c:pt idx="87">
                  <c:v>44838</c:v>
                </c:pt>
                <c:pt idx="88">
                  <c:v>44839</c:v>
                </c:pt>
                <c:pt idx="89">
                  <c:v>44840</c:v>
                </c:pt>
                <c:pt idx="90">
                  <c:v>44841</c:v>
                </c:pt>
                <c:pt idx="91">
                  <c:v>44842</c:v>
                </c:pt>
                <c:pt idx="92">
                  <c:v>44843</c:v>
                </c:pt>
                <c:pt idx="93">
                  <c:v>44844</c:v>
                </c:pt>
                <c:pt idx="94">
                  <c:v>44845</c:v>
                </c:pt>
                <c:pt idx="95">
                  <c:v>44846</c:v>
                </c:pt>
                <c:pt idx="96">
                  <c:v>44847</c:v>
                </c:pt>
                <c:pt idx="97">
                  <c:v>44848</c:v>
                </c:pt>
                <c:pt idx="98">
                  <c:v>44849</c:v>
                </c:pt>
                <c:pt idx="99">
                  <c:v>44850</c:v>
                </c:pt>
                <c:pt idx="100">
                  <c:v>44851</c:v>
                </c:pt>
                <c:pt idx="101">
                  <c:v>44852</c:v>
                </c:pt>
                <c:pt idx="102">
                  <c:v>44853</c:v>
                </c:pt>
                <c:pt idx="103">
                  <c:v>44854</c:v>
                </c:pt>
                <c:pt idx="104">
                  <c:v>44855</c:v>
                </c:pt>
                <c:pt idx="105">
                  <c:v>44856</c:v>
                </c:pt>
                <c:pt idx="106">
                  <c:v>44857</c:v>
                </c:pt>
                <c:pt idx="107">
                  <c:v>44858</c:v>
                </c:pt>
                <c:pt idx="108">
                  <c:v>44859</c:v>
                </c:pt>
                <c:pt idx="109">
                  <c:v>44860</c:v>
                </c:pt>
                <c:pt idx="110">
                  <c:v>44861</c:v>
                </c:pt>
                <c:pt idx="111">
                  <c:v>44862</c:v>
                </c:pt>
                <c:pt idx="112">
                  <c:v>44863</c:v>
                </c:pt>
                <c:pt idx="113">
                  <c:v>44864</c:v>
                </c:pt>
                <c:pt idx="114">
                  <c:v>44865</c:v>
                </c:pt>
                <c:pt idx="115">
                  <c:v>44866</c:v>
                </c:pt>
                <c:pt idx="116">
                  <c:v>44867</c:v>
                </c:pt>
                <c:pt idx="117">
                  <c:v>44868</c:v>
                </c:pt>
                <c:pt idx="118">
                  <c:v>44869</c:v>
                </c:pt>
                <c:pt idx="119">
                  <c:v>44870</c:v>
                </c:pt>
                <c:pt idx="120">
                  <c:v>44871</c:v>
                </c:pt>
                <c:pt idx="121">
                  <c:v>44872</c:v>
                </c:pt>
                <c:pt idx="122">
                  <c:v>44873</c:v>
                </c:pt>
                <c:pt idx="123">
                  <c:v>44874</c:v>
                </c:pt>
                <c:pt idx="124">
                  <c:v>44875</c:v>
                </c:pt>
                <c:pt idx="125">
                  <c:v>44876</c:v>
                </c:pt>
                <c:pt idx="126">
                  <c:v>44877</c:v>
                </c:pt>
                <c:pt idx="127">
                  <c:v>44878</c:v>
                </c:pt>
                <c:pt idx="128">
                  <c:v>44879</c:v>
                </c:pt>
                <c:pt idx="129">
                  <c:v>44880</c:v>
                </c:pt>
                <c:pt idx="130">
                  <c:v>44881</c:v>
                </c:pt>
                <c:pt idx="131">
                  <c:v>44882</c:v>
                </c:pt>
                <c:pt idx="132">
                  <c:v>44883</c:v>
                </c:pt>
                <c:pt idx="133">
                  <c:v>44884</c:v>
                </c:pt>
                <c:pt idx="134">
                  <c:v>44885</c:v>
                </c:pt>
                <c:pt idx="135">
                  <c:v>44886</c:v>
                </c:pt>
                <c:pt idx="136">
                  <c:v>44887</c:v>
                </c:pt>
                <c:pt idx="137">
                  <c:v>44888</c:v>
                </c:pt>
                <c:pt idx="138">
                  <c:v>44889</c:v>
                </c:pt>
                <c:pt idx="139">
                  <c:v>44890</c:v>
                </c:pt>
                <c:pt idx="140">
                  <c:v>44891</c:v>
                </c:pt>
                <c:pt idx="141">
                  <c:v>44892</c:v>
                </c:pt>
                <c:pt idx="142">
                  <c:v>44893</c:v>
                </c:pt>
                <c:pt idx="143">
                  <c:v>44894</c:v>
                </c:pt>
                <c:pt idx="144">
                  <c:v>44895</c:v>
                </c:pt>
                <c:pt idx="145">
                  <c:v>44896</c:v>
                </c:pt>
                <c:pt idx="146">
                  <c:v>44897</c:v>
                </c:pt>
                <c:pt idx="147">
                  <c:v>44898</c:v>
                </c:pt>
                <c:pt idx="148">
                  <c:v>44899</c:v>
                </c:pt>
                <c:pt idx="149">
                  <c:v>44900</c:v>
                </c:pt>
                <c:pt idx="150">
                  <c:v>44901</c:v>
                </c:pt>
                <c:pt idx="151">
                  <c:v>44902</c:v>
                </c:pt>
                <c:pt idx="152">
                  <c:v>44903</c:v>
                </c:pt>
                <c:pt idx="153">
                  <c:v>44904</c:v>
                </c:pt>
                <c:pt idx="154">
                  <c:v>44905</c:v>
                </c:pt>
                <c:pt idx="155">
                  <c:v>44906</c:v>
                </c:pt>
                <c:pt idx="156">
                  <c:v>44907</c:v>
                </c:pt>
                <c:pt idx="157">
                  <c:v>44908</c:v>
                </c:pt>
                <c:pt idx="158">
                  <c:v>44909</c:v>
                </c:pt>
                <c:pt idx="159">
                  <c:v>44910</c:v>
                </c:pt>
                <c:pt idx="160">
                  <c:v>44911</c:v>
                </c:pt>
                <c:pt idx="161">
                  <c:v>44912</c:v>
                </c:pt>
                <c:pt idx="162">
                  <c:v>44913</c:v>
                </c:pt>
                <c:pt idx="163">
                  <c:v>44914</c:v>
                </c:pt>
                <c:pt idx="164">
                  <c:v>44915</c:v>
                </c:pt>
                <c:pt idx="165">
                  <c:v>44916</c:v>
                </c:pt>
                <c:pt idx="166">
                  <c:v>44917</c:v>
                </c:pt>
                <c:pt idx="167">
                  <c:v>44918</c:v>
                </c:pt>
                <c:pt idx="168">
                  <c:v>44919</c:v>
                </c:pt>
                <c:pt idx="169">
                  <c:v>44920</c:v>
                </c:pt>
                <c:pt idx="170">
                  <c:v>44921</c:v>
                </c:pt>
                <c:pt idx="171">
                  <c:v>44922</c:v>
                </c:pt>
                <c:pt idx="172">
                  <c:v>44923</c:v>
                </c:pt>
                <c:pt idx="173">
                  <c:v>44924</c:v>
                </c:pt>
                <c:pt idx="174">
                  <c:v>44925</c:v>
                </c:pt>
                <c:pt idx="175">
                  <c:v>44926</c:v>
                </c:pt>
                <c:pt idx="176">
                  <c:v>44927</c:v>
                </c:pt>
                <c:pt idx="177">
                  <c:v>44928</c:v>
                </c:pt>
                <c:pt idx="178">
                  <c:v>44929</c:v>
                </c:pt>
                <c:pt idx="179">
                  <c:v>44930</c:v>
                </c:pt>
                <c:pt idx="180">
                  <c:v>44931</c:v>
                </c:pt>
                <c:pt idx="181">
                  <c:v>44932</c:v>
                </c:pt>
                <c:pt idx="182">
                  <c:v>44933</c:v>
                </c:pt>
                <c:pt idx="183">
                  <c:v>44934</c:v>
                </c:pt>
                <c:pt idx="184">
                  <c:v>44935</c:v>
                </c:pt>
                <c:pt idx="185">
                  <c:v>44936</c:v>
                </c:pt>
                <c:pt idx="186">
                  <c:v>44937</c:v>
                </c:pt>
                <c:pt idx="187">
                  <c:v>44938</c:v>
                </c:pt>
                <c:pt idx="188">
                  <c:v>44939</c:v>
                </c:pt>
                <c:pt idx="189">
                  <c:v>44940</c:v>
                </c:pt>
                <c:pt idx="190">
                  <c:v>44941</c:v>
                </c:pt>
                <c:pt idx="191">
                  <c:v>44942</c:v>
                </c:pt>
                <c:pt idx="192">
                  <c:v>44943</c:v>
                </c:pt>
                <c:pt idx="193">
                  <c:v>44944</c:v>
                </c:pt>
                <c:pt idx="194">
                  <c:v>44945</c:v>
                </c:pt>
                <c:pt idx="195">
                  <c:v>44946</c:v>
                </c:pt>
                <c:pt idx="196">
                  <c:v>44947</c:v>
                </c:pt>
                <c:pt idx="197">
                  <c:v>44948</c:v>
                </c:pt>
                <c:pt idx="198">
                  <c:v>44949</c:v>
                </c:pt>
                <c:pt idx="199">
                  <c:v>44950</c:v>
                </c:pt>
                <c:pt idx="200">
                  <c:v>44951</c:v>
                </c:pt>
                <c:pt idx="201">
                  <c:v>44952</c:v>
                </c:pt>
                <c:pt idx="202">
                  <c:v>44953</c:v>
                </c:pt>
                <c:pt idx="203">
                  <c:v>44954</c:v>
                </c:pt>
                <c:pt idx="204">
                  <c:v>44955</c:v>
                </c:pt>
                <c:pt idx="205">
                  <c:v>44956</c:v>
                </c:pt>
                <c:pt idx="206">
                  <c:v>44957</c:v>
                </c:pt>
                <c:pt idx="207">
                  <c:v>44958</c:v>
                </c:pt>
                <c:pt idx="208">
                  <c:v>44959</c:v>
                </c:pt>
                <c:pt idx="209">
                  <c:v>44960</c:v>
                </c:pt>
                <c:pt idx="210">
                  <c:v>44961</c:v>
                </c:pt>
                <c:pt idx="211">
                  <c:v>44962</c:v>
                </c:pt>
                <c:pt idx="212">
                  <c:v>44963</c:v>
                </c:pt>
                <c:pt idx="213">
                  <c:v>44964</c:v>
                </c:pt>
                <c:pt idx="214">
                  <c:v>44965</c:v>
                </c:pt>
                <c:pt idx="215">
                  <c:v>44966</c:v>
                </c:pt>
                <c:pt idx="216">
                  <c:v>44967</c:v>
                </c:pt>
                <c:pt idx="217">
                  <c:v>44968</c:v>
                </c:pt>
                <c:pt idx="218">
                  <c:v>44969</c:v>
                </c:pt>
                <c:pt idx="219">
                  <c:v>44970</c:v>
                </c:pt>
                <c:pt idx="220">
                  <c:v>44971</c:v>
                </c:pt>
                <c:pt idx="221">
                  <c:v>44972</c:v>
                </c:pt>
                <c:pt idx="222">
                  <c:v>44973</c:v>
                </c:pt>
                <c:pt idx="223">
                  <c:v>44974</c:v>
                </c:pt>
                <c:pt idx="224">
                  <c:v>44975</c:v>
                </c:pt>
                <c:pt idx="225">
                  <c:v>44976</c:v>
                </c:pt>
                <c:pt idx="226">
                  <c:v>44977</c:v>
                </c:pt>
                <c:pt idx="227">
                  <c:v>44978</c:v>
                </c:pt>
                <c:pt idx="228">
                  <c:v>44979</c:v>
                </c:pt>
                <c:pt idx="229">
                  <c:v>44980</c:v>
                </c:pt>
                <c:pt idx="230">
                  <c:v>44981</c:v>
                </c:pt>
                <c:pt idx="231">
                  <c:v>44982</c:v>
                </c:pt>
                <c:pt idx="232">
                  <c:v>44983</c:v>
                </c:pt>
                <c:pt idx="233">
                  <c:v>44984</c:v>
                </c:pt>
                <c:pt idx="234">
                  <c:v>44985</c:v>
                </c:pt>
                <c:pt idx="235">
                  <c:v>44986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3.0758758374655599</c:v>
                </c:pt>
                <c:pt idx="4">
                  <c:v>4.2958758374655588</c:v>
                </c:pt>
                <c:pt idx="5">
                  <c:v>7.5758758374655457</c:v>
                </c:pt>
                <c:pt idx="6">
                  <c:v>12.655875837465544</c:v>
                </c:pt>
                <c:pt idx="7">
                  <c:v>16.565875837465541</c:v>
                </c:pt>
                <c:pt idx="8">
                  <c:v>22.985875837465542</c:v>
                </c:pt>
                <c:pt idx="9">
                  <c:v>29.495875837465547</c:v>
                </c:pt>
                <c:pt idx="10">
                  <c:v>32.455875837465541</c:v>
                </c:pt>
                <c:pt idx="11">
                  <c:v>33.90587583746553</c:v>
                </c:pt>
                <c:pt idx="12">
                  <c:v>37.315875837465526</c:v>
                </c:pt>
                <c:pt idx="13">
                  <c:v>41.485875837465528</c:v>
                </c:pt>
                <c:pt idx="14">
                  <c:v>48.205875837465527</c:v>
                </c:pt>
                <c:pt idx="15">
                  <c:v>51.075875837465532</c:v>
                </c:pt>
                <c:pt idx="16">
                  <c:v>54.595875837465542</c:v>
                </c:pt>
                <c:pt idx="17">
                  <c:v>56.745875837465547</c:v>
                </c:pt>
                <c:pt idx="18">
                  <c:v>60.595875837465542</c:v>
                </c:pt>
                <c:pt idx="19">
                  <c:v>62.615875837465538</c:v>
                </c:pt>
                <c:pt idx="20">
                  <c:v>66.845875837465542</c:v>
                </c:pt>
                <c:pt idx="21">
                  <c:v>68.215875837465546</c:v>
                </c:pt>
                <c:pt idx="22">
                  <c:v>71.165875837465549</c:v>
                </c:pt>
                <c:pt idx="23">
                  <c:v>73.595875837465542</c:v>
                </c:pt>
                <c:pt idx="24">
                  <c:v>77.945875837465536</c:v>
                </c:pt>
                <c:pt idx="25">
                  <c:v>79.745875837465547</c:v>
                </c:pt>
                <c:pt idx="26">
                  <c:v>83.365875837465552</c:v>
                </c:pt>
                <c:pt idx="27">
                  <c:v>86.915875837465549</c:v>
                </c:pt>
                <c:pt idx="28">
                  <c:v>89.605875837465547</c:v>
                </c:pt>
                <c:pt idx="29">
                  <c:v>91.385875837465548</c:v>
                </c:pt>
                <c:pt idx="30">
                  <c:v>92.005875837465538</c:v>
                </c:pt>
                <c:pt idx="31">
                  <c:v>94.945875837465536</c:v>
                </c:pt>
                <c:pt idx="32">
                  <c:v>97.695875837465536</c:v>
                </c:pt>
                <c:pt idx="33">
                  <c:v>101.64587583746554</c:v>
                </c:pt>
                <c:pt idx="34">
                  <c:v>103.79587583746554</c:v>
                </c:pt>
                <c:pt idx="35">
                  <c:v>106.46587583746556</c:v>
                </c:pt>
                <c:pt idx="36">
                  <c:v>109.75587583746555</c:v>
                </c:pt>
                <c:pt idx="37">
                  <c:v>113.09587583746556</c:v>
                </c:pt>
                <c:pt idx="38">
                  <c:v>115.70587583746556</c:v>
                </c:pt>
                <c:pt idx="39">
                  <c:v>119.04587583746556</c:v>
                </c:pt>
                <c:pt idx="40">
                  <c:v>121.09587583746557</c:v>
                </c:pt>
                <c:pt idx="41">
                  <c:v>122.83587583746557</c:v>
                </c:pt>
                <c:pt idx="42">
                  <c:v>125.85587583746556</c:v>
                </c:pt>
                <c:pt idx="43">
                  <c:v>128.04587583746556</c:v>
                </c:pt>
                <c:pt idx="44">
                  <c:v>130.08587583746558</c:v>
                </c:pt>
                <c:pt idx="45">
                  <c:v>131.32587583746559</c:v>
                </c:pt>
                <c:pt idx="46">
                  <c:v>132.5958758374656</c:v>
                </c:pt>
                <c:pt idx="47">
                  <c:v>137.89587583746561</c:v>
                </c:pt>
                <c:pt idx="48">
                  <c:v>140.4358758374656</c:v>
                </c:pt>
                <c:pt idx="49">
                  <c:v>141.32587583746562</c:v>
                </c:pt>
                <c:pt idx="50">
                  <c:v>141.61587583746561</c:v>
                </c:pt>
                <c:pt idx="51">
                  <c:v>141.8458758374656</c:v>
                </c:pt>
                <c:pt idx="52">
                  <c:v>143.0058758374656</c:v>
                </c:pt>
                <c:pt idx="53">
                  <c:v>145.74587583746558</c:v>
                </c:pt>
                <c:pt idx="54">
                  <c:v>146.68587583746557</c:v>
                </c:pt>
                <c:pt idx="55">
                  <c:v>147.43587583746557</c:v>
                </c:pt>
                <c:pt idx="56">
                  <c:v>147.54587583746559</c:v>
                </c:pt>
                <c:pt idx="57">
                  <c:v>149.23587583746558</c:v>
                </c:pt>
                <c:pt idx="58">
                  <c:v>152.89587583746558</c:v>
                </c:pt>
                <c:pt idx="59">
                  <c:v>154.60587583746559</c:v>
                </c:pt>
                <c:pt idx="60">
                  <c:v>155.14587583746561</c:v>
                </c:pt>
                <c:pt idx="61">
                  <c:v>157.1558758374656</c:v>
                </c:pt>
                <c:pt idx="62">
                  <c:v>158.5958758374656</c:v>
                </c:pt>
                <c:pt idx="63">
                  <c:v>158.5958758374656</c:v>
                </c:pt>
                <c:pt idx="64">
                  <c:v>158.73559464592591</c:v>
                </c:pt>
                <c:pt idx="65">
                  <c:v>160.24559464592591</c:v>
                </c:pt>
                <c:pt idx="66">
                  <c:v>163.10559464592592</c:v>
                </c:pt>
                <c:pt idx="67">
                  <c:v>164.22559464592592</c:v>
                </c:pt>
                <c:pt idx="68">
                  <c:v>165.16559464592592</c:v>
                </c:pt>
                <c:pt idx="69">
                  <c:v>166.47559464592592</c:v>
                </c:pt>
                <c:pt idx="70">
                  <c:v>166.79559464592592</c:v>
                </c:pt>
                <c:pt idx="71">
                  <c:v>166.90559464592593</c:v>
                </c:pt>
                <c:pt idx="72">
                  <c:v>168.19559464592592</c:v>
                </c:pt>
                <c:pt idx="73">
                  <c:v>168.20559464592594</c:v>
                </c:pt>
                <c:pt idx="74">
                  <c:v>168.36559464592594</c:v>
                </c:pt>
                <c:pt idx="75">
                  <c:v>170.11559464592594</c:v>
                </c:pt>
                <c:pt idx="76">
                  <c:v>171.05559464592594</c:v>
                </c:pt>
                <c:pt idx="77">
                  <c:v>173.09559464592593</c:v>
                </c:pt>
                <c:pt idx="78">
                  <c:v>173.89559464592594</c:v>
                </c:pt>
                <c:pt idx="79">
                  <c:v>175.70559464592594</c:v>
                </c:pt>
                <c:pt idx="80">
                  <c:v>175.89559464592594</c:v>
                </c:pt>
                <c:pt idx="81">
                  <c:v>177.70559464592594</c:v>
                </c:pt>
                <c:pt idx="82">
                  <c:v>178.74559464592596</c:v>
                </c:pt>
                <c:pt idx="83">
                  <c:v>181.57559464592595</c:v>
                </c:pt>
                <c:pt idx="84">
                  <c:v>186.06559464592596</c:v>
                </c:pt>
                <c:pt idx="85">
                  <c:v>187.89559464592594</c:v>
                </c:pt>
                <c:pt idx="86">
                  <c:v>190.14559464592594</c:v>
                </c:pt>
                <c:pt idx="87">
                  <c:v>190.14559464592594</c:v>
                </c:pt>
                <c:pt idx="88">
                  <c:v>190.93859134999093</c:v>
                </c:pt>
                <c:pt idx="89">
                  <c:v>190.93859134999093</c:v>
                </c:pt>
                <c:pt idx="90">
                  <c:v>190.93859134999093</c:v>
                </c:pt>
                <c:pt idx="91">
                  <c:v>191.93336761026856</c:v>
                </c:pt>
                <c:pt idx="92">
                  <c:v>193.45336761026857</c:v>
                </c:pt>
                <c:pt idx="93">
                  <c:v>195.15336761026856</c:v>
                </c:pt>
                <c:pt idx="94">
                  <c:v>195.15336761026856</c:v>
                </c:pt>
                <c:pt idx="95">
                  <c:v>197.12621023966898</c:v>
                </c:pt>
                <c:pt idx="96">
                  <c:v>199.09621023966895</c:v>
                </c:pt>
                <c:pt idx="97">
                  <c:v>201.85621023966894</c:v>
                </c:pt>
                <c:pt idx="98">
                  <c:v>204.60621023966894</c:v>
                </c:pt>
                <c:pt idx="99">
                  <c:v>204.71621023966895</c:v>
                </c:pt>
                <c:pt idx="100">
                  <c:v>204.90621023966895</c:v>
                </c:pt>
                <c:pt idx="101">
                  <c:v>205.57621023966897</c:v>
                </c:pt>
                <c:pt idx="102">
                  <c:v>205.57621023966897</c:v>
                </c:pt>
                <c:pt idx="103">
                  <c:v>205.57621023966897</c:v>
                </c:pt>
                <c:pt idx="104">
                  <c:v>205.57621023966897</c:v>
                </c:pt>
                <c:pt idx="105">
                  <c:v>205.57621023966897</c:v>
                </c:pt>
                <c:pt idx="106">
                  <c:v>205.57621023966897</c:v>
                </c:pt>
                <c:pt idx="107">
                  <c:v>205.57621023966897</c:v>
                </c:pt>
                <c:pt idx="108">
                  <c:v>205.57621023966897</c:v>
                </c:pt>
                <c:pt idx="109">
                  <c:v>205.57621023966897</c:v>
                </c:pt>
                <c:pt idx="110">
                  <c:v>205.57621023966897</c:v>
                </c:pt>
                <c:pt idx="111">
                  <c:v>205.57621023966897</c:v>
                </c:pt>
                <c:pt idx="112">
                  <c:v>205.57621023966897</c:v>
                </c:pt>
                <c:pt idx="113">
                  <c:v>205.57621023966897</c:v>
                </c:pt>
                <c:pt idx="114">
                  <c:v>205.57621023966897</c:v>
                </c:pt>
                <c:pt idx="115">
                  <c:v>205.57621023966897</c:v>
                </c:pt>
                <c:pt idx="116">
                  <c:v>205.57621023966897</c:v>
                </c:pt>
                <c:pt idx="117">
                  <c:v>205.57621023966897</c:v>
                </c:pt>
                <c:pt idx="118">
                  <c:v>205.57621023966897</c:v>
                </c:pt>
                <c:pt idx="119">
                  <c:v>205.57621023966897</c:v>
                </c:pt>
                <c:pt idx="120">
                  <c:v>205.57621023966897</c:v>
                </c:pt>
                <c:pt idx="121">
                  <c:v>205.57621023966897</c:v>
                </c:pt>
                <c:pt idx="122">
                  <c:v>205.57621023966897</c:v>
                </c:pt>
                <c:pt idx="123">
                  <c:v>205.57621023966897</c:v>
                </c:pt>
                <c:pt idx="124">
                  <c:v>205.57621023966897</c:v>
                </c:pt>
                <c:pt idx="125">
                  <c:v>205.57621023966897</c:v>
                </c:pt>
                <c:pt idx="126">
                  <c:v>205.57621023966897</c:v>
                </c:pt>
                <c:pt idx="127">
                  <c:v>205.57621023966897</c:v>
                </c:pt>
                <c:pt idx="128">
                  <c:v>205.57621023966897</c:v>
                </c:pt>
                <c:pt idx="129">
                  <c:v>205.57621023966897</c:v>
                </c:pt>
                <c:pt idx="130">
                  <c:v>205.57621023966897</c:v>
                </c:pt>
                <c:pt idx="131">
                  <c:v>205.57621023966897</c:v>
                </c:pt>
                <c:pt idx="132">
                  <c:v>205.57621023966897</c:v>
                </c:pt>
                <c:pt idx="133">
                  <c:v>205.57621023966897</c:v>
                </c:pt>
                <c:pt idx="134">
                  <c:v>205.57621023966897</c:v>
                </c:pt>
                <c:pt idx="135">
                  <c:v>205.57621023966897</c:v>
                </c:pt>
                <c:pt idx="136">
                  <c:v>205.57621023966897</c:v>
                </c:pt>
                <c:pt idx="137">
                  <c:v>205.57621023966897</c:v>
                </c:pt>
                <c:pt idx="138">
                  <c:v>205.57621023966897</c:v>
                </c:pt>
                <c:pt idx="139">
                  <c:v>205.57621023966897</c:v>
                </c:pt>
                <c:pt idx="140">
                  <c:v>205.57621023966897</c:v>
                </c:pt>
                <c:pt idx="141">
                  <c:v>205.57621023966897</c:v>
                </c:pt>
                <c:pt idx="142">
                  <c:v>205.57621023966897</c:v>
                </c:pt>
                <c:pt idx="143">
                  <c:v>205.57621023966897</c:v>
                </c:pt>
                <c:pt idx="144">
                  <c:v>205.57621023966897</c:v>
                </c:pt>
                <c:pt idx="145">
                  <c:v>205.57621023966897</c:v>
                </c:pt>
                <c:pt idx="146">
                  <c:v>205.57621023966897</c:v>
                </c:pt>
                <c:pt idx="147">
                  <c:v>205.57621023966897</c:v>
                </c:pt>
                <c:pt idx="148">
                  <c:v>205.57621023966897</c:v>
                </c:pt>
                <c:pt idx="149">
                  <c:v>205.57621023966897</c:v>
                </c:pt>
                <c:pt idx="150">
                  <c:v>205.57621023966897</c:v>
                </c:pt>
                <c:pt idx="151">
                  <c:v>205.57621023966897</c:v>
                </c:pt>
                <c:pt idx="152">
                  <c:v>205.57621023966897</c:v>
                </c:pt>
                <c:pt idx="153">
                  <c:v>205.57621023966897</c:v>
                </c:pt>
                <c:pt idx="154">
                  <c:v>205.57621023966897</c:v>
                </c:pt>
                <c:pt idx="155">
                  <c:v>205.57621023966897</c:v>
                </c:pt>
                <c:pt idx="156">
                  <c:v>205.57621023966897</c:v>
                </c:pt>
                <c:pt idx="157">
                  <c:v>205.57621023966897</c:v>
                </c:pt>
                <c:pt idx="158">
                  <c:v>205.57621023966897</c:v>
                </c:pt>
                <c:pt idx="159">
                  <c:v>205.57621023966897</c:v>
                </c:pt>
                <c:pt idx="160">
                  <c:v>205.57621023966897</c:v>
                </c:pt>
                <c:pt idx="161">
                  <c:v>205.57621023966897</c:v>
                </c:pt>
                <c:pt idx="162">
                  <c:v>205.57621023966897</c:v>
                </c:pt>
                <c:pt idx="163">
                  <c:v>205.57621023966897</c:v>
                </c:pt>
                <c:pt idx="164">
                  <c:v>205.57621023966897</c:v>
                </c:pt>
                <c:pt idx="165">
                  <c:v>205.57621023966897</c:v>
                </c:pt>
                <c:pt idx="166">
                  <c:v>205.57621023966897</c:v>
                </c:pt>
                <c:pt idx="167">
                  <c:v>205.57621023966897</c:v>
                </c:pt>
                <c:pt idx="168">
                  <c:v>205.57621023966897</c:v>
                </c:pt>
                <c:pt idx="169">
                  <c:v>205.57621023966897</c:v>
                </c:pt>
                <c:pt idx="170">
                  <c:v>205.57621023966897</c:v>
                </c:pt>
                <c:pt idx="171">
                  <c:v>205.57621023966897</c:v>
                </c:pt>
                <c:pt idx="172">
                  <c:v>205.57621023966897</c:v>
                </c:pt>
                <c:pt idx="173">
                  <c:v>205.57621023966897</c:v>
                </c:pt>
                <c:pt idx="174">
                  <c:v>205.57621023966897</c:v>
                </c:pt>
                <c:pt idx="175">
                  <c:v>205.57621023966897</c:v>
                </c:pt>
                <c:pt idx="176">
                  <c:v>205.57621023966897</c:v>
                </c:pt>
                <c:pt idx="177">
                  <c:v>205.57621023966897</c:v>
                </c:pt>
                <c:pt idx="178">
                  <c:v>205.57621023966897</c:v>
                </c:pt>
                <c:pt idx="179">
                  <c:v>205.57621023966897</c:v>
                </c:pt>
                <c:pt idx="180">
                  <c:v>205.57621023966897</c:v>
                </c:pt>
                <c:pt idx="181">
                  <c:v>205.57621023966897</c:v>
                </c:pt>
                <c:pt idx="182">
                  <c:v>205.57621023966897</c:v>
                </c:pt>
                <c:pt idx="183">
                  <c:v>205.57621023966897</c:v>
                </c:pt>
                <c:pt idx="184">
                  <c:v>205.57621023966897</c:v>
                </c:pt>
                <c:pt idx="185">
                  <c:v>205.57621023966897</c:v>
                </c:pt>
                <c:pt idx="186">
                  <c:v>205.57621023966897</c:v>
                </c:pt>
                <c:pt idx="187">
                  <c:v>205.57621023966897</c:v>
                </c:pt>
                <c:pt idx="188">
                  <c:v>205.57621023966897</c:v>
                </c:pt>
                <c:pt idx="189">
                  <c:v>205.57621023966897</c:v>
                </c:pt>
                <c:pt idx="190">
                  <c:v>205.57621023966897</c:v>
                </c:pt>
                <c:pt idx="191">
                  <c:v>205.57621023966897</c:v>
                </c:pt>
                <c:pt idx="192">
                  <c:v>205.57621023966897</c:v>
                </c:pt>
                <c:pt idx="193">
                  <c:v>205.57621023966897</c:v>
                </c:pt>
                <c:pt idx="194">
                  <c:v>205.57621023966897</c:v>
                </c:pt>
                <c:pt idx="195">
                  <c:v>205.57621023966897</c:v>
                </c:pt>
                <c:pt idx="196">
                  <c:v>205.57621023966897</c:v>
                </c:pt>
                <c:pt idx="197">
                  <c:v>205.57621023966897</c:v>
                </c:pt>
                <c:pt idx="198">
                  <c:v>205.57621023966897</c:v>
                </c:pt>
                <c:pt idx="199">
                  <c:v>205.57621023966897</c:v>
                </c:pt>
                <c:pt idx="200">
                  <c:v>205.57621023966897</c:v>
                </c:pt>
                <c:pt idx="201">
                  <c:v>205.57621023966897</c:v>
                </c:pt>
                <c:pt idx="202">
                  <c:v>205.57621023966897</c:v>
                </c:pt>
                <c:pt idx="203">
                  <c:v>205.57621023966897</c:v>
                </c:pt>
                <c:pt idx="204">
                  <c:v>205.57621023966897</c:v>
                </c:pt>
                <c:pt idx="205">
                  <c:v>205.57621023966897</c:v>
                </c:pt>
                <c:pt idx="206">
                  <c:v>205.57621023966897</c:v>
                </c:pt>
                <c:pt idx="207">
                  <c:v>205.57621023966897</c:v>
                </c:pt>
                <c:pt idx="208">
                  <c:v>205.57621023966897</c:v>
                </c:pt>
                <c:pt idx="209">
                  <c:v>205.57621023966897</c:v>
                </c:pt>
                <c:pt idx="210">
                  <c:v>205.57621023966897</c:v>
                </c:pt>
                <c:pt idx="211">
                  <c:v>205.57621023966897</c:v>
                </c:pt>
                <c:pt idx="212">
                  <c:v>205.57621023966897</c:v>
                </c:pt>
                <c:pt idx="213">
                  <c:v>205.57621023966897</c:v>
                </c:pt>
                <c:pt idx="214">
                  <c:v>205.57621023966897</c:v>
                </c:pt>
                <c:pt idx="215">
                  <c:v>205.57621023966897</c:v>
                </c:pt>
                <c:pt idx="216">
                  <c:v>205.57621023966897</c:v>
                </c:pt>
                <c:pt idx="217">
                  <c:v>205.57621023966897</c:v>
                </c:pt>
                <c:pt idx="218">
                  <c:v>205.57621023966897</c:v>
                </c:pt>
                <c:pt idx="219">
                  <c:v>205.57621023966897</c:v>
                </c:pt>
                <c:pt idx="220">
                  <c:v>205.57621023966897</c:v>
                </c:pt>
                <c:pt idx="221">
                  <c:v>205.57621023966897</c:v>
                </c:pt>
                <c:pt idx="222">
                  <c:v>205.57621023966897</c:v>
                </c:pt>
                <c:pt idx="223">
                  <c:v>205.57621023966897</c:v>
                </c:pt>
                <c:pt idx="224">
                  <c:v>205.57621023966897</c:v>
                </c:pt>
                <c:pt idx="225">
                  <c:v>205.57621023966897</c:v>
                </c:pt>
                <c:pt idx="226">
                  <c:v>205.57621023966897</c:v>
                </c:pt>
                <c:pt idx="227">
                  <c:v>205.57621023966897</c:v>
                </c:pt>
                <c:pt idx="228">
                  <c:v>205.57621023966897</c:v>
                </c:pt>
                <c:pt idx="229">
                  <c:v>205.57621023966897</c:v>
                </c:pt>
                <c:pt idx="230">
                  <c:v>205.57621023966897</c:v>
                </c:pt>
                <c:pt idx="231">
                  <c:v>205.57621023966897</c:v>
                </c:pt>
                <c:pt idx="232">
                  <c:v>205.57621023966897</c:v>
                </c:pt>
                <c:pt idx="233">
                  <c:v>205.57621023966897</c:v>
                </c:pt>
                <c:pt idx="234">
                  <c:v>205.57621023966897</c:v>
                </c:pt>
                <c:pt idx="235">
                  <c:v>205.57621023966897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44751</c:v>
                </c:pt>
                <c:pt idx="1">
                  <c:v>44752</c:v>
                </c:pt>
                <c:pt idx="2">
                  <c:v>44753</c:v>
                </c:pt>
                <c:pt idx="3">
                  <c:v>44754</c:v>
                </c:pt>
                <c:pt idx="4">
                  <c:v>44755</c:v>
                </c:pt>
                <c:pt idx="5">
                  <c:v>44756</c:v>
                </c:pt>
                <c:pt idx="6">
                  <c:v>44757</c:v>
                </c:pt>
                <c:pt idx="7">
                  <c:v>44758</c:v>
                </c:pt>
                <c:pt idx="8">
                  <c:v>44759</c:v>
                </c:pt>
                <c:pt idx="9">
                  <c:v>44760</c:v>
                </c:pt>
                <c:pt idx="10">
                  <c:v>44761</c:v>
                </c:pt>
                <c:pt idx="11">
                  <c:v>44762</c:v>
                </c:pt>
                <c:pt idx="12">
                  <c:v>44763</c:v>
                </c:pt>
                <c:pt idx="13">
                  <c:v>44764</c:v>
                </c:pt>
                <c:pt idx="14">
                  <c:v>44765</c:v>
                </c:pt>
                <c:pt idx="15">
                  <c:v>44766</c:v>
                </c:pt>
                <c:pt idx="16">
                  <c:v>44767</c:v>
                </c:pt>
                <c:pt idx="17">
                  <c:v>44768</c:v>
                </c:pt>
                <c:pt idx="18">
                  <c:v>44769</c:v>
                </c:pt>
                <c:pt idx="19">
                  <c:v>44770</c:v>
                </c:pt>
                <c:pt idx="20">
                  <c:v>44771</c:v>
                </c:pt>
                <c:pt idx="21">
                  <c:v>44772</c:v>
                </c:pt>
                <c:pt idx="22">
                  <c:v>44773</c:v>
                </c:pt>
                <c:pt idx="23">
                  <c:v>44774</c:v>
                </c:pt>
                <c:pt idx="24">
                  <c:v>44775</c:v>
                </c:pt>
                <c:pt idx="25">
                  <c:v>44776</c:v>
                </c:pt>
                <c:pt idx="26">
                  <c:v>44777</c:v>
                </c:pt>
                <c:pt idx="27">
                  <c:v>44778</c:v>
                </c:pt>
                <c:pt idx="28">
                  <c:v>44779</c:v>
                </c:pt>
                <c:pt idx="29">
                  <c:v>44780</c:v>
                </c:pt>
                <c:pt idx="30">
                  <c:v>44781</c:v>
                </c:pt>
                <c:pt idx="31">
                  <c:v>44782</c:v>
                </c:pt>
                <c:pt idx="32">
                  <c:v>44783</c:v>
                </c:pt>
                <c:pt idx="33">
                  <c:v>44784</c:v>
                </c:pt>
                <c:pt idx="34">
                  <c:v>44785</c:v>
                </c:pt>
                <c:pt idx="35">
                  <c:v>44786</c:v>
                </c:pt>
                <c:pt idx="36">
                  <c:v>44787</c:v>
                </c:pt>
                <c:pt idx="37">
                  <c:v>44788</c:v>
                </c:pt>
                <c:pt idx="38">
                  <c:v>44789</c:v>
                </c:pt>
                <c:pt idx="39">
                  <c:v>44790</c:v>
                </c:pt>
                <c:pt idx="40">
                  <c:v>44791</c:v>
                </c:pt>
                <c:pt idx="41">
                  <c:v>44792</c:v>
                </c:pt>
                <c:pt idx="42">
                  <c:v>44793</c:v>
                </c:pt>
                <c:pt idx="43">
                  <c:v>44794</c:v>
                </c:pt>
                <c:pt idx="44">
                  <c:v>44795</c:v>
                </c:pt>
                <c:pt idx="45">
                  <c:v>44796</c:v>
                </c:pt>
                <c:pt idx="46">
                  <c:v>44797</c:v>
                </c:pt>
                <c:pt idx="47">
                  <c:v>44798</c:v>
                </c:pt>
                <c:pt idx="48">
                  <c:v>44799</c:v>
                </c:pt>
                <c:pt idx="49">
                  <c:v>44800</c:v>
                </c:pt>
                <c:pt idx="50">
                  <c:v>44801</c:v>
                </c:pt>
                <c:pt idx="51">
                  <c:v>44802</c:v>
                </c:pt>
                <c:pt idx="52">
                  <c:v>44803</c:v>
                </c:pt>
                <c:pt idx="53">
                  <c:v>44804</c:v>
                </c:pt>
                <c:pt idx="54">
                  <c:v>44805</c:v>
                </c:pt>
                <c:pt idx="55">
                  <c:v>44806</c:v>
                </c:pt>
                <c:pt idx="56">
                  <c:v>44807</c:v>
                </c:pt>
                <c:pt idx="57">
                  <c:v>44808</c:v>
                </c:pt>
                <c:pt idx="58">
                  <c:v>44809</c:v>
                </c:pt>
                <c:pt idx="59">
                  <c:v>44810</c:v>
                </c:pt>
                <c:pt idx="60">
                  <c:v>44811</c:v>
                </c:pt>
                <c:pt idx="61">
                  <c:v>44812</c:v>
                </c:pt>
                <c:pt idx="62">
                  <c:v>44813</c:v>
                </c:pt>
                <c:pt idx="63">
                  <c:v>44814</c:v>
                </c:pt>
                <c:pt idx="64">
                  <c:v>44815</c:v>
                </c:pt>
                <c:pt idx="65">
                  <c:v>44816</c:v>
                </c:pt>
                <c:pt idx="66">
                  <c:v>44817</c:v>
                </c:pt>
                <c:pt idx="67">
                  <c:v>44818</c:v>
                </c:pt>
                <c:pt idx="68">
                  <c:v>44819</c:v>
                </c:pt>
                <c:pt idx="69">
                  <c:v>44820</c:v>
                </c:pt>
                <c:pt idx="70">
                  <c:v>44821</c:v>
                </c:pt>
                <c:pt idx="71">
                  <c:v>44822</c:v>
                </c:pt>
                <c:pt idx="72">
                  <c:v>44823</c:v>
                </c:pt>
                <c:pt idx="73">
                  <c:v>44824</c:v>
                </c:pt>
                <c:pt idx="74">
                  <c:v>44825</c:v>
                </c:pt>
                <c:pt idx="75">
                  <c:v>44826</c:v>
                </c:pt>
                <c:pt idx="76">
                  <c:v>44827</c:v>
                </c:pt>
                <c:pt idx="77">
                  <c:v>44828</c:v>
                </c:pt>
                <c:pt idx="78">
                  <c:v>44829</c:v>
                </c:pt>
                <c:pt idx="79">
                  <c:v>44830</c:v>
                </c:pt>
                <c:pt idx="80">
                  <c:v>44831</c:v>
                </c:pt>
                <c:pt idx="81">
                  <c:v>44832</c:v>
                </c:pt>
                <c:pt idx="82">
                  <c:v>44833</c:v>
                </c:pt>
                <c:pt idx="83">
                  <c:v>44834</c:v>
                </c:pt>
                <c:pt idx="84">
                  <c:v>44835</c:v>
                </c:pt>
                <c:pt idx="85">
                  <c:v>44836</c:v>
                </c:pt>
                <c:pt idx="86">
                  <c:v>44837</c:v>
                </c:pt>
                <c:pt idx="87">
                  <c:v>44838</c:v>
                </c:pt>
                <c:pt idx="88">
                  <c:v>44839</c:v>
                </c:pt>
                <c:pt idx="89">
                  <c:v>44840</c:v>
                </c:pt>
                <c:pt idx="90">
                  <c:v>44841</c:v>
                </c:pt>
                <c:pt idx="91">
                  <c:v>44842</c:v>
                </c:pt>
                <c:pt idx="92">
                  <c:v>44843</c:v>
                </c:pt>
                <c:pt idx="93">
                  <c:v>44844</c:v>
                </c:pt>
                <c:pt idx="94">
                  <c:v>44845</c:v>
                </c:pt>
                <c:pt idx="95">
                  <c:v>44846</c:v>
                </c:pt>
                <c:pt idx="96">
                  <c:v>44847</c:v>
                </c:pt>
                <c:pt idx="97">
                  <c:v>44848</c:v>
                </c:pt>
                <c:pt idx="98">
                  <c:v>44849</c:v>
                </c:pt>
                <c:pt idx="99">
                  <c:v>44850</c:v>
                </c:pt>
                <c:pt idx="100">
                  <c:v>44851</c:v>
                </c:pt>
                <c:pt idx="101">
                  <c:v>44852</c:v>
                </c:pt>
                <c:pt idx="102">
                  <c:v>44853</c:v>
                </c:pt>
                <c:pt idx="103">
                  <c:v>44854</c:v>
                </c:pt>
                <c:pt idx="104">
                  <c:v>44855</c:v>
                </c:pt>
                <c:pt idx="105">
                  <c:v>44856</c:v>
                </c:pt>
                <c:pt idx="106">
                  <c:v>44857</c:v>
                </c:pt>
                <c:pt idx="107">
                  <c:v>44858</c:v>
                </c:pt>
                <c:pt idx="108">
                  <c:v>44859</c:v>
                </c:pt>
                <c:pt idx="109">
                  <c:v>44860</c:v>
                </c:pt>
                <c:pt idx="110">
                  <c:v>44861</c:v>
                </c:pt>
                <c:pt idx="111">
                  <c:v>44862</c:v>
                </c:pt>
                <c:pt idx="112">
                  <c:v>44863</c:v>
                </c:pt>
                <c:pt idx="113">
                  <c:v>44864</c:v>
                </c:pt>
                <c:pt idx="114">
                  <c:v>44865</c:v>
                </c:pt>
                <c:pt idx="115">
                  <c:v>44866</c:v>
                </c:pt>
                <c:pt idx="116">
                  <c:v>44867</c:v>
                </c:pt>
                <c:pt idx="117">
                  <c:v>44868</c:v>
                </c:pt>
                <c:pt idx="118">
                  <c:v>44869</c:v>
                </c:pt>
                <c:pt idx="119">
                  <c:v>44870</c:v>
                </c:pt>
                <c:pt idx="120">
                  <c:v>44871</c:v>
                </c:pt>
                <c:pt idx="121">
                  <c:v>44872</c:v>
                </c:pt>
                <c:pt idx="122">
                  <c:v>44873</c:v>
                </c:pt>
                <c:pt idx="123">
                  <c:v>44874</c:v>
                </c:pt>
                <c:pt idx="124">
                  <c:v>44875</c:v>
                </c:pt>
                <c:pt idx="125">
                  <c:v>44876</c:v>
                </c:pt>
                <c:pt idx="126">
                  <c:v>44877</c:v>
                </c:pt>
                <c:pt idx="127">
                  <c:v>44878</c:v>
                </c:pt>
                <c:pt idx="128">
                  <c:v>44879</c:v>
                </c:pt>
                <c:pt idx="129">
                  <c:v>44880</c:v>
                </c:pt>
                <c:pt idx="130">
                  <c:v>44881</c:v>
                </c:pt>
                <c:pt idx="131">
                  <c:v>44882</c:v>
                </c:pt>
                <c:pt idx="132">
                  <c:v>44883</c:v>
                </c:pt>
                <c:pt idx="133">
                  <c:v>44884</c:v>
                </c:pt>
                <c:pt idx="134">
                  <c:v>44885</c:v>
                </c:pt>
                <c:pt idx="135">
                  <c:v>44886</c:v>
                </c:pt>
                <c:pt idx="136">
                  <c:v>44887</c:v>
                </c:pt>
                <c:pt idx="137">
                  <c:v>44888</c:v>
                </c:pt>
                <c:pt idx="138">
                  <c:v>44889</c:v>
                </c:pt>
                <c:pt idx="139">
                  <c:v>44890</c:v>
                </c:pt>
                <c:pt idx="140">
                  <c:v>44891</c:v>
                </c:pt>
                <c:pt idx="141">
                  <c:v>44892</c:v>
                </c:pt>
                <c:pt idx="142">
                  <c:v>44893</c:v>
                </c:pt>
                <c:pt idx="143">
                  <c:v>44894</c:v>
                </c:pt>
                <c:pt idx="144">
                  <c:v>44895</c:v>
                </c:pt>
                <c:pt idx="145">
                  <c:v>44896</c:v>
                </c:pt>
                <c:pt idx="146">
                  <c:v>44897</c:v>
                </c:pt>
                <c:pt idx="147">
                  <c:v>44898</c:v>
                </c:pt>
                <c:pt idx="148">
                  <c:v>44899</c:v>
                </c:pt>
                <c:pt idx="149">
                  <c:v>44900</c:v>
                </c:pt>
                <c:pt idx="150">
                  <c:v>44901</c:v>
                </c:pt>
                <c:pt idx="151">
                  <c:v>44902</c:v>
                </c:pt>
                <c:pt idx="152">
                  <c:v>44903</c:v>
                </c:pt>
                <c:pt idx="153">
                  <c:v>44904</c:v>
                </c:pt>
                <c:pt idx="154">
                  <c:v>44905</c:v>
                </c:pt>
                <c:pt idx="155">
                  <c:v>44906</c:v>
                </c:pt>
                <c:pt idx="156">
                  <c:v>44907</c:v>
                </c:pt>
                <c:pt idx="157">
                  <c:v>44908</c:v>
                </c:pt>
                <c:pt idx="158">
                  <c:v>44909</c:v>
                </c:pt>
                <c:pt idx="159">
                  <c:v>44910</c:v>
                </c:pt>
                <c:pt idx="160">
                  <c:v>44911</c:v>
                </c:pt>
                <c:pt idx="161">
                  <c:v>44912</c:v>
                </c:pt>
                <c:pt idx="162">
                  <c:v>44913</c:v>
                </c:pt>
                <c:pt idx="163">
                  <c:v>44914</c:v>
                </c:pt>
                <c:pt idx="164">
                  <c:v>44915</c:v>
                </c:pt>
                <c:pt idx="165">
                  <c:v>44916</c:v>
                </c:pt>
                <c:pt idx="166">
                  <c:v>44917</c:v>
                </c:pt>
                <c:pt idx="167">
                  <c:v>44918</c:v>
                </c:pt>
                <c:pt idx="168">
                  <c:v>44919</c:v>
                </c:pt>
                <c:pt idx="169">
                  <c:v>44920</c:v>
                </c:pt>
                <c:pt idx="170">
                  <c:v>44921</c:v>
                </c:pt>
                <c:pt idx="171">
                  <c:v>44922</c:v>
                </c:pt>
                <c:pt idx="172">
                  <c:v>44923</c:v>
                </c:pt>
                <c:pt idx="173">
                  <c:v>44924</c:v>
                </c:pt>
                <c:pt idx="174">
                  <c:v>44925</c:v>
                </c:pt>
                <c:pt idx="175">
                  <c:v>44926</c:v>
                </c:pt>
                <c:pt idx="176">
                  <c:v>44927</c:v>
                </c:pt>
                <c:pt idx="177">
                  <c:v>44928</c:v>
                </c:pt>
                <c:pt idx="178">
                  <c:v>44929</c:v>
                </c:pt>
                <c:pt idx="179">
                  <c:v>44930</c:v>
                </c:pt>
                <c:pt idx="180">
                  <c:v>44931</c:v>
                </c:pt>
                <c:pt idx="181">
                  <c:v>44932</c:v>
                </c:pt>
                <c:pt idx="182">
                  <c:v>44933</c:v>
                </c:pt>
                <c:pt idx="183">
                  <c:v>44934</c:v>
                </c:pt>
                <c:pt idx="184">
                  <c:v>44935</c:v>
                </c:pt>
                <c:pt idx="185">
                  <c:v>44936</c:v>
                </c:pt>
                <c:pt idx="186">
                  <c:v>44937</c:v>
                </c:pt>
                <c:pt idx="187">
                  <c:v>44938</c:v>
                </c:pt>
                <c:pt idx="188">
                  <c:v>44939</c:v>
                </c:pt>
                <c:pt idx="189">
                  <c:v>44940</c:v>
                </c:pt>
                <c:pt idx="190">
                  <c:v>44941</c:v>
                </c:pt>
                <c:pt idx="191">
                  <c:v>44942</c:v>
                </c:pt>
                <c:pt idx="192">
                  <c:v>44943</c:v>
                </c:pt>
                <c:pt idx="193">
                  <c:v>44944</c:v>
                </c:pt>
                <c:pt idx="194">
                  <c:v>44945</c:v>
                </c:pt>
                <c:pt idx="195">
                  <c:v>44946</c:v>
                </c:pt>
                <c:pt idx="196">
                  <c:v>44947</c:v>
                </c:pt>
                <c:pt idx="197">
                  <c:v>44948</c:v>
                </c:pt>
                <c:pt idx="198">
                  <c:v>44949</c:v>
                </c:pt>
                <c:pt idx="199">
                  <c:v>44950</c:v>
                </c:pt>
                <c:pt idx="200">
                  <c:v>44951</c:v>
                </c:pt>
                <c:pt idx="201">
                  <c:v>44952</c:v>
                </c:pt>
                <c:pt idx="202">
                  <c:v>44953</c:v>
                </c:pt>
                <c:pt idx="203">
                  <c:v>44954</c:v>
                </c:pt>
                <c:pt idx="204">
                  <c:v>44955</c:v>
                </c:pt>
                <c:pt idx="205">
                  <c:v>44956</c:v>
                </c:pt>
                <c:pt idx="206">
                  <c:v>44957</c:v>
                </c:pt>
                <c:pt idx="207">
                  <c:v>44958</c:v>
                </c:pt>
                <c:pt idx="208">
                  <c:v>44959</c:v>
                </c:pt>
                <c:pt idx="209">
                  <c:v>44960</c:v>
                </c:pt>
                <c:pt idx="210">
                  <c:v>44961</c:v>
                </c:pt>
                <c:pt idx="211">
                  <c:v>44962</c:v>
                </c:pt>
                <c:pt idx="212">
                  <c:v>44963</c:v>
                </c:pt>
                <c:pt idx="213">
                  <c:v>44964</c:v>
                </c:pt>
                <c:pt idx="214">
                  <c:v>44965</c:v>
                </c:pt>
                <c:pt idx="215">
                  <c:v>44966</c:v>
                </c:pt>
                <c:pt idx="216">
                  <c:v>44967</c:v>
                </c:pt>
                <c:pt idx="217">
                  <c:v>44968</c:v>
                </c:pt>
                <c:pt idx="218">
                  <c:v>44969</c:v>
                </c:pt>
                <c:pt idx="219">
                  <c:v>44970</c:v>
                </c:pt>
                <c:pt idx="220">
                  <c:v>44971</c:v>
                </c:pt>
                <c:pt idx="221">
                  <c:v>44972</c:v>
                </c:pt>
                <c:pt idx="222">
                  <c:v>44973</c:v>
                </c:pt>
                <c:pt idx="223">
                  <c:v>44974</c:v>
                </c:pt>
                <c:pt idx="224">
                  <c:v>44975</c:v>
                </c:pt>
                <c:pt idx="225">
                  <c:v>44976</c:v>
                </c:pt>
                <c:pt idx="226">
                  <c:v>44977</c:v>
                </c:pt>
                <c:pt idx="227">
                  <c:v>44978</c:v>
                </c:pt>
                <c:pt idx="228">
                  <c:v>44979</c:v>
                </c:pt>
                <c:pt idx="229">
                  <c:v>44980</c:v>
                </c:pt>
                <c:pt idx="230">
                  <c:v>44981</c:v>
                </c:pt>
                <c:pt idx="231">
                  <c:v>44982</c:v>
                </c:pt>
                <c:pt idx="232">
                  <c:v>44983</c:v>
                </c:pt>
                <c:pt idx="233">
                  <c:v>44984</c:v>
                </c:pt>
                <c:pt idx="234">
                  <c:v>44985</c:v>
                </c:pt>
                <c:pt idx="235">
                  <c:v>44986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5.3542807394278899E-3</c:v>
                </c:pt>
                <c:pt idx="16">
                  <c:v>5.3542807394278899E-3</c:v>
                </c:pt>
                <c:pt idx="17">
                  <c:v>5.3542807394278899E-3</c:v>
                </c:pt>
                <c:pt idx="18">
                  <c:v>5.3542807394278899E-3</c:v>
                </c:pt>
                <c:pt idx="19">
                  <c:v>5.3542807394278899E-3</c:v>
                </c:pt>
                <c:pt idx="20">
                  <c:v>5.3542807394278899E-3</c:v>
                </c:pt>
                <c:pt idx="21">
                  <c:v>5.3542807394278899E-3</c:v>
                </c:pt>
                <c:pt idx="22">
                  <c:v>5.3542807394278899E-3</c:v>
                </c:pt>
                <c:pt idx="23">
                  <c:v>5.3542807394278899E-3</c:v>
                </c:pt>
                <c:pt idx="24">
                  <c:v>5.3542807394278899E-3</c:v>
                </c:pt>
                <c:pt idx="25">
                  <c:v>5.3542807394278899E-3</c:v>
                </c:pt>
                <c:pt idx="26">
                  <c:v>5.3542807394278899E-3</c:v>
                </c:pt>
                <c:pt idx="27">
                  <c:v>5.3542807394278899E-3</c:v>
                </c:pt>
                <c:pt idx="28">
                  <c:v>5.3542807394278899E-3</c:v>
                </c:pt>
                <c:pt idx="29">
                  <c:v>5.3542807394278899E-3</c:v>
                </c:pt>
                <c:pt idx="30">
                  <c:v>5.3542807394278899E-3</c:v>
                </c:pt>
                <c:pt idx="31">
                  <c:v>5.3542807394278899E-3</c:v>
                </c:pt>
                <c:pt idx="32">
                  <c:v>5.3542807394278899E-3</c:v>
                </c:pt>
                <c:pt idx="33">
                  <c:v>5.3542807394278899E-3</c:v>
                </c:pt>
                <c:pt idx="34">
                  <c:v>5.3542807394278899E-3</c:v>
                </c:pt>
                <c:pt idx="35">
                  <c:v>5.3542807394278899E-3</c:v>
                </c:pt>
                <c:pt idx="36">
                  <c:v>5.3542807394278899E-3</c:v>
                </c:pt>
                <c:pt idx="37">
                  <c:v>5.3542807394278899E-3</c:v>
                </c:pt>
                <c:pt idx="38">
                  <c:v>5.3542807394278899E-3</c:v>
                </c:pt>
                <c:pt idx="39">
                  <c:v>5.3542807394278899E-3</c:v>
                </c:pt>
                <c:pt idx="40">
                  <c:v>5.3542807394278899E-3</c:v>
                </c:pt>
                <c:pt idx="41">
                  <c:v>5.3542807394278899E-3</c:v>
                </c:pt>
                <c:pt idx="42">
                  <c:v>5.3542807394278899E-3</c:v>
                </c:pt>
                <c:pt idx="43">
                  <c:v>5.3542807394278899E-3</c:v>
                </c:pt>
                <c:pt idx="44">
                  <c:v>5.3542807394278899E-3</c:v>
                </c:pt>
                <c:pt idx="45">
                  <c:v>5.3542807394278899E-3</c:v>
                </c:pt>
                <c:pt idx="46">
                  <c:v>5.3542807394278899E-3</c:v>
                </c:pt>
                <c:pt idx="47">
                  <c:v>5.3542807394278899E-3</c:v>
                </c:pt>
                <c:pt idx="48">
                  <c:v>5.3542807394278899E-3</c:v>
                </c:pt>
                <c:pt idx="49">
                  <c:v>5.3542807394278899E-3</c:v>
                </c:pt>
                <c:pt idx="50">
                  <c:v>5.3542807394278899E-3</c:v>
                </c:pt>
                <c:pt idx="51">
                  <c:v>5.3542807394278899E-3</c:v>
                </c:pt>
                <c:pt idx="52">
                  <c:v>5.3542807394278899E-3</c:v>
                </c:pt>
                <c:pt idx="53">
                  <c:v>5.3542807394278899E-3</c:v>
                </c:pt>
                <c:pt idx="54">
                  <c:v>5.3542807394278899E-3</c:v>
                </c:pt>
                <c:pt idx="55">
                  <c:v>5.3542807394278899E-3</c:v>
                </c:pt>
                <c:pt idx="56">
                  <c:v>5.3542807394278899E-3</c:v>
                </c:pt>
                <c:pt idx="57">
                  <c:v>5.3542807394278899E-3</c:v>
                </c:pt>
                <c:pt idx="58">
                  <c:v>5.3542807394278899E-3</c:v>
                </c:pt>
                <c:pt idx="59">
                  <c:v>5.3542807394278899E-3</c:v>
                </c:pt>
                <c:pt idx="60">
                  <c:v>5.3542807394278899E-3</c:v>
                </c:pt>
                <c:pt idx="61">
                  <c:v>5.3542807394278899E-3</c:v>
                </c:pt>
                <c:pt idx="62">
                  <c:v>5.3542807394278899E-3</c:v>
                </c:pt>
                <c:pt idx="63">
                  <c:v>5.3542807394278899E-3</c:v>
                </c:pt>
                <c:pt idx="64">
                  <c:v>5.3542807394278899E-3</c:v>
                </c:pt>
                <c:pt idx="65">
                  <c:v>5.3542807394278899E-3</c:v>
                </c:pt>
                <c:pt idx="66">
                  <c:v>5.3542807394278899E-3</c:v>
                </c:pt>
                <c:pt idx="67">
                  <c:v>5.3542807394278899E-3</c:v>
                </c:pt>
                <c:pt idx="68">
                  <c:v>5.3542807394278899E-3</c:v>
                </c:pt>
                <c:pt idx="69">
                  <c:v>5.3542807394278899E-3</c:v>
                </c:pt>
                <c:pt idx="70">
                  <c:v>5.3542807394278899E-3</c:v>
                </c:pt>
                <c:pt idx="71">
                  <c:v>5.3542807394278899E-3</c:v>
                </c:pt>
                <c:pt idx="72">
                  <c:v>5.3542807394278899E-3</c:v>
                </c:pt>
                <c:pt idx="73">
                  <c:v>5.3542807394278899E-3</c:v>
                </c:pt>
                <c:pt idx="74">
                  <c:v>5.3542807394278899E-3</c:v>
                </c:pt>
                <c:pt idx="75">
                  <c:v>5.3542807394278899E-3</c:v>
                </c:pt>
                <c:pt idx="76">
                  <c:v>5.3542807394278899E-3</c:v>
                </c:pt>
                <c:pt idx="77">
                  <c:v>5.3542807394278899E-3</c:v>
                </c:pt>
                <c:pt idx="78">
                  <c:v>5.3542807394278899E-3</c:v>
                </c:pt>
                <c:pt idx="79">
                  <c:v>5.3542807394278899E-3</c:v>
                </c:pt>
                <c:pt idx="80">
                  <c:v>5.3542807394278899E-3</c:v>
                </c:pt>
                <c:pt idx="81">
                  <c:v>5.3542807394278899E-3</c:v>
                </c:pt>
                <c:pt idx="82">
                  <c:v>5.3542807394278899E-3</c:v>
                </c:pt>
                <c:pt idx="83">
                  <c:v>5.3542807394278899E-3</c:v>
                </c:pt>
                <c:pt idx="84">
                  <c:v>5.3542807394278899E-3</c:v>
                </c:pt>
                <c:pt idx="85">
                  <c:v>5.3542807394278899E-3</c:v>
                </c:pt>
                <c:pt idx="86">
                  <c:v>5.3542807394278899E-3</c:v>
                </c:pt>
                <c:pt idx="87">
                  <c:v>5.3542807394278899E-3</c:v>
                </c:pt>
                <c:pt idx="88">
                  <c:v>5.3542807394278899E-3</c:v>
                </c:pt>
                <c:pt idx="89">
                  <c:v>5.3542807394278899E-3</c:v>
                </c:pt>
                <c:pt idx="90">
                  <c:v>5.3542807394278899E-3</c:v>
                </c:pt>
                <c:pt idx="91">
                  <c:v>5.3542807394278899E-3</c:v>
                </c:pt>
                <c:pt idx="92">
                  <c:v>5.7137066261543634E-3</c:v>
                </c:pt>
                <c:pt idx="93">
                  <c:v>6.1253774553468414E-3</c:v>
                </c:pt>
                <c:pt idx="94">
                  <c:v>6.5819652717802758E-3</c:v>
                </c:pt>
                <c:pt idx="95">
                  <c:v>7.1038327004323476E-3</c:v>
                </c:pt>
                <c:pt idx="96">
                  <c:v>7.6613308176711609E-3</c:v>
                </c:pt>
                <c:pt idx="97">
                  <c:v>8.2383984854718303E-3</c:v>
                </c:pt>
                <c:pt idx="98">
                  <c:v>8.8361039610659938E-3</c:v>
                </c:pt>
                <c:pt idx="99">
                  <c:v>9.4807783809727972E-3</c:v>
                </c:pt>
                <c:pt idx="100">
                  <c:v>1.0224188062743854E-2</c:v>
                </c:pt>
                <c:pt idx="101">
                  <c:v>1.097826186889464E-2</c:v>
                </c:pt>
                <c:pt idx="102">
                  <c:v>1.1761583587237867E-2</c:v>
                </c:pt>
                <c:pt idx="103">
                  <c:v>1.2586807151413849E-2</c:v>
                </c:pt>
                <c:pt idx="104">
                  <c:v>1.35226834253776E-2</c:v>
                </c:pt>
                <c:pt idx="105">
                  <c:v>1.4562069347726723E-2</c:v>
                </c:pt>
                <c:pt idx="106">
                  <c:v>1.5729913957675631E-2</c:v>
                </c:pt>
                <c:pt idx="107">
                  <c:v>1.6903217228353556E-2</c:v>
                </c:pt>
                <c:pt idx="108">
                  <c:v>1.8232476077261802E-2</c:v>
                </c:pt>
                <c:pt idx="109">
                  <c:v>1.9712679849455232E-2</c:v>
                </c:pt>
                <c:pt idx="110">
                  <c:v>2.1449027229834657E-2</c:v>
                </c:pt>
                <c:pt idx="111">
                  <c:v>2.3220313816718852E-2</c:v>
                </c:pt>
                <c:pt idx="112">
                  <c:v>2.5137440787461843E-2</c:v>
                </c:pt>
                <c:pt idx="113">
                  <c:v>2.7306994284609899E-2</c:v>
                </c:pt>
                <c:pt idx="114">
                  <c:v>2.9608890273092492E-2</c:v>
                </c:pt>
                <c:pt idx="115">
                  <c:v>3.1964102443989811E-2</c:v>
                </c:pt>
                <c:pt idx="116">
                  <c:v>3.451571302338776E-2</c:v>
                </c:pt>
                <c:pt idx="117">
                  <c:v>3.7226735339396397E-2</c:v>
                </c:pt>
                <c:pt idx="118">
                  <c:v>4.0210085873021918E-2</c:v>
                </c:pt>
                <c:pt idx="119">
                  <c:v>4.3545636331977576E-2</c:v>
                </c:pt>
                <c:pt idx="120">
                  <c:v>4.6988597590189085E-2</c:v>
                </c:pt>
                <c:pt idx="121">
                  <c:v>5.0815282313589762E-2</c:v>
                </c:pt>
                <c:pt idx="122">
                  <c:v>5.5048112621334855E-2</c:v>
                </c:pt>
                <c:pt idx="123">
                  <c:v>5.9430846529754437E-2</c:v>
                </c:pt>
                <c:pt idx="124">
                  <c:v>6.4314517811406166E-2</c:v>
                </c:pt>
                <c:pt idx="125">
                  <c:v>6.961775095148022E-2</c:v>
                </c:pt>
                <c:pt idx="126">
                  <c:v>7.5295490438871668E-2</c:v>
                </c:pt>
                <c:pt idx="127">
                  <c:v>8.123674993495851E-2</c:v>
                </c:pt>
                <c:pt idx="128">
                  <c:v>8.7555814049392153E-2</c:v>
                </c:pt>
                <c:pt idx="129">
                  <c:v>9.4558593425244419E-2</c:v>
                </c:pt>
                <c:pt idx="130">
                  <c:v>0.10230020958566284</c:v>
                </c:pt>
                <c:pt idx="131">
                  <c:v>0.11025782455307298</c:v>
                </c:pt>
                <c:pt idx="132">
                  <c:v>0.11840006839721112</c:v>
                </c:pt>
                <c:pt idx="133">
                  <c:v>0.1270046280894066</c:v>
                </c:pt>
                <c:pt idx="134">
                  <c:v>0.13652787721461185</c:v>
                </c:pt>
                <c:pt idx="135">
                  <c:v>0.14668347192131523</c:v>
                </c:pt>
                <c:pt idx="136">
                  <c:v>0.15767148702125303</c:v>
                </c:pt>
                <c:pt idx="137">
                  <c:v>0.16953978418344495</c:v>
                </c:pt>
                <c:pt idx="138">
                  <c:v>0.18186257496776517</c:v>
                </c:pt>
                <c:pt idx="139">
                  <c:v>0.19560994276149166</c:v>
                </c:pt>
                <c:pt idx="140">
                  <c:v>0.21011158746925818</c:v>
                </c:pt>
                <c:pt idx="141">
                  <c:v>0.22477489685377919</c:v>
                </c:pt>
                <c:pt idx="142">
                  <c:v>0.23992676663998364</c:v>
                </c:pt>
                <c:pt idx="143">
                  <c:v>0.25581460152408597</c:v>
                </c:pt>
                <c:pt idx="144">
                  <c:v>0.27268609235567343</c:v>
                </c:pt>
                <c:pt idx="145">
                  <c:v>0.29048430786198065</c:v>
                </c:pt>
                <c:pt idx="146">
                  <c:v>0.30944875402623506</c:v>
                </c:pt>
                <c:pt idx="147">
                  <c:v>0.32934687278136138</c:v>
                </c:pt>
                <c:pt idx="148">
                  <c:v>0.34969925519132544</c:v>
                </c:pt>
                <c:pt idx="149">
                  <c:v>0.37000452291420505</c:v>
                </c:pt>
                <c:pt idx="150">
                  <c:v>0.39051925744635918</c:v>
                </c:pt>
                <c:pt idx="151">
                  <c:v>0.4101689037697025</c:v>
                </c:pt>
                <c:pt idx="152">
                  <c:v>0.4296819944888336</c:v>
                </c:pt>
                <c:pt idx="153">
                  <c:v>0.44985177060759274</c:v>
                </c:pt>
                <c:pt idx="154">
                  <c:v>0.46961359876817532</c:v>
                </c:pt>
                <c:pt idx="155">
                  <c:v>0.48993448079379776</c:v>
                </c:pt>
                <c:pt idx="156">
                  <c:v>0.51052657863297413</c:v>
                </c:pt>
                <c:pt idx="157">
                  <c:v>0.53014131181753754</c:v>
                </c:pt>
                <c:pt idx="158">
                  <c:v>0.54895885746531536</c:v>
                </c:pt>
                <c:pt idx="159">
                  <c:v>0.56680813687442599</c:v>
                </c:pt>
                <c:pt idx="160">
                  <c:v>0.58402679024892701</c:v>
                </c:pt>
                <c:pt idx="161">
                  <c:v>0.60047446315054298</c:v>
                </c:pt>
                <c:pt idx="162">
                  <c:v>0.61568960250815619</c:v>
                </c:pt>
                <c:pt idx="163">
                  <c:v>0.63028485007959478</c:v>
                </c:pt>
                <c:pt idx="164">
                  <c:v>0.64432649451729829</c:v>
                </c:pt>
                <c:pt idx="165">
                  <c:v>0.65746909845406076</c:v>
                </c:pt>
                <c:pt idx="166">
                  <c:v>0.66988006158294988</c:v>
                </c:pt>
                <c:pt idx="167">
                  <c:v>0.68106687380364439</c:v>
                </c:pt>
                <c:pt idx="168">
                  <c:v>0.69156338101787607</c:v>
                </c:pt>
                <c:pt idx="169">
                  <c:v>0.70145816935055449</c:v>
                </c:pt>
                <c:pt idx="170">
                  <c:v>0.71036378161312452</c:v>
                </c:pt>
                <c:pt idx="171">
                  <c:v>0.71860308069326373</c:v>
                </c:pt>
                <c:pt idx="172">
                  <c:v>0.72663451529500833</c:v>
                </c:pt>
                <c:pt idx="173">
                  <c:v>0.73412220694126773</c:v>
                </c:pt>
                <c:pt idx="174">
                  <c:v>0.74079691890209798</c:v>
                </c:pt>
                <c:pt idx="175">
                  <c:v>0.74669117991342682</c:v>
                </c:pt>
                <c:pt idx="176">
                  <c:v>0.75196906590121693</c:v>
                </c:pt>
                <c:pt idx="177">
                  <c:v>0.75688775693907984</c:v>
                </c:pt>
                <c:pt idx="178">
                  <c:v>0.76127027311713746</c:v>
                </c:pt>
                <c:pt idx="179">
                  <c:v>0.76529797941181354</c:v>
                </c:pt>
                <c:pt idx="180">
                  <c:v>0.76881590933543276</c:v>
                </c:pt>
                <c:pt idx="181">
                  <c:v>0.77200929432954457</c:v>
                </c:pt>
                <c:pt idx="182">
                  <c:v>0.77498041927639416</c:v>
                </c:pt>
                <c:pt idx="183">
                  <c:v>0.77768544748485335</c:v>
                </c:pt>
                <c:pt idx="184">
                  <c:v>0.78014307161620633</c:v>
                </c:pt>
                <c:pt idx="185">
                  <c:v>0.78231181916881554</c:v>
                </c:pt>
                <c:pt idx="186">
                  <c:v>0.78421309107283077</c:v>
                </c:pt>
                <c:pt idx="187">
                  <c:v>0.78592829306734502</c:v>
                </c:pt>
                <c:pt idx="188">
                  <c:v>0.78747750132236627</c:v>
                </c:pt>
                <c:pt idx="189">
                  <c:v>0.78887983154349894</c:v>
                </c:pt>
                <c:pt idx="190">
                  <c:v>0.7901245146956406</c:v>
                </c:pt>
                <c:pt idx="191">
                  <c:v>0.79122990128880855</c:v>
                </c:pt>
                <c:pt idx="192">
                  <c:v>0.79219782612025835</c:v>
                </c:pt>
                <c:pt idx="193">
                  <c:v>0.79306288988171336</c:v>
                </c:pt>
                <c:pt idx="194">
                  <c:v>0.79384839395490214</c:v>
                </c:pt>
                <c:pt idx="195">
                  <c:v>0.79454222534371211</c:v>
                </c:pt>
                <c:pt idx="196">
                  <c:v>0.79516801426200256</c:v>
                </c:pt>
                <c:pt idx="197">
                  <c:v>0.79930351333604954</c:v>
                </c:pt>
                <c:pt idx="198">
                  <c:v>0.77861662404549703</c:v>
                </c:pt>
                <c:pt idx="199">
                  <c:v>0.75787075574057372</c:v>
                </c:pt>
                <c:pt idx="200">
                  <c:v>0.73678575810301838</c:v>
                </c:pt>
                <c:pt idx="201">
                  <c:v>0.71552382342235044</c:v>
                </c:pt>
                <c:pt idx="202">
                  <c:v>0.69474846561024162</c:v>
                </c:pt>
                <c:pt idx="203">
                  <c:v>0.67373719174064972</c:v>
                </c:pt>
                <c:pt idx="204">
                  <c:v>0.65237204378483316</c:v>
                </c:pt>
                <c:pt idx="205">
                  <c:v>0.6306530217427917</c:v>
                </c:pt>
                <c:pt idx="206">
                  <c:v>0.60902246822230643</c:v>
                </c:pt>
                <c:pt idx="207">
                  <c:v>0.58724446716589429</c:v>
                </c:pt>
                <c:pt idx="208">
                  <c:v>0.56579085068852153</c:v>
                </c:pt>
                <c:pt idx="209">
                  <c:v>0.54466161879018815</c:v>
                </c:pt>
                <c:pt idx="210">
                  <c:v>0.52444656161460168</c:v>
                </c:pt>
                <c:pt idx="211">
                  <c:v>0.50353850102015851</c:v>
                </c:pt>
                <c:pt idx="212">
                  <c:v>0.4828073774688279</c:v>
                </c:pt>
                <c:pt idx="213">
                  <c:v>0.46191406162797738</c:v>
                </c:pt>
                <c:pt idx="214">
                  <c:v>0.44105023529431231</c:v>
                </c:pt>
                <c:pt idx="215">
                  <c:v>0.41999472716394232</c:v>
                </c:pt>
                <c:pt idx="216">
                  <c:v>0.3983936631506424</c:v>
                </c:pt>
                <c:pt idx="217">
                  <c:v>0.37651244881908152</c:v>
                </c:pt>
                <c:pt idx="218">
                  <c:v>0.35473444776266938</c:v>
                </c:pt>
                <c:pt idx="219">
                  <c:v>0.33325134177811128</c:v>
                </c:pt>
                <c:pt idx="220">
                  <c:v>0.31173874628636772</c:v>
                </c:pt>
                <c:pt idx="221">
                  <c:v>0.2905652801272563</c:v>
                </c:pt>
                <c:pt idx="222">
                  <c:v>0.26953926150407165</c:v>
                </c:pt>
                <c:pt idx="223">
                  <c:v>0.24848375337370163</c:v>
                </c:pt>
                <c:pt idx="224">
                  <c:v>0.22722181869303412</c:v>
                </c:pt>
                <c:pt idx="225">
                  <c:v>0.20595988401236626</c:v>
                </c:pt>
                <c:pt idx="226">
                  <c:v>0.18456524654936388</c:v>
                </c:pt>
                <c:pt idx="227">
                  <c:v>0.16327382236151058</c:v>
                </c:pt>
                <c:pt idx="228">
                  <c:v>0.142292037999104</c:v>
                </c:pt>
                <c:pt idx="229">
                  <c:v>0.12132499839029043</c:v>
                </c:pt>
                <c:pt idx="230">
                  <c:v>0.10099198318596257</c:v>
                </c:pt>
                <c:pt idx="231">
                  <c:v>8.1381460907676492E-2</c:v>
                </c:pt>
                <c:pt idx="232">
                  <c:v>6.1608746339871262E-2</c:v>
                </c:pt>
                <c:pt idx="233">
                  <c:v>4.1673839482546174E-2</c:v>
                </c:pt>
                <c:pt idx="234">
                  <c:v>2.2137040972223777E-2</c:v>
                </c:pt>
                <c:pt idx="235">
                  <c:v>2.5117739403453855E-3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opLeftCell="C3" zoomScaleNormal="100" workbookViewId="0">
      <selection activeCell="E55" sqref="E55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23" t="s">
        <v>151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152</v>
      </c>
      <c r="E2" s="127"/>
      <c r="F2" s="127"/>
      <c r="G2" s="127"/>
      <c r="H2" s="128"/>
      <c r="Z2"/>
      <c r="AA2"/>
      <c r="AB2"/>
      <c r="AC2"/>
    </row>
    <row r="3" spans="2:34" s="54" customFormat="1" ht="15.75" thickBot="1">
      <c r="B3" s="55"/>
      <c r="C3" s="129" t="s">
        <v>183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2" t="s">
        <v>171</v>
      </c>
      <c r="D4" s="103" t="s">
        <v>273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75">
      <c r="C5" s="102" t="s">
        <v>26</v>
      </c>
      <c r="D5" s="104" t="s">
        <v>64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75">
      <c r="C6" s="102" t="s">
        <v>94</v>
      </c>
      <c r="D6" s="104" t="s">
        <v>7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Brown</v>
      </c>
      <c r="E7" s="92" t="s">
        <v>66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Onion Vegetable Brown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44766</v>
      </c>
      <c r="E9" s="67">
        <v>44766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44986</v>
      </c>
      <c r="E10" s="67">
        <v>44986</v>
      </c>
      <c r="F10" s="57" t="s">
        <v>146</v>
      </c>
      <c r="G10" s="85" t="str">
        <f>IF(H10="",VLOOKUP(CurrentCropNameFull,CropCoefficients,15,FALSE),H10)</f>
        <v>Maturity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65</v>
      </c>
      <c r="E12" s="69"/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87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65</v>
      </c>
      <c r="C14" s="64" t="str">
        <f>"Yield "&amp;CurrentYield_tperHa&amp;" (t/ha)"</f>
        <v>Yield 65 (t/ha)</v>
      </c>
      <c r="D14" s="90" t="str">
        <f ca="1">"requires "&amp;ROUND(SUM('Model Interface'!P8:Q8),0)&amp;" kg N/ha from all sources"</f>
        <v>requires 152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44751</v>
      </c>
      <c r="Z14"/>
      <c r="AA14"/>
      <c r="AB14"/>
      <c r="AC14"/>
    </row>
    <row r="15" spans="2:34" s="55" customFormat="1" ht="16.5" thickBot="1">
      <c r="B15" s="55">
        <f ca="1">SUMIF(B29:B43,1,G29:G43)</f>
        <v>141.2847594203235</v>
      </c>
      <c r="C15" s="105" t="s">
        <v>220</v>
      </c>
      <c r="D15" s="106" t="str">
        <f ca="1">SUMIF(B29:B43,1,G29:G43)&amp;" Kg/ha"</f>
        <v>141.284759420323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2" t="s">
        <v>222</v>
      </c>
      <c r="S15" s="122"/>
      <c r="T15" s="122"/>
      <c r="U15" s="122"/>
      <c r="V15" s="122"/>
      <c r="W15" s="115"/>
      <c r="X15" s="115"/>
      <c r="Y15" s="115"/>
      <c r="Z15" s="120" t="s">
        <v>221</v>
      </c>
      <c r="AA15" s="120"/>
      <c r="AB15" s="120"/>
      <c r="AC15" s="120"/>
      <c r="AD15" s="121" t="s">
        <v>223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184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44751</v>
      </c>
      <c r="S18" s="55">
        <f ca="1">IF(R18&gt;1,R18,"")</f>
        <v>44751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0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0.99999995543201425</v>
      </c>
      <c r="AD18" s="83">
        <f t="array" aca="1" ref="AD18:AD662" ca="1">_xlfn._xlws.FILTER('Model Interface'!X11:X1004,('Model Interface'!X11:X1004&gt;=CurrentHarvestDate+1)*('Model Interface'!X11:X1004&lt;=FollowingHarvestDate),"")</f>
        <v>44987</v>
      </c>
      <c r="AE18" s="55">
        <f ca="1">IF(AD18&gt;1,AD18,"")</f>
        <v>44987</v>
      </c>
      <c r="AF18" s="55">
        <f t="shared" ref="AF18:AF20" ca="1" si="6">VLOOKUP(AE18,ModelOutputs,2,FALSE)</f>
        <v>4.7342890335642878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</v>
      </c>
      <c r="AK18" s="55">
        <f t="shared" ref="AK18" ca="1" si="10">VLOOKUP(AE18,ModelOutputs,4,FALSE)</f>
        <v>-0.58740891706458553</v>
      </c>
    </row>
    <row r="19" spans="1:37" s="55" customFormat="1">
      <c r="C19" s="57" t="s">
        <v>217</v>
      </c>
      <c r="D19" s="85">
        <f>IF(E19="",60,E19)</f>
        <v>0</v>
      </c>
      <c r="E19" s="16">
        <v>0</v>
      </c>
      <c r="F19" s="94" t="str">
        <f ca="1">ROUND('Model Interface'!N7,0)&amp;" kg N/ha available from SOM mineralisation"</f>
        <v>0 kg N/ha available from SOM mineralisation</v>
      </c>
      <c r="R19" s="83">
        <f ca="1"/>
        <v>44752</v>
      </c>
      <c r="S19" s="55">
        <f t="shared" ref="S19:S82" ca="1" si="11">IF(R19&gt;1,R19,"")</f>
        <v>44752</v>
      </c>
      <c r="T19" s="55">
        <f t="shared" ca="1" si="0"/>
        <v>50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</v>
      </c>
      <c r="Y19" s="55">
        <f t="shared" ref="Y19:Y82" ca="1" si="14">VLOOKUP(S19,ModelOutputs,4,FALSE)+Y18</f>
        <v>0</v>
      </c>
      <c r="Z19">
        <f t="shared" ca="1" si="3"/>
        <v>109.80545454545455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44988</v>
      </c>
      <c r="AE19" s="55">
        <f t="shared" ref="AE19:AE20" ca="1" si="16">IF(AD19&gt;1,AD19,"")</f>
        <v>44988</v>
      </c>
      <c r="AF19" s="55">
        <f t="shared" ca="1" si="6"/>
        <v>4.1549304153860485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</v>
      </c>
      <c r="AK19" s="55">
        <f t="shared" ref="AK19:AK82" ca="1" si="19">VLOOKUP(AE19,ModelOutputs,4,FALSE)+AK18</f>
        <v>-1.1667675352428248</v>
      </c>
    </row>
    <row r="20" spans="1:37" s="55" customFormat="1">
      <c r="C20" s="57" t="s">
        <v>226</v>
      </c>
      <c r="D20" s="85" t="str">
        <f>IF(E20="","Sedementary",E20)</f>
        <v>Volcanic</v>
      </c>
      <c r="E20" s="16" t="s">
        <v>227</v>
      </c>
      <c r="F20" s="94"/>
      <c r="R20" s="83">
        <f ca="1"/>
        <v>44753</v>
      </c>
      <c r="S20" s="55">
        <f t="shared" ca="1" si="11"/>
        <v>44753</v>
      </c>
      <c r="T20" s="55">
        <f t="shared" ca="1" si="0"/>
        <v>50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0</v>
      </c>
      <c r="Y20" s="55">
        <f t="shared" ca="1" si="14"/>
        <v>0</v>
      </c>
      <c r="Z20">
        <f t="shared" ca="1" si="3"/>
        <v>114.93970743801653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44989</v>
      </c>
      <c r="AE20" s="55">
        <f t="shared" ca="1" si="16"/>
        <v>44989</v>
      </c>
      <c r="AF20" s="55">
        <f t="shared" ca="1" si="6"/>
        <v>3.6255795726527422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</v>
      </c>
      <c r="AK20" s="55">
        <f t="shared" ca="1" si="19"/>
        <v>-1.6961183779761311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44754</v>
      </c>
      <c r="S21" s="55">
        <f t="shared" ca="1" si="11"/>
        <v>44754</v>
      </c>
      <c r="T21" s="55">
        <f t="shared" ca="1" si="0"/>
        <v>49.129929187991216</v>
      </c>
      <c r="U21" s="55">
        <f t="shared" ca="1" si="1"/>
        <v>0</v>
      </c>
      <c r="V21" s="55">
        <f t="shared" ca="1" si="2"/>
        <v>0</v>
      </c>
      <c r="W21" s="55">
        <f t="shared" ca="1" si="12"/>
        <v>-0.87007081200878389</v>
      </c>
      <c r="X21" s="55">
        <f t="shared" ca="1" si="13"/>
        <v>0</v>
      </c>
      <c r="Y21" s="55">
        <f t="shared" ca="1" si="14"/>
        <v>0</v>
      </c>
      <c r="Z21">
        <f t="shared" ca="1" si="3"/>
        <v>120</v>
      </c>
      <c r="AA21">
        <f t="shared" ca="1" si="15"/>
        <v>3.0758758374655599</v>
      </c>
      <c r="AB21">
        <f t="shared" ca="1" si="4"/>
        <v>0</v>
      </c>
      <c r="AC21">
        <f t="shared" ca="1" si="5"/>
        <v>0</v>
      </c>
      <c r="AD21" s="83">
        <f ca="1"/>
        <v>44990</v>
      </c>
      <c r="AE21" s="55">
        <f t="shared" ref="AE21:AE84" ca="1" si="20">IF(AD21&gt;1,AD21,"")</f>
        <v>44990</v>
      </c>
      <c r="AF21" s="55">
        <f t="shared" ref="AF21:AF84" ca="1" si="21">VLOOKUP(AE21,ModelOutputs,2,FALSE)</f>
        <v>3.142018725451742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</v>
      </c>
      <c r="AK21" s="55">
        <f t="shared" ca="1" si="19"/>
        <v>-2.1796792251771313</v>
      </c>
    </row>
    <row r="22" spans="1:37" s="55" customFormat="1" ht="15" customHeight="1">
      <c r="C22" s="57" t="s">
        <v>209</v>
      </c>
      <c r="D22" s="85" t="str">
        <f>IF(E22="","loam",E22)</f>
        <v>SiltLoam</v>
      </c>
      <c r="E22" s="16" t="s">
        <v>268</v>
      </c>
      <c r="F22" s="94"/>
      <c r="R22" s="83">
        <f ca="1"/>
        <v>44755</v>
      </c>
      <c r="S22" s="55">
        <f t="shared" ca="1" si="11"/>
        <v>44755</v>
      </c>
      <c r="T22" s="55">
        <f t="shared" ca="1" si="0"/>
        <v>48.787235816408085</v>
      </c>
      <c r="U22" s="55">
        <f t="shared" ca="1" si="1"/>
        <v>0</v>
      </c>
      <c r="V22" s="55">
        <f t="shared" ca="1" si="2"/>
        <v>0</v>
      </c>
      <c r="W22" s="55">
        <f t="shared" ca="1" si="12"/>
        <v>-1.2127641835919167</v>
      </c>
      <c r="X22" s="55">
        <f t="shared" ca="1" si="13"/>
        <v>0</v>
      </c>
      <c r="Y22" s="55">
        <f t="shared" ca="1" si="14"/>
        <v>0</v>
      </c>
      <c r="Z22">
        <f t="shared" ca="1" si="3"/>
        <v>120</v>
      </c>
      <c r="AA22">
        <f t="shared" ca="1" si="15"/>
        <v>4.2958758374655588</v>
      </c>
      <c r="AB22">
        <f t="shared" ca="1" si="4"/>
        <v>0</v>
      </c>
      <c r="AC22">
        <f t="shared" ca="1" si="5"/>
        <v>0</v>
      </c>
      <c r="AD22" s="83">
        <f ca="1"/>
        <v>44991</v>
      </c>
      <c r="AE22" s="55">
        <f t="shared" ca="1" si="20"/>
        <v>44991</v>
      </c>
      <c r="AF22" s="55">
        <f t="shared" ca="1" si="21"/>
        <v>2.6862691161729906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0</v>
      </c>
      <c r="AK22" s="55">
        <f t="shared" ca="1" si="19"/>
        <v>-2.6354288344558827</v>
      </c>
    </row>
    <row r="23" spans="1:37" s="55" customFormat="1">
      <c r="C23" s="57"/>
      <c r="D23" s="85"/>
      <c r="E23" s="113"/>
      <c r="F23" s="94"/>
      <c r="R23" s="83">
        <f ca="1"/>
        <v>44756</v>
      </c>
      <c r="S23" s="55">
        <f t="shared" ca="1" si="11"/>
        <v>44756</v>
      </c>
      <c r="T23" s="55">
        <f t="shared" ca="1" si="0"/>
        <v>47.882973123958067</v>
      </c>
      <c r="U23" s="55">
        <f t="shared" ca="1" si="1"/>
        <v>0</v>
      </c>
      <c r="V23" s="55">
        <f t="shared" ca="1" si="2"/>
        <v>0</v>
      </c>
      <c r="W23" s="55">
        <f t="shared" ca="1" si="12"/>
        <v>-2.1170268760419333</v>
      </c>
      <c r="X23" s="55">
        <f t="shared" ca="1" si="13"/>
        <v>0</v>
      </c>
      <c r="Y23" s="55">
        <f t="shared" ca="1" si="14"/>
        <v>0</v>
      </c>
      <c r="Z23">
        <f t="shared" ca="1" si="3"/>
        <v>120</v>
      </c>
      <c r="AA23">
        <f t="shared" ca="1" si="15"/>
        <v>7.5758758374655457</v>
      </c>
      <c r="AB23">
        <f t="shared" ca="1" si="4"/>
        <v>0</v>
      </c>
      <c r="AC23">
        <f t="shared" ca="1" si="5"/>
        <v>0</v>
      </c>
      <c r="AD23" s="83">
        <f ca="1"/>
        <v>44992</v>
      </c>
      <c r="AE23" s="55">
        <f t="shared" ca="1" si="20"/>
        <v>44992</v>
      </c>
      <c r="AF23" s="55">
        <f t="shared" ca="1" si="21"/>
        <v>2.2855315948973565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0</v>
      </c>
      <c r="AK23" s="55">
        <f t="shared" ca="1" si="19"/>
        <v>-3.0361663557315168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44757</v>
      </c>
      <c r="S24" s="55">
        <f t="shared" ca="1" si="11"/>
        <v>44757</v>
      </c>
      <c r="T24" s="55">
        <f t="shared" ca="1" si="0"/>
        <v>46.522267293895403</v>
      </c>
      <c r="U24" s="55">
        <f t="shared" ca="1" si="1"/>
        <v>0</v>
      </c>
      <c r="V24" s="55">
        <f t="shared" ca="1" si="2"/>
        <v>0</v>
      </c>
      <c r="W24" s="55">
        <f t="shared" ca="1" si="12"/>
        <v>-3.4777327061045948</v>
      </c>
      <c r="X24" s="55">
        <f t="shared" ca="1" si="13"/>
        <v>0</v>
      </c>
      <c r="Y24" s="55">
        <f t="shared" ca="1" si="14"/>
        <v>0</v>
      </c>
      <c r="Z24">
        <f t="shared" ca="1" si="3"/>
        <v>120</v>
      </c>
      <c r="AA24">
        <f t="shared" ca="1" si="15"/>
        <v>12.655875837465544</v>
      </c>
      <c r="AB24">
        <f t="shared" ca="1" si="4"/>
        <v>0</v>
      </c>
      <c r="AC24">
        <f t="shared" ca="1" si="5"/>
        <v>0</v>
      </c>
      <c r="AD24" s="83">
        <f ca="1"/>
        <v>44993</v>
      </c>
      <c r="AE24" s="55">
        <f t="shared" ca="1" si="20"/>
        <v>44993</v>
      </c>
      <c r="AF24" s="55">
        <f t="shared" ca="1" si="21"/>
        <v>1.910474160006193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0</v>
      </c>
      <c r="AK24" s="55">
        <f t="shared" ca="1" si="19"/>
        <v>-3.4112237906226803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1</v>
      </c>
      <c r="E25" s="98">
        <v>1</v>
      </c>
      <c r="R25" s="83">
        <f ca="1"/>
        <v>44758</v>
      </c>
      <c r="S25" s="55">
        <f t="shared" ca="1" si="11"/>
        <v>44758</v>
      </c>
      <c r="T25" s="55">
        <f t="shared" ca="1" si="0"/>
        <v>45.498010565142543</v>
      </c>
      <c r="U25" s="55">
        <f t="shared" ca="1" si="1"/>
        <v>0</v>
      </c>
      <c r="V25" s="55">
        <f t="shared" ca="1" si="2"/>
        <v>0</v>
      </c>
      <c r="W25" s="55">
        <f t="shared" ca="1" si="12"/>
        <v>-4.501989434857455</v>
      </c>
      <c r="X25" s="55">
        <f t="shared" ca="1" si="13"/>
        <v>0</v>
      </c>
      <c r="Y25" s="55">
        <f t="shared" ca="1" si="14"/>
        <v>0</v>
      </c>
      <c r="Z25">
        <f t="shared" ca="1" si="3"/>
        <v>120</v>
      </c>
      <c r="AA25">
        <f t="shared" ca="1" si="15"/>
        <v>16.565875837465541</v>
      </c>
      <c r="AB25">
        <f t="shared" ca="1" si="4"/>
        <v>0</v>
      </c>
      <c r="AC25">
        <f t="shared" ca="1" si="5"/>
        <v>0</v>
      </c>
      <c r="AD25" s="83">
        <f ca="1"/>
        <v>44994</v>
      </c>
      <c r="AE25" s="55">
        <f t="shared" ca="1" si="20"/>
        <v>44994</v>
      </c>
      <c r="AF25" s="55">
        <f t="shared" ca="1" si="21"/>
        <v>1.5635872190056523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0</v>
      </c>
      <c r="AK25" s="55">
        <f t="shared" ca="1" si="19"/>
        <v>-3.758110731623221</v>
      </c>
    </row>
    <row r="26" spans="1:37" s="55" customFormat="1" ht="15.75" thickBot="1">
      <c r="C26" s="56"/>
      <c r="D26" s="56"/>
      <c r="E26" s="56"/>
      <c r="F26" s="56"/>
      <c r="R26" s="83">
        <f ca="1"/>
        <v>44759</v>
      </c>
      <c r="S26" s="55">
        <f t="shared" ca="1" si="11"/>
        <v>44759</v>
      </c>
      <c r="T26" s="55">
        <f t="shared" ca="1" si="0"/>
        <v>43.876187138723893</v>
      </c>
      <c r="U26" s="55">
        <f t="shared" ca="1" si="1"/>
        <v>0</v>
      </c>
      <c r="V26" s="55">
        <f t="shared" ca="1" si="2"/>
        <v>0</v>
      </c>
      <c r="W26" s="55">
        <f t="shared" ca="1" si="12"/>
        <v>-6.1238128612761038</v>
      </c>
      <c r="X26" s="55">
        <f t="shared" ca="1" si="13"/>
        <v>0</v>
      </c>
      <c r="Y26" s="55">
        <f t="shared" ca="1" si="14"/>
        <v>0</v>
      </c>
      <c r="Z26">
        <f t="shared" ca="1" si="3"/>
        <v>120</v>
      </c>
      <c r="AA26">
        <f t="shared" ca="1" si="15"/>
        <v>22.985875837465542</v>
      </c>
      <c r="AB26">
        <f t="shared" ca="1" si="4"/>
        <v>0</v>
      </c>
      <c r="AC26">
        <f t="shared" ca="1" si="5"/>
        <v>0</v>
      </c>
      <c r="AD26" s="83">
        <f ca="1"/>
        <v>44995</v>
      </c>
      <c r="AE26" s="55">
        <f t="shared" ca="1" si="20"/>
        <v>44995</v>
      </c>
      <c r="AF26" s="55">
        <f t="shared" ca="1" si="21"/>
        <v>1.2548951185912389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0</v>
      </c>
      <c r="AK26" s="55">
        <f t="shared" ca="1" si="19"/>
        <v>-4.0668028320376344</v>
      </c>
    </row>
    <row r="27" spans="1:37" s="55" customFormat="1" ht="15.75" thickBot="1">
      <c r="C27" s="132" t="s">
        <v>137</v>
      </c>
      <c r="D27" s="133"/>
      <c r="E27" s="60"/>
      <c r="F27" s="134" t="s">
        <v>144</v>
      </c>
      <c r="G27" s="135"/>
      <c r="R27" s="83">
        <f ca="1"/>
        <v>44760</v>
      </c>
      <c r="S27" s="55">
        <f t="shared" ca="1" si="11"/>
        <v>44760</v>
      </c>
      <c r="T27" s="55">
        <f t="shared" ca="1" si="0"/>
        <v>42.291041992057941</v>
      </c>
      <c r="U27" s="55">
        <f t="shared" ca="1" si="1"/>
        <v>0</v>
      </c>
      <c r="V27" s="55">
        <f t="shared" ca="1" si="2"/>
        <v>0</v>
      </c>
      <c r="W27" s="55">
        <f t="shared" ca="1" si="12"/>
        <v>-7.7089580079420585</v>
      </c>
      <c r="X27" s="55">
        <f t="shared" ca="1" si="13"/>
        <v>0</v>
      </c>
      <c r="Y27" s="55">
        <f t="shared" ca="1" si="14"/>
        <v>0</v>
      </c>
      <c r="Z27">
        <f t="shared" ca="1" si="3"/>
        <v>120</v>
      </c>
      <c r="AA27">
        <f t="shared" ca="1" si="15"/>
        <v>29.495875837465547</v>
      </c>
      <c r="AB27">
        <f t="shared" ca="1" si="4"/>
        <v>0</v>
      </c>
      <c r="AC27">
        <f t="shared" ca="1" si="5"/>
        <v>0</v>
      </c>
      <c r="AD27" s="83">
        <f ca="1"/>
        <v>44996</v>
      </c>
      <c r="AE27" s="55">
        <f t="shared" ca="1" si="20"/>
        <v>44996</v>
      </c>
      <c r="AF27" s="55">
        <f t="shared" ca="1" si="21"/>
        <v>0.97846775757257687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0</v>
      </c>
      <c r="AK27" s="55">
        <f t="shared" ca="1" si="19"/>
        <v>-4.3432301930562964</v>
      </c>
    </row>
    <row r="28" spans="1:37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44761</v>
      </c>
      <c r="S28" s="55">
        <f t="shared" ca="1" si="11"/>
        <v>44761</v>
      </c>
      <c r="T28" s="55">
        <f t="shared" ca="1" si="0"/>
        <v>41.582377474135107</v>
      </c>
      <c r="U28" s="55">
        <f t="shared" ca="1" si="1"/>
        <v>0</v>
      </c>
      <c r="V28" s="55">
        <f t="shared" ca="1" si="2"/>
        <v>0</v>
      </c>
      <c r="W28" s="55">
        <f t="shared" ca="1" si="12"/>
        <v>-8.4176225258648927</v>
      </c>
      <c r="X28" s="55">
        <f t="shared" ca="1" si="13"/>
        <v>0</v>
      </c>
      <c r="Y28" s="55">
        <f t="shared" ca="1" si="14"/>
        <v>0</v>
      </c>
      <c r="Z28">
        <f t="shared" ca="1" si="3"/>
        <v>120</v>
      </c>
      <c r="AA28">
        <f t="shared" ca="1" si="15"/>
        <v>32.455875837465541</v>
      </c>
      <c r="AB28">
        <f t="shared" ca="1" si="4"/>
        <v>0</v>
      </c>
      <c r="AC28">
        <f t="shared" ca="1" si="5"/>
        <v>0</v>
      </c>
      <c r="AD28" s="83">
        <f ca="1"/>
        <v>44997</v>
      </c>
      <c r="AE28" s="55">
        <f t="shared" ca="1" si="20"/>
        <v>44997</v>
      </c>
      <c r="AF28" s="55">
        <f t="shared" ca="1" si="21"/>
        <v>0.72567098486680903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0</v>
      </c>
      <c r="AK28" s="55">
        <f t="shared" ca="1" si="19"/>
        <v>-4.5960269657620643</v>
      </c>
    </row>
    <row r="29" spans="1:37" s="55" customFormat="1">
      <c r="A29" s="83">
        <f t="array" aca="1" ref="A29:A43" ca="1">_xlfn._xlws.FILTER('Model Interface'!X11:X500,'Model Interface'!Y11:Y500&gt;0,"")</f>
        <v>44888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44888</v>
      </c>
      <c r="G29" s="76">
        <f ca="1">IFERROR(VLOOKUP(F29,'Model Interface'!$J$11:$O$500,6,FALSE),"")</f>
        <v>141.2847594203235</v>
      </c>
      <c r="H29" s="55" t="str">
        <f ca="1">IF(B29=1,"Suggested","Applied or Planned")</f>
        <v>Suggested</v>
      </c>
      <c r="R29" s="83">
        <f ca="1"/>
        <v>44762</v>
      </c>
      <c r="S29" s="55">
        <f t="shared" ca="1" si="11"/>
        <v>44762</v>
      </c>
      <c r="T29" s="55">
        <f t="shared" ca="1" si="0"/>
        <v>41.238101806027217</v>
      </c>
      <c r="U29" s="55">
        <f t="shared" ca="1" si="1"/>
        <v>0</v>
      </c>
      <c r="V29" s="55">
        <f t="shared" ca="1" si="2"/>
        <v>0</v>
      </c>
      <c r="W29" s="55">
        <f t="shared" ca="1" si="12"/>
        <v>-8.7618981939727831</v>
      </c>
      <c r="X29" s="55">
        <f t="shared" ca="1" si="13"/>
        <v>0</v>
      </c>
      <c r="Y29" s="55">
        <f t="shared" ca="1" si="14"/>
        <v>0</v>
      </c>
      <c r="Z29">
        <f t="shared" ca="1" si="3"/>
        <v>120</v>
      </c>
      <c r="AA29">
        <f t="shared" ca="1" si="15"/>
        <v>33.90587583746553</v>
      </c>
      <c r="AB29">
        <f t="shared" ca="1" si="4"/>
        <v>0</v>
      </c>
      <c r="AC29">
        <f t="shared" ca="1" si="5"/>
        <v>0</v>
      </c>
      <c r="AD29" s="83">
        <f ca="1"/>
        <v>44998</v>
      </c>
      <c r="AE29" s="55">
        <f t="shared" ca="1" si="20"/>
        <v>44998</v>
      </c>
      <c r="AF29" s="55">
        <f t="shared" ca="1" si="21"/>
        <v>0.50378638236846607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0</v>
      </c>
      <c r="AK29" s="55">
        <f t="shared" ca="1" si="19"/>
        <v>-4.8179115682604072</v>
      </c>
    </row>
    <row r="30" spans="1:37" s="55" customFormat="1">
      <c r="A30" s="83">
        <f ca="1"/>
        <v>44888</v>
      </c>
      <c r="B30" s="55">
        <f t="shared" ca="1" si="24"/>
        <v>0</v>
      </c>
      <c r="C30" s="78"/>
      <c r="D30" s="81"/>
      <c r="F30" s="74" t="str">
        <f t="shared" ref="F30:F43" ca="1" si="25">IFERROR(IF(A30=A29,"",A30),"")</f>
        <v/>
      </c>
      <c r="G30" s="76" t="str">
        <f ca="1">IFERROR(VLOOKUP(F30,'Model Interface'!$J$11:$O$500,6,FALSE),"")</f>
        <v/>
      </c>
      <c r="H30" s="55" t="str">
        <f t="shared" ref="H30:H43" ca="1" si="26">IF(F30="","",IF(F30&lt;=StartSchedullingDate,"Applied or Planned","Suggested"))</f>
        <v/>
      </c>
      <c r="R30" s="83">
        <f ca="1"/>
        <v>44763</v>
      </c>
      <c r="S30" s="55">
        <f t="shared" ca="1" si="11"/>
        <v>44763</v>
      </c>
      <c r="T30" s="55">
        <f t="shared" ca="1" si="0"/>
        <v>40.444050285423408</v>
      </c>
      <c r="U30" s="55">
        <f t="shared" ca="1" si="1"/>
        <v>0</v>
      </c>
      <c r="V30" s="55">
        <f t="shared" ca="1" si="2"/>
        <v>0</v>
      </c>
      <c r="W30" s="55">
        <f t="shared" ca="1" si="12"/>
        <v>-9.5559497145765953</v>
      </c>
      <c r="X30" s="55">
        <f t="shared" ca="1" si="13"/>
        <v>0</v>
      </c>
      <c r="Y30" s="55">
        <f t="shared" ca="1" si="14"/>
        <v>0</v>
      </c>
      <c r="Z30">
        <f t="shared" ca="1" si="3"/>
        <v>120</v>
      </c>
      <c r="AA30">
        <f t="shared" ca="1" si="15"/>
        <v>37.315875837465526</v>
      </c>
      <c r="AB30">
        <f t="shared" ca="1" si="4"/>
        <v>0</v>
      </c>
      <c r="AC30">
        <f t="shared" ca="1" si="5"/>
        <v>0</v>
      </c>
      <c r="AD30" s="83">
        <f ca="1"/>
        <v>44999</v>
      </c>
      <c r="AE30" s="55">
        <f t="shared" ca="1" si="20"/>
        <v>44999</v>
      </c>
      <c r="AF30" s="55">
        <f t="shared" ca="1" si="21"/>
        <v>0.30449732034977428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0</v>
      </c>
      <c r="AK30" s="55">
        <f t="shared" ca="1" si="19"/>
        <v>-5.017200630279099</v>
      </c>
    </row>
    <row r="31" spans="1:37" s="55" customFormat="1">
      <c r="A31" s="83">
        <f ca="1"/>
        <v>44888</v>
      </c>
      <c r="B31" s="55">
        <f t="shared" ca="1" si="24"/>
        <v>0</v>
      </c>
      <c r="C31" s="78"/>
      <c r="D31" s="81"/>
      <c r="F31" s="74" t="str">
        <f t="shared" ca="1" si="25"/>
        <v/>
      </c>
      <c r="G31" s="76" t="str">
        <f ca="1">IFERROR(VLOOKUP(F31,'Model Interface'!$J$11:$O$500,6,FALSE),"")</f>
        <v/>
      </c>
      <c r="H31" s="55" t="str">
        <f t="shared" ca="1" si="26"/>
        <v/>
      </c>
      <c r="R31" s="83">
        <f ca="1"/>
        <v>44764</v>
      </c>
      <c r="S31" s="55">
        <f t="shared" ca="1" si="11"/>
        <v>44764</v>
      </c>
      <c r="T31" s="55">
        <f t="shared" ca="1" si="0"/>
        <v>39.495792219498895</v>
      </c>
      <c r="U31" s="55">
        <f t="shared" ca="1" si="1"/>
        <v>0</v>
      </c>
      <c r="V31" s="55">
        <f t="shared" ca="1" si="2"/>
        <v>0</v>
      </c>
      <c r="W31" s="55">
        <f t="shared" ca="1" si="12"/>
        <v>-10.50420778050111</v>
      </c>
      <c r="X31" s="55">
        <f t="shared" ca="1" si="13"/>
        <v>0</v>
      </c>
      <c r="Y31" s="55">
        <f t="shared" ca="1" si="14"/>
        <v>0</v>
      </c>
      <c r="Z31">
        <f t="shared" ca="1" si="3"/>
        <v>120</v>
      </c>
      <c r="AA31">
        <f t="shared" ca="1" si="15"/>
        <v>41.485875837465528</v>
      </c>
      <c r="AB31">
        <f t="shared" ca="1" si="4"/>
        <v>0</v>
      </c>
      <c r="AC31">
        <f t="shared" ca="1" si="5"/>
        <v>0</v>
      </c>
      <c r="AD31" s="83">
        <f ca="1"/>
        <v>45000</v>
      </c>
      <c r="AE31" s="55">
        <f t="shared" ca="1" si="20"/>
        <v>45000</v>
      </c>
      <c r="AF31" s="55">
        <f t="shared" ca="1" si="21"/>
        <v>0.12816538779585818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0</v>
      </c>
      <c r="AK31" s="55">
        <f t="shared" ca="1" si="19"/>
        <v>-5.1935325628330151</v>
      </c>
    </row>
    <row r="32" spans="1:37" s="55" customFormat="1">
      <c r="A32" s="83">
        <f ca="1"/>
        <v>44888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Interface'!$J$11:$O$500,6,FALSE),"")</f>
        <v/>
      </c>
      <c r="H32" s="55" t="str">
        <f t="shared" ca="1" si="26"/>
        <v/>
      </c>
      <c r="R32" s="83">
        <f ca="1"/>
        <v>44765</v>
      </c>
      <c r="S32" s="55">
        <f t="shared" ca="1" si="11"/>
        <v>44765</v>
      </c>
      <c r="T32" s="55">
        <f t="shared" ca="1" si="0"/>
        <v>38.024586403732656</v>
      </c>
      <c r="U32" s="55">
        <f t="shared" ca="1" si="1"/>
        <v>0</v>
      </c>
      <c r="V32" s="55">
        <f t="shared" ca="1" si="2"/>
        <v>0</v>
      </c>
      <c r="W32" s="55">
        <f t="shared" ca="1" si="12"/>
        <v>-11.975413596267348</v>
      </c>
      <c r="X32" s="55">
        <f t="shared" ca="1" si="13"/>
        <v>0</v>
      </c>
      <c r="Y32" s="55">
        <f t="shared" ca="1" si="14"/>
        <v>0</v>
      </c>
      <c r="Z32">
        <f t="shared" ca="1" si="3"/>
        <v>120</v>
      </c>
      <c r="AA32">
        <f t="shared" ca="1" si="15"/>
        <v>48.205875837465527</v>
      </c>
      <c r="AB32">
        <f t="shared" ca="1" si="4"/>
        <v>0</v>
      </c>
      <c r="AC32">
        <f t="shared" ca="1" si="5"/>
        <v>0</v>
      </c>
      <c r="AD32" s="83">
        <f ca="1"/>
        <v>45001</v>
      </c>
      <c r="AE32" s="55">
        <f t="shared" ca="1" si="20"/>
        <v>45001</v>
      </c>
      <c r="AF32" s="55">
        <f t="shared" ca="1" si="21"/>
        <v>-3.032876416947472E-2</v>
      </c>
      <c r="AG32" s="55">
        <f t="shared" ca="1" si="22"/>
        <v>2.999183249640863</v>
      </c>
      <c r="AH32" s="55">
        <f t="shared" ca="1" si="23"/>
        <v>0</v>
      </c>
      <c r="AI32" s="55">
        <f t="shared" ca="1" si="17"/>
        <v>0</v>
      </c>
      <c r="AJ32" s="55">
        <f t="shared" ca="1" si="18"/>
        <v>0</v>
      </c>
      <c r="AK32" s="55">
        <f t="shared" ca="1" si="19"/>
        <v>-5.352026714798348</v>
      </c>
    </row>
    <row r="33" spans="1:37" s="55" customFormat="1">
      <c r="A33" s="83">
        <f ca="1"/>
        <v>44888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44766</v>
      </c>
      <c r="S33" s="55">
        <f t="shared" ca="1" si="11"/>
        <v>44766</v>
      </c>
      <c r="T33" s="55">
        <f t="shared" ca="1" si="0"/>
        <v>37.406472779291811</v>
      </c>
      <c r="U33" s="55">
        <f t="shared" ca="1" si="1"/>
        <v>1.0274988320595217</v>
      </c>
      <c r="V33" s="55">
        <f t="shared" ca="1" si="2"/>
        <v>0</v>
      </c>
      <c r="W33" s="55">
        <f t="shared" ca="1" si="12"/>
        <v>-12.593527220708193</v>
      </c>
      <c r="X33" s="55">
        <f t="shared" ca="1" si="13"/>
        <v>0</v>
      </c>
      <c r="Y33" s="55">
        <f t="shared" ca="1" si="14"/>
        <v>0</v>
      </c>
      <c r="Z33">
        <f t="shared" ca="1" si="3"/>
        <v>120</v>
      </c>
      <c r="AA33">
        <f t="shared" ca="1" si="15"/>
        <v>51.075875837465532</v>
      </c>
      <c r="AB33">
        <f t="shared" ca="1" si="4"/>
        <v>0</v>
      </c>
      <c r="AC33">
        <f t="shared" ca="1" si="5"/>
        <v>5.3542807394278899E-3</v>
      </c>
      <c r="AD33" s="83">
        <f ca="1"/>
        <v>45002</v>
      </c>
      <c r="AE33" s="55">
        <f t="shared" ca="1" si="20"/>
        <v>45002</v>
      </c>
      <c r="AF33" s="55">
        <f t="shared" ca="1" si="21"/>
        <v>-0.43283591327787985</v>
      </c>
      <c r="AG33" s="55">
        <f t="shared" ca="1" si="22"/>
        <v>3.2617168270220405</v>
      </c>
      <c r="AH33" s="55">
        <f t="shared" ca="1" si="23"/>
        <v>0</v>
      </c>
      <c r="AI33" s="55">
        <f t="shared" ca="1" si="17"/>
        <v>0</v>
      </c>
      <c r="AJ33" s="55">
        <f t="shared" ca="1" si="18"/>
        <v>0</v>
      </c>
      <c r="AK33" s="55">
        <f t="shared" ca="1" si="19"/>
        <v>-5.4920002865255757</v>
      </c>
    </row>
    <row r="34" spans="1:37" s="55" customFormat="1" ht="15.75" thickBot="1">
      <c r="A34" s="83">
        <f ca="1"/>
        <v>44888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44767</v>
      </c>
      <c r="S34" s="55">
        <f t="shared" ca="1" si="11"/>
        <v>44767</v>
      </c>
      <c r="T34" s="55">
        <f t="shared" ca="1" si="0"/>
        <v>36.663427318960871</v>
      </c>
      <c r="U34" s="55">
        <f t="shared" ca="1" si="1"/>
        <v>1.0274988320595217</v>
      </c>
      <c r="V34" s="55">
        <f t="shared" ca="1" si="2"/>
        <v>0</v>
      </c>
      <c r="W34" s="55">
        <f t="shared" ca="1" si="12"/>
        <v>-13.336572681039137</v>
      </c>
      <c r="X34" s="55">
        <f t="shared" ca="1" si="13"/>
        <v>0</v>
      </c>
      <c r="Y34" s="55">
        <f t="shared" ca="1" si="14"/>
        <v>0</v>
      </c>
      <c r="Z34">
        <f t="shared" ca="1" si="3"/>
        <v>120</v>
      </c>
      <c r="AA34">
        <f t="shared" ca="1" si="15"/>
        <v>54.595875837465542</v>
      </c>
      <c r="AB34">
        <f t="shared" ca="1" si="4"/>
        <v>0</v>
      </c>
      <c r="AC34">
        <f t="shared" ca="1" si="5"/>
        <v>5.3542807394278899E-3</v>
      </c>
      <c r="AD34" s="83">
        <f ca="1"/>
        <v>45003</v>
      </c>
      <c r="AE34" s="55">
        <f t="shared" ca="1" si="20"/>
        <v>45003</v>
      </c>
      <c r="AF34" s="55">
        <f t="shared" ca="1" si="21"/>
        <v>-0.83856433933767738</v>
      </c>
      <c r="AG34" s="55">
        <f t="shared" ca="1" si="22"/>
        <v>3.5451594567054734</v>
      </c>
      <c r="AH34" s="55">
        <f t="shared" ca="1" si="23"/>
        <v>0</v>
      </c>
      <c r="AI34" s="55">
        <f t="shared" ca="1" si="17"/>
        <v>0</v>
      </c>
      <c r="AJ34" s="55">
        <f t="shared" ca="1" si="18"/>
        <v>0</v>
      </c>
      <c r="AK34" s="55">
        <f t="shared" ca="1" si="19"/>
        <v>-5.6142860829019403</v>
      </c>
    </row>
    <row r="35" spans="1:37" s="55" customFormat="1" ht="15.75" thickBot="1">
      <c r="A35" s="83">
        <f ca="1"/>
        <v>44888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44768</v>
      </c>
      <c r="S35" s="55">
        <f t="shared" ca="1" si="11"/>
        <v>44768</v>
      </c>
      <c r="T35" s="55">
        <f t="shared" ca="1" si="0"/>
        <v>36.215127932283963</v>
      </c>
      <c r="U35" s="55">
        <f t="shared" ca="1" si="1"/>
        <v>1.0274988320595217</v>
      </c>
      <c r="V35" s="55">
        <f t="shared" ca="1" si="2"/>
        <v>0</v>
      </c>
      <c r="W35" s="55">
        <f t="shared" ca="1" si="12"/>
        <v>-13.784872067716046</v>
      </c>
      <c r="X35" s="55">
        <f t="shared" ca="1" si="13"/>
        <v>0</v>
      </c>
      <c r="Y35" s="55">
        <f t="shared" ca="1" si="14"/>
        <v>0</v>
      </c>
      <c r="Z35">
        <f t="shared" ca="1" si="3"/>
        <v>120</v>
      </c>
      <c r="AA35">
        <f t="shared" ca="1" si="15"/>
        <v>56.745875837465547</v>
      </c>
      <c r="AB35">
        <f t="shared" ca="1" si="4"/>
        <v>0</v>
      </c>
      <c r="AC35">
        <f t="shared" ca="1" si="5"/>
        <v>5.3542807394278899E-3</v>
      </c>
      <c r="AD35" s="83">
        <f ca="1"/>
        <v>45004</v>
      </c>
      <c r="AE35" s="55">
        <f t="shared" ca="1" si="20"/>
        <v>45004</v>
      </c>
      <c r="AF35" s="55">
        <f t="shared" ca="1" si="21"/>
        <v>-1.2385014413658899</v>
      </c>
      <c r="AG35" s="55">
        <f t="shared" ca="1" si="22"/>
        <v>3.8415818882941353</v>
      </c>
      <c r="AH35" s="55">
        <f t="shared" ca="1" si="23"/>
        <v>0</v>
      </c>
      <c r="AI35" s="55">
        <f t="shared" ca="1" si="17"/>
        <v>0</v>
      </c>
      <c r="AJ35" s="55">
        <f t="shared" ca="1" si="18"/>
        <v>0</v>
      </c>
      <c r="AK35" s="55">
        <f t="shared" ca="1" si="19"/>
        <v>-5.717800753341491</v>
      </c>
    </row>
    <row r="36" spans="1:37" s="55" customFormat="1" ht="15.75" thickBot="1">
      <c r="A36" s="83">
        <f ca="1"/>
        <v>44888</v>
      </c>
      <c r="B36" s="55">
        <f t="shared" ca="1" si="24"/>
        <v>0</v>
      </c>
      <c r="C36" s="132" t="s">
        <v>138</v>
      </c>
      <c r="D36" s="133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44769</v>
      </c>
      <c r="S36" s="55">
        <f t="shared" ca="1" si="11"/>
        <v>44769</v>
      </c>
      <c r="T36" s="55">
        <f t="shared" ca="1" si="0"/>
        <v>35.429768073325256</v>
      </c>
      <c r="U36" s="55">
        <f t="shared" ca="1" si="1"/>
        <v>1.0274988320595217</v>
      </c>
      <c r="V36" s="55">
        <f t="shared" ca="1" si="2"/>
        <v>0</v>
      </c>
      <c r="W36" s="55">
        <f t="shared" ca="1" si="12"/>
        <v>-14.570231926674754</v>
      </c>
      <c r="X36" s="55">
        <f t="shared" ca="1" si="13"/>
        <v>0</v>
      </c>
      <c r="Y36" s="55">
        <f t="shared" ca="1" si="14"/>
        <v>0</v>
      </c>
      <c r="Z36">
        <f t="shared" ca="1" si="3"/>
        <v>120</v>
      </c>
      <c r="AA36">
        <f t="shared" ca="1" si="15"/>
        <v>60.595875837465542</v>
      </c>
      <c r="AB36">
        <f t="shared" ca="1" si="4"/>
        <v>0</v>
      </c>
      <c r="AC36">
        <f t="shared" ca="1" si="5"/>
        <v>5.3542807394278899E-3</v>
      </c>
      <c r="AD36" s="83">
        <f ca="1"/>
        <v>45005</v>
      </c>
      <c r="AE36" s="55">
        <f t="shared" ca="1" si="20"/>
        <v>45005</v>
      </c>
      <c r="AF36" s="55">
        <f t="shared" ca="1" si="21"/>
        <v>-1.6508406182011863</v>
      </c>
      <c r="AG36" s="55">
        <f t="shared" ca="1" si="22"/>
        <v>4.163908494442917</v>
      </c>
      <c r="AH36" s="55">
        <f t="shared" ca="1" si="23"/>
        <v>0</v>
      </c>
      <c r="AI36" s="55">
        <f t="shared" ca="1" si="17"/>
        <v>0</v>
      </c>
      <c r="AJ36" s="55">
        <f t="shared" ca="1" si="18"/>
        <v>0</v>
      </c>
      <c r="AK36" s="55">
        <f t="shared" ca="1" si="19"/>
        <v>-5.8078133240280057</v>
      </c>
    </row>
    <row r="37" spans="1:37" s="55" customFormat="1" ht="15.75" thickBot="1">
      <c r="A37" s="83">
        <f ca="1"/>
        <v>44888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44770</v>
      </c>
      <c r="S37" s="55">
        <f t="shared" ca="1" si="11"/>
        <v>44770</v>
      </c>
      <c r="T37" s="55">
        <f t="shared" ca="1" si="0"/>
        <v>35.022446408729188</v>
      </c>
      <c r="U37" s="55">
        <f t="shared" ca="1" si="1"/>
        <v>1.0274988320595217</v>
      </c>
      <c r="V37" s="55">
        <f t="shared" ca="1" si="2"/>
        <v>0</v>
      </c>
      <c r="W37" s="55">
        <f t="shared" ca="1" si="12"/>
        <v>-14.977553591270823</v>
      </c>
      <c r="X37" s="55">
        <f t="shared" ca="1" si="13"/>
        <v>0</v>
      </c>
      <c r="Y37" s="55">
        <f t="shared" ca="1" si="14"/>
        <v>0</v>
      </c>
      <c r="Z37">
        <f t="shared" ca="1" si="3"/>
        <v>120</v>
      </c>
      <c r="AA37">
        <f t="shared" ca="1" si="15"/>
        <v>62.615875837465538</v>
      </c>
      <c r="AB37">
        <f t="shared" ca="1" si="4"/>
        <v>0</v>
      </c>
      <c r="AC37">
        <f t="shared" ca="1" si="5"/>
        <v>5.3542807394278899E-3</v>
      </c>
      <c r="AD37" s="83">
        <f ca="1"/>
        <v>45006</v>
      </c>
      <c r="AE37" s="55">
        <f t="shared" ca="1" si="20"/>
        <v>45006</v>
      </c>
      <c r="AF37" s="55">
        <f t="shared" ca="1" si="21"/>
        <v>-2.0866874485954372</v>
      </c>
      <c r="AG37" s="55">
        <f t="shared" ca="1" si="22"/>
        <v>4.5213093824681589</v>
      </c>
      <c r="AH37" s="55">
        <f t="shared" ca="1" si="23"/>
        <v>0</v>
      </c>
      <c r="AI37" s="55">
        <f t="shared" ca="1" si="17"/>
        <v>0</v>
      </c>
      <c r="AJ37" s="55">
        <f t="shared" ca="1" si="18"/>
        <v>0</v>
      </c>
      <c r="AK37" s="55">
        <f t="shared" ca="1" si="19"/>
        <v>-5.8862592663970146</v>
      </c>
    </row>
    <row r="38" spans="1:37" s="55" customFormat="1">
      <c r="A38" s="83">
        <f ca="1"/>
        <v>44888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44771</v>
      </c>
      <c r="S38" s="55">
        <f t="shared" ca="1" si="11"/>
        <v>44771</v>
      </c>
      <c r="T38" s="55">
        <f t="shared" ca="1" si="0"/>
        <v>34.189770098778041</v>
      </c>
      <c r="U38" s="55">
        <f t="shared" ca="1" si="1"/>
        <v>1.0274988320595217</v>
      </c>
      <c r="V38" s="55">
        <f t="shared" ca="1" si="2"/>
        <v>0</v>
      </c>
      <c r="W38" s="55">
        <f t="shared" ca="1" si="12"/>
        <v>-15.810229901221973</v>
      </c>
      <c r="X38" s="55">
        <f t="shared" ca="1" si="13"/>
        <v>0</v>
      </c>
      <c r="Y38" s="55">
        <f t="shared" ca="1" si="14"/>
        <v>0</v>
      </c>
      <c r="Z38">
        <f t="shared" ca="1" si="3"/>
        <v>120</v>
      </c>
      <c r="AA38">
        <f t="shared" ca="1" si="15"/>
        <v>66.845875837465542</v>
      </c>
      <c r="AB38">
        <f t="shared" ca="1" si="4"/>
        <v>0</v>
      </c>
      <c r="AC38">
        <f t="shared" ca="1" si="5"/>
        <v>5.3542807394278899E-3</v>
      </c>
      <c r="AD38" s="83">
        <f ca="1"/>
        <v>45007</v>
      </c>
      <c r="AE38" s="55">
        <f t="shared" ca="1" si="20"/>
        <v>45007</v>
      </c>
      <c r="AF38" s="55">
        <f t="shared" ca="1" si="21"/>
        <v>-2.5363001681354649</v>
      </c>
      <c r="AG38" s="55">
        <f t="shared" ca="1" si="22"/>
        <v>4.905466675117645</v>
      </c>
      <c r="AH38" s="55">
        <f t="shared" ca="1" si="23"/>
        <v>0</v>
      </c>
      <c r="AI38" s="55">
        <f t="shared" ca="1" si="17"/>
        <v>0</v>
      </c>
      <c r="AJ38" s="55">
        <f t="shared" ca="1" si="18"/>
        <v>0</v>
      </c>
      <c r="AK38" s="55">
        <f t="shared" ca="1" si="19"/>
        <v>-5.9517146932875562</v>
      </c>
    </row>
    <row r="39" spans="1:37" s="55" customFormat="1">
      <c r="A39" s="83">
        <f ca="1"/>
        <v>44888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44772</v>
      </c>
      <c r="S39" s="55">
        <f t="shared" ca="1" si="11"/>
        <v>44772</v>
      </c>
      <c r="T39" s="55">
        <f t="shared" ca="1" si="0"/>
        <v>33.922195929070853</v>
      </c>
      <c r="U39" s="55">
        <f t="shared" ca="1" si="1"/>
        <v>1.0274988320595217</v>
      </c>
      <c r="V39" s="55">
        <f t="shared" ca="1" si="2"/>
        <v>0</v>
      </c>
      <c r="W39" s="55">
        <f t="shared" ca="1" si="12"/>
        <v>-16.077804070929162</v>
      </c>
      <c r="X39" s="55">
        <f t="shared" ca="1" si="13"/>
        <v>0</v>
      </c>
      <c r="Y39" s="55">
        <f t="shared" ca="1" si="14"/>
        <v>0</v>
      </c>
      <c r="Z39">
        <f t="shared" ca="1" si="3"/>
        <v>120</v>
      </c>
      <c r="AA39">
        <f t="shared" ca="1" si="15"/>
        <v>68.215875837465546</v>
      </c>
      <c r="AB39">
        <f t="shared" ca="1" si="4"/>
        <v>0</v>
      </c>
      <c r="AC39">
        <f t="shared" ca="1" si="5"/>
        <v>5.3542807394278899E-3</v>
      </c>
      <c r="AD39" s="83">
        <f ca="1"/>
        <v>45008</v>
      </c>
      <c r="AE39" s="55">
        <f t="shared" ca="1" si="20"/>
        <v>45008</v>
      </c>
      <c r="AF39" s="55">
        <f t="shared" ca="1" si="21"/>
        <v>-2.9936275864887798</v>
      </c>
      <c r="AG39" s="55">
        <f t="shared" ca="1" si="22"/>
        <v>5.3099596128007445</v>
      </c>
      <c r="AH39" s="55">
        <f t="shared" ca="1" si="23"/>
        <v>0</v>
      </c>
      <c r="AI39" s="55">
        <f t="shared" ca="1" si="17"/>
        <v>0</v>
      </c>
      <c r="AJ39" s="55">
        <f t="shared" ca="1" si="18"/>
        <v>0</v>
      </c>
      <c r="AK39" s="55">
        <f t="shared" ca="1" si="19"/>
        <v>-6.0045491739577717</v>
      </c>
    </row>
    <row r="40" spans="1:37" s="55" customFormat="1" ht="6.75" customHeight="1">
      <c r="A40" s="83">
        <f ca="1"/>
        <v>44888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44773</v>
      </c>
      <c r="S40" s="55">
        <f t="shared" ca="1" si="11"/>
        <v>44773</v>
      </c>
      <c r="T40" s="55">
        <f t="shared" ca="1" si="0"/>
        <v>33.355655179730284</v>
      </c>
      <c r="U40" s="55">
        <f t="shared" ca="1" si="1"/>
        <v>1.0274988320595217</v>
      </c>
      <c r="V40" s="55">
        <f t="shared" ca="1" si="2"/>
        <v>0</v>
      </c>
      <c r="W40" s="55">
        <f t="shared" ca="1" si="12"/>
        <v>-16.644344820269733</v>
      </c>
      <c r="X40" s="55">
        <f t="shared" ca="1" si="13"/>
        <v>0</v>
      </c>
      <c r="Y40" s="55">
        <f t="shared" ca="1" si="14"/>
        <v>0</v>
      </c>
      <c r="Z40">
        <f t="shared" ca="1" si="3"/>
        <v>120</v>
      </c>
      <c r="AA40">
        <f t="shared" ca="1" si="15"/>
        <v>71.165875837465549</v>
      </c>
      <c r="AB40">
        <f t="shared" ca="1" si="4"/>
        <v>0</v>
      </c>
      <c r="AC40">
        <f t="shared" ca="1" si="5"/>
        <v>5.3542807394278899E-3</v>
      </c>
      <c r="AD40" s="83">
        <f ca="1"/>
        <v>45009</v>
      </c>
      <c r="AE40" s="55">
        <f t="shared" ca="1" si="20"/>
        <v>45009</v>
      </c>
      <c r="AF40" s="55">
        <f t="shared" ca="1" si="21"/>
        <v>-3.4704030943128497</v>
      </c>
      <c r="AG40" s="55">
        <f t="shared" ca="1" si="22"/>
        <v>5.7443174025967574</v>
      </c>
      <c r="AH40" s="55">
        <f t="shared" ca="1" si="23"/>
        <v>0</v>
      </c>
      <c r="AI40" s="55">
        <f t="shared" ca="1" si="17"/>
        <v>0</v>
      </c>
      <c r="AJ40" s="55">
        <f t="shared" ca="1" si="18"/>
        <v>0</v>
      </c>
      <c r="AK40" s="55">
        <f t="shared" ca="1" si="19"/>
        <v>-6.0469668919858286</v>
      </c>
    </row>
    <row r="41" spans="1:37" s="55" customFormat="1">
      <c r="A41" s="83">
        <f ca="1"/>
        <v>44888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44774</v>
      </c>
      <c r="S41" s="55">
        <f t="shared" ca="1" si="11"/>
        <v>44774</v>
      </c>
      <c r="T41" s="55">
        <f t="shared" ca="1" si="0"/>
        <v>32.895418371783244</v>
      </c>
      <c r="U41" s="55">
        <f t="shared" ca="1" si="1"/>
        <v>1.0274988320595217</v>
      </c>
      <c r="V41" s="55">
        <f t="shared" ca="1" si="2"/>
        <v>0</v>
      </c>
      <c r="W41" s="55">
        <f t="shared" ca="1" si="12"/>
        <v>-17.104581628216771</v>
      </c>
      <c r="X41" s="55">
        <f t="shared" ca="1" si="13"/>
        <v>0</v>
      </c>
      <c r="Y41" s="55">
        <f t="shared" ca="1" si="14"/>
        <v>0</v>
      </c>
      <c r="Z41">
        <f t="shared" ca="1" si="3"/>
        <v>120</v>
      </c>
      <c r="AA41">
        <f t="shared" ca="1" si="15"/>
        <v>73.595875837465542</v>
      </c>
      <c r="AB41">
        <f t="shared" ca="1" si="4"/>
        <v>0</v>
      </c>
      <c r="AC41">
        <f t="shared" ca="1" si="5"/>
        <v>5.3542807394278899E-3</v>
      </c>
      <c r="AD41" s="83">
        <f ca="1"/>
        <v>45010</v>
      </c>
      <c r="AE41" s="55">
        <f t="shared" ca="1" si="20"/>
        <v>45010</v>
      </c>
      <c r="AF41" s="55">
        <f t="shared" ca="1" si="21"/>
        <v>-3.9736223800368271</v>
      </c>
      <c r="AG41" s="55">
        <f t="shared" ca="1" si="22"/>
        <v>6.2144779930809593</v>
      </c>
      <c r="AH41" s="55">
        <f t="shared" ca="1" si="23"/>
        <v>0</v>
      </c>
      <c r="AI41" s="55">
        <f t="shared" ca="1" si="17"/>
        <v>0</v>
      </c>
      <c r="AJ41" s="55">
        <f t="shared" ca="1" si="18"/>
        <v>0</v>
      </c>
      <c r="AK41" s="55">
        <f t="shared" ca="1" si="19"/>
        <v>-6.0800255872256042</v>
      </c>
    </row>
    <row r="42" spans="1:37" s="55" customFormat="1">
      <c r="A42" s="83">
        <f ca="1"/>
        <v>44888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44775</v>
      </c>
      <c r="S42" s="55">
        <f t="shared" ca="1" si="11"/>
        <v>44775</v>
      </c>
      <c r="T42" s="55">
        <f t="shared" ca="1" si="0"/>
        <v>32.091667960588502</v>
      </c>
      <c r="U42" s="55">
        <f t="shared" ca="1" si="1"/>
        <v>1.0274988320595217</v>
      </c>
      <c r="V42" s="55">
        <f t="shared" ca="1" si="2"/>
        <v>0</v>
      </c>
      <c r="W42" s="55">
        <f t="shared" ca="1" si="12"/>
        <v>-17.908332039411508</v>
      </c>
      <c r="X42" s="55">
        <f t="shared" ca="1" si="13"/>
        <v>0</v>
      </c>
      <c r="Y42" s="55">
        <f t="shared" ca="1" si="14"/>
        <v>0</v>
      </c>
      <c r="Z42">
        <f t="shared" ca="1" si="3"/>
        <v>120</v>
      </c>
      <c r="AA42">
        <f t="shared" ca="1" si="15"/>
        <v>77.945875837465536</v>
      </c>
      <c r="AB42">
        <f t="shared" ca="1" si="4"/>
        <v>0</v>
      </c>
      <c r="AC42">
        <f t="shared" ca="1" si="5"/>
        <v>5.3542807394278899E-3</v>
      </c>
      <c r="AD42" s="83">
        <f ca="1"/>
        <v>45011</v>
      </c>
      <c r="AE42" s="55">
        <f t="shared" ca="1" si="20"/>
        <v>45011</v>
      </c>
      <c r="AF42" s="55">
        <f t="shared" ca="1" si="21"/>
        <v>-4.5091012757432267</v>
      </c>
      <c r="AG42" s="55">
        <f t="shared" ca="1" si="22"/>
        <v>6.7255660705002169</v>
      </c>
      <c r="AH42" s="55">
        <f t="shared" ca="1" si="23"/>
        <v>0</v>
      </c>
      <c r="AI42" s="55">
        <f t="shared" ca="1" si="17"/>
        <v>0</v>
      </c>
      <c r="AJ42" s="55">
        <f t="shared" ca="1" si="18"/>
        <v>0</v>
      </c>
      <c r="AK42" s="55">
        <f t="shared" ca="1" si="19"/>
        <v>-6.1044164055127457</v>
      </c>
    </row>
    <row r="43" spans="1:37" s="55" customFormat="1" ht="15.75" thickBot="1">
      <c r="A43" s="83">
        <f ca="1"/>
        <v>44888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44776</v>
      </c>
      <c r="S43" s="55">
        <f t="shared" ca="1" si="11"/>
        <v>44776</v>
      </c>
      <c r="T43" s="55">
        <f t="shared" ca="1" si="0"/>
        <v>31.76249303279409</v>
      </c>
      <c r="U43" s="55">
        <f t="shared" ca="1" si="1"/>
        <v>1.0274988320595217</v>
      </c>
      <c r="V43" s="55">
        <f t="shared" ca="1" si="2"/>
        <v>0</v>
      </c>
      <c r="W43" s="55">
        <f t="shared" ca="1" si="12"/>
        <v>-18.23750696720592</v>
      </c>
      <c r="X43" s="55">
        <f t="shared" ca="1" si="13"/>
        <v>0</v>
      </c>
      <c r="Y43" s="55">
        <f t="shared" ca="1" si="14"/>
        <v>0</v>
      </c>
      <c r="Z43">
        <f t="shared" ca="1" si="3"/>
        <v>120</v>
      </c>
      <c r="AA43">
        <f t="shared" ca="1" si="15"/>
        <v>79.745875837465547</v>
      </c>
      <c r="AB43">
        <f t="shared" ca="1" si="4"/>
        <v>0</v>
      </c>
      <c r="AC43">
        <f t="shared" ca="1" si="5"/>
        <v>5.3542807394278899E-3</v>
      </c>
      <c r="AD43" s="83">
        <f ca="1"/>
        <v>45012</v>
      </c>
      <c r="AE43" s="55">
        <f t="shared" ca="1" si="20"/>
        <v>45012</v>
      </c>
      <c r="AF43" s="55">
        <f t="shared" ca="1" si="21"/>
        <v>-5.0849087634887598</v>
      </c>
      <c r="AG43" s="55">
        <f t="shared" ca="1" si="22"/>
        <v>7.2850763232020217</v>
      </c>
      <c r="AH43" s="55">
        <f t="shared" ca="1" si="23"/>
        <v>0</v>
      </c>
      <c r="AI43" s="55">
        <f t="shared" ca="1" si="17"/>
        <v>0</v>
      </c>
      <c r="AJ43" s="55">
        <f t="shared" ca="1" si="18"/>
        <v>0</v>
      </c>
      <c r="AK43" s="55">
        <f t="shared" ca="1" si="19"/>
        <v>-6.1207136405564739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44766</v>
      </c>
      <c r="C44" s="94" t="s">
        <v>149</v>
      </c>
      <c r="D44" s="96">
        <f ca="1">MAX(CurrentEstablishDate,C38:C43,MAX(C29:C34)+1)</f>
        <v>44766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44777</v>
      </c>
      <c r="S44" s="55">
        <f t="shared" ca="1" si="11"/>
        <v>44777</v>
      </c>
      <c r="T44" s="55">
        <f t="shared" ca="1" si="0"/>
        <v>31.114001807247874</v>
      </c>
      <c r="U44" s="55">
        <f t="shared" ca="1" si="1"/>
        <v>1.0274988320595217</v>
      </c>
      <c r="V44" s="55">
        <f t="shared" ca="1" si="2"/>
        <v>0</v>
      </c>
      <c r="W44" s="55">
        <f t="shared" ca="1" si="12"/>
        <v>-18.885998192752137</v>
      </c>
      <c r="X44" s="55">
        <f t="shared" ca="1" si="13"/>
        <v>0</v>
      </c>
      <c r="Y44" s="55">
        <f t="shared" ca="1" si="14"/>
        <v>0</v>
      </c>
      <c r="Z44">
        <f t="shared" ca="1" si="3"/>
        <v>120</v>
      </c>
      <c r="AA44">
        <f t="shared" ca="1" si="15"/>
        <v>83.365875837465552</v>
      </c>
      <c r="AB44">
        <f t="shared" ca="1" si="4"/>
        <v>0</v>
      </c>
      <c r="AC44">
        <f t="shared" ca="1" si="5"/>
        <v>5.3542807394278899E-3</v>
      </c>
      <c r="AD44" s="83">
        <f ca="1"/>
        <v>45013</v>
      </c>
      <c r="AE44" s="55">
        <f t="shared" ca="1" si="20"/>
        <v>45013</v>
      </c>
      <c r="AF44" s="55">
        <f t="shared" ca="1" si="21"/>
        <v>-5.6949445469054254</v>
      </c>
      <c r="AG44" s="55">
        <f t="shared" ca="1" si="22"/>
        <v>7.8866207833079516</v>
      </c>
      <c r="AH44" s="55">
        <f t="shared" ca="1" si="23"/>
        <v>0</v>
      </c>
      <c r="AI44" s="55">
        <f t="shared" ca="1" si="17"/>
        <v>0</v>
      </c>
      <c r="AJ44" s="55">
        <f t="shared" ca="1" si="18"/>
        <v>0</v>
      </c>
      <c r="AK44" s="55">
        <f t="shared" ca="1" si="19"/>
        <v>-6.1292049638672097</v>
      </c>
    </row>
    <row r="45" spans="1:37" s="55" customFormat="1">
      <c r="R45" s="83">
        <f ca="1"/>
        <v>44778</v>
      </c>
      <c r="S45" s="55">
        <f t="shared" ca="1" si="11"/>
        <v>44778</v>
      </c>
      <c r="T45" s="55">
        <f t="shared" ca="1" si="0"/>
        <v>30.490788568180072</v>
      </c>
      <c r="U45" s="55">
        <f t="shared" ca="1" si="1"/>
        <v>1.0274988320595217</v>
      </c>
      <c r="V45" s="55">
        <f t="shared" ca="1" si="2"/>
        <v>0</v>
      </c>
      <c r="W45" s="55">
        <f t="shared" ca="1" si="12"/>
        <v>-19.509211431819939</v>
      </c>
      <c r="X45" s="55">
        <f t="shared" ca="1" si="13"/>
        <v>0</v>
      </c>
      <c r="Y45" s="55">
        <f t="shared" ca="1" si="14"/>
        <v>0</v>
      </c>
      <c r="Z45">
        <f t="shared" ca="1" si="3"/>
        <v>120</v>
      </c>
      <c r="AA45">
        <f t="shared" ca="1" si="15"/>
        <v>86.915875837465549</v>
      </c>
      <c r="AB45">
        <f t="shared" ca="1" si="4"/>
        <v>0</v>
      </c>
      <c r="AC45">
        <f t="shared" ca="1" si="5"/>
        <v>5.3542807394278899E-3</v>
      </c>
      <c r="AD45" s="83">
        <f ca="1"/>
        <v>45014</v>
      </c>
      <c r="AE45" s="55">
        <f t="shared" ca="1" si="20"/>
        <v>45014</v>
      </c>
      <c r="AF45" s="55">
        <f t="shared" ca="1" si="21"/>
        <v>-6.357573056345279</v>
      </c>
      <c r="AG45" s="55">
        <f t="shared" ca="1" si="22"/>
        <v>8.5479273100615867</v>
      </c>
      <c r="AH45" s="55">
        <f t="shared" ca="1" si="23"/>
        <v>0</v>
      </c>
      <c r="AI45" s="55">
        <f t="shared" ca="1" si="17"/>
        <v>0</v>
      </c>
      <c r="AJ45" s="55">
        <f t="shared" ca="1" si="18"/>
        <v>0</v>
      </c>
      <c r="AK45" s="55">
        <f t="shared" ca="1" si="19"/>
        <v>-6.1305269465534282</v>
      </c>
    </row>
    <row r="46" spans="1:37" s="55" customFormat="1" ht="15.75" thickBot="1">
      <c r="C46" s="129" t="s">
        <v>153</v>
      </c>
      <c r="D46" s="129"/>
      <c r="E46" s="129"/>
      <c r="F46" s="129"/>
      <c r="G46" s="129"/>
      <c r="H46" s="129"/>
      <c r="R46" s="83">
        <f ca="1"/>
        <v>44779</v>
      </c>
      <c r="S46" s="55">
        <f t="shared" ca="1" si="11"/>
        <v>44779</v>
      </c>
      <c r="T46" s="55">
        <f t="shared" ca="1" si="0"/>
        <v>30.02575333993639</v>
      </c>
      <c r="U46" s="55">
        <f t="shared" ca="1" si="1"/>
        <v>1.0274988320595217</v>
      </c>
      <c r="V46" s="55">
        <f t="shared" ca="1" si="2"/>
        <v>0</v>
      </c>
      <c r="W46" s="55">
        <f t="shared" ca="1" si="12"/>
        <v>-19.974246660063621</v>
      </c>
      <c r="X46" s="55">
        <f t="shared" ca="1" si="13"/>
        <v>0</v>
      </c>
      <c r="Y46" s="55">
        <f t="shared" ca="1" si="14"/>
        <v>0</v>
      </c>
      <c r="Z46">
        <f t="shared" ca="1" si="3"/>
        <v>120</v>
      </c>
      <c r="AA46">
        <f t="shared" ca="1" si="15"/>
        <v>89.605875837465547</v>
      </c>
      <c r="AB46">
        <f t="shared" ca="1" si="4"/>
        <v>0</v>
      </c>
      <c r="AC46">
        <f t="shared" ca="1" si="5"/>
        <v>5.3542807394278899E-3</v>
      </c>
      <c r="AD46" s="83">
        <f ca="1"/>
        <v>45015</v>
      </c>
      <c r="AE46" s="55">
        <f t="shared" ca="1" si="20"/>
        <v>45015</v>
      </c>
      <c r="AF46" s="55">
        <f t="shared" ca="1" si="21"/>
        <v>-7.0556657214291549</v>
      </c>
      <c r="AG46" s="55">
        <f t="shared" ca="1" si="22"/>
        <v>9.2513642908317308</v>
      </c>
      <c r="AH46" s="55">
        <f t="shared" ca="1" si="23"/>
        <v>0</v>
      </c>
      <c r="AI46" s="55">
        <f t="shared" ca="1" si="17"/>
        <v>0</v>
      </c>
      <c r="AJ46" s="55">
        <f t="shared" ca="1" si="18"/>
        <v>0</v>
      </c>
      <c r="AK46" s="55">
        <f t="shared" ca="1" si="19"/>
        <v>-6.12518263086716</v>
      </c>
    </row>
    <row r="47" spans="1:37" s="55" customFormat="1">
      <c r="C47" s="61" t="s">
        <v>26</v>
      </c>
      <c r="D47" s="88" t="str">
        <f>IF(E47="","Fodder",E47)</f>
        <v>Green_manure</v>
      </c>
      <c r="E47" s="87" t="s">
        <v>282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44780</v>
      </c>
      <c r="S47" s="55">
        <f t="shared" ca="1" si="11"/>
        <v>44780</v>
      </c>
      <c r="T47" s="55">
        <f t="shared" ca="1" si="0"/>
        <v>29.721156517685444</v>
      </c>
      <c r="U47" s="55">
        <f t="shared" ca="1" si="1"/>
        <v>1.0274988320595217</v>
      </c>
      <c r="V47" s="55">
        <f t="shared" ca="1" si="2"/>
        <v>0</v>
      </c>
      <c r="W47" s="55">
        <f t="shared" ca="1" si="12"/>
        <v>-20.278843482314567</v>
      </c>
      <c r="X47" s="55">
        <f t="shared" ca="1" si="13"/>
        <v>0</v>
      </c>
      <c r="Y47" s="55">
        <f t="shared" ca="1" si="14"/>
        <v>0</v>
      </c>
      <c r="Z47">
        <f t="shared" ca="1" si="3"/>
        <v>120</v>
      </c>
      <c r="AA47">
        <f t="shared" ca="1" si="15"/>
        <v>91.385875837465548</v>
      </c>
      <c r="AB47">
        <f t="shared" ca="1" si="4"/>
        <v>0</v>
      </c>
      <c r="AC47">
        <f t="shared" ca="1" si="5"/>
        <v>5.3542807394278899E-3</v>
      </c>
      <c r="AD47" s="83">
        <f ca="1"/>
        <v>45016</v>
      </c>
      <c r="AE47" s="55">
        <f t="shared" ca="1" si="20"/>
        <v>45016</v>
      </c>
      <c r="AF47" s="55">
        <f t="shared" ca="1" si="21"/>
        <v>-7.7900302736220874</v>
      </c>
      <c r="AG47" s="55">
        <f t="shared" ca="1" si="22"/>
        <v>9.9969552378587068</v>
      </c>
      <c r="AH47" s="55">
        <f t="shared" ca="1" si="23"/>
        <v>0</v>
      </c>
      <c r="AI47" s="55">
        <f t="shared" ca="1" si="17"/>
        <v>0</v>
      </c>
      <c r="AJ47" s="55">
        <f t="shared" ca="1" si="18"/>
        <v>0</v>
      </c>
      <c r="AK47" s="55">
        <f t="shared" ca="1" si="19"/>
        <v>-6.1139562360331166</v>
      </c>
    </row>
    <row r="48" spans="1:37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44781</v>
      </c>
      <c r="S48" s="55">
        <f t="shared" ca="1" si="11"/>
        <v>44781</v>
      </c>
      <c r="T48" s="55">
        <f t="shared" ca="1" si="0"/>
        <v>29.615438377054627</v>
      </c>
      <c r="U48" s="55">
        <f t="shared" ca="1" si="1"/>
        <v>1.0274988320595217</v>
      </c>
      <c r="V48" s="55">
        <f t="shared" ca="1" si="2"/>
        <v>0</v>
      </c>
      <c r="W48" s="55">
        <f t="shared" ca="1" si="12"/>
        <v>-20.384561622945384</v>
      </c>
      <c r="X48" s="55">
        <f t="shared" ca="1" si="13"/>
        <v>0</v>
      </c>
      <c r="Y48" s="55">
        <f t="shared" ca="1" si="14"/>
        <v>0</v>
      </c>
      <c r="Z48">
        <f t="shared" ca="1" si="3"/>
        <v>120</v>
      </c>
      <c r="AA48">
        <f t="shared" ca="1" si="15"/>
        <v>92.005875837465538</v>
      </c>
      <c r="AB48">
        <f t="shared" ca="1" si="4"/>
        <v>0</v>
      </c>
      <c r="AC48">
        <f t="shared" ca="1" si="5"/>
        <v>5.3542807394278899E-3</v>
      </c>
      <c r="AD48" s="83">
        <f ca="1"/>
        <v>45017</v>
      </c>
      <c r="AE48" s="55">
        <f t="shared" ca="1" si="20"/>
        <v>45017</v>
      </c>
      <c r="AF48" s="55">
        <f t="shared" ca="1" si="21"/>
        <v>-8.5575009749569837</v>
      </c>
      <c r="AG48" s="55">
        <f t="shared" ca="1" si="22"/>
        <v>10.780734346993572</v>
      </c>
      <c r="AH48" s="55">
        <f t="shared" ca="1" si="23"/>
        <v>0</v>
      </c>
      <c r="AI48" s="55">
        <f t="shared" ca="1" si="17"/>
        <v>0</v>
      </c>
      <c r="AJ48" s="55">
        <f t="shared" ca="1" si="18"/>
        <v>0</v>
      </c>
      <c r="AK48" s="55">
        <f t="shared" ca="1" si="19"/>
        <v>-6.0976478282331472</v>
      </c>
    </row>
    <row r="49" spans="2:37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44782</v>
      </c>
      <c r="S49" s="55">
        <f t="shared" ca="1" si="11"/>
        <v>44782</v>
      </c>
      <c r="T49" s="55">
        <f t="shared" ca="1" si="0"/>
        <v>29.122474311884368</v>
      </c>
      <c r="U49" s="55">
        <f t="shared" ca="1" si="1"/>
        <v>1.0274988320595217</v>
      </c>
      <c r="V49" s="55">
        <f t="shared" ca="1" si="2"/>
        <v>0</v>
      </c>
      <c r="W49" s="55">
        <f t="shared" ca="1" si="12"/>
        <v>-20.877525688115643</v>
      </c>
      <c r="X49" s="55">
        <f t="shared" ca="1" si="13"/>
        <v>0</v>
      </c>
      <c r="Y49" s="55">
        <f t="shared" ca="1" si="14"/>
        <v>0</v>
      </c>
      <c r="Z49">
        <f t="shared" ca="1" si="3"/>
        <v>120</v>
      </c>
      <c r="AA49">
        <f t="shared" ca="1" si="15"/>
        <v>94.945875837465536</v>
      </c>
      <c r="AB49">
        <f t="shared" ca="1" si="4"/>
        <v>0</v>
      </c>
      <c r="AC49">
        <f t="shared" ca="1" si="5"/>
        <v>5.3542807394278899E-3</v>
      </c>
      <c r="AD49" s="83">
        <f ca="1"/>
        <v>45018</v>
      </c>
      <c r="AE49" s="55">
        <f t="shared" ca="1" si="20"/>
        <v>45018</v>
      </c>
      <c r="AF49" s="55">
        <f t="shared" ca="1" si="21"/>
        <v>-9.3731730945750833</v>
      </c>
      <c r="AG49" s="55">
        <f t="shared" ca="1" si="22"/>
        <v>11.617419223714769</v>
      </c>
      <c r="AH49" s="55">
        <f t="shared" ca="1" si="23"/>
        <v>0</v>
      </c>
      <c r="AI49" s="55">
        <f t="shared" ca="1" si="17"/>
        <v>0</v>
      </c>
      <c r="AJ49" s="55">
        <f t="shared" ca="1" si="18"/>
        <v>0</v>
      </c>
      <c r="AK49" s="55">
        <f t="shared" ca="1" si="19"/>
        <v>-6.0766350711300507</v>
      </c>
    </row>
    <row r="50" spans="2:37" s="55" customFormat="1">
      <c r="B50" s="90">
        <f>IF(PriorUnits="kg/head",PriorYield*PriorPopulation/1000,IF(PriorUnits="kg/ha",PriorYield/1000,PriorYield))</f>
        <v>0</v>
      </c>
      <c r="C50" s="64" t="s">
        <v>150</v>
      </c>
      <c r="D50" s="65" t="str">
        <f>SUBSTITUTE(PriorCropName&amp;" "&amp;PriorCropType&amp;" "&amp;PriorCropVariety,"_"," ")</f>
        <v>Annual ryegrass Green manure General</v>
      </c>
      <c r="F50" s="56"/>
      <c r="R50" s="83">
        <f ca="1"/>
        <v>44783</v>
      </c>
      <c r="S50" s="55">
        <f t="shared" ca="1" si="11"/>
        <v>44783</v>
      </c>
      <c r="T50" s="55">
        <f t="shared" ca="1" si="0"/>
        <v>28.668555516211025</v>
      </c>
      <c r="U50" s="55">
        <f t="shared" ca="1" si="1"/>
        <v>1.0274988320595217</v>
      </c>
      <c r="V50" s="55">
        <f t="shared" ca="1" si="2"/>
        <v>0</v>
      </c>
      <c r="W50" s="55">
        <f t="shared" ca="1" si="12"/>
        <v>-21.331444483788985</v>
      </c>
      <c r="X50" s="55">
        <f t="shared" ca="1" si="13"/>
        <v>0</v>
      </c>
      <c r="Y50" s="55">
        <f t="shared" ca="1" si="14"/>
        <v>0</v>
      </c>
      <c r="Z50">
        <f t="shared" ca="1" si="3"/>
        <v>120</v>
      </c>
      <c r="AA50">
        <f t="shared" ca="1" si="15"/>
        <v>97.695875837465536</v>
      </c>
      <c r="AB50">
        <f t="shared" ca="1" si="4"/>
        <v>0</v>
      </c>
      <c r="AC50">
        <f t="shared" ca="1" si="5"/>
        <v>5.3542807394278899E-3</v>
      </c>
      <c r="AD50" s="83">
        <f ca="1"/>
        <v>45019</v>
      </c>
      <c r="AE50" s="55">
        <f t="shared" ca="1" si="20"/>
        <v>45019</v>
      </c>
      <c r="AF50" s="55">
        <f t="shared" ca="1" si="21"/>
        <v>-10.259171342901736</v>
      </c>
      <c r="AG50" s="55">
        <f t="shared" ca="1" si="22"/>
        <v>12.529139177931283</v>
      </c>
      <c r="AH50" s="55">
        <f t="shared" ca="1" si="23"/>
        <v>0</v>
      </c>
      <c r="AI50" s="55">
        <f t="shared" ca="1" si="17"/>
        <v>0</v>
      </c>
      <c r="AJ50" s="55">
        <f t="shared" ca="1" si="18"/>
        <v>0</v>
      </c>
      <c r="AK50" s="55">
        <f t="shared" ca="1" si="19"/>
        <v>-6.0509133652401896</v>
      </c>
    </row>
    <row r="51" spans="2:37" s="55" customFormat="1">
      <c r="C51" s="61" t="s">
        <v>4</v>
      </c>
      <c r="D51" s="68">
        <f ca="1">IF(E51="",CurrentEstablishDate-60,E51)</f>
        <v>44706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44784</v>
      </c>
      <c r="S51" s="55">
        <f t="shared" ca="1" si="11"/>
        <v>44784</v>
      </c>
      <c r="T51" s="55">
        <f t="shared" ca="1" si="0"/>
        <v>28.031061229758489</v>
      </c>
      <c r="U51" s="55">
        <f t="shared" ca="1" si="1"/>
        <v>1.0274988320595217</v>
      </c>
      <c r="V51" s="55">
        <f t="shared" ca="1" si="2"/>
        <v>0</v>
      </c>
      <c r="W51" s="55">
        <f t="shared" ca="1" si="12"/>
        <v>-21.968938770241522</v>
      </c>
      <c r="X51" s="55">
        <f t="shared" ca="1" si="13"/>
        <v>0</v>
      </c>
      <c r="Y51" s="55">
        <f t="shared" ca="1" si="14"/>
        <v>0</v>
      </c>
      <c r="Z51">
        <f t="shared" ca="1" si="3"/>
        <v>120</v>
      </c>
      <c r="AA51">
        <f t="shared" ca="1" si="15"/>
        <v>101.64587583746554</v>
      </c>
      <c r="AB51">
        <f t="shared" ca="1" si="4"/>
        <v>0</v>
      </c>
      <c r="AC51">
        <f t="shared" ca="1" si="5"/>
        <v>5.3542807394278899E-3</v>
      </c>
      <c r="AD51" s="83">
        <f ca="1"/>
        <v>45020</v>
      </c>
      <c r="AE51" s="55">
        <f t="shared" ca="1" si="20"/>
        <v>45020</v>
      </c>
      <c r="AF51" s="55">
        <f t="shared" ca="1" si="21"/>
        <v>-11.176263011774667</v>
      </c>
      <c r="AG51" s="55">
        <f t="shared" ca="1" si="22"/>
        <v>13.475238919443337</v>
      </c>
      <c r="AH51" s="55">
        <f t="shared" ca="1" si="23"/>
        <v>0</v>
      </c>
      <c r="AI51" s="55">
        <f t="shared" ca="1" si="17"/>
        <v>0</v>
      </c>
      <c r="AJ51" s="55">
        <f t="shared" ca="1" si="18"/>
        <v>0</v>
      </c>
      <c r="AK51" s="55">
        <f t="shared" ca="1" si="19"/>
        <v>-6.0219052926010672</v>
      </c>
    </row>
    <row r="52" spans="2:37" s="55" customFormat="1">
      <c r="C52" s="61" t="s">
        <v>5</v>
      </c>
      <c r="D52" s="68">
        <f ca="1">IF(E52="",CurrentEstablishDate-15,E52)</f>
        <v>44751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44785</v>
      </c>
      <c r="S52" s="55">
        <f t="shared" ca="1" si="11"/>
        <v>44785</v>
      </c>
      <c r="T52" s="55">
        <f t="shared" ca="1" si="0"/>
        <v>27.688313470584735</v>
      </c>
      <c r="U52" s="55">
        <f t="shared" ca="1" si="1"/>
        <v>1.0274988320595217</v>
      </c>
      <c r="V52" s="55">
        <f t="shared" ca="1" si="2"/>
        <v>0</v>
      </c>
      <c r="W52" s="55">
        <f t="shared" ca="1" si="12"/>
        <v>-22.311686529415276</v>
      </c>
      <c r="X52" s="55">
        <f t="shared" ca="1" si="13"/>
        <v>0</v>
      </c>
      <c r="Y52" s="55">
        <f t="shared" ca="1" si="14"/>
        <v>0</v>
      </c>
      <c r="Z52">
        <f t="shared" ca="1" si="3"/>
        <v>120</v>
      </c>
      <c r="AA52">
        <f t="shared" ca="1" si="15"/>
        <v>103.79587583746554</v>
      </c>
      <c r="AB52">
        <f t="shared" ca="1" si="4"/>
        <v>0</v>
      </c>
      <c r="AC52">
        <f t="shared" ca="1" si="5"/>
        <v>5.3542807394278899E-3</v>
      </c>
      <c r="AD52" s="83">
        <f ca="1"/>
        <v>45021</v>
      </c>
      <c r="AE52" s="55">
        <f t="shared" ca="1" si="20"/>
        <v>45021</v>
      </c>
      <c r="AF52" s="55">
        <f t="shared" ca="1" si="21"/>
        <v>-12.157676993262148</v>
      </c>
      <c r="AG52" s="55">
        <f t="shared" ca="1" si="22"/>
        <v>14.489258093856552</v>
      </c>
      <c r="AH52" s="55">
        <f t="shared" ca="1" si="23"/>
        <v>0</v>
      </c>
      <c r="AI52" s="55">
        <f t="shared" ca="1" si="17"/>
        <v>0</v>
      </c>
      <c r="AJ52" s="55">
        <f t="shared" ca="1" si="18"/>
        <v>0</v>
      </c>
      <c r="AK52" s="55">
        <f t="shared" ca="1" si="19"/>
        <v>-5.9893000996753329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44786</v>
      </c>
      <c r="S53" s="55">
        <f t="shared" ca="1" si="11"/>
        <v>44786</v>
      </c>
      <c r="T53" s="55">
        <f t="shared" ca="1" si="0"/>
        <v>27.269112835987865</v>
      </c>
      <c r="U53" s="55">
        <f t="shared" ca="1" si="1"/>
        <v>1.0274988320595217</v>
      </c>
      <c r="V53" s="55">
        <f t="shared" ca="1" si="2"/>
        <v>0</v>
      </c>
      <c r="W53" s="55">
        <f t="shared" ca="1" si="12"/>
        <v>-22.730887164012145</v>
      </c>
      <c r="X53" s="55">
        <f t="shared" ca="1" si="13"/>
        <v>0</v>
      </c>
      <c r="Y53" s="55">
        <f t="shared" ca="1" si="14"/>
        <v>0</v>
      </c>
      <c r="Z53">
        <f t="shared" ca="1" si="3"/>
        <v>120</v>
      </c>
      <c r="AA53">
        <f t="shared" ca="1" si="15"/>
        <v>106.46587583746556</v>
      </c>
      <c r="AB53">
        <f t="shared" ca="1" si="4"/>
        <v>0</v>
      </c>
      <c r="AC53">
        <f t="shared" ca="1" si="5"/>
        <v>5.3542807394278899E-3</v>
      </c>
      <c r="AD53" s="83">
        <f ca="1"/>
        <v>45022</v>
      </c>
      <c r="AE53" s="55">
        <f t="shared" ca="1" si="20"/>
        <v>45022</v>
      </c>
      <c r="AF53" s="55">
        <f t="shared" ca="1" si="21"/>
        <v>-13.210061706124618</v>
      </c>
      <c r="AG53" s="55">
        <f t="shared" ca="1" si="22"/>
        <v>15.577598018154527</v>
      </c>
      <c r="AH53" s="55">
        <f t="shared" ca="1" si="23"/>
        <v>0</v>
      </c>
      <c r="AI53" s="55">
        <f t="shared" ca="1" si="17"/>
        <v>0</v>
      </c>
      <c r="AJ53" s="55">
        <f t="shared" ca="1" si="18"/>
        <v>0</v>
      </c>
      <c r="AK53" s="55">
        <f t="shared" ca="1" si="19"/>
        <v>-5.9533448882398279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0</v>
      </c>
      <c r="E54" s="69">
        <v>0</v>
      </c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44787</v>
      </c>
      <c r="S54" s="55">
        <f t="shared" ca="1" si="11"/>
        <v>44787</v>
      </c>
      <c r="T54" s="55">
        <f t="shared" ca="1" si="0"/>
        <v>26.762172412501364</v>
      </c>
      <c r="U54" s="55">
        <f t="shared" ca="1" si="1"/>
        <v>1.0274988320595217</v>
      </c>
      <c r="V54" s="55">
        <f t="shared" ca="1" si="2"/>
        <v>0</v>
      </c>
      <c r="W54" s="55">
        <f t="shared" ca="1" si="12"/>
        <v>-23.237827587498646</v>
      </c>
      <c r="X54" s="55">
        <f t="shared" ca="1" si="13"/>
        <v>0</v>
      </c>
      <c r="Y54" s="55">
        <f t="shared" ca="1" si="14"/>
        <v>0</v>
      </c>
      <c r="Z54">
        <f t="shared" ca="1" si="3"/>
        <v>120</v>
      </c>
      <c r="AA54">
        <f t="shared" ca="1" si="15"/>
        <v>109.75587583746555</v>
      </c>
      <c r="AB54">
        <f t="shared" ca="1" si="4"/>
        <v>0</v>
      </c>
      <c r="AC54">
        <f t="shared" ca="1" si="5"/>
        <v>5.3542807394278899E-3</v>
      </c>
      <c r="AD54" s="83">
        <f ca="1"/>
        <v>45023</v>
      </c>
      <c r="AE54" s="55">
        <f t="shared" ca="1" si="20"/>
        <v>45023</v>
      </c>
      <c r="AF54" s="55">
        <f t="shared" ca="1" si="21"/>
        <v>-14.33353307176702</v>
      </c>
      <c r="AG54" s="55">
        <f t="shared" ca="1" si="22"/>
        <v>16.739965791026773</v>
      </c>
      <c r="AH54" s="55">
        <f t="shared" ca="1" si="23"/>
        <v>0</v>
      </c>
      <c r="AI54" s="55">
        <f t="shared" ca="1" si="17"/>
        <v>0</v>
      </c>
      <c r="AJ54" s="55">
        <f t="shared" ca="1" si="18"/>
        <v>0</v>
      </c>
      <c r="AK54" s="55">
        <f t="shared" ca="1" si="19"/>
        <v>-5.9144484810099849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44788</v>
      </c>
      <c r="S55" s="55">
        <f t="shared" ca="1" si="11"/>
        <v>44788</v>
      </c>
      <c r="T55" s="55">
        <f t="shared" ca="1" si="0"/>
        <v>26.257237773380538</v>
      </c>
      <c r="U55" s="55">
        <f t="shared" ca="1" si="1"/>
        <v>1.0274988320595217</v>
      </c>
      <c r="V55" s="55">
        <f t="shared" ca="1" si="2"/>
        <v>0</v>
      </c>
      <c r="W55" s="55">
        <f t="shared" ca="1" si="12"/>
        <v>-23.742762226619472</v>
      </c>
      <c r="X55" s="55">
        <f t="shared" ca="1" si="13"/>
        <v>0</v>
      </c>
      <c r="Y55" s="55">
        <f t="shared" ca="1" si="14"/>
        <v>0</v>
      </c>
      <c r="Z55">
        <f t="shared" ca="1" si="3"/>
        <v>120</v>
      </c>
      <c r="AA55">
        <f t="shared" ca="1" si="15"/>
        <v>113.09587583746556</v>
      </c>
      <c r="AB55">
        <f t="shared" ca="1" si="4"/>
        <v>0</v>
      </c>
      <c r="AC55">
        <f t="shared" ca="1" si="5"/>
        <v>5.3542807394278899E-3</v>
      </c>
      <c r="AD55" s="83">
        <f ca="1"/>
        <v>45024</v>
      </c>
      <c r="AE55" s="55">
        <f t="shared" ca="1" si="20"/>
        <v>45024</v>
      </c>
      <c r="AF55" s="55">
        <f t="shared" ca="1" si="21"/>
        <v>-15.50804010359758</v>
      </c>
      <c r="AG55" s="55">
        <f t="shared" ca="1" si="22"/>
        <v>17.95538102615582</v>
      </c>
      <c r="AH55" s="55">
        <f t="shared" ca="1" si="23"/>
        <v>0</v>
      </c>
      <c r="AI55" s="55">
        <f t="shared" ca="1" si="17"/>
        <v>0</v>
      </c>
      <c r="AJ55" s="55">
        <f t="shared" ca="1" si="18"/>
        <v>0</v>
      </c>
      <c r="AK55" s="55">
        <f t="shared" ca="1" si="19"/>
        <v>-5.8735402777114984</v>
      </c>
    </row>
    <row r="56" spans="2:37" s="55" customFormat="1">
      <c r="C56" s="64" t="str">
        <f>"Yield "&amp;ROUND(PriorYield_tperHa,0)&amp;" (t/ha)"</f>
        <v>Yield 0 (t/ha)</v>
      </c>
      <c r="D56" s="90" t="str">
        <f ca="1">"Previous crop residues are providing "&amp;ROUND('Model Interface'!M9,0)&amp;" kg N/ha to the current crop"</f>
        <v>Previous crop residues are providing 0 kg N/ha to the current crop</v>
      </c>
      <c r="R56" s="83">
        <f ca="1"/>
        <v>44789</v>
      </c>
      <c r="S56" s="55">
        <f t="shared" ca="1" si="11"/>
        <v>44789</v>
      </c>
      <c r="T56" s="55">
        <f t="shared" ca="1" si="0"/>
        <v>25.868504698233448</v>
      </c>
      <c r="U56" s="55">
        <f t="shared" ca="1" si="1"/>
        <v>1.0274988320595217</v>
      </c>
      <c r="V56" s="55">
        <f t="shared" ca="1" si="2"/>
        <v>0</v>
      </c>
      <c r="W56" s="55">
        <f t="shared" ca="1" si="12"/>
        <v>-24.131495301766563</v>
      </c>
      <c r="X56" s="55">
        <f t="shared" ca="1" si="13"/>
        <v>0</v>
      </c>
      <c r="Y56" s="55">
        <f t="shared" ca="1" si="14"/>
        <v>0</v>
      </c>
      <c r="Z56">
        <f t="shared" ca="1" si="3"/>
        <v>120</v>
      </c>
      <c r="AA56">
        <f t="shared" ca="1" si="15"/>
        <v>115.70587583746556</v>
      </c>
      <c r="AB56">
        <f t="shared" ca="1" si="4"/>
        <v>0</v>
      </c>
      <c r="AC56">
        <f t="shared" ca="1" si="5"/>
        <v>5.3542807394278899E-3</v>
      </c>
      <c r="AD56" s="83">
        <f ca="1"/>
        <v>45025</v>
      </c>
      <c r="AE56" s="55">
        <f t="shared" ca="1" si="20"/>
        <v>45025</v>
      </c>
      <c r="AF56" s="55">
        <f t="shared" ca="1" si="21"/>
        <v>-16.729519614858653</v>
      </c>
      <c r="AG56" s="55">
        <f t="shared" ca="1" si="22"/>
        <v>19.219334568737551</v>
      </c>
      <c r="AH56" s="55">
        <f t="shared" ca="1" si="23"/>
        <v>0</v>
      </c>
      <c r="AI56" s="55">
        <f t="shared" ca="1" si="17"/>
        <v>0</v>
      </c>
      <c r="AJ56" s="55">
        <f t="shared" ca="1" si="18"/>
        <v>0</v>
      </c>
      <c r="AK56" s="55">
        <f t="shared" ca="1" si="19"/>
        <v>-5.8310662463908409</v>
      </c>
    </row>
    <row r="57" spans="2:37" s="55" customFormat="1" ht="15.75" thickBot="1">
      <c r="C57" s="129" t="s">
        <v>154</v>
      </c>
      <c r="D57" s="129"/>
      <c r="E57" s="129"/>
      <c r="F57" s="129"/>
      <c r="G57" s="129"/>
      <c r="H57" s="129"/>
      <c r="R57" s="83">
        <f ca="1"/>
        <v>44790</v>
      </c>
      <c r="S57" s="55">
        <f t="shared" ca="1" si="11"/>
        <v>44790</v>
      </c>
      <c r="T57" s="55">
        <f t="shared" ca="1" si="0"/>
        <v>25.380431313043822</v>
      </c>
      <c r="U57" s="55">
        <f t="shared" ca="1" si="1"/>
        <v>1.0274988320595217</v>
      </c>
      <c r="V57" s="55">
        <f t="shared" ca="1" si="2"/>
        <v>0</v>
      </c>
      <c r="W57" s="55">
        <f t="shared" ca="1" si="12"/>
        <v>-24.619568686956189</v>
      </c>
      <c r="X57" s="55">
        <f t="shared" ca="1" si="13"/>
        <v>0</v>
      </c>
      <c r="Y57" s="55">
        <f t="shared" ca="1" si="14"/>
        <v>0</v>
      </c>
      <c r="Z57">
        <f t="shared" ca="1" si="3"/>
        <v>120</v>
      </c>
      <c r="AA57">
        <f t="shared" ca="1" si="15"/>
        <v>119.04587583746556</v>
      </c>
      <c r="AB57">
        <f t="shared" ca="1" si="4"/>
        <v>0</v>
      </c>
      <c r="AC57">
        <f t="shared" ca="1" si="5"/>
        <v>5.3542807394278899E-3</v>
      </c>
      <c r="AD57" s="83">
        <f ca="1"/>
        <v>45026</v>
      </c>
      <c r="AE57" s="55">
        <f t="shared" ca="1" si="20"/>
        <v>45026</v>
      </c>
      <c r="AF57" s="55">
        <f t="shared" ca="1" si="21"/>
        <v>-18.021756410916211</v>
      </c>
      <c r="AG57" s="55">
        <f t="shared" ca="1" si="22"/>
        <v>20.555912595053005</v>
      </c>
      <c r="AH57" s="55">
        <f t="shared" ca="1" si="23"/>
        <v>0</v>
      </c>
      <c r="AI57" s="55">
        <f t="shared" ca="1" si="17"/>
        <v>0</v>
      </c>
      <c r="AJ57" s="55">
        <f t="shared" ca="1" si="18"/>
        <v>0</v>
      </c>
      <c r="AK57" s="55">
        <f t="shared" ca="1" si="19"/>
        <v>-5.7867250161329453</v>
      </c>
    </row>
    <row r="58" spans="2:37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44791</v>
      </c>
      <c r="S58" s="55">
        <f t="shared" ca="1" si="11"/>
        <v>44791</v>
      </c>
      <c r="T58" s="55">
        <f t="shared" ca="1" si="0"/>
        <v>25.084359853560134</v>
      </c>
      <c r="U58" s="55">
        <f t="shared" ca="1" si="1"/>
        <v>1.0274988320595217</v>
      </c>
      <c r="V58" s="55">
        <f t="shared" ca="1" si="2"/>
        <v>0</v>
      </c>
      <c r="W58" s="55">
        <f t="shared" ca="1" si="12"/>
        <v>-24.915640146439877</v>
      </c>
      <c r="X58" s="55">
        <f t="shared" ca="1" si="13"/>
        <v>0</v>
      </c>
      <c r="Y58" s="55">
        <f t="shared" ca="1" si="14"/>
        <v>0</v>
      </c>
      <c r="Z58">
        <f t="shared" ca="1" si="3"/>
        <v>120</v>
      </c>
      <c r="AA58">
        <f t="shared" ca="1" si="15"/>
        <v>121.09587583746557</v>
      </c>
      <c r="AB58">
        <f t="shared" ca="1" si="4"/>
        <v>0</v>
      </c>
      <c r="AC58">
        <f t="shared" ca="1" si="5"/>
        <v>5.3542807394278899E-3</v>
      </c>
      <c r="AD58" s="83">
        <f ca="1"/>
        <v>45027</v>
      </c>
      <c r="AE58" s="55">
        <f t="shared" ca="1" si="20"/>
        <v>45027</v>
      </c>
      <c r="AF58" s="55">
        <f t="shared" ca="1" si="21"/>
        <v>-19.363305690958061</v>
      </c>
      <c r="AG58" s="55">
        <f t="shared" ca="1" si="22"/>
        <v>21.942864430561329</v>
      </c>
      <c r="AH58" s="55">
        <f t="shared" ca="1" si="23"/>
        <v>0</v>
      </c>
      <c r="AI58" s="55">
        <f t="shared" ca="1" si="17"/>
        <v>0</v>
      </c>
      <c r="AJ58" s="55">
        <f t="shared" ca="1" si="18"/>
        <v>0</v>
      </c>
      <c r="AK58" s="55">
        <f t="shared" ca="1" si="19"/>
        <v>-5.7413224606664706</v>
      </c>
    </row>
    <row r="59" spans="2:37" s="55" customFormat="1">
      <c r="C59" s="61" t="s">
        <v>94</v>
      </c>
      <c r="D59" s="84" t="str">
        <f>IF(E59="","Oat",E59)</f>
        <v>Early_harvest</v>
      </c>
      <c r="E59" s="66" t="s">
        <v>280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44792</v>
      </c>
      <c r="S59" s="55">
        <f t="shared" ca="1" si="11"/>
        <v>44792</v>
      </c>
      <c r="T59" s="55">
        <f t="shared" ca="1" si="0"/>
        <v>24.835552770351701</v>
      </c>
      <c r="U59" s="55">
        <f t="shared" ca="1" si="1"/>
        <v>1.0274988320595217</v>
      </c>
      <c r="V59" s="55">
        <f t="shared" ca="1" si="2"/>
        <v>0</v>
      </c>
      <c r="W59" s="55">
        <f t="shared" ca="1" si="12"/>
        <v>-25.16444722964831</v>
      </c>
      <c r="X59" s="55">
        <f t="shared" ca="1" si="13"/>
        <v>0</v>
      </c>
      <c r="Y59" s="55">
        <f t="shared" ca="1" si="14"/>
        <v>0</v>
      </c>
      <c r="Z59">
        <f t="shared" ca="1" si="3"/>
        <v>120</v>
      </c>
      <c r="AA59">
        <f t="shared" ca="1" si="15"/>
        <v>122.83587583746557</v>
      </c>
      <c r="AB59">
        <f t="shared" ca="1" si="4"/>
        <v>0</v>
      </c>
      <c r="AC59">
        <f t="shared" ca="1" si="5"/>
        <v>5.3542807394278899E-3</v>
      </c>
      <c r="AD59" s="83">
        <f ca="1"/>
        <v>45028</v>
      </c>
      <c r="AE59" s="55">
        <f t="shared" ca="1" si="20"/>
        <v>45028</v>
      </c>
      <c r="AF59" s="55">
        <f t="shared" ca="1" si="21"/>
        <v>-20.79832749423073</v>
      </c>
      <c r="AG59" s="55">
        <f t="shared" ca="1" si="22"/>
        <v>23.425151803349078</v>
      </c>
      <c r="AH59" s="55">
        <f t="shared" ca="1" si="23"/>
        <v>0</v>
      </c>
      <c r="AI59" s="55">
        <f t="shared" ca="1" si="17"/>
        <v>0</v>
      </c>
      <c r="AJ59" s="55">
        <f t="shared" ca="1" si="18"/>
        <v>0</v>
      </c>
      <c r="AK59" s="55">
        <f t="shared" ca="1" si="19"/>
        <v>-5.6940568911513889</v>
      </c>
    </row>
    <row r="60" spans="2:37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44793</v>
      </c>
      <c r="S60" s="55">
        <f t="shared" ca="1" si="11"/>
        <v>44793</v>
      </c>
      <c r="T60" s="55">
        <f t="shared" ca="1" si="0"/>
        <v>24.411095598997019</v>
      </c>
      <c r="U60" s="55">
        <f t="shared" ca="1" si="1"/>
        <v>1.0274988320595217</v>
      </c>
      <c r="V60" s="55">
        <f t="shared" ca="1" si="2"/>
        <v>0</v>
      </c>
      <c r="W60" s="55">
        <f t="shared" ca="1" si="12"/>
        <v>-25.588904401002992</v>
      </c>
      <c r="X60" s="55">
        <f t="shared" ca="1" si="13"/>
        <v>0</v>
      </c>
      <c r="Y60" s="55">
        <f t="shared" ca="1" si="14"/>
        <v>0</v>
      </c>
      <c r="Z60">
        <f t="shared" ca="1" si="3"/>
        <v>120</v>
      </c>
      <c r="AA60">
        <f t="shared" ca="1" si="15"/>
        <v>125.85587583746556</v>
      </c>
      <c r="AB60">
        <f t="shared" ca="1" si="4"/>
        <v>0</v>
      </c>
      <c r="AC60">
        <f t="shared" ca="1" si="5"/>
        <v>5.3542807394278899E-3</v>
      </c>
      <c r="AD60" s="83">
        <f ca="1"/>
        <v>45029</v>
      </c>
      <c r="AE60" s="55">
        <f t="shared" ca="1" si="20"/>
        <v>45029</v>
      </c>
      <c r="AF60" s="55">
        <f t="shared" ca="1" si="21"/>
        <v>-22.365296089335995</v>
      </c>
      <c r="AG60" s="55">
        <f t="shared" ca="1" si="22"/>
        <v>25.041835463076438</v>
      </c>
      <c r="AH60" s="55">
        <f t="shared" ca="1" si="23"/>
        <v>0</v>
      </c>
      <c r="AI60" s="55">
        <f t="shared" ca="1" si="17"/>
        <v>0</v>
      </c>
      <c r="AJ60" s="55">
        <f t="shared" ca="1" si="18"/>
        <v>0</v>
      </c>
      <c r="AK60" s="55">
        <f t="shared" ca="1" si="19"/>
        <v>-5.644341826529292</v>
      </c>
    </row>
    <row r="61" spans="2:37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44794</v>
      </c>
      <c r="S61" s="55">
        <f t="shared" ca="1" si="11"/>
        <v>44794</v>
      </c>
      <c r="T61" s="55">
        <f t="shared" ca="1" si="0"/>
        <v>24.107126647541204</v>
      </c>
      <c r="U61" s="55">
        <f t="shared" ca="1" si="1"/>
        <v>1.0274988320595217</v>
      </c>
      <c r="V61" s="55">
        <f t="shared" ca="1" si="2"/>
        <v>0</v>
      </c>
      <c r="W61" s="55">
        <f t="shared" ca="1" si="12"/>
        <v>-25.892873352458807</v>
      </c>
      <c r="X61" s="55">
        <f t="shared" ca="1" si="13"/>
        <v>0</v>
      </c>
      <c r="Y61" s="55">
        <f t="shared" ca="1" si="14"/>
        <v>0</v>
      </c>
      <c r="Z61">
        <f t="shared" ca="1" si="3"/>
        <v>120</v>
      </c>
      <c r="AA61">
        <f t="shared" ca="1" si="15"/>
        <v>128.04587583746556</v>
      </c>
      <c r="AB61">
        <f t="shared" ca="1" si="4"/>
        <v>0</v>
      </c>
      <c r="AC61">
        <f t="shared" ca="1" si="5"/>
        <v>5.3542807394278899E-3</v>
      </c>
      <c r="AD61" s="83">
        <f ca="1"/>
        <v>45030</v>
      </c>
      <c r="AE61" s="55">
        <f t="shared" ca="1" si="20"/>
        <v>45030</v>
      </c>
      <c r="AF61" s="55">
        <f t="shared" ca="1" si="21"/>
        <v>-23.984208408424696</v>
      </c>
      <c r="AG61" s="55">
        <f t="shared" ca="1" si="22"/>
        <v>26.710807277651533</v>
      </c>
      <c r="AH61" s="55">
        <f t="shared" ca="1" si="23"/>
        <v>0</v>
      </c>
      <c r="AI61" s="55">
        <f t="shared" ca="1" si="17"/>
        <v>0</v>
      </c>
      <c r="AJ61" s="55">
        <f t="shared" ca="1" si="18"/>
        <v>0</v>
      </c>
      <c r="AK61" s="55">
        <f t="shared" ca="1" si="19"/>
        <v>-5.5942823310428968</v>
      </c>
    </row>
    <row r="62" spans="2:37" s="55" customFormat="1">
      <c r="C62" s="61" t="s">
        <v>4</v>
      </c>
      <c r="D62" s="68">
        <f>IF(E62="",CurrentHarvestDate+15,E62)</f>
        <v>45001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44795</v>
      </c>
      <c r="S62" s="55">
        <f t="shared" ca="1" si="11"/>
        <v>44795</v>
      </c>
      <c r="T62" s="55">
        <f t="shared" ca="1" si="0"/>
        <v>23.827264594306257</v>
      </c>
      <c r="U62" s="55">
        <f t="shared" ca="1" si="1"/>
        <v>1.0274988320595217</v>
      </c>
      <c r="V62" s="55">
        <f t="shared" ca="1" si="2"/>
        <v>0</v>
      </c>
      <c r="W62" s="55">
        <f t="shared" ca="1" si="12"/>
        <v>-26.172735405693754</v>
      </c>
      <c r="X62" s="55">
        <f t="shared" ca="1" si="13"/>
        <v>0</v>
      </c>
      <c r="Y62" s="55">
        <f t="shared" ca="1" si="14"/>
        <v>0</v>
      </c>
      <c r="Z62">
        <f t="shared" ca="1" si="3"/>
        <v>120</v>
      </c>
      <c r="AA62">
        <f t="shared" ca="1" si="15"/>
        <v>130.08587583746558</v>
      </c>
      <c r="AB62">
        <f t="shared" ca="1" si="4"/>
        <v>0</v>
      </c>
      <c r="AC62">
        <f t="shared" ca="1" si="5"/>
        <v>5.3542807394278899E-3</v>
      </c>
      <c r="AD62" s="83">
        <f ca="1"/>
        <v>45031</v>
      </c>
      <c r="AE62" s="55">
        <f t="shared" ca="1" si="20"/>
        <v>45031</v>
      </c>
      <c r="AF62" s="55">
        <f t="shared" ca="1" si="21"/>
        <v>-25.673805609251605</v>
      </c>
      <c r="AG62" s="55">
        <f t="shared" ca="1" si="22"/>
        <v>28.451065312813967</v>
      </c>
      <c r="AH62" s="55">
        <f t="shared" ca="1" si="23"/>
        <v>0</v>
      </c>
      <c r="AI62" s="55">
        <f t="shared" ca="1" si="17"/>
        <v>0</v>
      </c>
      <c r="AJ62" s="55">
        <f t="shared" ca="1" si="18"/>
        <v>0</v>
      </c>
      <c r="AK62" s="55">
        <f t="shared" ca="1" si="19"/>
        <v>-5.5436214967073729</v>
      </c>
    </row>
    <row r="63" spans="2:37" s="55" customFormat="1">
      <c r="C63" s="61" t="s">
        <v>5</v>
      </c>
      <c r="D63" s="68">
        <f>IF(E63="",FollowingEstablishDate+120,E63)</f>
        <v>45121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44796</v>
      </c>
      <c r="S63" s="55">
        <f t="shared" ca="1" si="11"/>
        <v>44796</v>
      </c>
      <c r="T63" s="55">
        <f t="shared" ca="1" si="0"/>
        <v>23.658358254766167</v>
      </c>
      <c r="U63" s="55">
        <f t="shared" ca="1" si="1"/>
        <v>1.0274988320595217</v>
      </c>
      <c r="V63" s="55">
        <f t="shared" ca="1" si="2"/>
        <v>0</v>
      </c>
      <c r="W63" s="55">
        <f t="shared" ca="1" si="12"/>
        <v>-26.341641745233844</v>
      </c>
      <c r="X63" s="55">
        <f t="shared" ca="1" si="13"/>
        <v>0</v>
      </c>
      <c r="Y63" s="55">
        <f t="shared" ca="1" si="14"/>
        <v>0</v>
      </c>
      <c r="Z63">
        <f t="shared" ca="1" si="3"/>
        <v>120</v>
      </c>
      <c r="AA63">
        <f t="shared" ca="1" si="15"/>
        <v>131.32587583746559</v>
      </c>
      <c r="AB63">
        <f t="shared" ca="1" si="4"/>
        <v>0</v>
      </c>
      <c r="AC63">
        <f t="shared" ca="1" si="5"/>
        <v>5.3542807394278899E-3</v>
      </c>
      <c r="AD63" s="83">
        <f ca="1"/>
        <v>45032</v>
      </c>
      <c r="AE63" s="55">
        <f t="shared" ca="1" si="20"/>
        <v>45032</v>
      </c>
      <c r="AF63" s="55">
        <f t="shared" ca="1" si="21"/>
        <v>-27.558508432561442</v>
      </c>
      <c r="AG63" s="55">
        <f t="shared" ca="1" si="22"/>
        <v>30.389358324828564</v>
      </c>
      <c r="AH63" s="55">
        <f t="shared" ca="1" si="23"/>
        <v>0</v>
      </c>
      <c r="AI63" s="55">
        <f t="shared" ca="1" si="17"/>
        <v>0</v>
      </c>
      <c r="AJ63" s="55">
        <f t="shared" ca="1" si="18"/>
        <v>0</v>
      </c>
      <c r="AK63" s="55">
        <f t="shared" ca="1" si="19"/>
        <v>-5.4900313080026137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44797</v>
      </c>
      <c r="S64" s="55">
        <f t="shared" ca="1" si="11"/>
        <v>44797</v>
      </c>
      <c r="T64" s="55">
        <f t="shared" ca="1" si="0"/>
        <v>23.486621233444044</v>
      </c>
      <c r="U64" s="55">
        <f t="shared" ca="1" si="1"/>
        <v>1.0274988320595217</v>
      </c>
      <c r="V64" s="55">
        <f t="shared" ca="1" si="2"/>
        <v>0</v>
      </c>
      <c r="W64" s="55">
        <f t="shared" ca="1" si="12"/>
        <v>-26.513378766555967</v>
      </c>
      <c r="X64" s="55">
        <f t="shared" ca="1" si="13"/>
        <v>0</v>
      </c>
      <c r="Y64" s="55">
        <f t="shared" ca="1" si="14"/>
        <v>0</v>
      </c>
      <c r="Z64">
        <f t="shared" ca="1" si="3"/>
        <v>120</v>
      </c>
      <c r="AA64">
        <f t="shared" ca="1" si="15"/>
        <v>132.5958758374656</v>
      </c>
      <c r="AB64">
        <f t="shared" ca="1" si="4"/>
        <v>0</v>
      </c>
      <c r="AC64">
        <f t="shared" ca="1" si="5"/>
        <v>5.3542807394278899E-3</v>
      </c>
      <c r="AD64" s="83">
        <f ca="1"/>
        <v>45033</v>
      </c>
      <c r="AE64" s="55">
        <f t="shared" ca="1" si="20"/>
        <v>45033</v>
      </c>
      <c r="AF64" s="55">
        <f t="shared" ca="1" si="21"/>
        <v>-29.5142838111435</v>
      </c>
      <c r="AG64" s="55">
        <f t="shared" ca="1" si="22"/>
        <v>32.398808378960986</v>
      </c>
      <c r="AH64" s="55">
        <f t="shared" ca="1" si="23"/>
        <v>0</v>
      </c>
      <c r="AI64" s="55">
        <f t="shared" ca="1" si="17"/>
        <v>0</v>
      </c>
      <c r="AJ64" s="55">
        <f t="shared" ca="1" si="18"/>
        <v>0</v>
      </c>
      <c r="AK64" s="55">
        <f t="shared" ca="1" si="19"/>
        <v>-5.436356632452247</v>
      </c>
    </row>
    <row r="65" spans="2:37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44798</v>
      </c>
      <c r="S65" s="55">
        <f t="shared" ca="1" si="11"/>
        <v>44798</v>
      </c>
      <c r="T65" s="55">
        <f t="shared" ca="1" si="0"/>
        <v>22.791145961233084</v>
      </c>
      <c r="U65" s="55">
        <f t="shared" ca="1" si="1"/>
        <v>1.0274988320595217</v>
      </c>
      <c r="V65" s="55">
        <f t="shared" ca="1" si="2"/>
        <v>0</v>
      </c>
      <c r="W65" s="55">
        <f t="shared" ca="1" si="12"/>
        <v>-27.208854038766926</v>
      </c>
      <c r="X65" s="55">
        <f t="shared" ca="1" si="13"/>
        <v>0</v>
      </c>
      <c r="Y65" s="55">
        <f t="shared" ca="1" si="14"/>
        <v>0</v>
      </c>
      <c r="Z65">
        <f t="shared" ca="1" si="3"/>
        <v>120</v>
      </c>
      <c r="AA65">
        <f t="shared" ca="1" si="15"/>
        <v>137.89587583746561</v>
      </c>
      <c r="AB65">
        <f t="shared" ca="1" si="4"/>
        <v>0</v>
      </c>
      <c r="AC65">
        <f t="shared" ca="1" si="5"/>
        <v>5.3542807394278899E-3</v>
      </c>
      <c r="AD65" s="83">
        <f ca="1"/>
        <v>45034</v>
      </c>
      <c r="AE65" s="55">
        <f t="shared" ca="1" si="20"/>
        <v>45034</v>
      </c>
      <c r="AF65" s="55">
        <f t="shared" ca="1" si="21"/>
        <v>-31.592099132306817</v>
      </c>
      <c r="AG65" s="55">
        <f t="shared" ca="1" si="22"/>
        <v>34.531213126866639</v>
      </c>
      <c r="AH65" s="55">
        <f t="shared" ca="1" si="23"/>
        <v>0</v>
      </c>
      <c r="AI65" s="55">
        <f t="shared" ca="1" si="17"/>
        <v>0</v>
      </c>
      <c r="AJ65" s="55">
        <f t="shared" ca="1" si="18"/>
        <v>0</v>
      </c>
      <c r="AK65" s="55">
        <f t="shared" ca="1" si="19"/>
        <v>-5.3817672057099122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44799</v>
      </c>
      <c r="S66" s="55">
        <f t="shared" ca="1" si="11"/>
        <v>44799</v>
      </c>
      <c r="T66" s="55">
        <f t="shared" ca="1" si="0"/>
        <v>22.462646769387437</v>
      </c>
      <c r="U66" s="55">
        <f t="shared" ca="1" si="1"/>
        <v>1.0274988320595217</v>
      </c>
      <c r="V66" s="55">
        <f t="shared" ca="1" si="2"/>
        <v>0</v>
      </c>
      <c r="W66" s="55">
        <f t="shared" ca="1" si="12"/>
        <v>-27.537353230612574</v>
      </c>
      <c r="X66" s="55">
        <f t="shared" ca="1" si="13"/>
        <v>0</v>
      </c>
      <c r="Y66" s="55">
        <f t="shared" ca="1" si="14"/>
        <v>0</v>
      </c>
      <c r="Z66">
        <f t="shared" ca="1" si="3"/>
        <v>120</v>
      </c>
      <c r="AA66">
        <f t="shared" ca="1" si="15"/>
        <v>140.4358758374656</v>
      </c>
      <c r="AB66">
        <f t="shared" ca="1" si="4"/>
        <v>0</v>
      </c>
      <c r="AC66">
        <f t="shared" ca="1" si="5"/>
        <v>5.3542807394278899E-3</v>
      </c>
      <c r="AD66" s="83">
        <f ca="1"/>
        <v>45035</v>
      </c>
      <c r="AE66" s="55">
        <f t="shared" ca="1" si="20"/>
        <v>45035</v>
      </c>
      <c r="AF66" s="55">
        <f t="shared" ca="1" si="21"/>
        <v>-33.745500931718055</v>
      </c>
      <c r="AG66" s="55">
        <f t="shared" ca="1" si="22"/>
        <v>36.739089129470386</v>
      </c>
      <c r="AH66" s="55">
        <f t="shared" ca="1" si="23"/>
        <v>0</v>
      </c>
      <c r="AI66" s="55">
        <f t="shared" ca="1" si="17"/>
        <v>0</v>
      </c>
      <c r="AJ66" s="55">
        <f t="shared" ca="1" si="18"/>
        <v>0</v>
      </c>
      <c r="AK66" s="55">
        <f t="shared" ca="1" si="19"/>
        <v>-5.3272930025174006</v>
      </c>
    </row>
    <row r="67" spans="2:37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351 kg N/ha</v>
      </c>
      <c r="R67" s="83">
        <f ca="1"/>
        <v>44800</v>
      </c>
      <c r="S67" s="55">
        <f t="shared" ca="1" si="11"/>
        <v>44800</v>
      </c>
      <c r="T67" s="55">
        <f t="shared" ca="1" si="0"/>
        <v>22.348129535917025</v>
      </c>
      <c r="U67" s="55">
        <f t="shared" ca="1" si="1"/>
        <v>1.0274988320595217</v>
      </c>
      <c r="V67" s="55">
        <f t="shared" ca="1" si="2"/>
        <v>0</v>
      </c>
      <c r="W67" s="55">
        <f t="shared" ca="1" si="12"/>
        <v>-27.651870464082986</v>
      </c>
      <c r="X67" s="55">
        <f t="shared" ca="1" si="13"/>
        <v>0</v>
      </c>
      <c r="Y67" s="55">
        <f t="shared" ca="1" si="14"/>
        <v>0</v>
      </c>
      <c r="Z67">
        <f t="shared" ca="1" si="3"/>
        <v>120</v>
      </c>
      <c r="AA67">
        <f t="shared" ca="1" si="15"/>
        <v>141.32587583746562</v>
      </c>
      <c r="AB67">
        <f t="shared" ca="1" si="4"/>
        <v>0</v>
      </c>
      <c r="AC67">
        <f t="shared" ca="1" si="5"/>
        <v>5.3542807394278899E-3</v>
      </c>
      <c r="AD67" s="83">
        <f ca="1"/>
        <v>45036</v>
      </c>
      <c r="AE67" s="55">
        <f t="shared" ca="1" si="20"/>
        <v>45036</v>
      </c>
      <c r="AF67" s="55">
        <f t="shared" ca="1" si="21"/>
        <v>-36.075799946516938</v>
      </c>
      <c r="AG67" s="55">
        <f t="shared" ca="1" si="22"/>
        <v>39.125354827631107</v>
      </c>
      <c r="AH67" s="55">
        <f t="shared" ca="1" si="23"/>
        <v>0</v>
      </c>
      <c r="AI67" s="55">
        <f t="shared" ca="1" si="17"/>
        <v>0</v>
      </c>
      <c r="AJ67" s="55">
        <f t="shared" ca="1" si="18"/>
        <v>0</v>
      </c>
      <c r="AK67" s="55">
        <f t="shared" ca="1" si="19"/>
        <v>-5.2713263191555626</v>
      </c>
    </row>
    <row r="68" spans="2:37" ht="15.75" thickBot="1">
      <c r="C68" s="131" t="s">
        <v>185</v>
      </c>
      <c r="D68" s="131"/>
      <c r="E68" s="131"/>
      <c r="F68" s="131"/>
      <c r="G68" s="131"/>
      <c r="H68" s="131"/>
      <c r="R68" s="83">
        <f ca="1"/>
        <v>44801</v>
      </c>
      <c r="S68" s="55">
        <f t="shared" ca="1" si="11"/>
        <v>44801</v>
      </c>
      <c r="T68" s="55">
        <f t="shared" ca="1" si="0"/>
        <v>22.310877131978479</v>
      </c>
      <c r="U68" s="55">
        <f t="shared" ca="1" si="1"/>
        <v>1.0274988320595217</v>
      </c>
      <c r="V68" s="55">
        <f t="shared" ca="1" si="2"/>
        <v>0</v>
      </c>
      <c r="W68" s="55">
        <f t="shared" ca="1" si="12"/>
        <v>-27.689122868021531</v>
      </c>
      <c r="X68" s="55">
        <f t="shared" ca="1" si="13"/>
        <v>0</v>
      </c>
      <c r="Y68" s="55">
        <f t="shared" ca="1" si="14"/>
        <v>0</v>
      </c>
      <c r="Z68">
        <f t="shared" ca="1" si="3"/>
        <v>120</v>
      </c>
      <c r="AA68">
        <f t="shared" ca="1" si="15"/>
        <v>141.61587583746561</v>
      </c>
      <c r="AB68">
        <f t="shared" ca="1" si="4"/>
        <v>0</v>
      </c>
      <c r="AC68">
        <f t="shared" ca="1" si="5"/>
        <v>5.3542807394278899E-3</v>
      </c>
      <c r="AD68" s="83">
        <f ca="1"/>
        <v>45037</v>
      </c>
      <c r="AE68" s="55">
        <f t="shared" ca="1" si="20"/>
        <v>45037</v>
      </c>
      <c r="AF68" s="55">
        <f t="shared" ca="1" si="21"/>
        <v>-38.506537844384113</v>
      </c>
      <c r="AG68" s="55">
        <f t="shared" ca="1" si="22"/>
        <v>41.612034175282311</v>
      </c>
      <c r="AH68" s="55">
        <f t="shared" ca="1" si="23"/>
        <v>0</v>
      </c>
      <c r="AI68" s="55">
        <f t="shared" ca="1" si="17"/>
        <v>0</v>
      </c>
      <c r="AJ68" s="55">
        <f t="shared" ca="1" si="18"/>
        <v>0</v>
      </c>
      <c r="AK68" s="55">
        <f t="shared" ca="1" si="19"/>
        <v>-5.2153848693715315</v>
      </c>
    </row>
    <row r="69" spans="2:37">
      <c r="C69" s="61"/>
      <c r="D69" s="88"/>
      <c r="E69" s="99"/>
      <c r="R69" s="83">
        <f ca="1"/>
        <v>44802</v>
      </c>
      <c r="S69" s="55">
        <f t="shared" ca="1" si="11"/>
        <v>44802</v>
      </c>
      <c r="T69" s="55">
        <f t="shared" ca="1" si="0"/>
        <v>22.281371194971804</v>
      </c>
      <c r="U69" s="55">
        <f t="shared" ca="1" si="1"/>
        <v>1.0274988320595217</v>
      </c>
      <c r="V69" s="55">
        <f t="shared" ca="1" si="2"/>
        <v>0</v>
      </c>
      <c r="W69" s="55">
        <f t="shared" ca="1" si="12"/>
        <v>-27.718628805028203</v>
      </c>
      <c r="X69" s="55">
        <f t="shared" ca="1" si="13"/>
        <v>0</v>
      </c>
      <c r="Y69" s="55">
        <f t="shared" ca="1" si="14"/>
        <v>0</v>
      </c>
      <c r="Z69">
        <f t="shared" ca="1" si="3"/>
        <v>120</v>
      </c>
      <c r="AA69">
        <f t="shared" ca="1" si="15"/>
        <v>141.8458758374656</v>
      </c>
      <c r="AB69">
        <f t="shared" ca="1" si="4"/>
        <v>0</v>
      </c>
      <c r="AC69">
        <f t="shared" ca="1" si="5"/>
        <v>5.3542807394278899E-3</v>
      </c>
      <c r="AD69" s="83">
        <f ca="1"/>
        <v>45038</v>
      </c>
      <c r="AE69" s="55">
        <f t="shared" ca="1" si="20"/>
        <v>45038</v>
      </c>
      <c r="AF69" s="55">
        <f t="shared" ca="1" si="21"/>
        <v>-40.887345085020854</v>
      </c>
      <c r="AG69" s="55">
        <f t="shared" ca="1" si="22"/>
        <v>44.046450861369273</v>
      </c>
      <c r="AH69" s="55">
        <f t="shared" ca="1" si="23"/>
        <v>0</v>
      </c>
      <c r="AI69" s="55">
        <f t="shared" ca="1" si="17"/>
        <v>0</v>
      </c>
      <c r="AJ69" s="55">
        <f t="shared" ca="1" si="18"/>
        <v>0</v>
      </c>
      <c r="AK69" s="55">
        <f t="shared" ca="1" si="19"/>
        <v>-5.1617754239213145</v>
      </c>
    </row>
    <row r="70" spans="2:37">
      <c r="C70" s="61"/>
      <c r="D70" s="84"/>
      <c r="E70" s="69"/>
      <c r="R70" s="83">
        <f ca="1"/>
        <v>44803</v>
      </c>
      <c r="S70" s="55">
        <f t="shared" ca="1" si="11"/>
        <v>44803</v>
      </c>
      <c r="T70" s="55">
        <f t="shared" ca="1" si="0"/>
        <v>22.133545936655477</v>
      </c>
      <c r="U70" s="55">
        <f t="shared" ca="1" si="1"/>
        <v>1.0274988320595217</v>
      </c>
      <c r="V70" s="55">
        <f t="shared" ca="1" si="2"/>
        <v>0</v>
      </c>
      <c r="W70" s="55">
        <f t="shared" ca="1" si="12"/>
        <v>-27.866454063344531</v>
      </c>
      <c r="X70" s="55">
        <f t="shared" ca="1" si="13"/>
        <v>0</v>
      </c>
      <c r="Y70" s="55">
        <f t="shared" ca="1" si="14"/>
        <v>0</v>
      </c>
      <c r="Z70">
        <f t="shared" ca="1" si="3"/>
        <v>120</v>
      </c>
      <c r="AA70">
        <f t="shared" ca="1" si="15"/>
        <v>143.0058758374656</v>
      </c>
      <c r="AB70">
        <f t="shared" ca="1" si="4"/>
        <v>0</v>
      </c>
      <c r="AC70">
        <f t="shared" ca="1" si="5"/>
        <v>5.3542807394278899E-3</v>
      </c>
      <c r="AD70" s="83">
        <f ca="1"/>
        <v>45039</v>
      </c>
      <c r="AE70" s="55">
        <f t="shared" ca="1" si="20"/>
        <v>45039</v>
      </c>
      <c r="AF70" s="55">
        <f t="shared" ca="1" si="21"/>
        <v>-43.433036594081557</v>
      </c>
      <c r="AG70" s="55">
        <f t="shared" ca="1" si="22"/>
        <v>46.646660585544574</v>
      </c>
      <c r="AH70" s="55">
        <f t="shared" ca="1" si="23"/>
        <v>0</v>
      </c>
      <c r="AI70" s="55">
        <f t="shared" ca="1" si="17"/>
        <v>0</v>
      </c>
      <c r="AJ70" s="55">
        <f t="shared" ca="1" si="18"/>
        <v>0</v>
      </c>
      <c r="AK70" s="55">
        <f t="shared" ca="1" si="19"/>
        <v>-5.1072572088067156</v>
      </c>
    </row>
    <row r="71" spans="2:37">
      <c r="C71" s="61"/>
      <c r="D71" s="84"/>
      <c r="E71" s="69"/>
      <c r="R71" s="83">
        <f ca="1"/>
        <v>44804</v>
      </c>
      <c r="S71" s="55">
        <f t="shared" ca="1" si="11"/>
        <v>44804</v>
      </c>
      <c r="T71" s="55">
        <f t="shared" ca="1" si="0"/>
        <v>21.789795406694115</v>
      </c>
      <c r="U71" s="55">
        <f t="shared" ca="1" si="1"/>
        <v>1.0274988320595217</v>
      </c>
      <c r="V71" s="55">
        <f t="shared" ca="1" si="2"/>
        <v>0</v>
      </c>
      <c r="W71" s="55">
        <f t="shared" ca="1" si="12"/>
        <v>-28.210204593305892</v>
      </c>
      <c r="X71" s="55">
        <f t="shared" ca="1" si="13"/>
        <v>0</v>
      </c>
      <c r="Y71" s="55">
        <f t="shared" ca="1" si="14"/>
        <v>0</v>
      </c>
      <c r="Z71">
        <f t="shared" ca="1" si="3"/>
        <v>120</v>
      </c>
      <c r="AA71">
        <f t="shared" ca="1" si="15"/>
        <v>145.74587583746558</v>
      </c>
      <c r="AB71">
        <f t="shared" ca="1" si="4"/>
        <v>0</v>
      </c>
      <c r="AC71">
        <f t="shared" ca="1" si="5"/>
        <v>5.3542807394278899E-3</v>
      </c>
      <c r="AD71" s="83">
        <f ca="1"/>
        <v>45040</v>
      </c>
      <c r="AE71" s="55">
        <f t="shared" ca="1" si="20"/>
        <v>45040</v>
      </c>
      <c r="AF71" s="55">
        <f t="shared" ca="1" si="21"/>
        <v>-46.057112329900235</v>
      </c>
      <c r="AG71" s="55">
        <f t="shared" ca="1" si="22"/>
        <v>49.32481601619525</v>
      </c>
      <c r="AH71" s="55">
        <f t="shared" ca="1" si="23"/>
        <v>0</v>
      </c>
      <c r="AI71" s="55">
        <f t="shared" ca="1" si="17"/>
        <v>0</v>
      </c>
      <c r="AJ71" s="55">
        <f t="shared" ca="1" si="18"/>
        <v>0</v>
      </c>
      <c r="AK71" s="55">
        <f t="shared" ca="1" si="19"/>
        <v>-5.0531775139747195</v>
      </c>
    </row>
    <row r="72" spans="2:37">
      <c r="C72" s="61"/>
      <c r="D72" s="84">
        <v>120</v>
      </c>
      <c r="E72" s="69">
        <v>120</v>
      </c>
      <c r="R72" s="83">
        <f ca="1"/>
        <v>44805</v>
      </c>
      <c r="S72" s="55">
        <f t="shared" ca="1" si="11"/>
        <v>44805</v>
      </c>
      <c r="T72" s="55">
        <f t="shared" ca="1" si="0"/>
        <v>21.672501203212487</v>
      </c>
      <c r="U72" s="55">
        <f t="shared" ca="1" si="1"/>
        <v>1.0274988320595217</v>
      </c>
      <c r="V72" s="55">
        <f t="shared" ca="1" si="2"/>
        <v>0</v>
      </c>
      <c r="W72" s="55">
        <f t="shared" ca="1" si="12"/>
        <v>-28.32749879678752</v>
      </c>
      <c r="X72" s="55">
        <f t="shared" ca="1" si="13"/>
        <v>0</v>
      </c>
      <c r="Y72" s="55">
        <f t="shared" ca="1" si="14"/>
        <v>0</v>
      </c>
      <c r="Z72">
        <f t="shared" ca="1" si="3"/>
        <v>120</v>
      </c>
      <c r="AA72">
        <f t="shared" ca="1" si="15"/>
        <v>146.68587583746557</v>
      </c>
      <c r="AB72">
        <f t="shared" ca="1" si="4"/>
        <v>0</v>
      </c>
      <c r="AC72">
        <f t="shared" ca="1" si="5"/>
        <v>5.3542807394278899E-3</v>
      </c>
      <c r="AD72" s="83">
        <f ca="1"/>
        <v>45041</v>
      </c>
      <c r="AE72" s="55">
        <f t="shared" ca="1" si="20"/>
        <v>45041</v>
      </c>
      <c r="AF72" s="55">
        <f t="shared" ca="1" si="21"/>
        <v>-48.896683790536642</v>
      </c>
      <c r="AG72" s="55">
        <f t="shared" ca="1" si="22"/>
        <v>52.219741640230353</v>
      </c>
      <c r="AH72" s="55">
        <f t="shared" ca="1" si="23"/>
        <v>0</v>
      </c>
      <c r="AI72" s="55">
        <f t="shared" ca="1" si="17"/>
        <v>0</v>
      </c>
      <c r="AJ72" s="55">
        <f t="shared" ca="1" si="18"/>
        <v>0</v>
      </c>
      <c r="AK72" s="55">
        <f t="shared" ca="1" si="19"/>
        <v>-4.9978233505760237</v>
      </c>
    </row>
    <row r="73" spans="2:37">
      <c r="R73" s="83">
        <f ca="1"/>
        <v>44806</v>
      </c>
      <c r="S73" s="55">
        <f t="shared" ca="1" si="11"/>
        <v>44806</v>
      </c>
      <c r="T73" s="55">
        <f t="shared" ca="1" si="0"/>
        <v>21.579317785502365</v>
      </c>
      <c r="U73" s="55">
        <f t="shared" ca="1" si="1"/>
        <v>1.0274988320595217</v>
      </c>
      <c r="V73" s="55">
        <f t="shared" ca="1" si="2"/>
        <v>0</v>
      </c>
      <c r="W73" s="55">
        <f t="shared" ca="1" si="12"/>
        <v>-28.420682214497642</v>
      </c>
      <c r="X73" s="55">
        <f t="shared" ca="1" si="13"/>
        <v>0</v>
      </c>
      <c r="Y73" s="55">
        <f t="shared" ca="1" si="14"/>
        <v>0</v>
      </c>
      <c r="Z73">
        <f t="shared" ca="1" si="3"/>
        <v>120</v>
      </c>
      <c r="AA73">
        <f t="shared" ca="1" si="15"/>
        <v>147.43587583746557</v>
      </c>
      <c r="AB73">
        <f t="shared" ca="1" si="4"/>
        <v>0</v>
      </c>
      <c r="AC73">
        <f t="shared" ca="1" si="5"/>
        <v>5.3542807394278899E-3</v>
      </c>
      <c r="AD73" s="83">
        <f ca="1"/>
        <v>45042</v>
      </c>
      <c r="AE73" s="55">
        <f t="shared" ca="1" si="20"/>
        <v>45042</v>
      </c>
      <c r="AF73" s="55">
        <f t="shared" ca="1" si="21"/>
        <v>-51.952535408032688</v>
      </c>
      <c r="AG73" s="55">
        <f t="shared" ca="1" si="22"/>
        <v>55.331993975096324</v>
      </c>
      <c r="AH73" s="55">
        <f t="shared" ca="1" si="23"/>
        <v>0</v>
      </c>
      <c r="AI73" s="55">
        <f t="shared" ca="1" si="17"/>
        <v>0</v>
      </c>
      <c r="AJ73" s="55">
        <f t="shared" ca="1" si="18"/>
        <v>0</v>
      </c>
      <c r="AK73" s="55">
        <f t="shared" ca="1" si="19"/>
        <v>-4.9414226332060958</v>
      </c>
    </row>
    <row r="74" spans="2:37">
      <c r="R74" s="83">
        <f ca="1"/>
        <v>44807</v>
      </c>
      <c r="S74" s="55">
        <f t="shared" ca="1" si="11"/>
        <v>44807</v>
      </c>
      <c r="T74" s="55">
        <f t="shared" ca="1" si="0"/>
        <v>21.565659534463872</v>
      </c>
      <c r="U74" s="55">
        <f t="shared" ca="1" si="1"/>
        <v>1.0274988320595217</v>
      </c>
      <c r="V74" s="55">
        <f t="shared" ca="1" si="2"/>
        <v>0</v>
      </c>
      <c r="W74" s="55">
        <f t="shared" ca="1" si="12"/>
        <v>-28.434340465536135</v>
      </c>
      <c r="X74" s="55">
        <f t="shared" ca="1" si="13"/>
        <v>0</v>
      </c>
      <c r="Y74" s="55">
        <f t="shared" ca="1" si="14"/>
        <v>0</v>
      </c>
      <c r="Z74">
        <f t="shared" ca="1" si="3"/>
        <v>120</v>
      </c>
      <c r="AA74">
        <f t="shared" ca="1" si="15"/>
        <v>147.54587583746559</v>
      </c>
      <c r="AB74">
        <f t="shared" ca="1" si="4"/>
        <v>0</v>
      </c>
      <c r="AC74">
        <f t="shared" ca="1" si="5"/>
        <v>5.3542807394278899E-3</v>
      </c>
      <c r="AD74" s="83">
        <f ca="1"/>
        <v>45043</v>
      </c>
      <c r="AE74" s="55">
        <f t="shared" ca="1" si="20"/>
        <v>45043</v>
      </c>
      <c r="AF74" s="55">
        <f t="shared" ca="1" si="21"/>
        <v>-55.29596575709926</v>
      </c>
      <c r="AG74" s="55">
        <f t="shared" ca="1" si="22"/>
        <v>58.733510311247954</v>
      </c>
      <c r="AH74" s="55">
        <f t="shared" ca="1" si="23"/>
        <v>0</v>
      </c>
      <c r="AI74" s="55">
        <f t="shared" ca="1" si="17"/>
        <v>0</v>
      </c>
      <c r="AJ74" s="55">
        <f t="shared" ca="1" si="18"/>
        <v>0</v>
      </c>
      <c r="AK74" s="55">
        <f t="shared" ca="1" si="19"/>
        <v>-4.883336646121041</v>
      </c>
    </row>
    <row r="75" spans="2:37">
      <c r="R75" s="83">
        <f ca="1"/>
        <v>44808</v>
      </c>
      <c r="S75" s="55">
        <f t="shared" ca="1" si="11"/>
        <v>44808</v>
      </c>
      <c r="T75" s="55">
        <f t="shared" ca="1" si="0"/>
        <v>21.357841266864174</v>
      </c>
      <c r="U75" s="55">
        <f t="shared" ca="1" si="1"/>
        <v>1.0274988320595217</v>
      </c>
      <c r="V75" s="55">
        <f t="shared" ca="1" si="2"/>
        <v>0</v>
      </c>
      <c r="W75" s="55">
        <f t="shared" ca="1" si="12"/>
        <v>-28.642158733135833</v>
      </c>
      <c r="X75" s="55">
        <f t="shared" ca="1" si="13"/>
        <v>0</v>
      </c>
      <c r="Y75" s="55">
        <f t="shared" ca="1" si="14"/>
        <v>0</v>
      </c>
      <c r="Z75">
        <f t="shared" ca="1" si="3"/>
        <v>120</v>
      </c>
      <c r="AA75">
        <f t="shared" ca="1" si="15"/>
        <v>149.23587583746558</v>
      </c>
      <c r="AB75">
        <f t="shared" ca="1" si="4"/>
        <v>0</v>
      </c>
      <c r="AC75">
        <f t="shared" ca="1" si="5"/>
        <v>5.3542807394278899E-3</v>
      </c>
      <c r="AD75" s="83">
        <f ca="1"/>
        <v>45044</v>
      </c>
      <c r="AE75" s="55">
        <f t="shared" ca="1" si="20"/>
        <v>45044</v>
      </c>
      <c r="AF75" s="55">
        <f t="shared" ca="1" si="21"/>
        <v>-58.895508546634581</v>
      </c>
      <c r="AG75" s="55">
        <f t="shared" ca="1" si="22"/>
        <v>62.392152176489695</v>
      </c>
      <c r="AH75" s="55">
        <f t="shared" ca="1" si="23"/>
        <v>0</v>
      </c>
      <c r="AI75" s="55">
        <f t="shared" ca="1" si="17"/>
        <v>0</v>
      </c>
      <c r="AJ75" s="55">
        <f t="shared" ca="1" si="18"/>
        <v>0</v>
      </c>
      <c r="AK75" s="55">
        <f t="shared" ca="1" si="19"/>
        <v>-4.8242375704146232</v>
      </c>
    </row>
    <row r="76" spans="2:37">
      <c r="R76" s="83">
        <f ca="1"/>
        <v>44809</v>
      </c>
      <c r="S76" s="55">
        <f t="shared" ca="1" si="11"/>
        <v>44809</v>
      </c>
      <c r="T76" s="55">
        <f t="shared" ca="1" si="0"/>
        <v>20.917061729687664</v>
      </c>
      <c r="U76" s="55">
        <f t="shared" ca="1" si="1"/>
        <v>1.0274988320595217</v>
      </c>
      <c r="V76" s="55">
        <f t="shared" ca="1" si="2"/>
        <v>0</v>
      </c>
      <c r="W76" s="55">
        <f t="shared" ca="1" si="12"/>
        <v>-29.082938270312344</v>
      </c>
      <c r="X76" s="55">
        <f t="shared" ca="1" si="13"/>
        <v>0</v>
      </c>
      <c r="Y76" s="55">
        <f t="shared" ca="1" si="14"/>
        <v>0</v>
      </c>
      <c r="Z76">
        <f t="shared" ca="1" si="3"/>
        <v>120</v>
      </c>
      <c r="AA76">
        <f t="shared" ca="1" si="15"/>
        <v>152.89587583746558</v>
      </c>
      <c r="AB76">
        <f t="shared" ca="1" si="4"/>
        <v>0</v>
      </c>
      <c r="AC76">
        <f t="shared" ca="1" si="5"/>
        <v>5.3542807394278899E-3</v>
      </c>
      <c r="AD76" s="83">
        <f ca="1"/>
        <v>45045</v>
      </c>
      <c r="AE76" s="55">
        <f t="shared" ca="1" si="20"/>
        <v>45045</v>
      </c>
      <c r="AF76" s="55">
        <f t="shared" ca="1" si="21"/>
        <v>-62.347761409815348</v>
      </c>
      <c r="AG76" s="55">
        <f t="shared" ca="1" si="22"/>
        <v>65.899871732274278</v>
      </c>
      <c r="AH76" s="55">
        <f t="shared" ca="1" si="23"/>
        <v>0</v>
      </c>
      <c r="AI76" s="55">
        <f t="shared" ca="1" si="17"/>
        <v>0</v>
      </c>
      <c r="AJ76" s="55">
        <f t="shared" ca="1" si="18"/>
        <v>0</v>
      </c>
      <c r="AK76" s="55">
        <f t="shared" ca="1" si="19"/>
        <v>-4.7687708778108071</v>
      </c>
    </row>
    <row r="77" spans="2:37">
      <c r="R77" s="83">
        <f ca="1"/>
        <v>44810</v>
      </c>
      <c r="S77" s="55">
        <f t="shared" ca="1" si="11"/>
        <v>44810</v>
      </c>
      <c r="T77" s="55">
        <f t="shared" ca="1" si="0"/>
        <v>20.71313153466906</v>
      </c>
      <c r="U77" s="55">
        <f t="shared" ca="1" si="1"/>
        <v>1.0274988320595217</v>
      </c>
      <c r="V77" s="55">
        <f t="shared" ca="1" si="2"/>
        <v>0</v>
      </c>
      <c r="W77" s="55">
        <f t="shared" ca="1" si="12"/>
        <v>-29.286868465330947</v>
      </c>
      <c r="X77" s="55">
        <f t="shared" ca="1" si="13"/>
        <v>0</v>
      </c>
      <c r="Y77" s="55">
        <f t="shared" ca="1" si="14"/>
        <v>0</v>
      </c>
      <c r="Z77">
        <f t="shared" ca="1" si="3"/>
        <v>120</v>
      </c>
      <c r="AA77">
        <f t="shared" ca="1" si="15"/>
        <v>154.60587583746559</v>
      </c>
      <c r="AB77">
        <f t="shared" ca="1" si="4"/>
        <v>0</v>
      </c>
      <c r="AC77">
        <f t="shared" ca="1" si="5"/>
        <v>5.3542807394278899E-3</v>
      </c>
      <c r="AD77" s="83">
        <f ca="1"/>
        <v>45046</v>
      </c>
      <c r="AE77" s="55">
        <f t="shared" ca="1" si="20"/>
        <v>45046</v>
      </c>
      <c r="AF77" s="55">
        <f t="shared" ca="1" si="21"/>
        <v>-65.805712952148525</v>
      </c>
      <c r="AG77" s="55">
        <f t="shared" ca="1" si="22"/>
        <v>69.411708022034404</v>
      </c>
      <c r="AH77" s="55">
        <f t="shared" ca="1" si="23"/>
        <v>0</v>
      </c>
      <c r="AI77" s="55">
        <f t="shared" ca="1" si="17"/>
        <v>0</v>
      </c>
      <c r="AJ77" s="55">
        <f t="shared" ca="1" si="18"/>
        <v>0</v>
      </c>
      <c r="AK77" s="55">
        <f t="shared" ca="1" si="19"/>
        <v>-4.7148861303838618</v>
      </c>
    </row>
    <row r="78" spans="2:37">
      <c r="R78" s="83">
        <f ca="1"/>
        <v>44811</v>
      </c>
      <c r="S78" s="55">
        <f t="shared" ca="1" si="11"/>
        <v>44811</v>
      </c>
      <c r="T78" s="55">
        <f t="shared" ca="1" si="0"/>
        <v>20.648932127508985</v>
      </c>
      <c r="U78" s="55">
        <f t="shared" ca="1" si="1"/>
        <v>1.0274988320595217</v>
      </c>
      <c r="V78" s="55">
        <f t="shared" ca="1" si="2"/>
        <v>0</v>
      </c>
      <c r="W78" s="55">
        <f t="shared" ca="1" si="12"/>
        <v>-29.351067872491022</v>
      </c>
      <c r="X78" s="55">
        <f t="shared" ca="1" si="13"/>
        <v>0</v>
      </c>
      <c r="Y78" s="55">
        <f t="shared" ca="1" si="14"/>
        <v>0</v>
      </c>
      <c r="Z78">
        <f t="shared" ca="1" si="3"/>
        <v>120</v>
      </c>
      <c r="AA78">
        <f t="shared" ca="1" si="15"/>
        <v>155.14587583746561</v>
      </c>
      <c r="AB78">
        <f t="shared" ca="1" si="4"/>
        <v>0</v>
      </c>
      <c r="AC78">
        <f t="shared" ca="1" si="5"/>
        <v>5.3542807394278899E-3</v>
      </c>
      <c r="AD78" s="83">
        <f ca="1"/>
        <v>45047</v>
      </c>
      <c r="AE78" s="55">
        <f t="shared" ca="1" si="20"/>
        <v>45047</v>
      </c>
      <c r="AF78" s="55">
        <f t="shared" ca="1" si="21"/>
        <v>-69.439160972714589</v>
      </c>
      <c r="AG78" s="55">
        <f t="shared" ca="1" si="22"/>
        <v>73.099195871044458</v>
      </c>
      <c r="AH78" s="55">
        <f t="shared" ca="1" si="23"/>
        <v>0</v>
      </c>
      <c r="AI78" s="55">
        <f t="shared" ca="1" si="17"/>
        <v>0</v>
      </c>
      <c r="AJ78" s="55">
        <f t="shared" ca="1" si="18"/>
        <v>0</v>
      </c>
      <c r="AK78" s="55">
        <f t="shared" ca="1" si="19"/>
        <v>-4.6608463019398716</v>
      </c>
    </row>
    <row r="79" spans="2:37">
      <c r="R79" s="83">
        <f ca="1"/>
        <v>44812</v>
      </c>
      <c r="S79" s="55">
        <f t="shared" ca="1" si="11"/>
        <v>44812</v>
      </c>
      <c r="T79" s="55">
        <f t="shared" ca="1" si="0"/>
        <v>20.412701500148177</v>
      </c>
      <c r="U79" s="55">
        <f t="shared" ca="1" si="1"/>
        <v>1.0274988320595217</v>
      </c>
      <c r="V79" s="55">
        <f t="shared" ca="1" si="2"/>
        <v>0</v>
      </c>
      <c r="W79" s="55">
        <f t="shared" ca="1" si="12"/>
        <v>-29.58729849985183</v>
      </c>
      <c r="X79" s="55">
        <f t="shared" ca="1" si="13"/>
        <v>0</v>
      </c>
      <c r="Y79" s="55">
        <f t="shared" ca="1" si="14"/>
        <v>0</v>
      </c>
      <c r="Z79">
        <f t="shared" ca="1" si="3"/>
        <v>120</v>
      </c>
      <c r="AA79">
        <f t="shared" ca="1" si="15"/>
        <v>157.1558758374656</v>
      </c>
      <c r="AB79">
        <f t="shared" ca="1" si="4"/>
        <v>0</v>
      </c>
      <c r="AC79">
        <f t="shared" ca="1" si="5"/>
        <v>5.3542807394278899E-3</v>
      </c>
      <c r="AD79" s="83">
        <f ca="1"/>
        <v>45048</v>
      </c>
      <c r="AE79" s="55">
        <f t="shared" ca="1" si="20"/>
        <v>45048</v>
      </c>
      <c r="AF79" s="55">
        <f t="shared" ca="1" si="21"/>
        <v>-73.18337646176181</v>
      </c>
      <c r="AG79" s="55">
        <f t="shared" ca="1" si="22"/>
        <v>76.896932964182014</v>
      </c>
      <c r="AH79" s="55">
        <f t="shared" ca="1" si="23"/>
        <v>0</v>
      </c>
      <c r="AI79" s="55">
        <f t="shared" ca="1" si="17"/>
        <v>0</v>
      </c>
      <c r="AJ79" s="55">
        <f t="shared" ca="1" si="18"/>
        <v>0</v>
      </c>
      <c r="AK79" s="55">
        <f t="shared" ca="1" si="19"/>
        <v>-4.6073246978495401</v>
      </c>
    </row>
    <row r="80" spans="2:37">
      <c r="R80" s="83">
        <f ca="1"/>
        <v>44813</v>
      </c>
      <c r="S80" s="55">
        <f t="shared" ca="1" si="11"/>
        <v>44813</v>
      </c>
      <c r="T80" s="55">
        <f t="shared" ca="1" si="0"/>
        <v>20.244853262192542</v>
      </c>
      <c r="U80" s="55">
        <f t="shared" ca="1" si="1"/>
        <v>1.0274988320595217</v>
      </c>
      <c r="V80" s="55">
        <f t="shared" ca="1" si="2"/>
        <v>0</v>
      </c>
      <c r="W80" s="55">
        <f t="shared" ca="1" si="12"/>
        <v>-29.755146737807465</v>
      </c>
      <c r="X80" s="55">
        <f t="shared" ca="1" si="13"/>
        <v>0</v>
      </c>
      <c r="Y80" s="55">
        <f t="shared" ca="1" si="14"/>
        <v>0</v>
      </c>
      <c r="Z80">
        <f t="shared" ca="1" si="3"/>
        <v>120</v>
      </c>
      <c r="AA80">
        <f t="shared" ca="1" si="15"/>
        <v>158.5958758374656</v>
      </c>
      <c r="AB80">
        <f t="shared" ca="1" si="4"/>
        <v>0</v>
      </c>
      <c r="AC80">
        <f t="shared" ca="1" si="5"/>
        <v>5.3542807394278899E-3</v>
      </c>
      <c r="AD80" s="83">
        <f ca="1"/>
        <v>45049</v>
      </c>
      <c r="AE80" s="55">
        <f t="shared" ca="1" si="20"/>
        <v>45049</v>
      </c>
      <c r="AF80" s="55">
        <f t="shared" ca="1" si="21"/>
        <v>-77.030831587556435</v>
      </c>
      <c r="AG80" s="55">
        <f t="shared" ca="1" si="22"/>
        <v>80.797324760200951</v>
      </c>
      <c r="AH80" s="55">
        <f t="shared" ca="1" si="23"/>
        <v>0</v>
      </c>
      <c r="AI80" s="55">
        <f t="shared" ca="1" si="17"/>
        <v>0</v>
      </c>
      <c r="AJ80" s="55">
        <f t="shared" ca="1" si="18"/>
        <v>0</v>
      </c>
      <c r="AK80" s="55">
        <f t="shared" ca="1" si="19"/>
        <v>-4.5543880276252322</v>
      </c>
    </row>
    <row r="81" spans="18:37">
      <c r="R81" s="83">
        <f ca="1"/>
        <v>44814</v>
      </c>
      <c r="S81" s="55">
        <f t="shared" ca="1" si="11"/>
        <v>44814</v>
      </c>
      <c r="T81" s="55">
        <f t="shared" ca="1" si="0"/>
        <v>20.244853262192542</v>
      </c>
      <c r="U81" s="55">
        <f t="shared" ca="1" si="1"/>
        <v>1.0274988320595217</v>
      </c>
      <c r="V81" s="55">
        <f t="shared" ca="1" si="2"/>
        <v>0</v>
      </c>
      <c r="W81" s="55">
        <f t="shared" ca="1" si="12"/>
        <v>-29.755146737807465</v>
      </c>
      <c r="X81" s="55">
        <f t="shared" ca="1" si="13"/>
        <v>0</v>
      </c>
      <c r="Y81" s="55">
        <f t="shared" ca="1" si="14"/>
        <v>0</v>
      </c>
      <c r="Z81">
        <f t="shared" ca="1" si="3"/>
        <v>118.45454545454544</v>
      </c>
      <c r="AA81">
        <f t="shared" ca="1" si="15"/>
        <v>158.5958758374656</v>
      </c>
      <c r="AB81">
        <f t="shared" ca="1" si="4"/>
        <v>0</v>
      </c>
      <c r="AC81">
        <f t="shared" ca="1" si="5"/>
        <v>5.3542807394278899E-3</v>
      </c>
      <c r="AD81" s="83">
        <f ca="1"/>
        <v>45050</v>
      </c>
      <c r="AE81" s="55">
        <f t="shared" ca="1" si="20"/>
        <v>45050</v>
      </c>
      <c r="AF81" s="55">
        <f t="shared" ca="1" si="21"/>
        <v>-80.901723961608994</v>
      </c>
      <c r="AG81" s="55">
        <f t="shared" ca="1" si="22"/>
        <v>84.719931856991778</v>
      </c>
      <c r="AH81" s="55">
        <f t="shared" ca="1" si="23"/>
        <v>0</v>
      </c>
      <c r="AI81" s="55">
        <f t="shared" ca="1" si="17"/>
        <v>0</v>
      </c>
      <c r="AJ81" s="55">
        <f t="shared" ca="1" si="18"/>
        <v>0</v>
      </c>
      <c r="AK81" s="55">
        <f t="shared" ca="1" si="19"/>
        <v>-4.5026733048869598</v>
      </c>
    </row>
    <row r="82" spans="18:37">
      <c r="R82" s="83">
        <f ca="1"/>
        <v>44815</v>
      </c>
      <c r="S82" s="55">
        <f t="shared" ca="1" si="11"/>
        <v>44815</v>
      </c>
      <c r="T82" s="55">
        <f t="shared" ref="T82:T145" ca="1" si="27">VLOOKUP(S82,ModelOutputs,2,FALSE)</f>
        <v>20.228580549994213</v>
      </c>
      <c r="U82" s="55">
        <f t="shared" ref="U82:U145" ca="1" si="28">VLOOKUP(S82,ModelOutputs,7,FALSE)</f>
        <v>1.0274988320595217</v>
      </c>
      <c r="V82" s="55">
        <f t="shared" ref="V82:V145" ca="1" si="29">VLOOKUP(S82,ModelOutputs,6,FALSE)</f>
        <v>0</v>
      </c>
      <c r="W82" s="55">
        <f t="shared" ca="1" si="12"/>
        <v>-29.771419450005794</v>
      </c>
      <c r="X82" s="55">
        <f t="shared" ca="1" si="13"/>
        <v>0</v>
      </c>
      <c r="Y82" s="55">
        <f t="shared" ca="1" si="14"/>
        <v>0</v>
      </c>
      <c r="Z82">
        <f t="shared" ref="Z82:Z145" ca="1" si="30">VLOOKUP(S82,ModelOutputs,10,FALSE)*AWC</f>
        <v>120</v>
      </c>
      <c r="AA82">
        <f t="shared" ca="1" si="15"/>
        <v>158.73559464592591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5.3542807394278899E-3</v>
      </c>
      <c r="AD82" s="83">
        <f ca="1"/>
        <v>45051</v>
      </c>
      <c r="AE82" s="55">
        <f t="shared" ca="1" si="20"/>
        <v>45051</v>
      </c>
      <c r="AF82" s="55">
        <f t="shared" ca="1" si="21"/>
        <v>-84.953653261120635</v>
      </c>
      <c r="AG82" s="55">
        <f t="shared" ca="1" si="22"/>
        <v>88.823665646240755</v>
      </c>
      <c r="AH82" s="55">
        <f t="shared" ca="1" si="23"/>
        <v>0</v>
      </c>
      <c r="AI82" s="55">
        <f t="shared" ca="1" si="17"/>
        <v>0</v>
      </c>
      <c r="AJ82" s="55">
        <f t="shared" ca="1" si="18"/>
        <v>0</v>
      </c>
      <c r="AK82" s="55">
        <f t="shared" ca="1" si="19"/>
        <v>-4.4508688151496276</v>
      </c>
    </row>
    <row r="83" spans="18:37">
      <c r="R83" s="83">
        <f ca="1"/>
        <v>44816</v>
      </c>
      <c r="S83" s="55">
        <f t="shared" ref="S83:S146" ca="1" si="33">IF(R83&gt;1,R83,"")</f>
        <v>44816</v>
      </c>
      <c r="T83" s="55">
        <f t="shared" ca="1" si="27"/>
        <v>20.054230287284458</v>
      </c>
      <c r="U83" s="55">
        <f t="shared" ca="1" si="28"/>
        <v>1.0274988320595217</v>
      </c>
      <c r="V83" s="55">
        <f t="shared" ca="1" si="29"/>
        <v>0</v>
      </c>
      <c r="W83" s="55">
        <f t="shared" ref="W83:W146" ca="1" si="34">-VLOOKUP(S83,ModelOutputs,9,FALSE)+W82</f>
        <v>-29.945769712715549</v>
      </c>
      <c r="X83" s="55">
        <f t="shared" ref="X83:X146" ca="1" si="35">VLOOKUP(S83,ModelOutputs,5,FALSE)+X82</f>
        <v>0</v>
      </c>
      <c r="Y83" s="55">
        <f t="shared" ref="Y83:Y146" ca="1" si="36">VLOOKUP(S83,ModelOutputs,4,FALSE)+Y82</f>
        <v>0</v>
      </c>
      <c r="Z83">
        <f t="shared" ca="1" si="30"/>
        <v>120</v>
      </c>
      <c r="AA83">
        <f t="shared" ref="AA83:AA146" ca="1" si="37">VLOOKUP(S83,ModelOutputs,11,FALSE)+AA82</f>
        <v>160.24559464592591</v>
      </c>
      <c r="AB83">
        <f t="shared" ca="1" si="31"/>
        <v>0</v>
      </c>
      <c r="AC83">
        <f t="shared" ca="1" si="32"/>
        <v>5.3542807394278899E-3</v>
      </c>
      <c r="AD83" s="83">
        <f ca="1"/>
        <v>45052</v>
      </c>
      <c r="AE83" s="55">
        <f t="shared" ca="1" si="20"/>
        <v>45052</v>
      </c>
      <c r="AF83" s="55">
        <f t="shared" ca="1" si="21"/>
        <v>-89.224287879169239</v>
      </c>
      <c r="AG83" s="55">
        <f t="shared" ca="1" si="22"/>
        <v>93.146415942654059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0</v>
      </c>
      <c r="AK83" s="55">
        <f t="shared" ref="AK83:AK146" ca="1" si="40">VLOOKUP(AE83,ModelOutputs,4,FALSE)+AK82</f>
        <v>-4.3987531367849293</v>
      </c>
    </row>
    <row r="84" spans="18:37">
      <c r="R84" s="83">
        <f ca="1"/>
        <v>44817</v>
      </c>
      <c r="S84" s="55">
        <f t="shared" ca="1" si="33"/>
        <v>44817</v>
      </c>
      <c r="T84" s="55">
        <f t="shared" ca="1" si="27"/>
        <v>19.729353598036784</v>
      </c>
      <c r="U84" s="55">
        <f t="shared" ca="1" si="28"/>
        <v>1.0274988320595217</v>
      </c>
      <c r="V84" s="55">
        <f t="shared" ca="1" si="29"/>
        <v>0</v>
      </c>
      <c r="W84" s="55">
        <f t="shared" ca="1" si="34"/>
        <v>-30.270646401963223</v>
      </c>
      <c r="X84" s="55">
        <f t="shared" ca="1" si="35"/>
        <v>0</v>
      </c>
      <c r="Y84" s="55">
        <f t="shared" ca="1" si="36"/>
        <v>0</v>
      </c>
      <c r="Z84">
        <f t="shared" ca="1" si="30"/>
        <v>120</v>
      </c>
      <c r="AA84">
        <f t="shared" ca="1" si="37"/>
        <v>163.10559464592592</v>
      </c>
      <c r="AB84">
        <f t="shared" ca="1" si="31"/>
        <v>0</v>
      </c>
      <c r="AC84">
        <f t="shared" ca="1" si="32"/>
        <v>5.3542807394278899E-3</v>
      </c>
      <c r="AD84" s="83">
        <f ca="1"/>
        <v>45053</v>
      </c>
      <c r="AE84" s="55">
        <f t="shared" ca="1" si="20"/>
        <v>45053</v>
      </c>
      <c r="AF84" s="55">
        <f t="shared" ca="1" si="21"/>
        <v>-93.4845682760063</v>
      </c>
      <c r="AG84" s="55">
        <f t="shared" ca="1" si="22"/>
        <v>97.457384175366172</v>
      </c>
      <c r="AH84" s="55">
        <f t="shared" ca="1" si="23"/>
        <v>0</v>
      </c>
      <c r="AI84" s="55">
        <f t="shared" ca="1" si="38"/>
        <v>0</v>
      </c>
      <c r="AJ84" s="55">
        <f t="shared" ca="1" si="39"/>
        <v>0</v>
      </c>
      <c r="AK84" s="55">
        <f t="shared" ca="1" si="40"/>
        <v>-4.3480653009098829</v>
      </c>
    </row>
    <row r="85" spans="18:37">
      <c r="R85" s="83">
        <f ca="1"/>
        <v>44818</v>
      </c>
      <c r="S85" s="55">
        <f t="shared" ca="1" si="33"/>
        <v>44818</v>
      </c>
      <c r="T85" s="55">
        <f t="shared" ca="1" si="27"/>
        <v>19.602944308676591</v>
      </c>
      <c r="U85" s="55">
        <f t="shared" ca="1" si="28"/>
        <v>1.0274988320595217</v>
      </c>
      <c r="V85" s="55">
        <f t="shared" ca="1" si="29"/>
        <v>0</v>
      </c>
      <c r="W85" s="55">
        <f t="shared" ca="1" si="34"/>
        <v>-30.397055691323416</v>
      </c>
      <c r="X85" s="55">
        <f t="shared" ca="1" si="35"/>
        <v>0</v>
      </c>
      <c r="Y85" s="55">
        <f t="shared" ca="1" si="36"/>
        <v>0</v>
      </c>
      <c r="Z85">
        <f t="shared" ca="1" si="30"/>
        <v>120</v>
      </c>
      <c r="AA85">
        <f t="shared" ca="1" si="37"/>
        <v>164.22559464592592</v>
      </c>
      <c r="AB85">
        <f t="shared" ca="1" si="31"/>
        <v>0</v>
      </c>
      <c r="AC85">
        <f t="shared" ca="1" si="32"/>
        <v>5.3542807394278899E-3</v>
      </c>
      <c r="AD85" s="83">
        <f ca="1"/>
        <v>45054</v>
      </c>
      <c r="AE85" s="55">
        <f t="shared" ref="AE85:AE148" ca="1" si="41">IF(AD85&gt;1,AD85,"")</f>
        <v>45054</v>
      </c>
      <c r="AF85" s="55">
        <f t="shared" ref="AF85:AF148" ca="1" si="42">VLOOKUP(AE85,ModelOutputs,2,FALSE)</f>
        <v>-97.74908824435623</v>
      </c>
      <c r="AG85" s="55">
        <f t="shared" ref="AG85:AG148" ca="1" si="43">VLOOKUP(AE85,ModelOutputs,7,FALSE)</f>
        <v>101.7713902399348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0</v>
      </c>
      <c r="AK85" s="55">
        <f t="shared" ca="1" si="40"/>
        <v>-4.2985792046911859</v>
      </c>
    </row>
    <row r="86" spans="18:37">
      <c r="R86" s="83">
        <f ca="1"/>
        <v>44819</v>
      </c>
      <c r="S86" s="55">
        <f t="shared" ca="1" si="33"/>
        <v>44819</v>
      </c>
      <c r="T86" s="55">
        <f t="shared" ca="1" si="27"/>
        <v>19.497421898040528</v>
      </c>
      <c r="U86" s="55">
        <f t="shared" ca="1" si="28"/>
        <v>1.0274988320595217</v>
      </c>
      <c r="V86" s="55">
        <f t="shared" ca="1" si="29"/>
        <v>0</v>
      </c>
      <c r="W86" s="55">
        <f t="shared" ca="1" si="34"/>
        <v>-30.502578101959479</v>
      </c>
      <c r="X86" s="55">
        <f t="shared" ca="1" si="35"/>
        <v>0</v>
      </c>
      <c r="Y86" s="55">
        <f t="shared" ca="1" si="36"/>
        <v>0</v>
      </c>
      <c r="Z86">
        <f t="shared" ca="1" si="30"/>
        <v>120</v>
      </c>
      <c r="AA86">
        <f t="shared" ca="1" si="37"/>
        <v>165.16559464592592</v>
      </c>
      <c r="AB86">
        <f t="shared" ca="1" si="31"/>
        <v>0</v>
      </c>
      <c r="AC86">
        <f t="shared" ca="1" si="32"/>
        <v>5.3542807394278899E-3</v>
      </c>
      <c r="AD86" s="83">
        <f ca="1"/>
        <v>45055</v>
      </c>
      <c r="AE86" s="55">
        <f t="shared" ca="1" si="41"/>
        <v>45055</v>
      </c>
      <c r="AF86" s="55">
        <f t="shared" ca="1" si="42"/>
        <v>-101.92151961385592</v>
      </c>
      <c r="AG86" s="55">
        <f t="shared" ca="1" si="43"/>
        <v>105.99158720281397</v>
      </c>
      <c r="AH86" s="55">
        <f t="shared" ca="1" si="44"/>
        <v>0</v>
      </c>
      <c r="AI86" s="55">
        <f t="shared" ca="1" si="38"/>
        <v>0</v>
      </c>
      <c r="AJ86" s="55">
        <f t="shared" ca="1" si="39"/>
        <v>0</v>
      </c>
      <c r="AK86" s="55">
        <f t="shared" ca="1" si="40"/>
        <v>-4.2508136113116999</v>
      </c>
    </row>
    <row r="87" spans="18:37">
      <c r="R87" s="83">
        <f ca="1"/>
        <v>44820</v>
      </c>
      <c r="S87" s="55">
        <f t="shared" ca="1" si="33"/>
        <v>44820</v>
      </c>
      <c r="T87" s="55">
        <f t="shared" ca="1" si="27"/>
        <v>19.351464939752518</v>
      </c>
      <c r="U87" s="55">
        <f t="shared" ca="1" si="28"/>
        <v>1.0274988320595217</v>
      </c>
      <c r="V87" s="55">
        <f t="shared" ca="1" si="29"/>
        <v>0</v>
      </c>
      <c r="W87" s="55">
        <f t="shared" ca="1" si="34"/>
        <v>-30.64853506024749</v>
      </c>
      <c r="X87" s="55">
        <f t="shared" ca="1" si="35"/>
        <v>0</v>
      </c>
      <c r="Y87" s="55">
        <f t="shared" ca="1" si="36"/>
        <v>0</v>
      </c>
      <c r="Z87">
        <f t="shared" ca="1" si="30"/>
        <v>120</v>
      </c>
      <c r="AA87">
        <f t="shared" ca="1" si="37"/>
        <v>166.47559464592592</v>
      </c>
      <c r="AB87">
        <f t="shared" ca="1" si="31"/>
        <v>0</v>
      </c>
      <c r="AC87">
        <f t="shared" ca="1" si="32"/>
        <v>5.3542807394278899E-3</v>
      </c>
      <c r="AD87" s="83">
        <f ca="1"/>
        <v>45056</v>
      </c>
      <c r="AE87" s="55">
        <f t="shared" ca="1" si="41"/>
        <v>45056</v>
      </c>
      <c r="AF87" s="55">
        <f t="shared" ca="1" si="42"/>
        <v>-106.27652942731922</v>
      </c>
      <c r="AG87" s="55">
        <f t="shared" ca="1" si="43"/>
        <v>110.39447692047399</v>
      </c>
      <c r="AH87" s="55">
        <f t="shared" ca="1" si="44"/>
        <v>0</v>
      </c>
      <c r="AI87" s="55">
        <f t="shared" ca="1" si="38"/>
        <v>0</v>
      </c>
      <c r="AJ87" s="55">
        <f t="shared" ca="1" si="39"/>
        <v>0</v>
      </c>
      <c r="AK87" s="55">
        <f t="shared" ca="1" si="40"/>
        <v>-4.2029337071149753</v>
      </c>
    </row>
    <row r="88" spans="18:37">
      <c r="R88" s="83">
        <f ca="1"/>
        <v>44821</v>
      </c>
      <c r="S88" s="55">
        <f t="shared" ca="1" si="33"/>
        <v>44821</v>
      </c>
      <c r="T88" s="55">
        <f t="shared" ca="1" si="27"/>
        <v>19.315876899888483</v>
      </c>
      <c r="U88" s="55">
        <f t="shared" ca="1" si="28"/>
        <v>1.0274988320595217</v>
      </c>
      <c r="V88" s="55">
        <f t="shared" ca="1" si="29"/>
        <v>0</v>
      </c>
      <c r="W88" s="55">
        <f t="shared" ca="1" si="34"/>
        <v>-30.684123100111524</v>
      </c>
      <c r="X88" s="55">
        <f t="shared" ca="1" si="35"/>
        <v>0</v>
      </c>
      <c r="Y88" s="55">
        <f t="shared" ca="1" si="36"/>
        <v>0</v>
      </c>
      <c r="Z88">
        <f t="shared" ca="1" si="30"/>
        <v>120</v>
      </c>
      <c r="AA88">
        <f t="shared" ca="1" si="37"/>
        <v>166.79559464592592</v>
      </c>
      <c r="AB88">
        <f t="shared" ca="1" si="31"/>
        <v>0</v>
      </c>
      <c r="AC88">
        <f t="shared" ca="1" si="32"/>
        <v>5.3542807394278899E-3</v>
      </c>
      <c r="AD88" s="83">
        <f ca="1"/>
        <v>45057</v>
      </c>
      <c r="AE88" s="55">
        <f t="shared" ca="1" si="41"/>
        <v>45057</v>
      </c>
      <c r="AF88" s="55">
        <f t="shared" ca="1" si="42"/>
        <v>-110.90517584834463</v>
      </c>
      <c r="AG88" s="55">
        <f t="shared" ca="1" si="43"/>
        <v>115.07162908671698</v>
      </c>
      <c r="AH88" s="55">
        <f t="shared" ca="1" si="44"/>
        <v>0</v>
      </c>
      <c r="AI88" s="55">
        <f t="shared" ca="1" si="38"/>
        <v>0</v>
      </c>
      <c r="AJ88" s="55">
        <f t="shared" ca="1" si="39"/>
        <v>0</v>
      </c>
      <c r="AK88" s="55">
        <f t="shared" ca="1" si="40"/>
        <v>-4.1544279618973885</v>
      </c>
    </row>
    <row r="89" spans="18:37">
      <c r="R89" s="83">
        <f ca="1"/>
        <v>44822</v>
      </c>
      <c r="S89" s="55">
        <f t="shared" ca="1" si="33"/>
        <v>44822</v>
      </c>
      <c r="T89" s="55">
        <f t="shared" ca="1" si="27"/>
        <v>19.303651254094223</v>
      </c>
      <c r="U89" s="55">
        <f t="shared" ca="1" si="28"/>
        <v>1.0274988320595217</v>
      </c>
      <c r="V89" s="55">
        <f t="shared" ca="1" si="29"/>
        <v>0</v>
      </c>
      <c r="W89" s="55">
        <f t="shared" ca="1" si="34"/>
        <v>-30.696348745905784</v>
      </c>
      <c r="X89" s="55">
        <f t="shared" ca="1" si="35"/>
        <v>0</v>
      </c>
      <c r="Y89" s="55">
        <f t="shared" ca="1" si="36"/>
        <v>0</v>
      </c>
      <c r="Z89">
        <f t="shared" ca="1" si="30"/>
        <v>120</v>
      </c>
      <c r="AA89">
        <f t="shared" ca="1" si="37"/>
        <v>166.90559464592593</v>
      </c>
      <c r="AB89">
        <f t="shared" ca="1" si="31"/>
        <v>0</v>
      </c>
      <c r="AC89">
        <f t="shared" ca="1" si="32"/>
        <v>5.3542807394278899E-3</v>
      </c>
      <c r="AD89" s="83">
        <f ca="1"/>
        <v>45058</v>
      </c>
      <c r="AE89" s="55">
        <f t="shared" ca="1" si="41"/>
        <v>45058</v>
      </c>
      <c r="AF89" s="55">
        <f t="shared" ca="1" si="42"/>
        <v>-115.83366799007531</v>
      </c>
      <c r="AG89" s="55">
        <f t="shared" ca="1" si="43"/>
        <v>120.04933641377283</v>
      </c>
      <c r="AH89" s="55">
        <f t="shared" ca="1" si="44"/>
        <v>0</v>
      </c>
      <c r="AI89" s="55">
        <f t="shared" ca="1" si="38"/>
        <v>0</v>
      </c>
      <c r="AJ89" s="55">
        <f t="shared" ca="1" si="39"/>
        <v>0</v>
      </c>
      <c r="AK89" s="55">
        <f t="shared" ca="1" si="40"/>
        <v>-4.1052127765722224</v>
      </c>
    </row>
    <row r="90" spans="18:37">
      <c r="R90" s="83">
        <f ca="1"/>
        <v>44823</v>
      </c>
      <c r="S90" s="55">
        <f t="shared" ca="1" si="33"/>
        <v>44823</v>
      </c>
      <c r="T90" s="55">
        <f t="shared" ca="1" si="27"/>
        <v>19.161334794755</v>
      </c>
      <c r="U90" s="55">
        <f t="shared" ca="1" si="28"/>
        <v>1.0274988320595217</v>
      </c>
      <c r="V90" s="55">
        <f t="shared" ca="1" si="29"/>
        <v>0</v>
      </c>
      <c r="W90" s="55">
        <f t="shared" ca="1" si="34"/>
        <v>-30.838665205245007</v>
      </c>
      <c r="X90" s="55">
        <f t="shared" ca="1" si="35"/>
        <v>0</v>
      </c>
      <c r="Y90" s="55">
        <f t="shared" ca="1" si="36"/>
        <v>0</v>
      </c>
      <c r="Z90">
        <f t="shared" ca="1" si="30"/>
        <v>120</v>
      </c>
      <c r="AA90">
        <f t="shared" ca="1" si="37"/>
        <v>168.19559464592592</v>
      </c>
      <c r="AB90">
        <f t="shared" ca="1" si="31"/>
        <v>0</v>
      </c>
      <c r="AC90">
        <f t="shared" ca="1" si="32"/>
        <v>5.3542807394278899E-3</v>
      </c>
      <c r="AD90" s="83">
        <f ca="1"/>
        <v>45059</v>
      </c>
      <c r="AE90" s="55">
        <f t="shared" ca="1" si="41"/>
        <v>45059</v>
      </c>
      <c r="AF90" s="55">
        <f t="shared" ca="1" si="42"/>
        <v>-120.84098142501648</v>
      </c>
      <c r="AG90" s="55">
        <f t="shared" ca="1" si="43"/>
        <v>125.10519764999576</v>
      </c>
      <c r="AH90" s="55">
        <f t="shared" ca="1" si="44"/>
        <v>0</v>
      </c>
      <c r="AI90" s="55">
        <f t="shared" ca="1" si="38"/>
        <v>0</v>
      </c>
      <c r="AJ90" s="55">
        <f t="shared" ca="1" si="39"/>
        <v>0</v>
      </c>
      <c r="AK90" s="55">
        <f t="shared" ca="1" si="40"/>
        <v>-4.0566649752904649</v>
      </c>
    </row>
    <row r="91" spans="18:37">
      <c r="R91" s="83">
        <f ca="1"/>
        <v>44824</v>
      </c>
      <c r="S91" s="55">
        <f t="shared" ca="1" si="33"/>
        <v>44824</v>
      </c>
      <c r="T91" s="55">
        <f t="shared" ca="1" si="27"/>
        <v>19.160231629903581</v>
      </c>
      <c r="U91" s="55">
        <f t="shared" ca="1" si="28"/>
        <v>1.0274988320595217</v>
      </c>
      <c r="V91" s="55">
        <f t="shared" ca="1" si="29"/>
        <v>0</v>
      </c>
      <c r="W91" s="55">
        <f t="shared" ca="1" si="34"/>
        <v>-30.839768370096426</v>
      </c>
      <c r="X91" s="55">
        <f t="shared" ca="1" si="35"/>
        <v>0</v>
      </c>
      <c r="Y91" s="55">
        <f t="shared" ca="1" si="36"/>
        <v>0</v>
      </c>
      <c r="Z91">
        <f t="shared" ca="1" si="30"/>
        <v>120</v>
      </c>
      <c r="AA91">
        <f t="shared" ca="1" si="37"/>
        <v>168.20559464592594</v>
      </c>
      <c r="AB91">
        <f t="shared" ca="1" si="31"/>
        <v>0</v>
      </c>
      <c r="AC91">
        <f t="shared" ca="1" si="32"/>
        <v>5.3542807394278899E-3</v>
      </c>
      <c r="AD91" s="83">
        <f ca="1"/>
        <v>45060</v>
      </c>
      <c r="AE91" s="55">
        <f t="shared" ca="1" si="41"/>
        <v>45060</v>
      </c>
      <c r="AF91" s="55">
        <f t="shared" ca="1" si="42"/>
        <v>-125.77204821913469</v>
      </c>
      <c r="AG91" s="55">
        <f t="shared" ca="1" si="43"/>
        <v>130.08331957973704</v>
      </c>
      <c r="AH91" s="55">
        <f t="shared" ca="1" si="44"/>
        <v>0</v>
      </c>
      <c r="AI91" s="55">
        <f t="shared" ca="1" si="38"/>
        <v>0</v>
      </c>
      <c r="AJ91" s="55">
        <f t="shared" ca="1" si="39"/>
        <v>0</v>
      </c>
      <c r="AK91" s="55">
        <f t="shared" ca="1" si="40"/>
        <v>-4.0096098396674007</v>
      </c>
    </row>
    <row r="92" spans="18:37">
      <c r="R92" s="83">
        <f ca="1"/>
        <v>44825</v>
      </c>
      <c r="S92" s="55">
        <f t="shared" ca="1" si="33"/>
        <v>44825</v>
      </c>
      <c r="T92" s="55">
        <f t="shared" ca="1" si="27"/>
        <v>19.142597237297103</v>
      </c>
      <c r="U92" s="55">
        <f t="shared" ca="1" si="28"/>
        <v>1.0274988320595217</v>
      </c>
      <c r="V92" s="55">
        <f t="shared" ca="1" si="29"/>
        <v>0</v>
      </c>
      <c r="W92" s="55">
        <f t="shared" ca="1" si="34"/>
        <v>-30.857402762702904</v>
      </c>
      <c r="X92" s="55">
        <f t="shared" ca="1" si="35"/>
        <v>0</v>
      </c>
      <c r="Y92" s="55">
        <f t="shared" ca="1" si="36"/>
        <v>0</v>
      </c>
      <c r="Z92">
        <f t="shared" ca="1" si="30"/>
        <v>120</v>
      </c>
      <c r="AA92">
        <f t="shared" ca="1" si="37"/>
        <v>168.36559464592594</v>
      </c>
      <c r="AB92">
        <f t="shared" ca="1" si="31"/>
        <v>0</v>
      </c>
      <c r="AC92">
        <f t="shared" ca="1" si="32"/>
        <v>5.3542807394278899E-3</v>
      </c>
      <c r="AD92" s="83">
        <f ca="1"/>
        <v>45061</v>
      </c>
      <c r="AE92" s="55">
        <f t="shared" ca="1" si="41"/>
        <v>45061</v>
      </c>
      <c r="AF92" s="55">
        <f t="shared" ca="1" si="42"/>
        <v>-130.76015818515964</v>
      </c>
      <c r="AG92" s="55">
        <f t="shared" ca="1" si="43"/>
        <v>135.11782502953432</v>
      </c>
      <c r="AH92" s="55">
        <f t="shared" ca="1" si="44"/>
        <v>0</v>
      </c>
      <c r="AI92" s="55">
        <f t="shared" ca="1" si="38"/>
        <v>0</v>
      </c>
      <c r="AJ92" s="55">
        <f t="shared" ca="1" si="39"/>
        <v>0</v>
      </c>
      <c r="AK92" s="55">
        <f t="shared" ca="1" si="40"/>
        <v>-3.963214355895067</v>
      </c>
    </row>
    <row r="93" spans="18:37">
      <c r="R93" s="83">
        <f ca="1"/>
        <v>44826</v>
      </c>
      <c r="S93" s="55">
        <f t="shared" ca="1" si="33"/>
        <v>44826</v>
      </c>
      <c r="T93" s="55">
        <f t="shared" ca="1" si="27"/>
        <v>18.951645056050534</v>
      </c>
      <c r="U93" s="55">
        <f t="shared" ca="1" si="28"/>
        <v>1.0274988320595217</v>
      </c>
      <c r="V93" s="55">
        <f t="shared" ca="1" si="29"/>
        <v>0</v>
      </c>
      <c r="W93" s="55">
        <f t="shared" ca="1" si="34"/>
        <v>-31.048354943949473</v>
      </c>
      <c r="X93" s="55">
        <f t="shared" ca="1" si="35"/>
        <v>0</v>
      </c>
      <c r="Y93" s="55">
        <f t="shared" ca="1" si="36"/>
        <v>0</v>
      </c>
      <c r="Z93">
        <f t="shared" ca="1" si="30"/>
        <v>120</v>
      </c>
      <c r="AA93">
        <f t="shared" ca="1" si="37"/>
        <v>170.11559464592594</v>
      </c>
      <c r="AB93">
        <f t="shared" ca="1" si="31"/>
        <v>0</v>
      </c>
      <c r="AC93">
        <f t="shared" ca="1" si="32"/>
        <v>5.3542807394278899E-3</v>
      </c>
      <c r="AD93" s="83">
        <f ca="1"/>
        <v>45062</v>
      </c>
      <c r="AE93" s="55">
        <f t="shared" ca="1" si="41"/>
        <v>45062</v>
      </c>
      <c r="AF93" s="55">
        <f t="shared" ca="1" si="42"/>
        <v>-135.85270811959188</v>
      </c>
      <c r="AG93" s="55">
        <f t="shared" ca="1" si="43"/>
        <v>140.25639263224164</v>
      </c>
      <c r="AH93" s="55">
        <f t="shared" ca="1" si="44"/>
        <v>0</v>
      </c>
      <c r="AI93" s="55">
        <f t="shared" ca="1" si="38"/>
        <v>0</v>
      </c>
      <c r="AJ93" s="55">
        <f t="shared" ca="1" si="39"/>
        <v>0</v>
      </c>
      <c r="AK93" s="55">
        <f t="shared" ca="1" si="40"/>
        <v>-3.9171966876199704</v>
      </c>
    </row>
    <row r="94" spans="18:37">
      <c r="R94" s="83">
        <f ca="1"/>
        <v>44827</v>
      </c>
      <c r="S94" s="55">
        <f t="shared" ca="1" si="33"/>
        <v>44827</v>
      </c>
      <c r="T94" s="55">
        <f t="shared" ca="1" si="27"/>
        <v>18.849628581364723</v>
      </c>
      <c r="U94" s="55">
        <f t="shared" ca="1" si="28"/>
        <v>1.0274988320595217</v>
      </c>
      <c r="V94" s="55">
        <f t="shared" ca="1" si="29"/>
        <v>0</v>
      </c>
      <c r="W94" s="55">
        <f t="shared" ca="1" si="34"/>
        <v>-31.150371418635284</v>
      </c>
      <c r="X94" s="55">
        <f t="shared" ca="1" si="35"/>
        <v>0</v>
      </c>
      <c r="Y94" s="55">
        <f t="shared" ca="1" si="36"/>
        <v>0</v>
      </c>
      <c r="Z94">
        <f t="shared" ca="1" si="30"/>
        <v>120</v>
      </c>
      <c r="AA94">
        <f t="shared" ca="1" si="37"/>
        <v>171.05559464592594</v>
      </c>
      <c r="AB94">
        <f t="shared" ca="1" si="31"/>
        <v>0</v>
      </c>
      <c r="AC94">
        <f t="shared" ca="1" si="32"/>
        <v>5.3542807394278899E-3</v>
      </c>
      <c r="AD94" s="83">
        <f ca="1"/>
        <v>45063</v>
      </c>
      <c r="AE94" s="55">
        <f t="shared" ca="1" si="41"/>
        <v>45063</v>
      </c>
      <c r="AF94" s="55">
        <f t="shared" ca="1" si="42"/>
        <v>-140.78911628941631</v>
      </c>
      <c r="AG94" s="55">
        <f t="shared" ca="1" si="43"/>
        <v>145.23715690408099</v>
      </c>
      <c r="AH94" s="55">
        <f t="shared" ca="1" si="44"/>
        <v>0</v>
      </c>
      <c r="AI94" s="55">
        <f t="shared" ca="1" si="38"/>
        <v>0</v>
      </c>
      <c r="AJ94" s="55">
        <f t="shared" ca="1" si="39"/>
        <v>0</v>
      </c>
      <c r="AK94" s="55">
        <f t="shared" ca="1" si="40"/>
        <v>-3.8728405856050427</v>
      </c>
    </row>
    <row r="95" spans="18:37">
      <c r="R95" s="83">
        <f ca="1"/>
        <v>44828</v>
      </c>
      <c r="S95" s="55">
        <f t="shared" ca="1" si="33"/>
        <v>44828</v>
      </c>
      <c r="T95" s="55">
        <f t="shared" ca="1" si="27"/>
        <v>18.630801350951728</v>
      </c>
      <c r="U95" s="55">
        <f t="shared" ca="1" si="28"/>
        <v>1.0274988320595217</v>
      </c>
      <c r="V95" s="55">
        <f t="shared" ca="1" si="29"/>
        <v>0</v>
      </c>
      <c r="W95" s="55">
        <f t="shared" ca="1" si="34"/>
        <v>-31.369198649048279</v>
      </c>
      <c r="X95" s="55">
        <f t="shared" ca="1" si="35"/>
        <v>0</v>
      </c>
      <c r="Y95" s="55">
        <f t="shared" ca="1" si="36"/>
        <v>0</v>
      </c>
      <c r="Z95">
        <f t="shared" ca="1" si="30"/>
        <v>120</v>
      </c>
      <c r="AA95">
        <f t="shared" ca="1" si="37"/>
        <v>173.09559464592593</v>
      </c>
      <c r="AB95">
        <f t="shared" ca="1" si="31"/>
        <v>0</v>
      </c>
      <c r="AC95">
        <f t="shared" ca="1" si="32"/>
        <v>5.3542807394278899E-3</v>
      </c>
      <c r="AD95" s="83">
        <f ca="1"/>
        <v>45064</v>
      </c>
      <c r="AE95" s="55">
        <f t="shared" ca="1" si="41"/>
        <v>45064</v>
      </c>
      <c r="AF95" s="55">
        <f t="shared" ca="1" si="42"/>
        <v>-145.71641928155461</v>
      </c>
      <c r="AG95" s="55">
        <f t="shared" ca="1" si="43"/>
        <v>150.20798722659865</v>
      </c>
      <c r="AH95" s="55">
        <f t="shared" ca="1" si="44"/>
        <v>0</v>
      </c>
      <c r="AI95" s="55">
        <f t="shared" ca="1" si="38"/>
        <v>0</v>
      </c>
      <c r="AJ95" s="55">
        <f t="shared" ca="1" si="39"/>
        <v>0</v>
      </c>
      <c r="AK95" s="55">
        <f t="shared" ca="1" si="40"/>
        <v>-3.8293132552256806</v>
      </c>
    </row>
    <row r="96" spans="18:37">
      <c r="R96" s="83">
        <f ca="1"/>
        <v>44829</v>
      </c>
      <c r="S96" s="55">
        <f t="shared" ca="1" si="33"/>
        <v>44829</v>
      </c>
      <c r="T96" s="55">
        <f t="shared" ca="1" si="27"/>
        <v>18.545380205761553</v>
      </c>
      <c r="U96" s="55">
        <f t="shared" ca="1" si="28"/>
        <v>1.0274988320595217</v>
      </c>
      <c r="V96" s="55">
        <f t="shared" ca="1" si="29"/>
        <v>0</v>
      </c>
      <c r="W96" s="55">
        <f t="shared" ca="1" si="34"/>
        <v>-31.454619794238454</v>
      </c>
      <c r="X96" s="55">
        <f t="shared" ca="1" si="35"/>
        <v>0</v>
      </c>
      <c r="Y96" s="55">
        <f t="shared" ca="1" si="36"/>
        <v>0</v>
      </c>
      <c r="Z96">
        <f t="shared" ca="1" si="30"/>
        <v>120</v>
      </c>
      <c r="AA96">
        <f t="shared" ca="1" si="37"/>
        <v>173.89559464592594</v>
      </c>
      <c r="AB96">
        <f t="shared" ca="1" si="31"/>
        <v>0</v>
      </c>
      <c r="AC96">
        <f t="shared" ca="1" si="32"/>
        <v>5.3542807394278899E-3</v>
      </c>
      <c r="AD96" s="83">
        <f ca="1"/>
        <v>45065</v>
      </c>
      <c r="AE96" s="55">
        <f t="shared" ca="1" si="41"/>
        <v>45065</v>
      </c>
      <c r="AF96" s="55">
        <f t="shared" ca="1" si="42"/>
        <v>-151.02308424415008</v>
      </c>
      <c r="AG96" s="55">
        <f t="shared" ca="1" si="43"/>
        <v>155.55922505190998</v>
      </c>
      <c r="AH96" s="55">
        <f t="shared" ca="1" si="44"/>
        <v>0</v>
      </c>
      <c r="AI96" s="55">
        <f t="shared" ca="1" si="38"/>
        <v>0</v>
      </c>
      <c r="AJ96" s="55">
        <f t="shared" ca="1" si="39"/>
        <v>0</v>
      </c>
      <c r="AK96" s="55">
        <f t="shared" ca="1" si="40"/>
        <v>-3.7847403925098408</v>
      </c>
    </row>
    <row r="97" spans="18:37">
      <c r="R97" s="83">
        <f ca="1"/>
        <v>44830</v>
      </c>
      <c r="S97" s="55">
        <f t="shared" ca="1" si="33"/>
        <v>44830</v>
      </c>
      <c r="T97" s="55">
        <f t="shared" ca="1" si="27"/>
        <v>18.35410815141994</v>
      </c>
      <c r="U97" s="55">
        <f t="shared" ca="1" si="28"/>
        <v>1.0274988320595217</v>
      </c>
      <c r="V97" s="55">
        <f t="shared" ca="1" si="29"/>
        <v>0</v>
      </c>
      <c r="W97" s="55">
        <f t="shared" ca="1" si="34"/>
        <v>-31.645891848580067</v>
      </c>
      <c r="X97" s="55">
        <f t="shared" ca="1" si="35"/>
        <v>0</v>
      </c>
      <c r="Y97" s="55">
        <f t="shared" ca="1" si="36"/>
        <v>0</v>
      </c>
      <c r="Z97">
        <f t="shared" ca="1" si="30"/>
        <v>120</v>
      </c>
      <c r="AA97">
        <f t="shared" ca="1" si="37"/>
        <v>175.70559464592594</v>
      </c>
      <c r="AB97">
        <f t="shared" ca="1" si="31"/>
        <v>0</v>
      </c>
      <c r="AC97">
        <f t="shared" ca="1" si="32"/>
        <v>5.3542807394278899E-3</v>
      </c>
      <c r="AD97" s="83">
        <f ca="1"/>
        <v>45066</v>
      </c>
      <c r="AE97" s="55">
        <f t="shared" ca="1" si="41"/>
        <v>45066</v>
      </c>
      <c r="AF97" s="55">
        <f t="shared" ca="1" si="42"/>
        <v>-156.37109212022929</v>
      </c>
      <c r="AG97" s="55">
        <f t="shared" ca="1" si="43"/>
        <v>160.95121223542449</v>
      </c>
      <c r="AH97" s="55">
        <f t="shared" ca="1" si="44"/>
        <v>0</v>
      </c>
      <c r="AI97" s="55">
        <f t="shared" ca="1" si="38"/>
        <v>0</v>
      </c>
      <c r="AJ97" s="55">
        <f t="shared" ca="1" si="39"/>
        <v>0</v>
      </c>
      <c r="AK97" s="55">
        <f t="shared" ca="1" si="40"/>
        <v>-3.7407610850745403</v>
      </c>
    </row>
    <row r="98" spans="18:37">
      <c r="R98" s="83">
        <f ca="1"/>
        <v>44831</v>
      </c>
      <c r="S98" s="55">
        <f t="shared" ca="1" si="33"/>
        <v>44831</v>
      </c>
      <c r="T98" s="55">
        <f t="shared" ca="1" si="27"/>
        <v>18.334051809894572</v>
      </c>
      <c r="U98" s="55">
        <f t="shared" ca="1" si="28"/>
        <v>1.0274988320595217</v>
      </c>
      <c r="V98" s="55">
        <f t="shared" ca="1" si="29"/>
        <v>0</v>
      </c>
      <c r="W98" s="55">
        <f t="shared" ca="1" si="34"/>
        <v>-31.665948190105436</v>
      </c>
      <c r="X98" s="55">
        <f t="shared" ca="1" si="35"/>
        <v>0</v>
      </c>
      <c r="Y98" s="55">
        <f t="shared" ca="1" si="36"/>
        <v>0</v>
      </c>
      <c r="Z98">
        <f t="shared" ca="1" si="30"/>
        <v>120</v>
      </c>
      <c r="AA98">
        <f t="shared" ca="1" si="37"/>
        <v>175.89559464592594</v>
      </c>
      <c r="AB98">
        <f t="shared" ca="1" si="31"/>
        <v>0</v>
      </c>
      <c r="AC98">
        <f t="shared" ca="1" si="32"/>
        <v>5.3542807394278899E-3</v>
      </c>
      <c r="AD98" s="83">
        <f ca="1"/>
        <v>45067</v>
      </c>
      <c r="AE98" s="55">
        <f t="shared" ca="1" si="41"/>
        <v>45067</v>
      </c>
      <c r="AF98" s="55">
        <f t="shared" ca="1" si="42"/>
        <v>-161.97582336211627</v>
      </c>
      <c r="AG98" s="55">
        <f t="shared" ca="1" si="43"/>
        <v>166.60035672188047</v>
      </c>
      <c r="AH98" s="55">
        <f t="shared" ca="1" si="44"/>
        <v>0</v>
      </c>
      <c r="AI98" s="55">
        <f t="shared" ca="1" si="38"/>
        <v>0</v>
      </c>
      <c r="AJ98" s="55">
        <f t="shared" ca="1" si="39"/>
        <v>0</v>
      </c>
      <c r="AK98" s="55">
        <f t="shared" ca="1" si="40"/>
        <v>-3.6963478405055481</v>
      </c>
    </row>
    <row r="99" spans="18:37">
      <c r="R99" s="83">
        <f ca="1"/>
        <v>44832</v>
      </c>
      <c r="S99" s="55">
        <f t="shared" ca="1" si="33"/>
        <v>44832</v>
      </c>
      <c r="T99" s="55">
        <f t="shared" ca="1" si="27"/>
        <v>18.144959339684945</v>
      </c>
      <c r="U99" s="55">
        <f t="shared" ca="1" si="28"/>
        <v>1.0274988320595217</v>
      </c>
      <c r="V99" s="55">
        <f t="shared" ca="1" si="29"/>
        <v>0</v>
      </c>
      <c r="W99" s="55">
        <f t="shared" ca="1" si="34"/>
        <v>-31.855040660315062</v>
      </c>
      <c r="X99" s="55">
        <f t="shared" ca="1" si="35"/>
        <v>0</v>
      </c>
      <c r="Y99" s="55">
        <f t="shared" ca="1" si="36"/>
        <v>0</v>
      </c>
      <c r="Z99">
        <f t="shared" ca="1" si="30"/>
        <v>120</v>
      </c>
      <c r="AA99">
        <f t="shared" ca="1" si="37"/>
        <v>177.70559464592594</v>
      </c>
      <c r="AB99">
        <f t="shared" ca="1" si="31"/>
        <v>0</v>
      </c>
      <c r="AC99">
        <f t="shared" ca="1" si="32"/>
        <v>5.3542807394278899E-3</v>
      </c>
      <c r="AD99" s="83">
        <f ca="1"/>
        <v>45068</v>
      </c>
      <c r="AE99" s="55">
        <f t="shared" ca="1" si="41"/>
        <v>45068</v>
      </c>
      <c r="AF99" s="55">
        <f t="shared" ca="1" si="42"/>
        <v>-167.2911551462258</v>
      </c>
      <c r="AG99" s="55">
        <f t="shared" ca="1" si="43"/>
        <v>171.95805493137257</v>
      </c>
      <c r="AH99" s="55">
        <f t="shared" ca="1" si="44"/>
        <v>0</v>
      </c>
      <c r="AI99" s="55">
        <f t="shared" ca="1" si="38"/>
        <v>0</v>
      </c>
      <c r="AJ99" s="55">
        <f t="shared" ca="1" si="39"/>
        <v>0</v>
      </c>
      <c r="AK99" s="55">
        <f t="shared" ca="1" si="40"/>
        <v>-3.653981415122991</v>
      </c>
    </row>
    <row r="100" spans="18:37">
      <c r="R100" s="83">
        <f ca="1"/>
        <v>44833</v>
      </c>
      <c r="S100" s="55">
        <f t="shared" ca="1" si="33"/>
        <v>44833</v>
      </c>
      <c r="T100" s="55">
        <f t="shared" ca="1" si="27"/>
        <v>18.036956232065062</v>
      </c>
      <c r="U100" s="55">
        <f t="shared" ca="1" si="28"/>
        <v>1.0274988320595217</v>
      </c>
      <c r="V100" s="55">
        <f t="shared" ca="1" si="29"/>
        <v>0</v>
      </c>
      <c r="W100" s="55">
        <f t="shared" ca="1" si="34"/>
        <v>-31.963043767934945</v>
      </c>
      <c r="X100" s="55">
        <f t="shared" ca="1" si="35"/>
        <v>0</v>
      </c>
      <c r="Y100" s="55">
        <f t="shared" ca="1" si="36"/>
        <v>0</v>
      </c>
      <c r="Z100">
        <f t="shared" ca="1" si="30"/>
        <v>120</v>
      </c>
      <c r="AA100">
        <f t="shared" ca="1" si="37"/>
        <v>178.74559464592596</v>
      </c>
      <c r="AB100">
        <f t="shared" ca="1" si="31"/>
        <v>0</v>
      </c>
      <c r="AC100">
        <f t="shared" ca="1" si="32"/>
        <v>5.3542807394278899E-3</v>
      </c>
      <c r="AD100" s="83">
        <f ca="1"/>
        <v>45069</v>
      </c>
      <c r="AE100" s="55">
        <f t="shared" ca="1" si="41"/>
        <v>45069</v>
      </c>
      <c r="AF100" s="55">
        <f t="shared" ca="1" si="42"/>
        <v>-172.49399426980722</v>
      </c>
      <c r="AG100" s="55">
        <f t="shared" ca="1" si="43"/>
        <v>177.20213061602243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0</v>
      </c>
      <c r="AK100" s="55">
        <f t="shared" ca="1" si="40"/>
        <v>-3.6127448540545455</v>
      </c>
    </row>
    <row r="101" spans="18:37">
      <c r="R101" s="83">
        <f ca="1"/>
        <v>44834</v>
      </c>
      <c r="S101" s="55">
        <f t="shared" ca="1" si="33"/>
        <v>44834</v>
      </c>
      <c r="T101" s="55">
        <f t="shared" ca="1" si="27"/>
        <v>17.747775060846362</v>
      </c>
      <c r="U101" s="55">
        <f t="shared" ca="1" si="28"/>
        <v>1.0274988320595217</v>
      </c>
      <c r="V101" s="55">
        <f t="shared" ca="1" si="29"/>
        <v>0</v>
      </c>
      <c r="W101" s="55">
        <f t="shared" ca="1" si="34"/>
        <v>-32.252224939153642</v>
      </c>
      <c r="X101" s="55">
        <f t="shared" ca="1" si="35"/>
        <v>0</v>
      </c>
      <c r="Y101" s="55">
        <f t="shared" ca="1" si="36"/>
        <v>0</v>
      </c>
      <c r="Z101">
        <f t="shared" ca="1" si="30"/>
        <v>120</v>
      </c>
      <c r="AA101">
        <f t="shared" ca="1" si="37"/>
        <v>181.57559464592595</v>
      </c>
      <c r="AB101">
        <f t="shared" ca="1" si="31"/>
        <v>0</v>
      </c>
      <c r="AC101">
        <f t="shared" ca="1" si="32"/>
        <v>5.3542807394278899E-3</v>
      </c>
      <c r="AD101" s="83">
        <f ca="1"/>
        <v>45070</v>
      </c>
      <c r="AE101" s="55">
        <f t="shared" ca="1" si="41"/>
        <v>45070</v>
      </c>
      <c r="AF101" s="55">
        <f t="shared" ca="1" si="42"/>
        <v>-177.68842010992597</v>
      </c>
      <c r="AG101" s="55">
        <f t="shared" ca="1" si="43"/>
        <v>182.43716494860337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0</v>
      </c>
      <c r="AK101" s="55">
        <f t="shared" ca="1" si="40"/>
        <v>-3.5721363615923734</v>
      </c>
    </row>
    <row r="102" spans="18:37">
      <c r="R102" s="83">
        <f ca="1"/>
        <v>44835</v>
      </c>
      <c r="S102" s="55">
        <f t="shared" ca="1" si="33"/>
        <v>44835</v>
      </c>
      <c r="T102" s="55">
        <f t="shared" ca="1" si="27"/>
        <v>17.300530143707071</v>
      </c>
      <c r="U102" s="55">
        <f t="shared" ca="1" si="28"/>
        <v>1.0274988320595217</v>
      </c>
      <c r="V102" s="55">
        <f t="shared" ca="1" si="29"/>
        <v>0</v>
      </c>
      <c r="W102" s="55">
        <f t="shared" ca="1" si="34"/>
        <v>-32.699469856292929</v>
      </c>
      <c r="X102" s="55">
        <f t="shared" ca="1" si="35"/>
        <v>0</v>
      </c>
      <c r="Y102" s="55">
        <f t="shared" ca="1" si="36"/>
        <v>0</v>
      </c>
      <c r="Z102">
        <f t="shared" ca="1" si="30"/>
        <v>120</v>
      </c>
      <c r="AA102">
        <f t="shared" ca="1" si="37"/>
        <v>186.06559464592596</v>
      </c>
      <c r="AB102">
        <f t="shared" ca="1" si="31"/>
        <v>0</v>
      </c>
      <c r="AC102">
        <f t="shared" ca="1" si="32"/>
        <v>5.3542807394278899E-3</v>
      </c>
      <c r="AD102" s="83">
        <f ca="1"/>
        <v>45071</v>
      </c>
      <c r="AE102" s="55">
        <f t="shared" ca="1" si="41"/>
        <v>45071</v>
      </c>
      <c r="AF102" s="55">
        <f t="shared" ca="1" si="42"/>
        <v>-183.10400559849569</v>
      </c>
      <c r="AG102" s="55">
        <f t="shared" ca="1" si="43"/>
        <v>187.89371087823977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0</v>
      </c>
      <c r="AK102" s="55">
        <f t="shared" ca="1" si="40"/>
        <v>-3.5311759205256905</v>
      </c>
    </row>
    <row r="103" spans="18:37">
      <c r="R103" s="83">
        <f ca="1"/>
        <v>44836</v>
      </c>
      <c r="S103" s="55">
        <f t="shared" ca="1" si="33"/>
        <v>44836</v>
      </c>
      <c r="T103" s="55">
        <f t="shared" ca="1" si="27"/>
        <v>17.120146059318433</v>
      </c>
      <c r="U103" s="55">
        <f t="shared" ca="1" si="28"/>
        <v>1.0274988320595217</v>
      </c>
      <c r="V103" s="55">
        <f t="shared" ca="1" si="29"/>
        <v>0</v>
      </c>
      <c r="W103" s="55">
        <f t="shared" ca="1" si="34"/>
        <v>-32.879853940681564</v>
      </c>
      <c r="X103" s="55">
        <f t="shared" ca="1" si="35"/>
        <v>0</v>
      </c>
      <c r="Y103" s="55">
        <f t="shared" ca="1" si="36"/>
        <v>0</v>
      </c>
      <c r="Z103">
        <f t="shared" ca="1" si="30"/>
        <v>120</v>
      </c>
      <c r="AA103">
        <f t="shared" ca="1" si="37"/>
        <v>187.89559464592594</v>
      </c>
      <c r="AB103">
        <f t="shared" ca="1" si="31"/>
        <v>0</v>
      </c>
      <c r="AC103">
        <f t="shared" ca="1" si="32"/>
        <v>5.3542807394278899E-3</v>
      </c>
      <c r="AD103" s="83">
        <f ca="1"/>
        <v>45072</v>
      </c>
      <c r="AE103" s="55">
        <f t="shared" ca="1" si="41"/>
        <v>45072</v>
      </c>
      <c r="AF103" s="55">
        <f t="shared" ca="1" si="42"/>
        <v>-188.8179032597929</v>
      </c>
      <c r="AG103" s="55">
        <f t="shared" ca="1" si="43"/>
        <v>193.64924977085647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0</v>
      </c>
      <c r="AK103" s="55">
        <f t="shared" ca="1" si="40"/>
        <v>-3.4895346892062129</v>
      </c>
    </row>
    <row r="104" spans="18:37">
      <c r="R104" s="83">
        <f ca="1"/>
        <v>44837</v>
      </c>
      <c r="S104" s="55">
        <f t="shared" ca="1" si="33"/>
        <v>44837</v>
      </c>
      <c r="T104" s="55">
        <f t="shared" ca="1" si="27"/>
        <v>16.901198712362824</v>
      </c>
      <c r="U104" s="55">
        <f t="shared" ca="1" si="28"/>
        <v>1.0274988320595217</v>
      </c>
      <c r="V104" s="55">
        <f t="shared" ca="1" si="29"/>
        <v>0</v>
      </c>
      <c r="W104" s="55">
        <f t="shared" ca="1" si="34"/>
        <v>-33.098801287637173</v>
      </c>
      <c r="X104" s="55">
        <f t="shared" ca="1" si="35"/>
        <v>0</v>
      </c>
      <c r="Y104" s="55">
        <f t="shared" ca="1" si="36"/>
        <v>0</v>
      </c>
      <c r="Z104">
        <f t="shared" ca="1" si="30"/>
        <v>120</v>
      </c>
      <c r="AA104">
        <f t="shared" ca="1" si="37"/>
        <v>190.14559464592594</v>
      </c>
      <c r="AB104">
        <f t="shared" ca="1" si="31"/>
        <v>0</v>
      </c>
      <c r="AC104">
        <f t="shared" ca="1" si="32"/>
        <v>5.3542807394278899E-3</v>
      </c>
      <c r="AD104" s="83">
        <f ca="1"/>
        <v>45073</v>
      </c>
      <c r="AE104" s="55">
        <f t="shared" ca="1" si="41"/>
        <v>45073</v>
      </c>
      <c r="AF104" s="55">
        <f t="shared" ca="1" si="42"/>
        <v>-194.12871321878572</v>
      </c>
      <c r="AG104" s="55">
        <f t="shared" ca="1" si="43"/>
        <v>198.99949891737742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0</v>
      </c>
      <c r="AK104" s="55">
        <f t="shared" ca="1" si="40"/>
        <v>-3.4500955016780885</v>
      </c>
    </row>
    <row r="105" spans="18:37">
      <c r="R105" s="83">
        <f ca="1"/>
        <v>44838</v>
      </c>
      <c r="S105" s="55">
        <f t="shared" ca="1" si="33"/>
        <v>44838</v>
      </c>
      <c r="T105" s="55">
        <f t="shared" ca="1" si="27"/>
        <v>16.901198712362824</v>
      </c>
      <c r="U105" s="55">
        <f t="shared" ca="1" si="28"/>
        <v>1.0274988320595217</v>
      </c>
      <c r="V105" s="55">
        <f t="shared" ca="1" si="29"/>
        <v>0</v>
      </c>
      <c r="W105" s="55">
        <f t="shared" ca="1" si="34"/>
        <v>-33.098801287637173</v>
      </c>
      <c r="X105" s="55">
        <f t="shared" ca="1" si="35"/>
        <v>0</v>
      </c>
      <c r="Y105" s="55">
        <f t="shared" ca="1" si="36"/>
        <v>0</v>
      </c>
      <c r="Z105">
        <f t="shared" ca="1" si="30"/>
        <v>119.49090909090908</v>
      </c>
      <c r="AA105">
        <f t="shared" ca="1" si="37"/>
        <v>190.14559464592594</v>
      </c>
      <c r="AB105">
        <f t="shared" ca="1" si="31"/>
        <v>0</v>
      </c>
      <c r="AC105">
        <f t="shared" ca="1" si="32"/>
        <v>5.3542807394278899E-3</v>
      </c>
      <c r="AD105" s="83">
        <f ca="1"/>
        <v>45074</v>
      </c>
      <c r="AE105" s="55">
        <f t="shared" ca="1" si="41"/>
        <v>45074</v>
      </c>
      <c r="AF105" s="55">
        <f t="shared" ca="1" si="42"/>
        <v>-198.95079902063372</v>
      </c>
      <c r="AG105" s="55">
        <f t="shared" ca="1" si="43"/>
        <v>203.85866720975696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0</v>
      </c>
      <c r="AK105" s="55">
        <f t="shared" ca="1" si="40"/>
        <v>-3.4130130111465613</v>
      </c>
    </row>
    <row r="106" spans="18:37">
      <c r="R106" s="83">
        <f ca="1"/>
        <v>44839</v>
      </c>
      <c r="S106" s="55">
        <f t="shared" ca="1" si="33"/>
        <v>44839</v>
      </c>
      <c r="T106" s="55">
        <f t="shared" ca="1" si="27"/>
        <v>16.824382977594933</v>
      </c>
      <c r="U106" s="55">
        <f t="shared" ca="1" si="28"/>
        <v>1.0274988320595217</v>
      </c>
      <c r="V106" s="55">
        <f t="shared" ca="1" si="29"/>
        <v>0</v>
      </c>
      <c r="W106" s="55">
        <f t="shared" ca="1" si="34"/>
        <v>-33.175617022405063</v>
      </c>
      <c r="X106" s="55">
        <f t="shared" ca="1" si="35"/>
        <v>0</v>
      </c>
      <c r="Y106" s="55">
        <f t="shared" ca="1" si="36"/>
        <v>0</v>
      </c>
      <c r="Z106">
        <f t="shared" ca="1" si="30"/>
        <v>120</v>
      </c>
      <c r="AA106">
        <f t="shared" ca="1" si="37"/>
        <v>190.93859134999093</v>
      </c>
      <c r="AB106">
        <f t="shared" ca="1" si="31"/>
        <v>0</v>
      </c>
      <c r="AC106">
        <f t="shared" ca="1" si="32"/>
        <v>5.3542807394278899E-3</v>
      </c>
      <c r="AD106" s="83">
        <f ca="1"/>
        <v>45075</v>
      </c>
      <c r="AE106" s="55">
        <f t="shared" ca="1" si="41"/>
        <v>45075</v>
      </c>
      <c r="AF106" s="55">
        <f t="shared" ca="1" si="42"/>
        <v>-203.52290336829378</v>
      </c>
      <c r="AG106" s="55">
        <f t="shared" ca="1" si="43"/>
        <v>208.46652832226036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0</v>
      </c>
      <c r="AK106" s="55">
        <f t="shared" ca="1" si="40"/>
        <v>-3.3772562463032276</v>
      </c>
    </row>
    <row r="107" spans="18:37">
      <c r="R107" s="83">
        <f ca="1"/>
        <v>44840</v>
      </c>
      <c r="S107" s="55">
        <f t="shared" ca="1" si="33"/>
        <v>44840</v>
      </c>
      <c r="T107" s="55">
        <f t="shared" ca="1" si="27"/>
        <v>16.824382977594933</v>
      </c>
      <c r="U107" s="55">
        <f t="shared" ca="1" si="28"/>
        <v>1.0274988320595217</v>
      </c>
      <c r="V107" s="55">
        <f t="shared" ca="1" si="29"/>
        <v>0</v>
      </c>
      <c r="W107" s="55">
        <f t="shared" ca="1" si="34"/>
        <v>-33.175617022405063</v>
      </c>
      <c r="X107" s="55">
        <f t="shared" ca="1" si="35"/>
        <v>0</v>
      </c>
      <c r="Y107" s="55">
        <f t="shared" ca="1" si="36"/>
        <v>0</v>
      </c>
      <c r="Z107">
        <f t="shared" ca="1" si="30"/>
        <v>119.63636363636364</v>
      </c>
      <c r="AA107">
        <f t="shared" ca="1" si="37"/>
        <v>190.93859134999093</v>
      </c>
      <c r="AB107">
        <f t="shared" ca="1" si="31"/>
        <v>0</v>
      </c>
      <c r="AC107">
        <f t="shared" ca="1" si="32"/>
        <v>5.3542807394278899E-3</v>
      </c>
      <c r="AD107" s="83">
        <f ca="1"/>
        <v>45076</v>
      </c>
      <c r="AE107" s="55">
        <f t="shared" ca="1" si="41"/>
        <v>45076</v>
      </c>
      <c r="AF107" s="55">
        <f t="shared" ca="1" si="42"/>
        <v>-208.29763672337506</v>
      </c>
      <c r="AG107" s="55">
        <f t="shared" ca="1" si="43"/>
        <v>213.2773746365678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0</v>
      </c>
      <c r="AK107" s="55">
        <f t="shared" ca="1" si="40"/>
        <v>-3.3411432870770765</v>
      </c>
    </row>
    <row r="108" spans="18:37">
      <c r="R108" s="83">
        <f ca="1"/>
        <v>44841</v>
      </c>
      <c r="S108" s="55">
        <f t="shared" ca="1" si="33"/>
        <v>44841</v>
      </c>
      <c r="T108" s="55">
        <f t="shared" ca="1" si="27"/>
        <v>16.824382977594933</v>
      </c>
      <c r="U108" s="55">
        <f t="shared" ca="1" si="28"/>
        <v>1.0274988320595217</v>
      </c>
      <c r="V108" s="55">
        <f t="shared" ca="1" si="29"/>
        <v>0</v>
      </c>
      <c r="W108" s="55">
        <f t="shared" ca="1" si="34"/>
        <v>-33.175617022405063</v>
      </c>
      <c r="X108" s="55">
        <f t="shared" ca="1" si="35"/>
        <v>0</v>
      </c>
      <c r="Y108" s="55">
        <f t="shared" ca="1" si="36"/>
        <v>0</v>
      </c>
      <c r="Z108">
        <f t="shared" ca="1" si="30"/>
        <v>119.26999945415048</v>
      </c>
      <c r="AA108">
        <f t="shared" ca="1" si="37"/>
        <v>190.93859134999093</v>
      </c>
      <c r="AB108">
        <f t="shared" ca="1" si="31"/>
        <v>0</v>
      </c>
      <c r="AC108">
        <f t="shared" ca="1" si="32"/>
        <v>5.3542807394278899E-3</v>
      </c>
      <c r="AD108" s="83">
        <f ca="1"/>
        <v>45077</v>
      </c>
      <c r="AE108" s="55">
        <f t="shared" ca="1" si="41"/>
        <v>45077</v>
      </c>
      <c r="AF108" s="55">
        <f t="shared" ca="1" si="42"/>
        <v>-212.86734107544569</v>
      </c>
      <c r="AG108" s="55">
        <f t="shared" ca="1" si="43"/>
        <v>217.88208501886484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0</v>
      </c>
      <c r="AK108" s="55">
        <f t="shared" ca="1" si="40"/>
        <v>-3.3061372568506737</v>
      </c>
    </row>
    <row r="109" spans="18:37">
      <c r="R109" s="83">
        <f ca="1"/>
        <v>44842</v>
      </c>
      <c r="S109" s="55">
        <f t="shared" ca="1" si="33"/>
        <v>44842</v>
      </c>
      <c r="T109" s="55">
        <f t="shared" ca="1" si="27"/>
        <v>16.728570097706996</v>
      </c>
      <c r="U109" s="55">
        <f t="shared" ca="1" si="28"/>
        <v>1.0274988320595217</v>
      </c>
      <c r="V109" s="55">
        <f t="shared" ca="1" si="29"/>
        <v>0</v>
      </c>
      <c r="W109" s="55">
        <f t="shared" ca="1" si="34"/>
        <v>-33.271429902293001</v>
      </c>
      <c r="X109" s="55">
        <f t="shared" ca="1" si="35"/>
        <v>0</v>
      </c>
      <c r="Y109" s="55">
        <f t="shared" ca="1" si="36"/>
        <v>0</v>
      </c>
      <c r="Z109">
        <f t="shared" ca="1" si="30"/>
        <v>120</v>
      </c>
      <c r="AA109">
        <f t="shared" ca="1" si="37"/>
        <v>191.93336761026856</v>
      </c>
      <c r="AB109">
        <f t="shared" ca="1" si="31"/>
        <v>0</v>
      </c>
      <c r="AC109">
        <f t="shared" ca="1" si="32"/>
        <v>5.3542807394278899E-3</v>
      </c>
      <c r="AD109" s="83">
        <f ca="1"/>
        <v>45078</v>
      </c>
      <c r="AE109" s="55">
        <f t="shared" ca="1" si="41"/>
        <v>45078</v>
      </c>
      <c r="AF109" s="55">
        <f t="shared" ca="1" si="42"/>
        <v>-217.44590047864739</v>
      </c>
      <c r="AG109" s="55">
        <f t="shared" ca="1" si="43"/>
        <v>222.49533718635004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0</v>
      </c>
      <c r="AK109" s="55">
        <f t="shared" ca="1" si="40"/>
        <v>-3.2714444925671797</v>
      </c>
    </row>
    <row r="110" spans="18:37">
      <c r="R110" s="83">
        <f ca="1"/>
        <v>44843</v>
      </c>
      <c r="S110" s="55">
        <f t="shared" ca="1" si="33"/>
        <v>44843</v>
      </c>
      <c r="T110" s="55">
        <f t="shared" ca="1" si="27"/>
        <v>16.53834756758447</v>
      </c>
      <c r="U110" s="55">
        <f t="shared" ca="1" si="28"/>
        <v>1.0729857628633064</v>
      </c>
      <c r="V110" s="55">
        <f t="shared" ca="1" si="29"/>
        <v>0</v>
      </c>
      <c r="W110" s="55">
        <f t="shared" ca="1" si="34"/>
        <v>-33.416165501611736</v>
      </c>
      <c r="X110" s="55">
        <f t="shared" ca="1" si="35"/>
        <v>0</v>
      </c>
      <c r="Y110" s="55">
        <f t="shared" ca="1" si="36"/>
        <v>0</v>
      </c>
      <c r="Z110">
        <f t="shared" ca="1" si="30"/>
        <v>120</v>
      </c>
      <c r="AA110">
        <f t="shared" ca="1" si="37"/>
        <v>193.45336761026857</v>
      </c>
      <c r="AB110">
        <f t="shared" ca="1" si="31"/>
        <v>0</v>
      </c>
      <c r="AC110">
        <f t="shared" ca="1" si="32"/>
        <v>5.7137066261543634E-3</v>
      </c>
      <c r="AD110" s="83">
        <f ca="1"/>
        <v>45079</v>
      </c>
      <c r="AE110" s="55">
        <f t="shared" ca="1" si="41"/>
        <v>45079</v>
      </c>
      <c r="AF110" s="55">
        <f t="shared" ca="1" si="42"/>
        <v>-221.9000452822369</v>
      </c>
      <c r="AG110" s="55">
        <f t="shared" ca="1" si="43"/>
        <v>226.98341165522555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0</v>
      </c>
      <c r="AK110" s="55">
        <f t="shared" ca="1" si="40"/>
        <v>-3.2375148272811876</v>
      </c>
    </row>
    <row r="111" spans="18:37">
      <c r="R111" s="83">
        <f ca="1"/>
        <v>44844</v>
      </c>
      <c r="S111" s="55">
        <f t="shared" ca="1" si="33"/>
        <v>44844</v>
      </c>
      <c r="T111" s="55">
        <f t="shared" ca="1" si="27"/>
        <v>16.327583420373458</v>
      </c>
      <c r="U111" s="55">
        <f t="shared" ca="1" si="28"/>
        <v>1.1239375026567262</v>
      </c>
      <c r="V111" s="55">
        <f t="shared" ca="1" si="29"/>
        <v>0</v>
      </c>
      <c r="W111" s="55">
        <f t="shared" ca="1" si="34"/>
        <v>-33.575977909029334</v>
      </c>
      <c r="X111" s="55">
        <f t="shared" ca="1" si="35"/>
        <v>0</v>
      </c>
      <c r="Y111" s="55">
        <f t="shared" ca="1" si="36"/>
        <v>0</v>
      </c>
      <c r="Z111">
        <f t="shared" ca="1" si="30"/>
        <v>120</v>
      </c>
      <c r="AA111">
        <f t="shared" ca="1" si="37"/>
        <v>195.15336761026856</v>
      </c>
      <c r="AB111">
        <f t="shared" ca="1" si="31"/>
        <v>0</v>
      </c>
      <c r="AC111">
        <f t="shared" ca="1" si="32"/>
        <v>6.1253774553468414E-3</v>
      </c>
      <c r="AD111" s="83">
        <f ca="1"/>
        <v>45080</v>
      </c>
      <c r="AE111" s="55">
        <f t="shared" ca="1" si="41"/>
        <v>45080</v>
      </c>
      <c r="AF111" s="55">
        <f t="shared" ca="1" si="42"/>
        <v>-225.97102777628004</v>
      </c>
      <c r="AG111" s="55">
        <f t="shared" ca="1" si="43"/>
        <v>231.08671947785797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0</v>
      </c>
      <c r="AK111" s="55">
        <f t="shared" ca="1" si="40"/>
        <v>-3.2051894986919018</v>
      </c>
    </row>
    <row r="112" spans="18:37">
      <c r="R112" s="83">
        <f ca="1"/>
        <v>44845</v>
      </c>
      <c r="S112" s="55">
        <f t="shared" ca="1" si="33"/>
        <v>44845</v>
      </c>
      <c r="T112" s="55">
        <f t="shared" ca="1" si="27"/>
        <v>16.27237776935856</v>
      </c>
      <c r="U112" s="55">
        <f t="shared" ca="1" si="28"/>
        <v>1.179143153671625</v>
      </c>
      <c r="V112" s="55">
        <f t="shared" ca="1" si="29"/>
        <v>0</v>
      </c>
      <c r="W112" s="55">
        <f t="shared" ca="1" si="34"/>
        <v>-33.575977909029334</v>
      </c>
      <c r="X112" s="55">
        <f t="shared" ca="1" si="35"/>
        <v>0</v>
      </c>
      <c r="Y112" s="55">
        <f t="shared" ca="1" si="36"/>
        <v>0</v>
      </c>
      <c r="Z112">
        <f t="shared" ca="1" si="30"/>
        <v>119.05454545454546</v>
      </c>
      <c r="AA112">
        <f t="shared" ca="1" si="37"/>
        <v>195.15336761026856</v>
      </c>
      <c r="AB112">
        <f t="shared" ca="1" si="31"/>
        <v>0</v>
      </c>
      <c r="AC112">
        <f t="shared" ca="1" si="32"/>
        <v>6.5819652717802758E-3</v>
      </c>
      <c r="AD112" s="83">
        <f ca="1"/>
        <v>45081</v>
      </c>
      <c r="AE112" s="55">
        <f t="shared" ca="1" si="41"/>
        <v>45081</v>
      </c>
      <c r="AF112" s="55">
        <f t="shared" ca="1" si="42"/>
        <v>-230.0959079911899</v>
      </c>
      <c r="AG112" s="55">
        <f t="shared" ca="1" si="43"/>
        <v>235.24381740624713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0</v>
      </c>
      <c r="AK112" s="55">
        <f t="shared" ca="1" si="40"/>
        <v>-3.172971785212602</v>
      </c>
    </row>
    <row r="113" spans="18:37">
      <c r="R113" s="83">
        <f ca="1"/>
        <v>44846</v>
      </c>
      <c r="S113" s="55">
        <f t="shared" ca="1" si="33"/>
        <v>44846</v>
      </c>
      <c r="T113" s="55">
        <f t="shared" ca="1" si="27"/>
        <v>16.028736411271794</v>
      </c>
      <c r="U113" s="55">
        <f t="shared" ca="1" si="28"/>
        <v>1.2407174465268733</v>
      </c>
      <c r="V113" s="55">
        <f t="shared" ca="1" si="29"/>
        <v>0</v>
      </c>
      <c r="W113" s="55">
        <f t="shared" ca="1" si="34"/>
        <v>-33.758044974260855</v>
      </c>
      <c r="X113" s="55">
        <f t="shared" ca="1" si="35"/>
        <v>0</v>
      </c>
      <c r="Y113" s="55">
        <f t="shared" ca="1" si="36"/>
        <v>0</v>
      </c>
      <c r="Z113">
        <f t="shared" ca="1" si="30"/>
        <v>120</v>
      </c>
      <c r="AA113">
        <f t="shared" ca="1" si="37"/>
        <v>197.12621023966898</v>
      </c>
      <c r="AB113">
        <f t="shared" ca="1" si="31"/>
        <v>0</v>
      </c>
      <c r="AC113">
        <f t="shared" ca="1" si="32"/>
        <v>7.1038327004323476E-3</v>
      </c>
      <c r="AD113" s="83">
        <f ca="1"/>
        <v>45082</v>
      </c>
      <c r="AE113" s="55">
        <f t="shared" ca="1" si="41"/>
        <v>45082</v>
      </c>
      <c r="AF113" s="55">
        <f t="shared" ca="1" si="42"/>
        <v>-234.28347135248856</v>
      </c>
      <c r="AG113" s="55">
        <f t="shared" ca="1" si="43"/>
        <v>239.46352921251292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0</v>
      </c>
      <c r="AK113" s="55">
        <f t="shared" ca="1" si="40"/>
        <v>-3.1408233402454568</v>
      </c>
    </row>
    <row r="114" spans="18:37">
      <c r="R114" s="83">
        <f ca="1"/>
        <v>44847</v>
      </c>
      <c r="S114" s="55">
        <f t="shared" ca="1" si="33"/>
        <v>44847</v>
      </c>
      <c r="T114" s="55">
        <f t="shared" ca="1" si="27"/>
        <v>15.785535774530969</v>
      </c>
      <c r="U114" s="55">
        <f t="shared" ca="1" si="28"/>
        <v>1.3048718396190055</v>
      </c>
      <c r="V114" s="55">
        <f t="shared" ca="1" si="29"/>
        <v>0</v>
      </c>
      <c r="W114" s="55">
        <f t="shared" ca="1" si="34"/>
        <v>-33.937091217909547</v>
      </c>
      <c r="X114" s="55">
        <f t="shared" ca="1" si="35"/>
        <v>0</v>
      </c>
      <c r="Y114" s="55">
        <f t="shared" ca="1" si="36"/>
        <v>0</v>
      </c>
      <c r="Z114">
        <f t="shared" ca="1" si="30"/>
        <v>120</v>
      </c>
      <c r="AA114">
        <f t="shared" ca="1" si="37"/>
        <v>199.09621023966895</v>
      </c>
      <c r="AB114">
        <f t="shared" ca="1" si="31"/>
        <v>0</v>
      </c>
      <c r="AC114">
        <f t="shared" ca="1" si="32"/>
        <v>7.6613308176711609E-3</v>
      </c>
      <c r="AD114" s="83">
        <f ca="1"/>
        <v>45083</v>
      </c>
      <c r="AE114" s="55">
        <f t="shared" ca="1" si="41"/>
        <v>45083</v>
      </c>
      <c r="AF114" s="55">
        <f t="shared" ca="1" si="42"/>
        <v>-238.40309532448074</v>
      </c>
      <c r="AG114" s="55">
        <f t="shared" ca="1" si="43"/>
        <v>243.61480846659936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0</v>
      </c>
      <c r="AK114" s="55">
        <f t="shared" ca="1" si="40"/>
        <v>-3.1091680581511962</v>
      </c>
    </row>
    <row r="115" spans="18:37">
      <c r="R115" s="83">
        <f ca="1"/>
        <v>44848</v>
      </c>
      <c r="S115" s="55">
        <f t="shared" ca="1" si="33"/>
        <v>44848</v>
      </c>
      <c r="T115" s="55">
        <f t="shared" ca="1" si="27"/>
        <v>15.474817254507203</v>
      </c>
      <c r="U115" s="55">
        <f t="shared" ca="1" si="28"/>
        <v>1.3696814454529651</v>
      </c>
      <c r="V115" s="55">
        <f t="shared" ca="1" si="29"/>
        <v>0</v>
      </c>
      <c r="W115" s="55">
        <f t="shared" ca="1" si="34"/>
        <v>-34.183000132099352</v>
      </c>
      <c r="X115" s="55">
        <f t="shared" ca="1" si="35"/>
        <v>0</v>
      </c>
      <c r="Y115" s="55">
        <f t="shared" ca="1" si="36"/>
        <v>0</v>
      </c>
      <c r="Z115">
        <f t="shared" ca="1" si="30"/>
        <v>120</v>
      </c>
      <c r="AA115">
        <f t="shared" ca="1" si="37"/>
        <v>201.85621023966894</v>
      </c>
      <c r="AB115">
        <f t="shared" ca="1" si="31"/>
        <v>0</v>
      </c>
      <c r="AC115">
        <f t="shared" ca="1" si="32"/>
        <v>8.2383984854718303E-3</v>
      </c>
      <c r="AD115" s="83">
        <f ca="1"/>
        <v>45084</v>
      </c>
      <c r="AE115" s="55">
        <f t="shared" ca="1" si="41"/>
        <v>45084</v>
      </c>
      <c r="AF115" s="55">
        <f t="shared" ca="1" si="42"/>
        <v>-242.56378350499472</v>
      </c>
      <c r="AG115" s="55">
        <f t="shared" ca="1" si="43"/>
        <v>247.80703179732896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0</v>
      </c>
      <c r="AK115" s="55">
        <f t="shared" ca="1" si="40"/>
        <v>-3.0776329079355564</v>
      </c>
    </row>
    <row r="116" spans="18:37">
      <c r="R116" s="83">
        <f ca="1"/>
        <v>44849</v>
      </c>
      <c r="S116" s="55">
        <f t="shared" ca="1" si="33"/>
        <v>44849</v>
      </c>
      <c r="T116" s="55">
        <f t="shared" ca="1" si="27"/>
        <v>15.169064791274279</v>
      </c>
      <c r="U116" s="55">
        <f t="shared" ca="1" si="28"/>
        <v>1.4352570494907142</v>
      </c>
      <c r="V116" s="55">
        <f t="shared" ca="1" si="29"/>
        <v>0</v>
      </c>
      <c r="W116" s="55">
        <f t="shared" ca="1" si="34"/>
        <v>-34.423176991294525</v>
      </c>
      <c r="X116" s="55">
        <f t="shared" ca="1" si="35"/>
        <v>0</v>
      </c>
      <c r="Y116" s="55">
        <f t="shared" ca="1" si="36"/>
        <v>0</v>
      </c>
      <c r="Z116">
        <f t="shared" ca="1" si="30"/>
        <v>120</v>
      </c>
      <c r="AA116">
        <f t="shared" ca="1" si="37"/>
        <v>204.60621023966894</v>
      </c>
      <c r="AB116">
        <f t="shared" ca="1" si="31"/>
        <v>0</v>
      </c>
      <c r="AC116">
        <f t="shared" ca="1" si="32"/>
        <v>8.8361039610659938E-3</v>
      </c>
      <c r="AD116" s="83">
        <f ca="1"/>
        <v>45085</v>
      </c>
      <c r="AE116" s="55">
        <f t="shared" ca="1" si="41"/>
        <v>45085</v>
      </c>
      <c r="AF116" s="55">
        <f t="shared" ca="1" si="42"/>
        <v>-246.8772921822204</v>
      </c>
      <c r="AG116" s="55">
        <f t="shared" ca="1" si="43"/>
        <v>252.15234190017222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0</v>
      </c>
      <c r="AK116" s="55">
        <f t="shared" ca="1" si="40"/>
        <v>-3.0458314823179826</v>
      </c>
    </row>
    <row r="117" spans="18:37">
      <c r="R117" s="83">
        <f ca="1"/>
        <v>44850</v>
      </c>
      <c r="S117" s="55">
        <f t="shared" ca="1" si="33"/>
        <v>44850</v>
      </c>
      <c r="T117" s="55">
        <f t="shared" ca="1" si="27"/>
        <v>15.09038627787182</v>
      </c>
      <c r="U117" s="55">
        <f t="shared" ca="1" si="28"/>
        <v>1.5043783182505215</v>
      </c>
      <c r="V117" s="55">
        <f t="shared" ca="1" si="29"/>
        <v>0</v>
      </c>
      <c r="W117" s="55">
        <f t="shared" ca="1" si="34"/>
        <v>-34.432734235937176</v>
      </c>
      <c r="X117" s="55">
        <f t="shared" ca="1" si="35"/>
        <v>0</v>
      </c>
      <c r="Y117" s="55">
        <f t="shared" ca="1" si="36"/>
        <v>0</v>
      </c>
      <c r="Z117">
        <f t="shared" ca="1" si="30"/>
        <v>120</v>
      </c>
      <c r="AA117">
        <f t="shared" ca="1" si="37"/>
        <v>204.71621023966895</v>
      </c>
      <c r="AB117">
        <f t="shared" ca="1" si="31"/>
        <v>0</v>
      </c>
      <c r="AC117">
        <f t="shared" ca="1" si="32"/>
        <v>9.4807783809727972E-3</v>
      </c>
      <c r="AD117" s="83">
        <f ca="1"/>
        <v>45086</v>
      </c>
      <c r="AE117" s="55">
        <f t="shared" ca="1" si="41"/>
        <v>45086</v>
      </c>
      <c r="AF117" s="55">
        <f t="shared" ca="1" si="42"/>
        <v>-251.39878532012821</v>
      </c>
      <c r="AG117" s="55">
        <f t="shared" ca="1" si="43"/>
        <v>256.70611556592564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0</v>
      </c>
      <c r="AK117" s="55">
        <f t="shared" ca="1" si="40"/>
        <v>-3.0135509544723815</v>
      </c>
    </row>
    <row r="118" spans="18:37">
      <c r="R118" s="83">
        <f ca="1"/>
        <v>44851</v>
      </c>
      <c r="S118" s="55">
        <f t="shared" ca="1" si="33"/>
        <v>44851</v>
      </c>
      <c r="T118" s="55">
        <f t="shared" ca="1" si="27"/>
        <v>14.996151559516566</v>
      </c>
      <c r="U118" s="55">
        <f t="shared" ca="1" si="28"/>
        <v>1.5822081556573342</v>
      </c>
      <c r="V118" s="55">
        <f t="shared" ca="1" si="29"/>
        <v>0</v>
      </c>
      <c r="W118" s="55">
        <f t="shared" ca="1" si="34"/>
        <v>-34.449139116885618</v>
      </c>
      <c r="X118" s="55">
        <f t="shared" ca="1" si="35"/>
        <v>0</v>
      </c>
      <c r="Y118" s="55">
        <f t="shared" ca="1" si="36"/>
        <v>0</v>
      </c>
      <c r="Z118">
        <f t="shared" ca="1" si="30"/>
        <v>120</v>
      </c>
      <c r="AA118">
        <f t="shared" ca="1" si="37"/>
        <v>204.90621023966895</v>
      </c>
      <c r="AB118">
        <f t="shared" ca="1" si="31"/>
        <v>0</v>
      </c>
      <c r="AC118">
        <f t="shared" ca="1" si="32"/>
        <v>1.0224188062743854E-2</v>
      </c>
      <c r="AD118" s="83">
        <f ca="1"/>
        <v>45087</v>
      </c>
      <c r="AE118" s="55">
        <f t="shared" ca="1" si="41"/>
        <v>45087</v>
      </c>
      <c r="AF118" s="55">
        <f t="shared" ca="1" si="42"/>
        <v>-255.88118824833751</v>
      </c>
      <c r="AG118" s="55">
        <f t="shared" ca="1" si="43"/>
        <v>261.22044674825327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0</v>
      </c>
      <c r="AK118" s="55">
        <f t="shared" ca="1" si="40"/>
        <v>-2.9816227003540536</v>
      </c>
    </row>
    <row r="119" spans="18:37">
      <c r="R119" s="83">
        <f ca="1"/>
        <v>44852</v>
      </c>
      <c r="S119" s="55">
        <f t="shared" ca="1" si="33"/>
        <v>44852</v>
      </c>
      <c r="T119" s="55">
        <f t="shared" ca="1" si="27"/>
        <v>14.861736847285593</v>
      </c>
      <c r="U119" s="55">
        <f t="shared" ca="1" si="28"/>
        <v>1.659292592110748</v>
      </c>
      <c r="V119" s="55">
        <f t="shared" ca="1" si="29"/>
        <v>0</v>
      </c>
      <c r="W119" s="55">
        <f t="shared" ca="1" si="34"/>
        <v>-34.506469392663178</v>
      </c>
      <c r="X119" s="55">
        <f t="shared" ca="1" si="35"/>
        <v>0</v>
      </c>
      <c r="Y119" s="55">
        <f t="shared" ca="1" si="36"/>
        <v>0</v>
      </c>
      <c r="Z119">
        <f t="shared" ca="1" si="30"/>
        <v>120</v>
      </c>
      <c r="AA119">
        <f t="shared" ca="1" si="37"/>
        <v>205.57621023966897</v>
      </c>
      <c r="AB119">
        <f t="shared" ca="1" si="31"/>
        <v>0</v>
      </c>
      <c r="AC119">
        <f t="shared" ca="1" si="32"/>
        <v>1.097826186889464E-2</v>
      </c>
      <c r="AD119" s="83">
        <f ca="1"/>
        <v>45088</v>
      </c>
      <c r="AE119" s="55">
        <f t="shared" ca="1" si="41"/>
        <v>45088</v>
      </c>
      <c r="AF119" s="55">
        <f t="shared" ca="1" si="42"/>
        <v>-260.34508961070009</v>
      </c>
      <c r="AG119" s="55">
        <f t="shared" ca="1" si="43"/>
        <v>265.71601118520084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0</v>
      </c>
      <c r="AK119" s="55">
        <f t="shared" ca="1" si="40"/>
        <v>-2.9499596257690595</v>
      </c>
    </row>
    <row r="120" spans="18:37">
      <c r="R120" s="83">
        <f ca="1"/>
        <v>44853</v>
      </c>
      <c r="S120" s="55">
        <f t="shared" ca="1" si="33"/>
        <v>44853</v>
      </c>
      <c r="T120" s="55">
        <f t="shared" ca="1" si="27"/>
        <v>14.783462841263988</v>
      </c>
      <c r="U120" s="55">
        <f t="shared" ca="1" si="28"/>
        <v>1.7375665981323531</v>
      </c>
      <c r="V120" s="55">
        <f t="shared" ca="1" si="29"/>
        <v>0</v>
      </c>
      <c r="W120" s="55">
        <f t="shared" ca="1" si="34"/>
        <v>-34.506469392663178</v>
      </c>
      <c r="X120" s="55">
        <f t="shared" ca="1" si="35"/>
        <v>0</v>
      </c>
      <c r="Y120" s="55">
        <f t="shared" ca="1" si="36"/>
        <v>0</v>
      </c>
      <c r="Z120">
        <f t="shared" ca="1" si="30"/>
        <v>118.18181818181819</v>
      </c>
      <c r="AA120">
        <f t="shared" ca="1" si="37"/>
        <v>205.57621023966897</v>
      </c>
      <c r="AB120">
        <f t="shared" ca="1" si="31"/>
        <v>0</v>
      </c>
      <c r="AC120">
        <f t="shared" ca="1" si="32"/>
        <v>1.1761583587237867E-2</v>
      </c>
      <c r="AD120" s="83">
        <f ca="1"/>
        <v>45089</v>
      </c>
      <c r="AE120" s="55">
        <f t="shared" ca="1" si="41"/>
        <v>45089</v>
      </c>
      <c r="AF120" s="55">
        <f t="shared" ca="1" si="42"/>
        <v>-264.63702262202099</v>
      </c>
      <c r="AG120" s="55">
        <f t="shared" ca="1" si="43"/>
        <v>270.03882470498434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0</v>
      </c>
      <c r="AK120" s="55">
        <f t="shared" ca="1" si="40"/>
        <v>-2.9190791173064934</v>
      </c>
    </row>
    <row r="121" spans="18:37">
      <c r="R121" s="83">
        <f ca="1"/>
        <v>44854</v>
      </c>
      <c r="S121" s="55">
        <f t="shared" ca="1" si="33"/>
        <v>44854</v>
      </c>
      <c r="T121" s="55">
        <f t="shared" ca="1" si="27"/>
        <v>14.70280672370474</v>
      </c>
      <c r="U121" s="55">
        <f t="shared" ca="1" si="28"/>
        <v>1.8182227156916022</v>
      </c>
      <c r="V121" s="55">
        <f t="shared" ca="1" si="29"/>
        <v>0</v>
      </c>
      <c r="W121" s="55">
        <f t="shared" ca="1" si="34"/>
        <v>-34.506469392663178</v>
      </c>
      <c r="X121" s="55">
        <f t="shared" ca="1" si="35"/>
        <v>0</v>
      </c>
      <c r="Y121" s="55">
        <f t="shared" ca="1" si="36"/>
        <v>0</v>
      </c>
      <c r="Z121">
        <f t="shared" ca="1" si="30"/>
        <v>115.1988557448044</v>
      </c>
      <c r="AA121">
        <f t="shared" ca="1" si="37"/>
        <v>205.57621023966897</v>
      </c>
      <c r="AB121">
        <f t="shared" ca="1" si="31"/>
        <v>0</v>
      </c>
      <c r="AC121">
        <f t="shared" ca="1" si="32"/>
        <v>1.2586807151413849E-2</v>
      </c>
      <c r="AD121" s="83">
        <f ca="1"/>
        <v>45090</v>
      </c>
      <c r="AE121" s="55">
        <f t="shared" ca="1" si="41"/>
        <v>45090</v>
      </c>
      <c r="AF121" s="55">
        <f t="shared" ca="1" si="42"/>
        <v>-268.75218795421551</v>
      </c>
      <c r="AG121" s="55">
        <f t="shared" ca="1" si="43"/>
        <v>274.18408835318115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0</v>
      </c>
      <c r="AK121" s="55">
        <f t="shared" ca="1" si="40"/>
        <v>-2.8889808013041742</v>
      </c>
    </row>
    <row r="122" spans="18:37">
      <c r="R122" s="83">
        <f ca="1"/>
        <v>44855</v>
      </c>
      <c r="S122" s="55">
        <f t="shared" ca="1" si="33"/>
        <v>44855</v>
      </c>
      <c r="T122" s="55">
        <f t="shared" ca="1" si="27"/>
        <v>14.613372982973988</v>
      </c>
      <c r="U122" s="55">
        <f t="shared" ca="1" si="28"/>
        <v>1.9076564564223533</v>
      </c>
      <c r="V122" s="55">
        <f t="shared" ca="1" si="29"/>
        <v>0</v>
      </c>
      <c r="W122" s="55">
        <f t="shared" ca="1" si="34"/>
        <v>-34.506469392663178</v>
      </c>
      <c r="X122" s="55">
        <f t="shared" ca="1" si="35"/>
        <v>0</v>
      </c>
      <c r="Y122" s="55">
        <f t="shared" ca="1" si="36"/>
        <v>0</v>
      </c>
      <c r="Z122">
        <f t="shared" ca="1" si="30"/>
        <v>115.3734691767738</v>
      </c>
      <c r="AA122">
        <f t="shared" ca="1" si="37"/>
        <v>205.57621023966897</v>
      </c>
      <c r="AB122">
        <f t="shared" ca="1" si="31"/>
        <v>0</v>
      </c>
      <c r="AC122">
        <f t="shared" ca="1" si="32"/>
        <v>1.35226834253776E-2</v>
      </c>
      <c r="AD122" s="83">
        <f ca="1"/>
        <v>45091</v>
      </c>
      <c r="AE122" s="55">
        <f t="shared" ca="1" si="41"/>
        <v>45091</v>
      </c>
      <c r="AF122" s="55">
        <f t="shared" ca="1" si="42"/>
        <v>-272.46478859350862</v>
      </c>
      <c r="AG122" s="55">
        <f t="shared" ca="1" si="43"/>
        <v>277.92526896840701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0</v>
      </c>
      <c r="AK122" s="55">
        <f t="shared" ca="1" si="40"/>
        <v>-2.8604008253714133</v>
      </c>
    </row>
    <row r="123" spans="18:37">
      <c r="R123" s="83">
        <f ca="1"/>
        <v>44856</v>
      </c>
      <c r="S123" s="55">
        <f t="shared" ca="1" si="33"/>
        <v>44856</v>
      </c>
      <c r="T123" s="55">
        <f t="shared" ca="1" si="27"/>
        <v>14.516348852623809</v>
      </c>
      <c r="U123" s="55">
        <f t="shared" ca="1" si="28"/>
        <v>2.0046805867725332</v>
      </c>
      <c r="V123" s="55">
        <f t="shared" ca="1" si="29"/>
        <v>0</v>
      </c>
      <c r="W123" s="55">
        <f t="shared" ca="1" si="34"/>
        <v>-34.506469392663178</v>
      </c>
      <c r="X123" s="55">
        <f t="shared" ca="1" si="35"/>
        <v>0</v>
      </c>
      <c r="Y123" s="55">
        <f t="shared" ca="1" si="36"/>
        <v>0</v>
      </c>
      <c r="Z123">
        <f t="shared" ca="1" si="30"/>
        <v>116.37448664003392</v>
      </c>
      <c r="AA123">
        <f t="shared" ca="1" si="37"/>
        <v>205.57621023966897</v>
      </c>
      <c r="AB123">
        <f t="shared" ca="1" si="31"/>
        <v>0</v>
      </c>
      <c r="AC123">
        <f t="shared" ca="1" si="32"/>
        <v>1.4562069347726723E-2</v>
      </c>
      <c r="AD123" s="83">
        <f ca="1"/>
        <v>45092</v>
      </c>
      <c r="AE123" s="55">
        <f t="shared" ca="1" si="41"/>
        <v>45092</v>
      </c>
      <c r="AF123" s="55">
        <f t="shared" ca="1" si="42"/>
        <v>-276.15992713698432</v>
      </c>
      <c r="AG123" s="55">
        <f t="shared" ca="1" si="43"/>
        <v>281.6487608643223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0</v>
      </c>
      <c r="AK123" s="55">
        <f t="shared" ca="1" si="40"/>
        <v>-2.8320474729318539</v>
      </c>
    </row>
    <row r="124" spans="18:37">
      <c r="R124" s="83">
        <f ca="1"/>
        <v>44857</v>
      </c>
      <c r="S124" s="55">
        <f t="shared" ca="1" si="33"/>
        <v>44857</v>
      </c>
      <c r="T124" s="55">
        <f t="shared" ca="1" si="27"/>
        <v>14.409941155437782</v>
      </c>
      <c r="U124" s="55">
        <f t="shared" ca="1" si="28"/>
        <v>2.1110882839585612</v>
      </c>
      <c r="V124" s="55">
        <f t="shared" ca="1" si="29"/>
        <v>0</v>
      </c>
      <c r="W124" s="55">
        <f t="shared" ca="1" si="34"/>
        <v>-34.506469392663178</v>
      </c>
      <c r="X124" s="55">
        <f t="shared" ca="1" si="35"/>
        <v>0</v>
      </c>
      <c r="Y124" s="55">
        <f t="shared" ca="1" si="36"/>
        <v>0</v>
      </c>
      <c r="Z124">
        <f t="shared" ca="1" si="30"/>
        <v>118.52898284827738</v>
      </c>
      <c r="AA124">
        <f t="shared" ca="1" si="37"/>
        <v>205.57621023966897</v>
      </c>
      <c r="AB124">
        <f t="shared" ca="1" si="31"/>
        <v>0</v>
      </c>
      <c r="AC124">
        <f t="shared" ca="1" si="32"/>
        <v>1.5729913957675631E-2</v>
      </c>
      <c r="AD124" s="83">
        <f ca="1"/>
        <v>45093</v>
      </c>
      <c r="AE124" s="55">
        <f t="shared" ca="1" si="41"/>
        <v>45093</v>
      </c>
      <c r="AF124" s="55">
        <f t="shared" ca="1" si="42"/>
        <v>-279.4670615622565</v>
      </c>
      <c r="AG124" s="55">
        <f t="shared" ca="1" si="43"/>
        <v>284.98282546048375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0</v>
      </c>
      <c r="AK124" s="55">
        <f t="shared" ca="1" si="40"/>
        <v>-2.8051173020425768</v>
      </c>
    </row>
    <row r="125" spans="18:37">
      <c r="R125" s="83">
        <f ca="1"/>
        <v>44858</v>
      </c>
      <c r="S125" s="55">
        <f t="shared" ca="1" si="33"/>
        <v>44858</v>
      </c>
      <c r="T125" s="55">
        <f t="shared" ca="1" si="27"/>
        <v>14.305543471088257</v>
      </c>
      <c r="U125" s="55">
        <f t="shared" ca="1" si="28"/>
        <v>2.2154859683080863</v>
      </c>
      <c r="V125" s="55">
        <f t="shared" ca="1" si="29"/>
        <v>0</v>
      </c>
      <c r="W125" s="55">
        <f t="shared" ca="1" si="34"/>
        <v>-34.506469392663178</v>
      </c>
      <c r="X125" s="55">
        <f t="shared" ca="1" si="35"/>
        <v>0</v>
      </c>
      <c r="Y125" s="55">
        <f t="shared" ca="1" si="36"/>
        <v>0</v>
      </c>
      <c r="Z125">
        <f t="shared" ca="1" si="30"/>
        <v>118.69132309475297</v>
      </c>
      <c r="AA125">
        <f t="shared" ca="1" si="37"/>
        <v>205.57621023966897</v>
      </c>
      <c r="AB125">
        <f t="shared" ca="1" si="31"/>
        <v>0</v>
      </c>
      <c r="AC125">
        <f t="shared" ca="1" si="32"/>
        <v>1.6903217228353556E-2</v>
      </c>
      <c r="AD125" s="83">
        <f ca="1"/>
        <v>45094</v>
      </c>
      <c r="AE125" s="55">
        <f t="shared" ca="1" si="41"/>
        <v>45094</v>
      </c>
      <c r="AF125" s="55">
        <f t="shared" ca="1" si="42"/>
        <v>-282.76688926245833</v>
      </c>
      <c r="AG125" s="55">
        <f t="shared" ca="1" si="43"/>
        <v>288.30939542948556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0</v>
      </c>
      <c r="AK125" s="55">
        <f t="shared" ca="1" si="40"/>
        <v>-2.7783750332426127</v>
      </c>
    </row>
    <row r="126" spans="18:37">
      <c r="R126" s="83">
        <f ca="1"/>
        <v>44859</v>
      </c>
      <c r="S126" s="55">
        <f t="shared" ca="1" si="33"/>
        <v>44859</v>
      </c>
      <c r="T126" s="55">
        <f t="shared" ca="1" si="27"/>
        <v>14.190005969906135</v>
      </c>
      <c r="U126" s="55">
        <f t="shared" ca="1" si="28"/>
        <v>2.3310234694902081</v>
      </c>
      <c r="V126" s="55">
        <f t="shared" ca="1" si="29"/>
        <v>0</v>
      </c>
      <c r="W126" s="55">
        <f t="shared" ca="1" si="34"/>
        <v>-34.506469392663178</v>
      </c>
      <c r="X126" s="55">
        <f t="shared" ca="1" si="35"/>
        <v>0</v>
      </c>
      <c r="Y126" s="55">
        <f t="shared" ca="1" si="36"/>
        <v>0</v>
      </c>
      <c r="Z126">
        <f t="shared" ca="1" si="30"/>
        <v>115.86679618889598</v>
      </c>
      <c r="AA126">
        <f t="shared" ca="1" si="37"/>
        <v>205.57621023966897</v>
      </c>
      <c r="AB126">
        <f t="shared" ca="1" si="31"/>
        <v>0</v>
      </c>
      <c r="AC126">
        <f t="shared" ca="1" si="32"/>
        <v>1.8232476077261802E-2</v>
      </c>
      <c r="AD126" s="83">
        <f ca="1"/>
        <v>45095</v>
      </c>
      <c r="AE126" s="55">
        <f t="shared" ca="1" si="41"/>
        <v>45095</v>
      </c>
      <c r="AF126" s="55">
        <f t="shared" ca="1" si="42"/>
        <v>-286.31617456354627</v>
      </c>
      <c r="AG126" s="55">
        <f t="shared" ca="1" si="43"/>
        <v>291.88608788669126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0</v>
      </c>
      <c r="AK126" s="55">
        <f t="shared" ca="1" si="40"/>
        <v>-2.7509678771248556</v>
      </c>
    </row>
    <row r="127" spans="18:37">
      <c r="R127" s="83">
        <f ca="1"/>
        <v>44860</v>
      </c>
      <c r="S127" s="55">
        <f t="shared" ca="1" si="33"/>
        <v>44860</v>
      </c>
      <c r="T127" s="55">
        <f t="shared" ca="1" si="27"/>
        <v>14.064429111191004</v>
      </c>
      <c r="U127" s="55">
        <f t="shared" ca="1" si="28"/>
        <v>2.4566003282053401</v>
      </c>
      <c r="V127" s="55">
        <f t="shared" ca="1" si="29"/>
        <v>0</v>
      </c>
      <c r="W127" s="55">
        <f t="shared" ca="1" si="34"/>
        <v>-34.506469392663178</v>
      </c>
      <c r="X127" s="55">
        <f t="shared" ca="1" si="35"/>
        <v>0</v>
      </c>
      <c r="Y127" s="55">
        <f t="shared" ca="1" si="36"/>
        <v>0</v>
      </c>
      <c r="Z127">
        <f t="shared" ca="1" si="30"/>
        <v>111.54088202985665</v>
      </c>
      <c r="AA127">
        <f t="shared" ca="1" si="37"/>
        <v>205.57621023966897</v>
      </c>
      <c r="AB127">
        <f t="shared" ca="1" si="31"/>
        <v>0</v>
      </c>
      <c r="AC127">
        <f t="shared" ca="1" si="32"/>
        <v>1.9712679849455232E-2</v>
      </c>
      <c r="AD127" s="83">
        <f ca="1"/>
        <v>45096</v>
      </c>
      <c r="AE127" s="55">
        <f t="shared" ca="1" si="41"/>
        <v>45096</v>
      </c>
      <c r="AF127" s="55">
        <f t="shared" ca="1" si="42"/>
        <v>-289.6099448805665</v>
      </c>
      <c r="AG127" s="55">
        <f t="shared" ca="1" si="43"/>
        <v>295.20628075259555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0</v>
      </c>
      <c r="AK127" s="55">
        <f t="shared" ca="1" si="40"/>
        <v>-2.7245453282407892</v>
      </c>
    </row>
    <row r="128" spans="18:37">
      <c r="R128" s="83">
        <f ca="1"/>
        <v>44861</v>
      </c>
      <c r="S128" s="55">
        <f t="shared" ca="1" si="33"/>
        <v>44861</v>
      </c>
      <c r="T128" s="55">
        <f t="shared" ca="1" si="27"/>
        <v>13.92082349513278</v>
      </c>
      <c r="U128" s="55">
        <f t="shared" ca="1" si="28"/>
        <v>2.6002059442635641</v>
      </c>
      <c r="V128" s="55">
        <f t="shared" ca="1" si="29"/>
        <v>0</v>
      </c>
      <c r="W128" s="55">
        <f t="shared" ca="1" si="34"/>
        <v>-34.506469392663178</v>
      </c>
      <c r="X128" s="55">
        <f t="shared" ca="1" si="35"/>
        <v>0</v>
      </c>
      <c r="Y128" s="55">
        <f t="shared" ca="1" si="36"/>
        <v>0</v>
      </c>
      <c r="Z128">
        <f t="shared" ca="1" si="30"/>
        <v>112.17294775396152</v>
      </c>
      <c r="AA128">
        <f t="shared" ca="1" si="37"/>
        <v>205.57621023966897</v>
      </c>
      <c r="AB128">
        <f t="shared" ca="1" si="31"/>
        <v>0</v>
      </c>
      <c r="AC128">
        <f t="shared" ca="1" si="32"/>
        <v>2.1449027229834657E-2</v>
      </c>
      <c r="AD128" s="83">
        <f ca="1"/>
        <v>45097</v>
      </c>
      <c r="AE128" s="55">
        <f t="shared" ca="1" si="41"/>
        <v>45097</v>
      </c>
      <c r="AF128" s="55">
        <f t="shared" ca="1" si="42"/>
        <v>-292.93522411803548</v>
      </c>
      <c r="AG128" s="55">
        <f t="shared" ca="1" si="43"/>
        <v>298.55795021020913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0</v>
      </c>
      <c r="AK128" s="55">
        <f t="shared" ca="1" si="40"/>
        <v>-2.6981551080961763</v>
      </c>
    </row>
    <row r="129" spans="18:37">
      <c r="R129" s="83">
        <f ca="1"/>
        <v>44862</v>
      </c>
      <c r="S129" s="55">
        <f t="shared" ca="1" si="33"/>
        <v>44862</v>
      </c>
      <c r="T129" s="55">
        <f t="shared" ca="1" si="27"/>
        <v>13.778004901152416</v>
      </c>
      <c r="U129" s="55">
        <f t="shared" ca="1" si="28"/>
        <v>2.7430245382439278</v>
      </c>
      <c r="V129" s="55">
        <f t="shared" ca="1" si="29"/>
        <v>0</v>
      </c>
      <c r="W129" s="55">
        <f t="shared" ca="1" si="34"/>
        <v>-34.506469392663178</v>
      </c>
      <c r="X129" s="55">
        <f t="shared" ca="1" si="35"/>
        <v>0</v>
      </c>
      <c r="Y129" s="55">
        <f t="shared" ca="1" si="36"/>
        <v>0</v>
      </c>
      <c r="Z129">
        <f t="shared" ca="1" si="30"/>
        <v>114.73169318686575</v>
      </c>
      <c r="AA129">
        <f t="shared" ca="1" si="37"/>
        <v>205.57621023966897</v>
      </c>
      <c r="AB129">
        <f t="shared" ca="1" si="31"/>
        <v>0</v>
      </c>
      <c r="AC129">
        <f t="shared" ca="1" si="32"/>
        <v>2.3220313816718852E-2</v>
      </c>
      <c r="AD129" s="83">
        <f ca="1"/>
        <v>45098</v>
      </c>
      <c r="AE129" s="55">
        <f t="shared" ca="1" si="41"/>
        <v>45098</v>
      </c>
      <c r="AF129" s="55">
        <f t="shared" ca="1" si="42"/>
        <v>-296.25939688857977</v>
      </c>
      <c r="AG129" s="55">
        <f t="shared" ca="1" si="43"/>
        <v>301.90838486785032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0</v>
      </c>
      <c r="AK129" s="55">
        <f t="shared" ca="1" si="40"/>
        <v>-2.6718932209992978</v>
      </c>
    </row>
    <row r="130" spans="18:37">
      <c r="R130" s="83">
        <f ca="1"/>
        <v>44863</v>
      </c>
      <c r="S130" s="55">
        <f t="shared" ca="1" si="33"/>
        <v>44863</v>
      </c>
      <c r="T130" s="55">
        <f t="shared" ca="1" si="27"/>
        <v>13.627158935597999</v>
      </c>
      <c r="U130" s="55">
        <f t="shared" ca="1" si="28"/>
        <v>2.8938705037983454</v>
      </c>
      <c r="V130" s="55">
        <f t="shared" ca="1" si="29"/>
        <v>0</v>
      </c>
      <c r="W130" s="55">
        <f t="shared" ca="1" si="34"/>
        <v>-34.506469392663178</v>
      </c>
      <c r="X130" s="55">
        <f t="shared" ca="1" si="35"/>
        <v>0</v>
      </c>
      <c r="Y130" s="55">
        <f t="shared" ca="1" si="36"/>
        <v>0</v>
      </c>
      <c r="Z130">
        <f t="shared" ca="1" si="30"/>
        <v>113.72460353078952</v>
      </c>
      <c r="AA130">
        <f t="shared" ca="1" si="37"/>
        <v>205.57621023966897</v>
      </c>
      <c r="AB130">
        <f t="shared" ca="1" si="31"/>
        <v>0</v>
      </c>
      <c r="AC130">
        <f t="shared" ca="1" si="32"/>
        <v>2.5137440787461843E-2</v>
      </c>
      <c r="AD130" s="83">
        <f ca="1"/>
        <v>45099</v>
      </c>
      <c r="AE130" s="55">
        <f t="shared" ca="1" si="41"/>
        <v>45099</v>
      </c>
      <c r="AF130" s="55">
        <f t="shared" ca="1" si="42"/>
        <v>-299.34175949281808</v>
      </c>
      <c r="AG130" s="55">
        <f t="shared" ca="1" si="43"/>
        <v>305.01607986385193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0</v>
      </c>
      <c r="AK130" s="55">
        <f t="shared" ca="1" si="40"/>
        <v>-2.6465608292359759</v>
      </c>
    </row>
    <row r="131" spans="18:37">
      <c r="R131" s="83">
        <f ca="1"/>
        <v>44864</v>
      </c>
      <c r="S131" s="55">
        <f t="shared" ca="1" si="33"/>
        <v>44864</v>
      </c>
      <c r="T131" s="55">
        <f t="shared" ca="1" si="27"/>
        <v>13.460623580195641</v>
      </c>
      <c r="U131" s="55">
        <f t="shared" ca="1" si="28"/>
        <v>3.0604058592007037</v>
      </c>
      <c r="V131" s="55">
        <f t="shared" ca="1" si="29"/>
        <v>0</v>
      </c>
      <c r="W131" s="55">
        <f t="shared" ca="1" si="34"/>
        <v>-34.506469392663178</v>
      </c>
      <c r="X131" s="55">
        <f t="shared" ca="1" si="35"/>
        <v>0</v>
      </c>
      <c r="Y131" s="55">
        <f t="shared" ca="1" si="36"/>
        <v>0</v>
      </c>
      <c r="Z131">
        <f t="shared" ca="1" si="30"/>
        <v>111.66524402616295</v>
      </c>
      <c r="AA131">
        <f t="shared" ca="1" si="37"/>
        <v>205.57621023966897</v>
      </c>
      <c r="AB131">
        <f t="shared" ca="1" si="31"/>
        <v>0</v>
      </c>
      <c r="AC131">
        <f t="shared" ca="1" si="32"/>
        <v>2.7306994284609899E-2</v>
      </c>
      <c r="AD131" s="83">
        <f ca="1"/>
        <v>45100</v>
      </c>
      <c r="AE131" s="55">
        <f t="shared" ca="1" si="41"/>
        <v>45100</v>
      </c>
      <c r="AF131" s="55">
        <f t="shared" ca="1" si="42"/>
        <v>-302.23277025492808</v>
      </c>
      <c r="AG131" s="55">
        <f t="shared" ca="1" si="43"/>
        <v>307.93166707282336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0</v>
      </c>
      <c r="AK131" s="55">
        <f t="shared" ca="1" si="40"/>
        <v>-2.6219843823745439</v>
      </c>
    </row>
    <row r="132" spans="18:37">
      <c r="R132" s="83">
        <f ca="1"/>
        <v>44865</v>
      </c>
      <c r="S132" s="55">
        <f t="shared" ca="1" si="33"/>
        <v>44865</v>
      </c>
      <c r="T132" s="55">
        <f t="shared" ca="1" si="27"/>
        <v>13.288242066555224</v>
      </c>
      <c r="U132" s="55">
        <f t="shared" ca="1" si="28"/>
        <v>3.2327873728411207</v>
      </c>
      <c r="V132" s="55">
        <f t="shared" ca="1" si="29"/>
        <v>0</v>
      </c>
      <c r="W132" s="55">
        <f t="shared" ca="1" si="34"/>
        <v>-34.506469392663178</v>
      </c>
      <c r="X132" s="55">
        <f t="shared" ca="1" si="35"/>
        <v>0</v>
      </c>
      <c r="Y132" s="55">
        <f t="shared" ca="1" si="36"/>
        <v>0</v>
      </c>
      <c r="Z132">
        <f t="shared" ca="1" si="30"/>
        <v>108.42059884501569</v>
      </c>
      <c r="AA132">
        <f t="shared" ca="1" si="37"/>
        <v>205.57621023966897</v>
      </c>
      <c r="AB132">
        <f t="shared" ca="1" si="31"/>
        <v>0</v>
      </c>
      <c r="AC132">
        <f t="shared" ca="1" si="32"/>
        <v>2.9608890273092492E-2</v>
      </c>
      <c r="AD132" s="83">
        <f ca="1"/>
        <v>45101</v>
      </c>
      <c r="AE132" s="55">
        <f t="shared" ca="1" si="41"/>
        <v>45101</v>
      </c>
      <c r="AF132" s="55">
        <f t="shared" ca="1" si="42"/>
        <v>-305.1266729169555</v>
      </c>
      <c r="AG132" s="55">
        <f t="shared" ca="1" si="43"/>
        <v>310.85003230033936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0</v>
      </c>
      <c r="AK132" s="55">
        <f t="shared" ca="1" si="40"/>
        <v>-2.5975218168859273</v>
      </c>
    </row>
    <row r="133" spans="18:37">
      <c r="R133" s="83">
        <f ca="1"/>
        <v>44866</v>
      </c>
      <c r="S133" s="55">
        <f t="shared" ca="1" si="33"/>
        <v>44866</v>
      </c>
      <c r="T133" s="55">
        <f t="shared" ca="1" si="27"/>
        <v>13.115961645159771</v>
      </c>
      <c r="U133" s="55">
        <f t="shared" ca="1" si="28"/>
        <v>3.4050677942365741</v>
      </c>
      <c r="V133" s="55">
        <f t="shared" ca="1" si="29"/>
        <v>0</v>
      </c>
      <c r="W133" s="55">
        <f t="shared" ca="1" si="34"/>
        <v>-34.506469392663178</v>
      </c>
      <c r="X133" s="55">
        <f t="shared" ca="1" si="35"/>
        <v>0</v>
      </c>
      <c r="Y133" s="55">
        <f t="shared" ca="1" si="36"/>
        <v>0</v>
      </c>
      <c r="Z133">
        <f t="shared" ca="1" si="30"/>
        <v>106.12682004870575</v>
      </c>
      <c r="AA133">
        <f t="shared" ca="1" si="37"/>
        <v>205.57621023966897</v>
      </c>
      <c r="AB133">
        <f t="shared" ca="1" si="31"/>
        <v>0</v>
      </c>
      <c r="AC133">
        <f t="shared" ca="1" si="32"/>
        <v>3.1964102443989811E-2</v>
      </c>
      <c r="AD133" s="83">
        <f ca="1"/>
        <v>45102</v>
      </c>
      <c r="AE133" s="55">
        <f t="shared" ca="1" si="41"/>
        <v>45102</v>
      </c>
      <c r="AF133" s="55">
        <f t="shared" ca="1" si="42"/>
        <v>-308.04951747198874</v>
      </c>
      <c r="AG133" s="55">
        <f t="shared" ca="1" si="43"/>
        <v>313.79732317432934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0</v>
      </c>
      <c r="AK133" s="55">
        <f t="shared" ca="1" si="40"/>
        <v>-2.5730754979291852</v>
      </c>
    </row>
    <row r="134" spans="18:37">
      <c r="R134" s="83">
        <f ca="1"/>
        <v>44867</v>
      </c>
      <c r="S134" s="55">
        <f t="shared" ca="1" si="33"/>
        <v>44867</v>
      </c>
      <c r="T134" s="55">
        <f t="shared" ca="1" si="27"/>
        <v>12.933485357349793</v>
      </c>
      <c r="U134" s="55">
        <f t="shared" ca="1" si="28"/>
        <v>3.5875440820465516</v>
      </c>
      <c r="V134" s="55">
        <f t="shared" ca="1" si="29"/>
        <v>0</v>
      </c>
      <c r="W134" s="55">
        <f t="shared" ca="1" si="34"/>
        <v>-34.506469392663178</v>
      </c>
      <c r="X134" s="55">
        <f t="shared" ca="1" si="35"/>
        <v>0</v>
      </c>
      <c r="Y134" s="55">
        <f t="shared" ca="1" si="36"/>
        <v>0</v>
      </c>
      <c r="Z134">
        <f t="shared" ca="1" si="30"/>
        <v>101.77877102901107</v>
      </c>
      <c r="AA134">
        <f t="shared" ca="1" si="37"/>
        <v>205.57621023966897</v>
      </c>
      <c r="AB134">
        <f t="shared" ca="1" si="31"/>
        <v>0</v>
      </c>
      <c r="AC134">
        <f t="shared" ca="1" si="32"/>
        <v>3.451571302338776E-2</v>
      </c>
      <c r="AD134" s="83">
        <f ca="1"/>
        <v>45103</v>
      </c>
      <c r="AE134" s="55">
        <f t="shared" ca="1" si="41"/>
        <v>45103</v>
      </c>
      <c r="AF134" s="55">
        <f t="shared" ca="1" si="42"/>
        <v>-310.73314479111951</v>
      </c>
      <c r="AG134" s="55">
        <f t="shared" ca="1" si="43"/>
        <v>316.50448371493422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0</v>
      </c>
      <c r="AK134" s="55">
        <f t="shared" ca="1" si="40"/>
        <v>-2.5495422764550799</v>
      </c>
    </row>
    <row r="135" spans="18:37">
      <c r="R135" s="83">
        <f ca="1"/>
        <v>44868</v>
      </c>
      <c r="S135" s="55">
        <f t="shared" ca="1" si="33"/>
        <v>44868</v>
      </c>
      <c r="T135" s="55">
        <f t="shared" ca="1" si="27"/>
        <v>12.743856189111998</v>
      </c>
      <c r="U135" s="55">
        <f t="shared" ca="1" si="28"/>
        <v>3.7771732502843478</v>
      </c>
      <c r="V135" s="55">
        <f t="shared" ca="1" si="29"/>
        <v>0</v>
      </c>
      <c r="W135" s="55">
        <f t="shared" ca="1" si="34"/>
        <v>-34.506469392663178</v>
      </c>
      <c r="X135" s="55">
        <f t="shared" ca="1" si="35"/>
        <v>0</v>
      </c>
      <c r="Y135" s="55">
        <f t="shared" ca="1" si="36"/>
        <v>0</v>
      </c>
      <c r="Z135">
        <f t="shared" ca="1" si="30"/>
        <v>101.13353564012037</v>
      </c>
      <c r="AA135">
        <f t="shared" ca="1" si="37"/>
        <v>205.57621023966897</v>
      </c>
      <c r="AB135">
        <f t="shared" ca="1" si="31"/>
        <v>0</v>
      </c>
      <c r="AC135">
        <f t="shared" ca="1" si="32"/>
        <v>3.7226735339396397E-2</v>
      </c>
      <c r="AD135" s="83">
        <f ca="1"/>
        <v>45104</v>
      </c>
      <c r="AE135" s="55">
        <f t="shared" ca="1" si="41"/>
        <v>45104</v>
      </c>
      <c r="AF135" s="55">
        <f t="shared" ca="1" si="42"/>
        <v>-313.41219415219467</v>
      </c>
      <c r="AG135" s="55">
        <f t="shared" ca="1" si="43"/>
        <v>319.20693894266878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0</v>
      </c>
      <c r="AK135" s="55">
        <f t="shared" ca="1" si="40"/>
        <v>-2.5261364097956767</v>
      </c>
    </row>
    <row r="136" spans="18:37">
      <c r="R136" s="83">
        <f ca="1"/>
        <v>44869</v>
      </c>
      <c r="S136" s="55">
        <f t="shared" ca="1" si="33"/>
        <v>44869</v>
      </c>
      <c r="T136" s="55">
        <f t="shared" ca="1" si="27"/>
        <v>12.539691572830812</v>
      </c>
      <c r="U136" s="55">
        <f t="shared" ca="1" si="28"/>
        <v>3.9813378665655339</v>
      </c>
      <c r="V136" s="55">
        <f t="shared" ca="1" si="29"/>
        <v>0</v>
      </c>
      <c r="W136" s="55">
        <f t="shared" ca="1" si="34"/>
        <v>-34.506469392663178</v>
      </c>
      <c r="X136" s="55">
        <f t="shared" ca="1" si="35"/>
        <v>0</v>
      </c>
      <c r="Y136" s="55">
        <f t="shared" ca="1" si="36"/>
        <v>0</v>
      </c>
      <c r="Z136">
        <f t="shared" ca="1" si="30"/>
        <v>101.75452935352349</v>
      </c>
      <c r="AA136">
        <f t="shared" ca="1" si="37"/>
        <v>205.57621023966897</v>
      </c>
      <c r="AB136">
        <f t="shared" ca="1" si="31"/>
        <v>0</v>
      </c>
      <c r="AC136">
        <f t="shared" ca="1" si="32"/>
        <v>4.0210085873021918E-2</v>
      </c>
      <c r="AD136" s="83">
        <f ca="1"/>
        <v>45105</v>
      </c>
      <c r="AE136" s="55">
        <f t="shared" ca="1" si="41"/>
        <v>45105</v>
      </c>
      <c r="AF136" s="55">
        <f t="shared" ca="1" si="42"/>
        <v>-315.98074291265004</v>
      </c>
      <c r="AG136" s="55">
        <f t="shared" ca="1" si="43"/>
        <v>321.79841358647394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0</v>
      </c>
      <c r="AK136" s="55">
        <f t="shared" ca="1" si="40"/>
        <v>-2.5032105264458693</v>
      </c>
    </row>
    <row r="137" spans="18:37">
      <c r="R137" s="83">
        <f ca="1"/>
        <v>44870</v>
      </c>
      <c r="S137" s="55">
        <f t="shared" ca="1" si="33"/>
        <v>44870</v>
      </c>
      <c r="T137" s="55">
        <f t="shared" ca="1" si="27"/>
        <v>12.316406626982562</v>
      </c>
      <c r="U137" s="55">
        <f t="shared" ca="1" si="28"/>
        <v>4.2046228124137839</v>
      </c>
      <c r="V137" s="55">
        <f t="shared" ca="1" si="29"/>
        <v>0</v>
      </c>
      <c r="W137" s="55">
        <f t="shared" ca="1" si="34"/>
        <v>-34.506469392663178</v>
      </c>
      <c r="X137" s="55">
        <f t="shared" ca="1" si="35"/>
        <v>0</v>
      </c>
      <c r="Y137" s="55">
        <f t="shared" ca="1" si="36"/>
        <v>0</v>
      </c>
      <c r="Z137">
        <f t="shared" ca="1" si="30"/>
        <v>107.64095133017997</v>
      </c>
      <c r="AA137">
        <f t="shared" ca="1" si="37"/>
        <v>205.57621023966897</v>
      </c>
      <c r="AB137">
        <f t="shared" ca="1" si="31"/>
        <v>0</v>
      </c>
      <c r="AC137">
        <f t="shared" ca="1" si="32"/>
        <v>4.3545636331977576E-2</v>
      </c>
      <c r="AD137" s="83">
        <f ca="1"/>
        <v>45106</v>
      </c>
      <c r="AE137" s="55">
        <f t="shared" ca="1" si="41"/>
        <v>45106</v>
      </c>
      <c r="AF137" s="55">
        <f t="shared" ca="1" si="42"/>
        <v>-318.54282532388112</v>
      </c>
      <c r="AG137" s="55">
        <f t="shared" ca="1" si="43"/>
        <v>324.38329582397284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0</v>
      </c>
      <c r="AK137" s="55">
        <f t="shared" ca="1" si="40"/>
        <v>-2.4804107001780222</v>
      </c>
    </row>
    <row r="138" spans="18:37">
      <c r="R138" s="83">
        <f ca="1"/>
        <v>44871</v>
      </c>
      <c r="S138" s="55">
        <f t="shared" ca="1" si="33"/>
        <v>44871</v>
      </c>
      <c r="T138" s="55">
        <f t="shared" ca="1" si="27"/>
        <v>12.090831465448613</v>
      </c>
      <c r="U138" s="55">
        <f t="shared" ca="1" si="28"/>
        <v>4.4301979739477346</v>
      </c>
      <c r="V138" s="55">
        <f t="shared" ca="1" si="29"/>
        <v>0</v>
      </c>
      <c r="W138" s="55">
        <f t="shared" ca="1" si="34"/>
        <v>-34.506469392663178</v>
      </c>
      <c r="X138" s="55">
        <f t="shared" ca="1" si="35"/>
        <v>0</v>
      </c>
      <c r="Y138" s="55">
        <f t="shared" ca="1" si="36"/>
        <v>0</v>
      </c>
      <c r="Z138">
        <f t="shared" ca="1" si="30"/>
        <v>109.3251222533338</v>
      </c>
      <c r="AA138">
        <f t="shared" ca="1" si="37"/>
        <v>205.57621023966897</v>
      </c>
      <c r="AB138">
        <f t="shared" ca="1" si="31"/>
        <v>0</v>
      </c>
      <c r="AC138">
        <f t="shared" ca="1" si="32"/>
        <v>4.6988597590189085E-2</v>
      </c>
      <c r="AD138" s="83">
        <f ca="1"/>
        <v>45107</v>
      </c>
      <c r="AE138" s="55">
        <f t="shared" ca="1" si="41"/>
        <v>45107</v>
      </c>
      <c r="AF138" s="55">
        <f t="shared" ca="1" si="42"/>
        <v>-321.09097908997035</v>
      </c>
      <c r="AG138" s="55">
        <f t="shared" ca="1" si="43"/>
        <v>326.95410533151562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0</v>
      </c>
      <c r="AK138" s="55">
        <f t="shared" ca="1" si="40"/>
        <v>-2.457754958724494</v>
      </c>
    </row>
    <row r="139" spans="18:37">
      <c r="R139" s="83">
        <f ca="1"/>
        <v>44872</v>
      </c>
      <c r="S139" s="55">
        <f t="shared" ca="1" si="33"/>
        <v>44872</v>
      </c>
      <c r="T139" s="55">
        <f t="shared" ca="1" si="27"/>
        <v>11.845290025050311</v>
      </c>
      <c r="U139" s="55">
        <f t="shared" ca="1" si="28"/>
        <v>4.6757394143460376</v>
      </c>
      <c r="V139" s="55">
        <f t="shared" ca="1" si="29"/>
        <v>0</v>
      </c>
      <c r="W139" s="55">
        <f t="shared" ca="1" si="34"/>
        <v>-34.506469392663178</v>
      </c>
      <c r="X139" s="55">
        <f t="shared" ca="1" si="35"/>
        <v>0</v>
      </c>
      <c r="Y139" s="55">
        <f t="shared" ca="1" si="36"/>
        <v>0</v>
      </c>
      <c r="Z139">
        <f t="shared" ca="1" si="30"/>
        <v>111.3984505915674</v>
      </c>
      <c r="AA139">
        <f t="shared" ca="1" si="37"/>
        <v>205.57621023966897</v>
      </c>
      <c r="AB139">
        <f t="shared" ca="1" si="31"/>
        <v>0</v>
      </c>
      <c r="AC139">
        <f t="shared" ca="1" si="32"/>
        <v>5.0815282313589762E-2</v>
      </c>
      <c r="AD139" s="83">
        <f ca="1"/>
        <v>45108</v>
      </c>
      <c r="AE139" s="55">
        <f t="shared" ca="1" si="41"/>
        <v>45108</v>
      </c>
      <c r="AF139" s="55">
        <f t="shared" ca="1" si="42"/>
        <v>-323.31577545744204</v>
      </c>
      <c r="AG139" s="55">
        <f t="shared" ca="1" si="43"/>
        <v>329.20035174364915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0</v>
      </c>
      <c r="AK139" s="55">
        <f t="shared" ca="1" si="40"/>
        <v>-2.4363049140626423</v>
      </c>
    </row>
    <row r="140" spans="18:37">
      <c r="R140" s="83">
        <f ca="1"/>
        <v>44873</v>
      </c>
      <c r="S140" s="55">
        <f t="shared" ca="1" si="33"/>
        <v>44873</v>
      </c>
      <c r="T140" s="55">
        <f t="shared" ca="1" si="27"/>
        <v>11.579295580955463</v>
      </c>
      <c r="U140" s="55">
        <f t="shared" ca="1" si="28"/>
        <v>4.9417338584408856</v>
      </c>
      <c r="V140" s="55">
        <f t="shared" ca="1" si="29"/>
        <v>0</v>
      </c>
      <c r="W140" s="55">
        <f t="shared" ca="1" si="34"/>
        <v>-34.506469392663178</v>
      </c>
      <c r="X140" s="55">
        <f t="shared" ca="1" si="35"/>
        <v>0</v>
      </c>
      <c r="Y140" s="55">
        <f t="shared" ca="1" si="36"/>
        <v>0</v>
      </c>
      <c r="Z140">
        <f t="shared" ca="1" si="30"/>
        <v>111.6744678603845</v>
      </c>
      <c r="AA140">
        <f t="shared" ca="1" si="37"/>
        <v>205.57621023966897</v>
      </c>
      <c r="AB140">
        <f t="shared" ca="1" si="31"/>
        <v>0</v>
      </c>
      <c r="AC140">
        <f t="shared" ca="1" si="32"/>
        <v>5.5048112621334855E-2</v>
      </c>
      <c r="AD140" s="83">
        <f ca="1"/>
        <v>45109</v>
      </c>
      <c r="AE140" s="55">
        <f t="shared" ca="1" si="41"/>
        <v>45109</v>
      </c>
      <c r="AF140" s="55">
        <f t="shared" ca="1" si="42"/>
        <v>-325.28946554812597</v>
      </c>
      <c r="AG140" s="55">
        <f t="shared" ca="1" si="43"/>
        <v>331.19454271899713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0</v>
      </c>
      <c r="AK140" s="55">
        <f t="shared" ca="1" si="40"/>
        <v>-2.415804029398573</v>
      </c>
    </row>
    <row r="141" spans="18:37">
      <c r="R141" s="83">
        <f ca="1"/>
        <v>44874</v>
      </c>
      <c r="S141" s="55">
        <f t="shared" ca="1" si="33"/>
        <v>44874</v>
      </c>
      <c r="T141" s="55">
        <f t="shared" ca="1" si="27"/>
        <v>11.30935049346434</v>
      </c>
      <c r="U141" s="55">
        <f t="shared" ca="1" si="28"/>
        <v>5.2116789459320101</v>
      </c>
      <c r="V141" s="55">
        <f t="shared" ca="1" si="29"/>
        <v>0</v>
      </c>
      <c r="W141" s="55">
        <f t="shared" ca="1" si="34"/>
        <v>-34.506469392663178</v>
      </c>
      <c r="X141" s="55">
        <f t="shared" ca="1" si="35"/>
        <v>0</v>
      </c>
      <c r="Y141" s="55">
        <f t="shared" ca="1" si="36"/>
        <v>0</v>
      </c>
      <c r="Z141">
        <f t="shared" ca="1" si="30"/>
        <v>111.99250815402529</v>
      </c>
      <c r="AA141">
        <f t="shared" ca="1" si="37"/>
        <v>205.57621023966897</v>
      </c>
      <c r="AB141">
        <f t="shared" ca="1" si="31"/>
        <v>0</v>
      </c>
      <c r="AC141">
        <f t="shared" ca="1" si="32"/>
        <v>5.9430846529754437E-2</v>
      </c>
      <c r="AD141" s="83">
        <f ca="1"/>
        <v>45110</v>
      </c>
      <c r="AE141" s="55">
        <f t="shared" ca="1" si="41"/>
        <v>45110</v>
      </c>
      <c r="AF141" s="55">
        <f t="shared" ca="1" si="42"/>
        <v>-327.28182759198546</v>
      </c>
      <c r="AG141" s="55">
        <f t="shared" ca="1" si="43"/>
        <v>333.20734686123211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0</v>
      </c>
      <c r="AK141" s="55">
        <f t="shared" ca="1" si="40"/>
        <v>-2.3953619310230589</v>
      </c>
    </row>
    <row r="142" spans="18:37">
      <c r="R142" s="83">
        <f ca="1"/>
        <v>44875</v>
      </c>
      <c r="S142" s="55">
        <f t="shared" ca="1" si="33"/>
        <v>44875</v>
      </c>
      <c r="T142" s="55">
        <f t="shared" ca="1" si="27"/>
        <v>11.014307104997387</v>
      </c>
      <c r="U142" s="55">
        <f t="shared" ca="1" si="28"/>
        <v>5.5067223343989626</v>
      </c>
      <c r="V142" s="55">
        <f t="shared" ca="1" si="29"/>
        <v>0</v>
      </c>
      <c r="W142" s="55">
        <f t="shared" ca="1" si="34"/>
        <v>-34.506469392663178</v>
      </c>
      <c r="X142" s="55">
        <f t="shared" ca="1" si="35"/>
        <v>0</v>
      </c>
      <c r="Y142" s="55">
        <f t="shared" ca="1" si="36"/>
        <v>0</v>
      </c>
      <c r="Z142">
        <f t="shared" ca="1" si="30"/>
        <v>110.63411120176008</v>
      </c>
      <c r="AA142">
        <f t="shared" ca="1" si="37"/>
        <v>205.57621023966897</v>
      </c>
      <c r="AB142">
        <f t="shared" ca="1" si="31"/>
        <v>0</v>
      </c>
      <c r="AC142">
        <f t="shared" ca="1" si="32"/>
        <v>6.4314517811406166E-2</v>
      </c>
      <c r="AD142" s="83">
        <f ca="1"/>
        <v>45111</v>
      </c>
      <c r="AE142" s="55">
        <f t="shared" ca="1" si="41"/>
        <v>45111</v>
      </c>
      <c r="AF142" s="55">
        <f t="shared" ca="1" si="42"/>
        <v>-329.43469469291762</v>
      </c>
      <c r="AG142" s="55">
        <f t="shared" ca="1" si="43"/>
        <v>335.38109180371424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0</v>
      </c>
      <c r="AK142" s="55">
        <f t="shared" ca="1" si="40"/>
        <v>-2.3744840894731016</v>
      </c>
    </row>
    <row r="143" spans="18:37">
      <c r="R143" s="83">
        <f ca="1"/>
        <v>44876</v>
      </c>
      <c r="S143" s="55">
        <f t="shared" ca="1" si="33"/>
        <v>44876</v>
      </c>
      <c r="T143" s="55">
        <f t="shared" ca="1" si="27"/>
        <v>10.699929269264938</v>
      </c>
      <c r="U143" s="55">
        <f t="shared" ca="1" si="28"/>
        <v>5.8211001701314116</v>
      </c>
      <c r="V143" s="55">
        <f t="shared" ca="1" si="29"/>
        <v>0</v>
      </c>
      <c r="W143" s="55">
        <f t="shared" ca="1" si="34"/>
        <v>-34.506469392663178</v>
      </c>
      <c r="X143" s="55">
        <f t="shared" ca="1" si="35"/>
        <v>0</v>
      </c>
      <c r="Y143" s="55">
        <f t="shared" ca="1" si="36"/>
        <v>0</v>
      </c>
      <c r="Z143">
        <f t="shared" ca="1" si="30"/>
        <v>107.56629637239443</v>
      </c>
      <c r="AA143">
        <f t="shared" ca="1" si="37"/>
        <v>205.57621023966897</v>
      </c>
      <c r="AB143">
        <f t="shared" ca="1" si="31"/>
        <v>0</v>
      </c>
      <c r="AC143">
        <f t="shared" ca="1" si="32"/>
        <v>6.961775095148022E-2</v>
      </c>
      <c r="AD143" s="83">
        <f ca="1"/>
        <v>45112</v>
      </c>
      <c r="AE143" s="55">
        <f t="shared" ca="1" si="41"/>
        <v>45112</v>
      </c>
      <c r="AF143" s="55">
        <f t="shared" ca="1" si="42"/>
        <v>-331.743381703311</v>
      </c>
      <c r="AG143" s="55">
        <f t="shared" ca="1" si="43"/>
        <v>337.71112136719563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0</v>
      </c>
      <c r="AK143" s="55">
        <f t="shared" ca="1" si="40"/>
        <v>-2.3531415363850812</v>
      </c>
    </row>
    <row r="144" spans="18:37">
      <c r="R144" s="83">
        <f ca="1"/>
        <v>44877</v>
      </c>
      <c r="S144" s="55">
        <f t="shared" ca="1" si="33"/>
        <v>44877</v>
      </c>
      <c r="T144" s="55">
        <f t="shared" ca="1" si="27"/>
        <v>10.369389733355735</v>
      </c>
      <c r="U144" s="55">
        <f t="shared" ca="1" si="28"/>
        <v>6.1516397060406156</v>
      </c>
      <c r="V144" s="55">
        <f t="shared" ca="1" si="29"/>
        <v>0</v>
      </c>
      <c r="W144" s="55">
        <f t="shared" ca="1" si="34"/>
        <v>-34.506469392663178</v>
      </c>
      <c r="X144" s="55">
        <f t="shared" ca="1" si="35"/>
        <v>0</v>
      </c>
      <c r="Y144" s="55">
        <f t="shared" ca="1" si="36"/>
        <v>0</v>
      </c>
      <c r="Z144">
        <f t="shared" ca="1" si="30"/>
        <v>108.37601237773499</v>
      </c>
      <c r="AA144">
        <f t="shared" ca="1" si="37"/>
        <v>205.57621023966897</v>
      </c>
      <c r="AB144">
        <f t="shared" ca="1" si="31"/>
        <v>0</v>
      </c>
      <c r="AC144">
        <f t="shared" ca="1" si="32"/>
        <v>7.5295490438871668E-2</v>
      </c>
      <c r="AD144" s="83">
        <f ca="1"/>
        <v>45113</v>
      </c>
      <c r="AE144" s="55">
        <f t="shared" ca="1" si="41"/>
        <v>45113</v>
      </c>
      <c r="AF144" s="55">
        <f t="shared" ca="1" si="42"/>
        <v>-333.97696759368864</v>
      </c>
      <c r="AG144" s="55">
        <f t="shared" ca="1" si="43"/>
        <v>339.96570371174982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0</v>
      </c>
      <c r="AK144" s="55">
        <f t="shared" ca="1" si="40"/>
        <v>-2.3321450822085019</v>
      </c>
    </row>
    <row r="145" spans="18:37">
      <c r="R145" s="83">
        <f ca="1"/>
        <v>44878</v>
      </c>
      <c r="S145" s="55">
        <f t="shared" ca="1" si="33"/>
        <v>44878</v>
      </c>
      <c r="T145" s="55">
        <f t="shared" ca="1" si="27"/>
        <v>10.029306592109339</v>
      </c>
      <c r="U145" s="55">
        <f t="shared" ca="1" si="28"/>
        <v>6.4917228472870123</v>
      </c>
      <c r="V145" s="55">
        <f t="shared" ca="1" si="29"/>
        <v>0</v>
      </c>
      <c r="W145" s="55">
        <f t="shared" ca="1" si="34"/>
        <v>-34.506469392663178</v>
      </c>
      <c r="X145" s="55">
        <f t="shared" ca="1" si="35"/>
        <v>0</v>
      </c>
      <c r="Y145" s="55">
        <f t="shared" ca="1" si="36"/>
        <v>0</v>
      </c>
      <c r="Z145">
        <f t="shared" ca="1" si="30"/>
        <v>107.57919449535234</v>
      </c>
      <c r="AA145">
        <f t="shared" ca="1" si="37"/>
        <v>205.57621023966897</v>
      </c>
      <c r="AB145">
        <f t="shared" ca="1" si="31"/>
        <v>0</v>
      </c>
      <c r="AC145">
        <f t="shared" ca="1" si="32"/>
        <v>8.123674993495851E-2</v>
      </c>
      <c r="AD145" s="83">
        <f ca="1"/>
        <v>45114</v>
      </c>
      <c r="AE145" s="55">
        <f t="shared" ca="1" si="41"/>
        <v>45114</v>
      </c>
      <c r="AF145" s="55">
        <f t="shared" ca="1" si="42"/>
        <v>-336.13344395211283</v>
      </c>
      <c r="AG145" s="55">
        <f t="shared" ca="1" si="43"/>
        <v>342.1428218599923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0</v>
      </c>
      <c r="AK145" s="55">
        <f t="shared" ca="1" si="40"/>
        <v>-2.3115032923902223</v>
      </c>
    </row>
    <row r="146" spans="18:37">
      <c r="R146" s="83">
        <f ca="1"/>
        <v>44879</v>
      </c>
      <c r="S146" s="55">
        <f t="shared" ca="1" si="33"/>
        <v>44879</v>
      </c>
      <c r="T146" s="55">
        <f t="shared" ref="T146:T209" ca="1" si="45">VLOOKUP(S146,ModelOutputs,2,FALSE)</f>
        <v>9.6732169093131866</v>
      </c>
      <c r="U146" s="55">
        <f t="shared" ref="U146:U209" ca="1" si="46">VLOOKUP(S146,ModelOutputs,7,FALSE)</f>
        <v>6.847812530083166</v>
      </c>
      <c r="V146" s="55">
        <f t="shared" ref="V146:V209" ca="1" si="47">VLOOKUP(S146,ModelOutputs,6,FALSE)</f>
        <v>0</v>
      </c>
      <c r="W146" s="55">
        <f t="shared" ca="1" si="34"/>
        <v>-34.506469392663178</v>
      </c>
      <c r="X146" s="55">
        <f t="shared" ca="1" si="35"/>
        <v>0</v>
      </c>
      <c r="Y146" s="55">
        <f t="shared" ca="1" si="36"/>
        <v>0</v>
      </c>
      <c r="Z146">
        <f t="shared" ref="Z146:Z209" ca="1" si="48">VLOOKUP(S146,ModelOutputs,10,FALSE)*AWC</f>
        <v>107.07393948874787</v>
      </c>
      <c r="AA146">
        <f t="shared" ca="1" si="37"/>
        <v>205.57621023966897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8.7555814049392153E-2</v>
      </c>
      <c r="AD146" s="83">
        <f ca="1"/>
        <v>45115</v>
      </c>
      <c r="AE146" s="55">
        <f t="shared" ca="1" si="41"/>
        <v>45115</v>
      </c>
      <c r="AF146" s="55">
        <f t="shared" ca="1" si="42"/>
        <v>-338.12480125298021</v>
      </c>
      <c r="AG146" s="55">
        <f t="shared" ca="1" si="43"/>
        <v>344.15413984378864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0</v>
      </c>
      <c r="AK146" s="55">
        <f t="shared" ca="1" si="40"/>
        <v>-2.2915426094612439</v>
      </c>
    </row>
    <row r="147" spans="18:37">
      <c r="R147" s="83">
        <f ca="1"/>
        <v>44880</v>
      </c>
      <c r="S147" s="55">
        <f t="shared" ref="S147:S210" ca="1" si="51">IF(R147&gt;1,R147,"")</f>
        <v>44880</v>
      </c>
      <c r="T147" s="55">
        <f t="shared" ca="1" si="45"/>
        <v>9.2843998956821459</v>
      </c>
      <c r="U147" s="55">
        <f t="shared" ca="1" si="46"/>
        <v>7.2366295437142076</v>
      </c>
      <c r="V147" s="55">
        <f t="shared" ca="1" si="47"/>
        <v>0</v>
      </c>
      <c r="W147" s="55">
        <f t="shared" ref="W147:W210" ca="1" si="52">-VLOOKUP(S147,ModelOutputs,9,FALSE)+W146</f>
        <v>-34.506469392663178</v>
      </c>
      <c r="X147" s="55">
        <f t="shared" ref="X147:X210" ca="1" si="53">VLOOKUP(S147,ModelOutputs,5,FALSE)+X146</f>
        <v>0</v>
      </c>
      <c r="Y147" s="55">
        <f t="shared" ref="Y147:Y210" ca="1" si="54">VLOOKUP(S147,ModelOutputs,4,FALSE)+Y146</f>
        <v>0</v>
      </c>
      <c r="Z147">
        <f t="shared" ca="1" si="48"/>
        <v>104.56952250949293</v>
      </c>
      <c r="AA147">
        <f t="shared" ref="AA147:AA210" ca="1" si="55">VLOOKUP(S147,ModelOutputs,11,FALSE)+AA146</f>
        <v>205.57621023966897</v>
      </c>
      <c r="AB147">
        <f t="shared" ca="1" si="49"/>
        <v>0</v>
      </c>
      <c r="AC147">
        <f t="shared" ca="1" si="50"/>
        <v>9.4558593425244419E-2</v>
      </c>
      <c r="AD147" s="83">
        <f ca="1"/>
        <v>45116</v>
      </c>
      <c r="AE147" s="55">
        <f t="shared" ca="1" si="41"/>
        <v>45116</v>
      </c>
      <c r="AF147" s="55">
        <f t="shared" ca="1" si="42"/>
        <v>-340.12465979045282</v>
      </c>
      <c r="AG147" s="55">
        <f t="shared" ca="1" si="43"/>
        <v>346.17391253996993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0</v>
      </c>
      <c r="AK147" s="55">
        <f t="shared" ref="AK147:AK210" ca="1" si="58">VLOOKUP(AE147,ModelOutputs,4,FALSE)+AK146</f>
        <v>-2.2716284507525977</v>
      </c>
    </row>
    <row r="148" spans="18:37">
      <c r="R148" s="83">
        <f ca="1"/>
        <v>44881</v>
      </c>
      <c r="S148" s="55">
        <f t="shared" ca="1" si="51"/>
        <v>44881</v>
      </c>
      <c r="T148" s="55">
        <f t="shared" ca="1" si="45"/>
        <v>8.8605699032406022</v>
      </c>
      <c r="U148" s="55">
        <f t="shared" ca="1" si="46"/>
        <v>7.6604595361557521</v>
      </c>
      <c r="V148" s="55">
        <f t="shared" ca="1" si="47"/>
        <v>0</v>
      </c>
      <c r="W148" s="55">
        <f t="shared" ca="1" si="52"/>
        <v>-34.506469392663178</v>
      </c>
      <c r="X148" s="55">
        <f t="shared" ca="1" si="53"/>
        <v>0</v>
      </c>
      <c r="Y148" s="55">
        <f t="shared" ca="1" si="54"/>
        <v>0</v>
      </c>
      <c r="Z148">
        <f t="shared" ca="1" si="48"/>
        <v>106.47961674191714</v>
      </c>
      <c r="AA148">
        <f t="shared" ca="1" si="55"/>
        <v>205.57621023966897</v>
      </c>
      <c r="AB148">
        <f t="shared" ca="1" si="49"/>
        <v>0</v>
      </c>
      <c r="AC148">
        <f t="shared" ca="1" si="50"/>
        <v>0.10230020958566284</v>
      </c>
      <c r="AD148" s="83">
        <f ca="1"/>
        <v>45117</v>
      </c>
      <c r="AE148" s="55">
        <f t="shared" ca="1" si="41"/>
        <v>45117</v>
      </c>
      <c r="AF148" s="55">
        <f t="shared" ca="1" si="42"/>
        <v>-341.84285754292995</v>
      </c>
      <c r="AG148" s="55">
        <f t="shared" ca="1" si="43"/>
        <v>347.91090967266604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0</v>
      </c>
      <c r="AK148" s="55">
        <f t="shared" ca="1" si="58"/>
        <v>-2.2528290705335987</v>
      </c>
    </row>
    <row r="149" spans="18:37">
      <c r="R149" s="83">
        <f ca="1"/>
        <v>44882</v>
      </c>
      <c r="S149" s="55">
        <f t="shared" ca="1" si="51"/>
        <v>44882</v>
      </c>
      <c r="T149" s="55">
        <f t="shared" ca="1" si="45"/>
        <v>8.4304067735487376</v>
      </c>
      <c r="U149" s="55">
        <f t="shared" ca="1" si="46"/>
        <v>8.0906226658476168</v>
      </c>
      <c r="V149" s="55">
        <f t="shared" ca="1" si="47"/>
        <v>0</v>
      </c>
      <c r="W149" s="55">
        <f t="shared" ca="1" si="52"/>
        <v>-34.506469392663178</v>
      </c>
      <c r="X149" s="55">
        <f t="shared" ca="1" si="53"/>
        <v>0</v>
      </c>
      <c r="Y149" s="55">
        <f t="shared" ca="1" si="54"/>
        <v>0</v>
      </c>
      <c r="Z149">
        <f t="shared" ca="1" si="48"/>
        <v>104.21219730846371</v>
      </c>
      <c r="AA149">
        <f t="shared" ca="1" si="55"/>
        <v>205.57621023966897</v>
      </c>
      <c r="AB149">
        <f t="shared" ca="1" si="49"/>
        <v>0</v>
      </c>
      <c r="AC149">
        <f t="shared" ca="1" si="50"/>
        <v>0.11025782455307298</v>
      </c>
      <c r="AD149" s="83">
        <f ca="1"/>
        <v>45118</v>
      </c>
      <c r="AE149" s="55">
        <f t="shared" ref="AE149:AE212" ca="1" si="59">IF(AD149&gt;1,AD149,"")</f>
        <v>45118</v>
      </c>
      <c r="AF149" s="55">
        <f t="shared" ref="AF149:AF212" ca="1" si="60">VLOOKUP(AE149,ModelOutputs,2,FALSE)</f>
        <v>-343.39719282442218</v>
      </c>
      <c r="AG149" s="55">
        <f t="shared" ref="AG149:AG212" ca="1" si="61">VLOOKUP(AE149,ModelOutputs,7,FALSE)</f>
        <v>349.48335955606382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0</v>
      </c>
      <c r="AK149" s="55">
        <f t="shared" ca="1" si="58"/>
        <v>-2.2347144686280425</v>
      </c>
    </row>
    <row r="150" spans="18:37">
      <c r="R150" s="83">
        <f ca="1"/>
        <v>44883</v>
      </c>
      <c r="S150" s="55">
        <f t="shared" ca="1" si="51"/>
        <v>44883</v>
      </c>
      <c r="T150" s="55">
        <f t="shared" ca="1" si="45"/>
        <v>7.9950101513098595</v>
      </c>
      <c r="U150" s="55">
        <f t="shared" ca="1" si="46"/>
        <v>8.5260192880864949</v>
      </c>
      <c r="V150" s="55">
        <f t="shared" ca="1" si="47"/>
        <v>0</v>
      </c>
      <c r="W150" s="55">
        <f t="shared" ca="1" si="52"/>
        <v>-34.506469392663178</v>
      </c>
      <c r="X150" s="55">
        <f t="shared" ca="1" si="53"/>
        <v>0</v>
      </c>
      <c r="Y150" s="55">
        <f t="shared" ca="1" si="54"/>
        <v>0</v>
      </c>
      <c r="Z150">
        <f t="shared" ca="1" si="48"/>
        <v>102.05072860023698</v>
      </c>
      <c r="AA150">
        <f t="shared" ca="1" si="55"/>
        <v>205.57621023966897</v>
      </c>
      <c r="AB150">
        <f t="shared" ca="1" si="49"/>
        <v>0</v>
      </c>
      <c r="AC150">
        <f t="shared" ca="1" si="50"/>
        <v>0.11840006839721112</v>
      </c>
      <c r="AD150" s="83">
        <f ca="1"/>
        <v>45119</v>
      </c>
      <c r="AE150" s="55">
        <f t="shared" ca="1" si="59"/>
        <v>45119</v>
      </c>
      <c r="AF150" s="55">
        <f t="shared" ca="1" si="60"/>
        <v>-345.01975042332595</v>
      </c>
      <c r="AG150" s="55">
        <f t="shared" ca="1" si="61"/>
        <v>351.12417628493148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0</v>
      </c>
      <c r="AK150" s="55">
        <f t="shared" ca="1" si="58"/>
        <v>-2.2164553386641197</v>
      </c>
    </row>
    <row r="151" spans="18:37">
      <c r="R151" s="83">
        <f ca="1"/>
        <v>44884</v>
      </c>
      <c r="S151" s="55">
        <f t="shared" ca="1" si="51"/>
        <v>44884</v>
      </c>
      <c r="T151" s="55">
        <f t="shared" ca="1" si="45"/>
        <v>7.5391193702191348</v>
      </c>
      <c r="U151" s="55">
        <f t="shared" ca="1" si="46"/>
        <v>8.9819100691772196</v>
      </c>
      <c r="V151" s="55">
        <f t="shared" ca="1" si="47"/>
        <v>0</v>
      </c>
      <c r="W151" s="55">
        <f t="shared" ca="1" si="52"/>
        <v>-34.506469392663178</v>
      </c>
      <c r="X151" s="55">
        <f t="shared" ca="1" si="53"/>
        <v>0</v>
      </c>
      <c r="Y151" s="55">
        <f t="shared" ca="1" si="54"/>
        <v>0</v>
      </c>
      <c r="Z151">
        <f t="shared" ca="1" si="48"/>
        <v>98.888126428526917</v>
      </c>
      <c r="AA151">
        <f t="shared" ca="1" si="55"/>
        <v>205.57621023966897</v>
      </c>
      <c r="AB151">
        <f t="shared" ca="1" si="49"/>
        <v>0</v>
      </c>
      <c r="AC151">
        <f t="shared" ca="1" si="50"/>
        <v>0.1270046280894066</v>
      </c>
      <c r="AD151" s="83">
        <f ca="1"/>
        <v>45120</v>
      </c>
      <c r="AE151" s="55">
        <f t="shared" ca="1" si="59"/>
        <v>45120</v>
      </c>
      <c r="AF151" s="55">
        <f t="shared" ca="1" si="60"/>
        <v>-346.6672895799183</v>
      </c>
      <c r="AG151" s="55">
        <f t="shared" ca="1" si="61"/>
        <v>352.78997622708744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0</v>
      </c>
      <c r="AK151" s="55">
        <f t="shared" ca="1" si="58"/>
        <v>-2.1981945531005431</v>
      </c>
    </row>
    <row r="152" spans="18:37">
      <c r="R152" s="83">
        <f ca="1"/>
        <v>44885</v>
      </c>
      <c r="S152" s="55">
        <f t="shared" ca="1" si="51"/>
        <v>44885</v>
      </c>
      <c r="T152" s="55">
        <f t="shared" ca="1" si="45"/>
        <v>7.0385309485856169</v>
      </c>
      <c r="U152" s="55">
        <f t="shared" ca="1" si="46"/>
        <v>9.4824984908107375</v>
      </c>
      <c r="V152" s="55">
        <f t="shared" ca="1" si="47"/>
        <v>0</v>
      </c>
      <c r="W152" s="55">
        <f t="shared" ca="1" si="52"/>
        <v>-34.506469392663178</v>
      </c>
      <c r="X152" s="55">
        <f t="shared" ca="1" si="53"/>
        <v>0</v>
      </c>
      <c r="Y152" s="55">
        <f t="shared" ca="1" si="54"/>
        <v>0</v>
      </c>
      <c r="Z152">
        <f t="shared" ca="1" si="48"/>
        <v>97.490292697097374</v>
      </c>
      <c r="AA152">
        <f t="shared" ca="1" si="55"/>
        <v>205.57621023966897</v>
      </c>
      <c r="AB152">
        <f t="shared" ca="1" si="49"/>
        <v>0</v>
      </c>
      <c r="AC152">
        <f t="shared" ca="1" si="50"/>
        <v>0.13652787721461185</v>
      </c>
      <c r="AD152" s="83">
        <f ca="1"/>
        <v>45121</v>
      </c>
      <c r="AE152" s="55">
        <f t="shared" ca="1" si="59"/>
        <v>45121</v>
      </c>
      <c r="AF152" s="55">
        <f t="shared" ca="1" si="60"/>
        <v>-348.14213449354094</v>
      </c>
      <c r="AG152" s="55">
        <f t="shared" ca="1" si="61"/>
        <v>354.28235294117644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0</v>
      </c>
      <c r="AK152" s="55">
        <f t="shared" ca="1" si="58"/>
        <v>-2.1806627526341504</v>
      </c>
    </row>
    <row r="153" spans="18:37">
      <c r="R153" s="83">
        <f ca="1"/>
        <v>44886</v>
      </c>
      <c r="S153" s="55">
        <f t="shared" ca="1" si="51"/>
        <v>44886</v>
      </c>
      <c r="T153" s="55">
        <f t="shared" ca="1" si="45"/>
        <v>6.5081297726554386</v>
      </c>
      <c r="U153" s="55">
        <f t="shared" ca="1" si="46"/>
        <v>10.012899666740916</v>
      </c>
      <c r="V153" s="55">
        <f t="shared" ca="1" si="47"/>
        <v>0</v>
      </c>
      <c r="W153" s="55">
        <f t="shared" ca="1" si="52"/>
        <v>-34.506469392663178</v>
      </c>
      <c r="X153" s="55">
        <f t="shared" ca="1" si="53"/>
        <v>0</v>
      </c>
      <c r="Y153" s="55">
        <f t="shared" ca="1" si="54"/>
        <v>0</v>
      </c>
      <c r="Z153">
        <f t="shared" ca="1" si="48"/>
        <v>97.232536087361311</v>
      </c>
      <c r="AA153">
        <f t="shared" ca="1" si="55"/>
        <v>205.57621023966897</v>
      </c>
      <c r="AB153">
        <f t="shared" ca="1" si="49"/>
        <v>0</v>
      </c>
      <c r="AC153">
        <f t="shared" ca="1" si="50"/>
        <v>0.14668347192131523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44887</v>
      </c>
      <c r="S154" s="55">
        <f t="shared" ca="1" si="51"/>
        <v>44887</v>
      </c>
      <c r="T154" s="55">
        <f t="shared" ca="1" si="45"/>
        <v>5.9369407467100359</v>
      </c>
      <c r="U154" s="55">
        <f t="shared" ca="1" si="46"/>
        <v>10.584088692686318</v>
      </c>
      <c r="V154" s="55">
        <f t="shared" ca="1" si="47"/>
        <v>0</v>
      </c>
      <c r="W154" s="55">
        <f t="shared" ca="1" si="52"/>
        <v>-34.506469392663178</v>
      </c>
      <c r="X154" s="55">
        <f t="shared" ca="1" si="53"/>
        <v>0</v>
      </c>
      <c r="Y154" s="55">
        <f t="shared" ca="1" si="54"/>
        <v>0</v>
      </c>
      <c r="Z154">
        <f t="shared" ca="1" si="48"/>
        <v>99.034921403736647</v>
      </c>
      <c r="AA154">
        <f t="shared" ca="1" si="55"/>
        <v>205.57621023966897</v>
      </c>
      <c r="AB154">
        <f t="shared" ca="1" si="49"/>
        <v>0</v>
      </c>
      <c r="AC154">
        <f t="shared" ca="1" si="50"/>
        <v>0.15767148702125303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44888</v>
      </c>
      <c r="S155" s="55">
        <f t="shared" ca="1" si="51"/>
        <v>44888</v>
      </c>
      <c r="T155" s="55">
        <f t="shared" ca="1" si="45"/>
        <v>146.60645737095243</v>
      </c>
      <c r="U155" s="55">
        <f t="shared" ca="1" si="46"/>
        <v>11.199331488767418</v>
      </c>
      <c r="V155" s="55">
        <f t="shared" ca="1" si="47"/>
        <v>141.2847594203235</v>
      </c>
      <c r="W155" s="55">
        <f t="shared" ca="1" si="52"/>
        <v>-34.506469392663178</v>
      </c>
      <c r="X155" s="55">
        <f t="shared" ca="1" si="53"/>
        <v>0</v>
      </c>
      <c r="Y155" s="55">
        <f t="shared" ca="1" si="54"/>
        <v>0</v>
      </c>
      <c r="Z155">
        <f t="shared" ca="1" si="48"/>
        <v>98.437921630417179</v>
      </c>
      <c r="AA155">
        <f t="shared" ca="1" si="55"/>
        <v>205.57621023966897</v>
      </c>
      <c r="AB155">
        <f t="shared" ca="1" si="49"/>
        <v>0</v>
      </c>
      <c r="AC155">
        <f t="shared" ca="1" si="50"/>
        <v>0.16953978418344495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44889</v>
      </c>
      <c r="S156" s="55">
        <f t="shared" ca="1" si="51"/>
        <v>44889</v>
      </c>
      <c r="T156" s="55">
        <f t="shared" ca="1" si="45"/>
        <v>145.96803879111843</v>
      </c>
      <c r="U156" s="55">
        <f t="shared" ca="1" si="46"/>
        <v>11.837750068601403</v>
      </c>
      <c r="V156" s="55">
        <f t="shared" ca="1" si="47"/>
        <v>0</v>
      </c>
      <c r="W156" s="55">
        <f t="shared" ca="1" si="52"/>
        <v>-34.506469392663178</v>
      </c>
      <c r="X156" s="55">
        <f t="shared" ca="1" si="53"/>
        <v>0</v>
      </c>
      <c r="Y156" s="55">
        <f t="shared" ca="1" si="54"/>
        <v>0</v>
      </c>
      <c r="Z156">
        <f t="shared" ca="1" si="48"/>
        <v>97.112963861987282</v>
      </c>
      <c r="AA156">
        <f t="shared" ca="1" si="55"/>
        <v>205.57621023966897</v>
      </c>
      <c r="AB156">
        <f t="shared" ca="1" si="49"/>
        <v>0</v>
      </c>
      <c r="AC156">
        <f t="shared" ca="1" si="50"/>
        <v>0.18186257496776517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44890</v>
      </c>
      <c r="S157" s="55">
        <f t="shared" ca="1" si="51"/>
        <v>44890</v>
      </c>
      <c r="T157" s="55">
        <f t="shared" ca="1" si="45"/>
        <v>145.25454335502329</v>
      </c>
      <c r="U157" s="55">
        <f t="shared" ca="1" si="46"/>
        <v>12.551245504696544</v>
      </c>
      <c r="V157" s="55">
        <f t="shared" ca="1" si="47"/>
        <v>0</v>
      </c>
      <c r="W157" s="55">
        <f t="shared" ca="1" si="52"/>
        <v>-34.506469392663178</v>
      </c>
      <c r="X157" s="55">
        <f t="shared" ca="1" si="53"/>
        <v>0</v>
      </c>
      <c r="Y157" s="55">
        <f t="shared" ca="1" si="54"/>
        <v>0</v>
      </c>
      <c r="Z157">
        <f t="shared" ca="1" si="48"/>
        <v>95.877593084870639</v>
      </c>
      <c r="AA157">
        <f t="shared" ca="1" si="55"/>
        <v>205.57621023966897</v>
      </c>
      <c r="AB157">
        <f t="shared" ca="1" si="49"/>
        <v>0</v>
      </c>
      <c r="AC157">
        <f t="shared" ca="1" si="50"/>
        <v>0.19560994276149166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44891</v>
      </c>
      <c r="S158" s="55">
        <f t="shared" ca="1" si="51"/>
        <v>44891</v>
      </c>
      <c r="T158" s="55">
        <f t="shared" ca="1" si="45"/>
        <v>144.49851460887157</v>
      </c>
      <c r="U158" s="55">
        <f t="shared" ca="1" si="46"/>
        <v>13.307274250848243</v>
      </c>
      <c r="V158" s="55">
        <f t="shared" ca="1" si="47"/>
        <v>0</v>
      </c>
      <c r="W158" s="55">
        <f t="shared" ca="1" si="52"/>
        <v>-34.506469392663178</v>
      </c>
      <c r="X158" s="55">
        <f t="shared" ca="1" si="53"/>
        <v>0</v>
      </c>
      <c r="Y158" s="55">
        <f t="shared" ca="1" si="54"/>
        <v>0</v>
      </c>
      <c r="Z158">
        <f t="shared" ca="1" si="48"/>
        <v>93.764568230246667</v>
      </c>
      <c r="AA158">
        <f t="shared" ca="1" si="55"/>
        <v>205.57621023966897</v>
      </c>
      <c r="AB158">
        <f t="shared" ca="1" si="49"/>
        <v>0</v>
      </c>
      <c r="AC158">
        <f t="shared" ca="1" si="50"/>
        <v>0.21011158746925818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44892</v>
      </c>
      <c r="S159" s="55">
        <f t="shared" ca="1" si="51"/>
        <v>44892</v>
      </c>
      <c r="T159" s="55">
        <f t="shared" ca="1" si="45"/>
        <v>143.72854727288785</v>
      </c>
      <c r="U159" s="55">
        <f t="shared" ca="1" si="46"/>
        <v>14.077241586831963</v>
      </c>
      <c r="V159" s="55">
        <f t="shared" ca="1" si="47"/>
        <v>0</v>
      </c>
      <c r="W159" s="55">
        <f t="shared" ca="1" si="52"/>
        <v>-34.506469392663178</v>
      </c>
      <c r="X159" s="55">
        <f t="shared" ca="1" si="53"/>
        <v>0</v>
      </c>
      <c r="Y159" s="55">
        <f t="shared" ca="1" si="54"/>
        <v>0</v>
      </c>
      <c r="Z159">
        <f t="shared" ca="1" si="48"/>
        <v>93.980552636142249</v>
      </c>
      <c r="AA159">
        <f t="shared" ca="1" si="55"/>
        <v>205.57621023966897</v>
      </c>
      <c r="AB159">
        <f t="shared" ca="1" si="49"/>
        <v>0</v>
      </c>
      <c r="AC159">
        <f t="shared" ca="1" si="50"/>
        <v>0.22477489685377919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44893</v>
      </c>
      <c r="S160" s="55">
        <f t="shared" ca="1" si="51"/>
        <v>44893</v>
      </c>
      <c r="T160" s="55">
        <f t="shared" ca="1" si="45"/>
        <v>142.92507135435505</v>
      </c>
      <c r="U160" s="55">
        <f t="shared" ca="1" si="46"/>
        <v>14.880717505364755</v>
      </c>
      <c r="V160" s="55">
        <f t="shared" ca="1" si="47"/>
        <v>0</v>
      </c>
      <c r="W160" s="55">
        <f t="shared" ca="1" si="52"/>
        <v>-34.506469392663178</v>
      </c>
      <c r="X160" s="55">
        <f t="shared" ca="1" si="53"/>
        <v>0</v>
      </c>
      <c r="Y160" s="55">
        <f t="shared" ca="1" si="54"/>
        <v>0</v>
      </c>
      <c r="Z160">
        <f t="shared" ca="1" si="48"/>
        <v>96.570759272503679</v>
      </c>
      <c r="AA160">
        <f t="shared" ca="1" si="55"/>
        <v>205.57621023966897</v>
      </c>
      <c r="AB160">
        <f t="shared" ca="1" si="49"/>
        <v>0</v>
      </c>
      <c r="AC160">
        <f t="shared" ca="1" si="50"/>
        <v>0.23992676663998364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44894</v>
      </c>
      <c r="S161" s="55">
        <f t="shared" ca="1" si="51"/>
        <v>44894</v>
      </c>
      <c r="T161" s="55">
        <f t="shared" ca="1" si="45"/>
        <v>142.07179123799278</v>
      </c>
      <c r="U161" s="55">
        <f t="shared" ca="1" si="46"/>
        <v>15.733997621727033</v>
      </c>
      <c r="V161" s="55">
        <f t="shared" ca="1" si="47"/>
        <v>0</v>
      </c>
      <c r="W161" s="55">
        <f t="shared" ca="1" si="52"/>
        <v>-34.506469392663178</v>
      </c>
      <c r="X161" s="55">
        <f t="shared" ca="1" si="53"/>
        <v>0</v>
      </c>
      <c r="Y161" s="55">
        <f t="shared" ca="1" si="54"/>
        <v>0</v>
      </c>
      <c r="Z161">
        <f t="shared" ca="1" si="48"/>
        <v>95.276419613275053</v>
      </c>
      <c r="AA161">
        <f t="shared" ca="1" si="55"/>
        <v>205.57621023966897</v>
      </c>
      <c r="AB161">
        <f t="shared" ca="1" si="49"/>
        <v>0</v>
      </c>
      <c r="AC161">
        <f t="shared" ca="1" si="50"/>
        <v>0.25581460152408597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44895</v>
      </c>
      <c r="S162" s="55">
        <f t="shared" ca="1" si="51"/>
        <v>44895</v>
      </c>
      <c r="T162" s="55">
        <f t="shared" ca="1" si="45"/>
        <v>141.15106251570489</v>
      </c>
      <c r="U162" s="55">
        <f t="shared" ca="1" si="46"/>
        <v>16.654726344014918</v>
      </c>
      <c r="V162" s="55">
        <f t="shared" ca="1" si="47"/>
        <v>0</v>
      </c>
      <c r="W162" s="55">
        <f t="shared" ca="1" si="52"/>
        <v>-34.506469392663178</v>
      </c>
      <c r="X162" s="55">
        <f t="shared" ca="1" si="53"/>
        <v>0</v>
      </c>
      <c r="Y162" s="55">
        <f t="shared" ca="1" si="54"/>
        <v>0</v>
      </c>
      <c r="Z162">
        <f t="shared" ca="1" si="48"/>
        <v>94.362721879855911</v>
      </c>
      <c r="AA162">
        <f t="shared" ca="1" si="55"/>
        <v>205.57621023966897</v>
      </c>
      <c r="AB162">
        <f t="shared" ca="1" si="49"/>
        <v>0</v>
      </c>
      <c r="AC162">
        <f t="shared" ca="1" si="50"/>
        <v>0.27268609235567343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44896</v>
      </c>
      <c r="S163" s="55">
        <f t="shared" ca="1" si="51"/>
        <v>44896</v>
      </c>
      <c r="T163" s="55">
        <f t="shared" ca="1" si="45"/>
        <v>140.16043880286296</v>
      </c>
      <c r="U163" s="55">
        <f t="shared" ca="1" si="46"/>
        <v>17.645350056856863</v>
      </c>
      <c r="V163" s="55">
        <f t="shared" ca="1" si="47"/>
        <v>0</v>
      </c>
      <c r="W163" s="55">
        <f t="shared" ca="1" si="52"/>
        <v>-34.506469392663178</v>
      </c>
      <c r="X163" s="55">
        <f t="shared" ca="1" si="53"/>
        <v>0</v>
      </c>
      <c r="Y163" s="55">
        <f t="shared" ca="1" si="54"/>
        <v>0</v>
      </c>
      <c r="Z163">
        <f t="shared" ca="1" si="48"/>
        <v>91.33347501737552</v>
      </c>
      <c r="AA163">
        <f t="shared" ca="1" si="55"/>
        <v>205.57621023966897</v>
      </c>
      <c r="AB163">
        <f t="shared" ca="1" si="49"/>
        <v>0</v>
      </c>
      <c r="AC163">
        <f t="shared" ca="1" si="50"/>
        <v>0.29048430786198065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44897</v>
      </c>
      <c r="S164" s="55">
        <f t="shared" ca="1" si="51"/>
        <v>44897</v>
      </c>
      <c r="T164" s="55">
        <f t="shared" ca="1" si="45"/>
        <v>139.0794004919955</v>
      </c>
      <c r="U164" s="55">
        <f t="shared" ca="1" si="46"/>
        <v>18.726388367724329</v>
      </c>
      <c r="V164" s="55">
        <f t="shared" ca="1" si="47"/>
        <v>0</v>
      </c>
      <c r="W164" s="55">
        <f t="shared" ca="1" si="52"/>
        <v>-34.506469392663178</v>
      </c>
      <c r="X164" s="55">
        <f t="shared" ca="1" si="53"/>
        <v>0</v>
      </c>
      <c r="Y164" s="55">
        <f t="shared" ca="1" si="54"/>
        <v>0</v>
      </c>
      <c r="Z164">
        <f t="shared" ca="1" si="48"/>
        <v>95.310519955340865</v>
      </c>
      <c r="AA164">
        <f t="shared" ca="1" si="55"/>
        <v>205.57621023966897</v>
      </c>
      <c r="AB164">
        <f t="shared" ca="1" si="49"/>
        <v>0</v>
      </c>
      <c r="AC164">
        <f t="shared" ca="1" si="50"/>
        <v>0.30944875402623506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44898</v>
      </c>
      <c r="S165" s="55">
        <f t="shared" ca="1" si="51"/>
        <v>44898</v>
      </c>
      <c r="T165" s="55">
        <f t="shared" ca="1" si="45"/>
        <v>137.91235571140047</v>
      </c>
      <c r="U165" s="55">
        <f t="shared" ca="1" si="46"/>
        <v>19.893433148319364</v>
      </c>
      <c r="V165" s="55">
        <f t="shared" ca="1" si="47"/>
        <v>0</v>
      </c>
      <c r="W165" s="55">
        <f t="shared" ca="1" si="52"/>
        <v>-34.506469392663178</v>
      </c>
      <c r="X165" s="55">
        <f t="shared" ca="1" si="53"/>
        <v>0</v>
      </c>
      <c r="Y165" s="55">
        <f t="shared" ca="1" si="54"/>
        <v>0</v>
      </c>
      <c r="Z165">
        <f t="shared" ca="1" si="48"/>
        <v>92.338479633602219</v>
      </c>
      <c r="AA165">
        <f t="shared" ca="1" si="55"/>
        <v>205.57621023966897</v>
      </c>
      <c r="AB165">
        <f t="shared" ca="1" si="49"/>
        <v>0</v>
      </c>
      <c r="AC165">
        <f t="shared" ca="1" si="50"/>
        <v>0.32934687278136138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44899</v>
      </c>
      <c r="S166" s="55">
        <f t="shared" ca="1" si="51"/>
        <v>44899</v>
      </c>
      <c r="T166" s="55">
        <f t="shared" ca="1" si="45"/>
        <v>136.67862918103947</v>
      </c>
      <c r="U166" s="55">
        <f t="shared" ca="1" si="46"/>
        <v>21.127159678680353</v>
      </c>
      <c r="V166" s="55">
        <f t="shared" ca="1" si="47"/>
        <v>0</v>
      </c>
      <c r="W166" s="55">
        <f t="shared" ca="1" si="52"/>
        <v>-34.506469392663178</v>
      </c>
      <c r="X166" s="55">
        <f t="shared" ca="1" si="53"/>
        <v>0</v>
      </c>
      <c r="Y166" s="55">
        <f t="shared" ca="1" si="54"/>
        <v>0</v>
      </c>
      <c r="Z166">
        <f t="shared" ca="1" si="48"/>
        <v>97.709654716744893</v>
      </c>
      <c r="AA166">
        <f t="shared" ca="1" si="55"/>
        <v>205.57621023966897</v>
      </c>
      <c r="AB166">
        <f t="shared" ca="1" si="49"/>
        <v>0</v>
      </c>
      <c r="AC166">
        <f t="shared" ca="1" si="50"/>
        <v>0.34969925519132544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44900</v>
      </c>
      <c r="S167" s="55">
        <f t="shared" ca="1" si="51"/>
        <v>44900</v>
      </c>
      <c r="T167" s="55">
        <f t="shared" ca="1" si="45"/>
        <v>135.40145676931047</v>
      </c>
      <c r="U167" s="55">
        <f t="shared" ca="1" si="46"/>
        <v>22.404332090409362</v>
      </c>
      <c r="V167" s="55">
        <f t="shared" ca="1" si="47"/>
        <v>0</v>
      </c>
      <c r="W167" s="55">
        <f t="shared" ca="1" si="52"/>
        <v>-34.506469392663178</v>
      </c>
      <c r="X167" s="55">
        <f t="shared" ca="1" si="53"/>
        <v>0</v>
      </c>
      <c r="Y167" s="55">
        <f t="shared" ca="1" si="54"/>
        <v>0</v>
      </c>
      <c r="Z167">
        <f t="shared" ca="1" si="48"/>
        <v>100.48607229002552</v>
      </c>
      <c r="AA167">
        <f t="shared" ca="1" si="55"/>
        <v>205.57621023966897</v>
      </c>
      <c r="AB167">
        <f t="shared" ca="1" si="49"/>
        <v>0</v>
      </c>
      <c r="AC167">
        <f t="shared" ca="1" si="50"/>
        <v>0.37000452291420505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44901</v>
      </c>
      <c r="S168" s="55">
        <f t="shared" ca="1" si="51"/>
        <v>44901</v>
      </c>
      <c r="T168" s="55">
        <f t="shared" ca="1" si="45"/>
        <v>134.05738907613733</v>
      </c>
      <c r="U168" s="55">
        <f t="shared" ca="1" si="46"/>
        <v>23.748399783582521</v>
      </c>
      <c r="V168" s="55">
        <f t="shared" ca="1" si="47"/>
        <v>0</v>
      </c>
      <c r="W168" s="55">
        <f t="shared" ca="1" si="52"/>
        <v>-34.506469392663178</v>
      </c>
      <c r="X168" s="55">
        <f t="shared" ca="1" si="53"/>
        <v>0</v>
      </c>
      <c r="Y168" s="55">
        <f t="shared" ca="1" si="54"/>
        <v>0</v>
      </c>
      <c r="Z168">
        <f t="shared" ca="1" si="48"/>
        <v>100.7487326739685</v>
      </c>
      <c r="AA168">
        <f t="shared" ca="1" si="55"/>
        <v>205.57621023966897</v>
      </c>
      <c r="AB168">
        <f t="shared" ca="1" si="49"/>
        <v>0</v>
      </c>
      <c r="AC168">
        <f t="shared" ca="1" si="50"/>
        <v>0.39051925744635918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44902</v>
      </c>
      <c r="S169" s="55">
        <f t="shared" ca="1" si="51"/>
        <v>44902</v>
      </c>
      <c r="T169" s="55">
        <f t="shared" ca="1" si="45"/>
        <v>132.71230418968304</v>
      </c>
      <c r="U169" s="55">
        <f t="shared" ca="1" si="46"/>
        <v>25.093484670036798</v>
      </c>
      <c r="V169" s="55">
        <f t="shared" ca="1" si="47"/>
        <v>0</v>
      </c>
      <c r="W169" s="55">
        <f t="shared" ca="1" si="52"/>
        <v>-34.506469392663178</v>
      </c>
      <c r="X169" s="55">
        <f t="shared" ca="1" si="53"/>
        <v>0</v>
      </c>
      <c r="Y169" s="55">
        <f t="shared" ca="1" si="54"/>
        <v>0</v>
      </c>
      <c r="Z169">
        <f t="shared" ca="1" si="48"/>
        <v>101.38236880189186</v>
      </c>
      <c r="AA169">
        <f t="shared" ca="1" si="55"/>
        <v>205.57621023966897</v>
      </c>
      <c r="AB169">
        <f t="shared" ca="1" si="49"/>
        <v>0</v>
      </c>
      <c r="AC169">
        <f t="shared" ca="1" si="50"/>
        <v>0.4101689037697025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44903</v>
      </c>
      <c r="S170" s="55">
        <f t="shared" ca="1" si="51"/>
        <v>44903</v>
      </c>
      <c r="T170" s="55">
        <f t="shared" ca="1" si="45"/>
        <v>131.31302629175696</v>
      </c>
      <c r="U170" s="55">
        <f t="shared" ca="1" si="46"/>
        <v>26.49276256796287</v>
      </c>
      <c r="V170" s="55">
        <f t="shared" ca="1" si="47"/>
        <v>0</v>
      </c>
      <c r="W170" s="55">
        <f t="shared" ca="1" si="52"/>
        <v>-34.506469392663178</v>
      </c>
      <c r="X170" s="55">
        <f t="shared" ca="1" si="53"/>
        <v>0</v>
      </c>
      <c r="Y170" s="55">
        <f t="shared" ca="1" si="54"/>
        <v>0</v>
      </c>
      <c r="Z170">
        <f t="shared" ca="1" si="48"/>
        <v>99.055325454762269</v>
      </c>
      <c r="AA170">
        <f t="shared" ca="1" si="55"/>
        <v>205.57621023966897</v>
      </c>
      <c r="AB170">
        <f t="shared" ca="1" si="49"/>
        <v>0</v>
      </c>
      <c r="AC170">
        <f t="shared" ca="1" si="50"/>
        <v>0.4296819944888336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44904</v>
      </c>
      <c r="S171" s="55">
        <f t="shared" ca="1" si="51"/>
        <v>44904</v>
      </c>
      <c r="T171" s="55">
        <f t="shared" ca="1" si="45"/>
        <v>129.79091258146406</v>
      </c>
      <c r="U171" s="55">
        <f t="shared" ca="1" si="46"/>
        <v>28.014876278255755</v>
      </c>
      <c r="V171" s="55">
        <f t="shared" ca="1" si="47"/>
        <v>0</v>
      </c>
      <c r="W171" s="55">
        <f t="shared" ca="1" si="52"/>
        <v>-34.506469392663178</v>
      </c>
      <c r="X171" s="55">
        <f t="shared" ca="1" si="53"/>
        <v>0</v>
      </c>
      <c r="Y171" s="55">
        <f t="shared" ca="1" si="54"/>
        <v>0</v>
      </c>
      <c r="Z171">
        <f t="shared" ca="1" si="48"/>
        <v>94.811282809586785</v>
      </c>
      <c r="AA171">
        <f t="shared" ca="1" si="55"/>
        <v>205.57621023966897</v>
      </c>
      <c r="AB171">
        <f t="shared" ca="1" si="49"/>
        <v>0</v>
      </c>
      <c r="AC171">
        <f t="shared" ca="1" si="50"/>
        <v>0.44985177060759274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44905</v>
      </c>
      <c r="S172" s="55">
        <f t="shared" ca="1" si="51"/>
        <v>44905</v>
      </c>
      <c r="T172" s="55">
        <f t="shared" ca="1" si="45"/>
        <v>128.21435039809461</v>
      </c>
      <c r="U172" s="55">
        <f t="shared" ca="1" si="46"/>
        <v>29.591438461625195</v>
      </c>
      <c r="V172" s="55">
        <f t="shared" ca="1" si="47"/>
        <v>0</v>
      </c>
      <c r="W172" s="55">
        <f t="shared" ca="1" si="52"/>
        <v>-34.506469392663178</v>
      </c>
      <c r="X172" s="55">
        <f t="shared" ca="1" si="53"/>
        <v>0</v>
      </c>
      <c r="Y172" s="55">
        <f t="shared" ca="1" si="54"/>
        <v>0</v>
      </c>
      <c r="Z172">
        <f t="shared" ca="1" si="48"/>
        <v>93.667449474771516</v>
      </c>
      <c r="AA172">
        <f t="shared" ca="1" si="55"/>
        <v>205.57621023966897</v>
      </c>
      <c r="AB172">
        <f t="shared" ca="1" si="49"/>
        <v>0</v>
      </c>
      <c r="AC172">
        <f t="shared" ca="1" si="50"/>
        <v>0.46961359876817532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44906</v>
      </c>
      <c r="S173" s="55">
        <f t="shared" ca="1" si="51"/>
        <v>44906</v>
      </c>
      <c r="T173" s="55">
        <f t="shared" ca="1" si="45"/>
        <v>126.49220428230909</v>
      </c>
      <c r="U173" s="55">
        <f t="shared" ca="1" si="46"/>
        <v>31.313584577410719</v>
      </c>
      <c r="V173" s="55">
        <f t="shared" ca="1" si="47"/>
        <v>0</v>
      </c>
      <c r="W173" s="55">
        <f t="shared" ca="1" si="52"/>
        <v>-34.506469392663178</v>
      </c>
      <c r="X173" s="55">
        <f t="shared" ca="1" si="53"/>
        <v>0</v>
      </c>
      <c r="Y173" s="55">
        <f t="shared" ca="1" si="54"/>
        <v>0</v>
      </c>
      <c r="Z173">
        <f t="shared" ca="1" si="48"/>
        <v>89.021085885847981</v>
      </c>
      <c r="AA173">
        <f t="shared" ca="1" si="55"/>
        <v>205.57621023966897</v>
      </c>
      <c r="AB173">
        <f t="shared" ca="1" si="49"/>
        <v>0</v>
      </c>
      <c r="AC173">
        <f t="shared" ca="1" si="50"/>
        <v>0.48993448079379776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44907</v>
      </c>
      <c r="S174" s="55">
        <f t="shared" ca="1" si="51"/>
        <v>44907</v>
      </c>
      <c r="T174" s="55">
        <f t="shared" ca="1" si="45"/>
        <v>124.62643198406117</v>
      </c>
      <c r="U174" s="55">
        <f t="shared" ca="1" si="46"/>
        <v>33.179356875658641</v>
      </c>
      <c r="V174" s="55">
        <f t="shared" ca="1" si="47"/>
        <v>0</v>
      </c>
      <c r="W174" s="55">
        <f t="shared" ca="1" si="52"/>
        <v>-34.506469392663178</v>
      </c>
      <c r="X174" s="55">
        <f t="shared" ca="1" si="53"/>
        <v>0</v>
      </c>
      <c r="Y174" s="55">
        <f t="shared" ca="1" si="54"/>
        <v>0</v>
      </c>
      <c r="Z174">
        <f t="shared" ca="1" si="48"/>
        <v>86.332986662632408</v>
      </c>
      <c r="AA174">
        <f t="shared" ca="1" si="55"/>
        <v>205.57621023966897</v>
      </c>
      <c r="AB174">
        <f t="shared" ca="1" si="49"/>
        <v>0</v>
      </c>
      <c r="AC174">
        <f t="shared" ca="1" si="50"/>
        <v>0.51052657863297413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44908</v>
      </c>
      <c r="S175" s="55">
        <f t="shared" ca="1" si="51"/>
        <v>44908</v>
      </c>
      <c r="T175" s="55">
        <f t="shared" ca="1" si="45"/>
        <v>122.71800206365472</v>
      </c>
      <c r="U175" s="55">
        <f t="shared" ca="1" si="46"/>
        <v>35.087786796065089</v>
      </c>
      <c r="V175" s="55">
        <f t="shared" ca="1" si="47"/>
        <v>0</v>
      </c>
      <c r="W175" s="55">
        <f t="shared" ca="1" si="52"/>
        <v>-34.506469392663178</v>
      </c>
      <c r="X175" s="55">
        <f t="shared" ca="1" si="53"/>
        <v>0</v>
      </c>
      <c r="Y175" s="55">
        <f t="shared" ca="1" si="54"/>
        <v>0</v>
      </c>
      <c r="Z175">
        <f t="shared" ca="1" si="48"/>
        <v>82.928230232346337</v>
      </c>
      <c r="AA175">
        <f t="shared" ca="1" si="55"/>
        <v>205.57621023966897</v>
      </c>
      <c r="AB175">
        <f t="shared" ca="1" si="49"/>
        <v>0</v>
      </c>
      <c r="AC175">
        <f t="shared" ca="1" si="50"/>
        <v>0.53014131181753754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44909</v>
      </c>
      <c r="S176" s="55">
        <f t="shared" ca="1" si="51"/>
        <v>44909</v>
      </c>
      <c r="T176" s="55">
        <f t="shared" ca="1" si="45"/>
        <v>120.74682140673251</v>
      </c>
      <c r="U176" s="55">
        <f t="shared" ca="1" si="46"/>
        <v>37.058967452987304</v>
      </c>
      <c r="V176" s="55">
        <f t="shared" ca="1" si="47"/>
        <v>0</v>
      </c>
      <c r="W176" s="55">
        <f t="shared" ca="1" si="52"/>
        <v>-34.506469392663178</v>
      </c>
      <c r="X176" s="55">
        <f t="shared" ca="1" si="53"/>
        <v>0</v>
      </c>
      <c r="Y176" s="55">
        <f t="shared" ca="1" si="54"/>
        <v>0</v>
      </c>
      <c r="Z176">
        <f t="shared" ca="1" si="48"/>
        <v>84.112854480359886</v>
      </c>
      <c r="AA176">
        <f t="shared" ca="1" si="55"/>
        <v>205.57621023966897</v>
      </c>
      <c r="AB176">
        <f t="shared" ca="1" si="49"/>
        <v>0</v>
      </c>
      <c r="AC176">
        <f t="shared" ca="1" si="50"/>
        <v>0.54895885746531536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44910</v>
      </c>
      <c r="S177" s="55">
        <f t="shared" ca="1" si="51"/>
        <v>44910</v>
      </c>
      <c r="T177" s="55">
        <f t="shared" ca="1" si="45"/>
        <v>118.72883276696582</v>
      </c>
      <c r="U177" s="55">
        <f t="shared" ca="1" si="46"/>
        <v>39.076956092753989</v>
      </c>
      <c r="V177" s="55">
        <f t="shared" ca="1" si="47"/>
        <v>0</v>
      </c>
      <c r="W177" s="55">
        <f t="shared" ca="1" si="52"/>
        <v>-34.506469392663178</v>
      </c>
      <c r="X177" s="55">
        <f t="shared" ca="1" si="53"/>
        <v>0</v>
      </c>
      <c r="Y177" s="55">
        <f t="shared" ca="1" si="54"/>
        <v>0</v>
      </c>
      <c r="Z177">
        <f t="shared" ca="1" si="48"/>
        <v>82.188344801830041</v>
      </c>
      <c r="AA177">
        <f t="shared" ca="1" si="55"/>
        <v>205.57621023966897</v>
      </c>
      <c r="AB177">
        <f t="shared" ca="1" si="49"/>
        <v>0</v>
      </c>
      <c r="AC177">
        <f t="shared" ca="1" si="50"/>
        <v>0.56680813687442599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44911</v>
      </c>
      <c r="S178" s="55">
        <f t="shared" ca="1" si="51"/>
        <v>44911</v>
      </c>
      <c r="T178" s="55">
        <f t="shared" ca="1" si="45"/>
        <v>116.62211105027761</v>
      </c>
      <c r="U178" s="55">
        <f t="shared" ca="1" si="46"/>
        <v>41.183677809442202</v>
      </c>
      <c r="V178" s="55">
        <f t="shared" ca="1" si="47"/>
        <v>0</v>
      </c>
      <c r="W178" s="55">
        <f t="shared" ca="1" si="52"/>
        <v>-34.506469392663178</v>
      </c>
      <c r="X178" s="55">
        <f t="shared" ca="1" si="53"/>
        <v>0</v>
      </c>
      <c r="Y178" s="55">
        <f t="shared" ca="1" si="54"/>
        <v>0</v>
      </c>
      <c r="Z178">
        <f t="shared" ca="1" si="48"/>
        <v>85.614322715695707</v>
      </c>
      <c r="AA178">
        <f t="shared" ca="1" si="55"/>
        <v>205.57621023966897</v>
      </c>
      <c r="AB178">
        <f t="shared" ca="1" si="49"/>
        <v>0</v>
      </c>
      <c r="AC178">
        <f t="shared" ca="1" si="50"/>
        <v>0.58402679024892701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44912</v>
      </c>
      <c r="S179" s="55">
        <f t="shared" ca="1" si="51"/>
        <v>44912</v>
      </c>
      <c r="T179" s="55">
        <f t="shared" ca="1" si="45"/>
        <v>114.43753766705758</v>
      </c>
      <c r="U179" s="55">
        <f t="shared" ca="1" si="46"/>
        <v>43.368251192662228</v>
      </c>
      <c r="V179" s="55">
        <f t="shared" ca="1" si="47"/>
        <v>0</v>
      </c>
      <c r="W179" s="55">
        <f t="shared" ca="1" si="52"/>
        <v>-34.506469392663178</v>
      </c>
      <c r="X179" s="55">
        <f t="shared" ca="1" si="53"/>
        <v>0</v>
      </c>
      <c r="Y179" s="55">
        <f t="shared" ca="1" si="54"/>
        <v>0</v>
      </c>
      <c r="Z179">
        <f t="shared" ca="1" si="48"/>
        <v>87.667189447052436</v>
      </c>
      <c r="AA179">
        <f t="shared" ca="1" si="55"/>
        <v>205.57621023966897</v>
      </c>
      <c r="AB179">
        <f t="shared" ca="1" si="49"/>
        <v>0</v>
      </c>
      <c r="AC179">
        <f t="shared" ca="1" si="50"/>
        <v>0.60047446315054298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44913</v>
      </c>
      <c r="S180" s="55">
        <f t="shared" ca="1" si="51"/>
        <v>44913</v>
      </c>
      <c r="T180" s="55">
        <f t="shared" ca="1" si="45"/>
        <v>112.24059202421529</v>
      </c>
      <c r="U180" s="55">
        <f t="shared" ca="1" si="46"/>
        <v>45.565196835504516</v>
      </c>
      <c r="V180" s="55">
        <f t="shared" ca="1" si="47"/>
        <v>0</v>
      </c>
      <c r="W180" s="55">
        <f t="shared" ca="1" si="52"/>
        <v>-34.506469392663178</v>
      </c>
      <c r="X180" s="55">
        <f t="shared" ca="1" si="53"/>
        <v>0</v>
      </c>
      <c r="Y180" s="55">
        <f t="shared" ca="1" si="54"/>
        <v>0</v>
      </c>
      <c r="Z180">
        <f t="shared" ca="1" si="48"/>
        <v>89.393912540445442</v>
      </c>
      <c r="AA180">
        <f t="shared" ca="1" si="55"/>
        <v>205.57621023966897</v>
      </c>
      <c r="AB180">
        <f t="shared" ca="1" si="49"/>
        <v>0</v>
      </c>
      <c r="AC180">
        <f t="shared" ca="1" si="50"/>
        <v>0.61568960250815619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44914</v>
      </c>
      <c r="S181" s="55">
        <f t="shared" ca="1" si="51"/>
        <v>44914</v>
      </c>
      <c r="T181" s="55">
        <f t="shared" ca="1" si="45"/>
        <v>109.94587462905211</v>
      </c>
      <c r="U181" s="55">
        <f t="shared" ca="1" si="46"/>
        <v>47.859914230667691</v>
      </c>
      <c r="V181" s="55">
        <f t="shared" ca="1" si="47"/>
        <v>0</v>
      </c>
      <c r="W181" s="55">
        <f t="shared" ca="1" si="52"/>
        <v>-34.506469392663178</v>
      </c>
      <c r="X181" s="55">
        <f t="shared" ca="1" si="53"/>
        <v>0</v>
      </c>
      <c r="Y181" s="55">
        <f t="shared" ca="1" si="54"/>
        <v>0</v>
      </c>
      <c r="Z181">
        <f t="shared" ca="1" si="48"/>
        <v>90.399757656667489</v>
      </c>
      <c r="AA181">
        <f t="shared" ca="1" si="55"/>
        <v>205.57621023966897</v>
      </c>
      <c r="AB181">
        <f t="shared" ca="1" si="49"/>
        <v>0</v>
      </c>
      <c r="AC181">
        <f t="shared" ca="1" si="50"/>
        <v>0.63028485007959478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44915</v>
      </c>
      <c r="S182" s="55">
        <f t="shared" ca="1" si="51"/>
        <v>44915</v>
      </c>
      <c r="T182" s="55">
        <f t="shared" ca="1" si="45"/>
        <v>107.53379110363133</v>
      </c>
      <c r="U182" s="55">
        <f t="shared" ca="1" si="46"/>
        <v>50.271997756088467</v>
      </c>
      <c r="V182" s="55">
        <f t="shared" ca="1" si="47"/>
        <v>0</v>
      </c>
      <c r="W182" s="55">
        <f t="shared" ca="1" si="52"/>
        <v>-34.506469392663178</v>
      </c>
      <c r="X182" s="55">
        <f t="shared" ca="1" si="53"/>
        <v>0</v>
      </c>
      <c r="Y182" s="55">
        <f t="shared" ca="1" si="54"/>
        <v>0</v>
      </c>
      <c r="Z182">
        <f t="shared" ca="1" si="48"/>
        <v>85.877698464529772</v>
      </c>
      <c r="AA182">
        <f t="shared" ca="1" si="55"/>
        <v>205.57621023966897</v>
      </c>
      <c r="AB182">
        <f t="shared" ca="1" si="49"/>
        <v>0</v>
      </c>
      <c r="AC182">
        <f t="shared" ca="1" si="50"/>
        <v>0.64432649451729829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44916</v>
      </c>
      <c r="S183" s="55">
        <f t="shared" ca="1" si="51"/>
        <v>44916</v>
      </c>
      <c r="T183" s="55">
        <f t="shared" ca="1" si="45"/>
        <v>105.06082554040842</v>
      </c>
      <c r="U183" s="55">
        <f t="shared" ca="1" si="46"/>
        <v>52.744963319311374</v>
      </c>
      <c r="V183" s="55">
        <f t="shared" ca="1" si="47"/>
        <v>0</v>
      </c>
      <c r="W183" s="55">
        <f t="shared" ca="1" si="52"/>
        <v>-34.506469392663178</v>
      </c>
      <c r="X183" s="55">
        <f t="shared" ca="1" si="53"/>
        <v>0</v>
      </c>
      <c r="Y183" s="55">
        <f t="shared" ca="1" si="54"/>
        <v>0</v>
      </c>
      <c r="Z183">
        <f t="shared" ca="1" si="48"/>
        <v>86.115575070398975</v>
      </c>
      <c r="AA183">
        <f t="shared" ca="1" si="55"/>
        <v>205.57621023966897</v>
      </c>
      <c r="AB183">
        <f t="shared" ca="1" si="49"/>
        <v>0</v>
      </c>
      <c r="AC183">
        <f t="shared" ca="1" si="50"/>
        <v>0.65746909845406076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44917</v>
      </c>
      <c r="S184" s="55">
        <f t="shared" ca="1" si="51"/>
        <v>44917</v>
      </c>
      <c r="T184" s="55">
        <f t="shared" ca="1" si="45"/>
        <v>102.49810677323619</v>
      </c>
      <c r="U184" s="55">
        <f t="shared" ca="1" si="46"/>
        <v>55.307682086483602</v>
      </c>
      <c r="V184" s="55">
        <f t="shared" ca="1" si="47"/>
        <v>0</v>
      </c>
      <c r="W184" s="55">
        <f t="shared" ca="1" si="52"/>
        <v>-34.506469392663178</v>
      </c>
      <c r="X184" s="55">
        <f t="shared" ca="1" si="53"/>
        <v>0</v>
      </c>
      <c r="Y184" s="55">
        <f t="shared" ca="1" si="54"/>
        <v>0</v>
      </c>
      <c r="Z184">
        <f t="shared" ca="1" si="48"/>
        <v>82.254524007093053</v>
      </c>
      <c r="AA184">
        <f t="shared" ca="1" si="55"/>
        <v>205.57621023966897</v>
      </c>
      <c r="AB184">
        <f t="shared" ca="1" si="49"/>
        <v>0</v>
      </c>
      <c r="AC184">
        <f t="shared" ca="1" si="50"/>
        <v>0.66988006158294988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44918</v>
      </c>
      <c r="S185" s="55">
        <f t="shared" ca="1" si="51"/>
        <v>44918</v>
      </c>
      <c r="T185" s="55">
        <f t="shared" ca="1" si="45"/>
        <v>99.962877401836636</v>
      </c>
      <c r="U185" s="55">
        <f t="shared" ca="1" si="46"/>
        <v>57.842911457883154</v>
      </c>
      <c r="V185" s="55">
        <f t="shared" ca="1" si="47"/>
        <v>0</v>
      </c>
      <c r="W185" s="55">
        <f t="shared" ca="1" si="52"/>
        <v>-34.506469392663178</v>
      </c>
      <c r="X185" s="55">
        <f t="shared" ca="1" si="53"/>
        <v>0</v>
      </c>
      <c r="Y185" s="55">
        <f t="shared" ca="1" si="54"/>
        <v>0</v>
      </c>
      <c r="Z185">
        <f t="shared" ca="1" si="48"/>
        <v>79.518743555652065</v>
      </c>
      <c r="AA185">
        <f t="shared" ca="1" si="55"/>
        <v>205.57621023966897</v>
      </c>
      <c r="AB185">
        <f t="shared" ca="1" si="49"/>
        <v>0</v>
      </c>
      <c r="AC185">
        <f t="shared" ca="1" si="50"/>
        <v>0.68106687380364439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44919</v>
      </c>
      <c r="S186" s="55">
        <f t="shared" ca="1" si="51"/>
        <v>44919</v>
      </c>
      <c r="T186" s="55">
        <f t="shared" ca="1" si="45"/>
        <v>97.35281551010155</v>
      </c>
      <c r="U186" s="55">
        <f t="shared" ca="1" si="46"/>
        <v>60.452973349618233</v>
      </c>
      <c r="V186" s="55">
        <f t="shared" ca="1" si="47"/>
        <v>0</v>
      </c>
      <c r="W186" s="55">
        <f t="shared" ca="1" si="52"/>
        <v>-34.506469392663178</v>
      </c>
      <c r="X186" s="55">
        <f t="shared" ca="1" si="53"/>
        <v>0</v>
      </c>
      <c r="Y186" s="55">
        <f t="shared" ca="1" si="54"/>
        <v>0</v>
      </c>
      <c r="Z186">
        <f t="shared" ca="1" si="48"/>
        <v>78.942936117288525</v>
      </c>
      <c r="AA186">
        <f t="shared" ca="1" si="55"/>
        <v>205.57621023966897</v>
      </c>
      <c r="AB186">
        <f t="shared" ca="1" si="49"/>
        <v>0</v>
      </c>
      <c r="AC186">
        <f t="shared" ca="1" si="50"/>
        <v>0.69156338101787607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44920</v>
      </c>
      <c r="S187" s="55">
        <f t="shared" ca="1" si="51"/>
        <v>44920</v>
      </c>
      <c r="T187" s="55">
        <f t="shared" ca="1" si="45"/>
        <v>94.648105185693197</v>
      </c>
      <c r="U187" s="55">
        <f t="shared" ca="1" si="46"/>
        <v>63.157683674026593</v>
      </c>
      <c r="V187" s="55">
        <f t="shared" ca="1" si="47"/>
        <v>0</v>
      </c>
      <c r="W187" s="55">
        <f t="shared" ca="1" si="52"/>
        <v>-34.506469392663178</v>
      </c>
      <c r="X187" s="55">
        <f t="shared" ca="1" si="53"/>
        <v>0</v>
      </c>
      <c r="Y187" s="55">
        <f t="shared" ca="1" si="54"/>
        <v>0</v>
      </c>
      <c r="Z187">
        <f t="shared" ca="1" si="48"/>
        <v>80.834189130444116</v>
      </c>
      <c r="AA187">
        <f t="shared" ca="1" si="55"/>
        <v>205.57621023966897</v>
      </c>
      <c r="AB187">
        <f t="shared" ca="1" si="49"/>
        <v>0</v>
      </c>
      <c r="AC187">
        <f t="shared" ca="1" si="50"/>
        <v>0.70145816935055449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44921</v>
      </c>
      <c r="S188" s="55">
        <f t="shared" ca="1" si="51"/>
        <v>44921</v>
      </c>
      <c r="T188" s="55">
        <f t="shared" ca="1" si="45"/>
        <v>91.972087770836481</v>
      </c>
      <c r="U188" s="55">
        <f t="shared" ca="1" si="46"/>
        <v>65.833701088883316</v>
      </c>
      <c r="V188" s="55">
        <f t="shared" ca="1" si="47"/>
        <v>0</v>
      </c>
      <c r="W188" s="55">
        <f t="shared" ca="1" si="52"/>
        <v>-34.506469392663178</v>
      </c>
      <c r="X188" s="55">
        <f t="shared" ca="1" si="53"/>
        <v>0</v>
      </c>
      <c r="Y188" s="55">
        <f t="shared" ca="1" si="54"/>
        <v>0</v>
      </c>
      <c r="Z188">
        <f t="shared" ca="1" si="48"/>
        <v>75.640558696041168</v>
      </c>
      <c r="AA188">
        <f t="shared" ca="1" si="55"/>
        <v>205.57621023966897</v>
      </c>
      <c r="AB188">
        <f t="shared" ca="1" si="49"/>
        <v>0</v>
      </c>
      <c r="AC188">
        <f t="shared" ca="1" si="50"/>
        <v>0.71036378161312452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44922</v>
      </c>
      <c r="S189" s="55">
        <f t="shared" ca="1" si="51"/>
        <v>44922</v>
      </c>
      <c r="T189" s="55">
        <f t="shared" ca="1" si="45"/>
        <v>89.253092429468992</v>
      </c>
      <c r="U189" s="55">
        <f t="shared" ca="1" si="46"/>
        <v>68.552696430250805</v>
      </c>
      <c r="V189" s="55">
        <f t="shared" ca="1" si="47"/>
        <v>0</v>
      </c>
      <c r="W189" s="55">
        <f t="shared" ca="1" si="52"/>
        <v>-34.506469392663178</v>
      </c>
      <c r="X189" s="55">
        <f t="shared" ca="1" si="53"/>
        <v>0</v>
      </c>
      <c r="Y189" s="55">
        <f t="shared" ca="1" si="54"/>
        <v>0</v>
      </c>
      <c r="Z189">
        <f t="shared" ca="1" si="48"/>
        <v>72.179201081445513</v>
      </c>
      <c r="AA189">
        <f t="shared" ca="1" si="55"/>
        <v>205.57621023966897</v>
      </c>
      <c r="AB189">
        <f t="shared" ca="1" si="49"/>
        <v>0</v>
      </c>
      <c r="AC189">
        <f t="shared" ca="1" si="50"/>
        <v>0.71860308069326373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44923</v>
      </c>
      <c r="S190" s="55">
        <f t="shared" ca="1" si="51"/>
        <v>44923</v>
      </c>
      <c r="T190" s="55">
        <f t="shared" ca="1" si="45"/>
        <v>86.333742909905837</v>
      </c>
      <c r="U190" s="55">
        <f t="shared" ca="1" si="46"/>
        <v>71.47204594981396</v>
      </c>
      <c r="V190" s="55">
        <f t="shared" ca="1" si="47"/>
        <v>0</v>
      </c>
      <c r="W190" s="55">
        <f t="shared" ca="1" si="52"/>
        <v>-34.506469392663178</v>
      </c>
      <c r="X190" s="55">
        <f t="shared" ca="1" si="53"/>
        <v>0</v>
      </c>
      <c r="Y190" s="55">
        <f t="shared" ca="1" si="54"/>
        <v>0</v>
      </c>
      <c r="Z190">
        <f t="shared" ca="1" si="48"/>
        <v>66.717845613968251</v>
      </c>
      <c r="AA190">
        <f t="shared" ca="1" si="55"/>
        <v>205.57621023966897</v>
      </c>
      <c r="AB190">
        <f t="shared" ca="1" si="49"/>
        <v>0</v>
      </c>
      <c r="AC190">
        <f t="shared" ca="1" si="50"/>
        <v>0.72663451529500833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44924</v>
      </c>
      <c r="S191" s="55">
        <f t="shared" ca="1" si="51"/>
        <v>44924</v>
      </c>
      <c r="T191" s="55">
        <f t="shared" ca="1" si="45"/>
        <v>83.324656969532469</v>
      </c>
      <c r="U191" s="55">
        <f t="shared" ca="1" si="46"/>
        <v>74.481131890187328</v>
      </c>
      <c r="V191" s="55">
        <f t="shared" ca="1" si="47"/>
        <v>0</v>
      </c>
      <c r="W191" s="55">
        <f t="shared" ca="1" si="52"/>
        <v>-34.506469392663178</v>
      </c>
      <c r="X191" s="55">
        <f t="shared" ca="1" si="53"/>
        <v>0</v>
      </c>
      <c r="Y191" s="55">
        <f t="shared" ca="1" si="54"/>
        <v>0</v>
      </c>
      <c r="Z191">
        <f t="shared" ca="1" si="48"/>
        <v>65.35950420928431</v>
      </c>
      <c r="AA191">
        <f t="shared" ca="1" si="55"/>
        <v>205.57621023966897</v>
      </c>
      <c r="AB191">
        <f t="shared" ca="1" si="49"/>
        <v>0</v>
      </c>
      <c r="AC191">
        <f t="shared" ca="1" si="50"/>
        <v>0.73412220694126773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44925</v>
      </c>
      <c r="S192" s="55">
        <f t="shared" ca="1" si="51"/>
        <v>44925</v>
      </c>
      <c r="T192" s="55">
        <f t="shared" ca="1" si="45"/>
        <v>80.360357026829917</v>
      </c>
      <c r="U192" s="55">
        <f t="shared" ca="1" si="46"/>
        <v>77.445431832889881</v>
      </c>
      <c r="V192" s="55">
        <f t="shared" ca="1" si="47"/>
        <v>0</v>
      </c>
      <c r="W192" s="55">
        <f t="shared" ca="1" si="52"/>
        <v>-34.506469392663178</v>
      </c>
      <c r="X192" s="55">
        <f t="shared" ca="1" si="53"/>
        <v>0</v>
      </c>
      <c r="Y192" s="55">
        <f t="shared" ca="1" si="54"/>
        <v>0</v>
      </c>
      <c r="Z192">
        <f t="shared" ca="1" si="48"/>
        <v>67.3022215195017</v>
      </c>
      <c r="AA192">
        <f t="shared" ca="1" si="55"/>
        <v>205.57621023966897</v>
      </c>
      <c r="AB192">
        <f t="shared" ca="1" si="49"/>
        <v>0</v>
      </c>
      <c r="AC192">
        <f t="shared" ca="1" si="50"/>
        <v>0.74079691890209798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44926</v>
      </c>
      <c r="S193" s="55">
        <f t="shared" ca="1" si="51"/>
        <v>44926</v>
      </c>
      <c r="T193" s="55">
        <f t="shared" ca="1" si="45"/>
        <v>77.476779367833657</v>
      </c>
      <c r="U193" s="55">
        <f t="shared" ca="1" si="46"/>
        <v>80.32900949188614</v>
      </c>
      <c r="V193" s="55">
        <f t="shared" ca="1" si="47"/>
        <v>0</v>
      </c>
      <c r="W193" s="55">
        <f t="shared" ca="1" si="52"/>
        <v>-34.506469392663178</v>
      </c>
      <c r="X193" s="55">
        <f t="shared" ca="1" si="53"/>
        <v>0</v>
      </c>
      <c r="Y193" s="55">
        <f t="shared" ca="1" si="54"/>
        <v>0</v>
      </c>
      <c r="Z193">
        <f t="shared" ca="1" si="48"/>
        <v>77.095038948249297</v>
      </c>
      <c r="AA193">
        <f t="shared" ca="1" si="55"/>
        <v>205.57621023966897</v>
      </c>
      <c r="AB193">
        <f t="shared" ca="1" si="49"/>
        <v>0</v>
      </c>
      <c r="AC193">
        <f t="shared" ca="1" si="50"/>
        <v>0.74669117991342682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44927</v>
      </c>
      <c r="S194" s="55">
        <f t="shared" ca="1" si="51"/>
        <v>44927</v>
      </c>
      <c r="T194" s="55">
        <f t="shared" ca="1" si="45"/>
        <v>74.641292141240982</v>
      </c>
      <c r="U194" s="55">
        <f t="shared" ca="1" si="46"/>
        <v>83.164496718478816</v>
      </c>
      <c r="V194" s="55">
        <f t="shared" ca="1" si="47"/>
        <v>0</v>
      </c>
      <c r="W194" s="55">
        <f t="shared" ca="1" si="52"/>
        <v>-34.506469392663178</v>
      </c>
      <c r="X194" s="55">
        <f t="shared" ca="1" si="53"/>
        <v>0</v>
      </c>
      <c r="Y194" s="55">
        <f t="shared" ca="1" si="54"/>
        <v>0</v>
      </c>
      <c r="Z194">
        <f t="shared" ca="1" si="48"/>
        <v>74.694061876924465</v>
      </c>
      <c r="AA194">
        <f t="shared" ca="1" si="55"/>
        <v>205.57621023966897</v>
      </c>
      <c r="AB194">
        <f t="shared" ca="1" si="49"/>
        <v>0</v>
      </c>
      <c r="AC194">
        <f t="shared" ca="1" si="50"/>
        <v>0.75196906590121693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44928</v>
      </c>
      <c r="S195" s="55">
        <f t="shared" ca="1" si="51"/>
        <v>44928</v>
      </c>
      <c r="T195" s="55">
        <f t="shared" ca="1" si="45"/>
        <v>71.741145944789665</v>
      </c>
      <c r="U195" s="55">
        <f t="shared" ca="1" si="46"/>
        <v>86.064642914930133</v>
      </c>
      <c r="V195" s="55">
        <f t="shared" ca="1" si="47"/>
        <v>0</v>
      </c>
      <c r="W195" s="55">
        <f t="shared" ca="1" si="52"/>
        <v>-34.506469392663178</v>
      </c>
      <c r="X195" s="55">
        <f t="shared" ca="1" si="53"/>
        <v>0</v>
      </c>
      <c r="Y195" s="55">
        <f t="shared" ca="1" si="54"/>
        <v>0</v>
      </c>
      <c r="Z195">
        <f t="shared" ca="1" si="48"/>
        <v>69.536305835983555</v>
      </c>
      <c r="AA195">
        <f t="shared" ca="1" si="55"/>
        <v>205.57621023966897</v>
      </c>
      <c r="AB195">
        <f t="shared" ca="1" si="49"/>
        <v>0</v>
      </c>
      <c r="AC195">
        <f t="shared" ca="1" si="50"/>
        <v>0.75688775693907984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44929</v>
      </c>
      <c r="S196" s="55">
        <f t="shared" ca="1" si="51"/>
        <v>44929</v>
      </c>
      <c r="T196" s="55">
        <f t="shared" ca="1" si="45"/>
        <v>68.907245872866497</v>
      </c>
      <c r="U196" s="55">
        <f t="shared" ca="1" si="46"/>
        <v>88.8985429868533</v>
      </c>
      <c r="V196" s="55">
        <f t="shared" ca="1" si="47"/>
        <v>0</v>
      </c>
      <c r="W196" s="55">
        <f t="shared" ca="1" si="52"/>
        <v>-34.506469392663178</v>
      </c>
      <c r="X196" s="55">
        <f t="shared" ca="1" si="53"/>
        <v>0</v>
      </c>
      <c r="Y196" s="55">
        <f t="shared" ca="1" si="54"/>
        <v>0</v>
      </c>
      <c r="Z196">
        <f t="shared" ca="1" si="48"/>
        <v>64.452264492684264</v>
      </c>
      <c r="AA196">
        <f t="shared" ca="1" si="55"/>
        <v>205.57621023966897</v>
      </c>
      <c r="AB196">
        <f t="shared" ca="1" si="49"/>
        <v>0</v>
      </c>
      <c r="AC196">
        <f t="shared" ca="1" si="50"/>
        <v>0.76127027311713746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44930</v>
      </c>
      <c r="S197" s="55">
        <f t="shared" ca="1" si="51"/>
        <v>44930</v>
      </c>
      <c r="T197" s="55">
        <f t="shared" ca="1" si="45"/>
        <v>66.054861491192256</v>
      </c>
      <c r="U197" s="55">
        <f t="shared" ca="1" si="46"/>
        <v>91.750927368527542</v>
      </c>
      <c r="V197" s="55">
        <f t="shared" ca="1" si="47"/>
        <v>0</v>
      </c>
      <c r="W197" s="55">
        <f t="shared" ca="1" si="52"/>
        <v>-34.506469392663178</v>
      </c>
      <c r="X197" s="55">
        <f t="shared" ca="1" si="53"/>
        <v>0</v>
      </c>
      <c r="Y197" s="55">
        <f t="shared" ca="1" si="54"/>
        <v>0</v>
      </c>
      <c r="Z197">
        <f t="shared" ca="1" si="48"/>
        <v>59.348659606034872</v>
      </c>
      <c r="AA197">
        <f t="shared" ca="1" si="55"/>
        <v>205.57621023966897</v>
      </c>
      <c r="AB197">
        <f t="shared" ca="1" si="49"/>
        <v>0</v>
      </c>
      <c r="AC197">
        <f t="shared" ca="1" si="50"/>
        <v>0.76529797941181354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44931</v>
      </c>
      <c r="S198" s="55">
        <f t="shared" ca="1" si="51"/>
        <v>44931</v>
      </c>
      <c r="T198" s="55">
        <f t="shared" ca="1" si="45"/>
        <v>63.332306948457429</v>
      </c>
      <c r="U198" s="55">
        <f t="shared" ca="1" si="46"/>
        <v>94.473481911262368</v>
      </c>
      <c r="V198" s="55">
        <f t="shared" ca="1" si="47"/>
        <v>0</v>
      </c>
      <c r="W198" s="55">
        <f t="shared" ca="1" si="52"/>
        <v>-34.506469392663178</v>
      </c>
      <c r="X198" s="55">
        <f t="shared" ca="1" si="53"/>
        <v>0</v>
      </c>
      <c r="Y198" s="55">
        <f t="shared" ca="1" si="54"/>
        <v>0</v>
      </c>
      <c r="Z198">
        <f t="shared" ca="1" si="48"/>
        <v>55.408154053914494</v>
      </c>
      <c r="AA198">
        <f t="shared" ca="1" si="55"/>
        <v>205.57621023966897</v>
      </c>
      <c r="AB198">
        <f t="shared" ca="1" si="49"/>
        <v>0</v>
      </c>
      <c r="AC198">
        <f t="shared" ca="1" si="50"/>
        <v>0.76881590933543276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44932</v>
      </c>
      <c r="S199" s="55">
        <f t="shared" ca="1" si="51"/>
        <v>44932</v>
      </c>
      <c r="T199" s="55">
        <f t="shared" ca="1" si="45"/>
        <v>60.639271137745766</v>
      </c>
      <c r="U199" s="55">
        <f t="shared" ca="1" si="46"/>
        <v>97.166517721974031</v>
      </c>
      <c r="V199" s="55">
        <f t="shared" ca="1" si="47"/>
        <v>0</v>
      </c>
      <c r="W199" s="55">
        <f t="shared" ca="1" si="52"/>
        <v>-34.506469392663178</v>
      </c>
      <c r="X199" s="55">
        <f t="shared" ca="1" si="53"/>
        <v>0</v>
      </c>
      <c r="Y199" s="55">
        <f t="shared" ca="1" si="54"/>
        <v>0</v>
      </c>
      <c r="Z199">
        <f t="shared" ca="1" si="48"/>
        <v>52.301721576827482</v>
      </c>
      <c r="AA199">
        <f t="shared" ca="1" si="55"/>
        <v>205.57621023966897</v>
      </c>
      <c r="AB199">
        <f t="shared" ca="1" si="49"/>
        <v>0</v>
      </c>
      <c r="AC199">
        <f t="shared" ca="1" si="50"/>
        <v>0.77200929432954457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44933</v>
      </c>
      <c r="S200" s="55">
        <f t="shared" ca="1" si="51"/>
        <v>44933</v>
      </c>
      <c r="T200" s="55">
        <f t="shared" ca="1" si="45"/>
        <v>57.909060916376362</v>
      </c>
      <c r="U200" s="55">
        <f t="shared" ca="1" si="46"/>
        <v>99.896727943343436</v>
      </c>
      <c r="V200" s="55">
        <f t="shared" ca="1" si="47"/>
        <v>0</v>
      </c>
      <c r="W200" s="55">
        <f t="shared" ca="1" si="52"/>
        <v>-34.506469392663178</v>
      </c>
      <c r="X200" s="55">
        <f t="shared" ca="1" si="53"/>
        <v>0</v>
      </c>
      <c r="Y200" s="55">
        <f t="shared" ca="1" si="54"/>
        <v>0</v>
      </c>
      <c r="Z200">
        <f t="shared" ca="1" si="48"/>
        <v>49.051324451375145</v>
      </c>
      <c r="AA200">
        <f t="shared" ca="1" si="55"/>
        <v>205.57621023966897</v>
      </c>
      <c r="AB200">
        <f t="shared" ca="1" si="49"/>
        <v>0</v>
      </c>
      <c r="AC200">
        <f t="shared" ca="1" si="50"/>
        <v>0.77498041927639416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44934</v>
      </c>
      <c r="S201" s="55">
        <f t="shared" ca="1" si="51"/>
        <v>44934</v>
      </c>
      <c r="T201" s="55">
        <f t="shared" ca="1" si="45"/>
        <v>55.199793993885763</v>
      </c>
      <c r="U201" s="55">
        <f t="shared" ca="1" si="46"/>
        <v>102.60599486583403</v>
      </c>
      <c r="V201" s="55">
        <f t="shared" ca="1" si="47"/>
        <v>0</v>
      </c>
      <c r="W201" s="55">
        <f t="shared" ca="1" si="52"/>
        <v>-34.506469392663178</v>
      </c>
      <c r="X201" s="55">
        <f t="shared" ca="1" si="53"/>
        <v>0</v>
      </c>
      <c r="Y201" s="55">
        <f t="shared" ca="1" si="54"/>
        <v>0</v>
      </c>
      <c r="Z201">
        <f t="shared" ca="1" si="48"/>
        <v>48.38777555301705</v>
      </c>
      <c r="AA201">
        <f t="shared" ca="1" si="55"/>
        <v>205.57621023966897</v>
      </c>
      <c r="AB201">
        <f t="shared" ca="1" si="49"/>
        <v>0</v>
      </c>
      <c r="AC201">
        <f t="shared" ca="1" si="50"/>
        <v>0.77768544748485335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44935</v>
      </c>
      <c r="S202" s="55">
        <f t="shared" ca="1" si="51"/>
        <v>44935</v>
      </c>
      <c r="T202" s="55">
        <f t="shared" ca="1" si="45"/>
        <v>52.518524522784531</v>
      </c>
      <c r="U202" s="55">
        <f t="shared" ca="1" si="46"/>
        <v>105.28726433693527</v>
      </c>
      <c r="V202" s="55">
        <f t="shared" ca="1" si="47"/>
        <v>0</v>
      </c>
      <c r="W202" s="55">
        <f t="shared" ca="1" si="52"/>
        <v>-34.506469392663178</v>
      </c>
      <c r="X202" s="55">
        <f t="shared" ca="1" si="53"/>
        <v>0</v>
      </c>
      <c r="Y202" s="55">
        <f t="shared" ca="1" si="54"/>
        <v>0</v>
      </c>
      <c r="Z202">
        <f t="shared" ca="1" si="48"/>
        <v>48.351184469679751</v>
      </c>
      <c r="AA202">
        <f t="shared" ca="1" si="55"/>
        <v>205.57621023966897</v>
      </c>
      <c r="AB202">
        <f t="shared" ca="1" si="49"/>
        <v>0</v>
      </c>
      <c r="AC202">
        <f t="shared" ca="1" si="50"/>
        <v>0.78014307161620633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44936</v>
      </c>
      <c r="S203" s="55">
        <f t="shared" ca="1" si="51"/>
        <v>44936</v>
      </c>
      <c r="T203" s="55">
        <f t="shared" ca="1" si="45"/>
        <v>49.945784050020521</v>
      </c>
      <c r="U203" s="55">
        <f t="shared" ca="1" si="46"/>
        <v>107.86000480969928</v>
      </c>
      <c r="V203" s="55">
        <f t="shared" ca="1" si="47"/>
        <v>0</v>
      </c>
      <c r="W203" s="55">
        <f t="shared" ca="1" si="52"/>
        <v>-34.506469392663178</v>
      </c>
      <c r="X203" s="55">
        <f t="shared" ca="1" si="53"/>
        <v>0</v>
      </c>
      <c r="Y203" s="55">
        <f t="shared" ca="1" si="54"/>
        <v>0</v>
      </c>
      <c r="Z203">
        <f t="shared" ca="1" si="48"/>
        <v>45.104320933699135</v>
      </c>
      <c r="AA203">
        <f t="shared" ca="1" si="55"/>
        <v>205.57621023966897</v>
      </c>
      <c r="AB203">
        <f t="shared" ca="1" si="49"/>
        <v>0</v>
      </c>
      <c r="AC203">
        <f t="shared" ca="1" si="50"/>
        <v>0.78231181916881554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44937</v>
      </c>
      <c r="S204" s="55">
        <f t="shared" ca="1" si="51"/>
        <v>44937</v>
      </c>
      <c r="T204" s="55">
        <f t="shared" ca="1" si="45"/>
        <v>47.50138034251961</v>
      </c>
      <c r="U204" s="55">
        <f t="shared" ca="1" si="46"/>
        <v>110.30440851720019</v>
      </c>
      <c r="V204" s="55">
        <f t="shared" ca="1" si="47"/>
        <v>0</v>
      </c>
      <c r="W204" s="55">
        <f t="shared" ca="1" si="52"/>
        <v>-34.506469392663178</v>
      </c>
      <c r="X204" s="55">
        <f t="shared" ca="1" si="53"/>
        <v>0</v>
      </c>
      <c r="Y204" s="55">
        <f t="shared" ca="1" si="54"/>
        <v>0</v>
      </c>
      <c r="Z204">
        <f t="shared" ca="1" si="48"/>
        <v>42.362220103499752</v>
      </c>
      <c r="AA204">
        <f t="shared" ca="1" si="55"/>
        <v>205.57621023966897</v>
      </c>
      <c r="AB204">
        <f t="shared" ca="1" si="49"/>
        <v>0</v>
      </c>
      <c r="AC204">
        <f t="shared" ca="1" si="50"/>
        <v>0.78421309107283077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44938</v>
      </c>
      <c r="S205" s="55">
        <f t="shared" ca="1" si="51"/>
        <v>44938</v>
      </c>
      <c r="T205" s="55">
        <f t="shared" ca="1" si="45"/>
        <v>45.117150801612738</v>
      </c>
      <c r="U205" s="55">
        <f t="shared" ca="1" si="46"/>
        <v>112.68863805810706</v>
      </c>
      <c r="V205" s="55">
        <f t="shared" ca="1" si="47"/>
        <v>0</v>
      </c>
      <c r="W205" s="55">
        <f t="shared" ca="1" si="52"/>
        <v>-34.506469392663178</v>
      </c>
      <c r="X205" s="55">
        <f t="shared" ca="1" si="53"/>
        <v>0</v>
      </c>
      <c r="Y205" s="55">
        <f t="shared" ca="1" si="54"/>
        <v>0</v>
      </c>
      <c r="Z205">
        <f t="shared" ca="1" si="48"/>
        <v>39.289921330350488</v>
      </c>
      <c r="AA205">
        <f t="shared" ca="1" si="55"/>
        <v>205.57621023966897</v>
      </c>
      <c r="AB205">
        <f t="shared" ca="1" si="49"/>
        <v>0</v>
      </c>
      <c r="AC205">
        <f t="shared" ca="1" si="50"/>
        <v>0.78592829306734502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44939</v>
      </c>
      <c r="S206" s="55">
        <f t="shared" ca="1" si="51"/>
        <v>44939</v>
      </c>
      <c r="T206" s="55">
        <f t="shared" ca="1" si="45"/>
        <v>42.791401760871437</v>
      </c>
      <c r="U206" s="55">
        <f t="shared" ca="1" si="46"/>
        <v>115.01438709884836</v>
      </c>
      <c r="V206" s="55">
        <f t="shared" ca="1" si="47"/>
        <v>0</v>
      </c>
      <c r="W206" s="55">
        <f t="shared" ca="1" si="52"/>
        <v>-34.506469392663178</v>
      </c>
      <c r="X206" s="55">
        <f t="shared" ca="1" si="53"/>
        <v>0</v>
      </c>
      <c r="Y206" s="55">
        <f t="shared" ca="1" si="54"/>
        <v>0</v>
      </c>
      <c r="Z206">
        <f t="shared" ca="1" si="48"/>
        <v>41.572960012052924</v>
      </c>
      <c r="AA206">
        <f t="shared" ca="1" si="55"/>
        <v>205.57621023966897</v>
      </c>
      <c r="AB206">
        <f t="shared" ca="1" si="49"/>
        <v>0</v>
      </c>
      <c r="AC206">
        <f t="shared" ca="1" si="50"/>
        <v>0.78747750132236627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44940</v>
      </c>
      <c r="S207" s="55">
        <f t="shared" ca="1" si="51"/>
        <v>44940</v>
      </c>
      <c r="T207" s="55">
        <f t="shared" ca="1" si="45"/>
        <v>40.519719347386754</v>
      </c>
      <c r="U207" s="55">
        <f t="shared" ca="1" si="46"/>
        <v>117.28606951233304</v>
      </c>
      <c r="V207" s="55">
        <f t="shared" ca="1" si="47"/>
        <v>0</v>
      </c>
      <c r="W207" s="55">
        <f t="shared" ca="1" si="52"/>
        <v>-34.506469392663178</v>
      </c>
      <c r="X207" s="55">
        <f t="shared" ca="1" si="53"/>
        <v>0</v>
      </c>
      <c r="Y207" s="55">
        <f t="shared" ca="1" si="54"/>
        <v>0</v>
      </c>
      <c r="Z207">
        <f t="shared" ca="1" si="48"/>
        <v>40.908148761689908</v>
      </c>
      <c r="AA207">
        <f t="shared" ca="1" si="55"/>
        <v>205.57621023966897</v>
      </c>
      <c r="AB207">
        <f t="shared" ca="1" si="49"/>
        <v>0</v>
      </c>
      <c r="AC207">
        <f t="shared" ca="1" si="50"/>
        <v>0.78887983154349894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44941</v>
      </c>
      <c r="S208" s="55">
        <f t="shared" ca="1" si="51"/>
        <v>44941</v>
      </c>
      <c r="T208" s="55">
        <f t="shared" ca="1" si="45"/>
        <v>38.347033875261019</v>
      </c>
      <c r="U208" s="55">
        <f t="shared" ca="1" si="46"/>
        <v>119.45875498445878</v>
      </c>
      <c r="V208" s="55">
        <f t="shared" ca="1" si="47"/>
        <v>0</v>
      </c>
      <c r="W208" s="55">
        <f t="shared" ca="1" si="52"/>
        <v>-34.506469392663178</v>
      </c>
      <c r="X208" s="55">
        <f t="shared" ca="1" si="53"/>
        <v>0</v>
      </c>
      <c r="Y208" s="55">
        <f t="shared" ca="1" si="54"/>
        <v>0</v>
      </c>
      <c r="Z208">
        <f t="shared" ca="1" si="48"/>
        <v>38.631920771209124</v>
      </c>
      <c r="AA208">
        <f t="shared" ca="1" si="55"/>
        <v>205.57621023966897</v>
      </c>
      <c r="AB208">
        <f t="shared" ca="1" si="49"/>
        <v>0</v>
      </c>
      <c r="AC208">
        <f t="shared" ca="1" si="50"/>
        <v>0.7901245146956406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44942</v>
      </c>
      <c r="S209" s="55">
        <f t="shared" ca="1" si="51"/>
        <v>44942</v>
      </c>
      <c r="T209" s="55">
        <f t="shared" ca="1" si="45"/>
        <v>36.272067903524203</v>
      </c>
      <c r="U209" s="55">
        <f t="shared" ca="1" si="46"/>
        <v>121.53372095619559</v>
      </c>
      <c r="V209" s="55">
        <f t="shared" ca="1" si="47"/>
        <v>0</v>
      </c>
      <c r="W209" s="55">
        <f t="shared" ca="1" si="52"/>
        <v>-34.506469392663178</v>
      </c>
      <c r="X209" s="55">
        <f t="shared" ca="1" si="53"/>
        <v>0</v>
      </c>
      <c r="Y209" s="55">
        <f t="shared" ca="1" si="54"/>
        <v>0</v>
      </c>
      <c r="Z209">
        <f t="shared" ca="1" si="48"/>
        <v>39.698888645408374</v>
      </c>
      <c r="AA209">
        <f t="shared" ca="1" si="55"/>
        <v>205.57621023966897</v>
      </c>
      <c r="AB209">
        <f t="shared" ca="1" si="49"/>
        <v>0</v>
      </c>
      <c r="AC209">
        <f t="shared" ca="1" si="50"/>
        <v>0.79122990128880855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44943</v>
      </c>
      <c r="S210" s="55">
        <f t="shared" ca="1" si="51"/>
        <v>44943</v>
      </c>
      <c r="T210" s="55">
        <f t="shared" ref="T210:T273" ca="1" si="63">VLOOKUP(S210,ModelOutputs,2,FALSE)</f>
        <v>34.322939607575776</v>
      </c>
      <c r="U210" s="55">
        <f t="shared" ref="U210:U273" ca="1" si="64">VLOOKUP(S210,ModelOutputs,7,FALSE)</f>
        <v>123.48284925214402</v>
      </c>
      <c r="V210" s="55">
        <f t="shared" ref="V210:V273" ca="1" si="65">VLOOKUP(S210,ModelOutputs,6,FALSE)</f>
        <v>0</v>
      </c>
      <c r="W210" s="55">
        <f t="shared" ca="1" si="52"/>
        <v>-34.506469392663178</v>
      </c>
      <c r="X210" s="55">
        <f t="shared" ca="1" si="53"/>
        <v>0</v>
      </c>
      <c r="Y210" s="55">
        <f t="shared" ca="1" si="54"/>
        <v>0</v>
      </c>
      <c r="Z210">
        <f t="shared" ref="Z210:Z273" ca="1" si="66">VLOOKUP(S210,ModelOutputs,10,FALSE)*AWC</f>
        <v>40.271075341767315</v>
      </c>
      <c r="AA210">
        <f t="shared" ca="1" si="55"/>
        <v>205.57621023966897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0.79219782612025835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44944</v>
      </c>
      <c r="S211" s="55">
        <f t="shared" ref="S211:S274" ca="1" si="69">IF(R211&gt;1,R211,"")</f>
        <v>44944</v>
      </c>
      <c r="T211" s="55">
        <f t="shared" ca="1" si="63"/>
        <v>32.458285446021208</v>
      </c>
      <c r="U211" s="55">
        <f t="shared" ca="1" si="64"/>
        <v>125.34750341369859</v>
      </c>
      <c r="V211" s="55">
        <f t="shared" ca="1" si="65"/>
        <v>0</v>
      </c>
      <c r="W211" s="55">
        <f t="shared" ref="W211:W274" ca="1" si="70">-VLOOKUP(S211,ModelOutputs,9,FALSE)+W210</f>
        <v>-34.506469392663178</v>
      </c>
      <c r="X211" s="55">
        <f t="shared" ref="X211:X274" ca="1" si="71">VLOOKUP(S211,ModelOutputs,5,FALSE)+X210</f>
        <v>0</v>
      </c>
      <c r="Y211" s="55">
        <f t="shared" ref="Y211:Y274" ca="1" si="72">VLOOKUP(S211,ModelOutputs,4,FALSE)+Y210</f>
        <v>0</v>
      </c>
      <c r="Z211">
        <f t="shared" ca="1" si="66"/>
        <v>39.615668538024565</v>
      </c>
      <c r="AA211">
        <f t="shared" ref="AA211:AA274" ca="1" si="73">VLOOKUP(S211,ModelOutputs,11,FALSE)+AA210</f>
        <v>205.57621023966897</v>
      </c>
      <c r="AB211">
        <f t="shared" ca="1" si="67"/>
        <v>0</v>
      </c>
      <c r="AC211">
        <f t="shared" ca="1" si="68"/>
        <v>0.79306288988171336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44945</v>
      </c>
      <c r="S212" s="55">
        <f t="shared" ca="1" si="69"/>
        <v>44945</v>
      </c>
      <c r="T212" s="55">
        <f t="shared" ca="1" si="63"/>
        <v>30.647437610900496</v>
      </c>
      <c r="U212" s="55">
        <f t="shared" ca="1" si="64"/>
        <v>127.1583512488193</v>
      </c>
      <c r="V212" s="55">
        <f t="shared" ca="1" si="65"/>
        <v>0</v>
      </c>
      <c r="W212" s="55">
        <f t="shared" ca="1" si="70"/>
        <v>-34.506469392663178</v>
      </c>
      <c r="X212" s="55">
        <f t="shared" ca="1" si="71"/>
        <v>0</v>
      </c>
      <c r="Y212" s="55">
        <f t="shared" ca="1" si="72"/>
        <v>0</v>
      </c>
      <c r="Z212">
        <f t="shared" ca="1" si="66"/>
        <v>39.141918376389071</v>
      </c>
      <c r="AA212">
        <f t="shared" ca="1" si="73"/>
        <v>205.57621023966897</v>
      </c>
      <c r="AB212">
        <f t="shared" ca="1" si="67"/>
        <v>0</v>
      </c>
      <c r="AC212">
        <f t="shared" ca="1" si="68"/>
        <v>0.79384839395490214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44946</v>
      </c>
      <c r="S213" s="55">
        <f t="shared" ca="1" si="69"/>
        <v>44946</v>
      </c>
      <c r="T213" s="55">
        <f t="shared" ca="1" si="63"/>
        <v>28.938596546979312</v>
      </c>
      <c r="U213" s="55">
        <f t="shared" ca="1" si="64"/>
        <v>128.86719231274049</v>
      </c>
      <c r="V213" s="55">
        <f t="shared" ca="1" si="65"/>
        <v>0</v>
      </c>
      <c r="W213" s="55">
        <f t="shared" ca="1" si="70"/>
        <v>-34.506469392663178</v>
      </c>
      <c r="X213" s="55">
        <f t="shared" ca="1" si="71"/>
        <v>0</v>
      </c>
      <c r="Y213" s="55">
        <f t="shared" ca="1" si="72"/>
        <v>0</v>
      </c>
      <c r="Z213">
        <f t="shared" ca="1" si="66"/>
        <v>36.58503398702284</v>
      </c>
      <c r="AA213">
        <f t="shared" ca="1" si="73"/>
        <v>205.57621023966897</v>
      </c>
      <c r="AB213">
        <f t="shared" ca="1" si="67"/>
        <v>0</v>
      </c>
      <c r="AC213">
        <f t="shared" ca="1" si="68"/>
        <v>0.79454222534371211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44947</v>
      </c>
      <c r="S214" s="55">
        <f t="shared" ca="1" si="69"/>
        <v>44947</v>
      </c>
      <c r="T214" s="55">
        <f t="shared" ca="1" si="63"/>
        <v>27.294030051663725</v>
      </c>
      <c r="U214" s="55">
        <f t="shared" ca="1" si="64"/>
        <v>130.51175880805607</v>
      </c>
      <c r="V214" s="55">
        <f t="shared" ca="1" si="65"/>
        <v>0</v>
      </c>
      <c r="W214" s="55">
        <f t="shared" ca="1" si="70"/>
        <v>-34.506469392663178</v>
      </c>
      <c r="X214" s="55">
        <f t="shared" ca="1" si="71"/>
        <v>0</v>
      </c>
      <c r="Y214" s="55">
        <f t="shared" ca="1" si="72"/>
        <v>0</v>
      </c>
      <c r="Z214">
        <f t="shared" ca="1" si="66"/>
        <v>47.736020753808717</v>
      </c>
      <c r="AA214">
        <f t="shared" ca="1" si="73"/>
        <v>205.57621023966897</v>
      </c>
      <c r="AB214">
        <f t="shared" ca="1" si="67"/>
        <v>0</v>
      </c>
      <c r="AC214">
        <f t="shared" ca="1" si="68"/>
        <v>0.79516801426200256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44948</v>
      </c>
      <c r="S215" s="55">
        <f t="shared" ca="1" si="69"/>
        <v>44948</v>
      </c>
      <c r="T215" s="55">
        <f t="shared" ca="1" si="63"/>
        <v>25.731147518226635</v>
      </c>
      <c r="U215" s="55">
        <f t="shared" ca="1" si="64"/>
        <v>132.07464134149316</v>
      </c>
      <c r="V215" s="55">
        <f t="shared" ca="1" si="65"/>
        <v>0</v>
      </c>
      <c r="W215" s="55">
        <f t="shared" ca="1" si="70"/>
        <v>-34.506469392663178</v>
      </c>
      <c r="X215" s="55">
        <f t="shared" ca="1" si="71"/>
        <v>0</v>
      </c>
      <c r="Y215" s="55">
        <f t="shared" ca="1" si="72"/>
        <v>0</v>
      </c>
      <c r="Z215">
        <f t="shared" ca="1" si="66"/>
        <v>49.1759789106016</v>
      </c>
      <c r="AA215">
        <f t="shared" ca="1" si="73"/>
        <v>205.57621023966897</v>
      </c>
      <c r="AB215">
        <f t="shared" ca="1" si="67"/>
        <v>0</v>
      </c>
      <c r="AC215">
        <f t="shared" ca="1" si="68"/>
        <v>0.79930351333604954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44949</v>
      </c>
      <c r="S216" s="55">
        <f t="shared" ca="1" si="69"/>
        <v>44949</v>
      </c>
      <c r="T216" s="55">
        <f t="shared" ca="1" si="63"/>
        <v>24.256132315286635</v>
      </c>
      <c r="U216" s="55">
        <f t="shared" ca="1" si="64"/>
        <v>133.54965654443316</v>
      </c>
      <c r="V216" s="55">
        <f t="shared" ca="1" si="65"/>
        <v>0</v>
      </c>
      <c r="W216" s="55">
        <f t="shared" ca="1" si="70"/>
        <v>-34.506469392663178</v>
      </c>
      <c r="X216" s="55">
        <f t="shared" ca="1" si="71"/>
        <v>0</v>
      </c>
      <c r="Y216" s="55">
        <f t="shared" ca="1" si="72"/>
        <v>0</v>
      </c>
      <c r="Z216">
        <f t="shared" ca="1" si="66"/>
        <v>47.955728409353398</v>
      </c>
      <c r="AA216">
        <f t="shared" ca="1" si="73"/>
        <v>205.57621023966897</v>
      </c>
      <c r="AB216">
        <f t="shared" ca="1" si="67"/>
        <v>0</v>
      </c>
      <c r="AC216">
        <f t="shared" ca="1" si="68"/>
        <v>0.77861662404549703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44950</v>
      </c>
      <c r="S217" s="55">
        <f t="shared" ca="1" si="69"/>
        <v>44950</v>
      </c>
      <c r="T217" s="55">
        <f t="shared" ca="1" si="63"/>
        <v>22.864450815728219</v>
      </c>
      <c r="U217" s="55">
        <f t="shared" ca="1" si="64"/>
        <v>134.94133804399158</v>
      </c>
      <c r="V217" s="55">
        <f t="shared" ca="1" si="65"/>
        <v>0</v>
      </c>
      <c r="W217" s="55">
        <f t="shared" ca="1" si="70"/>
        <v>-34.506469392663178</v>
      </c>
      <c r="X217" s="55">
        <f t="shared" ca="1" si="71"/>
        <v>0</v>
      </c>
      <c r="Y217" s="55">
        <f t="shared" ca="1" si="72"/>
        <v>0</v>
      </c>
      <c r="Z217">
        <f t="shared" ca="1" si="66"/>
        <v>48.641184066547979</v>
      </c>
      <c r="AA217">
        <f t="shared" ca="1" si="73"/>
        <v>205.57621023966897</v>
      </c>
      <c r="AB217">
        <f t="shared" ca="1" si="67"/>
        <v>0</v>
      </c>
      <c r="AC217">
        <f t="shared" ca="1" si="68"/>
        <v>0.75787075574057372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44951</v>
      </c>
      <c r="S218" s="55">
        <f t="shared" ca="1" si="69"/>
        <v>44951</v>
      </c>
      <c r="T218" s="55">
        <f t="shared" ca="1" si="63"/>
        <v>21.536513670663311</v>
      </c>
      <c r="U218" s="55">
        <f t="shared" ca="1" si="64"/>
        <v>136.26927518905649</v>
      </c>
      <c r="V218" s="55">
        <f t="shared" ca="1" si="65"/>
        <v>0</v>
      </c>
      <c r="W218" s="55">
        <f t="shared" ca="1" si="70"/>
        <v>-34.506469392663178</v>
      </c>
      <c r="X218" s="55">
        <f t="shared" ca="1" si="71"/>
        <v>0</v>
      </c>
      <c r="Y218" s="55">
        <f t="shared" ca="1" si="72"/>
        <v>0</v>
      </c>
      <c r="Z218">
        <f t="shared" ca="1" si="66"/>
        <v>49.610064576355136</v>
      </c>
      <c r="AA218">
        <f t="shared" ca="1" si="73"/>
        <v>205.57621023966897</v>
      </c>
      <c r="AB218">
        <f t="shared" ca="1" si="67"/>
        <v>0</v>
      </c>
      <c r="AC218">
        <f t="shared" ca="1" si="68"/>
        <v>0.73678575810301838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44952</v>
      </c>
      <c r="S219" s="55">
        <f t="shared" ca="1" si="69"/>
        <v>44952</v>
      </c>
      <c r="T219" s="55">
        <f t="shared" ca="1" si="63"/>
        <v>20.282126376175057</v>
      </c>
      <c r="U219" s="55">
        <f t="shared" ca="1" si="64"/>
        <v>137.52366248354474</v>
      </c>
      <c r="V219" s="55">
        <f t="shared" ca="1" si="65"/>
        <v>0</v>
      </c>
      <c r="W219" s="55">
        <f t="shared" ca="1" si="70"/>
        <v>-34.506469392663178</v>
      </c>
      <c r="X219" s="55">
        <f t="shared" ca="1" si="71"/>
        <v>0</v>
      </c>
      <c r="Y219" s="55">
        <f t="shared" ca="1" si="72"/>
        <v>0</v>
      </c>
      <c r="Z219">
        <f t="shared" ca="1" si="66"/>
        <v>45.988416866711887</v>
      </c>
      <c r="AA219">
        <f t="shared" ca="1" si="73"/>
        <v>205.57621023966897</v>
      </c>
      <c r="AB219">
        <f t="shared" ca="1" si="67"/>
        <v>0</v>
      </c>
      <c r="AC219">
        <f t="shared" ca="1" si="68"/>
        <v>0.71552382342235044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44953</v>
      </c>
      <c r="S220" s="55">
        <f t="shared" ca="1" si="69"/>
        <v>44953</v>
      </c>
      <c r="T220" s="55">
        <f t="shared" ca="1" si="63"/>
        <v>19.134985845182229</v>
      </c>
      <c r="U220" s="55">
        <f t="shared" ca="1" si="64"/>
        <v>138.67080301453757</v>
      </c>
      <c r="V220" s="55">
        <f t="shared" ca="1" si="65"/>
        <v>0</v>
      </c>
      <c r="W220" s="55">
        <f t="shared" ca="1" si="70"/>
        <v>-34.506469392663178</v>
      </c>
      <c r="X220" s="55">
        <f t="shared" ca="1" si="71"/>
        <v>0</v>
      </c>
      <c r="Y220" s="55">
        <f t="shared" ca="1" si="72"/>
        <v>0</v>
      </c>
      <c r="Z220">
        <f t="shared" ca="1" si="66"/>
        <v>45.210205736530767</v>
      </c>
      <c r="AA220">
        <f t="shared" ca="1" si="73"/>
        <v>205.57621023966897</v>
      </c>
      <c r="AB220">
        <f t="shared" ca="1" si="67"/>
        <v>0</v>
      </c>
      <c r="AC220">
        <f t="shared" ca="1" si="68"/>
        <v>0.69474846561024162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44954</v>
      </c>
      <c r="S221" s="55">
        <f t="shared" ca="1" si="69"/>
        <v>44954</v>
      </c>
      <c r="T221" s="55">
        <f t="shared" ca="1" si="63"/>
        <v>18.050084710173223</v>
      </c>
      <c r="U221" s="55">
        <f t="shared" ca="1" si="64"/>
        <v>139.75570414954657</v>
      </c>
      <c r="V221" s="55">
        <f t="shared" ca="1" si="65"/>
        <v>0</v>
      </c>
      <c r="W221" s="55">
        <f t="shared" ca="1" si="70"/>
        <v>-34.506469392663178</v>
      </c>
      <c r="X221" s="55">
        <f t="shared" ca="1" si="71"/>
        <v>0</v>
      </c>
      <c r="Y221" s="55">
        <f t="shared" ca="1" si="72"/>
        <v>0</v>
      </c>
      <c r="Z221">
        <f t="shared" ca="1" si="66"/>
        <v>42.907337258471614</v>
      </c>
      <c r="AA221">
        <f t="shared" ca="1" si="73"/>
        <v>205.57621023966897</v>
      </c>
      <c r="AB221">
        <f t="shared" ca="1" si="67"/>
        <v>0</v>
      </c>
      <c r="AC221">
        <f t="shared" ca="1" si="68"/>
        <v>0.67373719174064972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44955</v>
      </c>
      <c r="S222" s="55">
        <f t="shared" ca="1" si="69"/>
        <v>44955</v>
      </c>
      <c r="T222" s="55">
        <f t="shared" ca="1" si="63"/>
        <v>17.020683895651729</v>
      </c>
      <c r="U222" s="55">
        <f t="shared" ca="1" si="64"/>
        <v>140.78510496406807</v>
      </c>
      <c r="V222" s="55">
        <f t="shared" ca="1" si="65"/>
        <v>0</v>
      </c>
      <c r="W222" s="55">
        <f t="shared" ca="1" si="70"/>
        <v>-34.506469392663178</v>
      </c>
      <c r="X222" s="55">
        <f t="shared" ca="1" si="71"/>
        <v>0</v>
      </c>
      <c r="Y222" s="55">
        <f t="shared" ca="1" si="72"/>
        <v>0</v>
      </c>
      <c r="Z222">
        <f t="shared" ca="1" si="66"/>
        <v>41.365922476609221</v>
      </c>
      <c r="AA222">
        <f t="shared" ca="1" si="73"/>
        <v>205.57621023966897</v>
      </c>
      <c r="AB222">
        <f t="shared" ca="1" si="67"/>
        <v>0</v>
      </c>
      <c r="AC222">
        <f t="shared" ca="1" si="68"/>
        <v>0.65237204378483316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44956</v>
      </c>
      <c r="S223" s="55">
        <f t="shared" ca="1" si="69"/>
        <v>44956</v>
      </c>
      <c r="T223" s="55">
        <f t="shared" ca="1" si="63"/>
        <v>16.046461010791774</v>
      </c>
      <c r="U223" s="55">
        <f t="shared" ca="1" si="64"/>
        <v>141.75932784892802</v>
      </c>
      <c r="V223" s="55">
        <f t="shared" ca="1" si="65"/>
        <v>0</v>
      </c>
      <c r="W223" s="55">
        <f t="shared" ca="1" si="70"/>
        <v>-34.506469392663178</v>
      </c>
      <c r="X223" s="55">
        <f t="shared" ca="1" si="71"/>
        <v>0</v>
      </c>
      <c r="Y223" s="55">
        <f t="shared" ca="1" si="72"/>
        <v>0</v>
      </c>
      <c r="Z223">
        <f t="shared" ca="1" si="66"/>
        <v>41.833245865702445</v>
      </c>
      <c r="AA223">
        <f t="shared" ca="1" si="73"/>
        <v>205.57621023966897</v>
      </c>
      <c r="AB223">
        <f t="shared" ca="1" si="67"/>
        <v>0</v>
      </c>
      <c r="AC223">
        <f t="shared" ca="1" si="68"/>
        <v>0.6306530217427917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44957</v>
      </c>
      <c r="S224" s="55">
        <f t="shared" ca="1" si="69"/>
        <v>44957</v>
      </c>
      <c r="T224" s="55">
        <f t="shared" ca="1" si="63"/>
        <v>15.144563118959098</v>
      </c>
      <c r="U224" s="55">
        <f t="shared" ca="1" si="64"/>
        <v>142.6612257407607</v>
      </c>
      <c r="V224" s="55">
        <f t="shared" ca="1" si="65"/>
        <v>0</v>
      </c>
      <c r="W224" s="55">
        <f t="shared" ca="1" si="70"/>
        <v>-34.506469392663178</v>
      </c>
      <c r="X224" s="55">
        <f t="shared" ca="1" si="71"/>
        <v>0</v>
      </c>
      <c r="Y224" s="55">
        <f t="shared" ca="1" si="72"/>
        <v>0</v>
      </c>
      <c r="Z224">
        <f t="shared" ca="1" si="66"/>
        <v>41.614050195526822</v>
      </c>
      <c r="AA224">
        <f t="shared" ca="1" si="73"/>
        <v>205.57621023966897</v>
      </c>
      <c r="AB224">
        <f t="shared" ca="1" si="67"/>
        <v>0</v>
      </c>
      <c r="AC224">
        <f t="shared" ca="1" si="68"/>
        <v>0.60902246822230643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44958</v>
      </c>
      <c r="S225" s="55">
        <f t="shared" ca="1" si="69"/>
        <v>44958</v>
      </c>
      <c r="T225" s="55">
        <f t="shared" ca="1" si="63"/>
        <v>14.30143110521422</v>
      </c>
      <c r="U225" s="55">
        <f t="shared" ca="1" si="64"/>
        <v>143.50435775450558</v>
      </c>
      <c r="V225" s="55">
        <f t="shared" ca="1" si="65"/>
        <v>0</v>
      </c>
      <c r="W225" s="55">
        <f t="shared" ca="1" si="70"/>
        <v>-34.506469392663178</v>
      </c>
      <c r="X225" s="55">
        <f t="shared" ca="1" si="71"/>
        <v>0</v>
      </c>
      <c r="Y225" s="55">
        <f t="shared" ca="1" si="72"/>
        <v>0</v>
      </c>
      <c r="Z225">
        <f t="shared" ca="1" si="66"/>
        <v>38.276284399764364</v>
      </c>
      <c r="AA225">
        <f t="shared" ca="1" si="73"/>
        <v>205.57621023966897</v>
      </c>
      <c r="AB225">
        <f t="shared" ca="1" si="67"/>
        <v>0</v>
      </c>
      <c r="AC225">
        <f t="shared" ca="1" si="68"/>
        <v>0.58724446716589429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44959</v>
      </c>
      <c r="S226" s="55">
        <f t="shared" ca="1" si="69"/>
        <v>44959</v>
      </c>
      <c r="T226" s="55">
        <f t="shared" ca="1" si="63"/>
        <v>13.530731970836655</v>
      </c>
      <c r="U226" s="55">
        <f t="shared" ca="1" si="64"/>
        <v>144.27505688888314</v>
      </c>
      <c r="V226" s="55">
        <f t="shared" ca="1" si="65"/>
        <v>0</v>
      </c>
      <c r="W226" s="55">
        <f t="shared" ca="1" si="70"/>
        <v>-34.506469392663178</v>
      </c>
      <c r="X226" s="55">
        <f t="shared" ca="1" si="71"/>
        <v>0</v>
      </c>
      <c r="Y226" s="55">
        <f t="shared" ca="1" si="72"/>
        <v>0</v>
      </c>
      <c r="Z226">
        <f t="shared" ca="1" si="66"/>
        <v>40.659525733586094</v>
      </c>
      <c r="AA226">
        <f t="shared" ca="1" si="73"/>
        <v>205.57621023966897</v>
      </c>
      <c r="AB226">
        <f t="shared" ca="1" si="67"/>
        <v>0</v>
      </c>
      <c r="AC226">
        <f t="shared" ca="1" si="68"/>
        <v>0.56579085068852153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44960</v>
      </c>
      <c r="S227" s="55">
        <f t="shared" ca="1" si="69"/>
        <v>44960</v>
      </c>
      <c r="T227" s="55">
        <f t="shared" ca="1" si="63"/>
        <v>12.826213758482112</v>
      </c>
      <c r="U227" s="55">
        <f t="shared" ca="1" si="64"/>
        <v>144.97957510123769</v>
      </c>
      <c r="V227" s="55">
        <f t="shared" ca="1" si="65"/>
        <v>0</v>
      </c>
      <c r="W227" s="55">
        <f t="shared" ca="1" si="70"/>
        <v>-34.506469392663178</v>
      </c>
      <c r="X227" s="55">
        <f t="shared" ca="1" si="71"/>
        <v>0</v>
      </c>
      <c r="Y227" s="55">
        <f t="shared" ca="1" si="72"/>
        <v>0</v>
      </c>
      <c r="Z227">
        <f t="shared" ca="1" si="66"/>
        <v>37.21677059058333</v>
      </c>
      <c r="AA227">
        <f t="shared" ca="1" si="73"/>
        <v>205.57621023966897</v>
      </c>
      <c r="AB227">
        <f t="shared" ca="1" si="67"/>
        <v>0</v>
      </c>
      <c r="AC227">
        <f t="shared" ca="1" si="68"/>
        <v>0.54466161879018815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44961</v>
      </c>
      <c r="S228" s="55">
        <f t="shared" ca="1" si="69"/>
        <v>44961</v>
      </c>
      <c r="T228" s="55">
        <f t="shared" ca="1" si="63"/>
        <v>12.199718169065278</v>
      </c>
      <c r="U228" s="55">
        <f t="shared" ca="1" si="64"/>
        <v>145.60607069065452</v>
      </c>
      <c r="V228" s="55">
        <f t="shared" ca="1" si="65"/>
        <v>0</v>
      </c>
      <c r="W228" s="55">
        <f t="shared" ca="1" si="70"/>
        <v>-34.506469392663178</v>
      </c>
      <c r="X228" s="55">
        <f t="shared" ca="1" si="71"/>
        <v>0</v>
      </c>
      <c r="Y228" s="55">
        <f t="shared" ca="1" si="72"/>
        <v>0</v>
      </c>
      <c r="Z228">
        <f t="shared" ca="1" si="66"/>
        <v>41.387679791306105</v>
      </c>
      <c r="AA228">
        <f t="shared" ca="1" si="73"/>
        <v>205.57621023966897</v>
      </c>
      <c r="AB228">
        <f t="shared" ca="1" si="67"/>
        <v>0</v>
      </c>
      <c r="AC228">
        <f t="shared" ca="1" si="68"/>
        <v>0.52444656161460168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44962</v>
      </c>
      <c r="S229" s="55">
        <f t="shared" ca="1" si="69"/>
        <v>44962</v>
      </c>
      <c r="T229" s="55">
        <f t="shared" ca="1" si="63"/>
        <v>11.597604933300772</v>
      </c>
      <c r="U229" s="55">
        <f t="shared" ca="1" si="64"/>
        <v>146.20818392641903</v>
      </c>
      <c r="V229" s="55">
        <f t="shared" ca="1" si="65"/>
        <v>0</v>
      </c>
      <c r="W229" s="55">
        <f t="shared" ca="1" si="70"/>
        <v>-34.506469392663178</v>
      </c>
      <c r="X229" s="55">
        <f t="shared" ca="1" si="71"/>
        <v>0</v>
      </c>
      <c r="Y229" s="55">
        <f t="shared" ca="1" si="72"/>
        <v>0</v>
      </c>
      <c r="Z229">
        <f t="shared" ca="1" si="66"/>
        <v>40.576665865995949</v>
      </c>
      <c r="AA229">
        <f t="shared" ca="1" si="73"/>
        <v>205.57621023966897</v>
      </c>
      <c r="AB229">
        <f t="shared" ca="1" si="67"/>
        <v>0</v>
      </c>
      <c r="AC229">
        <f t="shared" ca="1" si="68"/>
        <v>0.50353850102015851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44963</v>
      </c>
      <c r="S230" s="55">
        <f t="shared" ca="1" si="69"/>
        <v>44963</v>
      </c>
      <c r="T230" s="55">
        <f t="shared" ca="1" si="63"/>
        <v>11.043717259226241</v>
      </c>
      <c r="U230" s="55">
        <f t="shared" ca="1" si="64"/>
        <v>146.76207160049356</v>
      </c>
      <c r="V230" s="55">
        <f t="shared" ca="1" si="65"/>
        <v>0</v>
      </c>
      <c r="W230" s="55">
        <f t="shared" ca="1" si="70"/>
        <v>-34.506469392663178</v>
      </c>
      <c r="X230" s="55">
        <f t="shared" ca="1" si="71"/>
        <v>0</v>
      </c>
      <c r="Y230" s="55">
        <f t="shared" ca="1" si="72"/>
        <v>0</v>
      </c>
      <c r="Z230">
        <f t="shared" ca="1" si="66"/>
        <v>35.736262898069938</v>
      </c>
      <c r="AA230">
        <f t="shared" ca="1" si="73"/>
        <v>205.57621023966897</v>
      </c>
      <c r="AB230">
        <f t="shared" ca="1" si="67"/>
        <v>0</v>
      </c>
      <c r="AC230">
        <f t="shared" ca="1" si="68"/>
        <v>0.4828073774688279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44964</v>
      </c>
      <c r="S231" s="55">
        <f t="shared" ca="1" si="69"/>
        <v>44964</v>
      </c>
      <c r="T231" s="55">
        <f t="shared" ca="1" si="63"/>
        <v>10.52611729649459</v>
      </c>
      <c r="U231" s="55">
        <f t="shared" ca="1" si="64"/>
        <v>147.27967156322521</v>
      </c>
      <c r="V231" s="55">
        <f t="shared" ca="1" si="65"/>
        <v>0</v>
      </c>
      <c r="W231" s="55">
        <f t="shared" ca="1" si="70"/>
        <v>-34.506469392663178</v>
      </c>
      <c r="X231" s="55">
        <f t="shared" ca="1" si="71"/>
        <v>0</v>
      </c>
      <c r="Y231" s="55">
        <f t="shared" ca="1" si="72"/>
        <v>0</v>
      </c>
      <c r="Z231">
        <f t="shared" ca="1" si="66"/>
        <v>32.388380657093457</v>
      </c>
      <c r="AA231">
        <f t="shared" ca="1" si="73"/>
        <v>205.57621023966897</v>
      </c>
      <c r="AB231">
        <f t="shared" ca="1" si="67"/>
        <v>0</v>
      </c>
      <c r="AC231">
        <f t="shared" ca="1" si="68"/>
        <v>0.46191406162797738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44965</v>
      </c>
      <c r="S232" s="55">
        <f t="shared" ca="1" si="69"/>
        <v>44965</v>
      </c>
      <c r="T232" s="55">
        <f t="shared" ca="1" si="63"/>
        <v>10.047245275803704</v>
      </c>
      <c r="U232" s="55">
        <f t="shared" ca="1" si="64"/>
        <v>147.75854358391609</v>
      </c>
      <c r="V232" s="55">
        <f t="shared" ca="1" si="65"/>
        <v>0</v>
      </c>
      <c r="W232" s="55">
        <f t="shared" ca="1" si="70"/>
        <v>-34.506469392663178</v>
      </c>
      <c r="X232" s="55">
        <f t="shared" ca="1" si="71"/>
        <v>0</v>
      </c>
      <c r="Y232" s="55">
        <f t="shared" ca="1" si="72"/>
        <v>0</v>
      </c>
      <c r="Z232">
        <f t="shared" ca="1" si="66"/>
        <v>31.866782148812579</v>
      </c>
      <c r="AA232">
        <f t="shared" ca="1" si="73"/>
        <v>205.57621023966897</v>
      </c>
      <c r="AB232">
        <f t="shared" ca="1" si="67"/>
        <v>0</v>
      </c>
      <c r="AC232">
        <f t="shared" ca="1" si="68"/>
        <v>0.44105023529431231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44966</v>
      </c>
      <c r="S233" s="55">
        <f t="shared" ca="1" si="69"/>
        <v>44966</v>
      </c>
      <c r="T233" s="55">
        <f t="shared" ca="1" si="63"/>
        <v>9.5998655561398039</v>
      </c>
      <c r="U233" s="55">
        <f t="shared" ca="1" si="64"/>
        <v>148.20592330357999</v>
      </c>
      <c r="V233" s="55">
        <f t="shared" ca="1" si="65"/>
        <v>0</v>
      </c>
      <c r="W233" s="55">
        <f t="shared" ca="1" si="70"/>
        <v>-34.506469392663178</v>
      </c>
      <c r="X233" s="55">
        <f t="shared" ca="1" si="71"/>
        <v>0</v>
      </c>
      <c r="Y233" s="55">
        <f t="shared" ca="1" si="72"/>
        <v>0</v>
      </c>
      <c r="Z233">
        <f t="shared" ca="1" si="66"/>
        <v>29.523480280387076</v>
      </c>
      <c r="AA233">
        <f t="shared" ca="1" si="73"/>
        <v>205.57621023966897</v>
      </c>
      <c r="AB233">
        <f t="shared" ca="1" si="67"/>
        <v>0</v>
      </c>
      <c r="AC233">
        <f t="shared" ca="1" si="68"/>
        <v>0.41999472716394232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44967</v>
      </c>
      <c r="S234" s="55">
        <f t="shared" ca="1" si="69"/>
        <v>44967</v>
      </c>
      <c r="T234" s="55">
        <f t="shared" ca="1" si="63"/>
        <v>9.1757648658511357</v>
      </c>
      <c r="U234" s="55">
        <f t="shared" ca="1" si="64"/>
        <v>148.63002399386866</v>
      </c>
      <c r="V234" s="55">
        <f t="shared" ca="1" si="65"/>
        <v>0</v>
      </c>
      <c r="W234" s="55">
        <f t="shared" ca="1" si="70"/>
        <v>-34.506469392663178</v>
      </c>
      <c r="X234" s="55">
        <f t="shared" ca="1" si="71"/>
        <v>0</v>
      </c>
      <c r="Y234" s="55">
        <f t="shared" ca="1" si="72"/>
        <v>0</v>
      </c>
      <c r="Z234">
        <f t="shared" ca="1" si="66"/>
        <v>28.477269915625147</v>
      </c>
      <c r="AA234">
        <f t="shared" ca="1" si="73"/>
        <v>205.57621023966897</v>
      </c>
      <c r="AB234">
        <f t="shared" ca="1" si="67"/>
        <v>0</v>
      </c>
      <c r="AC234">
        <f t="shared" ca="1" si="68"/>
        <v>0.3983936631506424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44968</v>
      </c>
      <c r="S235" s="55">
        <f t="shared" ca="1" si="69"/>
        <v>44968</v>
      </c>
      <c r="T235" s="55">
        <f t="shared" ca="1" si="63"/>
        <v>8.7796012465029207</v>
      </c>
      <c r="U235" s="55">
        <f t="shared" ca="1" si="64"/>
        <v>149.02618761321688</v>
      </c>
      <c r="V235" s="55">
        <f t="shared" ca="1" si="65"/>
        <v>0</v>
      </c>
      <c r="W235" s="55">
        <f t="shared" ca="1" si="70"/>
        <v>-34.506469392663178</v>
      </c>
      <c r="X235" s="55">
        <f t="shared" ca="1" si="71"/>
        <v>0</v>
      </c>
      <c r="Y235" s="55">
        <f t="shared" ca="1" si="72"/>
        <v>0</v>
      </c>
      <c r="Z235">
        <f t="shared" ca="1" si="66"/>
        <v>29.224396424746729</v>
      </c>
      <c r="AA235">
        <f t="shared" ca="1" si="73"/>
        <v>205.57621023966897</v>
      </c>
      <c r="AB235">
        <f t="shared" ca="1" si="67"/>
        <v>0</v>
      </c>
      <c r="AC235">
        <f t="shared" ca="1" si="68"/>
        <v>0.37651244881908152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44969</v>
      </c>
      <c r="S236" s="55">
        <f t="shared" ca="1" si="69"/>
        <v>44969</v>
      </c>
      <c r="T236" s="55">
        <f t="shared" ca="1" si="63"/>
        <v>8.4162812620057537</v>
      </c>
      <c r="U236" s="55">
        <f t="shared" ca="1" si="64"/>
        <v>149.38950759771404</v>
      </c>
      <c r="V236" s="55">
        <f t="shared" ca="1" si="65"/>
        <v>0</v>
      </c>
      <c r="W236" s="55">
        <f t="shared" ca="1" si="70"/>
        <v>-34.506469392663178</v>
      </c>
      <c r="X236" s="55">
        <f t="shared" ca="1" si="71"/>
        <v>0</v>
      </c>
      <c r="Y236" s="55">
        <f t="shared" ca="1" si="72"/>
        <v>0</v>
      </c>
      <c r="Z236">
        <f t="shared" ca="1" si="66"/>
        <v>30.526292923102062</v>
      </c>
      <c r="AA236">
        <f t="shared" ca="1" si="73"/>
        <v>205.57621023966897</v>
      </c>
      <c r="AB236">
        <f t="shared" ca="1" si="67"/>
        <v>0</v>
      </c>
      <c r="AC236">
        <f t="shared" ca="1" si="68"/>
        <v>0.35473444776266938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44970</v>
      </c>
      <c r="S237" s="55">
        <f t="shared" ca="1" si="69"/>
        <v>44970</v>
      </c>
      <c r="T237" s="55">
        <f t="shared" ca="1" si="63"/>
        <v>8.0859257689495507</v>
      </c>
      <c r="U237" s="55">
        <f t="shared" ca="1" si="64"/>
        <v>149.71986309077025</v>
      </c>
      <c r="V237" s="55">
        <f t="shared" ca="1" si="65"/>
        <v>0</v>
      </c>
      <c r="W237" s="55">
        <f t="shared" ca="1" si="70"/>
        <v>-34.506469392663178</v>
      </c>
      <c r="X237" s="55">
        <f t="shared" ca="1" si="71"/>
        <v>0</v>
      </c>
      <c r="Y237" s="55">
        <f t="shared" ca="1" si="72"/>
        <v>0</v>
      </c>
      <c r="Z237">
        <f t="shared" ca="1" si="66"/>
        <v>27.868693142644684</v>
      </c>
      <c r="AA237">
        <f t="shared" ca="1" si="73"/>
        <v>205.57621023966897</v>
      </c>
      <c r="AB237">
        <f t="shared" ca="1" si="67"/>
        <v>0</v>
      </c>
      <c r="AC237">
        <f t="shared" ca="1" si="68"/>
        <v>0.33325134177811128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44971</v>
      </c>
      <c r="S238" s="55">
        <f t="shared" ca="1" si="69"/>
        <v>44971</v>
      </c>
      <c r="T238" s="55">
        <f t="shared" ca="1" si="63"/>
        <v>7.7809606672524012</v>
      </c>
      <c r="U238" s="55">
        <f t="shared" ca="1" si="64"/>
        <v>150.0248281924674</v>
      </c>
      <c r="V238" s="55">
        <f t="shared" ca="1" si="65"/>
        <v>0</v>
      </c>
      <c r="W238" s="55">
        <f t="shared" ca="1" si="70"/>
        <v>-34.506469392663178</v>
      </c>
      <c r="X238" s="55">
        <f t="shared" ca="1" si="71"/>
        <v>0</v>
      </c>
      <c r="Y238" s="55">
        <f t="shared" ca="1" si="72"/>
        <v>0</v>
      </c>
      <c r="Z238">
        <f t="shared" ca="1" si="66"/>
        <v>27.770427502596025</v>
      </c>
      <c r="AA238">
        <f t="shared" ca="1" si="73"/>
        <v>205.57621023966897</v>
      </c>
      <c r="AB238">
        <f t="shared" ca="1" si="67"/>
        <v>0</v>
      </c>
      <c r="AC238">
        <f t="shared" ca="1" si="68"/>
        <v>0.31173874628636772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44972</v>
      </c>
      <c r="S239" s="55">
        <f t="shared" ca="1" si="69"/>
        <v>44972</v>
      </c>
      <c r="T239" s="55">
        <f t="shared" ca="1" si="63"/>
        <v>7.5041859049794937</v>
      </c>
      <c r="U239" s="55">
        <f t="shared" ca="1" si="64"/>
        <v>150.3016029547403</v>
      </c>
      <c r="V239" s="55">
        <f t="shared" ca="1" si="65"/>
        <v>0</v>
      </c>
      <c r="W239" s="55">
        <f t="shared" ca="1" si="70"/>
        <v>-34.506469392663178</v>
      </c>
      <c r="X239" s="55">
        <f t="shared" ca="1" si="71"/>
        <v>0</v>
      </c>
      <c r="Y239" s="55">
        <f t="shared" ca="1" si="72"/>
        <v>0</v>
      </c>
      <c r="Z239">
        <f t="shared" ca="1" si="66"/>
        <v>29.441654755351735</v>
      </c>
      <c r="AA239">
        <f t="shared" ca="1" si="73"/>
        <v>205.57621023966897</v>
      </c>
      <c r="AB239">
        <f t="shared" ca="1" si="67"/>
        <v>0</v>
      </c>
      <c r="AC239">
        <f t="shared" ca="1" si="68"/>
        <v>0.2905652801272563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44973</v>
      </c>
      <c r="S240" s="55">
        <f t="shared" ca="1" si="69"/>
        <v>44973</v>
      </c>
      <c r="T240" s="55">
        <f t="shared" ca="1" si="63"/>
        <v>7.2505911821835696</v>
      </c>
      <c r="U240" s="55">
        <f t="shared" ca="1" si="64"/>
        <v>150.55519767753623</v>
      </c>
      <c r="V240" s="55">
        <f t="shared" ca="1" si="65"/>
        <v>0</v>
      </c>
      <c r="W240" s="55">
        <f t="shared" ca="1" si="70"/>
        <v>-34.506469392663178</v>
      </c>
      <c r="X240" s="55">
        <f t="shared" ca="1" si="71"/>
        <v>0</v>
      </c>
      <c r="Y240" s="55">
        <f t="shared" ca="1" si="72"/>
        <v>0</v>
      </c>
      <c r="Z240">
        <f t="shared" ca="1" si="66"/>
        <v>29.573092113167547</v>
      </c>
      <c r="AA240">
        <f t="shared" ca="1" si="73"/>
        <v>205.57621023966897</v>
      </c>
      <c r="AB240">
        <f t="shared" ca="1" si="67"/>
        <v>0</v>
      </c>
      <c r="AC240">
        <f t="shared" ca="1" si="68"/>
        <v>0.26953926150407165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44974</v>
      </c>
      <c r="S241" s="55">
        <f t="shared" ca="1" si="69"/>
        <v>44974</v>
      </c>
      <c r="T241" s="55">
        <f t="shared" ca="1" si="63"/>
        <v>7.0162888971868824</v>
      </c>
      <c r="U241" s="55">
        <f t="shared" ca="1" si="64"/>
        <v>150.78949996253291</v>
      </c>
      <c r="V241" s="55">
        <f t="shared" ca="1" si="65"/>
        <v>0</v>
      </c>
      <c r="W241" s="55">
        <f t="shared" ca="1" si="70"/>
        <v>-34.506469392663178</v>
      </c>
      <c r="X241" s="55">
        <f t="shared" ca="1" si="71"/>
        <v>0</v>
      </c>
      <c r="Y241" s="55">
        <f t="shared" ca="1" si="72"/>
        <v>0</v>
      </c>
      <c r="Z241">
        <f t="shared" ca="1" si="66"/>
        <v>34.797938159141097</v>
      </c>
      <c r="AA241">
        <f t="shared" ca="1" si="73"/>
        <v>205.57621023966897</v>
      </c>
      <c r="AB241">
        <f t="shared" ca="1" si="67"/>
        <v>0</v>
      </c>
      <c r="AC241">
        <f t="shared" ca="1" si="68"/>
        <v>0.24848375337370163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44975</v>
      </c>
      <c r="S242" s="55">
        <f t="shared" ca="1" si="69"/>
        <v>44975</v>
      </c>
      <c r="T242" s="55">
        <f t="shared" ca="1" si="63"/>
        <v>6.7981490117402359</v>
      </c>
      <c r="U242" s="55">
        <f t="shared" ca="1" si="64"/>
        <v>151.00763984797956</v>
      </c>
      <c r="V242" s="55">
        <f t="shared" ca="1" si="65"/>
        <v>0</v>
      </c>
      <c r="W242" s="55">
        <f t="shared" ca="1" si="70"/>
        <v>-34.506469392663178</v>
      </c>
      <c r="X242" s="55">
        <f t="shared" ca="1" si="71"/>
        <v>0</v>
      </c>
      <c r="Y242" s="55">
        <f t="shared" ca="1" si="72"/>
        <v>0</v>
      </c>
      <c r="Z242">
        <f t="shared" ca="1" si="66"/>
        <v>34.167781784911433</v>
      </c>
      <c r="AA242">
        <f t="shared" ca="1" si="73"/>
        <v>205.57621023966897</v>
      </c>
      <c r="AB242">
        <f t="shared" ca="1" si="67"/>
        <v>0</v>
      </c>
      <c r="AC242">
        <f t="shared" ca="1" si="68"/>
        <v>0.22722181869303412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44976</v>
      </c>
      <c r="S243" s="55">
        <f t="shared" ca="1" si="69"/>
        <v>44976</v>
      </c>
      <c r="T243" s="55">
        <f t="shared" ca="1" si="63"/>
        <v>6.597157398873037</v>
      </c>
      <c r="U243" s="55">
        <f t="shared" ca="1" si="64"/>
        <v>151.20863146084676</v>
      </c>
      <c r="V243" s="55">
        <f t="shared" ca="1" si="65"/>
        <v>0</v>
      </c>
      <c r="W243" s="55">
        <f t="shared" ca="1" si="70"/>
        <v>-34.506469392663178</v>
      </c>
      <c r="X243" s="55">
        <f t="shared" ca="1" si="71"/>
        <v>0</v>
      </c>
      <c r="Y243" s="55">
        <f t="shared" ca="1" si="72"/>
        <v>0</v>
      </c>
      <c r="Z243">
        <f t="shared" ca="1" si="66"/>
        <v>34.004702246581353</v>
      </c>
      <c r="AA243">
        <f t="shared" ca="1" si="73"/>
        <v>205.57621023966897</v>
      </c>
      <c r="AB243">
        <f t="shared" ca="1" si="67"/>
        <v>0</v>
      </c>
      <c r="AC243">
        <f t="shared" ca="1" si="68"/>
        <v>0.20595988401236626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44977</v>
      </c>
      <c r="S244" s="55">
        <f t="shared" ca="1" si="69"/>
        <v>44977</v>
      </c>
      <c r="T244" s="55">
        <f t="shared" ca="1" si="63"/>
        <v>6.4108986604553593</v>
      </c>
      <c r="U244" s="55">
        <f t="shared" ca="1" si="64"/>
        <v>151.39489019926444</v>
      </c>
      <c r="V244" s="55">
        <f t="shared" ca="1" si="65"/>
        <v>0</v>
      </c>
      <c r="W244" s="55">
        <f t="shared" ca="1" si="70"/>
        <v>-34.506469392663178</v>
      </c>
      <c r="X244" s="55">
        <f t="shared" ca="1" si="71"/>
        <v>0</v>
      </c>
      <c r="Y244" s="55">
        <f t="shared" ca="1" si="72"/>
        <v>0</v>
      </c>
      <c r="Z244">
        <f t="shared" ca="1" si="66"/>
        <v>38.269054776971238</v>
      </c>
      <c r="AA244">
        <f t="shared" ca="1" si="73"/>
        <v>205.57621023966897</v>
      </c>
      <c r="AB244">
        <f t="shared" ca="1" si="67"/>
        <v>0</v>
      </c>
      <c r="AC244">
        <f t="shared" ca="1" si="68"/>
        <v>0.18456524654936388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44978</v>
      </c>
      <c r="S245" s="55">
        <f t="shared" ca="1" si="69"/>
        <v>44978</v>
      </c>
      <c r="T245" s="55">
        <f t="shared" ca="1" si="63"/>
        <v>6.2402368880363213</v>
      </c>
      <c r="U245" s="55">
        <f t="shared" ca="1" si="64"/>
        <v>151.56555197168348</v>
      </c>
      <c r="V245" s="55">
        <f t="shared" ca="1" si="65"/>
        <v>0</v>
      </c>
      <c r="W245" s="55">
        <f t="shared" ca="1" si="70"/>
        <v>-34.506469392663178</v>
      </c>
      <c r="X245" s="55">
        <f t="shared" ca="1" si="71"/>
        <v>0</v>
      </c>
      <c r="Y245" s="55">
        <f t="shared" ca="1" si="72"/>
        <v>0</v>
      </c>
      <c r="Z245">
        <f t="shared" ca="1" si="66"/>
        <v>40.806651016203759</v>
      </c>
      <c r="AA245">
        <f t="shared" ca="1" si="73"/>
        <v>205.57621023966897</v>
      </c>
      <c r="AB245">
        <f t="shared" ca="1" si="67"/>
        <v>0</v>
      </c>
      <c r="AC245">
        <f t="shared" ca="1" si="68"/>
        <v>0.16327382236151058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>
        <f ca="1"/>
        <v>44979</v>
      </c>
      <c r="S246" s="55">
        <f t="shared" ca="1" si="69"/>
        <v>44979</v>
      </c>
      <c r="T246" s="55">
        <f t="shared" ca="1" si="63"/>
        <v>6.0852991195663719</v>
      </c>
      <c r="U246" s="55">
        <f t="shared" ca="1" si="64"/>
        <v>151.72048974015343</v>
      </c>
      <c r="V246" s="55">
        <f t="shared" ca="1" si="65"/>
        <v>0</v>
      </c>
      <c r="W246" s="55">
        <f t="shared" ca="1" si="70"/>
        <v>-34.506469392663178</v>
      </c>
      <c r="X246" s="55">
        <f t="shared" ca="1" si="71"/>
        <v>0</v>
      </c>
      <c r="Y246" s="55">
        <f t="shared" ca="1" si="72"/>
        <v>0</v>
      </c>
      <c r="Z246">
        <f t="shared" ca="1" si="66"/>
        <v>40.724331325872413</v>
      </c>
      <c r="AA246">
        <f t="shared" ca="1" si="73"/>
        <v>205.57621023966897</v>
      </c>
      <c r="AB246">
        <f t="shared" ca="1" si="67"/>
        <v>0</v>
      </c>
      <c r="AC246">
        <f t="shared" ca="1" si="68"/>
        <v>0.142292037999104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>
        <f ca="1"/>
        <v>44980</v>
      </c>
      <c r="S247" s="55">
        <f t="shared" ca="1" si="69"/>
        <v>44980</v>
      </c>
      <c r="T247" s="55">
        <f t="shared" ca="1" si="63"/>
        <v>5.9425943953067133</v>
      </c>
      <c r="U247" s="55">
        <f t="shared" ca="1" si="64"/>
        <v>151.86319446441308</v>
      </c>
      <c r="V247" s="55">
        <f t="shared" ca="1" si="65"/>
        <v>0</v>
      </c>
      <c r="W247" s="55">
        <f t="shared" ca="1" si="70"/>
        <v>-34.506469392663178</v>
      </c>
      <c r="X247" s="55">
        <f t="shared" ca="1" si="71"/>
        <v>0</v>
      </c>
      <c r="Y247" s="55">
        <f t="shared" ca="1" si="72"/>
        <v>0</v>
      </c>
      <c r="Z247">
        <f t="shared" ca="1" si="66"/>
        <v>43.53438813439449</v>
      </c>
      <c r="AA247">
        <f t="shared" ca="1" si="73"/>
        <v>205.57621023966897</v>
      </c>
      <c r="AB247">
        <f t="shared" ca="1" si="67"/>
        <v>0</v>
      </c>
      <c r="AC247">
        <f t="shared" ca="1" si="68"/>
        <v>0.12132499839029043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>
        <f ca="1"/>
        <v>44981</v>
      </c>
      <c r="S248" s="55">
        <f t="shared" ca="1" si="69"/>
        <v>44981</v>
      </c>
      <c r="T248" s="55">
        <f t="shared" ca="1" si="63"/>
        <v>5.8149022436119822</v>
      </c>
      <c r="U248" s="55">
        <f t="shared" ca="1" si="64"/>
        <v>151.99088661610782</v>
      </c>
      <c r="V248" s="55">
        <f t="shared" ca="1" si="65"/>
        <v>0</v>
      </c>
      <c r="W248" s="55">
        <f t="shared" ca="1" si="70"/>
        <v>-34.506469392663178</v>
      </c>
      <c r="X248" s="55">
        <f t="shared" ca="1" si="71"/>
        <v>0</v>
      </c>
      <c r="Y248" s="55">
        <f t="shared" ca="1" si="72"/>
        <v>0</v>
      </c>
      <c r="Z248">
        <f t="shared" ca="1" si="66"/>
        <v>43.581136018186946</v>
      </c>
      <c r="AA248">
        <f t="shared" ca="1" si="73"/>
        <v>205.57621023966897</v>
      </c>
      <c r="AB248">
        <f t="shared" ca="1" si="67"/>
        <v>0</v>
      </c>
      <c r="AC248">
        <f t="shared" ca="1" si="68"/>
        <v>0.10099198318596257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>
        <f ca="1"/>
        <v>44982</v>
      </c>
      <c r="S249" s="55">
        <f t="shared" ca="1" si="69"/>
        <v>44982</v>
      </c>
      <c r="T249" s="55">
        <f t="shared" ca="1" si="63"/>
        <v>5.7009817582161872</v>
      </c>
      <c r="U249" s="55">
        <f t="shared" ca="1" si="64"/>
        <v>152.10480710150361</v>
      </c>
      <c r="V249" s="55">
        <f t="shared" ca="1" si="65"/>
        <v>0</v>
      </c>
      <c r="W249" s="55">
        <f t="shared" ca="1" si="70"/>
        <v>-34.506469392663178</v>
      </c>
      <c r="X249" s="55">
        <f t="shared" ca="1" si="71"/>
        <v>0</v>
      </c>
      <c r="Y249" s="55">
        <f t="shared" ca="1" si="72"/>
        <v>0</v>
      </c>
      <c r="Z249">
        <f t="shared" ca="1" si="66"/>
        <v>42.79894157178488</v>
      </c>
      <c r="AA249">
        <f t="shared" ca="1" si="73"/>
        <v>205.57621023966897</v>
      </c>
      <c r="AB249">
        <f t="shared" ca="1" si="67"/>
        <v>0</v>
      </c>
      <c r="AC249">
        <f t="shared" ca="1" si="68"/>
        <v>8.1381460907676492E-2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>
        <f ca="1"/>
        <v>44983</v>
      </c>
      <c r="S250" s="55">
        <f t="shared" ca="1" si="69"/>
        <v>44983</v>
      </c>
      <c r="T250" s="55">
        <f t="shared" ca="1" si="63"/>
        <v>5.5946256943082062</v>
      </c>
      <c r="U250" s="55">
        <f t="shared" ca="1" si="64"/>
        <v>152.21116316541159</v>
      </c>
      <c r="V250" s="55">
        <f t="shared" ca="1" si="65"/>
        <v>0</v>
      </c>
      <c r="W250" s="55">
        <f t="shared" ca="1" si="70"/>
        <v>-34.506469392663178</v>
      </c>
      <c r="X250" s="55">
        <f t="shared" ca="1" si="71"/>
        <v>0</v>
      </c>
      <c r="Y250" s="55">
        <f t="shared" ca="1" si="72"/>
        <v>0</v>
      </c>
      <c r="Z250">
        <f t="shared" ca="1" si="66"/>
        <v>43.546303388292564</v>
      </c>
      <c r="AA250">
        <f t="shared" ca="1" si="73"/>
        <v>205.57621023966897</v>
      </c>
      <c r="AB250">
        <f t="shared" ca="1" si="67"/>
        <v>0</v>
      </c>
      <c r="AC250">
        <f t="shared" ca="1" si="68"/>
        <v>6.1608746339871262E-2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>
        <f ca="1"/>
        <v>44984</v>
      </c>
      <c r="S251" s="55">
        <f t="shared" ca="1" si="69"/>
        <v>44984</v>
      </c>
      <c r="T251" s="55">
        <f t="shared" ca="1" si="63"/>
        <v>5.4954122246846566</v>
      </c>
      <c r="U251" s="55">
        <f t="shared" ca="1" si="64"/>
        <v>152.31037663503514</v>
      </c>
      <c r="V251" s="55">
        <f t="shared" ca="1" si="65"/>
        <v>0</v>
      </c>
      <c r="W251" s="55">
        <f t="shared" ca="1" si="70"/>
        <v>-34.506469392663178</v>
      </c>
      <c r="X251" s="55">
        <f t="shared" ca="1" si="71"/>
        <v>0</v>
      </c>
      <c r="Y251" s="55">
        <f t="shared" ca="1" si="72"/>
        <v>0</v>
      </c>
      <c r="Z251">
        <f t="shared" ca="1" si="66"/>
        <v>43.652588569273483</v>
      </c>
      <c r="AA251">
        <f t="shared" ca="1" si="73"/>
        <v>205.57621023966897</v>
      </c>
      <c r="AB251">
        <f t="shared" ca="1" si="67"/>
        <v>0</v>
      </c>
      <c r="AC251">
        <f t="shared" ca="1" si="68"/>
        <v>4.1673839482546174E-2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>
        <f ca="1"/>
        <v>44985</v>
      </c>
      <c r="S252" s="55">
        <f t="shared" ca="1" si="69"/>
        <v>44985</v>
      </c>
      <c r="T252" s="55">
        <f t="shared" ca="1" si="63"/>
        <v>5.4054167105631734</v>
      </c>
      <c r="U252" s="55">
        <f t="shared" ca="1" si="64"/>
        <v>152.40037214915662</v>
      </c>
      <c r="V252" s="55">
        <f t="shared" ca="1" si="65"/>
        <v>0</v>
      </c>
      <c r="W252" s="55">
        <f t="shared" ca="1" si="70"/>
        <v>-34.506469392663178</v>
      </c>
      <c r="X252" s="55">
        <f t="shared" ca="1" si="71"/>
        <v>0</v>
      </c>
      <c r="Y252" s="55">
        <f t="shared" ca="1" si="72"/>
        <v>0</v>
      </c>
      <c r="Z252">
        <f t="shared" ca="1" si="66"/>
        <v>47.58906468566817</v>
      </c>
      <c r="AA252">
        <f t="shared" ca="1" si="73"/>
        <v>205.57621023966897</v>
      </c>
      <c r="AB252">
        <f t="shared" ca="1" si="67"/>
        <v>0</v>
      </c>
      <c r="AC252">
        <f t="shared" ca="1" si="68"/>
        <v>2.2137040972223777E-2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>
        <f ca="1"/>
        <v>44986</v>
      </c>
      <c r="S253" s="55">
        <f t="shared" ca="1" si="69"/>
        <v>44986</v>
      </c>
      <c r="T253" s="55">
        <f t="shared" ca="1" si="63"/>
        <v>5.3216979506288737</v>
      </c>
      <c r="U253" s="55">
        <f t="shared" ca="1" si="64"/>
        <v>152.48409090909092</v>
      </c>
      <c r="V253" s="55">
        <f t="shared" ca="1" si="65"/>
        <v>0</v>
      </c>
      <c r="W253" s="55">
        <f t="shared" ca="1" si="70"/>
        <v>-34.506469392663178</v>
      </c>
      <c r="X253" s="55">
        <f t="shared" ca="1" si="71"/>
        <v>0</v>
      </c>
      <c r="Y253" s="55">
        <f t="shared" ca="1" si="72"/>
        <v>0</v>
      </c>
      <c r="Z253">
        <f t="shared" ca="1" si="66"/>
        <v>52.518234601997094</v>
      </c>
      <c r="AA253">
        <f t="shared" ca="1" si="73"/>
        <v>205.57621023966897</v>
      </c>
      <c r="AB253">
        <f t="shared" ca="1" si="67"/>
        <v>0</v>
      </c>
      <c r="AC253">
        <f t="shared" ca="1" si="68"/>
        <v>2.5117739403453855E-3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45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51 E62:E63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abSelected="1" zoomScale="105" workbookViewId="0">
      <pane ySplit="10" topLeftCell="A139" activePane="bottomLeft" state="frozen"/>
      <selection pane="bottomLeft" activeCell="P147" sqref="P147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279</v>
      </c>
    </row>
    <row r="2" spans="1:43">
      <c r="H2" t="s">
        <v>277</v>
      </c>
      <c r="I2">
        <f ca="1"/>
        <v>50</v>
      </c>
      <c r="J2">
        <f ca="1"/>
        <v>0</v>
      </c>
      <c r="K2">
        <f ca="1"/>
        <v>1</v>
      </c>
      <c r="L2">
        <f ca="1"/>
        <v>0</v>
      </c>
      <c r="M2">
        <f ca="1"/>
        <v>0</v>
      </c>
      <c r="N2">
        <f ca="1"/>
        <v>141</v>
      </c>
      <c r="O2">
        <f ca="1"/>
        <v>0</v>
      </c>
      <c r="P2">
        <f ca="1"/>
        <v>192</v>
      </c>
      <c r="Q2">
        <f ca="1">SUM(I2:O2)</f>
        <v>192</v>
      </c>
      <c r="R2">
        <f ca="1">Q2-P2</f>
        <v>0</v>
      </c>
    </row>
    <row r="3" spans="1:43">
      <c r="H3" t="s">
        <v>278</v>
      </c>
      <c r="I3">
        <f ca="1"/>
        <v>5</v>
      </c>
      <c r="J3">
        <f ca="1"/>
        <v>127</v>
      </c>
      <c r="K3">
        <f ca="1"/>
        <v>26</v>
      </c>
      <c r="L3">
        <f ca="1"/>
        <v>0</v>
      </c>
      <c r="M3">
        <f ca="1"/>
        <v>0</v>
      </c>
      <c r="N3">
        <f ca="1"/>
        <v>0</v>
      </c>
      <c r="O3">
        <f ca="1"/>
        <v>35</v>
      </c>
      <c r="P3">
        <f ca="1"/>
        <v>192</v>
      </c>
      <c r="Q3">
        <f ca="1">SUM(I3:O3)</f>
        <v>193</v>
      </c>
    </row>
    <row r="4" spans="1:43" ht="15.75" thickBot="1"/>
    <row r="5" spans="1:43" ht="27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pukekohe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1</v>
      </c>
      <c r="AJ6">
        <f ca="1"/>
        <v>0</v>
      </c>
      <c r="AK6">
        <f ca="1"/>
        <v>0</v>
      </c>
      <c r="AL6">
        <f ca="1"/>
        <v>141</v>
      </c>
      <c r="AM6">
        <f ca="1"/>
        <v>0</v>
      </c>
      <c r="AN6">
        <f ca="1"/>
        <v>192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SiltLoam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44752</v>
      </c>
      <c r="K7" s="3">
        <v>50</v>
      </c>
      <c r="L7" s="3"/>
      <c r="M7" s="3">
        <f ca="1">SUMIF($I$12:$I$1005,TRUE,M12:M1005)</f>
        <v>0</v>
      </c>
      <c r="N7" s="3">
        <f ca="1">SUMIF($I$12:$I$1005,TRUE,N12:N1005)</f>
        <v>0</v>
      </c>
      <c r="O7" s="3">
        <f ca="1">SUMIF($I$12:$I$1005,TRUE,O12:O1005)</f>
        <v>141.2847594203235</v>
      </c>
      <c r="P7" s="3">
        <f ca="1">VLOOKUP(B36,ModelOutputs,P9,FALSE)-Q7</f>
        <v>0.17340660389921403</v>
      </c>
      <c r="Q7">
        <f ca="1">VLOOKUP(B36,ModelOutputs,Q9,FALSE)</f>
        <v>0.85409222816030772</v>
      </c>
      <c r="R7" s="13"/>
      <c r="W7" s="3">
        <f ca="1">MAX(0,X8-X7)</f>
        <v>0</v>
      </c>
      <c r="X7" s="3">
        <f ca="1">SUM(K7:R7)</f>
        <v>192.31225825238303</v>
      </c>
      <c r="AA7" s="3"/>
      <c r="AG7">
        <f ca="1"/>
        <v>5</v>
      </c>
      <c r="AH7">
        <f ca="1"/>
        <v>127</v>
      </c>
      <c r="AI7">
        <f ca="1"/>
        <v>26</v>
      </c>
      <c r="AJ7">
        <f ca="1"/>
        <v>0</v>
      </c>
      <c r="AK7">
        <f ca="1"/>
        <v>0</v>
      </c>
      <c r="AL7">
        <f ca="1"/>
        <v>0</v>
      </c>
      <c r="AM7">
        <f ca="1"/>
        <v>35</v>
      </c>
      <c r="AN7">
        <f ca="1"/>
        <v>192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44986</v>
      </c>
      <c r="K8" s="24">
        <f ca="1">VLOOKUP(J8,ModelOutputs,2,FALSE)</f>
        <v>5.3216979506288737</v>
      </c>
      <c r="L8" s="27"/>
      <c r="M8" s="25"/>
      <c r="N8" s="25"/>
      <c r="O8" s="25"/>
      <c r="P8" s="24">
        <f ca="1">(VLOOKUP($J$8,ModelOutputs,P9,FALSE)-VLOOKUP($J$7+1,ModelOutputs,P9,FALSE))-Q8</f>
        <v>25.734090909090909</v>
      </c>
      <c r="Q8" s="26">
        <f ca="1">VLOOKUP($J$8,ModelOutputs,Q9,FALSE)-VLOOKUP($J$7+1,ModelOutputs,Q9,FALSE)</f>
        <v>126.75000000000001</v>
      </c>
      <c r="R8" s="27">
        <f ca="1">SUMIF($I$12:$I$1005,TRUE,R12:R1005)</f>
        <v>34.506469392663178</v>
      </c>
      <c r="S8" s="3"/>
      <c r="T8" s="3"/>
      <c r="U8" s="3"/>
      <c r="V8" s="3"/>
      <c r="W8" s="3">
        <f ca="1">MAX(0,X7-X8)</f>
        <v>5.6843418860808015E-14</v>
      </c>
      <c r="X8" s="3">
        <f ca="1">SUM(K8:R8)</f>
        <v>192.31225825238297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Volcanic</v>
      </c>
      <c r="D9" s="37" t="str">
        <f>IF(ConceptDemo!C29="","",ConceptDemo!C29)</f>
        <v/>
      </c>
      <c r="E9" s="38" t="str">
        <f>IF(ConceptDemo!D29="","",ConceptDemo!D29)</f>
        <v/>
      </c>
      <c r="L9">
        <f ca="1">SUMIF(H11:H1004,FALSE,L11:L1004)</f>
        <v>351.36688845146989</v>
      </c>
      <c r="M9">
        <f ca="1">SUMIF(H11:H1004,TRUE,M11:M1004)</f>
        <v>0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0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1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44751</v>
      </c>
      <c r="K11">
        <f ca="1"/>
        <v>0</v>
      </c>
      <c r="L11">
        <f ca="1"/>
        <v>0</v>
      </c>
      <c r="M11">
        <f ca="1"/>
        <v>0</v>
      </c>
      <c r="N11" s="4">
        <f ca="1"/>
        <v>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44751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44752</v>
      </c>
      <c r="K12">
        <f ca="1"/>
        <v>50</v>
      </c>
      <c r="L12">
        <f ca="1"/>
        <v>0</v>
      </c>
      <c r="M12">
        <f ca="1"/>
        <v>0</v>
      </c>
      <c r="N12" s="4">
        <f ca="1"/>
        <v>0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0.91504545454545461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44752</v>
      </c>
      <c r="Y12">
        <f t="shared" ca="1" si="2"/>
        <v>0</v>
      </c>
      <c r="Z12" s="3"/>
      <c r="AA12" s="63">
        <f ca="1">K11+M12+N12+O12</f>
        <v>0</v>
      </c>
      <c r="AB12" s="63">
        <f ca="1">K12+L12+R12</f>
        <v>50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44753</v>
      </c>
      <c r="K13">
        <f ca="1"/>
        <v>50</v>
      </c>
      <c r="L13">
        <f ca="1"/>
        <v>0</v>
      </c>
      <c r="M13">
        <f ca="1"/>
        <v>0</v>
      </c>
      <c r="N13" s="4">
        <f ca="1"/>
        <v>0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0.95783089531680443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44753</v>
      </c>
      <c r="Y13">
        <f t="shared" ca="1" si="2"/>
        <v>0</v>
      </c>
      <c r="AA13" s="63">
        <f t="shared" ref="AA13:AA76" ca="1" si="4">K12+M13+N13+O13</f>
        <v>50</v>
      </c>
      <c r="AB13" s="63">
        <f t="shared" ref="AB13:AB76" ca="1" si="5">K13+L13+R13</f>
        <v>50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44754</v>
      </c>
      <c r="K14">
        <f ca="1"/>
        <v>49.129929187991216</v>
      </c>
      <c r="L14">
        <f ca="1"/>
        <v>0</v>
      </c>
      <c r="M14">
        <f ca="1"/>
        <v>0</v>
      </c>
      <c r="N14" s="4">
        <f ca="1"/>
        <v>0</v>
      </c>
      <c r="O14">
        <f ca="1"/>
        <v>0</v>
      </c>
      <c r="P14">
        <f ca="1"/>
        <v>0</v>
      </c>
      <c r="Q14">
        <f ca="1"/>
        <v>0</v>
      </c>
      <c r="R14">
        <f ca="1"/>
        <v>0.87007081200878389</v>
      </c>
      <c r="S14">
        <f ca="1"/>
        <v>1</v>
      </c>
      <c r="T14">
        <f ca="1"/>
        <v>3.0758758374655599</v>
      </c>
      <c r="U14">
        <f ca="1"/>
        <v>0</v>
      </c>
      <c r="V14">
        <f ca="1"/>
        <v>0</v>
      </c>
      <c r="X14" s="2">
        <f t="shared" ca="1" si="1"/>
        <v>44754</v>
      </c>
      <c r="Y14">
        <f t="shared" ca="1" si="2"/>
        <v>0</v>
      </c>
      <c r="AA14" s="63">
        <f t="shared" ca="1" si="4"/>
        <v>50</v>
      </c>
      <c r="AB14" s="63">
        <f t="shared" ca="1" si="5"/>
        <v>50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44755</v>
      </c>
      <c r="K15">
        <f ca="1"/>
        <v>48.787235816408085</v>
      </c>
      <c r="L15">
        <f ca="1"/>
        <v>0</v>
      </c>
      <c r="M15">
        <f ca="1"/>
        <v>0</v>
      </c>
      <c r="N15" s="4">
        <f ca="1"/>
        <v>0</v>
      </c>
      <c r="O15">
        <f ca="1"/>
        <v>0</v>
      </c>
      <c r="P15">
        <f ca="1"/>
        <v>0</v>
      </c>
      <c r="Q15">
        <f ca="1"/>
        <v>0</v>
      </c>
      <c r="R15">
        <f ca="1"/>
        <v>0.34269337158313284</v>
      </c>
      <c r="S15">
        <f ca="1"/>
        <v>1</v>
      </c>
      <c r="T15">
        <f ca="1"/>
        <v>1.2199999999999989</v>
      </c>
      <c r="U15">
        <f ca="1"/>
        <v>0</v>
      </c>
      <c r="V15">
        <f ca="1"/>
        <v>0</v>
      </c>
      <c r="X15" s="2">
        <f t="shared" ca="1" si="1"/>
        <v>44755</v>
      </c>
      <c r="Y15">
        <f t="shared" ca="1" si="2"/>
        <v>0</v>
      </c>
      <c r="AA15" s="63">
        <f t="shared" ca="1" si="4"/>
        <v>49.129929187991216</v>
      </c>
      <c r="AB15" s="63">
        <f t="shared" ca="1" si="5"/>
        <v>49.129929187991216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44756</v>
      </c>
      <c r="K16">
        <f ca="1"/>
        <v>47.882973123958067</v>
      </c>
      <c r="L16">
        <f ca="1"/>
        <v>0</v>
      </c>
      <c r="M16">
        <f ca="1"/>
        <v>0</v>
      </c>
      <c r="N16" s="4">
        <f ca="1"/>
        <v>0</v>
      </c>
      <c r="O16">
        <f ca="1"/>
        <v>0</v>
      </c>
      <c r="P16">
        <f ca="1"/>
        <v>0</v>
      </c>
      <c r="Q16">
        <f ca="1"/>
        <v>0</v>
      </c>
      <c r="R16">
        <f ca="1"/>
        <v>0.90426269245001667</v>
      </c>
      <c r="S16">
        <f ca="1"/>
        <v>1</v>
      </c>
      <c r="T16">
        <f ca="1"/>
        <v>3.2799999999999869</v>
      </c>
      <c r="U16">
        <f ca="1"/>
        <v>0</v>
      </c>
      <c r="V16">
        <f ca="1"/>
        <v>0</v>
      </c>
      <c r="X16" s="2">
        <f t="shared" ca="1" si="1"/>
        <v>44756</v>
      </c>
      <c r="Y16">
        <f t="shared" ca="1" si="2"/>
        <v>0</v>
      </c>
      <c r="AA16" s="63">
        <f t="shared" ca="1" si="4"/>
        <v>48.787235816408085</v>
      </c>
      <c r="AB16" s="63">
        <f t="shared" ca="1" si="5"/>
        <v>48.787235816408085</v>
      </c>
      <c r="AC16" s="3">
        <f t="shared" ca="1" si="6"/>
        <v>0</v>
      </c>
    </row>
    <row r="17" spans="1:29" ht="15.75" thickBot="1">
      <c r="A17" s="6" t="s">
        <v>235</v>
      </c>
      <c r="B17" s="32">
        <f>PriorYield</f>
        <v>0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44757</v>
      </c>
      <c r="K17">
        <f ca="1"/>
        <v>46.522267293895403</v>
      </c>
      <c r="L17">
        <f ca="1"/>
        <v>0</v>
      </c>
      <c r="M17">
        <f ca="1"/>
        <v>0</v>
      </c>
      <c r="N17" s="4">
        <f ca="1"/>
        <v>0</v>
      </c>
      <c r="O17">
        <f ca="1"/>
        <v>0</v>
      </c>
      <c r="P17">
        <f ca="1"/>
        <v>0</v>
      </c>
      <c r="Q17">
        <f ca="1"/>
        <v>0</v>
      </c>
      <c r="R17">
        <f ca="1"/>
        <v>1.3607058300626613</v>
      </c>
      <c r="S17">
        <f ca="1"/>
        <v>1</v>
      </c>
      <c r="T17">
        <f ca="1"/>
        <v>5.0799999999999983</v>
      </c>
      <c r="U17">
        <f ca="1"/>
        <v>0</v>
      </c>
      <c r="V17">
        <f ca="1"/>
        <v>0</v>
      </c>
      <c r="X17" s="2">
        <f t="shared" ca="1" si="1"/>
        <v>44757</v>
      </c>
      <c r="Y17">
        <f t="shared" ca="1" si="2"/>
        <v>0</v>
      </c>
      <c r="AA17" s="63">
        <f t="shared" ca="1" si="4"/>
        <v>47.882973123958067</v>
      </c>
      <c r="AB17" s="63">
        <f t="shared" ca="1" si="5"/>
        <v>47.882973123958067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44758</v>
      </c>
      <c r="K18">
        <f ca="1"/>
        <v>45.498010565142543</v>
      </c>
      <c r="L18">
        <f ca="1"/>
        <v>0</v>
      </c>
      <c r="M18">
        <f ca="1"/>
        <v>0</v>
      </c>
      <c r="N18" s="4">
        <f ca="1"/>
        <v>0</v>
      </c>
      <c r="O18">
        <f ca="1"/>
        <v>0</v>
      </c>
      <c r="P18">
        <f ca="1"/>
        <v>0</v>
      </c>
      <c r="Q18">
        <f ca="1"/>
        <v>0</v>
      </c>
      <c r="R18">
        <f ca="1"/>
        <v>1.0242567287528599</v>
      </c>
      <c r="S18">
        <f ca="1"/>
        <v>1</v>
      </c>
      <c r="T18">
        <f ca="1"/>
        <v>3.9099999999999966</v>
      </c>
      <c r="U18">
        <f ca="1"/>
        <v>0</v>
      </c>
      <c r="V18">
        <f ca="1"/>
        <v>0</v>
      </c>
      <c r="X18" s="2">
        <f t="shared" ca="1" si="1"/>
        <v>44758</v>
      </c>
      <c r="Y18">
        <f t="shared" ca="1" si="2"/>
        <v>0</v>
      </c>
      <c r="AA18" s="63">
        <f t="shared" ca="1" si="4"/>
        <v>46.522267293895403</v>
      </c>
      <c r="AB18" s="63">
        <f t="shared" ca="1" si="5"/>
        <v>46.522267293895403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44759</v>
      </c>
      <c r="K19">
        <f ca="1"/>
        <v>43.876187138723893</v>
      </c>
      <c r="L19">
        <f ca="1"/>
        <v>0</v>
      </c>
      <c r="M19">
        <f ca="1"/>
        <v>0</v>
      </c>
      <c r="N19" s="4">
        <f ca="1"/>
        <v>0</v>
      </c>
      <c r="O19">
        <f ca="1"/>
        <v>0</v>
      </c>
      <c r="P19">
        <f ca="1"/>
        <v>0</v>
      </c>
      <c r="Q19">
        <f ca="1"/>
        <v>0</v>
      </c>
      <c r="R19">
        <f ca="1"/>
        <v>1.6218234264186491</v>
      </c>
      <c r="S19">
        <f ca="1"/>
        <v>1</v>
      </c>
      <c r="T19">
        <f ca="1"/>
        <v>6.4200000000000017</v>
      </c>
      <c r="U19">
        <f ca="1"/>
        <v>0</v>
      </c>
      <c r="V19">
        <f ca="1"/>
        <v>0</v>
      </c>
      <c r="X19" s="2">
        <f t="shared" ca="1" si="1"/>
        <v>44759</v>
      </c>
      <c r="Y19">
        <f t="shared" ca="1" si="2"/>
        <v>0</v>
      </c>
      <c r="AA19" s="63">
        <f t="shared" ca="1" si="4"/>
        <v>45.498010565142543</v>
      </c>
      <c r="AB19" s="63">
        <f t="shared" ca="1" si="5"/>
        <v>45.498010565142543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44760</v>
      </c>
      <c r="K20">
        <f ca="1"/>
        <v>42.291041992057941</v>
      </c>
      <c r="L20">
        <f ca="1"/>
        <v>0</v>
      </c>
      <c r="M20">
        <f ca="1"/>
        <v>0</v>
      </c>
      <c r="N20" s="4">
        <f ca="1"/>
        <v>0</v>
      </c>
      <c r="O20">
        <f ca="1"/>
        <v>0</v>
      </c>
      <c r="P20">
        <f ca="1"/>
        <v>0</v>
      </c>
      <c r="Q20">
        <f ca="1"/>
        <v>0</v>
      </c>
      <c r="R20">
        <f ca="1"/>
        <v>1.5851451466659547</v>
      </c>
      <c r="S20">
        <f ca="1"/>
        <v>1</v>
      </c>
      <c r="T20">
        <f ca="1"/>
        <v>6.5100000000000051</v>
      </c>
      <c r="U20">
        <f ca="1"/>
        <v>0</v>
      </c>
      <c r="V20">
        <f ca="1"/>
        <v>0</v>
      </c>
      <c r="X20" s="2">
        <f t="shared" ca="1" si="1"/>
        <v>44760</v>
      </c>
      <c r="Y20">
        <f t="shared" ca="1" si="2"/>
        <v>0</v>
      </c>
      <c r="AA20" s="63">
        <f t="shared" ca="1" si="4"/>
        <v>43.876187138723893</v>
      </c>
      <c r="AB20" s="63">
        <f t="shared" ca="1" si="5"/>
        <v>43.876187138723893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44761</v>
      </c>
      <c r="K21">
        <f ca="1"/>
        <v>41.582377474135107</v>
      </c>
      <c r="L21">
        <f ca="1"/>
        <v>0</v>
      </c>
      <c r="M21">
        <f ca="1"/>
        <v>0</v>
      </c>
      <c r="N21" s="4">
        <f ca="1"/>
        <v>0</v>
      </c>
      <c r="O21">
        <f ca="1"/>
        <v>0</v>
      </c>
      <c r="P21">
        <f ca="1"/>
        <v>0</v>
      </c>
      <c r="Q21">
        <f ca="1"/>
        <v>0</v>
      </c>
      <c r="R21">
        <f ca="1"/>
        <v>0.70866451792283425</v>
      </c>
      <c r="S21">
        <f ca="1"/>
        <v>1</v>
      </c>
      <c r="T21">
        <f ca="1"/>
        <v>2.9599999999999937</v>
      </c>
      <c r="U21">
        <f ca="1"/>
        <v>0</v>
      </c>
      <c r="V21">
        <f ca="1"/>
        <v>0</v>
      </c>
      <c r="X21" s="2">
        <f t="shared" ca="1" si="1"/>
        <v>44761</v>
      </c>
      <c r="Y21">
        <f t="shared" ca="1" si="2"/>
        <v>0</v>
      </c>
      <c r="AA21" s="63">
        <f t="shared" ca="1" si="4"/>
        <v>42.291041992057941</v>
      </c>
      <c r="AB21" s="63">
        <f t="shared" ca="1" si="5"/>
        <v>42.291041992057941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44762</v>
      </c>
      <c r="K22">
        <f ca="1"/>
        <v>41.238101806027217</v>
      </c>
      <c r="L22">
        <f ca="1"/>
        <v>0</v>
      </c>
      <c r="M22">
        <f ca="1"/>
        <v>0</v>
      </c>
      <c r="N22" s="4">
        <f ca="1"/>
        <v>0</v>
      </c>
      <c r="O22">
        <f ca="1"/>
        <v>0</v>
      </c>
      <c r="P22">
        <f ca="1"/>
        <v>0</v>
      </c>
      <c r="Q22">
        <f ca="1"/>
        <v>0</v>
      </c>
      <c r="R22">
        <f ca="1"/>
        <v>0.34427566810789123</v>
      </c>
      <c r="S22">
        <f ca="1"/>
        <v>1</v>
      </c>
      <c r="T22">
        <f ca="1"/>
        <v>1.4499999999999886</v>
      </c>
      <c r="U22">
        <f ca="1"/>
        <v>0</v>
      </c>
      <c r="V22">
        <f ca="1"/>
        <v>0</v>
      </c>
      <c r="X22" s="2">
        <f t="shared" ca="1" si="1"/>
        <v>44762</v>
      </c>
      <c r="Y22">
        <f t="shared" ca="1" si="2"/>
        <v>0</v>
      </c>
      <c r="AA22" s="63">
        <f t="shared" ca="1" si="4"/>
        <v>41.582377474135107</v>
      </c>
      <c r="AB22" s="63">
        <f t="shared" ca="1" si="5"/>
        <v>41.582377474135107</v>
      </c>
      <c r="AC22" s="3">
        <f t="shared" ca="1" si="6"/>
        <v>0</v>
      </c>
    </row>
    <row r="23" spans="1:29" ht="15.75" thickBot="1">
      <c r="A23" s="6" t="s">
        <v>115</v>
      </c>
      <c r="B23" s="34">
        <f ca="1">PriorEstablishDate</f>
        <v>44706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44763</v>
      </c>
      <c r="K23">
        <f ca="1"/>
        <v>40.444050285423408</v>
      </c>
      <c r="L23">
        <f ca="1"/>
        <v>0</v>
      </c>
      <c r="M23">
        <f ca="1"/>
        <v>0</v>
      </c>
      <c r="N23" s="4">
        <f ca="1"/>
        <v>0</v>
      </c>
      <c r="O23">
        <f ca="1"/>
        <v>0</v>
      </c>
      <c r="P23">
        <f ca="1"/>
        <v>0</v>
      </c>
      <c r="Q23">
        <f ca="1"/>
        <v>0</v>
      </c>
      <c r="R23">
        <f ca="1"/>
        <v>0.79405152060381201</v>
      </c>
      <c r="S23">
        <f ca="1"/>
        <v>1</v>
      </c>
      <c r="T23">
        <f ca="1"/>
        <v>3.4099999999999966</v>
      </c>
      <c r="U23">
        <f ca="1"/>
        <v>0</v>
      </c>
      <c r="V23">
        <f ca="1"/>
        <v>0</v>
      </c>
      <c r="X23" s="2">
        <f t="shared" ca="1" si="1"/>
        <v>44763</v>
      </c>
      <c r="Y23">
        <f t="shared" ca="1" si="2"/>
        <v>0</v>
      </c>
      <c r="AA23" s="63">
        <f t="shared" ca="1" si="4"/>
        <v>41.238101806027217</v>
      </c>
      <c r="AB23" s="63">
        <f t="shared" ca="1" si="5"/>
        <v>41.238101806027217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44764</v>
      </c>
      <c r="K24">
        <f ca="1"/>
        <v>39.495792219498895</v>
      </c>
      <c r="L24">
        <f ca="1"/>
        <v>0</v>
      </c>
      <c r="M24">
        <f ca="1"/>
        <v>0</v>
      </c>
      <c r="N24" s="4">
        <f ca="1"/>
        <v>0</v>
      </c>
      <c r="O24">
        <f ca="1"/>
        <v>0</v>
      </c>
      <c r="P24">
        <f ca="1"/>
        <v>0</v>
      </c>
      <c r="Q24">
        <f ca="1"/>
        <v>0</v>
      </c>
      <c r="R24">
        <f ca="1"/>
        <v>0.94825806592451478</v>
      </c>
      <c r="S24">
        <f ca="1"/>
        <v>1</v>
      </c>
      <c r="T24">
        <f ca="1"/>
        <v>4.1700000000000017</v>
      </c>
      <c r="U24">
        <f ca="1"/>
        <v>0</v>
      </c>
      <c r="V24">
        <f ca="1"/>
        <v>0</v>
      </c>
      <c r="X24" s="2">
        <f t="shared" ca="1" si="1"/>
        <v>44764</v>
      </c>
      <c r="Y24">
        <f t="shared" ca="1" si="2"/>
        <v>0</v>
      </c>
      <c r="AA24" s="63">
        <f t="shared" ca="1" si="4"/>
        <v>40.444050285423408</v>
      </c>
      <c r="AB24" s="63">
        <f t="shared" ca="1" si="5"/>
        <v>40.444050285423408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44751</v>
      </c>
      <c r="H25" t="b">
        <f t="shared" ca="1" si="3"/>
        <v>1</v>
      </c>
      <c r="I25" t="b">
        <f t="shared" ca="1" si="0"/>
        <v>1</v>
      </c>
      <c r="J25" s="2">
        <f ca="1"/>
        <v>44765</v>
      </c>
      <c r="K25">
        <f ca="1"/>
        <v>38.024586403732656</v>
      </c>
      <c r="L25">
        <f ca="1"/>
        <v>0</v>
      </c>
      <c r="M25">
        <f ca="1"/>
        <v>0</v>
      </c>
      <c r="N25" s="4">
        <f ca="1"/>
        <v>0</v>
      </c>
      <c r="O25">
        <f ca="1"/>
        <v>0</v>
      </c>
      <c r="P25">
        <f ca="1"/>
        <v>0</v>
      </c>
      <c r="Q25">
        <f ca="1"/>
        <v>0</v>
      </c>
      <c r="R25">
        <f ca="1"/>
        <v>1.4712058157662378</v>
      </c>
      <c r="S25">
        <f ca="1"/>
        <v>1</v>
      </c>
      <c r="T25">
        <f ca="1"/>
        <v>6.7199999999999989</v>
      </c>
      <c r="U25">
        <f ca="1"/>
        <v>0</v>
      </c>
      <c r="V25">
        <f ca="1"/>
        <v>0</v>
      </c>
      <c r="X25" s="2">
        <f t="shared" ca="1" si="1"/>
        <v>44765</v>
      </c>
      <c r="Y25">
        <f t="shared" ca="1" si="2"/>
        <v>0</v>
      </c>
      <c r="AA25" s="63">
        <f t="shared" ca="1" si="4"/>
        <v>39.495792219498895</v>
      </c>
      <c r="AB25" s="63">
        <f t="shared" ca="1" si="5"/>
        <v>39.495792219498895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44766</v>
      </c>
      <c r="K26">
        <f ca="1"/>
        <v>37.406472779291811</v>
      </c>
      <c r="L26">
        <f ca="1"/>
        <v>0</v>
      </c>
      <c r="M26">
        <f ca="1"/>
        <v>0</v>
      </c>
      <c r="N26" s="4">
        <f ca="1"/>
        <v>0</v>
      </c>
      <c r="O26">
        <f ca="1"/>
        <v>0</v>
      </c>
      <c r="P26">
        <f ca="1"/>
        <v>1.0274988320595217</v>
      </c>
      <c r="Q26">
        <f ca="1"/>
        <v>0.85409222816030772</v>
      </c>
      <c r="R26">
        <f ca="1"/>
        <v>0.61811362444084417</v>
      </c>
      <c r="S26">
        <f ca="1"/>
        <v>1</v>
      </c>
      <c r="T26">
        <f ca="1"/>
        <v>2.8700000000000045</v>
      </c>
      <c r="U26">
        <f ca="1"/>
        <v>0</v>
      </c>
      <c r="V26">
        <f ca="1"/>
        <v>5.3542807394278899E-3</v>
      </c>
      <c r="X26" s="2">
        <f t="shared" ca="1" si="1"/>
        <v>44766</v>
      </c>
      <c r="Y26">
        <f t="shared" ca="1" si="2"/>
        <v>0</v>
      </c>
      <c r="AA26" s="63">
        <f t="shared" ca="1" si="4"/>
        <v>38.024586403732656</v>
      </c>
      <c r="AB26" s="63">
        <f t="shared" ca="1" si="5"/>
        <v>38.024586403732656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44767</v>
      </c>
      <c r="K27">
        <f ca="1"/>
        <v>36.663427318960871</v>
      </c>
      <c r="L27">
        <f ca="1"/>
        <v>0</v>
      </c>
      <c r="M27">
        <f ca="1"/>
        <v>0</v>
      </c>
      <c r="N27" s="4">
        <f ca="1"/>
        <v>0</v>
      </c>
      <c r="O27">
        <f ca="1"/>
        <v>0</v>
      </c>
      <c r="P27">
        <f ca="1"/>
        <v>1.0274988320595217</v>
      </c>
      <c r="Q27">
        <f ca="1"/>
        <v>0.85409222816030772</v>
      </c>
      <c r="R27">
        <f ca="1"/>
        <v>0.74304546033094265</v>
      </c>
      <c r="S27">
        <f ca="1"/>
        <v>1</v>
      </c>
      <c r="T27">
        <f ca="1"/>
        <v>3.5200000000000102</v>
      </c>
      <c r="U27">
        <f ca="1"/>
        <v>0</v>
      </c>
      <c r="V27">
        <f ca="1"/>
        <v>5.3542807394278899E-3</v>
      </c>
      <c r="X27" s="2">
        <f t="shared" ca="1" si="1"/>
        <v>44767</v>
      </c>
      <c r="Y27">
        <f t="shared" ca="1" si="2"/>
        <v>0</v>
      </c>
      <c r="AA27" s="63">
        <f t="shared" ca="1" si="4"/>
        <v>37.406472779291811</v>
      </c>
      <c r="AB27" s="63">
        <f t="shared" ca="1" si="5"/>
        <v>37.406472779291811</v>
      </c>
      <c r="AC27" s="3">
        <f t="shared" ca="1" si="6"/>
        <v>0</v>
      </c>
    </row>
    <row r="28" spans="1:29" ht="15.7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44768</v>
      </c>
      <c r="K28">
        <f ca="1"/>
        <v>36.215127932283963</v>
      </c>
      <c r="L28">
        <f ca="1"/>
        <v>0</v>
      </c>
      <c r="M28">
        <f ca="1"/>
        <v>0</v>
      </c>
      <c r="N28" s="4">
        <f ca="1"/>
        <v>0</v>
      </c>
      <c r="O28">
        <f ca="1"/>
        <v>0</v>
      </c>
      <c r="P28">
        <f ca="1"/>
        <v>1.0274988320595217</v>
      </c>
      <c r="Q28">
        <f ca="1"/>
        <v>0.85409222816030772</v>
      </c>
      <c r="R28">
        <f ca="1"/>
        <v>0.44829938667691016</v>
      </c>
      <c r="S28">
        <f ca="1"/>
        <v>1</v>
      </c>
      <c r="T28">
        <f ca="1"/>
        <v>2.1500000000000057</v>
      </c>
      <c r="U28">
        <f ca="1"/>
        <v>0</v>
      </c>
      <c r="V28">
        <f ca="1"/>
        <v>5.3542807394278899E-3</v>
      </c>
      <c r="X28" s="2">
        <f t="shared" ca="1" si="1"/>
        <v>44768</v>
      </c>
      <c r="Y28">
        <f t="shared" ca="1" si="2"/>
        <v>0</v>
      </c>
      <c r="AA28" s="63">
        <f t="shared" ca="1" si="4"/>
        <v>36.663427318960871</v>
      </c>
      <c r="AB28" s="63">
        <f t="shared" ca="1" si="5"/>
        <v>36.663427318960871</v>
      </c>
      <c r="AC28" s="3">
        <f t="shared" ca="1" si="6"/>
        <v>0</v>
      </c>
    </row>
    <row r="29" spans="1:29" ht="15.75" thickBot="1">
      <c r="A29" s="8" t="s">
        <v>140</v>
      </c>
      <c r="B29" s="11" t="str">
        <f>CurrentCropNameFull</f>
        <v>Onion Vegetable Brown</v>
      </c>
      <c r="H29" t="b">
        <f t="shared" ca="1" si="3"/>
        <v>1</v>
      </c>
      <c r="I29" t="b">
        <f t="shared" ca="1" si="0"/>
        <v>1</v>
      </c>
      <c r="J29" s="2">
        <f ca="1"/>
        <v>44769</v>
      </c>
      <c r="K29">
        <f ca="1"/>
        <v>35.429768073325256</v>
      </c>
      <c r="L29">
        <f ca="1"/>
        <v>0</v>
      </c>
      <c r="M29">
        <f ca="1"/>
        <v>0</v>
      </c>
      <c r="N29" s="4">
        <f ca="1"/>
        <v>0</v>
      </c>
      <c r="O29">
        <f ca="1"/>
        <v>0</v>
      </c>
      <c r="P29">
        <f ca="1"/>
        <v>1.0274988320595217</v>
      </c>
      <c r="Q29">
        <f ca="1"/>
        <v>0.85409222816030772</v>
      </c>
      <c r="R29">
        <f ca="1"/>
        <v>0.78535985895870863</v>
      </c>
      <c r="S29">
        <f ca="1"/>
        <v>1</v>
      </c>
      <c r="T29">
        <f ca="1"/>
        <v>3.8499999999999943</v>
      </c>
      <c r="U29">
        <f ca="1"/>
        <v>0</v>
      </c>
      <c r="V29">
        <f ca="1"/>
        <v>5.3542807394278899E-3</v>
      </c>
      <c r="X29" s="2">
        <f t="shared" ca="1" si="1"/>
        <v>44769</v>
      </c>
      <c r="Y29">
        <f t="shared" ca="1" si="2"/>
        <v>0</v>
      </c>
      <c r="AA29" s="63">
        <f t="shared" ca="1" si="4"/>
        <v>36.215127932283963</v>
      </c>
      <c r="AB29" s="63">
        <f t="shared" ca="1" si="5"/>
        <v>36.215127932283963</v>
      </c>
      <c r="AC29" s="3">
        <f t="shared" ca="1" si="6"/>
        <v>0</v>
      </c>
    </row>
    <row r="30" spans="1:29">
      <c r="A30" s="9" t="s">
        <v>236</v>
      </c>
      <c r="B30" s="11">
        <f>CurrentYield</f>
        <v>65</v>
      </c>
      <c r="H30" t="b">
        <f t="shared" ca="1" si="3"/>
        <v>1</v>
      </c>
      <c r="I30" t="b">
        <f t="shared" ca="1" si="0"/>
        <v>1</v>
      </c>
      <c r="J30" s="2">
        <f ca="1"/>
        <v>44770</v>
      </c>
      <c r="K30">
        <f ca="1"/>
        <v>35.022446408729188</v>
      </c>
      <c r="L30">
        <f ca="1"/>
        <v>0</v>
      </c>
      <c r="M30">
        <f ca="1"/>
        <v>0</v>
      </c>
      <c r="N30" s="4">
        <f ca="1"/>
        <v>0</v>
      </c>
      <c r="O30">
        <f ca="1"/>
        <v>0</v>
      </c>
      <c r="P30">
        <f ca="1"/>
        <v>1.0274988320595217</v>
      </c>
      <c r="Q30">
        <f ca="1"/>
        <v>0.85409222816030772</v>
      </c>
      <c r="R30">
        <f ca="1"/>
        <v>0.40732166459606772</v>
      </c>
      <c r="S30">
        <f ca="1"/>
        <v>1</v>
      </c>
      <c r="T30">
        <f ca="1"/>
        <v>2.019999999999996</v>
      </c>
      <c r="U30">
        <f ca="1"/>
        <v>0</v>
      </c>
      <c r="V30">
        <f ca="1"/>
        <v>5.3542807394278899E-3</v>
      </c>
      <c r="X30" s="2">
        <f t="shared" ca="1" si="1"/>
        <v>44770</v>
      </c>
      <c r="Y30">
        <f t="shared" ca="1" si="2"/>
        <v>0</v>
      </c>
      <c r="AA30" s="63">
        <f t="shared" ca="1" si="4"/>
        <v>35.429768073325256</v>
      </c>
      <c r="AB30" s="63">
        <f t="shared" ca="1" si="5"/>
        <v>35.429768073325256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44771</v>
      </c>
      <c r="K31">
        <f ca="1"/>
        <v>34.189770098778041</v>
      </c>
      <c r="L31">
        <f ca="1"/>
        <v>0</v>
      </c>
      <c r="M31">
        <f ca="1"/>
        <v>0</v>
      </c>
      <c r="N31" s="4">
        <f ca="1"/>
        <v>0</v>
      </c>
      <c r="O31">
        <f ca="1"/>
        <v>0</v>
      </c>
      <c r="P31">
        <f ca="1"/>
        <v>1.0274988320595217</v>
      </c>
      <c r="Q31">
        <f ca="1"/>
        <v>0.85409222816030772</v>
      </c>
      <c r="R31">
        <f ca="1"/>
        <v>0.83267630995114961</v>
      </c>
      <c r="S31">
        <f ca="1"/>
        <v>1</v>
      </c>
      <c r="T31">
        <f ca="1"/>
        <v>4.230000000000004</v>
      </c>
      <c r="U31">
        <f ca="1"/>
        <v>0</v>
      </c>
      <c r="V31">
        <f ca="1"/>
        <v>5.3542807394278899E-3</v>
      </c>
      <c r="X31" s="2">
        <f t="shared" ca="1" si="1"/>
        <v>44771</v>
      </c>
      <c r="Y31">
        <f t="shared" ca="1" si="2"/>
        <v>0</v>
      </c>
      <c r="AA31" s="63">
        <f t="shared" ca="1" si="4"/>
        <v>35.022446408729188</v>
      </c>
      <c r="AB31" s="63">
        <f t="shared" ca="1" si="5"/>
        <v>35.022446408729188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44772</v>
      </c>
      <c r="K32">
        <f ca="1"/>
        <v>33.922195929070853</v>
      </c>
      <c r="L32">
        <f ca="1"/>
        <v>0</v>
      </c>
      <c r="M32">
        <f ca="1"/>
        <v>0</v>
      </c>
      <c r="N32" s="4">
        <f ca="1"/>
        <v>0</v>
      </c>
      <c r="O32">
        <f ca="1"/>
        <v>0</v>
      </c>
      <c r="P32">
        <f ca="1"/>
        <v>1.0274988320595217</v>
      </c>
      <c r="Q32">
        <f ca="1"/>
        <v>0.85409222816030772</v>
      </c>
      <c r="R32">
        <f ca="1"/>
        <v>0.267574169707187</v>
      </c>
      <c r="S32">
        <f ca="1"/>
        <v>1</v>
      </c>
      <c r="T32">
        <f ca="1"/>
        <v>1.3700000000000045</v>
      </c>
      <c r="U32">
        <f ca="1"/>
        <v>0</v>
      </c>
      <c r="V32">
        <f ca="1"/>
        <v>5.3542807394278899E-3</v>
      </c>
      <c r="X32" s="2">
        <f t="shared" ca="1" si="1"/>
        <v>44772</v>
      </c>
      <c r="Y32">
        <f t="shared" ca="1" si="2"/>
        <v>0</v>
      </c>
      <c r="AA32" s="63">
        <f t="shared" ca="1" si="4"/>
        <v>34.189770098778041</v>
      </c>
      <c r="AB32" s="63">
        <f t="shared" ca="1" si="5"/>
        <v>34.189770098778041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44773</v>
      </c>
      <c r="K33">
        <f ca="1"/>
        <v>33.355655179730284</v>
      </c>
      <c r="L33">
        <f ca="1"/>
        <v>0</v>
      </c>
      <c r="M33">
        <f ca="1"/>
        <v>0</v>
      </c>
      <c r="N33" s="4">
        <f ca="1"/>
        <v>0</v>
      </c>
      <c r="O33">
        <f ca="1"/>
        <v>0</v>
      </c>
      <c r="P33">
        <f ca="1"/>
        <v>1.0274988320595217</v>
      </c>
      <c r="Q33">
        <f ca="1"/>
        <v>0.85409222816030772</v>
      </c>
      <c r="R33">
        <f ca="1"/>
        <v>0.56654074934057097</v>
      </c>
      <c r="S33">
        <f ca="1"/>
        <v>1</v>
      </c>
      <c r="T33">
        <f ca="1"/>
        <v>2.9500000000000028</v>
      </c>
      <c r="U33">
        <f ca="1"/>
        <v>0</v>
      </c>
      <c r="V33">
        <f ca="1"/>
        <v>5.3542807394278899E-3</v>
      </c>
      <c r="X33" s="2">
        <f t="shared" ca="1" si="1"/>
        <v>44773</v>
      </c>
      <c r="Y33">
        <f t="shared" ca="1" si="2"/>
        <v>0</v>
      </c>
      <c r="AA33" s="63">
        <f t="shared" ca="1" si="4"/>
        <v>33.922195929070853</v>
      </c>
      <c r="AB33" s="63">
        <f t="shared" ca="1" si="5"/>
        <v>33.922195929070853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44774</v>
      </c>
      <c r="K34">
        <f ca="1"/>
        <v>32.895418371783244</v>
      </c>
      <c r="L34">
        <f ca="1"/>
        <v>0</v>
      </c>
      <c r="M34">
        <f ca="1"/>
        <v>0</v>
      </c>
      <c r="N34" s="4">
        <f ca="1"/>
        <v>0</v>
      </c>
      <c r="O34">
        <f ca="1"/>
        <v>0</v>
      </c>
      <c r="P34">
        <f ca="1"/>
        <v>1.0274988320595217</v>
      </c>
      <c r="Q34">
        <f ca="1"/>
        <v>0.85409222816030772</v>
      </c>
      <c r="R34">
        <f ca="1"/>
        <v>0.46023680794703881</v>
      </c>
      <c r="S34">
        <f ca="1"/>
        <v>1</v>
      </c>
      <c r="T34">
        <f ca="1"/>
        <v>2.4299999999999926</v>
      </c>
      <c r="U34">
        <f ca="1"/>
        <v>0</v>
      </c>
      <c r="V34">
        <f ca="1"/>
        <v>5.3542807394278899E-3</v>
      </c>
      <c r="X34" s="2">
        <f t="shared" ca="1" si="1"/>
        <v>44774</v>
      </c>
      <c r="Y34">
        <f t="shared" ca="1" si="2"/>
        <v>0</v>
      </c>
      <c r="AA34" s="63">
        <f t="shared" ca="1" si="4"/>
        <v>33.355655179730284</v>
      </c>
      <c r="AB34" s="63">
        <f t="shared" ca="1" si="5"/>
        <v>33.355655179730284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87</v>
      </c>
      <c r="H35" t="b">
        <f t="shared" ca="1" si="3"/>
        <v>1</v>
      </c>
      <c r="I35" t="b">
        <f t="shared" ca="1" si="0"/>
        <v>1</v>
      </c>
      <c r="J35" s="2">
        <f ca="1"/>
        <v>44775</v>
      </c>
      <c r="K35">
        <f ca="1"/>
        <v>32.091667960588502</v>
      </c>
      <c r="L35">
        <f ca="1"/>
        <v>0</v>
      </c>
      <c r="M35">
        <f ca="1"/>
        <v>0</v>
      </c>
      <c r="N35" s="4">
        <f ca="1"/>
        <v>0</v>
      </c>
      <c r="O35">
        <f ca="1"/>
        <v>0</v>
      </c>
      <c r="P35">
        <f ca="1"/>
        <v>1.0274988320595217</v>
      </c>
      <c r="Q35">
        <f ca="1"/>
        <v>0.85409222816030772</v>
      </c>
      <c r="R35">
        <f ca="1"/>
        <v>0.80375041119473833</v>
      </c>
      <c r="S35">
        <f ca="1"/>
        <v>1</v>
      </c>
      <c r="T35">
        <f ca="1"/>
        <v>4.3499999999999943</v>
      </c>
      <c r="U35">
        <f ca="1"/>
        <v>0</v>
      </c>
      <c r="V35">
        <f ca="1"/>
        <v>5.3542807394278899E-3</v>
      </c>
      <c r="X35" s="2">
        <f t="shared" ca="1" si="1"/>
        <v>44775</v>
      </c>
      <c r="Y35">
        <f t="shared" ca="1" si="2"/>
        <v>0</v>
      </c>
      <c r="AA35" s="63">
        <f t="shared" ca="1" si="4"/>
        <v>32.895418371783244</v>
      </c>
      <c r="AB35" s="63">
        <f t="shared" ca="1" si="5"/>
        <v>32.895418371783244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44766</v>
      </c>
      <c r="H36" t="b">
        <f t="shared" ca="1" si="3"/>
        <v>1</v>
      </c>
      <c r="I36" t="b">
        <f t="shared" ca="1" si="0"/>
        <v>1</v>
      </c>
      <c r="J36" s="2">
        <f ca="1"/>
        <v>44776</v>
      </c>
      <c r="K36">
        <f ca="1"/>
        <v>31.76249303279409</v>
      </c>
      <c r="L36">
        <f ca="1"/>
        <v>0</v>
      </c>
      <c r="M36">
        <f ca="1"/>
        <v>0</v>
      </c>
      <c r="N36" s="4">
        <f ca="1"/>
        <v>0</v>
      </c>
      <c r="O36">
        <f ca="1"/>
        <v>0</v>
      </c>
      <c r="P36">
        <f ca="1"/>
        <v>1.0274988320595217</v>
      </c>
      <c r="Q36">
        <f ca="1"/>
        <v>0.85409222816030772</v>
      </c>
      <c r="R36">
        <f ca="1"/>
        <v>0.32917492779441354</v>
      </c>
      <c r="S36">
        <f ca="1"/>
        <v>1</v>
      </c>
      <c r="T36">
        <f ca="1"/>
        <v>1.8000000000000114</v>
      </c>
      <c r="U36">
        <f ca="1"/>
        <v>0</v>
      </c>
      <c r="V36">
        <f ca="1"/>
        <v>5.3542807394278899E-3</v>
      </c>
      <c r="X36" s="2">
        <f t="shared" ca="1" si="1"/>
        <v>44776</v>
      </c>
      <c r="Y36">
        <f t="shared" ca="1" si="2"/>
        <v>0</v>
      </c>
      <c r="AA36" s="63">
        <f t="shared" ca="1" si="4"/>
        <v>32.091667960588502</v>
      </c>
      <c r="AB36" s="63">
        <f t="shared" ca="1" si="5"/>
        <v>32.091667960588502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44777</v>
      </c>
      <c r="K37">
        <f ca="1"/>
        <v>31.114001807247874</v>
      </c>
      <c r="L37">
        <f ca="1"/>
        <v>0</v>
      </c>
      <c r="M37">
        <f ca="1"/>
        <v>0</v>
      </c>
      <c r="N37" s="4">
        <f ca="1"/>
        <v>0</v>
      </c>
      <c r="O37">
        <f ca="1"/>
        <v>0</v>
      </c>
      <c r="P37">
        <f ca="1"/>
        <v>1.0274988320595217</v>
      </c>
      <c r="Q37">
        <f ca="1"/>
        <v>0.85409222816030772</v>
      </c>
      <c r="R37">
        <f ca="1"/>
        <v>0.64849122554621563</v>
      </c>
      <c r="S37">
        <f ca="1"/>
        <v>1</v>
      </c>
      <c r="T37">
        <f ca="1"/>
        <v>3.6200000000000045</v>
      </c>
      <c r="U37">
        <f ca="1"/>
        <v>0</v>
      </c>
      <c r="V37">
        <f ca="1"/>
        <v>5.3542807394278899E-3</v>
      </c>
      <c r="X37" s="2">
        <f t="shared" ca="1" si="1"/>
        <v>44777</v>
      </c>
      <c r="Y37">
        <f t="shared" ca="1" si="2"/>
        <v>0</v>
      </c>
      <c r="AA37" s="63">
        <f t="shared" ca="1" si="4"/>
        <v>31.76249303279409</v>
      </c>
      <c r="AB37" s="63">
        <f t="shared" ca="1" si="5"/>
        <v>31.76249303279409</v>
      </c>
      <c r="AC37" s="3">
        <f t="shared" ca="1" si="6"/>
        <v>0</v>
      </c>
    </row>
    <row r="38" spans="1:29">
      <c r="A38" s="9" t="s">
        <v>124</v>
      </c>
      <c r="B38" s="36">
        <f>CurrentHarvestDate</f>
        <v>44986</v>
      </c>
      <c r="H38" t="b">
        <f t="shared" ca="1" si="3"/>
        <v>1</v>
      </c>
      <c r="I38" t="b">
        <f t="shared" ca="1" si="0"/>
        <v>1</v>
      </c>
      <c r="J38" s="2">
        <f ca="1"/>
        <v>44778</v>
      </c>
      <c r="K38">
        <f ca="1"/>
        <v>30.490788568180072</v>
      </c>
      <c r="L38">
        <f ca="1"/>
        <v>0</v>
      </c>
      <c r="M38">
        <f ca="1"/>
        <v>0</v>
      </c>
      <c r="N38" s="4">
        <f ca="1"/>
        <v>0</v>
      </c>
      <c r="O38">
        <f ca="1"/>
        <v>0</v>
      </c>
      <c r="P38">
        <f ca="1"/>
        <v>1.0274988320595217</v>
      </c>
      <c r="Q38">
        <f ca="1"/>
        <v>0.85409222816030772</v>
      </c>
      <c r="R38">
        <f ca="1"/>
        <v>0.62321323906780135</v>
      </c>
      <c r="S38">
        <f ca="1"/>
        <v>1</v>
      </c>
      <c r="T38">
        <f ca="1"/>
        <v>3.5499999999999972</v>
      </c>
      <c r="U38">
        <f ca="1"/>
        <v>0</v>
      </c>
      <c r="V38">
        <f ca="1"/>
        <v>5.3542807394278899E-3</v>
      </c>
      <c r="X38" s="2">
        <f t="shared" ca="1" si="1"/>
        <v>44778</v>
      </c>
      <c r="Y38">
        <f t="shared" ca="1" si="2"/>
        <v>0</v>
      </c>
      <c r="AA38" s="63">
        <f t="shared" ca="1" si="4"/>
        <v>31.114001807247874</v>
      </c>
      <c r="AB38" s="63">
        <f t="shared" ca="1" si="5"/>
        <v>31.114001807247874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Maturity</v>
      </c>
      <c r="H39" t="b">
        <f t="shared" ca="1" si="3"/>
        <v>1</v>
      </c>
      <c r="I39" t="b">
        <f t="shared" ca="1" si="0"/>
        <v>1</v>
      </c>
      <c r="J39" s="2">
        <f ca="1"/>
        <v>44779</v>
      </c>
      <c r="K39">
        <f ca="1"/>
        <v>30.02575333993639</v>
      </c>
      <c r="L39">
        <f ca="1"/>
        <v>0</v>
      </c>
      <c r="M39">
        <f ca="1"/>
        <v>0</v>
      </c>
      <c r="N39" s="4">
        <f ca="1"/>
        <v>0</v>
      </c>
      <c r="O39">
        <f ca="1"/>
        <v>0</v>
      </c>
      <c r="P39">
        <f ca="1"/>
        <v>1.0274988320595217</v>
      </c>
      <c r="Q39">
        <f ca="1"/>
        <v>0.85409222816030772</v>
      </c>
      <c r="R39">
        <f ca="1"/>
        <v>0.4650352282436811</v>
      </c>
      <c r="S39">
        <f ca="1"/>
        <v>1</v>
      </c>
      <c r="T39">
        <f ca="1"/>
        <v>2.6899999999999977</v>
      </c>
      <c r="U39">
        <f ca="1"/>
        <v>0</v>
      </c>
      <c r="V39">
        <f ca="1"/>
        <v>5.3542807394278899E-3</v>
      </c>
      <c r="X39" s="2">
        <f t="shared" ca="1" si="1"/>
        <v>44779</v>
      </c>
      <c r="Y39">
        <f t="shared" ca="1" si="2"/>
        <v>0</v>
      </c>
      <c r="AA39" s="63">
        <f t="shared" ca="1" si="4"/>
        <v>30.490788568180072</v>
      </c>
      <c r="AB39" s="63">
        <f t="shared" ca="1" si="5"/>
        <v>30.490788568180072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44780</v>
      </c>
      <c r="K40">
        <f ca="1"/>
        <v>29.721156517685444</v>
      </c>
      <c r="L40">
        <f ca="1"/>
        <v>0</v>
      </c>
      <c r="M40">
        <f ca="1"/>
        <v>0</v>
      </c>
      <c r="N40" s="4">
        <f ca="1"/>
        <v>0</v>
      </c>
      <c r="O40">
        <f ca="1"/>
        <v>0</v>
      </c>
      <c r="P40">
        <f ca="1"/>
        <v>1.0274988320595217</v>
      </c>
      <c r="Q40">
        <f ca="1"/>
        <v>0.85409222816030772</v>
      </c>
      <c r="R40">
        <f ca="1"/>
        <v>0.30459682225094614</v>
      </c>
      <c r="S40">
        <f ca="1"/>
        <v>1</v>
      </c>
      <c r="T40">
        <f ca="1"/>
        <v>1.7800000000000011</v>
      </c>
      <c r="U40">
        <f ca="1"/>
        <v>0</v>
      </c>
      <c r="V40">
        <f ca="1"/>
        <v>5.3542807394278899E-3</v>
      </c>
      <c r="X40" s="2">
        <f t="shared" ca="1" si="1"/>
        <v>44780</v>
      </c>
      <c r="Y40">
        <f t="shared" ca="1" si="2"/>
        <v>0</v>
      </c>
      <c r="AA40" s="63">
        <f t="shared" ca="1" si="4"/>
        <v>30.02575333993639</v>
      </c>
      <c r="AB40" s="63">
        <f t="shared" ca="1" si="5"/>
        <v>30.02575333993639</v>
      </c>
      <c r="AC40" s="3">
        <f t="shared" ca="1" si="6"/>
        <v>0</v>
      </c>
    </row>
    <row r="41" spans="1:29" ht="15.7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44781</v>
      </c>
      <c r="K41">
        <f ca="1"/>
        <v>29.615438377054627</v>
      </c>
      <c r="L41">
        <f ca="1"/>
        <v>0</v>
      </c>
      <c r="M41">
        <f ca="1"/>
        <v>0</v>
      </c>
      <c r="N41">
        <f ca="1"/>
        <v>0</v>
      </c>
      <c r="O41">
        <f ca="1"/>
        <v>0</v>
      </c>
      <c r="P41">
        <f ca="1"/>
        <v>1.0274988320595217</v>
      </c>
      <c r="Q41">
        <f ca="1"/>
        <v>0.85409222816030772</v>
      </c>
      <c r="R41">
        <f ca="1"/>
        <v>0.10571814063081759</v>
      </c>
      <c r="S41">
        <f ca="1"/>
        <v>1</v>
      </c>
      <c r="T41">
        <f ca="1"/>
        <v>0.61999999999999034</v>
      </c>
      <c r="U41">
        <f ca="1"/>
        <v>0</v>
      </c>
      <c r="V41">
        <f ca="1"/>
        <v>5.3542807394278899E-3</v>
      </c>
      <c r="X41" s="2">
        <f t="shared" ca="1" si="1"/>
        <v>44781</v>
      </c>
      <c r="Y41">
        <f t="shared" ca="1" si="2"/>
        <v>0</v>
      </c>
      <c r="AA41" s="63">
        <f t="shared" ca="1" si="4"/>
        <v>29.721156517685444</v>
      </c>
      <c r="AB41" s="63">
        <f t="shared" ca="1" si="5"/>
        <v>29.721156517685444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44782</v>
      </c>
      <c r="K42">
        <f ca="1"/>
        <v>29.122474311884368</v>
      </c>
      <c r="L42">
        <f ca="1"/>
        <v>0</v>
      </c>
      <c r="M42">
        <f ca="1"/>
        <v>0</v>
      </c>
      <c r="N42">
        <f ca="1"/>
        <v>0</v>
      </c>
      <c r="O42">
        <f ca="1"/>
        <v>0</v>
      </c>
      <c r="P42">
        <f ca="1"/>
        <v>1.0274988320595217</v>
      </c>
      <c r="Q42">
        <f ca="1"/>
        <v>0.85409222816030772</v>
      </c>
      <c r="R42">
        <f ca="1"/>
        <v>0.49296406517026042</v>
      </c>
      <c r="S42">
        <f ca="1"/>
        <v>1</v>
      </c>
      <c r="T42">
        <f ca="1"/>
        <v>2.9399999999999977</v>
      </c>
      <c r="U42">
        <f ca="1"/>
        <v>0</v>
      </c>
      <c r="V42">
        <f ca="1"/>
        <v>5.3542807394278899E-3</v>
      </c>
      <c r="X42" s="2">
        <f t="shared" ca="1" si="1"/>
        <v>44782</v>
      </c>
      <c r="Y42">
        <f t="shared" ca="1" si="2"/>
        <v>0</v>
      </c>
      <c r="AA42" s="63">
        <f t="shared" ca="1" si="4"/>
        <v>29.615438377054627</v>
      </c>
      <c r="AB42" s="63">
        <f t="shared" ca="1" si="5"/>
        <v>29.615438377054627</v>
      </c>
      <c r="AC42" s="3">
        <f t="shared" ca="1" si="6"/>
        <v>0</v>
      </c>
    </row>
    <row r="43" spans="1:29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44783</v>
      </c>
      <c r="K43">
        <f ca="1"/>
        <v>28.668555516211025</v>
      </c>
      <c r="L43">
        <f ca="1"/>
        <v>0</v>
      </c>
      <c r="M43">
        <f ca="1"/>
        <v>0</v>
      </c>
      <c r="N43">
        <f ca="1"/>
        <v>0</v>
      </c>
      <c r="O43">
        <f ca="1"/>
        <v>0</v>
      </c>
      <c r="P43">
        <f ca="1"/>
        <v>1.0274988320595217</v>
      </c>
      <c r="Q43">
        <f ca="1"/>
        <v>0.85409222816030772</v>
      </c>
      <c r="R43">
        <f ca="1"/>
        <v>0.45391879567334115</v>
      </c>
      <c r="S43">
        <f ca="1"/>
        <v>1</v>
      </c>
      <c r="T43">
        <f ca="1"/>
        <v>2.75</v>
      </c>
      <c r="U43">
        <f ca="1"/>
        <v>0</v>
      </c>
      <c r="V43">
        <f ca="1"/>
        <v>5.3542807394278899E-3</v>
      </c>
      <c r="X43" s="2">
        <f t="shared" ca="1" si="1"/>
        <v>44783</v>
      </c>
      <c r="Y43">
        <f t="shared" ca="1" si="2"/>
        <v>0</v>
      </c>
      <c r="AA43" s="63">
        <f t="shared" ca="1" si="4"/>
        <v>29.122474311884368</v>
      </c>
      <c r="AB43" s="63">
        <f t="shared" ca="1" si="5"/>
        <v>29.122474311884368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44784</v>
      </c>
      <c r="K44">
        <f ca="1"/>
        <v>28.031061229758489</v>
      </c>
      <c r="L44">
        <f ca="1"/>
        <v>0</v>
      </c>
      <c r="M44">
        <f ca="1"/>
        <v>0</v>
      </c>
      <c r="N44">
        <f ca="1"/>
        <v>0</v>
      </c>
      <c r="O44">
        <f ca="1"/>
        <v>0</v>
      </c>
      <c r="P44">
        <f ca="1"/>
        <v>1.0274988320595217</v>
      </c>
      <c r="Q44">
        <f ca="1"/>
        <v>0.85409222816030772</v>
      </c>
      <c r="R44">
        <f ca="1"/>
        <v>0.63749428645253814</v>
      </c>
      <c r="S44">
        <f ca="1"/>
        <v>1</v>
      </c>
      <c r="T44">
        <f ca="1"/>
        <v>3.9500000000000028</v>
      </c>
      <c r="U44">
        <f ca="1"/>
        <v>0</v>
      </c>
      <c r="V44">
        <f ca="1"/>
        <v>5.3542807394278899E-3</v>
      </c>
      <c r="X44" s="2">
        <f t="shared" ca="1" si="1"/>
        <v>44784</v>
      </c>
      <c r="Y44">
        <f t="shared" ca="1" si="2"/>
        <v>0</v>
      </c>
      <c r="AA44" s="63">
        <f t="shared" ca="1" si="4"/>
        <v>28.668555516211025</v>
      </c>
      <c r="AB44" s="63">
        <f t="shared" ca="1" si="5"/>
        <v>28.668555516211025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44785</v>
      </c>
      <c r="K45">
        <f ca="1"/>
        <v>27.688313470584735</v>
      </c>
      <c r="L45">
        <f ca="1"/>
        <v>0</v>
      </c>
      <c r="M45">
        <f ca="1"/>
        <v>0</v>
      </c>
      <c r="N45">
        <f ca="1"/>
        <v>0</v>
      </c>
      <c r="O45">
        <f ca="1"/>
        <v>0</v>
      </c>
      <c r="P45">
        <f ca="1"/>
        <v>1.0274988320595217</v>
      </c>
      <c r="Q45">
        <f ca="1"/>
        <v>0.85409222816030772</v>
      </c>
      <c r="R45">
        <f ca="1"/>
        <v>0.34274775917375433</v>
      </c>
      <c r="S45">
        <f ca="1"/>
        <v>1</v>
      </c>
      <c r="T45">
        <f ca="1"/>
        <v>2.1500000000000057</v>
      </c>
      <c r="U45">
        <f ca="1"/>
        <v>0</v>
      </c>
      <c r="V45">
        <f ca="1"/>
        <v>5.3542807394278899E-3</v>
      </c>
      <c r="X45" s="2">
        <f t="shared" ca="1" si="1"/>
        <v>44785</v>
      </c>
      <c r="Y45">
        <f t="shared" ca="1" si="2"/>
        <v>0</v>
      </c>
      <c r="AA45" s="63">
        <f t="shared" ca="1" si="4"/>
        <v>28.031061229758489</v>
      </c>
      <c r="AB45" s="63">
        <f t="shared" ca="1" si="5"/>
        <v>28.031061229758489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44786</v>
      </c>
      <c r="K46">
        <f ca="1"/>
        <v>27.269112835987865</v>
      </c>
      <c r="L46">
        <f ca="1"/>
        <v>0</v>
      </c>
      <c r="M46">
        <f ca="1"/>
        <v>0</v>
      </c>
      <c r="N46">
        <f ca="1"/>
        <v>0</v>
      </c>
      <c r="O46">
        <f ca="1"/>
        <v>0</v>
      </c>
      <c r="P46">
        <f ca="1"/>
        <v>1.0274988320595217</v>
      </c>
      <c r="Q46">
        <f ca="1"/>
        <v>0.85409222816030772</v>
      </c>
      <c r="R46">
        <f ca="1"/>
        <v>0.41920063459687051</v>
      </c>
      <c r="S46">
        <f ca="1"/>
        <v>1</v>
      </c>
      <c r="T46">
        <f ca="1"/>
        <v>2.6700000000000159</v>
      </c>
      <c r="U46">
        <f ca="1"/>
        <v>0</v>
      </c>
      <c r="V46">
        <f ca="1"/>
        <v>5.3542807394278899E-3</v>
      </c>
      <c r="X46" s="2">
        <f t="shared" ca="1" si="1"/>
        <v>44786</v>
      </c>
      <c r="Y46">
        <f t="shared" ca="1" si="2"/>
        <v>0</v>
      </c>
      <c r="AA46" s="63">
        <f t="shared" ca="1" si="4"/>
        <v>27.688313470584735</v>
      </c>
      <c r="AB46" s="63">
        <f t="shared" ca="1" si="5"/>
        <v>27.688313470584735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44787</v>
      </c>
      <c r="K47">
        <f ca="1"/>
        <v>26.762172412501364</v>
      </c>
      <c r="L47">
        <f ca="1"/>
        <v>0</v>
      </c>
      <c r="M47">
        <f ca="1"/>
        <v>0</v>
      </c>
      <c r="N47">
        <f ca="1"/>
        <v>0</v>
      </c>
      <c r="O47">
        <f ca="1"/>
        <v>0</v>
      </c>
      <c r="P47">
        <f ca="1"/>
        <v>1.0274988320595217</v>
      </c>
      <c r="Q47">
        <f ca="1"/>
        <v>0.85409222816030772</v>
      </c>
      <c r="R47">
        <f ca="1"/>
        <v>0.50694042348650192</v>
      </c>
      <c r="S47">
        <f ca="1"/>
        <v>1</v>
      </c>
      <c r="T47">
        <f ca="1"/>
        <v>3.289999999999992</v>
      </c>
      <c r="U47">
        <f ca="1"/>
        <v>0</v>
      </c>
      <c r="V47">
        <f ca="1"/>
        <v>5.3542807394278899E-3</v>
      </c>
      <c r="X47" s="2">
        <f t="shared" ca="1" si="1"/>
        <v>44787</v>
      </c>
      <c r="Y47">
        <f t="shared" ca="1" si="2"/>
        <v>0</v>
      </c>
      <c r="AA47" s="63">
        <f t="shared" ca="1" si="4"/>
        <v>27.269112835987865</v>
      </c>
      <c r="AB47" s="63">
        <f t="shared" ca="1" si="5"/>
        <v>27.269112835987865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44788</v>
      </c>
      <c r="K48">
        <f ca="1"/>
        <v>26.257237773380538</v>
      </c>
      <c r="L48">
        <f ca="1"/>
        <v>0</v>
      </c>
      <c r="M48">
        <f ca="1"/>
        <v>0</v>
      </c>
      <c r="N48">
        <f ca="1"/>
        <v>0</v>
      </c>
      <c r="O48">
        <f ca="1"/>
        <v>0</v>
      </c>
      <c r="P48">
        <f ca="1"/>
        <v>1.0274988320595217</v>
      </c>
      <c r="Q48">
        <f ca="1"/>
        <v>0.85409222816030772</v>
      </c>
      <c r="R48">
        <f ca="1"/>
        <v>0.50493463912082737</v>
      </c>
      <c r="S48">
        <f ca="1"/>
        <v>1</v>
      </c>
      <c r="T48">
        <f ca="1"/>
        <v>3.3400000000000034</v>
      </c>
      <c r="U48">
        <f ca="1"/>
        <v>0</v>
      </c>
      <c r="V48">
        <f ca="1"/>
        <v>5.3542807394278899E-3</v>
      </c>
      <c r="X48" s="2">
        <f t="shared" ca="1" si="1"/>
        <v>44788</v>
      </c>
      <c r="Y48">
        <f t="shared" ca="1" si="2"/>
        <v>0</v>
      </c>
      <c r="AA48" s="63">
        <f t="shared" ca="1" si="4"/>
        <v>26.762172412501364</v>
      </c>
      <c r="AB48" s="63">
        <f t="shared" ca="1" si="5"/>
        <v>26.762172412501364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45001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44789</v>
      </c>
      <c r="K49">
        <f ca="1"/>
        <v>25.868504698233448</v>
      </c>
      <c r="L49">
        <f ca="1"/>
        <v>0</v>
      </c>
      <c r="M49">
        <f ca="1"/>
        <v>0</v>
      </c>
      <c r="N49">
        <f ca="1"/>
        <v>0</v>
      </c>
      <c r="O49">
        <f ca="1"/>
        <v>0</v>
      </c>
      <c r="P49">
        <f ca="1"/>
        <v>1.0274988320595217</v>
      </c>
      <c r="Q49">
        <f ca="1"/>
        <v>0.85409222816030772</v>
      </c>
      <c r="R49">
        <f ca="1"/>
        <v>0.38873307514708982</v>
      </c>
      <c r="S49">
        <f ca="1"/>
        <v>1</v>
      </c>
      <c r="T49">
        <f ca="1"/>
        <v>2.6099999999999994</v>
      </c>
      <c r="U49">
        <f ca="1"/>
        <v>0</v>
      </c>
      <c r="V49">
        <f ca="1"/>
        <v>5.3542807394278899E-3</v>
      </c>
      <c r="X49" s="2">
        <f t="shared" ca="1" si="1"/>
        <v>44789</v>
      </c>
      <c r="Y49">
        <f t="shared" ca="1" si="2"/>
        <v>0</v>
      </c>
      <c r="AA49" s="63">
        <f t="shared" ca="1" si="4"/>
        <v>26.257237773380538</v>
      </c>
      <c r="AB49" s="63">
        <f t="shared" ca="1" si="5"/>
        <v>26.257237773380538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44790</v>
      </c>
      <c r="K50">
        <f ca="1"/>
        <v>25.380431313043822</v>
      </c>
      <c r="L50">
        <f ca="1"/>
        <v>0</v>
      </c>
      <c r="M50">
        <f ca="1"/>
        <v>0</v>
      </c>
      <c r="N50">
        <f ca="1"/>
        <v>0</v>
      </c>
      <c r="O50">
        <f ca="1"/>
        <v>0</v>
      </c>
      <c r="P50">
        <f ca="1"/>
        <v>1.0274988320595217</v>
      </c>
      <c r="Q50">
        <f ca="1"/>
        <v>0.85409222816030772</v>
      </c>
      <c r="R50">
        <f ca="1"/>
        <v>0.48807338518962501</v>
      </c>
      <c r="S50">
        <f ca="1"/>
        <v>1</v>
      </c>
      <c r="T50">
        <f ca="1"/>
        <v>3.3400000000000034</v>
      </c>
      <c r="U50">
        <f ca="1"/>
        <v>0</v>
      </c>
      <c r="V50">
        <f ca="1"/>
        <v>5.3542807394278899E-3</v>
      </c>
      <c r="X50" s="2">
        <f t="shared" ca="1" si="1"/>
        <v>44790</v>
      </c>
      <c r="Y50">
        <f t="shared" ca="1" si="2"/>
        <v>0</v>
      </c>
      <c r="AA50" s="63">
        <f t="shared" ca="1" si="4"/>
        <v>25.868504698233448</v>
      </c>
      <c r="AB50" s="63">
        <f t="shared" ca="1" si="5"/>
        <v>25.868504698233448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45121</v>
      </c>
      <c r="H51" t="b">
        <f t="shared" ca="1" si="3"/>
        <v>1</v>
      </c>
      <c r="I51" t="b">
        <f t="shared" ca="1" si="0"/>
        <v>1</v>
      </c>
      <c r="J51" s="2">
        <f ca="1"/>
        <v>44791</v>
      </c>
      <c r="K51">
        <f ca="1"/>
        <v>25.084359853560134</v>
      </c>
      <c r="L51">
        <f ca="1"/>
        <v>0</v>
      </c>
      <c r="M51">
        <f ca="1"/>
        <v>0</v>
      </c>
      <c r="N51">
        <f ca="1"/>
        <v>0</v>
      </c>
      <c r="O51">
        <f ca="1"/>
        <v>0</v>
      </c>
      <c r="P51">
        <f ca="1"/>
        <v>1.0274988320595217</v>
      </c>
      <c r="Q51">
        <f ca="1"/>
        <v>0.85409222816030772</v>
      </c>
      <c r="R51">
        <f ca="1"/>
        <v>0.29607145948368868</v>
      </c>
      <c r="S51">
        <f ca="1"/>
        <v>1</v>
      </c>
      <c r="T51">
        <f ca="1"/>
        <v>2.0500000000000114</v>
      </c>
      <c r="U51">
        <f ca="1"/>
        <v>0</v>
      </c>
      <c r="V51">
        <f ca="1"/>
        <v>5.3542807394278899E-3</v>
      </c>
      <c r="X51" s="2">
        <f t="shared" ca="1" si="1"/>
        <v>44791</v>
      </c>
      <c r="Y51">
        <f t="shared" ca="1" si="2"/>
        <v>0</v>
      </c>
      <c r="AA51" s="63">
        <f t="shared" ca="1" si="4"/>
        <v>25.380431313043822</v>
      </c>
      <c r="AB51" s="63">
        <f t="shared" ca="1" si="5"/>
        <v>25.380431313043822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44792</v>
      </c>
      <c r="K52">
        <f ca="1"/>
        <v>24.835552770351701</v>
      </c>
      <c r="L52">
        <f ca="1"/>
        <v>0</v>
      </c>
      <c r="M52">
        <f ca="1"/>
        <v>0</v>
      </c>
      <c r="N52">
        <f ca="1"/>
        <v>0</v>
      </c>
      <c r="O52">
        <f ca="1"/>
        <v>0</v>
      </c>
      <c r="P52">
        <f ca="1"/>
        <v>1.0274988320595217</v>
      </c>
      <c r="Q52">
        <f ca="1"/>
        <v>0.85409222816030772</v>
      </c>
      <c r="R52">
        <f ca="1"/>
        <v>0.24880708320843181</v>
      </c>
      <c r="S52">
        <f ca="1"/>
        <v>1</v>
      </c>
      <c r="T52">
        <f ca="1"/>
        <v>1.7399999999999949</v>
      </c>
      <c r="U52">
        <f ca="1"/>
        <v>0</v>
      </c>
      <c r="V52">
        <f ca="1"/>
        <v>5.3542807394278899E-3</v>
      </c>
      <c r="X52" s="2">
        <f t="shared" ca="1" si="1"/>
        <v>44792</v>
      </c>
      <c r="Y52">
        <f t="shared" ca="1" si="2"/>
        <v>0</v>
      </c>
      <c r="AA52" s="63">
        <f t="shared" ca="1" si="4"/>
        <v>25.084359853560134</v>
      </c>
      <c r="AB52" s="63">
        <f t="shared" ca="1" si="5"/>
        <v>25.084359853560134</v>
      </c>
      <c r="AC52" s="3">
        <f t="shared" ca="1" si="6"/>
        <v>0</v>
      </c>
    </row>
    <row r="53" spans="1:29" ht="15.7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44793</v>
      </c>
      <c r="K53">
        <f ca="1"/>
        <v>24.411095598997019</v>
      </c>
      <c r="L53">
        <f ca="1"/>
        <v>0</v>
      </c>
      <c r="M53">
        <f ca="1"/>
        <v>0</v>
      </c>
      <c r="N53">
        <f ca="1"/>
        <v>0</v>
      </c>
      <c r="O53">
        <f ca="1"/>
        <v>0</v>
      </c>
      <c r="P53">
        <f ca="1"/>
        <v>1.0274988320595217</v>
      </c>
      <c r="Q53">
        <f ca="1"/>
        <v>0.85409222816030772</v>
      </c>
      <c r="R53">
        <f ca="1"/>
        <v>0.42445717135468097</v>
      </c>
      <c r="S53">
        <f ca="1"/>
        <v>1</v>
      </c>
      <c r="T53">
        <f ca="1"/>
        <v>3.019999999999996</v>
      </c>
      <c r="U53">
        <f ca="1"/>
        <v>0</v>
      </c>
      <c r="V53">
        <f ca="1"/>
        <v>5.3542807394278899E-3</v>
      </c>
      <c r="X53" s="2">
        <f t="shared" ca="1" si="1"/>
        <v>44793</v>
      </c>
      <c r="Y53">
        <f t="shared" ca="1" si="2"/>
        <v>0</v>
      </c>
      <c r="AA53" s="63">
        <f t="shared" ca="1" si="4"/>
        <v>24.835552770351701</v>
      </c>
      <c r="AB53" s="63">
        <f t="shared" ca="1" si="5"/>
        <v>24.835552770351701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44794</v>
      </c>
      <c r="K54">
        <f ca="1"/>
        <v>24.107126647541204</v>
      </c>
      <c r="L54">
        <f ca="1"/>
        <v>0</v>
      </c>
      <c r="M54">
        <f ca="1"/>
        <v>0</v>
      </c>
      <c r="N54">
        <f ca="1"/>
        <v>0</v>
      </c>
      <c r="O54">
        <f ca="1"/>
        <v>0</v>
      </c>
      <c r="P54">
        <f ca="1"/>
        <v>1.0274988320595217</v>
      </c>
      <c r="Q54">
        <f ca="1"/>
        <v>0.85409222816030772</v>
      </c>
      <c r="R54">
        <f ca="1"/>
        <v>0.30396895145581471</v>
      </c>
      <c r="S54">
        <f ca="1"/>
        <v>1</v>
      </c>
      <c r="T54">
        <f ca="1"/>
        <v>2.1899999999999977</v>
      </c>
      <c r="U54">
        <f ca="1"/>
        <v>0</v>
      </c>
      <c r="V54">
        <f ca="1"/>
        <v>5.3542807394278899E-3</v>
      </c>
      <c r="X54" s="2">
        <f t="shared" ca="1" si="1"/>
        <v>44794</v>
      </c>
      <c r="Y54">
        <f t="shared" ca="1" si="2"/>
        <v>0</v>
      </c>
      <c r="AA54" s="63">
        <f t="shared" ca="1" si="4"/>
        <v>24.411095598997019</v>
      </c>
      <c r="AB54" s="63">
        <f t="shared" ca="1" si="5"/>
        <v>24.411095598997019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44795</v>
      </c>
      <c r="K55">
        <f ca="1"/>
        <v>23.827264594306257</v>
      </c>
      <c r="L55">
        <f ca="1"/>
        <v>0</v>
      </c>
      <c r="M55">
        <f ca="1"/>
        <v>0</v>
      </c>
      <c r="N55">
        <f ca="1"/>
        <v>0</v>
      </c>
      <c r="O55">
        <f ca="1"/>
        <v>0</v>
      </c>
      <c r="P55">
        <f ca="1"/>
        <v>1.0274988320595217</v>
      </c>
      <c r="Q55">
        <f ca="1"/>
        <v>0.85409222816030772</v>
      </c>
      <c r="R55">
        <f ca="1"/>
        <v>0.2798620532349454</v>
      </c>
      <c r="S55">
        <f ca="1"/>
        <v>1</v>
      </c>
      <c r="T55">
        <f ca="1"/>
        <v>2.0400000000000205</v>
      </c>
      <c r="U55">
        <f ca="1"/>
        <v>0</v>
      </c>
      <c r="V55">
        <f ca="1"/>
        <v>5.3542807394278899E-3</v>
      </c>
      <c r="X55" s="2">
        <f t="shared" ca="1" si="1"/>
        <v>44795</v>
      </c>
      <c r="Y55">
        <f t="shared" ca="1" si="2"/>
        <v>0</v>
      </c>
      <c r="AA55" s="63">
        <f t="shared" ca="1" si="4"/>
        <v>24.107126647541204</v>
      </c>
      <c r="AB55" s="63">
        <f t="shared" ca="1" si="5"/>
        <v>24.107126647541204</v>
      </c>
      <c r="AC55" s="3">
        <f t="shared" ca="1" si="6"/>
        <v>0</v>
      </c>
    </row>
    <row r="56" spans="1:29" ht="15.7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44796</v>
      </c>
      <c r="K56">
        <f ca="1"/>
        <v>23.658358254766167</v>
      </c>
      <c r="L56">
        <f ca="1"/>
        <v>0</v>
      </c>
      <c r="M56">
        <f ca="1"/>
        <v>0</v>
      </c>
      <c r="N56">
        <f ca="1"/>
        <v>0</v>
      </c>
      <c r="O56">
        <f ca="1"/>
        <v>0</v>
      </c>
      <c r="P56">
        <f ca="1"/>
        <v>1.0274988320595217</v>
      </c>
      <c r="Q56">
        <f ca="1"/>
        <v>0.85409222816030772</v>
      </c>
      <c r="R56">
        <f ca="1"/>
        <v>0.16890633954008941</v>
      </c>
      <c r="S56">
        <f ca="1"/>
        <v>1</v>
      </c>
      <c r="T56">
        <f ca="1"/>
        <v>1.2400000000000091</v>
      </c>
      <c r="U56">
        <f ca="1"/>
        <v>0</v>
      </c>
      <c r="V56">
        <f ca="1"/>
        <v>5.3542807394278899E-3</v>
      </c>
      <c r="X56" s="2">
        <f t="shared" ca="1" si="1"/>
        <v>44796</v>
      </c>
      <c r="Y56">
        <f t="shared" ca="1" si="2"/>
        <v>0</v>
      </c>
      <c r="AA56" s="63">
        <f t="shared" ca="1" si="4"/>
        <v>23.827264594306257</v>
      </c>
      <c r="AB56" s="63">
        <f t="shared" ca="1" si="5"/>
        <v>23.827264594306257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44797</v>
      </c>
      <c r="K57">
        <f ca="1"/>
        <v>23.486621233444044</v>
      </c>
      <c r="L57">
        <f ca="1"/>
        <v>0</v>
      </c>
      <c r="M57">
        <f ca="1"/>
        <v>0</v>
      </c>
      <c r="N57">
        <f ca="1"/>
        <v>0</v>
      </c>
      <c r="O57">
        <f ca="1"/>
        <v>0</v>
      </c>
      <c r="P57">
        <f ca="1"/>
        <v>1.0274988320595217</v>
      </c>
      <c r="Q57">
        <f ca="1"/>
        <v>0.85409222816030772</v>
      </c>
      <c r="R57">
        <f ca="1"/>
        <v>0.17173702132212212</v>
      </c>
      <c r="S57">
        <f ca="1"/>
        <v>1</v>
      </c>
      <c r="T57">
        <f ca="1"/>
        <v>1.269999999999996</v>
      </c>
      <c r="U57">
        <f ca="1"/>
        <v>0</v>
      </c>
      <c r="V57">
        <f ca="1"/>
        <v>5.3542807394278899E-3</v>
      </c>
      <c r="X57" s="2">
        <f t="shared" ca="1" si="1"/>
        <v>44797</v>
      </c>
      <c r="Y57">
        <f t="shared" ca="1" si="2"/>
        <v>0</v>
      </c>
      <c r="AA57" s="63">
        <f t="shared" ca="1" si="4"/>
        <v>23.658358254766167</v>
      </c>
      <c r="AB57" s="63">
        <f t="shared" ca="1" si="5"/>
        <v>23.658358254766167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44798</v>
      </c>
      <c r="K58">
        <f ca="1"/>
        <v>22.791145961233084</v>
      </c>
      <c r="L58">
        <f ca="1"/>
        <v>0</v>
      </c>
      <c r="M58">
        <f ca="1"/>
        <v>0</v>
      </c>
      <c r="N58">
        <f ca="1"/>
        <v>0</v>
      </c>
      <c r="O58">
        <f ca="1"/>
        <v>0</v>
      </c>
      <c r="P58">
        <f ca="1"/>
        <v>1.0274988320595217</v>
      </c>
      <c r="Q58">
        <f ca="1"/>
        <v>0.85409222816030772</v>
      </c>
      <c r="R58">
        <f ca="1"/>
        <v>0.69547527221096073</v>
      </c>
      <c r="S58">
        <f ca="1"/>
        <v>1</v>
      </c>
      <c r="T58">
        <f ca="1"/>
        <v>5.2999999999999972</v>
      </c>
      <c r="U58">
        <f ca="1"/>
        <v>0</v>
      </c>
      <c r="V58">
        <f ca="1"/>
        <v>5.3542807394278899E-3</v>
      </c>
      <c r="X58" s="2">
        <f t="shared" ca="1" si="1"/>
        <v>44798</v>
      </c>
      <c r="Y58">
        <f t="shared" ca="1" si="2"/>
        <v>0</v>
      </c>
      <c r="AA58" s="63">
        <f t="shared" ca="1" si="4"/>
        <v>23.486621233444044</v>
      </c>
      <c r="AB58" s="63">
        <f t="shared" ca="1" si="5"/>
        <v>23.486621233444044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44799</v>
      </c>
      <c r="K59">
        <f ca="1"/>
        <v>22.462646769387437</v>
      </c>
      <c r="L59">
        <f ca="1"/>
        <v>0</v>
      </c>
      <c r="M59">
        <f ca="1"/>
        <v>0</v>
      </c>
      <c r="N59">
        <f ca="1"/>
        <v>0</v>
      </c>
      <c r="O59">
        <f ca="1"/>
        <v>0</v>
      </c>
      <c r="P59">
        <f ca="1"/>
        <v>1.0274988320595217</v>
      </c>
      <c r="Q59">
        <f ca="1"/>
        <v>0.85409222816030772</v>
      </c>
      <c r="R59">
        <f ca="1"/>
        <v>0.32849919184564674</v>
      </c>
      <c r="S59">
        <f ca="1"/>
        <v>1</v>
      </c>
      <c r="T59">
        <f ca="1"/>
        <v>2.539999999999992</v>
      </c>
      <c r="U59">
        <f ca="1"/>
        <v>0</v>
      </c>
      <c r="V59">
        <f ca="1"/>
        <v>5.3542807394278899E-3</v>
      </c>
      <c r="X59" s="2">
        <f t="shared" ca="1" si="1"/>
        <v>44799</v>
      </c>
      <c r="Y59">
        <f t="shared" ca="1" si="2"/>
        <v>0</v>
      </c>
      <c r="AA59" s="63">
        <f t="shared" ca="1" si="4"/>
        <v>22.791145961233084</v>
      </c>
      <c r="AB59" s="63">
        <f t="shared" ca="1" si="5"/>
        <v>22.791145961233084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44800</v>
      </c>
      <c r="K60">
        <f ca="1"/>
        <v>22.348129535917025</v>
      </c>
      <c r="L60">
        <f ca="1"/>
        <v>0</v>
      </c>
      <c r="M60">
        <f ca="1"/>
        <v>0</v>
      </c>
      <c r="N60">
        <f ca="1"/>
        <v>0</v>
      </c>
      <c r="O60">
        <f ca="1"/>
        <v>0</v>
      </c>
      <c r="P60">
        <f ca="1"/>
        <v>1.0274988320595217</v>
      </c>
      <c r="Q60">
        <f ca="1"/>
        <v>0.85409222816030772</v>
      </c>
      <c r="R60">
        <f ca="1"/>
        <v>0.11451723347041126</v>
      </c>
      <c r="S60">
        <f ca="1"/>
        <v>1</v>
      </c>
      <c r="T60">
        <f ca="1"/>
        <v>0.89000000000000057</v>
      </c>
      <c r="U60">
        <f ca="1"/>
        <v>0</v>
      </c>
      <c r="V60">
        <f ca="1"/>
        <v>5.3542807394278899E-3</v>
      </c>
      <c r="X60" s="2">
        <f t="shared" ca="1" si="1"/>
        <v>44800</v>
      </c>
      <c r="Y60">
        <f t="shared" ca="1" si="2"/>
        <v>0</v>
      </c>
      <c r="AA60" s="63">
        <f t="shared" ca="1" si="4"/>
        <v>22.462646769387437</v>
      </c>
      <c r="AB60" s="63">
        <f t="shared" ca="1" si="5"/>
        <v>22.462646769387437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44801</v>
      </c>
      <c r="K61">
        <f ca="1"/>
        <v>22.310877131978479</v>
      </c>
      <c r="L61">
        <f ca="1"/>
        <v>0</v>
      </c>
      <c r="M61">
        <f ca="1"/>
        <v>0</v>
      </c>
      <c r="N61">
        <f ca="1"/>
        <v>0</v>
      </c>
      <c r="O61">
        <f ca="1"/>
        <v>0</v>
      </c>
      <c r="P61">
        <f ca="1"/>
        <v>1.0274988320595217</v>
      </c>
      <c r="Q61">
        <f ca="1"/>
        <v>0.85409222816030772</v>
      </c>
      <c r="R61">
        <f ca="1"/>
        <v>3.7252403938544856E-2</v>
      </c>
      <c r="S61">
        <f ca="1"/>
        <v>1</v>
      </c>
      <c r="T61">
        <f ca="1"/>
        <v>0.28999999999999204</v>
      </c>
      <c r="U61">
        <f ca="1"/>
        <v>0</v>
      </c>
      <c r="V61">
        <f ca="1"/>
        <v>5.3542807394278899E-3</v>
      </c>
      <c r="X61" s="2">
        <f t="shared" ca="1" si="1"/>
        <v>44801</v>
      </c>
      <c r="Y61">
        <f t="shared" ca="1" si="2"/>
        <v>0</v>
      </c>
      <c r="AA61" s="63">
        <f t="shared" ca="1" si="4"/>
        <v>22.348129535917025</v>
      </c>
      <c r="AB61" s="63">
        <f t="shared" ca="1" si="5"/>
        <v>22.348129535917025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44802</v>
      </c>
      <c r="K62">
        <f ca="1"/>
        <v>22.281371194971804</v>
      </c>
      <c r="L62">
        <f ca="1"/>
        <v>0</v>
      </c>
      <c r="M62">
        <f ca="1"/>
        <v>0</v>
      </c>
      <c r="N62">
        <f ca="1"/>
        <v>0</v>
      </c>
      <c r="O62">
        <f ca="1"/>
        <v>0</v>
      </c>
      <c r="P62">
        <f ca="1"/>
        <v>1.0274988320595217</v>
      </c>
      <c r="Q62">
        <f ca="1"/>
        <v>0.85409222816030772</v>
      </c>
      <c r="R62">
        <f ca="1"/>
        <v>2.9505937006673477E-2</v>
      </c>
      <c r="S62">
        <f ca="1"/>
        <v>1</v>
      </c>
      <c r="T62">
        <f ca="1"/>
        <v>0.22999999999998977</v>
      </c>
      <c r="U62">
        <f ca="1"/>
        <v>0</v>
      </c>
      <c r="V62">
        <f ca="1"/>
        <v>5.3542807394278899E-3</v>
      </c>
      <c r="X62" s="2">
        <f t="shared" ca="1" si="1"/>
        <v>44802</v>
      </c>
      <c r="Y62">
        <f t="shared" ca="1" si="2"/>
        <v>0</v>
      </c>
      <c r="AA62" s="63">
        <f t="shared" ca="1" si="4"/>
        <v>22.310877131978479</v>
      </c>
      <c r="AB62" s="63">
        <f t="shared" ca="1" si="5"/>
        <v>22.310877131978479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44803</v>
      </c>
      <c r="K63">
        <f ca="1"/>
        <v>22.133545936655477</v>
      </c>
      <c r="L63">
        <f ca="1"/>
        <v>0</v>
      </c>
      <c r="M63">
        <f ca="1"/>
        <v>0</v>
      </c>
      <c r="N63">
        <f ca="1"/>
        <v>0</v>
      </c>
      <c r="O63">
        <f ca="1"/>
        <v>0</v>
      </c>
      <c r="P63">
        <f ca="1"/>
        <v>1.0274988320595217</v>
      </c>
      <c r="Q63">
        <f ca="1"/>
        <v>0.85409222816030772</v>
      </c>
      <c r="R63">
        <f ca="1"/>
        <v>0.14782525831632884</v>
      </c>
      <c r="S63">
        <f ca="1"/>
        <v>1</v>
      </c>
      <c r="T63">
        <f ca="1"/>
        <v>1.1599999999999966</v>
      </c>
      <c r="U63">
        <f ca="1"/>
        <v>0</v>
      </c>
      <c r="V63">
        <f ca="1"/>
        <v>5.3542807394278899E-3</v>
      </c>
      <c r="X63" s="2">
        <f t="shared" ca="1" si="1"/>
        <v>44803</v>
      </c>
      <c r="Y63">
        <f t="shared" ca="1" si="2"/>
        <v>0</v>
      </c>
      <c r="AA63" s="63">
        <f t="shared" ca="1" si="4"/>
        <v>22.281371194971804</v>
      </c>
      <c r="AB63" s="63">
        <f t="shared" ca="1" si="5"/>
        <v>22.281371194971804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44804</v>
      </c>
      <c r="K64">
        <f ca="1"/>
        <v>21.789795406694115</v>
      </c>
      <c r="L64">
        <f ca="1"/>
        <v>0</v>
      </c>
      <c r="M64">
        <f ca="1"/>
        <v>0</v>
      </c>
      <c r="N64">
        <f ca="1"/>
        <v>0</v>
      </c>
      <c r="O64">
        <f ca="1"/>
        <v>0</v>
      </c>
      <c r="P64">
        <f ca="1"/>
        <v>1.0274988320595217</v>
      </c>
      <c r="Q64">
        <f ca="1"/>
        <v>0.85409222816030772</v>
      </c>
      <c r="R64">
        <f ca="1"/>
        <v>0.34375052996136168</v>
      </c>
      <c r="S64">
        <f ca="1"/>
        <v>1</v>
      </c>
      <c r="T64">
        <f ca="1"/>
        <v>2.7399999999999949</v>
      </c>
      <c r="U64">
        <f ca="1"/>
        <v>0</v>
      </c>
      <c r="V64">
        <f ca="1"/>
        <v>5.3542807394278899E-3</v>
      </c>
      <c r="X64" s="2">
        <f t="shared" ca="1" si="1"/>
        <v>44804</v>
      </c>
      <c r="Y64">
        <f t="shared" ca="1" si="2"/>
        <v>0</v>
      </c>
      <c r="AA64" s="63">
        <f t="shared" ca="1" si="4"/>
        <v>22.133545936655477</v>
      </c>
      <c r="AB64" s="63">
        <f t="shared" ca="1" si="5"/>
        <v>22.133545936655477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44805</v>
      </c>
      <c r="K65">
        <f ca="1"/>
        <v>21.672501203212487</v>
      </c>
      <c r="L65">
        <f ca="1"/>
        <v>0</v>
      </c>
      <c r="M65">
        <f ca="1"/>
        <v>0</v>
      </c>
      <c r="N65">
        <f ca="1"/>
        <v>0</v>
      </c>
      <c r="O65">
        <f ca="1"/>
        <v>0</v>
      </c>
      <c r="P65">
        <f ca="1"/>
        <v>1.0274988320595217</v>
      </c>
      <c r="Q65">
        <f ca="1"/>
        <v>0.85409222816030772</v>
      </c>
      <c r="R65">
        <f ca="1"/>
        <v>0.1172942034816285</v>
      </c>
      <c r="S65">
        <f ca="1"/>
        <v>1</v>
      </c>
      <c r="T65">
        <f ca="1"/>
        <v>0.93999999999999773</v>
      </c>
      <c r="U65">
        <f ca="1"/>
        <v>0</v>
      </c>
      <c r="V65">
        <f ca="1"/>
        <v>5.3542807394278899E-3</v>
      </c>
      <c r="X65" s="2">
        <f t="shared" ca="1" si="1"/>
        <v>44805</v>
      </c>
      <c r="Y65">
        <f t="shared" ca="1" si="2"/>
        <v>0</v>
      </c>
      <c r="AA65" s="63">
        <f t="shared" ca="1" si="4"/>
        <v>21.789795406694115</v>
      </c>
      <c r="AB65" s="63">
        <f t="shared" ca="1" si="5"/>
        <v>21.789795406694115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44806</v>
      </c>
      <c r="K66">
        <f ca="1"/>
        <v>21.579317785502365</v>
      </c>
      <c r="L66">
        <f ca="1"/>
        <v>0</v>
      </c>
      <c r="M66">
        <f ca="1"/>
        <v>0</v>
      </c>
      <c r="N66">
        <f ca="1"/>
        <v>0</v>
      </c>
      <c r="O66">
        <f ca="1"/>
        <v>0</v>
      </c>
      <c r="P66">
        <f ca="1"/>
        <v>1.0274988320595217</v>
      </c>
      <c r="Q66">
        <f ca="1"/>
        <v>0.85409222816030772</v>
      </c>
      <c r="R66">
        <f ca="1"/>
        <v>9.3183417710123839E-2</v>
      </c>
      <c r="S66">
        <f ca="1"/>
        <v>1</v>
      </c>
      <c r="T66">
        <f ca="1"/>
        <v>0.75</v>
      </c>
      <c r="U66">
        <f ca="1"/>
        <v>0</v>
      </c>
      <c r="V66">
        <f ca="1"/>
        <v>5.3542807394278899E-3</v>
      </c>
      <c r="X66" s="2">
        <f t="shared" ca="1" si="1"/>
        <v>44806</v>
      </c>
      <c r="Y66">
        <f t="shared" ca="1" si="2"/>
        <v>0</v>
      </c>
      <c r="AA66" s="63">
        <f t="shared" ca="1" si="4"/>
        <v>21.672501203212487</v>
      </c>
      <c r="AB66" s="63">
        <f t="shared" ca="1" si="5"/>
        <v>21.672501203212487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44807</v>
      </c>
      <c r="K67">
        <f ca="1"/>
        <v>21.565659534463872</v>
      </c>
      <c r="L67">
        <f ca="1"/>
        <v>0</v>
      </c>
      <c r="M67">
        <f ca="1"/>
        <v>0</v>
      </c>
      <c r="N67">
        <f ca="1"/>
        <v>0</v>
      </c>
      <c r="O67">
        <f ca="1"/>
        <v>0</v>
      </c>
      <c r="P67">
        <f ca="1"/>
        <v>1.0274988320595217</v>
      </c>
      <c r="Q67">
        <f ca="1"/>
        <v>0.85409222816030772</v>
      </c>
      <c r="R67">
        <f ca="1"/>
        <v>1.3658251038493715E-2</v>
      </c>
      <c r="S67">
        <f ca="1"/>
        <v>1</v>
      </c>
      <c r="T67">
        <f ca="1"/>
        <v>0.10999999999999943</v>
      </c>
      <c r="U67">
        <f ca="1"/>
        <v>0</v>
      </c>
      <c r="V67">
        <f ca="1"/>
        <v>5.3542807394278899E-3</v>
      </c>
      <c r="X67" s="2">
        <f t="shared" ca="1" si="1"/>
        <v>44807</v>
      </c>
      <c r="Y67">
        <f t="shared" ca="1" si="2"/>
        <v>0</v>
      </c>
      <c r="AA67" s="63">
        <f t="shared" ca="1" si="4"/>
        <v>21.579317785502365</v>
      </c>
      <c r="AB67" s="63">
        <f t="shared" ca="1" si="5"/>
        <v>21.579317785502365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44808</v>
      </c>
      <c r="K68">
        <f ca="1"/>
        <v>21.357841266864174</v>
      </c>
      <c r="L68">
        <f ca="1"/>
        <v>0</v>
      </c>
      <c r="M68">
        <f ca="1"/>
        <v>0</v>
      </c>
      <c r="N68">
        <f ca="1"/>
        <v>0</v>
      </c>
      <c r="O68">
        <f ca="1"/>
        <v>0</v>
      </c>
      <c r="P68">
        <f ca="1"/>
        <v>1.0274988320595217</v>
      </c>
      <c r="Q68">
        <f ca="1"/>
        <v>0.85409222816030772</v>
      </c>
      <c r="R68">
        <f ca="1"/>
        <v>0.20781826759969932</v>
      </c>
      <c r="S68">
        <f ca="1"/>
        <v>1</v>
      </c>
      <c r="T68">
        <f ca="1"/>
        <v>1.6899999999999977</v>
      </c>
      <c r="U68">
        <f ca="1"/>
        <v>0</v>
      </c>
      <c r="V68">
        <f ca="1"/>
        <v>5.3542807394278899E-3</v>
      </c>
      <c r="X68" s="2">
        <f t="shared" ca="1" si="1"/>
        <v>44808</v>
      </c>
      <c r="Y68">
        <f t="shared" ca="1" si="2"/>
        <v>0</v>
      </c>
      <c r="AA68" s="63">
        <f t="shared" ca="1" si="4"/>
        <v>21.565659534463872</v>
      </c>
      <c r="AB68" s="63">
        <f t="shared" ca="1" si="5"/>
        <v>21.565659534463872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44809</v>
      </c>
      <c r="K69">
        <f ca="1"/>
        <v>20.917061729687664</v>
      </c>
      <c r="L69">
        <f ca="1"/>
        <v>0</v>
      </c>
      <c r="M69">
        <f ca="1"/>
        <v>0</v>
      </c>
      <c r="N69">
        <f ca="1"/>
        <v>0</v>
      </c>
      <c r="O69">
        <f ca="1"/>
        <v>0</v>
      </c>
      <c r="P69">
        <f ca="1"/>
        <v>1.0274988320595217</v>
      </c>
      <c r="Q69">
        <f ca="1"/>
        <v>0.85409222816030772</v>
      </c>
      <c r="R69">
        <f ca="1"/>
        <v>0.4407795371765087</v>
      </c>
      <c r="S69">
        <f ca="1"/>
        <v>1</v>
      </c>
      <c r="T69">
        <f ca="1"/>
        <v>3.6599999999999966</v>
      </c>
      <c r="U69">
        <f ca="1"/>
        <v>0</v>
      </c>
      <c r="V69">
        <f ca="1"/>
        <v>5.3542807394278899E-3</v>
      </c>
      <c r="X69" s="2">
        <f t="shared" ca="1" si="1"/>
        <v>44809</v>
      </c>
      <c r="Y69">
        <f t="shared" ca="1" si="2"/>
        <v>0</v>
      </c>
      <c r="AA69" s="63">
        <f t="shared" ca="1" si="4"/>
        <v>21.357841266864174</v>
      </c>
      <c r="AB69" s="63">
        <f t="shared" ca="1" si="5"/>
        <v>21.357841266864174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44810</v>
      </c>
      <c r="K70">
        <f ca="1"/>
        <v>20.71313153466906</v>
      </c>
      <c r="L70">
        <f ca="1"/>
        <v>0</v>
      </c>
      <c r="M70">
        <f ca="1"/>
        <v>0</v>
      </c>
      <c r="N70">
        <f ca="1"/>
        <v>0</v>
      </c>
      <c r="O70">
        <f ca="1"/>
        <v>0</v>
      </c>
      <c r="P70">
        <f ca="1"/>
        <v>1.0274988320595217</v>
      </c>
      <c r="Q70">
        <f ca="1"/>
        <v>0.85409222816030772</v>
      </c>
      <c r="R70">
        <f ca="1"/>
        <v>0.20393019501860465</v>
      </c>
      <c r="S70">
        <f ca="1"/>
        <v>1</v>
      </c>
      <c r="T70">
        <f ca="1"/>
        <v>1.7099999999999937</v>
      </c>
      <c r="U70">
        <f ca="1"/>
        <v>0</v>
      </c>
      <c r="V70">
        <f ca="1"/>
        <v>5.3542807394278899E-3</v>
      </c>
      <c r="X70" s="2">
        <f t="shared" ca="1" si="1"/>
        <v>44810</v>
      </c>
      <c r="Y70">
        <f t="shared" ca="1" si="2"/>
        <v>0</v>
      </c>
      <c r="AA70" s="63">
        <f t="shared" ca="1" si="4"/>
        <v>20.917061729687664</v>
      </c>
      <c r="AB70" s="63">
        <f t="shared" ca="1" si="5"/>
        <v>20.917061729687664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44811</v>
      </c>
      <c r="K71">
        <f ca="1"/>
        <v>20.648932127508985</v>
      </c>
      <c r="L71">
        <f ca="1"/>
        <v>0</v>
      </c>
      <c r="M71">
        <f ca="1"/>
        <v>0</v>
      </c>
      <c r="N71">
        <f ca="1"/>
        <v>0</v>
      </c>
      <c r="O71">
        <f ca="1"/>
        <v>0</v>
      </c>
      <c r="P71">
        <f ca="1"/>
        <v>1.0274988320595217</v>
      </c>
      <c r="Q71">
        <f ca="1"/>
        <v>0.85409222816030772</v>
      </c>
      <c r="R71">
        <f ca="1"/>
        <v>6.4199407160074135E-2</v>
      </c>
      <c r="S71">
        <f ca="1"/>
        <v>1</v>
      </c>
      <c r="T71">
        <f ca="1"/>
        <v>0.54000000000000625</v>
      </c>
      <c r="U71">
        <f ca="1"/>
        <v>0</v>
      </c>
      <c r="V71">
        <f ca="1"/>
        <v>5.3542807394278899E-3</v>
      </c>
      <c r="X71" s="2">
        <f t="shared" ca="1" si="1"/>
        <v>44811</v>
      </c>
      <c r="Y71">
        <f t="shared" ca="1" si="2"/>
        <v>0</v>
      </c>
      <c r="AA71" s="63">
        <f t="shared" ca="1" si="4"/>
        <v>20.71313153466906</v>
      </c>
      <c r="AB71" s="63">
        <f t="shared" ca="1" si="5"/>
        <v>20.71313153466906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44812</v>
      </c>
      <c r="K72">
        <f ca="1"/>
        <v>20.412701500148177</v>
      </c>
      <c r="L72">
        <f ca="1"/>
        <v>0</v>
      </c>
      <c r="M72">
        <f ca="1"/>
        <v>0</v>
      </c>
      <c r="N72">
        <f ca="1"/>
        <v>0</v>
      </c>
      <c r="O72">
        <f ca="1"/>
        <v>0</v>
      </c>
      <c r="P72">
        <f ca="1"/>
        <v>1.0274988320595217</v>
      </c>
      <c r="Q72">
        <f ca="1"/>
        <v>0.85409222816030772</v>
      </c>
      <c r="R72">
        <f ca="1"/>
        <v>0.23623062736080636</v>
      </c>
      <c r="S72">
        <f ca="1"/>
        <v>1</v>
      </c>
      <c r="T72">
        <f ca="1"/>
        <v>2.0100000000000051</v>
      </c>
      <c r="U72">
        <f ca="1"/>
        <v>0</v>
      </c>
      <c r="V72">
        <f ca="1"/>
        <v>5.3542807394278899E-3</v>
      </c>
      <c r="X72" s="2">
        <f t="shared" ca="1" si="1"/>
        <v>44812</v>
      </c>
      <c r="Y72">
        <f t="shared" ca="1" si="2"/>
        <v>0</v>
      </c>
      <c r="AA72" s="63">
        <f t="shared" ca="1" si="4"/>
        <v>20.648932127508985</v>
      </c>
      <c r="AB72" s="63">
        <f t="shared" ca="1" si="5"/>
        <v>20.648932127508985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44813</v>
      </c>
      <c r="K73">
        <f ca="1"/>
        <v>20.244853262192542</v>
      </c>
      <c r="L73">
        <f ca="1"/>
        <v>0</v>
      </c>
      <c r="M73">
        <f ca="1"/>
        <v>0</v>
      </c>
      <c r="N73">
        <f ca="1"/>
        <v>0</v>
      </c>
      <c r="O73">
        <f ca="1"/>
        <v>0</v>
      </c>
      <c r="P73">
        <f ca="1"/>
        <v>1.0274988320595217</v>
      </c>
      <c r="Q73">
        <f ca="1"/>
        <v>0.85409222816030772</v>
      </c>
      <c r="R73">
        <f ca="1"/>
        <v>0.16784823795563414</v>
      </c>
      <c r="S73">
        <f ca="1"/>
        <v>1</v>
      </c>
      <c r="T73">
        <f ca="1"/>
        <v>1.4400000000000119</v>
      </c>
      <c r="U73">
        <f ca="1"/>
        <v>0</v>
      </c>
      <c r="V73">
        <f ca="1"/>
        <v>5.3542807394278899E-3</v>
      </c>
      <c r="X73" s="2">
        <f t="shared" ca="1" si="1"/>
        <v>44813</v>
      </c>
      <c r="Y73">
        <f t="shared" ca="1" si="2"/>
        <v>0</v>
      </c>
      <c r="AA73" s="63">
        <f t="shared" ca="1" si="4"/>
        <v>20.412701500148177</v>
      </c>
      <c r="AB73" s="63">
        <f t="shared" ca="1" si="5"/>
        <v>20.412701500148177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44814</v>
      </c>
      <c r="K74">
        <f ca="1"/>
        <v>20.244853262192542</v>
      </c>
      <c r="L74">
        <f ca="1"/>
        <v>0</v>
      </c>
      <c r="M74">
        <f ca="1"/>
        <v>0</v>
      </c>
      <c r="N74">
        <f ca="1"/>
        <v>0</v>
      </c>
      <c r="O74">
        <f ca="1"/>
        <v>0</v>
      </c>
      <c r="P74">
        <f ca="1"/>
        <v>1.0274988320595217</v>
      </c>
      <c r="Q74">
        <f ca="1"/>
        <v>0.85409222816030772</v>
      </c>
      <c r="R74">
        <f ca="1"/>
        <v>0</v>
      </c>
      <c r="S74">
        <f ca="1"/>
        <v>0.98712121212121196</v>
      </c>
      <c r="T74">
        <f ca="1"/>
        <v>0</v>
      </c>
      <c r="U74">
        <f ca="1"/>
        <v>0</v>
      </c>
      <c r="V74">
        <f ca="1"/>
        <v>5.3542807394278899E-3</v>
      </c>
      <c r="X74" s="2">
        <f t="shared" ca="1" si="1"/>
        <v>44814</v>
      </c>
      <c r="Y74">
        <f t="shared" ca="1" si="2"/>
        <v>0</v>
      </c>
      <c r="AA74" s="63">
        <f t="shared" ca="1" si="4"/>
        <v>20.244853262192542</v>
      </c>
      <c r="AB74" s="63">
        <f t="shared" ca="1" si="5"/>
        <v>20.244853262192542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44815</v>
      </c>
      <c r="K75">
        <f ca="1"/>
        <v>20.228580549994213</v>
      </c>
      <c r="L75">
        <f ca="1"/>
        <v>0</v>
      </c>
      <c r="M75">
        <f ca="1"/>
        <v>0</v>
      </c>
      <c r="N75">
        <f ca="1"/>
        <v>0</v>
      </c>
      <c r="O75">
        <f ca="1"/>
        <v>0</v>
      </c>
      <c r="P75">
        <f ca="1"/>
        <v>1.0274988320595217</v>
      </c>
      <c r="Q75">
        <f ca="1"/>
        <v>0.85409222816030772</v>
      </c>
      <c r="R75">
        <f ca="1"/>
        <v>1.6272712198330597E-2</v>
      </c>
      <c r="S75">
        <f ca="1"/>
        <v>1</v>
      </c>
      <c r="T75">
        <f ca="1"/>
        <v>0.13971880846033002</v>
      </c>
      <c r="U75">
        <f ca="1"/>
        <v>0</v>
      </c>
      <c r="V75">
        <f ca="1"/>
        <v>5.3542807394278899E-3</v>
      </c>
      <c r="X75" s="2">
        <f t="shared" ref="X75:X138" ca="1" si="8">IFERROR(J75,$X$9)</f>
        <v>44815</v>
      </c>
      <c r="Y75">
        <f t="shared" ref="Y75:Y138" ca="1" si="9">IFERROR(O75,0)</f>
        <v>0</v>
      </c>
      <c r="AA75" s="63">
        <f t="shared" ca="1" si="4"/>
        <v>20.244853262192542</v>
      </c>
      <c r="AB75" s="63">
        <f t="shared" ca="1" si="5"/>
        <v>20.244853262192542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44816</v>
      </c>
      <c r="K76">
        <f ca="1"/>
        <v>20.054230287284458</v>
      </c>
      <c r="L76">
        <f ca="1"/>
        <v>0</v>
      </c>
      <c r="M76">
        <f ca="1"/>
        <v>0</v>
      </c>
      <c r="N76">
        <f ca="1"/>
        <v>0</v>
      </c>
      <c r="O76">
        <f ca="1"/>
        <v>0</v>
      </c>
      <c r="P76">
        <f ca="1"/>
        <v>1.0274988320595217</v>
      </c>
      <c r="Q76">
        <f ca="1"/>
        <v>0.85409222816030772</v>
      </c>
      <c r="R76">
        <f ca="1"/>
        <v>0.17435026270975551</v>
      </c>
      <c r="S76">
        <f ca="1"/>
        <v>1</v>
      </c>
      <c r="T76">
        <f ca="1"/>
        <v>1.5100000000000051</v>
      </c>
      <c r="U76">
        <f ca="1"/>
        <v>0</v>
      </c>
      <c r="V76">
        <f ca="1"/>
        <v>5.3542807394278899E-3</v>
      </c>
      <c r="X76" s="2">
        <f t="shared" ca="1" si="8"/>
        <v>44816</v>
      </c>
      <c r="Y76">
        <f t="shared" ca="1" si="9"/>
        <v>0</v>
      </c>
      <c r="AA76" s="63">
        <f t="shared" ca="1" si="4"/>
        <v>20.228580549994213</v>
      </c>
      <c r="AB76" s="63">
        <f t="shared" ca="1" si="5"/>
        <v>20.228580549994213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44817</v>
      </c>
      <c r="K77">
        <f ca="1"/>
        <v>19.729353598036784</v>
      </c>
      <c r="L77">
        <f ca="1"/>
        <v>0</v>
      </c>
      <c r="M77">
        <f ca="1"/>
        <v>0</v>
      </c>
      <c r="N77">
        <f ca="1"/>
        <v>0</v>
      </c>
      <c r="O77">
        <f ca="1"/>
        <v>0</v>
      </c>
      <c r="P77">
        <f ca="1"/>
        <v>1.0274988320595217</v>
      </c>
      <c r="Q77">
        <f ca="1"/>
        <v>0.85409222816030772</v>
      </c>
      <c r="R77">
        <f ca="1"/>
        <v>0.32487668924767238</v>
      </c>
      <c r="S77">
        <f ca="1"/>
        <v>1</v>
      </c>
      <c r="T77">
        <f ca="1"/>
        <v>2.8599999999999994</v>
      </c>
      <c r="U77">
        <f ca="1"/>
        <v>0</v>
      </c>
      <c r="V77">
        <f ca="1"/>
        <v>5.3542807394278899E-3</v>
      </c>
      <c r="X77" s="2">
        <f t="shared" ca="1" si="8"/>
        <v>44817</v>
      </c>
      <c r="Y77">
        <f t="shared" ca="1" si="9"/>
        <v>0</v>
      </c>
      <c r="AA77" s="63">
        <f t="shared" ref="AA77:AA140" ca="1" si="11">K76+M77+N77+O77</f>
        <v>20.054230287284458</v>
      </c>
      <c r="AB77" s="63">
        <f t="shared" ref="AB77:AB140" ca="1" si="12">K77+L77+R77</f>
        <v>20.054230287284458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44818</v>
      </c>
      <c r="K78">
        <f ca="1"/>
        <v>19.602944308676591</v>
      </c>
      <c r="L78">
        <f ca="1"/>
        <v>0</v>
      </c>
      <c r="M78">
        <f ca="1"/>
        <v>0</v>
      </c>
      <c r="N78">
        <f ca="1"/>
        <v>0</v>
      </c>
      <c r="O78">
        <f ca="1"/>
        <v>0</v>
      </c>
      <c r="P78">
        <f ca="1"/>
        <v>1.0274988320595217</v>
      </c>
      <c r="Q78">
        <f ca="1"/>
        <v>0.85409222816030772</v>
      </c>
      <c r="R78">
        <f ca="1"/>
        <v>0.1264092893601938</v>
      </c>
      <c r="S78">
        <f ca="1"/>
        <v>1</v>
      </c>
      <c r="T78">
        <f ca="1"/>
        <v>1.1200000000000045</v>
      </c>
      <c r="U78">
        <f ca="1"/>
        <v>0</v>
      </c>
      <c r="V78">
        <f ca="1"/>
        <v>5.3542807394278899E-3</v>
      </c>
      <c r="X78" s="2">
        <f t="shared" ca="1" si="8"/>
        <v>44818</v>
      </c>
      <c r="Y78">
        <f t="shared" ca="1" si="9"/>
        <v>0</v>
      </c>
      <c r="AA78" s="63">
        <f t="shared" ca="1" si="11"/>
        <v>19.729353598036784</v>
      </c>
      <c r="AB78" s="63">
        <f t="shared" ca="1" si="12"/>
        <v>19.729353598036784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44819</v>
      </c>
      <c r="K79">
        <f ca="1"/>
        <v>19.497421898040528</v>
      </c>
      <c r="L79">
        <f ca="1"/>
        <v>0</v>
      </c>
      <c r="M79">
        <f ca="1"/>
        <v>0</v>
      </c>
      <c r="N79">
        <f ca="1"/>
        <v>0</v>
      </c>
      <c r="O79">
        <f ca="1"/>
        <v>0</v>
      </c>
      <c r="P79">
        <f ca="1"/>
        <v>1.0274988320595217</v>
      </c>
      <c r="Q79">
        <f ca="1"/>
        <v>0.85409222816030772</v>
      </c>
      <c r="R79">
        <f ca="1"/>
        <v>0.1055224106360631</v>
      </c>
      <c r="S79">
        <f ca="1"/>
        <v>1</v>
      </c>
      <c r="T79">
        <f ca="1"/>
        <v>0.94000000000001194</v>
      </c>
      <c r="U79">
        <f ca="1"/>
        <v>0</v>
      </c>
      <c r="V79">
        <f ca="1"/>
        <v>5.3542807394278899E-3</v>
      </c>
      <c r="X79" s="2">
        <f t="shared" ca="1" si="8"/>
        <v>44819</v>
      </c>
      <c r="Y79">
        <f t="shared" ca="1" si="9"/>
        <v>0</v>
      </c>
      <c r="AA79" s="63">
        <f t="shared" ca="1" si="11"/>
        <v>19.602944308676591</v>
      </c>
      <c r="AB79" s="63">
        <f t="shared" ca="1" si="12"/>
        <v>19.602944308676591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44820</v>
      </c>
      <c r="K80">
        <f ca="1"/>
        <v>19.351464939752518</v>
      </c>
      <c r="L80">
        <f ca="1"/>
        <v>0</v>
      </c>
      <c r="M80">
        <f ca="1"/>
        <v>0</v>
      </c>
      <c r="N80">
        <f ca="1"/>
        <v>0</v>
      </c>
      <c r="O80">
        <f ca="1"/>
        <v>0</v>
      </c>
      <c r="P80">
        <f ca="1"/>
        <v>1.0274988320595217</v>
      </c>
      <c r="Q80">
        <f ca="1"/>
        <v>0.85409222816030772</v>
      </c>
      <c r="R80">
        <f ca="1"/>
        <v>0.14595695828801084</v>
      </c>
      <c r="S80">
        <f ca="1"/>
        <v>1</v>
      </c>
      <c r="T80">
        <f ca="1"/>
        <v>1.3099999999999881</v>
      </c>
      <c r="U80">
        <f ca="1"/>
        <v>0</v>
      </c>
      <c r="V80">
        <f ca="1"/>
        <v>5.3542807394278899E-3</v>
      </c>
      <c r="X80" s="2">
        <f t="shared" ca="1" si="8"/>
        <v>44820</v>
      </c>
      <c r="Y80">
        <f t="shared" ca="1" si="9"/>
        <v>0</v>
      </c>
      <c r="AA80" s="63">
        <f t="shared" ca="1" si="11"/>
        <v>19.497421898040528</v>
      </c>
      <c r="AB80" s="63">
        <f t="shared" ca="1" si="12"/>
        <v>19.497421898040528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44821</v>
      </c>
      <c r="K81">
        <f ca="1"/>
        <v>19.315876899888483</v>
      </c>
      <c r="L81">
        <f ca="1"/>
        <v>0</v>
      </c>
      <c r="M81">
        <f ca="1"/>
        <v>0</v>
      </c>
      <c r="N81">
        <f ca="1"/>
        <v>0</v>
      </c>
      <c r="O81">
        <f ca="1"/>
        <v>0</v>
      </c>
      <c r="P81">
        <f ca="1"/>
        <v>1.0274988320595217</v>
      </c>
      <c r="Q81">
        <f ca="1"/>
        <v>0.85409222816030772</v>
      </c>
      <c r="R81">
        <f ca="1"/>
        <v>3.5588039864036199E-2</v>
      </c>
      <c r="S81">
        <f ca="1"/>
        <v>1</v>
      </c>
      <c r="T81">
        <f ca="1"/>
        <v>0.31999999999999318</v>
      </c>
      <c r="U81">
        <f ca="1"/>
        <v>0</v>
      </c>
      <c r="V81">
        <f ca="1"/>
        <v>5.3542807394278899E-3</v>
      </c>
      <c r="X81" s="2">
        <f t="shared" ca="1" si="8"/>
        <v>44821</v>
      </c>
      <c r="Y81">
        <f t="shared" ca="1" si="9"/>
        <v>0</v>
      </c>
      <c r="AA81" s="63">
        <f t="shared" ca="1" si="11"/>
        <v>19.351464939752518</v>
      </c>
      <c r="AB81" s="63">
        <f t="shared" ca="1" si="12"/>
        <v>19.351464939752518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44822</v>
      </c>
      <c r="K82">
        <f ca="1"/>
        <v>19.303651254094223</v>
      </c>
      <c r="L82">
        <f ca="1"/>
        <v>0</v>
      </c>
      <c r="M82">
        <f ca="1"/>
        <v>0</v>
      </c>
      <c r="N82">
        <f ca="1"/>
        <v>0</v>
      </c>
      <c r="O82">
        <f ca="1"/>
        <v>0</v>
      </c>
      <c r="P82">
        <f ca="1"/>
        <v>1.0274988320595217</v>
      </c>
      <c r="Q82">
        <f ca="1"/>
        <v>0.85409222816030772</v>
      </c>
      <c r="R82">
        <f ca="1"/>
        <v>1.2225645794259611E-2</v>
      </c>
      <c r="S82">
        <f ca="1"/>
        <v>1</v>
      </c>
      <c r="T82">
        <f ca="1"/>
        <v>0.10999999999999943</v>
      </c>
      <c r="U82">
        <f ca="1"/>
        <v>0</v>
      </c>
      <c r="V82">
        <f ca="1"/>
        <v>5.3542807394278899E-3</v>
      </c>
      <c r="X82" s="2">
        <f t="shared" ca="1" si="8"/>
        <v>44822</v>
      </c>
      <c r="Y82">
        <f t="shared" ca="1" si="9"/>
        <v>0</v>
      </c>
      <c r="AA82" s="63">
        <f t="shared" ca="1" si="11"/>
        <v>19.315876899888483</v>
      </c>
      <c r="AB82" s="63">
        <f t="shared" ca="1" si="12"/>
        <v>19.315876899888483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44823</v>
      </c>
      <c r="K83">
        <f ca="1"/>
        <v>19.161334794755</v>
      </c>
      <c r="L83">
        <f ca="1"/>
        <v>0</v>
      </c>
      <c r="M83">
        <f ca="1"/>
        <v>0</v>
      </c>
      <c r="N83">
        <f ca="1"/>
        <v>0</v>
      </c>
      <c r="O83">
        <f ca="1"/>
        <v>0</v>
      </c>
      <c r="P83">
        <f ca="1"/>
        <v>1.0274988320595217</v>
      </c>
      <c r="Q83">
        <f ca="1"/>
        <v>0.85409222816030772</v>
      </c>
      <c r="R83">
        <f ca="1"/>
        <v>0.1423164593392249</v>
      </c>
      <c r="S83">
        <f ca="1"/>
        <v>1</v>
      </c>
      <c r="T83">
        <f ca="1"/>
        <v>1.289999999999992</v>
      </c>
      <c r="U83">
        <f ca="1"/>
        <v>0</v>
      </c>
      <c r="V83">
        <f ca="1"/>
        <v>5.3542807394278899E-3</v>
      </c>
      <c r="X83" s="2">
        <f t="shared" ca="1" si="8"/>
        <v>44823</v>
      </c>
      <c r="Y83">
        <f t="shared" ca="1" si="9"/>
        <v>0</v>
      </c>
      <c r="AA83" s="63">
        <f t="shared" ca="1" si="11"/>
        <v>19.303651254094223</v>
      </c>
      <c r="AB83" s="63">
        <f t="shared" ca="1" si="12"/>
        <v>19.303651254094223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44824</v>
      </c>
      <c r="K84">
        <f ca="1"/>
        <v>19.160231629903581</v>
      </c>
      <c r="L84">
        <f ca="1"/>
        <v>0</v>
      </c>
      <c r="M84">
        <f ca="1"/>
        <v>0</v>
      </c>
      <c r="N84">
        <f ca="1"/>
        <v>0</v>
      </c>
      <c r="O84">
        <f ca="1"/>
        <v>0</v>
      </c>
      <c r="P84">
        <f ca="1"/>
        <v>1.0274988320595217</v>
      </c>
      <c r="Q84">
        <f ca="1"/>
        <v>0.85409222816030772</v>
      </c>
      <c r="R84">
        <f ca="1"/>
        <v>1.1031648514192554E-3</v>
      </c>
      <c r="S84">
        <f ca="1"/>
        <v>1</v>
      </c>
      <c r="T84">
        <f ca="1"/>
        <v>1.0000000000005116E-2</v>
      </c>
      <c r="U84">
        <f ca="1"/>
        <v>0</v>
      </c>
      <c r="V84">
        <f ca="1"/>
        <v>5.3542807394278899E-3</v>
      </c>
      <c r="X84" s="2">
        <f t="shared" ca="1" si="8"/>
        <v>44824</v>
      </c>
      <c r="Y84">
        <f t="shared" ca="1" si="9"/>
        <v>0</v>
      </c>
      <c r="AA84" s="63">
        <f t="shared" ca="1" si="11"/>
        <v>19.161334794755</v>
      </c>
      <c r="AB84" s="63">
        <f t="shared" ca="1" si="12"/>
        <v>19.161334794755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44825</v>
      </c>
      <c r="K85">
        <f ca="1"/>
        <v>19.142597237297103</v>
      </c>
      <c r="L85">
        <f ca="1"/>
        <v>0</v>
      </c>
      <c r="M85">
        <f ca="1"/>
        <v>0</v>
      </c>
      <c r="N85">
        <f ca="1"/>
        <v>0</v>
      </c>
      <c r="O85">
        <f ca="1"/>
        <v>0</v>
      </c>
      <c r="P85">
        <f ca="1"/>
        <v>1.0274988320595217</v>
      </c>
      <c r="Q85">
        <f ca="1"/>
        <v>0.85409222816030772</v>
      </c>
      <c r="R85">
        <f ca="1"/>
        <v>1.7634392606479379E-2</v>
      </c>
      <c r="S85">
        <f ca="1"/>
        <v>1</v>
      </c>
      <c r="T85">
        <f ca="1"/>
        <v>0.15999999999999659</v>
      </c>
      <c r="U85">
        <f ca="1"/>
        <v>0</v>
      </c>
      <c r="V85">
        <f ca="1"/>
        <v>5.3542807394278899E-3</v>
      </c>
      <c r="X85" s="2">
        <f t="shared" ca="1" si="8"/>
        <v>44825</v>
      </c>
      <c r="Y85">
        <f t="shared" ca="1" si="9"/>
        <v>0</v>
      </c>
      <c r="AA85" s="63">
        <f t="shared" ca="1" si="11"/>
        <v>19.160231629903581</v>
      </c>
      <c r="AB85" s="63">
        <f t="shared" ca="1" si="12"/>
        <v>19.160231629903581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44826</v>
      </c>
      <c r="K86">
        <f ca="1"/>
        <v>18.951645056050534</v>
      </c>
      <c r="L86">
        <f ca="1"/>
        <v>0</v>
      </c>
      <c r="M86">
        <f ca="1"/>
        <v>0</v>
      </c>
      <c r="N86">
        <f ca="1"/>
        <v>0</v>
      </c>
      <c r="O86">
        <f ca="1"/>
        <v>0</v>
      </c>
      <c r="P86">
        <f ca="1"/>
        <v>1.0274988320595217</v>
      </c>
      <c r="Q86">
        <f ca="1"/>
        <v>0.85409222816030772</v>
      </c>
      <c r="R86">
        <f ca="1"/>
        <v>0.19095218124656979</v>
      </c>
      <c r="S86">
        <f ca="1"/>
        <v>1</v>
      </c>
      <c r="T86">
        <f ca="1"/>
        <v>1.75</v>
      </c>
      <c r="U86">
        <f ca="1"/>
        <v>0</v>
      </c>
      <c r="V86">
        <f ca="1"/>
        <v>5.3542807394278899E-3</v>
      </c>
      <c r="X86" s="2">
        <f t="shared" ca="1" si="8"/>
        <v>44826</v>
      </c>
      <c r="Y86">
        <f t="shared" ca="1" si="9"/>
        <v>0</v>
      </c>
      <c r="AA86" s="63">
        <f t="shared" ca="1" si="11"/>
        <v>19.142597237297103</v>
      </c>
      <c r="AB86" s="63">
        <f t="shared" ca="1" si="12"/>
        <v>19.142597237297103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44827</v>
      </c>
      <c r="K87">
        <f ca="1"/>
        <v>18.849628581364723</v>
      </c>
      <c r="L87">
        <f ca="1"/>
        <v>0</v>
      </c>
      <c r="M87">
        <f ca="1"/>
        <v>0</v>
      </c>
      <c r="N87">
        <f ca="1"/>
        <v>0</v>
      </c>
      <c r="O87">
        <f ca="1"/>
        <v>0</v>
      </c>
      <c r="P87">
        <f ca="1"/>
        <v>1.0274988320595217</v>
      </c>
      <c r="Q87">
        <f ca="1"/>
        <v>0.85409222816030772</v>
      </c>
      <c r="R87">
        <f ca="1"/>
        <v>0.10201647468581004</v>
      </c>
      <c r="S87">
        <f ca="1"/>
        <v>1</v>
      </c>
      <c r="T87">
        <f ca="1"/>
        <v>0.93999999999999773</v>
      </c>
      <c r="U87">
        <f ca="1"/>
        <v>0</v>
      </c>
      <c r="V87">
        <f ca="1"/>
        <v>5.3542807394278899E-3</v>
      </c>
      <c r="X87" s="2">
        <f t="shared" ca="1" si="8"/>
        <v>44827</v>
      </c>
      <c r="Y87">
        <f t="shared" ca="1" si="9"/>
        <v>0</v>
      </c>
      <c r="AA87" s="63">
        <f t="shared" ca="1" si="11"/>
        <v>18.951645056050534</v>
      </c>
      <c r="AB87" s="63">
        <f t="shared" ca="1" si="12"/>
        <v>18.951645056050534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44828</v>
      </c>
      <c r="K88">
        <f ca="1"/>
        <v>18.630801350951728</v>
      </c>
      <c r="L88">
        <f ca="1"/>
        <v>0</v>
      </c>
      <c r="M88">
        <f ca="1"/>
        <v>0</v>
      </c>
      <c r="N88">
        <f ca="1"/>
        <v>0</v>
      </c>
      <c r="O88">
        <f ca="1"/>
        <v>0</v>
      </c>
      <c r="P88">
        <f ca="1"/>
        <v>1.0274988320595217</v>
      </c>
      <c r="Q88">
        <f ca="1"/>
        <v>0.85409222816030772</v>
      </c>
      <c r="R88">
        <f ca="1"/>
        <v>0.21882723041299582</v>
      </c>
      <c r="S88">
        <f ca="1"/>
        <v>1</v>
      </c>
      <c r="T88">
        <f ca="1"/>
        <v>2.039999999999992</v>
      </c>
      <c r="U88">
        <f ca="1"/>
        <v>0</v>
      </c>
      <c r="V88">
        <f ca="1"/>
        <v>5.3542807394278899E-3</v>
      </c>
      <c r="X88" s="2">
        <f t="shared" ca="1" si="8"/>
        <v>44828</v>
      </c>
      <c r="Y88">
        <f t="shared" ca="1" si="9"/>
        <v>0</v>
      </c>
      <c r="AA88" s="63">
        <f t="shared" ca="1" si="11"/>
        <v>18.849628581364723</v>
      </c>
      <c r="AB88" s="63">
        <f t="shared" ca="1" si="12"/>
        <v>18.849628581364723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44829</v>
      </c>
      <c r="K89">
        <f ca="1"/>
        <v>18.545380205761553</v>
      </c>
      <c r="L89">
        <f ca="1"/>
        <v>0</v>
      </c>
      <c r="M89">
        <f ca="1"/>
        <v>0</v>
      </c>
      <c r="N89">
        <f ca="1"/>
        <v>0</v>
      </c>
      <c r="O89">
        <f ca="1"/>
        <v>0</v>
      </c>
      <c r="P89">
        <f ca="1"/>
        <v>1.0274988320595217</v>
      </c>
      <c r="Q89">
        <f ca="1"/>
        <v>0.85409222816030772</v>
      </c>
      <c r="R89">
        <f ca="1"/>
        <v>8.542114519017413E-2</v>
      </c>
      <c r="S89">
        <f ca="1"/>
        <v>1</v>
      </c>
      <c r="T89">
        <f ca="1"/>
        <v>0.79999999999999716</v>
      </c>
      <c r="U89">
        <f ca="1"/>
        <v>0</v>
      </c>
      <c r="V89">
        <f ca="1"/>
        <v>5.3542807394278899E-3</v>
      </c>
      <c r="X89" s="2">
        <f t="shared" ca="1" si="8"/>
        <v>44829</v>
      </c>
      <c r="Y89">
        <f t="shared" ca="1" si="9"/>
        <v>0</v>
      </c>
      <c r="AA89" s="63">
        <f t="shared" ca="1" si="11"/>
        <v>18.630801350951728</v>
      </c>
      <c r="AB89" s="63">
        <f t="shared" ca="1" si="12"/>
        <v>18.630801350951728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44830</v>
      </c>
      <c r="K90">
        <f ca="1"/>
        <v>18.35410815141994</v>
      </c>
      <c r="L90">
        <f ca="1"/>
        <v>0</v>
      </c>
      <c r="M90">
        <f ca="1"/>
        <v>0</v>
      </c>
      <c r="N90">
        <f ca="1"/>
        <v>0</v>
      </c>
      <c r="O90">
        <f ca="1"/>
        <v>0</v>
      </c>
      <c r="P90">
        <f ca="1"/>
        <v>1.0274988320595217</v>
      </c>
      <c r="Q90">
        <f ca="1"/>
        <v>0.85409222816030772</v>
      </c>
      <c r="R90">
        <f ca="1"/>
        <v>0.19127205434161443</v>
      </c>
      <c r="S90">
        <f ca="1"/>
        <v>1</v>
      </c>
      <c r="T90">
        <f ca="1"/>
        <v>1.8099999999999881</v>
      </c>
      <c r="U90">
        <f ca="1"/>
        <v>0</v>
      </c>
      <c r="V90">
        <f ca="1"/>
        <v>5.3542807394278899E-3</v>
      </c>
      <c r="X90" s="2">
        <f t="shared" ca="1" si="8"/>
        <v>44830</v>
      </c>
      <c r="Y90">
        <f t="shared" ca="1" si="9"/>
        <v>0</v>
      </c>
      <c r="AA90" s="63">
        <f t="shared" ca="1" si="11"/>
        <v>18.545380205761553</v>
      </c>
      <c r="AB90" s="63">
        <f t="shared" ca="1" si="12"/>
        <v>18.545380205761553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44831</v>
      </c>
      <c r="K91">
        <f ca="1"/>
        <v>18.334051809894572</v>
      </c>
      <c r="L91">
        <f ca="1"/>
        <v>0</v>
      </c>
      <c r="M91">
        <f ca="1"/>
        <v>0</v>
      </c>
      <c r="N91">
        <f ca="1"/>
        <v>0</v>
      </c>
      <c r="O91">
        <f ca="1"/>
        <v>0</v>
      </c>
      <c r="P91">
        <f ca="1"/>
        <v>1.0274988320595217</v>
      </c>
      <c r="Q91">
        <f ca="1"/>
        <v>0.85409222816030772</v>
      </c>
      <c r="R91">
        <f ca="1"/>
        <v>2.0056341525369278E-2</v>
      </c>
      <c r="S91">
        <f ca="1"/>
        <v>1</v>
      </c>
      <c r="T91">
        <f ca="1"/>
        <v>0.18999999999999773</v>
      </c>
      <c r="U91">
        <f ca="1"/>
        <v>0</v>
      </c>
      <c r="V91">
        <f ca="1"/>
        <v>5.3542807394278899E-3</v>
      </c>
      <c r="X91" s="2">
        <f t="shared" ca="1" si="8"/>
        <v>44831</v>
      </c>
      <c r="Y91">
        <f t="shared" ca="1" si="9"/>
        <v>0</v>
      </c>
      <c r="AA91" s="63">
        <f t="shared" ca="1" si="11"/>
        <v>18.35410815141994</v>
      </c>
      <c r="AB91" s="63">
        <f t="shared" ca="1" si="12"/>
        <v>18.35410815141994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44832</v>
      </c>
      <c r="K92">
        <f ca="1"/>
        <v>18.144959339684945</v>
      </c>
      <c r="L92">
        <f ca="1"/>
        <v>0</v>
      </c>
      <c r="M92">
        <f ca="1"/>
        <v>0</v>
      </c>
      <c r="N92">
        <f ca="1"/>
        <v>0</v>
      </c>
      <c r="O92">
        <f ca="1"/>
        <v>0</v>
      </c>
      <c r="P92">
        <f ca="1"/>
        <v>1.0274988320595217</v>
      </c>
      <c r="Q92">
        <f ca="1"/>
        <v>0.85409222816030772</v>
      </c>
      <c r="R92">
        <f ca="1"/>
        <v>0.18909247020962608</v>
      </c>
      <c r="S92">
        <f ca="1"/>
        <v>1</v>
      </c>
      <c r="T92">
        <f ca="1"/>
        <v>1.8100000000000023</v>
      </c>
      <c r="U92">
        <f ca="1"/>
        <v>0</v>
      </c>
      <c r="V92">
        <f ca="1"/>
        <v>5.3542807394278899E-3</v>
      </c>
      <c r="X92" s="2">
        <f t="shared" ca="1" si="8"/>
        <v>44832</v>
      </c>
      <c r="Y92">
        <f t="shared" ca="1" si="9"/>
        <v>0</v>
      </c>
      <c r="AA92" s="63">
        <f t="shared" ca="1" si="11"/>
        <v>18.334051809894572</v>
      </c>
      <c r="AB92" s="63">
        <f t="shared" ca="1" si="12"/>
        <v>18.334051809894572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44833</v>
      </c>
      <c r="K93">
        <f ca="1"/>
        <v>18.036956232065062</v>
      </c>
      <c r="L93">
        <f ca="1"/>
        <v>0</v>
      </c>
      <c r="M93">
        <f ca="1"/>
        <v>0</v>
      </c>
      <c r="N93">
        <f ca="1"/>
        <v>0</v>
      </c>
      <c r="O93">
        <f ca="1"/>
        <v>0</v>
      </c>
      <c r="P93">
        <f ca="1"/>
        <v>1.0274988320595217</v>
      </c>
      <c r="Q93">
        <f ca="1"/>
        <v>0.85409222816030772</v>
      </c>
      <c r="R93">
        <f ca="1"/>
        <v>0.10800310761988115</v>
      </c>
      <c r="S93">
        <f ca="1"/>
        <v>1</v>
      </c>
      <c r="T93">
        <f ca="1"/>
        <v>1.0400000000000063</v>
      </c>
      <c r="U93">
        <f ca="1"/>
        <v>0</v>
      </c>
      <c r="V93">
        <f ca="1"/>
        <v>5.3542807394278899E-3</v>
      </c>
      <c r="X93" s="2">
        <f t="shared" ca="1" si="8"/>
        <v>44833</v>
      </c>
      <c r="Y93">
        <f t="shared" ca="1" si="9"/>
        <v>0</v>
      </c>
      <c r="AA93" s="63">
        <f t="shared" ca="1" si="11"/>
        <v>18.144959339684945</v>
      </c>
      <c r="AB93" s="63">
        <f t="shared" ca="1" si="12"/>
        <v>18.144959339684945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44834</v>
      </c>
      <c r="K94">
        <f ca="1"/>
        <v>17.747775060846362</v>
      </c>
      <c r="L94">
        <f ca="1"/>
        <v>0</v>
      </c>
      <c r="M94">
        <f ca="1"/>
        <v>0</v>
      </c>
      <c r="N94">
        <f ca="1"/>
        <v>0</v>
      </c>
      <c r="O94">
        <f ca="1"/>
        <v>0</v>
      </c>
      <c r="P94">
        <f ca="1"/>
        <v>1.0274988320595217</v>
      </c>
      <c r="Q94">
        <f ca="1"/>
        <v>0.85409222816030772</v>
      </c>
      <c r="R94">
        <f ca="1"/>
        <v>0.28918117121869946</v>
      </c>
      <c r="S94">
        <f ca="1"/>
        <v>1</v>
      </c>
      <c r="T94">
        <f ca="1"/>
        <v>2.8299999999999983</v>
      </c>
      <c r="U94">
        <f ca="1"/>
        <v>0</v>
      </c>
      <c r="V94">
        <f ca="1"/>
        <v>5.3542807394278899E-3</v>
      </c>
      <c r="X94" s="2">
        <f t="shared" ca="1" si="8"/>
        <v>44834</v>
      </c>
      <c r="Y94">
        <f t="shared" ca="1" si="9"/>
        <v>0</v>
      </c>
      <c r="AA94" s="63">
        <f t="shared" ca="1" si="11"/>
        <v>18.036956232065062</v>
      </c>
      <c r="AB94" s="63">
        <f t="shared" ca="1" si="12"/>
        <v>18.036956232065062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44835</v>
      </c>
      <c r="K95">
        <f ca="1"/>
        <v>17.300530143707071</v>
      </c>
      <c r="L95">
        <f ca="1"/>
        <v>0</v>
      </c>
      <c r="M95">
        <f ca="1"/>
        <v>0</v>
      </c>
      <c r="N95">
        <f ca="1"/>
        <v>0</v>
      </c>
      <c r="O95">
        <f ca="1"/>
        <v>0</v>
      </c>
      <c r="P95">
        <f ca="1"/>
        <v>1.0274988320595217</v>
      </c>
      <c r="Q95">
        <f ca="1"/>
        <v>0.85409222816030772</v>
      </c>
      <c r="R95">
        <f ca="1"/>
        <v>0.44724491713928882</v>
      </c>
      <c r="S95">
        <f ca="1"/>
        <v>1</v>
      </c>
      <c r="T95">
        <f ca="1"/>
        <v>4.4900000000000091</v>
      </c>
      <c r="U95">
        <f ca="1"/>
        <v>0</v>
      </c>
      <c r="V95">
        <f ca="1"/>
        <v>5.3542807394278899E-3</v>
      </c>
      <c r="X95" s="2">
        <f t="shared" ca="1" si="8"/>
        <v>44835</v>
      </c>
      <c r="Y95">
        <f t="shared" ca="1" si="9"/>
        <v>0</v>
      </c>
      <c r="AA95" s="63">
        <f t="shared" ca="1" si="11"/>
        <v>17.747775060846362</v>
      </c>
      <c r="AB95" s="63">
        <f t="shared" ca="1" si="12"/>
        <v>17.747775060846362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44836</v>
      </c>
      <c r="K96">
        <f ca="1"/>
        <v>17.120146059318433</v>
      </c>
      <c r="L96">
        <f ca="1"/>
        <v>0</v>
      </c>
      <c r="M96">
        <f ca="1"/>
        <v>0</v>
      </c>
      <c r="N96">
        <f ca="1"/>
        <v>0</v>
      </c>
      <c r="O96">
        <f ca="1"/>
        <v>0</v>
      </c>
      <c r="P96">
        <f ca="1"/>
        <v>1.0274988320595217</v>
      </c>
      <c r="Q96">
        <f ca="1"/>
        <v>0.85409222816030772</v>
      </c>
      <c r="R96">
        <f ca="1"/>
        <v>0.18038408438863682</v>
      </c>
      <c r="S96">
        <f ca="1"/>
        <v>1</v>
      </c>
      <c r="T96">
        <f ca="1"/>
        <v>1.8299999999999983</v>
      </c>
      <c r="U96">
        <f ca="1"/>
        <v>0</v>
      </c>
      <c r="V96">
        <f ca="1"/>
        <v>5.3542807394278899E-3</v>
      </c>
      <c r="X96" s="2">
        <f t="shared" ca="1" si="8"/>
        <v>44836</v>
      </c>
      <c r="Y96">
        <f t="shared" ca="1" si="9"/>
        <v>0</v>
      </c>
      <c r="AA96" s="63">
        <f t="shared" ca="1" si="11"/>
        <v>17.300530143707071</v>
      </c>
      <c r="AB96" s="63">
        <f t="shared" ca="1" si="12"/>
        <v>17.300530143707071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44837</v>
      </c>
      <c r="K97">
        <f ca="1"/>
        <v>16.901198712362824</v>
      </c>
      <c r="L97">
        <f ca="1"/>
        <v>0</v>
      </c>
      <c r="M97">
        <f ca="1"/>
        <v>0</v>
      </c>
      <c r="N97">
        <f ca="1"/>
        <v>0</v>
      </c>
      <c r="O97">
        <f ca="1"/>
        <v>0</v>
      </c>
      <c r="P97">
        <f ca="1"/>
        <v>1.0274988320595217</v>
      </c>
      <c r="Q97">
        <f ca="1"/>
        <v>0.85409222816030772</v>
      </c>
      <c r="R97">
        <f ca="1"/>
        <v>0.21894734695560789</v>
      </c>
      <c r="S97">
        <f ca="1"/>
        <v>1</v>
      </c>
      <c r="T97">
        <f ca="1"/>
        <v>2.2499999999999858</v>
      </c>
      <c r="U97">
        <f ca="1"/>
        <v>0</v>
      </c>
      <c r="V97">
        <f ca="1"/>
        <v>5.3542807394278899E-3</v>
      </c>
      <c r="X97" s="2">
        <f t="shared" ca="1" si="8"/>
        <v>44837</v>
      </c>
      <c r="Y97">
        <f t="shared" ca="1" si="9"/>
        <v>0</v>
      </c>
      <c r="AA97" s="63">
        <f t="shared" ca="1" si="11"/>
        <v>17.120146059318433</v>
      </c>
      <c r="AB97" s="63">
        <f t="shared" ca="1" si="12"/>
        <v>17.120146059318433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44838</v>
      </c>
      <c r="K98">
        <f ca="1"/>
        <v>16.901198712362824</v>
      </c>
      <c r="L98">
        <f ca="1"/>
        <v>0</v>
      </c>
      <c r="M98">
        <f ca="1"/>
        <v>0</v>
      </c>
      <c r="N98">
        <f ca="1"/>
        <v>0</v>
      </c>
      <c r="O98">
        <f ca="1"/>
        <v>0</v>
      </c>
      <c r="P98">
        <f ca="1"/>
        <v>1.0274988320595217</v>
      </c>
      <c r="Q98">
        <f ca="1"/>
        <v>0.85409222816030772</v>
      </c>
      <c r="R98">
        <f ca="1"/>
        <v>0</v>
      </c>
      <c r="S98">
        <f ca="1"/>
        <v>0.99575757575757573</v>
      </c>
      <c r="T98">
        <f ca="1"/>
        <v>0</v>
      </c>
      <c r="U98">
        <f ca="1"/>
        <v>0</v>
      </c>
      <c r="V98">
        <f ca="1"/>
        <v>5.3542807394278899E-3</v>
      </c>
      <c r="X98" s="2">
        <f t="shared" ca="1" si="8"/>
        <v>44838</v>
      </c>
      <c r="Y98">
        <f t="shared" ca="1" si="9"/>
        <v>0</v>
      </c>
      <c r="AA98" s="63">
        <f t="shared" ca="1" si="11"/>
        <v>16.901198712362824</v>
      </c>
      <c r="AB98" s="63">
        <f t="shared" ca="1" si="12"/>
        <v>16.901198712362824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44839</v>
      </c>
      <c r="K99">
        <f ca="1"/>
        <v>16.824382977594933</v>
      </c>
      <c r="L99">
        <f ca="1"/>
        <v>0</v>
      </c>
      <c r="M99">
        <f ca="1"/>
        <v>0</v>
      </c>
      <c r="N99">
        <f ca="1"/>
        <v>0</v>
      </c>
      <c r="O99">
        <f ca="1"/>
        <v>0</v>
      </c>
      <c r="P99">
        <f ca="1"/>
        <v>1.0274988320595217</v>
      </c>
      <c r="Q99">
        <f ca="1"/>
        <v>0.85409222816030772</v>
      </c>
      <c r="R99">
        <f ca="1"/>
        <v>7.6815734767891719E-2</v>
      </c>
      <c r="S99">
        <f ca="1"/>
        <v>1</v>
      </c>
      <c r="T99">
        <f ca="1"/>
        <v>0.79299670406500411</v>
      </c>
      <c r="U99">
        <f ca="1"/>
        <v>0</v>
      </c>
      <c r="V99">
        <f ca="1"/>
        <v>5.3542807394278899E-3</v>
      </c>
      <c r="X99" s="2">
        <f t="shared" ca="1" si="8"/>
        <v>44839</v>
      </c>
      <c r="Y99">
        <f t="shared" ca="1" si="9"/>
        <v>0</v>
      </c>
      <c r="AA99" s="63">
        <f t="shared" ca="1" si="11"/>
        <v>16.901198712362824</v>
      </c>
      <c r="AB99" s="63">
        <f t="shared" ca="1" si="12"/>
        <v>16.901198712362824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44840</v>
      </c>
      <c r="K100">
        <f ca="1"/>
        <v>16.824382977594933</v>
      </c>
      <c r="L100">
        <f ca="1"/>
        <v>0</v>
      </c>
      <c r="M100">
        <f ca="1"/>
        <v>0</v>
      </c>
      <c r="N100">
        <f ca="1"/>
        <v>0</v>
      </c>
      <c r="O100">
        <f ca="1"/>
        <v>0</v>
      </c>
      <c r="P100">
        <f ca="1"/>
        <v>1.0274988320595217</v>
      </c>
      <c r="Q100">
        <f ca="1"/>
        <v>0.85409222816030772</v>
      </c>
      <c r="R100">
        <f ca="1"/>
        <v>0</v>
      </c>
      <c r="S100">
        <f ca="1"/>
        <v>0.99696969696969695</v>
      </c>
      <c r="T100">
        <f ca="1"/>
        <v>0</v>
      </c>
      <c r="U100">
        <f ca="1"/>
        <v>0</v>
      </c>
      <c r="V100">
        <f ca="1"/>
        <v>5.3542807394278899E-3</v>
      </c>
      <c r="X100" s="2">
        <f t="shared" ca="1" si="8"/>
        <v>44840</v>
      </c>
      <c r="Y100">
        <f t="shared" ca="1" si="9"/>
        <v>0</v>
      </c>
      <c r="AA100" s="63">
        <f t="shared" ca="1" si="11"/>
        <v>16.824382977594933</v>
      </c>
      <c r="AB100" s="63">
        <f t="shared" ca="1" si="12"/>
        <v>16.824382977594933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44841</v>
      </c>
      <c r="K101">
        <f ca="1"/>
        <v>16.824382977594933</v>
      </c>
      <c r="L101">
        <f ca="1"/>
        <v>0</v>
      </c>
      <c r="M101">
        <f ca="1"/>
        <v>0</v>
      </c>
      <c r="N101">
        <f ca="1"/>
        <v>0</v>
      </c>
      <c r="O101">
        <f ca="1"/>
        <v>0</v>
      </c>
      <c r="P101">
        <f ca="1"/>
        <v>1.0274988320595217</v>
      </c>
      <c r="Q101">
        <f ca="1"/>
        <v>0.85409222816030772</v>
      </c>
      <c r="R101">
        <f ca="1"/>
        <v>0</v>
      </c>
      <c r="S101">
        <f ca="1"/>
        <v>0.99391666211792062</v>
      </c>
      <c r="T101">
        <f ca="1"/>
        <v>0</v>
      </c>
      <c r="U101">
        <f ca="1"/>
        <v>0</v>
      </c>
      <c r="V101">
        <f ca="1"/>
        <v>5.3542807394278899E-3</v>
      </c>
      <c r="X101" s="2">
        <f t="shared" ca="1" si="8"/>
        <v>44841</v>
      </c>
      <c r="Y101">
        <f t="shared" ca="1" si="9"/>
        <v>0</v>
      </c>
      <c r="AA101" s="63">
        <f t="shared" ca="1" si="11"/>
        <v>16.824382977594933</v>
      </c>
      <c r="AB101" s="63">
        <f t="shared" ca="1" si="12"/>
        <v>16.824382977594933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44842</v>
      </c>
      <c r="K102">
        <f ca="1"/>
        <v>16.728570097706996</v>
      </c>
      <c r="L102">
        <f ca="1"/>
        <v>0</v>
      </c>
      <c r="M102">
        <f ca="1"/>
        <v>0</v>
      </c>
      <c r="N102">
        <f ca="1"/>
        <v>0</v>
      </c>
      <c r="O102">
        <f ca="1"/>
        <v>0</v>
      </c>
      <c r="P102">
        <f ca="1"/>
        <v>1.0274988320595217</v>
      </c>
      <c r="Q102">
        <f ca="1"/>
        <v>0.85409222816030772</v>
      </c>
      <c r="R102">
        <f ca="1"/>
        <v>9.5812879887937755E-2</v>
      </c>
      <c r="S102">
        <f ca="1"/>
        <v>1</v>
      </c>
      <c r="T102">
        <f ca="1"/>
        <v>0.99477626027763222</v>
      </c>
      <c r="U102">
        <f ca="1"/>
        <v>0</v>
      </c>
      <c r="V102">
        <f ca="1"/>
        <v>5.3542807394278899E-3</v>
      </c>
      <c r="X102" s="2">
        <f t="shared" ca="1" si="8"/>
        <v>44842</v>
      </c>
      <c r="Y102">
        <f t="shared" ca="1" si="9"/>
        <v>0</v>
      </c>
      <c r="AA102" s="63">
        <f t="shared" ca="1" si="11"/>
        <v>16.824382977594933</v>
      </c>
      <c r="AB102" s="63">
        <f t="shared" ca="1" si="12"/>
        <v>16.824382977594933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44843</v>
      </c>
      <c r="K103">
        <f ca="1"/>
        <v>16.53834756758447</v>
      </c>
      <c r="L103">
        <f ca="1"/>
        <v>4.5486930803784631E-2</v>
      </c>
      <c r="M103">
        <f ca="1"/>
        <v>0</v>
      </c>
      <c r="N103">
        <f ca="1"/>
        <v>0</v>
      </c>
      <c r="O103">
        <f ca="1"/>
        <v>0</v>
      </c>
      <c r="P103">
        <f ca="1"/>
        <v>1.0729857628633064</v>
      </c>
      <c r="Q103">
        <f ca="1"/>
        <v>0.89190252328687913</v>
      </c>
      <c r="R103">
        <f ca="1"/>
        <v>0.14473559931873883</v>
      </c>
      <c r="S103">
        <f ca="1"/>
        <v>1</v>
      </c>
      <c r="T103">
        <f ca="1"/>
        <v>1.519999999999996</v>
      </c>
      <c r="U103">
        <f ca="1"/>
        <v>0</v>
      </c>
      <c r="V103">
        <f ca="1"/>
        <v>5.7137066261543634E-3</v>
      </c>
      <c r="X103" s="2">
        <f t="shared" ca="1" si="8"/>
        <v>44843</v>
      </c>
      <c r="Y103">
        <f t="shared" ca="1" si="9"/>
        <v>0</v>
      </c>
      <c r="AA103" s="63">
        <f t="shared" ca="1" si="11"/>
        <v>16.728570097706996</v>
      </c>
      <c r="AB103" s="63">
        <f t="shared" ca="1" si="12"/>
        <v>16.728570097706996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44844</v>
      </c>
      <c r="K104">
        <f ca="1"/>
        <v>16.327583420373458</v>
      </c>
      <c r="L104">
        <f ca="1"/>
        <v>5.0951739793419826E-2</v>
      </c>
      <c r="M104">
        <f ca="1"/>
        <v>0</v>
      </c>
      <c r="N104">
        <f ca="1"/>
        <v>0</v>
      </c>
      <c r="O104">
        <f ca="1"/>
        <v>0</v>
      </c>
      <c r="P104">
        <f ca="1"/>
        <v>1.1239375026567262</v>
      </c>
      <c r="Q104">
        <f ca="1"/>
        <v>0.93425535485319811</v>
      </c>
      <c r="R104">
        <f ca="1"/>
        <v>0.15981240741759373</v>
      </c>
      <c r="S104">
        <f ca="1"/>
        <v>1</v>
      </c>
      <c r="T104">
        <f ca="1"/>
        <v>1.6999999999999886</v>
      </c>
      <c r="U104">
        <f ca="1"/>
        <v>0</v>
      </c>
      <c r="V104">
        <f ca="1"/>
        <v>6.1253774553468414E-3</v>
      </c>
      <c r="X104" s="2">
        <f t="shared" ca="1" si="8"/>
        <v>44844</v>
      </c>
      <c r="Y104">
        <f t="shared" ca="1" si="9"/>
        <v>0</v>
      </c>
      <c r="AA104" s="63">
        <f t="shared" ca="1" si="11"/>
        <v>16.53834756758447</v>
      </c>
      <c r="AB104" s="63">
        <f t="shared" ca="1" si="12"/>
        <v>16.53834756758447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44845</v>
      </c>
      <c r="K105">
        <f ca="1"/>
        <v>16.27237776935856</v>
      </c>
      <c r="L105">
        <f ca="1"/>
        <v>5.5205651014898827E-2</v>
      </c>
      <c r="M105">
        <f ca="1"/>
        <v>0</v>
      </c>
      <c r="N105">
        <f ca="1"/>
        <v>0</v>
      </c>
      <c r="O105">
        <f ca="1"/>
        <v>0</v>
      </c>
      <c r="P105">
        <f ca="1"/>
        <v>1.179143153671625</v>
      </c>
      <c r="Q105">
        <f ca="1"/>
        <v>0.9801441831527361</v>
      </c>
      <c r="R105">
        <f ca="1"/>
        <v>0</v>
      </c>
      <c r="S105">
        <f ca="1"/>
        <v>0.99212121212121218</v>
      </c>
      <c r="T105">
        <f ca="1"/>
        <v>0</v>
      </c>
      <c r="U105">
        <f ca="1"/>
        <v>0</v>
      </c>
      <c r="V105">
        <f ca="1"/>
        <v>6.5819652717802758E-3</v>
      </c>
      <c r="X105" s="2">
        <f t="shared" ca="1" si="8"/>
        <v>44845</v>
      </c>
      <c r="Y105">
        <f t="shared" ca="1" si="9"/>
        <v>0</v>
      </c>
      <c r="AA105" s="63">
        <f t="shared" ca="1" si="11"/>
        <v>16.327583420373458</v>
      </c>
      <c r="AB105" s="63">
        <f t="shared" ca="1" si="12"/>
        <v>16.327583420373458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44846</v>
      </c>
      <c r="K106">
        <f ca="1"/>
        <v>16.028736411271794</v>
      </c>
      <c r="L106">
        <f ca="1"/>
        <v>6.1574292855248292E-2</v>
      </c>
      <c r="M106">
        <f ca="1"/>
        <v>0</v>
      </c>
      <c r="N106">
        <f ca="1"/>
        <v>0</v>
      </c>
      <c r="O106">
        <f ca="1"/>
        <v>0</v>
      </c>
      <c r="P106">
        <f ca="1"/>
        <v>1.2407174465268733</v>
      </c>
      <c r="Q106">
        <f ca="1"/>
        <v>1.031326844720071</v>
      </c>
      <c r="R106">
        <f ca="1"/>
        <v>0.18206706523151928</v>
      </c>
      <c r="S106">
        <f ca="1"/>
        <v>1</v>
      </c>
      <c r="T106">
        <f ca="1"/>
        <v>1.972842629400418</v>
      </c>
      <c r="U106">
        <f ca="1"/>
        <v>0</v>
      </c>
      <c r="V106">
        <f ca="1"/>
        <v>7.1038327004323476E-3</v>
      </c>
      <c r="X106" s="2">
        <f t="shared" ca="1" si="8"/>
        <v>44846</v>
      </c>
      <c r="Y106">
        <f t="shared" ca="1" si="9"/>
        <v>0</v>
      </c>
      <c r="AA106" s="63">
        <f t="shared" ca="1" si="11"/>
        <v>16.27237776935856</v>
      </c>
      <c r="AB106" s="63">
        <f t="shared" ca="1" si="12"/>
        <v>16.27237776935856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44847</v>
      </c>
      <c r="K107">
        <f ca="1"/>
        <v>15.785535774530969</v>
      </c>
      <c r="L107">
        <f ca="1"/>
        <v>6.4154393092132223E-2</v>
      </c>
      <c r="M107">
        <f ca="1"/>
        <v>0</v>
      </c>
      <c r="N107">
        <f ca="1"/>
        <v>0</v>
      </c>
      <c r="O107">
        <f ca="1"/>
        <v>0</v>
      </c>
      <c r="P107">
        <f ca="1"/>
        <v>1.3048718396190055</v>
      </c>
      <c r="Q107">
        <f ca="1"/>
        <v>1.084654173990609</v>
      </c>
      <c r="R107">
        <f ca="1"/>
        <v>0.17904624364869379</v>
      </c>
      <c r="S107">
        <f ca="1"/>
        <v>1</v>
      </c>
      <c r="T107">
        <f ca="1"/>
        <v>1.9699999999999847</v>
      </c>
      <c r="U107">
        <f ca="1"/>
        <v>0</v>
      </c>
      <c r="V107">
        <f ca="1"/>
        <v>7.6613308176711609E-3</v>
      </c>
      <c r="X107" s="2">
        <f t="shared" ca="1" si="8"/>
        <v>44847</v>
      </c>
      <c r="Y107">
        <f t="shared" ca="1" si="9"/>
        <v>0</v>
      </c>
      <c r="AA107" s="63">
        <f t="shared" ca="1" si="11"/>
        <v>16.028736411271794</v>
      </c>
      <c r="AB107" s="63">
        <f t="shared" ca="1" si="12"/>
        <v>16.028736411271794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44848</v>
      </c>
      <c r="K108">
        <f ca="1"/>
        <v>15.474817254507203</v>
      </c>
      <c r="L108">
        <f ca="1"/>
        <v>6.480960583395956E-2</v>
      </c>
      <c r="M108">
        <f ca="1"/>
        <v>0</v>
      </c>
      <c r="N108">
        <f ca="1"/>
        <v>0</v>
      </c>
      <c r="O108">
        <f ca="1"/>
        <v>0</v>
      </c>
      <c r="P108">
        <f ca="1"/>
        <v>1.3696814454529651</v>
      </c>
      <c r="Q108">
        <f ca="1"/>
        <v>1.138526138537729</v>
      </c>
      <c r="R108">
        <f ca="1"/>
        <v>0.24590891418980576</v>
      </c>
      <c r="S108">
        <f ca="1"/>
        <v>1</v>
      </c>
      <c r="T108">
        <f ca="1"/>
        <v>2.7600000000000051</v>
      </c>
      <c r="U108">
        <f ca="1"/>
        <v>0</v>
      </c>
      <c r="V108">
        <f ca="1"/>
        <v>8.2383984854718303E-3</v>
      </c>
      <c r="X108" s="2">
        <f t="shared" ca="1" si="8"/>
        <v>44848</v>
      </c>
      <c r="Y108">
        <f t="shared" ca="1" si="9"/>
        <v>0</v>
      </c>
      <c r="AA108" s="63">
        <f t="shared" ca="1" si="11"/>
        <v>15.785535774530969</v>
      </c>
      <c r="AB108" s="63">
        <f t="shared" ca="1" si="12"/>
        <v>15.785535774530969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44849</v>
      </c>
      <c r="K109">
        <f ca="1"/>
        <v>15.169064791274279</v>
      </c>
      <c r="L109">
        <f ca="1"/>
        <v>6.5575604037749091E-2</v>
      </c>
      <c r="M109">
        <f ca="1"/>
        <v>0</v>
      </c>
      <c r="N109">
        <f ca="1"/>
        <v>0</v>
      </c>
      <c r="O109">
        <f ca="1"/>
        <v>0</v>
      </c>
      <c r="P109">
        <f ca="1"/>
        <v>1.4352570494907142</v>
      </c>
      <c r="Q109">
        <f ca="1"/>
        <v>1.1930348270325835</v>
      </c>
      <c r="R109">
        <f ca="1"/>
        <v>0.24017685919517601</v>
      </c>
      <c r="S109">
        <f ca="1"/>
        <v>1</v>
      </c>
      <c r="T109">
        <f ca="1"/>
        <v>2.75</v>
      </c>
      <c r="U109">
        <f ca="1"/>
        <v>0</v>
      </c>
      <c r="V109">
        <f ca="1"/>
        <v>8.8361039610659938E-3</v>
      </c>
      <c r="X109" s="2">
        <f t="shared" ca="1" si="8"/>
        <v>44849</v>
      </c>
      <c r="Y109">
        <f t="shared" ca="1" si="9"/>
        <v>0</v>
      </c>
      <c r="AA109" s="63">
        <f t="shared" ca="1" si="11"/>
        <v>15.474817254507203</v>
      </c>
      <c r="AB109" s="63">
        <f t="shared" ca="1" si="12"/>
        <v>15.474817254507203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44850</v>
      </c>
      <c r="K110">
        <f ca="1"/>
        <v>15.09038627787182</v>
      </c>
      <c r="L110">
        <f ca="1"/>
        <v>6.9121268759807286E-2</v>
      </c>
      <c r="M110">
        <f ca="1"/>
        <v>0</v>
      </c>
      <c r="N110">
        <f ca="1"/>
        <v>0</v>
      </c>
      <c r="O110">
        <f ca="1"/>
        <v>0</v>
      </c>
      <c r="P110">
        <f ca="1"/>
        <v>1.5043783182505215</v>
      </c>
      <c r="Q110">
        <f ca="1"/>
        <v>1.2504907935079901</v>
      </c>
      <c r="R110">
        <f ca="1"/>
        <v>9.5572446426521046E-3</v>
      </c>
      <c r="S110">
        <f ca="1"/>
        <v>1</v>
      </c>
      <c r="T110">
        <f ca="1"/>
        <v>0.10999999999999943</v>
      </c>
      <c r="U110">
        <f ca="1"/>
        <v>0</v>
      </c>
      <c r="V110">
        <f ca="1"/>
        <v>9.4807783809727972E-3</v>
      </c>
      <c r="X110" s="2">
        <f t="shared" ca="1" si="8"/>
        <v>44850</v>
      </c>
      <c r="Y110">
        <f t="shared" ca="1" si="9"/>
        <v>0</v>
      </c>
      <c r="AA110" s="63">
        <f t="shared" ca="1" si="11"/>
        <v>15.169064791274279</v>
      </c>
      <c r="AB110" s="63">
        <f t="shared" ca="1" si="12"/>
        <v>15.169064791274279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44851</v>
      </c>
      <c r="K111">
        <f ca="1"/>
        <v>14.996151559516566</v>
      </c>
      <c r="L111">
        <f ca="1"/>
        <v>7.7829837406812707E-2</v>
      </c>
      <c r="M111">
        <f ca="1"/>
        <v>0</v>
      </c>
      <c r="N111">
        <f ca="1"/>
        <v>0</v>
      </c>
      <c r="O111">
        <f ca="1"/>
        <v>0</v>
      </c>
      <c r="P111">
        <f ca="1"/>
        <v>1.5822081556573342</v>
      </c>
      <c r="Q111">
        <f ca="1"/>
        <v>1.3151856205715875</v>
      </c>
      <c r="R111">
        <f ca="1"/>
        <v>1.6404880948441877E-2</v>
      </c>
      <c r="S111">
        <f ca="1"/>
        <v>1</v>
      </c>
      <c r="T111">
        <f ca="1"/>
        <v>0.19000000000001194</v>
      </c>
      <c r="U111">
        <f ca="1"/>
        <v>0</v>
      </c>
      <c r="V111">
        <f ca="1"/>
        <v>1.0224188062743854E-2</v>
      </c>
      <c r="X111" s="2">
        <f t="shared" ca="1" si="8"/>
        <v>44851</v>
      </c>
      <c r="Y111">
        <f t="shared" ca="1" si="9"/>
        <v>0</v>
      </c>
      <c r="AA111" s="63">
        <f t="shared" ca="1" si="11"/>
        <v>15.09038627787182</v>
      </c>
      <c r="AB111" s="63">
        <f t="shared" ca="1" si="12"/>
        <v>15.090386277871822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44852</v>
      </c>
      <c r="K112">
        <f ca="1"/>
        <v>14.861736847285593</v>
      </c>
      <c r="L112">
        <f ca="1"/>
        <v>7.7084436453413785E-2</v>
      </c>
      <c r="M112">
        <f ca="1"/>
        <v>0</v>
      </c>
      <c r="N112">
        <f ca="1"/>
        <v>0</v>
      </c>
      <c r="O112">
        <f ca="1"/>
        <v>0</v>
      </c>
      <c r="P112">
        <f ca="1"/>
        <v>1.659292592110748</v>
      </c>
      <c r="Q112">
        <f ca="1"/>
        <v>1.3792608448275736</v>
      </c>
      <c r="R112">
        <f ca="1"/>
        <v>5.7330275777559413E-2</v>
      </c>
      <c r="S112">
        <f ca="1"/>
        <v>1</v>
      </c>
      <c r="T112">
        <f ca="1"/>
        <v>0.67000000000000171</v>
      </c>
      <c r="U112">
        <f ca="1"/>
        <v>0</v>
      </c>
      <c r="V112">
        <f ca="1"/>
        <v>1.097826186889464E-2</v>
      </c>
      <c r="X112" s="2">
        <f t="shared" ca="1" si="8"/>
        <v>44852</v>
      </c>
      <c r="Y112">
        <f t="shared" ca="1" si="9"/>
        <v>0</v>
      </c>
      <c r="AA112" s="63">
        <f t="shared" ca="1" si="11"/>
        <v>14.996151559516566</v>
      </c>
      <c r="AB112" s="63">
        <f t="shared" ca="1" si="12"/>
        <v>14.996151559516566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44853</v>
      </c>
      <c r="K113">
        <f ca="1"/>
        <v>14.783462841263988</v>
      </c>
      <c r="L113">
        <f ca="1"/>
        <v>7.8274006021605169E-2</v>
      </c>
      <c r="M113">
        <f ca="1"/>
        <v>0</v>
      </c>
      <c r="N113">
        <f ca="1"/>
        <v>0</v>
      </c>
      <c r="O113">
        <f ca="1"/>
        <v>0</v>
      </c>
      <c r="P113">
        <f ca="1"/>
        <v>1.7375665981323531</v>
      </c>
      <c r="Q113">
        <f ca="1"/>
        <v>1.4443248800596387</v>
      </c>
      <c r="R113">
        <f ca="1"/>
        <v>0</v>
      </c>
      <c r="S113">
        <f ca="1"/>
        <v>0.98484848484848486</v>
      </c>
      <c r="T113">
        <f ca="1"/>
        <v>0</v>
      </c>
      <c r="U113">
        <f ca="1"/>
        <v>0</v>
      </c>
      <c r="V113">
        <f ca="1"/>
        <v>1.1761583587237867E-2</v>
      </c>
      <c r="X113" s="2">
        <f t="shared" ca="1" si="8"/>
        <v>44853</v>
      </c>
      <c r="Y113">
        <f t="shared" ca="1" si="9"/>
        <v>0</v>
      </c>
      <c r="AA113" s="63">
        <f t="shared" ca="1" si="11"/>
        <v>14.861736847285593</v>
      </c>
      <c r="AB113" s="63">
        <f t="shared" ca="1" si="12"/>
        <v>14.861736847285593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44854</v>
      </c>
      <c r="K114">
        <f ca="1"/>
        <v>14.70280672370474</v>
      </c>
      <c r="L114">
        <f ca="1"/>
        <v>8.0656117559249063E-2</v>
      </c>
      <c r="M114">
        <f ca="1"/>
        <v>0</v>
      </c>
      <c r="N114">
        <f ca="1"/>
        <v>0</v>
      </c>
      <c r="O114">
        <f ca="1"/>
        <v>0</v>
      </c>
      <c r="P114">
        <f ca="1"/>
        <v>1.8182227156916022</v>
      </c>
      <c r="Q114">
        <f ca="1"/>
        <v>1.5113690080056139</v>
      </c>
      <c r="R114">
        <f ca="1"/>
        <v>0</v>
      </c>
      <c r="S114">
        <f ca="1"/>
        <v>0.95999046454003667</v>
      </c>
      <c r="T114">
        <f ca="1"/>
        <v>0</v>
      </c>
      <c r="U114">
        <f ca="1"/>
        <v>0</v>
      </c>
      <c r="V114">
        <f ca="1"/>
        <v>1.2586807151413849E-2</v>
      </c>
      <c r="X114" s="2">
        <f t="shared" ca="1" si="8"/>
        <v>44854</v>
      </c>
      <c r="Y114">
        <f t="shared" ca="1" si="9"/>
        <v>0</v>
      </c>
      <c r="AA114" s="63">
        <f t="shared" ca="1" si="11"/>
        <v>14.783462841263988</v>
      </c>
      <c r="AB114" s="63">
        <f t="shared" ca="1" si="12"/>
        <v>14.783462841263988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44855</v>
      </c>
      <c r="K115">
        <f ca="1"/>
        <v>14.613372982973988</v>
      </c>
      <c r="L115">
        <f ca="1"/>
        <v>8.9433740730751055E-2</v>
      </c>
      <c r="M115">
        <f ca="1"/>
        <v>0</v>
      </c>
      <c r="N115">
        <f ca="1"/>
        <v>0</v>
      </c>
      <c r="O115">
        <f ca="1"/>
        <v>0</v>
      </c>
      <c r="P115">
        <f ca="1"/>
        <v>1.9076564564223533</v>
      </c>
      <c r="Q115">
        <f ca="1"/>
        <v>1.5857093970261373</v>
      </c>
      <c r="R115">
        <f ca="1"/>
        <v>0</v>
      </c>
      <c r="S115">
        <f ca="1"/>
        <v>0.9614455764731149</v>
      </c>
      <c r="T115">
        <f ca="1"/>
        <v>0</v>
      </c>
      <c r="U115">
        <f ca="1"/>
        <v>0</v>
      </c>
      <c r="V115">
        <f ca="1"/>
        <v>1.35226834253776E-2</v>
      </c>
      <c r="X115" s="2">
        <f t="shared" ca="1" si="8"/>
        <v>44855</v>
      </c>
      <c r="Y115">
        <f t="shared" ca="1" si="9"/>
        <v>0</v>
      </c>
      <c r="AA115" s="63">
        <f t="shared" ca="1" si="11"/>
        <v>14.70280672370474</v>
      </c>
      <c r="AB115" s="63">
        <f t="shared" ca="1" si="12"/>
        <v>14.70280672370474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44856</v>
      </c>
      <c r="K116">
        <f ca="1"/>
        <v>14.516348852623809</v>
      </c>
      <c r="L116">
        <f ca="1"/>
        <v>9.7024130350179982E-2</v>
      </c>
      <c r="M116">
        <f ca="1"/>
        <v>0</v>
      </c>
      <c r="N116">
        <f ca="1"/>
        <v>0</v>
      </c>
      <c r="O116">
        <f ca="1"/>
        <v>0</v>
      </c>
      <c r="P116">
        <f ca="1"/>
        <v>2.0046805867725332</v>
      </c>
      <c r="Q116">
        <f ca="1"/>
        <v>1.666359177921753</v>
      </c>
      <c r="R116">
        <f ca="1"/>
        <v>0</v>
      </c>
      <c r="S116">
        <f ca="1"/>
        <v>0.96978738866694936</v>
      </c>
      <c r="T116">
        <f ca="1"/>
        <v>0</v>
      </c>
      <c r="U116">
        <f ca="1"/>
        <v>0</v>
      </c>
      <c r="V116">
        <f ca="1"/>
        <v>1.4562069347726723E-2</v>
      </c>
      <c r="X116" s="2">
        <f t="shared" ca="1" si="8"/>
        <v>44856</v>
      </c>
      <c r="Y116">
        <f t="shared" ca="1" si="9"/>
        <v>0</v>
      </c>
      <c r="AA116" s="63">
        <f t="shared" ca="1" si="11"/>
        <v>14.613372982973988</v>
      </c>
      <c r="AB116" s="63">
        <f t="shared" ca="1" si="12"/>
        <v>14.613372982973988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44857</v>
      </c>
      <c r="K117">
        <f ca="1"/>
        <v>14.409941155437782</v>
      </c>
      <c r="L117">
        <f ca="1"/>
        <v>0.10640769718602794</v>
      </c>
      <c r="M117">
        <f ca="1"/>
        <v>0</v>
      </c>
      <c r="N117">
        <f ca="1"/>
        <v>0</v>
      </c>
      <c r="O117">
        <f ca="1"/>
        <v>0</v>
      </c>
      <c r="P117">
        <f ca="1"/>
        <v>2.1110882839585612</v>
      </c>
      <c r="Q117">
        <f ca="1"/>
        <v>1.7548089010234889</v>
      </c>
      <c r="R117">
        <f ca="1"/>
        <v>0</v>
      </c>
      <c r="S117">
        <f ca="1"/>
        <v>0.98774152373564483</v>
      </c>
      <c r="T117">
        <f ca="1"/>
        <v>0</v>
      </c>
      <c r="U117">
        <f ca="1"/>
        <v>0</v>
      </c>
      <c r="V117">
        <f ca="1"/>
        <v>1.5729913957675631E-2</v>
      </c>
      <c r="X117" s="2">
        <f t="shared" ca="1" si="8"/>
        <v>44857</v>
      </c>
      <c r="Y117">
        <f t="shared" ca="1" si="9"/>
        <v>0</v>
      </c>
      <c r="AA117" s="63">
        <f t="shared" ca="1" si="11"/>
        <v>14.516348852623809</v>
      </c>
      <c r="AB117" s="63">
        <f t="shared" ca="1" si="12"/>
        <v>14.51634885262381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44858</v>
      </c>
      <c r="K118">
        <f ca="1"/>
        <v>14.305543471088257</v>
      </c>
      <c r="L118">
        <f ca="1"/>
        <v>0.10439768434952512</v>
      </c>
      <c r="M118">
        <f ca="1"/>
        <v>0</v>
      </c>
      <c r="N118">
        <f ca="1"/>
        <v>0</v>
      </c>
      <c r="O118">
        <f ca="1"/>
        <v>0</v>
      </c>
      <c r="P118">
        <f ca="1"/>
        <v>2.2154859683080863</v>
      </c>
      <c r="Q118">
        <f ca="1"/>
        <v>1.841587832598661</v>
      </c>
      <c r="R118">
        <f ca="1"/>
        <v>0</v>
      </c>
      <c r="S118">
        <f ca="1"/>
        <v>0.98909435912294141</v>
      </c>
      <c r="T118">
        <f ca="1"/>
        <v>0</v>
      </c>
      <c r="U118">
        <f ca="1"/>
        <v>0</v>
      </c>
      <c r="V118">
        <f ca="1"/>
        <v>1.6903217228353556E-2</v>
      </c>
      <c r="X118" s="2">
        <f t="shared" ca="1" si="8"/>
        <v>44858</v>
      </c>
      <c r="Y118">
        <f t="shared" ca="1" si="9"/>
        <v>0</v>
      </c>
      <c r="AA118" s="63">
        <f t="shared" ca="1" si="11"/>
        <v>14.409941155437782</v>
      </c>
      <c r="AB118" s="63">
        <f t="shared" ca="1" si="12"/>
        <v>14.409941155437782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44859</v>
      </c>
      <c r="K119">
        <f ca="1"/>
        <v>14.190005969906135</v>
      </c>
      <c r="L119">
        <f ca="1"/>
        <v>0.1155375011821218</v>
      </c>
      <c r="M119">
        <f ca="1"/>
        <v>0</v>
      </c>
      <c r="N119">
        <f ca="1"/>
        <v>0</v>
      </c>
      <c r="O119">
        <f ca="1"/>
        <v>0</v>
      </c>
      <c r="P119">
        <f ca="1"/>
        <v>2.3310234694902081</v>
      </c>
      <c r="Q119">
        <f ca="1"/>
        <v>1.9376265615409789</v>
      </c>
      <c r="R119">
        <f ca="1"/>
        <v>0</v>
      </c>
      <c r="S119">
        <f ca="1"/>
        <v>0.96555663490746646</v>
      </c>
      <c r="T119">
        <f ca="1"/>
        <v>0</v>
      </c>
      <c r="U119">
        <f ca="1"/>
        <v>0</v>
      </c>
      <c r="V119">
        <f ca="1"/>
        <v>1.8232476077261802E-2</v>
      </c>
      <c r="X119" s="2">
        <f t="shared" ca="1" si="8"/>
        <v>44859</v>
      </c>
      <c r="Y119">
        <f t="shared" ca="1" si="9"/>
        <v>0</v>
      </c>
      <c r="AA119" s="63">
        <f t="shared" ca="1" si="11"/>
        <v>14.305543471088257</v>
      </c>
      <c r="AB119" s="63">
        <f t="shared" ca="1" si="12"/>
        <v>14.305543471088257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44860</v>
      </c>
      <c r="K120">
        <f ca="1"/>
        <v>14.064429111191004</v>
      </c>
      <c r="L120">
        <f ca="1"/>
        <v>0.12557685871513202</v>
      </c>
      <c r="M120">
        <f ca="1"/>
        <v>0</v>
      </c>
      <c r="N120">
        <f ca="1"/>
        <v>0</v>
      </c>
      <c r="O120">
        <f ca="1"/>
        <v>0</v>
      </c>
      <c r="P120">
        <f ca="1"/>
        <v>2.4566003282053401</v>
      </c>
      <c r="Q120">
        <f ca="1"/>
        <v>2.0420103483822727</v>
      </c>
      <c r="R120">
        <f ca="1"/>
        <v>0</v>
      </c>
      <c r="S120">
        <f ca="1"/>
        <v>0.92950735024880538</v>
      </c>
      <c r="T120">
        <f ca="1"/>
        <v>0</v>
      </c>
      <c r="U120">
        <f ca="1"/>
        <v>0</v>
      </c>
      <c r="V120">
        <f ca="1"/>
        <v>1.9712679849455232E-2</v>
      </c>
      <c r="X120" s="2">
        <f t="shared" ca="1" si="8"/>
        <v>44860</v>
      </c>
      <c r="Y120">
        <f t="shared" ca="1" si="9"/>
        <v>0</v>
      </c>
      <c r="AA120" s="63">
        <f t="shared" ca="1" si="11"/>
        <v>14.190005969906135</v>
      </c>
      <c r="AB120" s="63">
        <f t="shared" ca="1" si="12"/>
        <v>14.190005969906135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44861</v>
      </c>
      <c r="K121">
        <f ca="1"/>
        <v>13.92082349513278</v>
      </c>
      <c r="L121">
        <f ca="1"/>
        <v>0.14360561605822397</v>
      </c>
      <c r="M121">
        <f ca="1"/>
        <v>0</v>
      </c>
      <c r="N121">
        <f ca="1"/>
        <v>0</v>
      </c>
      <c r="O121">
        <f ca="1"/>
        <v>0</v>
      </c>
      <c r="P121">
        <f ca="1"/>
        <v>2.6002059442635641</v>
      </c>
      <c r="Q121">
        <f ca="1"/>
        <v>2.161380255936967</v>
      </c>
      <c r="R121">
        <f ca="1"/>
        <v>0</v>
      </c>
      <c r="S121">
        <f ca="1"/>
        <v>0.934774564616346</v>
      </c>
      <c r="T121">
        <f ca="1"/>
        <v>0</v>
      </c>
      <c r="U121">
        <f ca="1"/>
        <v>0</v>
      </c>
      <c r="V121">
        <f ca="1"/>
        <v>2.1449027229834657E-2</v>
      </c>
      <c r="X121" s="2">
        <f t="shared" ca="1" si="8"/>
        <v>44861</v>
      </c>
      <c r="Y121">
        <f t="shared" ca="1" si="9"/>
        <v>0</v>
      </c>
      <c r="AA121" s="63">
        <f t="shared" ca="1" si="11"/>
        <v>14.064429111191004</v>
      </c>
      <c r="AB121" s="63">
        <f t="shared" ca="1" si="12"/>
        <v>14.064429111191004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44862</v>
      </c>
      <c r="K122">
        <f ca="1"/>
        <v>13.778004901152416</v>
      </c>
      <c r="L122">
        <f ca="1"/>
        <v>0.14281859398036367</v>
      </c>
      <c r="M122">
        <f ca="1"/>
        <v>0</v>
      </c>
      <c r="N122">
        <f ca="1"/>
        <v>0</v>
      </c>
      <c r="O122">
        <f ca="1"/>
        <v>0</v>
      </c>
      <c r="P122">
        <f ca="1"/>
        <v>2.7430245382439278</v>
      </c>
      <c r="Q122">
        <f ca="1"/>
        <v>2.280095963779587</v>
      </c>
      <c r="R122">
        <f ca="1"/>
        <v>0</v>
      </c>
      <c r="S122">
        <f ca="1"/>
        <v>0.95609744322388124</v>
      </c>
      <c r="T122">
        <f ca="1"/>
        <v>0</v>
      </c>
      <c r="U122">
        <f ca="1"/>
        <v>0</v>
      </c>
      <c r="V122">
        <f ca="1"/>
        <v>2.3220313816718852E-2</v>
      </c>
      <c r="X122" s="2">
        <f t="shared" ca="1" si="8"/>
        <v>44862</v>
      </c>
      <c r="Y122">
        <f t="shared" ca="1" si="9"/>
        <v>0</v>
      </c>
      <c r="AA122" s="63">
        <f t="shared" ca="1" si="11"/>
        <v>13.92082349513278</v>
      </c>
      <c r="AB122" s="63">
        <f t="shared" ca="1" si="12"/>
        <v>13.92082349513278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44863</v>
      </c>
      <c r="K123">
        <f ca="1"/>
        <v>13.627158935597999</v>
      </c>
      <c r="L123">
        <f ca="1"/>
        <v>0.15084596555441765</v>
      </c>
      <c r="M123">
        <f ca="1"/>
        <v>0</v>
      </c>
      <c r="N123">
        <f ca="1"/>
        <v>0</v>
      </c>
      <c r="O123">
        <f ca="1"/>
        <v>0</v>
      </c>
      <c r="P123">
        <f ca="1"/>
        <v>2.8938705037983454</v>
      </c>
      <c r="Q123">
        <f ca="1"/>
        <v>2.4054842978676421</v>
      </c>
      <c r="R123">
        <f ca="1"/>
        <v>0</v>
      </c>
      <c r="S123">
        <f ca="1"/>
        <v>0.94770502942324608</v>
      </c>
      <c r="T123">
        <f ca="1"/>
        <v>0</v>
      </c>
      <c r="U123">
        <f ca="1"/>
        <v>0</v>
      </c>
      <c r="V123">
        <f ca="1"/>
        <v>2.5137440787461843E-2</v>
      </c>
      <c r="X123" s="2">
        <f t="shared" ca="1" si="8"/>
        <v>44863</v>
      </c>
      <c r="Y123">
        <f t="shared" ca="1" si="9"/>
        <v>0</v>
      </c>
      <c r="AA123" s="63">
        <f t="shared" ca="1" si="11"/>
        <v>13.778004901152416</v>
      </c>
      <c r="AB123" s="63">
        <f t="shared" ca="1" si="12"/>
        <v>13.778004901152416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44864</v>
      </c>
      <c r="K124">
        <f ca="1"/>
        <v>13.460623580195641</v>
      </c>
      <c r="L124">
        <f ca="1"/>
        <v>0.16653535540235831</v>
      </c>
      <c r="M124">
        <f ca="1"/>
        <v>0</v>
      </c>
      <c r="N124">
        <f ca="1"/>
        <v>0</v>
      </c>
      <c r="O124">
        <f ca="1"/>
        <v>0</v>
      </c>
      <c r="P124">
        <f ca="1"/>
        <v>3.0604058592007037</v>
      </c>
      <c r="Q124">
        <f ca="1"/>
        <v>2.543914190267587</v>
      </c>
      <c r="R124">
        <f ca="1"/>
        <v>0</v>
      </c>
      <c r="S124">
        <f ca="1"/>
        <v>0.93054370021802457</v>
      </c>
      <c r="T124">
        <f ca="1"/>
        <v>0</v>
      </c>
      <c r="U124">
        <f ca="1"/>
        <v>0</v>
      </c>
      <c r="V124">
        <f ca="1"/>
        <v>2.7306994284609899E-2</v>
      </c>
      <c r="X124" s="2">
        <f t="shared" ca="1" si="8"/>
        <v>44864</v>
      </c>
      <c r="Y124">
        <f t="shared" ca="1" si="9"/>
        <v>0</v>
      </c>
      <c r="AA124" s="63">
        <f t="shared" ca="1" si="11"/>
        <v>13.627158935597999</v>
      </c>
      <c r="AB124" s="63">
        <f t="shared" ca="1" si="12"/>
        <v>13.627158935597999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44865</v>
      </c>
      <c r="K125">
        <f ca="1"/>
        <v>13.288242066555224</v>
      </c>
      <c r="L125">
        <f ca="1"/>
        <v>0.17238151364041698</v>
      </c>
      <c r="M125">
        <f ca="1"/>
        <v>0</v>
      </c>
      <c r="N125">
        <f ca="1"/>
        <v>0</v>
      </c>
      <c r="O125">
        <f ca="1"/>
        <v>0</v>
      </c>
      <c r="P125">
        <f ca="1"/>
        <v>3.2327873728411207</v>
      </c>
      <c r="Q125">
        <f ca="1"/>
        <v>2.687203609666422</v>
      </c>
      <c r="R125">
        <f ca="1"/>
        <v>0</v>
      </c>
      <c r="S125">
        <f ca="1"/>
        <v>0.90350499037513077</v>
      </c>
      <c r="T125">
        <f ca="1"/>
        <v>0</v>
      </c>
      <c r="U125">
        <f ca="1"/>
        <v>0</v>
      </c>
      <c r="V125">
        <f ca="1"/>
        <v>2.9608890273092492E-2</v>
      </c>
      <c r="X125" s="2">
        <f t="shared" ca="1" si="8"/>
        <v>44865</v>
      </c>
      <c r="Y125">
        <f t="shared" ca="1" si="9"/>
        <v>0</v>
      </c>
      <c r="AA125" s="63">
        <f t="shared" ca="1" si="11"/>
        <v>13.460623580195641</v>
      </c>
      <c r="AB125" s="63">
        <f t="shared" ca="1" si="12"/>
        <v>13.460623580195641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44866</v>
      </c>
      <c r="K126">
        <f ca="1"/>
        <v>13.115961645159771</v>
      </c>
      <c r="L126">
        <f ca="1"/>
        <v>0.17228042139545341</v>
      </c>
      <c r="M126">
        <f ca="1"/>
        <v>0</v>
      </c>
      <c r="N126">
        <f ca="1"/>
        <v>0</v>
      </c>
      <c r="O126">
        <f ca="1"/>
        <v>0</v>
      </c>
      <c r="P126">
        <f ca="1"/>
        <v>3.4050677942365741</v>
      </c>
      <c r="Q126">
        <f ca="1"/>
        <v>2.8304089977281346</v>
      </c>
      <c r="R126">
        <f ca="1"/>
        <v>0</v>
      </c>
      <c r="S126">
        <f ca="1"/>
        <v>0.88439016707254792</v>
      </c>
      <c r="T126">
        <f ca="1"/>
        <v>0</v>
      </c>
      <c r="U126">
        <f ca="1"/>
        <v>0</v>
      </c>
      <c r="V126">
        <f ca="1"/>
        <v>3.1964102443989811E-2</v>
      </c>
      <c r="X126" s="2">
        <f t="shared" ca="1" si="8"/>
        <v>44866</v>
      </c>
      <c r="Y126">
        <f t="shared" ca="1" si="9"/>
        <v>0</v>
      </c>
      <c r="AA126" s="63">
        <f t="shared" ca="1" si="11"/>
        <v>13.288242066555224</v>
      </c>
      <c r="AB126" s="63">
        <f t="shared" ca="1" si="12"/>
        <v>13.288242066555224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44867</v>
      </c>
      <c r="K127">
        <f ca="1"/>
        <v>12.933485357349793</v>
      </c>
      <c r="L127">
        <f ca="1"/>
        <v>0.18247628780997749</v>
      </c>
      <c r="M127">
        <f ca="1"/>
        <v>0</v>
      </c>
      <c r="N127">
        <f ca="1"/>
        <v>0</v>
      </c>
      <c r="O127">
        <f ca="1"/>
        <v>0</v>
      </c>
      <c r="P127">
        <f ca="1"/>
        <v>3.5875440820465516</v>
      </c>
      <c r="Q127">
        <f ca="1"/>
        <v>2.9820895392326494</v>
      </c>
      <c r="R127">
        <f ca="1"/>
        <v>0</v>
      </c>
      <c r="S127">
        <f ca="1"/>
        <v>0.84815642524175894</v>
      </c>
      <c r="T127">
        <f ca="1"/>
        <v>0</v>
      </c>
      <c r="U127">
        <f ca="1"/>
        <v>0</v>
      </c>
      <c r="V127">
        <f ca="1"/>
        <v>3.451571302338776E-2</v>
      </c>
      <c r="X127" s="2">
        <f t="shared" ca="1" si="8"/>
        <v>44867</v>
      </c>
      <c r="Y127">
        <f t="shared" ca="1" si="9"/>
        <v>0</v>
      </c>
      <c r="AA127" s="63">
        <f t="shared" ca="1" si="11"/>
        <v>13.115961645159771</v>
      </c>
      <c r="AB127" s="63">
        <f t="shared" ca="1" si="12"/>
        <v>13.115961645159771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44868</v>
      </c>
      <c r="K128">
        <f ca="1"/>
        <v>12.743856189111998</v>
      </c>
      <c r="L128">
        <f ca="1"/>
        <v>0.18962916823779619</v>
      </c>
      <c r="M128">
        <f ca="1"/>
        <v>0</v>
      </c>
      <c r="N128">
        <f ca="1"/>
        <v>0</v>
      </c>
      <c r="O128">
        <f ca="1"/>
        <v>0</v>
      </c>
      <c r="P128">
        <f ca="1"/>
        <v>3.7771732502843478</v>
      </c>
      <c r="Q128">
        <f ca="1"/>
        <v>3.13971579998447</v>
      </c>
      <c r="R128">
        <f ca="1"/>
        <v>0</v>
      </c>
      <c r="S128">
        <f ca="1"/>
        <v>0.84277946366766976</v>
      </c>
      <c r="T128">
        <f ca="1"/>
        <v>0</v>
      </c>
      <c r="U128">
        <f ca="1"/>
        <v>0</v>
      </c>
      <c r="V128">
        <f ca="1"/>
        <v>3.7226735339396397E-2</v>
      </c>
      <c r="X128" s="2">
        <f t="shared" ca="1" si="8"/>
        <v>44868</v>
      </c>
      <c r="Y128">
        <f t="shared" ca="1" si="9"/>
        <v>0</v>
      </c>
      <c r="AA128" s="63">
        <f t="shared" ca="1" si="11"/>
        <v>12.933485357349793</v>
      </c>
      <c r="AB128" s="63">
        <f t="shared" ca="1" si="12"/>
        <v>12.933485357349795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44869</v>
      </c>
      <c r="K129">
        <f ca="1"/>
        <v>12.539691572830812</v>
      </c>
      <c r="L129">
        <f ca="1"/>
        <v>0.2041646162811861</v>
      </c>
      <c r="M129">
        <f ca="1"/>
        <v>0</v>
      </c>
      <c r="N129">
        <f ca="1"/>
        <v>0</v>
      </c>
      <c r="O129">
        <f ca="1"/>
        <v>0</v>
      </c>
      <c r="P129">
        <f ca="1"/>
        <v>3.9813378665655339</v>
      </c>
      <c r="Q129">
        <f ca="1"/>
        <v>3.3094244230897383</v>
      </c>
      <c r="R129">
        <f ca="1"/>
        <v>0</v>
      </c>
      <c r="S129">
        <f ca="1"/>
        <v>0.84795441127936244</v>
      </c>
      <c r="T129">
        <f ca="1"/>
        <v>0</v>
      </c>
      <c r="U129">
        <f ca="1"/>
        <v>0</v>
      </c>
      <c r="V129">
        <f ca="1"/>
        <v>4.0210085873021918E-2</v>
      </c>
      <c r="X129" s="2">
        <f t="shared" ca="1" si="8"/>
        <v>44869</v>
      </c>
      <c r="Y129">
        <f t="shared" ca="1" si="9"/>
        <v>0</v>
      </c>
      <c r="AA129" s="63">
        <f t="shared" ca="1" si="11"/>
        <v>12.743856189111998</v>
      </c>
      <c r="AB129" s="63">
        <f t="shared" ca="1" si="12"/>
        <v>12.743856189111998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44870</v>
      </c>
      <c r="K130">
        <f ca="1"/>
        <v>12.316406626982562</v>
      </c>
      <c r="L130">
        <f ca="1"/>
        <v>0.22328494584824998</v>
      </c>
      <c r="M130">
        <f ca="1"/>
        <v>0</v>
      </c>
      <c r="N130">
        <f ca="1"/>
        <v>0</v>
      </c>
      <c r="O130">
        <f ca="1"/>
        <v>0</v>
      </c>
      <c r="P130">
        <f ca="1"/>
        <v>4.2046228124137839</v>
      </c>
      <c r="Q130">
        <f ca="1"/>
        <v>3.4950265191348833</v>
      </c>
      <c r="R130">
        <f ca="1"/>
        <v>0</v>
      </c>
      <c r="S130">
        <f ca="1"/>
        <v>0.89700792775149973</v>
      </c>
      <c r="T130">
        <f ca="1"/>
        <v>0</v>
      </c>
      <c r="U130">
        <f ca="1"/>
        <v>0</v>
      </c>
      <c r="V130">
        <f ca="1"/>
        <v>4.3545636331977576E-2</v>
      </c>
      <c r="X130" s="2">
        <f t="shared" ca="1" si="8"/>
        <v>44870</v>
      </c>
      <c r="Y130">
        <f t="shared" ca="1" si="9"/>
        <v>0</v>
      </c>
      <c r="AA130" s="63">
        <f t="shared" ca="1" si="11"/>
        <v>12.539691572830812</v>
      </c>
      <c r="AB130" s="63">
        <f t="shared" ca="1" si="12"/>
        <v>12.539691572830812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44871</v>
      </c>
      <c r="K131">
        <f ca="1"/>
        <v>12.090831465448613</v>
      </c>
      <c r="L131">
        <f ca="1"/>
        <v>0.22557516153395074</v>
      </c>
      <c r="M131">
        <f ca="1"/>
        <v>0</v>
      </c>
      <c r="N131">
        <f ca="1"/>
        <v>0</v>
      </c>
      <c r="O131">
        <f ca="1"/>
        <v>0</v>
      </c>
      <c r="P131">
        <f ca="1"/>
        <v>4.4301979739477346</v>
      </c>
      <c r="Q131">
        <f ca="1"/>
        <v>3.6825323209137335</v>
      </c>
      <c r="R131">
        <f ca="1"/>
        <v>0</v>
      </c>
      <c r="S131">
        <f ca="1"/>
        <v>0.91104268544444833</v>
      </c>
      <c r="T131">
        <f ca="1"/>
        <v>0</v>
      </c>
      <c r="U131">
        <f ca="1"/>
        <v>0</v>
      </c>
      <c r="V131">
        <f ca="1"/>
        <v>4.6988597590189085E-2</v>
      </c>
      <c r="X131" s="2">
        <f t="shared" ca="1" si="8"/>
        <v>44871</v>
      </c>
      <c r="Y131">
        <f t="shared" ca="1" si="9"/>
        <v>0</v>
      </c>
      <c r="AA131" s="63">
        <f t="shared" ca="1" si="11"/>
        <v>12.316406626982562</v>
      </c>
      <c r="AB131" s="63">
        <f t="shared" ca="1" si="12"/>
        <v>12.316406626982562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44872</v>
      </c>
      <c r="K132">
        <f ca="1"/>
        <v>11.845290025050311</v>
      </c>
      <c r="L132">
        <f ca="1"/>
        <v>0.24554144039830295</v>
      </c>
      <c r="M132">
        <f ca="1"/>
        <v>0</v>
      </c>
      <c r="N132">
        <f ca="1"/>
        <v>0</v>
      </c>
      <c r="O132">
        <f ca="1"/>
        <v>0</v>
      </c>
      <c r="P132">
        <f ca="1"/>
        <v>4.6757394143460376</v>
      </c>
      <c r="Q132">
        <f ca="1"/>
        <v>3.8866347776679908</v>
      </c>
      <c r="R132">
        <f ca="1"/>
        <v>0</v>
      </c>
      <c r="S132">
        <f ca="1"/>
        <v>0.92832042159639494</v>
      </c>
      <c r="T132">
        <f ca="1"/>
        <v>0</v>
      </c>
      <c r="U132">
        <f ca="1"/>
        <v>0</v>
      </c>
      <c r="V132">
        <f ca="1"/>
        <v>5.0815282313589762E-2</v>
      </c>
      <c r="X132" s="2">
        <f t="shared" ca="1" si="8"/>
        <v>44872</v>
      </c>
      <c r="Y132">
        <f t="shared" ca="1" si="9"/>
        <v>0</v>
      </c>
      <c r="AA132" s="63">
        <f t="shared" ca="1" si="11"/>
        <v>12.090831465448613</v>
      </c>
      <c r="AB132" s="63">
        <f t="shared" ca="1" si="12"/>
        <v>12.090831465448613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44873</v>
      </c>
      <c r="K133">
        <f ca="1"/>
        <v>11.579295580955463</v>
      </c>
      <c r="L133">
        <f ca="1"/>
        <v>0.26599444409484807</v>
      </c>
      <c r="M133">
        <f ca="1"/>
        <v>0</v>
      </c>
      <c r="N133">
        <f ca="1"/>
        <v>0</v>
      </c>
      <c r="O133">
        <f ca="1"/>
        <v>0</v>
      </c>
      <c r="P133">
        <f ca="1"/>
        <v>4.9417338584408856</v>
      </c>
      <c r="Q133">
        <f ca="1"/>
        <v>4.1077384717518699</v>
      </c>
      <c r="R133">
        <f ca="1"/>
        <v>0</v>
      </c>
      <c r="S133">
        <f ca="1"/>
        <v>0.93062056550320416</v>
      </c>
      <c r="T133">
        <f ca="1"/>
        <v>0</v>
      </c>
      <c r="U133">
        <f ca="1"/>
        <v>0</v>
      </c>
      <c r="V133">
        <f ca="1"/>
        <v>5.5048112621334855E-2</v>
      </c>
      <c r="X133" s="2">
        <f t="shared" ca="1" si="8"/>
        <v>44873</v>
      </c>
      <c r="Y133">
        <f t="shared" ca="1" si="9"/>
        <v>0</v>
      </c>
      <c r="AA133" s="63">
        <f t="shared" ca="1" si="11"/>
        <v>11.845290025050311</v>
      </c>
      <c r="AB133" s="63">
        <f t="shared" ca="1" si="12"/>
        <v>11.845290025050311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44874</v>
      </c>
      <c r="K134">
        <f ca="1"/>
        <v>11.30935049346434</v>
      </c>
      <c r="L134">
        <f ca="1"/>
        <v>0.26994508749112445</v>
      </c>
      <c r="M134">
        <f ca="1"/>
        <v>0</v>
      </c>
      <c r="N134">
        <f ca="1"/>
        <v>0</v>
      </c>
      <c r="O134">
        <f ca="1"/>
        <v>0</v>
      </c>
      <c r="P134">
        <f ca="1"/>
        <v>5.2116789459320101</v>
      </c>
      <c r="Q134">
        <f ca="1"/>
        <v>4.332126075963636</v>
      </c>
      <c r="R134">
        <f ca="1"/>
        <v>0</v>
      </c>
      <c r="S134">
        <f ca="1"/>
        <v>0.93327090128354406</v>
      </c>
      <c r="T134">
        <f ca="1"/>
        <v>0</v>
      </c>
      <c r="U134">
        <f ca="1"/>
        <v>0</v>
      </c>
      <c r="V134">
        <f ca="1"/>
        <v>5.9430846529754437E-2</v>
      </c>
      <c r="X134" s="2">
        <f t="shared" ca="1" si="8"/>
        <v>44874</v>
      </c>
      <c r="Y134">
        <f t="shared" ca="1" si="9"/>
        <v>0</v>
      </c>
      <c r="AA134" s="63">
        <f t="shared" ca="1" si="11"/>
        <v>11.579295580955463</v>
      </c>
      <c r="AB134" s="63">
        <f t="shared" ca="1" si="12"/>
        <v>11.579295580955463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44875</v>
      </c>
      <c r="K135">
        <f ca="1"/>
        <v>11.014307104997387</v>
      </c>
      <c r="L135">
        <f ca="1"/>
        <v>0.29504338846695255</v>
      </c>
      <c r="M135">
        <f ca="1"/>
        <v>0</v>
      </c>
      <c r="N135">
        <f ca="1"/>
        <v>0</v>
      </c>
      <c r="O135">
        <f ca="1"/>
        <v>0</v>
      </c>
      <c r="P135">
        <f ca="1"/>
        <v>5.5067223343989626</v>
      </c>
      <c r="Q135">
        <f ca="1"/>
        <v>4.5773762477371722</v>
      </c>
      <c r="R135">
        <f ca="1"/>
        <v>0</v>
      </c>
      <c r="S135">
        <f ca="1"/>
        <v>0.92195092668133394</v>
      </c>
      <c r="T135">
        <f ca="1"/>
        <v>0</v>
      </c>
      <c r="U135">
        <f ca="1"/>
        <v>0</v>
      </c>
      <c r="V135">
        <f ca="1"/>
        <v>6.4314517811406166E-2</v>
      </c>
      <c r="X135" s="2">
        <f t="shared" ca="1" si="8"/>
        <v>44875</v>
      </c>
      <c r="Y135">
        <f t="shared" ca="1" si="9"/>
        <v>0</v>
      </c>
      <c r="AA135" s="63">
        <f t="shared" ca="1" si="11"/>
        <v>11.30935049346434</v>
      </c>
      <c r="AB135" s="63">
        <f t="shared" ca="1" si="12"/>
        <v>11.30935049346434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44876</v>
      </c>
      <c r="K136">
        <f ca="1"/>
        <v>10.699929269264938</v>
      </c>
      <c r="L136">
        <f ca="1"/>
        <v>0.31437783573244893</v>
      </c>
      <c r="M136">
        <f ca="1"/>
        <v>0</v>
      </c>
      <c r="N136">
        <f ca="1"/>
        <v>0</v>
      </c>
      <c r="O136">
        <f ca="1"/>
        <v>0</v>
      </c>
      <c r="P136">
        <f ca="1"/>
        <v>5.8211001701314116</v>
      </c>
      <c r="Q136">
        <f ca="1"/>
        <v>4.8386978744165381</v>
      </c>
      <c r="R136">
        <f ca="1"/>
        <v>0</v>
      </c>
      <c r="S136">
        <f ca="1"/>
        <v>0.89638580310328697</v>
      </c>
      <c r="T136">
        <f ca="1"/>
        <v>0</v>
      </c>
      <c r="U136">
        <f ca="1"/>
        <v>0</v>
      </c>
      <c r="V136">
        <f ca="1"/>
        <v>6.961775095148022E-2</v>
      </c>
      <c r="X136" s="2">
        <f t="shared" ca="1" si="8"/>
        <v>44876</v>
      </c>
      <c r="Y136">
        <f t="shared" ca="1" si="9"/>
        <v>0</v>
      </c>
      <c r="AA136" s="63">
        <f t="shared" ca="1" si="11"/>
        <v>11.014307104997387</v>
      </c>
      <c r="AB136" s="63">
        <f t="shared" ca="1" si="12"/>
        <v>11.014307104997387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44877</v>
      </c>
      <c r="K137">
        <f ca="1"/>
        <v>10.369389733355735</v>
      </c>
      <c r="L137">
        <f ca="1"/>
        <v>0.33053953590920404</v>
      </c>
      <c r="M137">
        <f ca="1"/>
        <v>0</v>
      </c>
      <c r="N137">
        <f ca="1"/>
        <v>0</v>
      </c>
      <c r="O137">
        <f ca="1"/>
        <v>0</v>
      </c>
      <c r="P137">
        <f ca="1"/>
        <v>6.1516397060406156</v>
      </c>
      <c r="Q137">
        <f ca="1"/>
        <v>5.1134536599330058</v>
      </c>
      <c r="R137">
        <f ca="1"/>
        <v>0</v>
      </c>
      <c r="S137">
        <f ca="1"/>
        <v>0.90313343648112498</v>
      </c>
      <c r="T137">
        <f ca="1"/>
        <v>0</v>
      </c>
      <c r="U137">
        <f ca="1"/>
        <v>0</v>
      </c>
      <c r="V137">
        <f ca="1"/>
        <v>7.5295490438871668E-2</v>
      </c>
      <c r="X137" s="2">
        <f t="shared" ca="1" si="8"/>
        <v>44877</v>
      </c>
      <c r="Y137">
        <f t="shared" ca="1" si="9"/>
        <v>0</v>
      </c>
      <c r="AA137" s="63">
        <f t="shared" ca="1" si="11"/>
        <v>10.699929269264938</v>
      </c>
      <c r="AB137" s="63">
        <f t="shared" ca="1" si="12"/>
        <v>10.699929269264938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44878</v>
      </c>
      <c r="K138">
        <f ca="1"/>
        <v>10.029306592109339</v>
      </c>
      <c r="L138">
        <f ca="1"/>
        <v>0.34008314124639671</v>
      </c>
      <c r="M138">
        <f ca="1"/>
        <v>0</v>
      </c>
      <c r="N138">
        <f ca="1"/>
        <v>0</v>
      </c>
      <c r="O138">
        <f ca="1"/>
        <v>0</v>
      </c>
      <c r="P138">
        <f ca="1"/>
        <v>6.4917228472870123</v>
      </c>
      <c r="Q138">
        <f ca="1"/>
        <v>5.3961424171403376</v>
      </c>
      <c r="R138">
        <f ca="1"/>
        <v>0</v>
      </c>
      <c r="S138">
        <f ca="1"/>
        <v>0.89649328746126955</v>
      </c>
      <c r="T138">
        <f ca="1"/>
        <v>0</v>
      </c>
      <c r="U138">
        <f ca="1"/>
        <v>0</v>
      </c>
      <c r="V138">
        <f ca="1"/>
        <v>8.123674993495851E-2</v>
      </c>
      <c r="X138" s="2">
        <f t="shared" ca="1" si="8"/>
        <v>44878</v>
      </c>
      <c r="Y138">
        <f t="shared" ca="1" si="9"/>
        <v>0</v>
      </c>
      <c r="AA138" s="63">
        <f t="shared" ca="1" si="11"/>
        <v>10.369389733355735</v>
      </c>
      <c r="AB138" s="63">
        <f t="shared" ca="1" si="12"/>
        <v>10.369389733355735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44879</v>
      </c>
      <c r="K139">
        <f ca="1"/>
        <v>9.6732169093131866</v>
      </c>
      <c r="L139">
        <f ca="1"/>
        <v>0.35608968279615372</v>
      </c>
      <c r="M139">
        <f ca="1"/>
        <v>0</v>
      </c>
      <c r="N139">
        <f ca="1"/>
        <v>0</v>
      </c>
      <c r="O139">
        <f ca="1"/>
        <v>0</v>
      </c>
      <c r="P139">
        <f ca="1"/>
        <v>6.847812530083166</v>
      </c>
      <c r="Q139">
        <f ca="1"/>
        <v>5.6921363600187513</v>
      </c>
      <c r="R139">
        <f ca="1"/>
        <v>0</v>
      </c>
      <c r="S139">
        <f ca="1"/>
        <v>0.89228282907289891</v>
      </c>
      <c r="T139">
        <f ca="1"/>
        <v>0</v>
      </c>
      <c r="U139">
        <f ca="1"/>
        <v>0</v>
      </c>
      <c r="V139">
        <f ca="1"/>
        <v>8.7555814049392153E-2</v>
      </c>
      <c r="X139" s="2">
        <f t="shared" ref="X139:X202" ca="1" si="15">IFERROR(J139,$X$9)</f>
        <v>44879</v>
      </c>
      <c r="Y139">
        <f t="shared" ref="Y139:Y202" ca="1" si="16">IFERROR(O139,0)</f>
        <v>0</v>
      </c>
      <c r="AA139" s="63">
        <f t="shared" ca="1" si="11"/>
        <v>10.029306592109339</v>
      </c>
      <c r="AB139" s="63">
        <f t="shared" ca="1" si="12"/>
        <v>10.029306592109339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44880</v>
      </c>
      <c r="K140">
        <f ca="1"/>
        <v>9.2843998956821459</v>
      </c>
      <c r="L140">
        <f ca="1"/>
        <v>0.3888170136310416</v>
      </c>
      <c r="M140">
        <f ca="1"/>
        <v>0</v>
      </c>
      <c r="N140">
        <f ca="1"/>
        <v>0</v>
      </c>
      <c r="O140">
        <f ca="1"/>
        <v>0</v>
      </c>
      <c r="P140">
        <f ca="1"/>
        <v>7.2366295437142076</v>
      </c>
      <c r="Q140">
        <f ca="1"/>
        <v>6.0153343814249078</v>
      </c>
      <c r="R140">
        <f ca="1"/>
        <v>0</v>
      </c>
      <c r="S140">
        <f ca="1"/>
        <v>0.87141268757910773</v>
      </c>
      <c r="T140">
        <f ca="1"/>
        <v>0</v>
      </c>
      <c r="U140">
        <f ca="1"/>
        <v>0</v>
      </c>
      <c r="V140">
        <f ca="1"/>
        <v>9.4558593425244419E-2</v>
      </c>
      <c r="X140" s="2">
        <f t="shared" ca="1" si="15"/>
        <v>44880</v>
      </c>
      <c r="Y140">
        <f t="shared" ca="1" si="16"/>
        <v>0</v>
      </c>
      <c r="AA140" s="63">
        <f t="shared" ca="1" si="11"/>
        <v>9.6732169093131866</v>
      </c>
      <c r="AB140" s="63">
        <f t="shared" ca="1" si="12"/>
        <v>9.6732169093131866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44881</v>
      </c>
      <c r="K141">
        <f ca="1"/>
        <v>8.8605699032406022</v>
      </c>
      <c r="L141">
        <f ca="1"/>
        <v>0.42382999244154451</v>
      </c>
      <c r="M141">
        <f ca="1"/>
        <v>0</v>
      </c>
      <c r="N141">
        <f ca="1"/>
        <v>0</v>
      </c>
      <c r="O141">
        <f ca="1"/>
        <v>0</v>
      </c>
      <c r="P141">
        <f ca="1"/>
        <v>7.6604595361557521</v>
      </c>
      <c r="Q141">
        <f ca="1"/>
        <v>6.3676363902554112</v>
      </c>
      <c r="R141">
        <f ca="1"/>
        <v>0</v>
      </c>
      <c r="S141">
        <f ca="1"/>
        <v>0.88733013951597617</v>
      </c>
      <c r="T141">
        <f ca="1"/>
        <v>0</v>
      </c>
      <c r="U141">
        <f ca="1"/>
        <v>0</v>
      </c>
      <c r="V141">
        <f ca="1"/>
        <v>0.10230020958566284</v>
      </c>
      <c r="X141" s="2">
        <f t="shared" ca="1" si="15"/>
        <v>44881</v>
      </c>
      <c r="Y141">
        <f t="shared" ca="1" si="16"/>
        <v>0</v>
      </c>
      <c r="AA141" s="63">
        <f t="shared" ref="AA141:AA204" ca="1" si="18">K140+M141+N141+O141</f>
        <v>9.2843998956821459</v>
      </c>
      <c r="AB141" s="63">
        <f t="shared" ref="AB141:AB204" ca="1" si="19">K141+L141+R141</f>
        <v>9.2843998956821459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44882</v>
      </c>
      <c r="K142">
        <f ca="1"/>
        <v>8.4304067735487376</v>
      </c>
      <c r="L142">
        <f ca="1"/>
        <v>0.43016312969186465</v>
      </c>
      <c r="M142">
        <f ca="1"/>
        <v>0</v>
      </c>
      <c r="N142">
        <f ca="1"/>
        <v>0</v>
      </c>
      <c r="O142">
        <f ca="1"/>
        <v>0</v>
      </c>
      <c r="P142">
        <f ca="1"/>
        <v>8.0906226658476168</v>
      </c>
      <c r="Q142">
        <f ca="1"/>
        <v>6.7252027197221986</v>
      </c>
      <c r="R142">
        <f ca="1"/>
        <v>0</v>
      </c>
      <c r="S142">
        <f ca="1"/>
        <v>0.86843497757053101</v>
      </c>
      <c r="T142">
        <f ca="1"/>
        <v>0</v>
      </c>
      <c r="U142">
        <f ca="1"/>
        <v>0</v>
      </c>
      <c r="V142">
        <f ca="1"/>
        <v>0.11025782455307298</v>
      </c>
      <c r="X142" s="2">
        <f t="shared" ca="1" si="15"/>
        <v>44882</v>
      </c>
      <c r="Y142">
        <f t="shared" ca="1" si="16"/>
        <v>0</v>
      </c>
      <c r="AA142" s="63">
        <f t="shared" ca="1" si="18"/>
        <v>8.8605699032406022</v>
      </c>
      <c r="AB142" s="63">
        <f t="shared" ca="1" si="19"/>
        <v>8.8605699032406022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44883</v>
      </c>
      <c r="K143">
        <f ca="1"/>
        <v>7.9950101513098595</v>
      </c>
      <c r="L143">
        <f ca="1"/>
        <v>0.43539662223887809</v>
      </c>
      <c r="M143">
        <f ca="1"/>
        <v>0</v>
      </c>
      <c r="N143">
        <f ca="1"/>
        <v>0</v>
      </c>
      <c r="O143">
        <f ca="1"/>
        <v>0</v>
      </c>
      <c r="P143">
        <f ca="1"/>
        <v>8.5260192880864949</v>
      </c>
      <c r="Q143">
        <f ca="1"/>
        <v>7.0871193074774377</v>
      </c>
      <c r="R143">
        <f ca="1"/>
        <v>0</v>
      </c>
      <c r="S143">
        <f ca="1"/>
        <v>0.85042273833530813</v>
      </c>
      <c r="T143">
        <f ca="1"/>
        <v>0</v>
      </c>
      <c r="U143">
        <f ca="1"/>
        <v>0</v>
      </c>
      <c r="V143">
        <f ca="1"/>
        <v>0.11840006839721112</v>
      </c>
      <c r="X143" s="2">
        <f t="shared" ca="1" si="15"/>
        <v>44883</v>
      </c>
      <c r="Y143">
        <f t="shared" ca="1" si="16"/>
        <v>0</v>
      </c>
      <c r="AA143" s="63">
        <f t="shared" ca="1" si="18"/>
        <v>8.4304067735487376</v>
      </c>
      <c r="AB143" s="63">
        <f t="shared" ca="1" si="19"/>
        <v>8.4304067735487376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44884</v>
      </c>
      <c r="K144">
        <f ca="1"/>
        <v>7.5391193702191348</v>
      </c>
      <c r="L144">
        <f ca="1"/>
        <v>0.45589078109072467</v>
      </c>
      <c r="M144">
        <f ca="1"/>
        <v>0</v>
      </c>
      <c r="N144">
        <f ca="1"/>
        <v>0</v>
      </c>
      <c r="O144">
        <f ca="1"/>
        <v>0</v>
      </c>
      <c r="P144">
        <f ca="1"/>
        <v>8.9819100691772196</v>
      </c>
      <c r="Q144">
        <f ca="1"/>
        <v>7.4660713421372336</v>
      </c>
      <c r="R144">
        <f ca="1"/>
        <v>0</v>
      </c>
      <c r="S144">
        <f ca="1"/>
        <v>0.82406772023772434</v>
      </c>
      <c r="T144">
        <f ca="1"/>
        <v>0</v>
      </c>
      <c r="U144">
        <f ca="1"/>
        <v>0</v>
      </c>
      <c r="V144">
        <f ca="1"/>
        <v>0.1270046280894066</v>
      </c>
      <c r="X144" s="2">
        <f t="shared" ca="1" si="15"/>
        <v>44884</v>
      </c>
      <c r="Y144">
        <f t="shared" ca="1" si="16"/>
        <v>0</v>
      </c>
      <c r="AA144" s="63">
        <f t="shared" ca="1" si="18"/>
        <v>7.9950101513098595</v>
      </c>
      <c r="AB144" s="63">
        <f t="shared" ca="1" si="19"/>
        <v>7.9950101513098595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44885</v>
      </c>
      <c r="K145">
        <f ca="1"/>
        <v>7.0385309485856169</v>
      </c>
      <c r="L145">
        <f ca="1"/>
        <v>0.50058842163351791</v>
      </c>
      <c r="M145">
        <f ca="1"/>
        <v>0</v>
      </c>
      <c r="N145">
        <f ca="1"/>
        <v>0</v>
      </c>
      <c r="O145">
        <f ca="1"/>
        <v>0</v>
      </c>
      <c r="P145">
        <f ca="1"/>
        <v>9.4824984908107375</v>
      </c>
      <c r="Q145">
        <f ca="1"/>
        <v>7.8821775868200072</v>
      </c>
      <c r="R145">
        <f ca="1"/>
        <v>0</v>
      </c>
      <c r="S145">
        <f ca="1"/>
        <v>0.81241910580914478</v>
      </c>
      <c r="T145">
        <f ca="1"/>
        <v>0</v>
      </c>
      <c r="U145">
        <f ca="1"/>
        <v>0</v>
      </c>
      <c r="V145">
        <f ca="1"/>
        <v>0.13652787721461185</v>
      </c>
      <c r="X145" s="2">
        <f t="shared" ca="1" si="15"/>
        <v>44885</v>
      </c>
      <c r="Y145">
        <f t="shared" ca="1" si="16"/>
        <v>0</v>
      </c>
      <c r="AA145" s="63">
        <f t="shared" ca="1" si="18"/>
        <v>7.5391193702191348</v>
      </c>
      <c r="AB145" s="63">
        <f t="shared" ca="1" si="19"/>
        <v>7.5391193702191348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44886</v>
      </c>
      <c r="K146">
        <f ca="1"/>
        <v>6.5081297726554386</v>
      </c>
      <c r="L146">
        <f ca="1"/>
        <v>0.53040117593017833</v>
      </c>
      <c r="M146">
        <f ca="1"/>
        <v>0</v>
      </c>
      <c r="N146">
        <f ca="1"/>
        <v>0</v>
      </c>
      <c r="O146">
        <f ca="1"/>
        <v>0</v>
      </c>
      <c r="P146">
        <f ca="1"/>
        <v>10.012899666740916</v>
      </c>
      <c r="Q146">
        <f ca="1"/>
        <v>8.3230652141675119</v>
      </c>
      <c r="R146">
        <f ca="1"/>
        <v>0</v>
      </c>
      <c r="S146">
        <f ca="1"/>
        <v>0.81027113406134421</v>
      </c>
      <c r="T146">
        <f ca="1"/>
        <v>0</v>
      </c>
      <c r="U146">
        <f ca="1"/>
        <v>0</v>
      </c>
      <c r="V146">
        <f ca="1"/>
        <v>0.14668347192131523</v>
      </c>
      <c r="X146" s="2">
        <f t="shared" ca="1" si="15"/>
        <v>44886</v>
      </c>
      <c r="Y146">
        <f t="shared" ca="1" si="16"/>
        <v>0</v>
      </c>
      <c r="AA146" s="63">
        <f t="shared" ca="1" si="18"/>
        <v>7.0385309485856169</v>
      </c>
      <c r="AB146" s="63">
        <f t="shared" ca="1" si="19"/>
        <v>7.0385309485856169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44887</v>
      </c>
      <c r="K147">
        <f ca="1"/>
        <v>5.9369407467100359</v>
      </c>
      <c r="L147">
        <f ca="1"/>
        <v>0.57118902594540266</v>
      </c>
      <c r="M147">
        <f ca="1"/>
        <v>0</v>
      </c>
      <c r="N147">
        <f ca="1"/>
        <v>0</v>
      </c>
      <c r="O147">
        <f ca="1"/>
        <v>0</v>
      </c>
      <c r="P147">
        <f ca="1"/>
        <v>10.584088692686318</v>
      </c>
      <c r="Q147">
        <f ca="1"/>
        <v>8.7978570997140668</v>
      </c>
      <c r="R147">
        <f ca="1"/>
        <v>0</v>
      </c>
      <c r="S147">
        <f ca="1"/>
        <v>0.82529101169780539</v>
      </c>
      <c r="T147">
        <f ca="1"/>
        <v>0</v>
      </c>
      <c r="U147">
        <f ca="1"/>
        <v>0</v>
      </c>
      <c r="V147">
        <f ca="1"/>
        <v>0.15767148702125303</v>
      </c>
      <c r="X147" s="2">
        <f t="shared" ca="1" si="15"/>
        <v>44887</v>
      </c>
      <c r="Y147">
        <f t="shared" ca="1" si="16"/>
        <v>0</v>
      </c>
      <c r="AA147" s="63">
        <f t="shared" ca="1" si="18"/>
        <v>6.5081297726554386</v>
      </c>
      <c r="AB147" s="63">
        <f t="shared" ca="1" si="19"/>
        <v>6.5081297726554386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44888</v>
      </c>
      <c r="K148">
        <f ca="1"/>
        <v>146.60645737095243</v>
      </c>
      <c r="L148">
        <f ca="1"/>
        <v>0.6152427960811</v>
      </c>
      <c r="M148">
        <f ca="1"/>
        <v>0</v>
      </c>
      <c r="N148">
        <f ca="1"/>
        <v>0</v>
      </c>
      <c r="O148">
        <f ca="1"/>
        <v>141.2847594203235</v>
      </c>
      <c r="P148">
        <f ca="1"/>
        <v>11.199331488767418</v>
      </c>
      <c r="Q148">
        <f ca="1"/>
        <v>9.3092679881442013</v>
      </c>
      <c r="R148">
        <f ca="1"/>
        <v>0</v>
      </c>
      <c r="S148">
        <f ca="1"/>
        <v>0.82031601358680983</v>
      </c>
      <c r="T148">
        <f ca="1"/>
        <v>0</v>
      </c>
      <c r="U148">
        <f ca="1"/>
        <v>0</v>
      </c>
      <c r="V148">
        <f ca="1"/>
        <v>0.16953978418344495</v>
      </c>
      <c r="X148" s="2">
        <f t="shared" ca="1" si="15"/>
        <v>44888</v>
      </c>
      <c r="Y148">
        <f t="shared" ca="1" si="16"/>
        <v>141.2847594203235</v>
      </c>
      <c r="AA148" s="63">
        <f t="shared" ca="1" si="18"/>
        <v>147.22170016703353</v>
      </c>
      <c r="AB148" s="63">
        <f t="shared" ca="1" si="19"/>
        <v>147.22170016703353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44889</v>
      </c>
      <c r="K149">
        <f ca="1"/>
        <v>145.96803879111843</v>
      </c>
      <c r="L149">
        <f ca="1"/>
        <v>0.63841857983398498</v>
      </c>
      <c r="M149">
        <f ca="1"/>
        <v>0</v>
      </c>
      <c r="N149">
        <f ca="1"/>
        <v>0</v>
      </c>
      <c r="O149">
        <f ca="1"/>
        <v>0</v>
      </c>
      <c r="P149">
        <f ca="1"/>
        <v>11.837750068601403</v>
      </c>
      <c r="Q149">
        <f ca="1"/>
        <v>9.8399433819608628</v>
      </c>
      <c r="R149">
        <f ca="1"/>
        <v>0</v>
      </c>
      <c r="S149">
        <f ca="1"/>
        <v>0.809274698849894</v>
      </c>
      <c r="T149">
        <f ca="1"/>
        <v>0</v>
      </c>
      <c r="U149">
        <f ca="1"/>
        <v>0</v>
      </c>
      <c r="V149">
        <f ca="1"/>
        <v>0.18186257496776517</v>
      </c>
      <c r="X149" s="2">
        <f t="shared" ca="1" si="15"/>
        <v>44889</v>
      </c>
      <c r="Y149">
        <f t="shared" ca="1" si="16"/>
        <v>0</v>
      </c>
      <c r="AA149" s="63">
        <f t="shared" ca="1" si="18"/>
        <v>146.60645737095243</v>
      </c>
      <c r="AB149" s="63">
        <f t="shared" ca="1" si="19"/>
        <v>146.60645737095243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44890</v>
      </c>
      <c r="K150">
        <f ca="1"/>
        <v>145.25454335502329</v>
      </c>
      <c r="L150">
        <f ca="1"/>
        <v>0.71349543609514043</v>
      </c>
      <c r="M150">
        <f ca="1"/>
        <v>0</v>
      </c>
      <c r="N150">
        <f ca="1"/>
        <v>0</v>
      </c>
      <c r="O150">
        <f ca="1"/>
        <v>0</v>
      </c>
      <c r="P150">
        <f ca="1"/>
        <v>12.551245504696544</v>
      </c>
      <c r="Q150">
        <f ca="1"/>
        <v>10.433025230604178</v>
      </c>
      <c r="R150">
        <f ca="1"/>
        <v>0</v>
      </c>
      <c r="S150">
        <f ca="1"/>
        <v>0.798979942373922</v>
      </c>
      <c r="T150">
        <f ca="1"/>
        <v>0</v>
      </c>
      <c r="U150">
        <f ca="1"/>
        <v>0</v>
      </c>
      <c r="V150">
        <f ca="1"/>
        <v>0.19560994276149166</v>
      </c>
      <c r="X150" s="2">
        <f t="shared" ca="1" si="15"/>
        <v>44890</v>
      </c>
      <c r="Y150">
        <f t="shared" ca="1" si="16"/>
        <v>0</v>
      </c>
      <c r="AA150" s="63">
        <f t="shared" ca="1" si="18"/>
        <v>145.96803879111843</v>
      </c>
      <c r="AB150" s="63">
        <f t="shared" ca="1" si="19"/>
        <v>145.96803879111843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44891</v>
      </c>
      <c r="K151">
        <f ca="1"/>
        <v>144.49851460887157</v>
      </c>
      <c r="L151">
        <f ca="1"/>
        <v>0.75602874615169924</v>
      </c>
      <c r="M151">
        <f ca="1"/>
        <v>0</v>
      </c>
      <c r="N151">
        <f ca="1"/>
        <v>0</v>
      </c>
      <c r="O151">
        <f ca="1"/>
        <v>0</v>
      </c>
      <c r="P151">
        <f ca="1"/>
        <v>13.307274250848243</v>
      </c>
      <c r="Q151">
        <f ca="1"/>
        <v>11.061462223627002</v>
      </c>
      <c r="R151">
        <f ca="1"/>
        <v>0</v>
      </c>
      <c r="S151">
        <f ca="1"/>
        <v>0.78137140191872223</v>
      </c>
      <c r="T151">
        <f ca="1"/>
        <v>0</v>
      </c>
      <c r="U151">
        <f ca="1"/>
        <v>0</v>
      </c>
      <c r="V151">
        <f ca="1"/>
        <v>0.21011158746925818</v>
      </c>
      <c r="X151" s="2">
        <f t="shared" ca="1" si="15"/>
        <v>44891</v>
      </c>
      <c r="Y151">
        <f t="shared" ca="1" si="16"/>
        <v>0</v>
      </c>
      <c r="AA151" s="63">
        <f t="shared" ca="1" si="18"/>
        <v>145.25454335502329</v>
      </c>
      <c r="AB151" s="63">
        <f t="shared" ca="1" si="19"/>
        <v>145.25454335502326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44892</v>
      </c>
      <c r="K152">
        <f ca="1"/>
        <v>143.72854727288785</v>
      </c>
      <c r="L152">
        <f ca="1"/>
        <v>0.76996733598372025</v>
      </c>
      <c r="M152">
        <f ca="1"/>
        <v>0</v>
      </c>
      <c r="N152">
        <f ca="1"/>
        <v>0</v>
      </c>
      <c r="O152">
        <f ca="1"/>
        <v>0</v>
      </c>
      <c r="P152">
        <f ca="1"/>
        <v>14.077241586831963</v>
      </c>
      <c r="Q152">
        <f ca="1"/>
        <v>11.701485450011454</v>
      </c>
      <c r="R152">
        <f ca="1"/>
        <v>0</v>
      </c>
      <c r="S152">
        <f ca="1"/>
        <v>0.78317127196785208</v>
      </c>
      <c r="T152">
        <f ca="1"/>
        <v>0</v>
      </c>
      <c r="U152">
        <f ca="1"/>
        <v>0</v>
      </c>
      <c r="V152">
        <f ca="1"/>
        <v>0.22477489685377919</v>
      </c>
      <c r="X152" s="2">
        <f t="shared" ca="1" si="15"/>
        <v>44892</v>
      </c>
      <c r="Y152">
        <f t="shared" ca="1" si="16"/>
        <v>0</v>
      </c>
      <c r="AA152" s="63">
        <f t="shared" ca="1" si="18"/>
        <v>144.49851460887157</v>
      </c>
      <c r="AB152" s="63">
        <f t="shared" ca="1" si="19"/>
        <v>144.49851460887157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44893</v>
      </c>
      <c r="K153">
        <f ca="1"/>
        <v>142.92507135435505</v>
      </c>
      <c r="L153">
        <f ca="1"/>
        <v>0.80347591853279177</v>
      </c>
      <c r="M153">
        <f ca="1"/>
        <v>0</v>
      </c>
      <c r="N153">
        <f ca="1"/>
        <v>0</v>
      </c>
      <c r="O153">
        <f ca="1"/>
        <v>0</v>
      </c>
      <c r="P153">
        <f ca="1"/>
        <v>14.880717505364755</v>
      </c>
      <c r="Q153">
        <f ca="1"/>
        <v>12.369362158111759</v>
      </c>
      <c r="R153">
        <f ca="1"/>
        <v>0</v>
      </c>
      <c r="S153">
        <f ca="1"/>
        <v>0.80475632727086399</v>
      </c>
      <c r="T153">
        <f ca="1"/>
        <v>0</v>
      </c>
      <c r="U153">
        <f ca="1"/>
        <v>0</v>
      </c>
      <c r="V153">
        <f ca="1"/>
        <v>0.23992676663998364</v>
      </c>
      <c r="X153" s="2">
        <f t="shared" ca="1" si="15"/>
        <v>44893</v>
      </c>
      <c r="Y153">
        <f t="shared" ca="1" si="16"/>
        <v>0</v>
      </c>
      <c r="AA153" s="63">
        <f t="shared" ca="1" si="18"/>
        <v>143.72854727288785</v>
      </c>
      <c r="AB153" s="63">
        <f t="shared" ca="1" si="19"/>
        <v>143.72854727288785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44894</v>
      </c>
      <c r="K154">
        <f ca="1"/>
        <v>142.07179123799278</v>
      </c>
      <c r="L154">
        <f ca="1"/>
        <v>0.85328011636227785</v>
      </c>
      <c r="M154">
        <f ca="1"/>
        <v>0</v>
      </c>
      <c r="N154">
        <f ca="1"/>
        <v>0</v>
      </c>
      <c r="O154">
        <f ca="1"/>
        <v>0</v>
      </c>
      <c r="P154">
        <f ca="1"/>
        <v>15.733997621727033</v>
      </c>
      <c r="Q154">
        <f ca="1"/>
        <v>13.078637821586701</v>
      </c>
      <c r="R154">
        <f ca="1"/>
        <v>0</v>
      </c>
      <c r="S154">
        <f ca="1"/>
        <v>0.79397016344395877</v>
      </c>
      <c r="T154">
        <f ca="1"/>
        <v>0</v>
      </c>
      <c r="U154">
        <f ca="1"/>
        <v>0</v>
      </c>
      <c r="V154">
        <f ca="1"/>
        <v>0.25581460152408597</v>
      </c>
      <c r="X154" s="2">
        <f t="shared" ca="1" si="15"/>
        <v>44894</v>
      </c>
      <c r="Y154">
        <f t="shared" ca="1" si="16"/>
        <v>0</v>
      </c>
      <c r="AA154" s="63">
        <f t="shared" ca="1" si="18"/>
        <v>142.92507135435505</v>
      </c>
      <c r="AB154" s="63">
        <f t="shared" ca="1" si="19"/>
        <v>142.92507135435505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44895</v>
      </c>
      <c r="K155">
        <f ca="1"/>
        <v>141.15106251570489</v>
      </c>
      <c r="L155">
        <f ca="1"/>
        <v>0.92072872228788505</v>
      </c>
      <c r="M155">
        <f ca="1"/>
        <v>0</v>
      </c>
      <c r="N155">
        <f ca="1"/>
        <v>0</v>
      </c>
      <c r="O155">
        <f ca="1"/>
        <v>0</v>
      </c>
      <c r="P155">
        <f ca="1"/>
        <v>16.654726344014918</v>
      </c>
      <c r="Q155">
        <f ca="1"/>
        <v>13.843979076888976</v>
      </c>
      <c r="R155">
        <f ca="1"/>
        <v>0</v>
      </c>
      <c r="S155">
        <f ca="1"/>
        <v>0.78635601566546598</v>
      </c>
      <c r="T155">
        <f ca="1"/>
        <v>0</v>
      </c>
      <c r="U155">
        <f ca="1"/>
        <v>0</v>
      </c>
      <c r="V155">
        <f ca="1"/>
        <v>0.27268609235567343</v>
      </c>
      <c r="X155" s="2">
        <f t="shared" ca="1" si="15"/>
        <v>44895</v>
      </c>
      <c r="Y155">
        <f t="shared" ca="1" si="16"/>
        <v>0</v>
      </c>
      <c r="AA155" s="63">
        <f t="shared" ca="1" si="18"/>
        <v>142.07179123799278</v>
      </c>
      <c r="AB155" s="63">
        <f t="shared" ca="1" si="19"/>
        <v>142.07179123799278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44896</v>
      </c>
      <c r="K156">
        <f ca="1"/>
        <v>140.16043880286296</v>
      </c>
      <c r="L156">
        <f ca="1"/>
        <v>0.99062371284194484</v>
      </c>
      <c r="M156">
        <f ca="1"/>
        <v>0</v>
      </c>
      <c r="N156">
        <f ca="1"/>
        <v>0</v>
      </c>
      <c r="O156">
        <f ca="1"/>
        <v>0</v>
      </c>
      <c r="P156">
        <f ca="1"/>
        <v>17.645350056856863</v>
      </c>
      <c r="Q156">
        <f ca="1"/>
        <v>14.667419442727367</v>
      </c>
      <c r="R156">
        <f ca="1"/>
        <v>0</v>
      </c>
      <c r="S156">
        <f ca="1"/>
        <v>0.76111229181146267</v>
      </c>
      <c r="T156">
        <f ca="1"/>
        <v>0</v>
      </c>
      <c r="U156">
        <f ca="1"/>
        <v>0</v>
      </c>
      <c r="V156">
        <f ca="1"/>
        <v>0.29048430786198065</v>
      </c>
      <c r="X156" s="2">
        <f t="shared" ca="1" si="15"/>
        <v>44896</v>
      </c>
      <c r="Y156">
        <f t="shared" ca="1" si="16"/>
        <v>0</v>
      </c>
      <c r="AA156" s="63">
        <f t="shared" ca="1" si="18"/>
        <v>141.15106251570489</v>
      </c>
      <c r="AB156" s="63">
        <f t="shared" ca="1" si="19"/>
        <v>141.15106251570489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44897</v>
      </c>
      <c r="K157">
        <f ca="1"/>
        <v>139.0794004919955</v>
      </c>
      <c r="L157">
        <f ca="1"/>
        <v>1.0810383108674664</v>
      </c>
      <c r="M157">
        <f ca="1"/>
        <v>0</v>
      </c>
      <c r="N157">
        <f ca="1"/>
        <v>0</v>
      </c>
      <c r="O157">
        <f ca="1"/>
        <v>0</v>
      </c>
      <c r="P157">
        <f ca="1"/>
        <v>18.726388367724329</v>
      </c>
      <c r="Q157">
        <f ca="1"/>
        <v>15.566015519770851</v>
      </c>
      <c r="R157">
        <f ca="1"/>
        <v>0</v>
      </c>
      <c r="S157">
        <f ca="1"/>
        <v>0.79425433296117387</v>
      </c>
      <c r="T157">
        <f ca="1"/>
        <v>0</v>
      </c>
      <c r="U157">
        <f ca="1"/>
        <v>0</v>
      </c>
      <c r="V157">
        <f ca="1"/>
        <v>0.30944875402623506</v>
      </c>
      <c r="X157" s="2">
        <f t="shared" ca="1" si="15"/>
        <v>44897</v>
      </c>
      <c r="Y157">
        <f t="shared" ca="1" si="16"/>
        <v>0</v>
      </c>
      <c r="AA157" s="63">
        <f t="shared" ca="1" si="18"/>
        <v>140.16043880286296</v>
      </c>
      <c r="AB157" s="63">
        <f t="shared" ca="1" si="19"/>
        <v>140.16043880286296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44898</v>
      </c>
      <c r="K158">
        <f ca="1"/>
        <v>137.91235571140047</v>
      </c>
      <c r="L158">
        <f ca="1"/>
        <v>1.1670447805950346</v>
      </c>
      <c r="M158">
        <f ca="1"/>
        <v>0</v>
      </c>
      <c r="N158">
        <f ca="1"/>
        <v>0</v>
      </c>
      <c r="O158">
        <f ca="1"/>
        <v>0</v>
      </c>
      <c r="P158">
        <f ca="1"/>
        <v>19.893433148319364</v>
      </c>
      <c r="Q158">
        <f ca="1"/>
        <v>16.536103120769241</v>
      </c>
      <c r="R158">
        <f ca="1"/>
        <v>0</v>
      </c>
      <c r="S158">
        <f ca="1"/>
        <v>0.76948733028001848</v>
      </c>
      <c r="T158">
        <f ca="1"/>
        <v>0</v>
      </c>
      <c r="U158">
        <f ca="1"/>
        <v>0</v>
      </c>
      <c r="V158">
        <f ca="1"/>
        <v>0.32934687278136138</v>
      </c>
      <c r="X158" s="2">
        <f t="shared" ca="1" si="15"/>
        <v>44898</v>
      </c>
      <c r="Y158">
        <f t="shared" ca="1" si="16"/>
        <v>0</v>
      </c>
      <c r="AA158" s="63">
        <f t="shared" ca="1" si="18"/>
        <v>139.0794004919955</v>
      </c>
      <c r="AB158" s="63">
        <f t="shared" ca="1" si="19"/>
        <v>139.0794004919955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44899</v>
      </c>
      <c r="K159">
        <f ca="1"/>
        <v>136.67862918103947</v>
      </c>
      <c r="L159">
        <f ca="1"/>
        <v>1.2337265303609897</v>
      </c>
      <c r="M159">
        <f ca="1"/>
        <v>0</v>
      </c>
      <c r="N159">
        <f ca="1"/>
        <v>0</v>
      </c>
      <c r="O159">
        <f ca="1"/>
        <v>0</v>
      </c>
      <c r="P159">
        <f ca="1"/>
        <v>21.127159678680353</v>
      </c>
      <c r="Q159">
        <f ca="1"/>
        <v>17.561618876484928</v>
      </c>
      <c r="R159">
        <f ca="1"/>
        <v>0</v>
      </c>
      <c r="S159">
        <f ca="1"/>
        <v>0.8142471226395408</v>
      </c>
      <c r="T159">
        <f ca="1"/>
        <v>0</v>
      </c>
      <c r="U159">
        <f ca="1"/>
        <v>0</v>
      </c>
      <c r="V159">
        <f ca="1"/>
        <v>0.34969925519132544</v>
      </c>
      <c r="X159" s="2">
        <f t="shared" ca="1" si="15"/>
        <v>44899</v>
      </c>
      <c r="Y159">
        <f t="shared" ca="1" si="16"/>
        <v>0</v>
      </c>
      <c r="AA159" s="63">
        <f t="shared" ca="1" si="18"/>
        <v>137.91235571140047</v>
      </c>
      <c r="AB159" s="63">
        <f t="shared" ca="1" si="19"/>
        <v>137.91235571140047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44900</v>
      </c>
      <c r="K160">
        <f ca="1"/>
        <v>135.40145676931047</v>
      </c>
      <c r="L160">
        <f ca="1"/>
        <v>1.2771724117290084</v>
      </c>
      <c r="M160">
        <f ca="1"/>
        <v>0</v>
      </c>
      <c r="N160">
        <f ca="1"/>
        <v>0</v>
      </c>
      <c r="O160">
        <f ca="1"/>
        <v>0</v>
      </c>
      <c r="P160">
        <f ca="1"/>
        <v>22.404332090409362</v>
      </c>
      <c r="Q160">
        <f ca="1"/>
        <v>18.623248337116092</v>
      </c>
      <c r="R160">
        <f ca="1"/>
        <v>0</v>
      </c>
      <c r="S160">
        <f ca="1"/>
        <v>0.83738393575021264</v>
      </c>
      <c r="T160">
        <f ca="1"/>
        <v>0</v>
      </c>
      <c r="U160">
        <f ca="1"/>
        <v>0</v>
      </c>
      <c r="V160">
        <f ca="1"/>
        <v>0.37000452291420505</v>
      </c>
      <c r="X160" s="2">
        <f t="shared" ca="1" si="15"/>
        <v>44900</v>
      </c>
      <c r="Y160">
        <f t="shared" ca="1" si="16"/>
        <v>0</v>
      </c>
      <c r="AA160" s="63">
        <f t="shared" ca="1" si="18"/>
        <v>136.67862918103947</v>
      </c>
      <c r="AB160" s="63">
        <f t="shared" ca="1" si="19"/>
        <v>136.67862918103947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44901</v>
      </c>
      <c r="K161">
        <f ca="1"/>
        <v>134.05738907613733</v>
      </c>
      <c r="L161">
        <f ca="1"/>
        <v>1.3440676931731588</v>
      </c>
      <c r="M161">
        <f ca="1"/>
        <v>0</v>
      </c>
      <c r="N161">
        <f ca="1"/>
        <v>0</v>
      </c>
      <c r="O161">
        <f ca="1"/>
        <v>0</v>
      </c>
      <c r="P161">
        <f ca="1"/>
        <v>23.748399783582521</v>
      </c>
      <c r="Q161">
        <f ca="1"/>
        <v>19.740483447310403</v>
      </c>
      <c r="R161">
        <f ca="1"/>
        <v>0</v>
      </c>
      <c r="S161">
        <f ca="1"/>
        <v>0.83957277228307092</v>
      </c>
      <c r="T161">
        <f ca="1"/>
        <v>0</v>
      </c>
      <c r="U161">
        <f ca="1"/>
        <v>0</v>
      </c>
      <c r="V161">
        <f ca="1"/>
        <v>0.39051925744635918</v>
      </c>
      <c r="X161" s="2">
        <f t="shared" ca="1" si="15"/>
        <v>44901</v>
      </c>
      <c r="Y161">
        <f t="shared" ca="1" si="16"/>
        <v>0</v>
      </c>
      <c r="AA161" s="63">
        <f t="shared" ca="1" si="18"/>
        <v>135.40145676931047</v>
      </c>
      <c r="AB161" s="63">
        <f t="shared" ca="1" si="19"/>
        <v>135.40145676931047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44902</v>
      </c>
      <c r="K162">
        <f ca="1"/>
        <v>132.71230418968304</v>
      </c>
      <c r="L162">
        <f ca="1"/>
        <v>1.345084886454277</v>
      </c>
      <c r="M162">
        <f ca="1"/>
        <v>0</v>
      </c>
      <c r="N162">
        <f ca="1"/>
        <v>0</v>
      </c>
      <c r="O162">
        <f ca="1"/>
        <v>0</v>
      </c>
      <c r="P162">
        <f ca="1"/>
        <v>25.093484670036798</v>
      </c>
      <c r="Q162">
        <f ca="1"/>
        <v>20.858564083405902</v>
      </c>
      <c r="R162">
        <f ca="1"/>
        <v>0</v>
      </c>
      <c r="S162">
        <f ca="1"/>
        <v>0.84485307334909887</v>
      </c>
      <c r="T162">
        <f ca="1"/>
        <v>0</v>
      </c>
      <c r="U162">
        <f ca="1"/>
        <v>0</v>
      </c>
      <c r="V162">
        <f ca="1"/>
        <v>0.4101689037697025</v>
      </c>
      <c r="X162" s="2">
        <f t="shared" ca="1" si="15"/>
        <v>44902</v>
      </c>
      <c r="Y162">
        <f t="shared" ca="1" si="16"/>
        <v>0</v>
      </c>
      <c r="AA162" s="63">
        <f t="shared" ca="1" si="18"/>
        <v>134.05738907613733</v>
      </c>
      <c r="AB162" s="63">
        <f t="shared" ca="1" si="19"/>
        <v>134.05738907613733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44903</v>
      </c>
      <c r="K163">
        <f ca="1"/>
        <v>131.31302629175696</v>
      </c>
      <c r="L163">
        <f ca="1"/>
        <v>1.3992778979260727</v>
      </c>
      <c r="M163">
        <f ca="1"/>
        <v>0</v>
      </c>
      <c r="N163">
        <f ca="1"/>
        <v>0</v>
      </c>
      <c r="O163">
        <f ca="1"/>
        <v>0</v>
      </c>
      <c r="P163">
        <f ca="1"/>
        <v>26.49276256796287</v>
      </c>
      <c r="Q163">
        <f ca="1"/>
        <v>22.021691807122789</v>
      </c>
      <c r="R163">
        <f ca="1"/>
        <v>0</v>
      </c>
      <c r="S163">
        <f ca="1"/>
        <v>0.82546104545635224</v>
      </c>
      <c r="T163">
        <f ca="1"/>
        <v>0</v>
      </c>
      <c r="U163">
        <f ca="1"/>
        <v>0</v>
      </c>
      <c r="V163">
        <f ca="1"/>
        <v>0.4296819944888336</v>
      </c>
      <c r="X163" s="2">
        <f t="shared" ca="1" si="15"/>
        <v>44903</v>
      </c>
      <c r="Y163">
        <f t="shared" ca="1" si="16"/>
        <v>0</v>
      </c>
      <c r="AA163" s="63">
        <f t="shared" ca="1" si="18"/>
        <v>132.71230418968304</v>
      </c>
      <c r="AB163" s="63">
        <f t="shared" ca="1" si="19"/>
        <v>132.71230418968304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44904</v>
      </c>
      <c r="K164">
        <f ca="1"/>
        <v>129.79091258146406</v>
      </c>
      <c r="L164">
        <f ca="1"/>
        <v>1.522113710292885</v>
      </c>
      <c r="M164">
        <f ca="1"/>
        <v>0</v>
      </c>
      <c r="N164">
        <f ca="1"/>
        <v>0</v>
      </c>
      <c r="O164">
        <f ca="1"/>
        <v>0</v>
      </c>
      <c r="P164">
        <f ca="1"/>
        <v>28.014876278255755</v>
      </c>
      <c r="Q164">
        <f ca="1"/>
        <v>23.286924866056417</v>
      </c>
      <c r="R164">
        <f ca="1"/>
        <v>0</v>
      </c>
      <c r="S164">
        <f ca="1"/>
        <v>0.79009402341322321</v>
      </c>
      <c r="T164">
        <f ca="1"/>
        <v>0</v>
      </c>
      <c r="U164">
        <f ca="1"/>
        <v>0</v>
      </c>
      <c r="V164">
        <f ca="1"/>
        <v>0.44985177060759274</v>
      </c>
      <c r="X164" s="2">
        <f t="shared" ca="1" si="15"/>
        <v>44904</v>
      </c>
      <c r="Y164">
        <f t="shared" ca="1" si="16"/>
        <v>0</v>
      </c>
      <c r="AA164" s="63">
        <f t="shared" ca="1" si="18"/>
        <v>131.31302629175696</v>
      </c>
      <c r="AB164" s="63">
        <f t="shared" ca="1" si="19"/>
        <v>131.31302629175696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44905</v>
      </c>
      <c r="K165">
        <f ca="1"/>
        <v>128.21435039809461</v>
      </c>
      <c r="L165">
        <f ca="1"/>
        <v>1.5765621833694397</v>
      </c>
      <c r="M165">
        <f ca="1"/>
        <v>0</v>
      </c>
      <c r="N165">
        <f ca="1"/>
        <v>0</v>
      </c>
      <c r="O165">
        <f ca="1"/>
        <v>0</v>
      </c>
      <c r="P165">
        <f ca="1"/>
        <v>29.591438461625195</v>
      </c>
      <c r="Q165">
        <f ca="1"/>
        <v>24.597417361048645</v>
      </c>
      <c r="R165">
        <f ca="1"/>
        <v>0</v>
      </c>
      <c r="S165">
        <f ca="1"/>
        <v>0.78056207895642926</v>
      </c>
      <c r="T165">
        <f ca="1"/>
        <v>0</v>
      </c>
      <c r="U165">
        <f ca="1"/>
        <v>0</v>
      </c>
      <c r="V165">
        <f ca="1"/>
        <v>0.46961359876817532</v>
      </c>
      <c r="X165" s="2">
        <f t="shared" ca="1" si="15"/>
        <v>44905</v>
      </c>
      <c r="Y165">
        <f t="shared" ca="1" si="16"/>
        <v>0</v>
      </c>
      <c r="AA165" s="63">
        <f t="shared" ca="1" si="18"/>
        <v>129.79091258146406</v>
      </c>
      <c r="AB165" s="63">
        <f t="shared" ca="1" si="19"/>
        <v>129.79091258146406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44906</v>
      </c>
      <c r="K166">
        <f ca="1"/>
        <v>126.49220428230909</v>
      </c>
      <c r="L166">
        <f ca="1"/>
        <v>1.7221461157855238</v>
      </c>
      <c r="M166">
        <f ca="1"/>
        <v>0</v>
      </c>
      <c r="N166">
        <f ca="1"/>
        <v>0</v>
      </c>
      <c r="O166">
        <f ca="1"/>
        <v>0</v>
      </c>
      <c r="P166">
        <f ca="1"/>
        <v>31.313584577410719</v>
      </c>
      <c r="Q166">
        <f ca="1"/>
        <v>26.028924207923264</v>
      </c>
      <c r="R166">
        <f ca="1"/>
        <v>0</v>
      </c>
      <c r="S166">
        <f ca="1"/>
        <v>0.74184238238206657</v>
      </c>
      <c r="T166">
        <f ca="1"/>
        <v>0</v>
      </c>
      <c r="U166">
        <f ca="1"/>
        <v>0</v>
      </c>
      <c r="V166">
        <f ca="1"/>
        <v>0.48993448079379776</v>
      </c>
      <c r="X166" s="2">
        <f t="shared" ca="1" si="15"/>
        <v>44906</v>
      </c>
      <c r="Y166">
        <f t="shared" ca="1" si="16"/>
        <v>0</v>
      </c>
      <c r="AA166" s="63">
        <f t="shared" ca="1" si="18"/>
        <v>128.21435039809461</v>
      </c>
      <c r="AB166" s="63">
        <f t="shared" ca="1" si="19"/>
        <v>128.21435039809461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44907</v>
      </c>
      <c r="K167">
        <f ca="1"/>
        <v>124.62643198406117</v>
      </c>
      <c r="L167">
        <f ca="1"/>
        <v>1.8657722982479221</v>
      </c>
      <c r="M167">
        <f ca="1"/>
        <v>0</v>
      </c>
      <c r="N167">
        <f ca="1"/>
        <v>0</v>
      </c>
      <c r="O167">
        <f ca="1"/>
        <v>0</v>
      </c>
      <c r="P167">
        <f ca="1"/>
        <v>33.179356875658641</v>
      </c>
      <c r="Q167">
        <f ca="1"/>
        <v>27.579818057852268</v>
      </c>
      <c r="R167">
        <f ca="1"/>
        <v>0</v>
      </c>
      <c r="S167">
        <f ca="1"/>
        <v>0.71944155552193667</v>
      </c>
      <c r="T167">
        <f ca="1"/>
        <v>0</v>
      </c>
      <c r="U167">
        <f ca="1"/>
        <v>0</v>
      </c>
      <c r="V167">
        <f ca="1"/>
        <v>0.51052657863297413</v>
      </c>
      <c r="X167" s="2">
        <f t="shared" ca="1" si="15"/>
        <v>44907</v>
      </c>
      <c r="Y167">
        <f t="shared" ca="1" si="16"/>
        <v>0</v>
      </c>
      <c r="AA167" s="63">
        <f t="shared" ca="1" si="18"/>
        <v>126.49220428230909</v>
      </c>
      <c r="AB167" s="63">
        <f t="shared" ca="1" si="19"/>
        <v>126.49220428230909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44908</v>
      </c>
      <c r="K168">
        <f ca="1"/>
        <v>122.71800206365472</v>
      </c>
      <c r="L168">
        <f ca="1"/>
        <v>1.9084299204064479</v>
      </c>
      <c r="M168">
        <f ca="1"/>
        <v>0</v>
      </c>
      <c r="N168">
        <f ca="1"/>
        <v>0</v>
      </c>
      <c r="O168">
        <f ca="1"/>
        <v>0</v>
      </c>
      <c r="P168">
        <f ca="1"/>
        <v>35.087786796065089</v>
      </c>
      <c r="Q168">
        <f ca="1"/>
        <v>29.166170384638487</v>
      </c>
      <c r="R168">
        <f ca="1"/>
        <v>0</v>
      </c>
      <c r="S168">
        <f ca="1"/>
        <v>0.69106858526955284</v>
      </c>
      <c r="T168">
        <f ca="1"/>
        <v>0</v>
      </c>
      <c r="U168">
        <f ca="1"/>
        <v>0</v>
      </c>
      <c r="V168">
        <f ca="1"/>
        <v>0.53014131181753754</v>
      </c>
      <c r="X168" s="2">
        <f t="shared" ca="1" si="15"/>
        <v>44908</v>
      </c>
      <c r="Y168">
        <f t="shared" ca="1" si="16"/>
        <v>0</v>
      </c>
      <c r="AA168" s="63">
        <f t="shared" ca="1" si="18"/>
        <v>124.62643198406117</v>
      </c>
      <c r="AB168" s="63">
        <f t="shared" ca="1" si="19"/>
        <v>124.62643198406117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44909</v>
      </c>
      <c r="K169">
        <f ca="1"/>
        <v>120.74682140673251</v>
      </c>
      <c r="L169">
        <f ca="1"/>
        <v>1.9711806569222148</v>
      </c>
      <c r="M169">
        <f ca="1"/>
        <v>0</v>
      </c>
      <c r="N169">
        <f ca="1"/>
        <v>0</v>
      </c>
      <c r="O169">
        <f ca="1"/>
        <v>0</v>
      </c>
      <c r="P169">
        <f ca="1"/>
        <v>37.058967452987304</v>
      </c>
      <c r="Q169">
        <f ca="1"/>
        <v>30.804683273264001</v>
      </c>
      <c r="R169">
        <f ca="1"/>
        <v>0</v>
      </c>
      <c r="S169">
        <f ca="1"/>
        <v>0.70094045400299909</v>
      </c>
      <c r="T169">
        <f ca="1"/>
        <v>0</v>
      </c>
      <c r="U169">
        <f ca="1"/>
        <v>0</v>
      </c>
      <c r="V169">
        <f ca="1"/>
        <v>0.54895885746531536</v>
      </c>
      <c r="X169" s="2">
        <f t="shared" ca="1" si="15"/>
        <v>44909</v>
      </c>
      <c r="Y169">
        <f t="shared" ca="1" si="16"/>
        <v>0</v>
      </c>
      <c r="AA169" s="63">
        <f t="shared" ca="1" si="18"/>
        <v>122.71800206365472</v>
      </c>
      <c r="AB169" s="63">
        <f t="shared" ca="1" si="19"/>
        <v>122.71800206365472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44910</v>
      </c>
      <c r="K170">
        <f ca="1"/>
        <v>118.72883276696582</v>
      </c>
      <c r="L170">
        <f ca="1"/>
        <v>2.0179886397666849</v>
      </c>
      <c r="M170">
        <f ca="1"/>
        <v>0</v>
      </c>
      <c r="N170">
        <f ca="1"/>
        <v>0</v>
      </c>
      <c r="O170">
        <f ca="1"/>
        <v>0</v>
      </c>
      <c r="P170">
        <f ca="1"/>
        <v>39.076956092753989</v>
      </c>
      <c r="Q170">
        <f ca="1"/>
        <v>32.4821045607275</v>
      </c>
      <c r="R170">
        <f ca="1"/>
        <v>0</v>
      </c>
      <c r="S170">
        <f ca="1"/>
        <v>0.68490287334858369</v>
      </c>
      <c r="T170">
        <f ca="1"/>
        <v>0</v>
      </c>
      <c r="U170">
        <f ca="1"/>
        <v>0</v>
      </c>
      <c r="V170">
        <f ca="1"/>
        <v>0.56680813687442599</v>
      </c>
      <c r="X170" s="2">
        <f t="shared" ca="1" si="15"/>
        <v>44910</v>
      </c>
      <c r="Y170">
        <f t="shared" ca="1" si="16"/>
        <v>0</v>
      </c>
      <c r="AA170" s="63">
        <f t="shared" ca="1" si="18"/>
        <v>120.74682140673251</v>
      </c>
      <c r="AB170" s="63">
        <f t="shared" ca="1" si="19"/>
        <v>120.74682140673251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44911</v>
      </c>
      <c r="K171">
        <f ca="1"/>
        <v>116.62211105027761</v>
      </c>
      <c r="L171">
        <f ca="1"/>
        <v>2.1067217166882131</v>
      </c>
      <c r="M171">
        <f ca="1"/>
        <v>0</v>
      </c>
      <c r="N171">
        <f ca="1"/>
        <v>0</v>
      </c>
      <c r="O171">
        <f ca="1"/>
        <v>0</v>
      </c>
      <c r="P171">
        <f ca="1"/>
        <v>41.183677809442202</v>
      </c>
      <c r="Q171">
        <f ca="1"/>
        <v>34.233283821450691</v>
      </c>
      <c r="R171">
        <f ca="1"/>
        <v>0</v>
      </c>
      <c r="S171">
        <f ca="1"/>
        <v>0.71345268929746419</v>
      </c>
      <c r="T171">
        <f ca="1"/>
        <v>0</v>
      </c>
      <c r="U171">
        <f ca="1"/>
        <v>0</v>
      </c>
      <c r="V171">
        <f ca="1"/>
        <v>0.58402679024892701</v>
      </c>
      <c r="X171" s="2">
        <f t="shared" ca="1" si="15"/>
        <v>44911</v>
      </c>
      <c r="Y171">
        <f t="shared" ca="1" si="16"/>
        <v>0</v>
      </c>
      <c r="AA171" s="63">
        <f t="shared" ca="1" si="18"/>
        <v>118.72883276696582</v>
      </c>
      <c r="AB171" s="63">
        <f t="shared" ca="1" si="19"/>
        <v>118.72883276696582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44912</v>
      </c>
      <c r="K172">
        <f ca="1"/>
        <v>114.43753766705758</v>
      </c>
      <c r="L172">
        <f ca="1"/>
        <v>2.1845733832200267</v>
      </c>
      <c r="M172">
        <f ca="1"/>
        <v>0</v>
      </c>
      <c r="N172">
        <f ca="1"/>
        <v>0</v>
      </c>
      <c r="O172">
        <f ca="1"/>
        <v>0</v>
      </c>
      <c r="P172">
        <f ca="1"/>
        <v>43.368251192662228</v>
      </c>
      <c r="Q172">
        <f ca="1"/>
        <v>36.049176054353985</v>
      </c>
      <c r="R172">
        <f ca="1"/>
        <v>0</v>
      </c>
      <c r="S172">
        <f ca="1"/>
        <v>0.73055991205877036</v>
      </c>
      <c r="T172">
        <f ca="1"/>
        <v>0</v>
      </c>
      <c r="U172">
        <f ca="1"/>
        <v>0</v>
      </c>
      <c r="V172">
        <f ca="1"/>
        <v>0.60047446315054298</v>
      </c>
      <c r="X172" s="2">
        <f t="shared" ca="1" si="15"/>
        <v>44912</v>
      </c>
      <c r="Y172">
        <f t="shared" ca="1" si="16"/>
        <v>0</v>
      </c>
      <c r="AA172" s="63">
        <f t="shared" ca="1" si="18"/>
        <v>116.62211105027761</v>
      </c>
      <c r="AB172" s="63">
        <f t="shared" ca="1" si="19"/>
        <v>116.62211105027761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44913</v>
      </c>
      <c r="K173">
        <f ca="1"/>
        <v>112.24059202421529</v>
      </c>
      <c r="L173">
        <f ca="1"/>
        <v>2.1969456428422873</v>
      </c>
      <c r="M173">
        <f ca="1"/>
        <v>0</v>
      </c>
      <c r="N173">
        <f ca="1"/>
        <v>0</v>
      </c>
      <c r="O173">
        <f ca="1"/>
        <v>0</v>
      </c>
      <c r="P173">
        <f ca="1"/>
        <v>45.565196835504516</v>
      </c>
      <c r="Q173">
        <f ca="1"/>
        <v>37.875352533290901</v>
      </c>
      <c r="R173">
        <f ca="1"/>
        <v>0</v>
      </c>
      <c r="S173">
        <f ca="1"/>
        <v>0.74494927117037868</v>
      </c>
      <c r="T173">
        <f ca="1"/>
        <v>0</v>
      </c>
      <c r="U173">
        <f ca="1"/>
        <v>0</v>
      </c>
      <c r="V173">
        <f ca="1"/>
        <v>0.61568960250815619</v>
      </c>
      <c r="X173" s="2">
        <f t="shared" ca="1" si="15"/>
        <v>44913</v>
      </c>
      <c r="Y173">
        <f t="shared" ca="1" si="16"/>
        <v>0</v>
      </c>
      <c r="AA173" s="63">
        <f t="shared" ca="1" si="18"/>
        <v>114.43753766705758</v>
      </c>
      <c r="AB173" s="63">
        <f t="shared" ca="1" si="19"/>
        <v>114.43753766705757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44914</v>
      </c>
      <c r="K174">
        <f ca="1"/>
        <v>109.94587462905211</v>
      </c>
      <c r="L174">
        <f ca="1"/>
        <v>2.2947173951631754</v>
      </c>
      <c r="M174">
        <f ca="1"/>
        <v>0</v>
      </c>
      <c r="N174">
        <f ca="1"/>
        <v>0</v>
      </c>
      <c r="O174">
        <f ca="1"/>
        <v>0</v>
      </c>
      <c r="P174">
        <f ca="1"/>
        <v>47.859914230667691</v>
      </c>
      <c r="Q174">
        <f ca="1"/>
        <v>39.782800242116721</v>
      </c>
      <c r="R174">
        <f ca="1"/>
        <v>0</v>
      </c>
      <c r="S174">
        <f ca="1"/>
        <v>0.7533313138055624</v>
      </c>
      <c r="T174">
        <f ca="1"/>
        <v>0</v>
      </c>
      <c r="U174">
        <f ca="1"/>
        <v>0</v>
      </c>
      <c r="V174">
        <f ca="1"/>
        <v>0.63028485007959478</v>
      </c>
      <c r="X174" s="2">
        <f t="shared" ca="1" si="15"/>
        <v>44914</v>
      </c>
      <c r="Y174">
        <f t="shared" ca="1" si="16"/>
        <v>0</v>
      </c>
      <c r="AA174" s="63">
        <f t="shared" ca="1" si="18"/>
        <v>112.24059202421529</v>
      </c>
      <c r="AB174" s="63">
        <f t="shared" ca="1" si="19"/>
        <v>112.24059202421529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44915</v>
      </c>
      <c r="K175">
        <f ca="1"/>
        <v>107.53379110363133</v>
      </c>
      <c r="L175">
        <f ca="1"/>
        <v>2.4120835254207762</v>
      </c>
      <c r="M175">
        <f ca="1"/>
        <v>0</v>
      </c>
      <c r="N175">
        <f ca="1"/>
        <v>0</v>
      </c>
      <c r="O175">
        <f ca="1"/>
        <v>0</v>
      </c>
      <c r="P175">
        <f ca="1"/>
        <v>50.271997756088467</v>
      </c>
      <c r="Q175">
        <f ca="1"/>
        <v>41.787806699015604</v>
      </c>
      <c r="R175">
        <f ca="1"/>
        <v>0</v>
      </c>
      <c r="S175">
        <f ca="1"/>
        <v>0.71564748720441473</v>
      </c>
      <c r="T175">
        <f ca="1"/>
        <v>0</v>
      </c>
      <c r="U175">
        <f ca="1"/>
        <v>0</v>
      </c>
      <c r="V175">
        <f ca="1"/>
        <v>0.64432649451729829</v>
      </c>
      <c r="X175" s="2">
        <f t="shared" ca="1" si="15"/>
        <v>44915</v>
      </c>
      <c r="Y175">
        <f t="shared" ca="1" si="16"/>
        <v>0</v>
      </c>
      <c r="AA175" s="63">
        <f t="shared" ca="1" si="18"/>
        <v>109.94587462905211</v>
      </c>
      <c r="AB175" s="63">
        <f t="shared" ca="1" si="19"/>
        <v>109.9458746290521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44916</v>
      </c>
      <c r="K176">
        <f ca="1"/>
        <v>105.06082554040842</v>
      </c>
      <c r="L176">
        <f ca="1"/>
        <v>2.4729655632229068</v>
      </c>
      <c r="M176">
        <f ca="1"/>
        <v>0</v>
      </c>
      <c r="N176">
        <f ca="1"/>
        <v>0</v>
      </c>
      <c r="O176">
        <f ca="1"/>
        <v>0</v>
      </c>
      <c r="P176">
        <f ca="1"/>
        <v>52.744963319311374</v>
      </c>
      <c r="Q176">
        <f ca="1"/>
        <v>43.843420391367133</v>
      </c>
      <c r="R176">
        <f ca="1"/>
        <v>0</v>
      </c>
      <c r="S176">
        <f ca="1"/>
        <v>0.71762979225332479</v>
      </c>
      <c r="T176">
        <f ca="1"/>
        <v>0</v>
      </c>
      <c r="U176">
        <f ca="1"/>
        <v>0</v>
      </c>
      <c r="V176">
        <f ca="1"/>
        <v>0.65746909845406076</v>
      </c>
      <c r="X176" s="2">
        <f t="shared" ca="1" si="15"/>
        <v>44916</v>
      </c>
      <c r="Y176">
        <f t="shared" ca="1" si="16"/>
        <v>0</v>
      </c>
      <c r="AA176" s="63">
        <f t="shared" ca="1" si="18"/>
        <v>107.53379110363133</v>
      </c>
      <c r="AB176" s="63">
        <f t="shared" ca="1" si="19"/>
        <v>107.53379110363133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44917</v>
      </c>
      <c r="K177">
        <f ca="1"/>
        <v>102.49810677323619</v>
      </c>
      <c r="L177">
        <f ca="1"/>
        <v>2.5627187671722282</v>
      </c>
      <c r="M177">
        <f ca="1"/>
        <v>0</v>
      </c>
      <c r="N177">
        <f ca="1"/>
        <v>0</v>
      </c>
      <c r="O177">
        <f ca="1"/>
        <v>0</v>
      </c>
      <c r="P177">
        <f ca="1"/>
        <v>55.307682086483602</v>
      </c>
      <c r="Q177">
        <f ca="1"/>
        <v>45.973640021510292</v>
      </c>
      <c r="R177">
        <f ca="1"/>
        <v>0</v>
      </c>
      <c r="S177">
        <f ca="1"/>
        <v>0.68545436672577542</v>
      </c>
      <c r="T177">
        <f ca="1"/>
        <v>0</v>
      </c>
      <c r="U177">
        <f ca="1"/>
        <v>0</v>
      </c>
      <c r="V177">
        <f ca="1"/>
        <v>0.66988006158294988</v>
      </c>
      <c r="X177" s="2">
        <f t="shared" ca="1" si="15"/>
        <v>44917</v>
      </c>
      <c r="Y177">
        <f t="shared" ca="1" si="16"/>
        <v>0</v>
      </c>
      <c r="AA177" s="63">
        <f t="shared" ca="1" si="18"/>
        <v>105.06082554040842</v>
      </c>
      <c r="AB177" s="63">
        <f t="shared" ca="1" si="19"/>
        <v>105.06082554040842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44918</v>
      </c>
      <c r="K178">
        <f ca="1"/>
        <v>99.962877401836636</v>
      </c>
      <c r="L178">
        <f ca="1"/>
        <v>2.5352293713995522</v>
      </c>
      <c r="M178">
        <f ca="1"/>
        <v>0</v>
      </c>
      <c r="N178">
        <f ca="1"/>
        <v>0</v>
      </c>
      <c r="O178">
        <f ca="1"/>
        <v>0</v>
      </c>
      <c r="P178">
        <f ca="1"/>
        <v>57.842911457883154</v>
      </c>
      <c r="Q178">
        <f ca="1"/>
        <v>48.081009524184985</v>
      </c>
      <c r="R178">
        <f ca="1"/>
        <v>0</v>
      </c>
      <c r="S178">
        <f ca="1"/>
        <v>0.6626561962971006</v>
      </c>
      <c r="T178">
        <f ca="1"/>
        <v>0</v>
      </c>
      <c r="U178">
        <f ca="1"/>
        <v>0</v>
      </c>
      <c r="V178">
        <f ca="1"/>
        <v>0.68106687380364439</v>
      </c>
      <c r="X178" s="2">
        <f t="shared" ca="1" si="15"/>
        <v>44918</v>
      </c>
      <c r="Y178">
        <f t="shared" ca="1" si="16"/>
        <v>0</v>
      </c>
      <c r="AA178" s="63">
        <f t="shared" ca="1" si="18"/>
        <v>102.49810677323619</v>
      </c>
      <c r="AB178" s="63">
        <f t="shared" ca="1" si="19"/>
        <v>102.49810677323619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44919</v>
      </c>
      <c r="K179">
        <f ca="1"/>
        <v>97.35281551010155</v>
      </c>
      <c r="L179">
        <f ca="1"/>
        <v>2.6100618917350786</v>
      </c>
      <c r="M179">
        <f ca="1"/>
        <v>0</v>
      </c>
      <c r="N179">
        <f ca="1"/>
        <v>0</v>
      </c>
      <c r="O179">
        <f ca="1"/>
        <v>0</v>
      </c>
      <c r="P179">
        <f ca="1"/>
        <v>60.452973349618233</v>
      </c>
      <c r="Q179">
        <f ca="1"/>
        <v>50.250582381294748</v>
      </c>
      <c r="R179">
        <f ca="1"/>
        <v>0</v>
      </c>
      <c r="S179">
        <f ca="1"/>
        <v>0.65785780097740443</v>
      </c>
      <c r="T179">
        <f ca="1"/>
        <v>0</v>
      </c>
      <c r="U179">
        <f ca="1"/>
        <v>0</v>
      </c>
      <c r="V179">
        <f ca="1"/>
        <v>0.69156338101787607</v>
      </c>
      <c r="X179" s="2">
        <f t="shared" ca="1" si="15"/>
        <v>44919</v>
      </c>
      <c r="Y179">
        <f t="shared" ca="1" si="16"/>
        <v>0</v>
      </c>
      <c r="AA179" s="63">
        <f t="shared" ca="1" si="18"/>
        <v>99.962877401836636</v>
      </c>
      <c r="AB179" s="63">
        <f t="shared" ca="1" si="19"/>
        <v>99.962877401836636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44920</v>
      </c>
      <c r="K180">
        <f ca="1"/>
        <v>94.648105185693197</v>
      </c>
      <c r="L180">
        <f ca="1"/>
        <v>2.7047103244083601</v>
      </c>
      <c r="M180">
        <f ca="1"/>
        <v>0</v>
      </c>
      <c r="N180">
        <f ca="1"/>
        <v>0</v>
      </c>
      <c r="O180">
        <f ca="1"/>
        <v>0</v>
      </c>
      <c r="P180">
        <f ca="1"/>
        <v>63.157683674026593</v>
      </c>
      <c r="Q180">
        <f ca="1"/>
        <v>52.498830258006983</v>
      </c>
      <c r="R180">
        <f ca="1"/>
        <v>0</v>
      </c>
      <c r="S180">
        <f ca="1"/>
        <v>0.67361824275370097</v>
      </c>
      <c r="T180">
        <f ca="1"/>
        <v>0</v>
      </c>
      <c r="U180">
        <f ca="1"/>
        <v>0</v>
      </c>
      <c r="V180">
        <f ca="1"/>
        <v>0.70145816935055449</v>
      </c>
      <c r="X180" s="2">
        <f t="shared" ca="1" si="15"/>
        <v>44920</v>
      </c>
      <c r="Y180">
        <f t="shared" ca="1" si="16"/>
        <v>0</v>
      </c>
      <c r="AA180" s="63">
        <f t="shared" ca="1" si="18"/>
        <v>97.35281551010155</v>
      </c>
      <c r="AB180" s="63">
        <f t="shared" ca="1" si="19"/>
        <v>97.35281551010155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44921</v>
      </c>
      <c r="K181">
        <f ca="1"/>
        <v>91.972087770836481</v>
      </c>
      <c r="L181">
        <f ca="1"/>
        <v>2.6760174148567231</v>
      </c>
      <c r="M181">
        <f ca="1"/>
        <v>0</v>
      </c>
      <c r="N181">
        <f ca="1"/>
        <v>0</v>
      </c>
      <c r="O181">
        <f ca="1"/>
        <v>0</v>
      </c>
      <c r="P181">
        <f ca="1"/>
        <v>65.833701088883316</v>
      </c>
      <c r="Q181">
        <f ca="1"/>
        <v>54.723227605368997</v>
      </c>
      <c r="R181">
        <f ca="1"/>
        <v>0</v>
      </c>
      <c r="S181">
        <f ca="1"/>
        <v>0.63033798913367645</v>
      </c>
      <c r="T181">
        <f ca="1"/>
        <v>0</v>
      </c>
      <c r="U181">
        <f ca="1"/>
        <v>0</v>
      </c>
      <c r="V181">
        <f ca="1"/>
        <v>0.71036378161312452</v>
      </c>
      <c r="X181" s="2">
        <f t="shared" ca="1" si="15"/>
        <v>44921</v>
      </c>
      <c r="Y181">
        <f t="shared" ca="1" si="16"/>
        <v>0</v>
      </c>
      <c r="AA181" s="63">
        <f t="shared" ca="1" si="18"/>
        <v>94.648105185693197</v>
      </c>
      <c r="AB181" s="63">
        <f t="shared" ca="1" si="19"/>
        <v>94.648105185693197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44922</v>
      </c>
      <c r="K182">
        <f ca="1"/>
        <v>89.253092429468992</v>
      </c>
      <c r="L182">
        <f ca="1"/>
        <v>2.7189953413674885</v>
      </c>
      <c r="M182">
        <f ca="1"/>
        <v>0</v>
      </c>
      <c r="N182">
        <f ca="1"/>
        <v>0</v>
      </c>
      <c r="O182">
        <f ca="1"/>
        <v>0</v>
      </c>
      <c r="P182">
        <f ca="1"/>
        <v>68.552696430250805</v>
      </c>
      <c r="Q182">
        <f ca="1"/>
        <v>56.983349677538449</v>
      </c>
      <c r="R182">
        <f ca="1"/>
        <v>0</v>
      </c>
      <c r="S182">
        <f ca="1"/>
        <v>0.60149334234537932</v>
      </c>
      <c r="T182">
        <f ca="1"/>
        <v>0</v>
      </c>
      <c r="U182">
        <f ca="1"/>
        <v>0</v>
      </c>
      <c r="V182">
        <f ca="1"/>
        <v>0.71860308069326373</v>
      </c>
      <c r="X182" s="2">
        <f t="shared" ca="1" si="15"/>
        <v>44922</v>
      </c>
      <c r="Y182">
        <f t="shared" ca="1" si="16"/>
        <v>0</v>
      </c>
      <c r="AA182" s="63">
        <f t="shared" ca="1" si="18"/>
        <v>91.972087770836481</v>
      </c>
      <c r="AB182" s="63">
        <f t="shared" ca="1" si="19"/>
        <v>91.972087770836481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44923</v>
      </c>
      <c r="K183">
        <f ca="1"/>
        <v>86.333742909905837</v>
      </c>
      <c r="L183">
        <f ca="1"/>
        <v>2.9193495195631556</v>
      </c>
      <c r="M183">
        <f ca="1"/>
        <v>0</v>
      </c>
      <c r="N183">
        <f ca="1"/>
        <v>0</v>
      </c>
      <c r="O183">
        <f ca="1"/>
        <v>0</v>
      </c>
      <c r="P183">
        <f ca="1"/>
        <v>71.47204594981396</v>
      </c>
      <c r="Q183">
        <f ca="1"/>
        <v>59.410013006142584</v>
      </c>
      <c r="R183">
        <f ca="1"/>
        <v>0</v>
      </c>
      <c r="S183">
        <f ca="1"/>
        <v>0.55598204678306873</v>
      </c>
      <c r="T183">
        <f ca="1"/>
        <v>0</v>
      </c>
      <c r="U183">
        <f ca="1"/>
        <v>0</v>
      </c>
      <c r="V183">
        <f ca="1"/>
        <v>0.72663451529500833</v>
      </c>
      <c r="X183" s="2">
        <f t="shared" ca="1" si="15"/>
        <v>44923</v>
      </c>
      <c r="Y183">
        <f t="shared" ca="1" si="16"/>
        <v>0</v>
      </c>
      <c r="AA183" s="63">
        <f t="shared" ca="1" si="18"/>
        <v>89.253092429468992</v>
      </c>
      <c r="AB183" s="63">
        <f t="shared" ca="1" si="19"/>
        <v>89.253092429468992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44924</v>
      </c>
      <c r="K184">
        <f ca="1"/>
        <v>83.324656969532469</v>
      </c>
      <c r="L184">
        <f ca="1"/>
        <v>3.0090859403733674</v>
      </c>
      <c r="M184">
        <f ca="1"/>
        <v>0</v>
      </c>
      <c r="N184">
        <f ca="1"/>
        <v>0</v>
      </c>
      <c r="O184">
        <f ca="1"/>
        <v>0</v>
      </c>
      <c r="P184">
        <f ca="1"/>
        <v>74.481131890187328</v>
      </c>
      <c r="Q184">
        <f ca="1"/>
        <v>61.911268321818177</v>
      </c>
      <c r="R184">
        <f ca="1"/>
        <v>0</v>
      </c>
      <c r="S184">
        <f ca="1"/>
        <v>0.54466253507736928</v>
      </c>
      <c r="T184">
        <f ca="1"/>
        <v>0</v>
      </c>
      <c r="U184">
        <f ca="1"/>
        <v>0</v>
      </c>
      <c r="V184">
        <f ca="1"/>
        <v>0.73412220694126773</v>
      </c>
      <c r="X184" s="2">
        <f t="shared" ca="1" si="15"/>
        <v>44924</v>
      </c>
      <c r="Y184">
        <f t="shared" ca="1" si="16"/>
        <v>0</v>
      </c>
      <c r="AA184" s="63">
        <f t="shared" ca="1" si="18"/>
        <v>86.333742909905837</v>
      </c>
      <c r="AB184" s="63">
        <f t="shared" ca="1" si="19"/>
        <v>86.333742909905837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44925</v>
      </c>
      <c r="K185">
        <f ca="1"/>
        <v>80.360357026829917</v>
      </c>
      <c r="L185">
        <f ca="1"/>
        <v>2.9642999427025529</v>
      </c>
      <c r="M185">
        <f ca="1"/>
        <v>0</v>
      </c>
      <c r="N185">
        <f ca="1"/>
        <v>0</v>
      </c>
      <c r="O185">
        <f ca="1"/>
        <v>0</v>
      </c>
      <c r="P185">
        <f ca="1"/>
        <v>77.445431832889881</v>
      </c>
      <c r="Q185">
        <f ca="1"/>
        <v>64.375295981999145</v>
      </c>
      <c r="R185">
        <f ca="1"/>
        <v>0</v>
      </c>
      <c r="S185">
        <f ca="1"/>
        <v>0.56085184599584748</v>
      </c>
      <c r="T185">
        <f ca="1"/>
        <v>0</v>
      </c>
      <c r="U185">
        <f ca="1"/>
        <v>0</v>
      </c>
      <c r="V185">
        <f ca="1"/>
        <v>0.74079691890209798</v>
      </c>
      <c r="X185" s="2">
        <f t="shared" ca="1" si="15"/>
        <v>44925</v>
      </c>
      <c r="Y185">
        <f t="shared" ca="1" si="16"/>
        <v>0</v>
      </c>
      <c r="AA185" s="63">
        <f t="shared" ca="1" si="18"/>
        <v>83.324656969532469</v>
      </c>
      <c r="AB185" s="63">
        <f t="shared" ca="1" si="19"/>
        <v>83.324656969532469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44926</v>
      </c>
      <c r="K186">
        <f ca="1"/>
        <v>77.476779367833657</v>
      </c>
      <c r="L186">
        <f ca="1"/>
        <v>2.8835776589962592</v>
      </c>
      <c r="M186">
        <f ca="1"/>
        <v>0</v>
      </c>
      <c r="N186">
        <f ca="1"/>
        <v>0</v>
      </c>
      <c r="O186">
        <f ca="1"/>
        <v>0</v>
      </c>
      <c r="P186">
        <f ca="1"/>
        <v>80.32900949188614</v>
      </c>
      <c r="Q186">
        <f ca="1"/>
        <v>66.77222451466605</v>
      </c>
      <c r="R186">
        <f ca="1"/>
        <v>0</v>
      </c>
      <c r="S186">
        <f ca="1"/>
        <v>0.64245865790207746</v>
      </c>
      <c r="T186">
        <f ca="1"/>
        <v>0</v>
      </c>
      <c r="U186">
        <f ca="1"/>
        <v>0</v>
      </c>
      <c r="V186">
        <f ca="1"/>
        <v>0.74669117991342682</v>
      </c>
      <c r="X186" s="2">
        <f t="shared" ca="1" si="15"/>
        <v>44926</v>
      </c>
      <c r="Y186">
        <f t="shared" ca="1" si="16"/>
        <v>0</v>
      </c>
      <c r="AA186" s="63">
        <f t="shared" ca="1" si="18"/>
        <v>80.360357026829917</v>
      </c>
      <c r="AB186" s="63">
        <f t="shared" ca="1" si="19"/>
        <v>80.360357026829917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44927</v>
      </c>
      <c r="K187">
        <f ca="1"/>
        <v>74.641292141240982</v>
      </c>
      <c r="L187">
        <f ca="1"/>
        <v>2.8354872265926758</v>
      </c>
      <c r="M187">
        <f ca="1"/>
        <v>0</v>
      </c>
      <c r="N187">
        <f ca="1"/>
        <v>0</v>
      </c>
      <c r="O187">
        <f ca="1"/>
        <v>0</v>
      </c>
      <c r="P187">
        <f ca="1"/>
        <v>83.164496718478816</v>
      </c>
      <c r="Q187">
        <f ca="1"/>
        <v>69.129178632488674</v>
      </c>
      <c r="R187">
        <f ca="1"/>
        <v>0</v>
      </c>
      <c r="S187">
        <f ca="1"/>
        <v>0.62245051564103726</v>
      </c>
      <c r="T187">
        <f ca="1"/>
        <v>0</v>
      </c>
      <c r="U187">
        <f ca="1"/>
        <v>0</v>
      </c>
      <c r="V187">
        <f ca="1"/>
        <v>0.75196906590121693</v>
      </c>
      <c r="X187" s="2">
        <f t="shared" ca="1" si="15"/>
        <v>44927</v>
      </c>
      <c r="Y187">
        <f t="shared" ca="1" si="16"/>
        <v>0</v>
      </c>
      <c r="AA187" s="63">
        <f t="shared" ca="1" si="18"/>
        <v>77.476779367833657</v>
      </c>
      <c r="AB187" s="63">
        <f t="shared" ca="1" si="19"/>
        <v>77.476779367833657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44928</v>
      </c>
      <c r="K188">
        <f ca="1"/>
        <v>71.741145944789665</v>
      </c>
      <c r="L188">
        <f ca="1"/>
        <v>2.9001461964513169</v>
      </c>
      <c r="M188">
        <f ca="1"/>
        <v>0</v>
      </c>
      <c r="N188">
        <f ca="1"/>
        <v>0</v>
      </c>
      <c r="O188">
        <f ca="1"/>
        <v>0</v>
      </c>
      <c r="P188">
        <f ca="1"/>
        <v>86.064642914930133</v>
      </c>
      <c r="Q188">
        <f ca="1"/>
        <v>71.539879501075418</v>
      </c>
      <c r="R188">
        <f ca="1"/>
        <v>0</v>
      </c>
      <c r="S188">
        <f ca="1"/>
        <v>0.57946921529986295</v>
      </c>
      <c r="T188">
        <f ca="1"/>
        <v>0</v>
      </c>
      <c r="U188">
        <f ca="1"/>
        <v>0</v>
      </c>
      <c r="V188">
        <f ca="1"/>
        <v>0.75688775693907984</v>
      </c>
      <c r="X188" s="2">
        <f t="shared" ca="1" si="15"/>
        <v>44928</v>
      </c>
      <c r="Y188">
        <f t="shared" ca="1" si="16"/>
        <v>0</v>
      </c>
      <c r="AA188" s="63">
        <f t="shared" ca="1" si="18"/>
        <v>74.641292141240982</v>
      </c>
      <c r="AB188" s="63">
        <f t="shared" ca="1" si="19"/>
        <v>74.641292141240982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44929</v>
      </c>
      <c r="K189">
        <f ca="1"/>
        <v>68.907245872866497</v>
      </c>
      <c r="L189">
        <f ca="1"/>
        <v>2.8339000719231677</v>
      </c>
      <c r="M189">
        <f ca="1"/>
        <v>0</v>
      </c>
      <c r="N189">
        <f ca="1"/>
        <v>0</v>
      </c>
      <c r="O189">
        <f ca="1"/>
        <v>0</v>
      </c>
      <c r="P189">
        <f ca="1"/>
        <v>88.8985429868533</v>
      </c>
      <c r="Q189">
        <f ca="1"/>
        <v>73.895514321565713</v>
      </c>
      <c r="R189">
        <f ca="1"/>
        <v>0</v>
      </c>
      <c r="S189">
        <f ca="1"/>
        <v>0.5371022041057022</v>
      </c>
      <c r="T189">
        <f ca="1"/>
        <v>0</v>
      </c>
      <c r="U189">
        <f ca="1"/>
        <v>0</v>
      </c>
      <c r="V189">
        <f ca="1"/>
        <v>0.76127027311713746</v>
      </c>
      <c r="X189" s="2">
        <f t="shared" ca="1" si="15"/>
        <v>44929</v>
      </c>
      <c r="Y189">
        <f t="shared" ca="1" si="16"/>
        <v>0</v>
      </c>
      <c r="AA189" s="63">
        <f t="shared" ca="1" si="18"/>
        <v>71.741145944789665</v>
      </c>
      <c r="AB189" s="63">
        <f t="shared" ca="1" si="19"/>
        <v>71.741145944789665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44930</v>
      </c>
      <c r="K190">
        <f ca="1"/>
        <v>66.054861491192256</v>
      </c>
      <c r="L190">
        <f ca="1"/>
        <v>2.8523843816742414</v>
      </c>
      <c r="M190">
        <f ca="1"/>
        <v>0</v>
      </c>
      <c r="N190">
        <f ca="1"/>
        <v>0</v>
      </c>
      <c r="O190">
        <f ca="1"/>
        <v>0</v>
      </c>
      <c r="P190">
        <f ca="1"/>
        <v>91.750927368527542</v>
      </c>
      <c r="Q190">
        <f ca="1"/>
        <v>76.266513933536729</v>
      </c>
      <c r="R190">
        <f ca="1"/>
        <v>0</v>
      </c>
      <c r="S190">
        <f ca="1"/>
        <v>0.49457216338362392</v>
      </c>
      <c r="T190">
        <f ca="1"/>
        <v>0</v>
      </c>
      <c r="U190">
        <f ca="1"/>
        <v>0</v>
      </c>
      <c r="V190">
        <f ca="1"/>
        <v>0.76529797941181354</v>
      </c>
      <c r="X190" s="2">
        <f t="shared" ca="1" si="15"/>
        <v>44930</v>
      </c>
      <c r="Y190">
        <f t="shared" ca="1" si="16"/>
        <v>0</v>
      </c>
      <c r="AA190" s="63">
        <f t="shared" ca="1" si="18"/>
        <v>68.907245872866497</v>
      </c>
      <c r="AB190" s="63">
        <f t="shared" ca="1" si="19"/>
        <v>68.907245872866497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44931</v>
      </c>
      <c r="K191">
        <f ca="1"/>
        <v>63.332306948457429</v>
      </c>
      <c r="L191">
        <f ca="1"/>
        <v>2.7225545427348266</v>
      </c>
      <c r="M191">
        <f ca="1"/>
        <v>0</v>
      </c>
      <c r="N191">
        <f ca="1"/>
        <v>0</v>
      </c>
      <c r="O191">
        <f ca="1"/>
        <v>0</v>
      </c>
      <c r="P191">
        <f ca="1"/>
        <v>94.473481911262368</v>
      </c>
      <c r="Q191">
        <f ca="1"/>
        <v>78.529594535810006</v>
      </c>
      <c r="R191">
        <f ca="1"/>
        <v>0</v>
      </c>
      <c r="S191">
        <f ca="1"/>
        <v>0.46173461711595409</v>
      </c>
      <c r="T191">
        <f ca="1"/>
        <v>0</v>
      </c>
      <c r="U191">
        <f ca="1"/>
        <v>0</v>
      </c>
      <c r="V191">
        <f ca="1"/>
        <v>0.76881590933543276</v>
      </c>
      <c r="X191" s="2">
        <f t="shared" ca="1" si="15"/>
        <v>44931</v>
      </c>
      <c r="Y191">
        <f t="shared" ca="1" si="16"/>
        <v>0</v>
      </c>
      <c r="AA191" s="63">
        <f t="shared" ca="1" si="18"/>
        <v>66.054861491192256</v>
      </c>
      <c r="AB191" s="63">
        <f t="shared" ca="1" si="19"/>
        <v>66.054861491192256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44932</v>
      </c>
      <c r="K192">
        <f ca="1"/>
        <v>60.639271137745766</v>
      </c>
      <c r="L192">
        <f ca="1"/>
        <v>2.6930358107116632</v>
      </c>
      <c r="M192">
        <f ca="1"/>
        <v>0</v>
      </c>
      <c r="N192">
        <f ca="1"/>
        <v>0</v>
      </c>
      <c r="O192">
        <f ca="1"/>
        <v>0</v>
      </c>
      <c r="P192">
        <f ca="1"/>
        <v>97.166517721974031</v>
      </c>
      <c r="Q192">
        <f ca="1"/>
        <v>80.768138156804611</v>
      </c>
      <c r="R192">
        <f ca="1"/>
        <v>0</v>
      </c>
      <c r="S192">
        <f ca="1"/>
        <v>0.4358476798068957</v>
      </c>
      <c r="T192">
        <f ca="1"/>
        <v>0</v>
      </c>
      <c r="U192">
        <f ca="1"/>
        <v>0</v>
      </c>
      <c r="V192">
        <f ca="1"/>
        <v>0.77200929432954457</v>
      </c>
      <c r="X192" s="2">
        <f t="shared" ca="1" si="15"/>
        <v>44932</v>
      </c>
      <c r="Y192">
        <f t="shared" ca="1" si="16"/>
        <v>0</v>
      </c>
      <c r="AA192" s="63">
        <f t="shared" ca="1" si="18"/>
        <v>63.332306948457429</v>
      </c>
      <c r="AB192" s="63">
        <f t="shared" ca="1" si="19"/>
        <v>63.332306948457429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44933</v>
      </c>
      <c r="K193">
        <f ca="1"/>
        <v>57.909060916376362</v>
      </c>
      <c r="L193">
        <f ca="1"/>
        <v>2.7302102213694042</v>
      </c>
      <c r="M193">
        <f ca="1"/>
        <v>0</v>
      </c>
      <c r="N193">
        <f ca="1"/>
        <v>0</v>
      </c>
      <c r="O193">
        <f ca="1"/>
        <v>0</v>
      </c>
      <c r="P193">
        <f ca="1"/>
        <v>99.896727943343436</v>
      </c>
      <c r="Q193">
        <f ca="1"/>
        <v>83.037582421418961</v>
      </c>
      <c r="R193">
        <f ca="1"/>
        <v>0</v>
      </c>
      <c r="S193">
        <f ca="1"/>
        <v>0.40876103709479289</v>
      </c>
      <c r="T193">
        <f ca="1"/>
        <v>0</v>
      </c>
      <c r="U193">
        <f ca="1"/>
        <v>0</v>
      </c>
      <c r="V193">
        <f ca="1"/>
        <v>0.77498041927639416</v>
      </c>
      <c r="X193" s="2">
        <f t="shared" ca="1" si="15"/>
        <v>44933</v>
      </c>
      <c r="Y193">
        <f t="shared" ca="1" si="16"/>
        <v>0</v>
      </c>
      <c r="AA193" s="63">
        <f t="shared" ca="1" si="18"/>
        <v>60.639271137745766</v>
      </c>
      <c r="AB193" s="63">
        <f t="shared" ca="1" si="19"/>
        <v>60.639271137745766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44934</v>
      </c>
      <c r="K194">
        <f ca="1"/>
        <v>55.199793993885763</v>
      </c>
      <c r="L194">
        <f ca="1"/>
        <v>2.709266922490599</v>
      </c>
      <c r="M194">
        <f ca="1"/>
        <v>0</v>
      </c>
      <c r="N194">
        <f ca="1"/>
        <v>0</v>
      </c>
      <c r="O194">
        <f ca="1"/>
        <v>0</v>
      </c>
      <c r="P194">
        <f ca="1"/>
        <v>102.60599486583403</v>
      </c>
      <c r="Q194">
        <f ca="1"/>
        <v>85.289617898552223</v>
      </c>
      <c r="R194">
        <f ca="1"/>
        <v>0</v>
      </c>
      <c r="S194">
        <f ca="1"/>
        <v>0.40323146294180873</v>
      </c>
      <c r="T194">
        <f ca="1"/>
        <v>0</v>
      </c>
      <c r="U194">
        <f ca="1"/>
        <v>0</v>
      </c>
      <c r="V194">
        <f ca="1"/>
        <v>0.77768544748485335</v>
      </c>
      <c r="X194" s="2">
        <f t="shared" ca="1" si="15"/>
        <v>44934</v>
      </c>
      <c r="Y194">
        <f t="shared" ca="1" si="16"/>
        <v>0</v>
      </c>
      <c r="AA194" s="63">
        <f t="shared" ca="1" si="18"/>
        <v>57.909060916376362</v>
      </c>
      <c r="AB194" s="63">
        <f t="shared" ca="1" si="19"/>
        <v>57.909060916376362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44935</v>
      </c>
      <c r="K195">
        <f ca="1"/>
        <v>52.518524522784531</v>
      </c>
      <c r="L195">
        <f ca="1"/>
        <v>2.6812694711012313</v>
      </c>
      <c r="M195">
        <f ca="1"/>
        <v>0</v>
      </c>
      <c r="N195">
        <f ca="1"/>
        <v>0</v>
      </c>
      <c r="O195">
        <f ca="1"/>
        <v>0</v>
      </c>
      <c r="P195">
        <f ca="1"/>
        <v>105.28726433693527</v>
      </c>
      <c r="Q195">
        <f ca="1"/>
        <v>87.518380934983966</v>
      </c>
      <c r="R195">
        <f ca="1"/>
        <v>0</v>
      </c>
      <c r="S195">
        <f ca="1"/>
        <v>0.40292653724733124</v>
      </c>
      <c r="T195">
        <f ca="1"/>
        <v>0</v>
      </c>
      <c r="U195">
        <f ca="1"/>
        <v>0</v>
      </c>
      <c r="V195">
        <f ca="1"/>
        <v>0.78014307161620633</v>
      </c>
      <c r="X195" s="2">
        <f t="shared" ca="1" si="15"/>
        <v>44935</v>
      </c>
      <c r="Y195">
        <f t="shared" ca="1" si="16"/>
        <v>0</v>
      </c>
      <c r="AA195" s="63">
        <f t="shared" ca="1" si="18"/>
        <v>55.199793993885763</v>
      </c>
      <c r="AB195" s="63">
        <f t="shared" ca="1" si="19"/>
        <v>55.199793993885763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44936</v>
      </c>
      <c r="K196">
        <f ca="1"/>
        <v>49.945784050020521</v>
      </c>
      <c r="L196">
        <f ca="1"/>
        <v>2.5727404727640106</v>
      </c>
      <c r="M196">
        <f ca="1"/>
        <v>0</v>
      </c>
      <c r="N196">
        <f ca="1"/>
        <v>0</v>
      </c>
      <c r="O196">
        <f ca="1"/>
        <v>0</v>
      </c>
      <c r="P196">
        <f ca="1"/>
        <v>107.86000480969928</v>
      </c>
      <c r="Q196">
        <f ca="1"/>
        <v>89.656930950127844</v>
      </c>
      <c r="R196">
        <f ca="1"/>
        <v>0</v>
      </c>
      <c r="S196">
        <f ca="1"/>
        <v>0.37586934111415948</v>
      </c>
      <c r="T196">
        <f ca="1"/>
        <v>0</v>
      </c>
      <c r="U196">
        <f ca="1"/>
        <v>0</v>
      </c>
      <c r="V196">
        <f ca="1"/>
        <v>0.78231181916881554</v>
      </c>
      <c r="X196" s="2">
        <f t="shared" ca="1" si="15"/>
        <v>44936</v>
      </c>
      <c r="Y196">
        <f t="shared" ca="1" si="16"/>
        <v>0</v>
      </c>
      <c r="AA196" s="63">
        <f t="shared" ca="1" si="18"/>
        <v>52.518524522784531</v>
      </c>
      <c r="AB196" s="63">
        <f t="shared" ca="1" si="19"/>
        <v>52.518524522784531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44937</v>
      </c>
      <c r="K197">
        <f ca="1"/>
        <v>47.50138034251961</v>
      </c>
      <c r="L197">
        <f ca="1"/>
        <v>2.4444037075009106</v>
      </c>
      <c r="M197">
        <f ca="1"/>
        <v>0</v>
      </c>
      <c r="N197">
        <f ca="1"/>
        <v>0</v>
      </c>
      <c r="O197">
        <f ca="1"/>
        <v>0</v>
      </c>
      <c r="P197">
        <f ca="1"/>
        <v>110.30440851720019</v>
      </c>
      <c r="Q197">
        <f ca="1"/>
        <v>91.688803049561855</v>
      </c>
      <c r="R197">
        <f ca="1"/>
        <v>0</v>
      </c>
      <c r="S197">
        <f ca="1"/>
        <v>0.35301850086249792</v>
      </c>
      <c r="T197">
        <f ca="1"/>
        <v>0</v>
      </c>
      <c r="U197">
        <f ca="1"/>
        <v>0</v>
      </c>
      <c r="V197">
        <f ca="1"/>
        <v>0.78421309107283077</v>
      </c>
      <c r="X197" s="2">
        <f t="shared" ca="1" si="15"/>
        <v>44937</v>
      </c>
      <c r="Y197">
        <f t="shared" ca="1" si="16"/>
        <v>0</v>
      </c>
      <c r="AA197" s="63">
        <f t="shared" ca="1" si="18"/>
        <v>49.945784050020521</v>
      </c>
      <c r="AB197" s="63">
        <f t="shared" ca="1" si="19"/>
        <v>49.945784050020521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44938</v>
      </c>
      <c r="K198">
        <f ca="1"/>
        <v>45.117150801612738</v>
      </c>
      <c r="L198">
        <f ca="1"/>
        <v>2.3842295409068726</v>
      </c>
      <c r="M198">
        <f ca="1"/>
        <v>0</v>
      </c>
      <c r="N198">
        <f ca="1"/>
        <v>0</v>
      </c>
      <c r="O198">
        <f ca="1"/>
        <v>0</v>
      </c>
      <c r="P198">
        <f ca="1"/>
        <v>112.68863805810706</v>
      </c>
      <c r="Q198">
        <f ca="1"/>
        <v>93.670656320340868</v>
      </c>
      <c r="R198">
        <f ca="1"/>
        <v>0</v>
      </c>
      <c r="S198">
        <f ca="1"/>
        <v>0.32741601108625407</v>
      </c>
      <c r="T198">
        <f ca="1"/>
        <v>0</v>
      </c>
      <c r="U198">
        <f ca="1"/>
        <v>0</v>
      </c>
      <c r="V198">
        <f ca="1"/>
        <v>0.78592829306734502</v>
      </c>
      <c r="X198" s="2">
        <f t="shared" ca="1" si="15"/>
        <v>44938</v>
      </c>
      <c r="Y198">
        <f t="shared" ca="1" si="16"/>
        <v>0</v>
      </c>
      <c r="AA198" s="63">
        <f t="shared" ca="1" si="18"/>
        <v>47.50138034251961</v>
      </c>
      <c r="AB198" s="63">
        <f t="shared" ca="1" si="19"/>
        <v>47.50138034251961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ca="1" si="14"/>
        <v>1</v>
      </c>
      <c r="J199" s="2">
        <f ca="1"/>
        <v>44939</v>
      </c>
      <c r="K199">
        <f ca="1"/>
        <v>42.791401760871437</v>
      </c>
      <c r="L199">
        <f ca="1"/>
        <v>2.3257490407413002</v>
      </c>
      <c r="M199">
        <f ca="1"/>
        <v>0</v>
      </c>
      <c r="N199">
        <f ca="1"/>
        <v>0</v>
      </c>
      <c r="O199">
        <f ca="1"/>
        <v>0</v>
      </c>
      <c r="P199">
        <f ca="1"/>
        <v>115.01438709884836</v>
      </c>
      <c r="Q199">
        <f ca="1"/>
        <v>95.603898596020031</v>
      </c>
      <c r="R199">
        <f ca="1"/>
        <v>0</v>
      </c>
      <c r="S199">
        <f ca="1"/>
        <v>0.34644133343377437</v>
      </c>
      <c r="T199">
        <f ca="1"/>
        <v>0</v>
      </c>
      <c r="U199">
        <f ca="1"/>
        <v>0</v>
      </c>
      <c r="V199">
        <f ca="1"/>
        <v>0.78747750132236627</v>
      </c>
      <c r="X199" s="2">
        <f t="shared" ca="1" si="15"/>
        <v>44939</v>
      </c>
      <c r="Y199">
        <f t="shared" ca="1" si="16"/>
        <v>0</v>
      </c>
      <c r="AA199" s="63">
        <f t="shared" ca="1" si="18"/>
        <v>45.117150801612738</v>
      </c>
      <c r="AB199" s="63">
        <f t="shared" ca="1" si="19"/>
        <v>45.117150801612738</v>
      </c>
      <c r="AC199" s="3">
        <f t="shared" ca="1" si="20"/>
        <v>0</v>
      </c>
    </row>
    <row r="200" spans="8:29">
      <c r="H200" t="b">
        <f t="shared" ca="1" si="17"/>
        <v>1</v>
      </c>
      <c r="I200" t="b">
        <f t="shared" ca="1" si="14"/>
        <v>1</v>
      </c>
      <c r="J200" s="2">
        <f ca="1"/>
        <v>44940</v>
      </c>
      <c r="K200">
        <f ca="1"/>
        <v>40.519719347386754</v>
      </c>
      <c r="L200">
        <f ca="1"/>
        <v>2.2716824134846831</v>
      </c>
      <c r="M200">
        <f ca="1"/>
        <v>0</v>
      </c>
      <c r="N200">
        <f ca="1"/>
        <v>0</v>
      </c>
      <c r="O200">
        <f ca="1"/>
        <v>0</v>
      </c>
      <c r="P200">
        <f ca="1"/>
        <v>117.28606951233304</v>
      </c>
      <c r="Q200">
        <f ca="1"/>
        <v>97.492198838966999</v>
      </c>
      <c r="R200">
        <f ca="1"/>
        <v>0</v>
      </c>
      <c r="S200">
        <f ca="1"/>
        <v>0.34090123968074926</v>
      </c>
      <c r="T200">
        <f ca="1"/>
        <v>0</v>
      </c>
      <c r="U200">
        <f ca="1"/>
        <v>0</v>
      </c>
      <c r="V200">
        <f ca="1"/>
        <v>0.78887983154349894</v>
      </c>
      <c r="X200" s="2">
        <f t="shared" ca="1" si="15"/>
        <v>44940</v>
      </c>
      <c r="Y200">
        <f t="shared" ca="1" si="16"/>
        <v>0</v>
      </c>
      <c r="AA200" s="63">
        <f t="shared" ca="1" si="18"/>
        <v>42.791401760871437</v>
      </c>
      <c r="AB200" s="63">
        <f t="shared" ca="1" si="19"/>
        <v>42.791401760871437</v>
      </c>
      <c r="AC200" s="3">
        <f t="shared" ca="1" si="20"/>
        <v>0</v>
      </c>
    </row>
    <row r="201" spans="8:29">
      <c r="H201" t="b">
        <f t="shared" ca="1" si="17"/>
        <v>1</v>
      </c>
      <c r="I201" t="b">
        <f t="shared" ca="1" si="14"/>
        <v>1</v>
      </c>
      <c r="J201" s="2">
        <f ca="1"/>
        <v>44941</v>
      </c>
      <c r="K201">
        <f ca="1"/>
        <v>38.347033875261019</v>
      </c>
      <c r="L201">
        <f ca="1"/>
        <v>2.1726854721257354</v>
      </c>
      <c r="M201">
        <f ca="1"/>
        <v>0</v>
      </c>
      <c r="N201">
        <f ca="1"/>
        <v>0</v>
      </c>
      <c r="O201">
        <f ca="1"/>
        <v>0</v>
      </c>
      <c r="P201">
        <f ca="1"/>
        <v>119.45875498445878</v>
      </c>
      <c r="Q201">
        <f ca="1"/>
        <v>99.298209432925432</v>
      </c>
      <c r="R201">
        <f ca="1"/>
        <v>0</v>
      </c>
      <c r="S201">
        <f ca="1"/>
        <v>0.32193267309340939</v>
      </c>
      <c r="T201">
        <f ca="1"/>
        <v>0</v>
      </c>
      <c r="U201">
        <f ca="1"/>
        <v>0</v>
      </c>
      <c r="V201">
        <f ca="1"/>
        <v>0.7901245146956406</v>
      </c>
      <c r="X201" s="2">
        <f t="shared" ca="1" si="15"/>
        <v>44941</v>
      </c>
      <c r="Y201">
        <f t="shared" ca="1" si="16"/>
        <v>0</v>
      </c>
      <c r="AA201" s="63">
        <f t="shared" ca="1" si="18"/>
        <v>40.519719347386754</v>
      </c>
      <c r="AB201" s="63">
        <f t="shared" ca="1" si="19"/>
        <v>40.519719347386754</v>
      </c>
      <c r="AC201" s="3">
        <f t="shared" ca="1" si="20"/>
        <v>0</v>
      </c>
    </row>
    <row r="202" spans="8:29">
      <c r="H202" t="b">
        <f t="shared" ca="1" si="17"/>
        <v>1</v>
      </c>
      <c r="I202" t="b">
        <f t="shared" ca="1" si="14"/>
        <v>1</v>
      </c>
      <c r="J202" s="2">
        <f ca="1"/>
        <v>44942</v>
      </c>
      <c r="K202">
        <f ca="1"/>
        <v>36.272067903524203</v>
      </c>
      <c r="L202">
        <f ca="1"/>
        <v>2.0749659717368161</v>
      </c>
      <c r="M202">
        <f ca="1"/>
        <v>0</v>
      </c>
      <c r="N202">
        <f ca="1"/>
        <v>0</v>
      </c>
      <c r="O202">
        <f ca="1"/>
        <v>0</v>
      </c>
      <c r="P202">
        <f ca="1"/>
        <v>121.53372095619559</v>
      </c>
      <c r="Q202">
        <f ca="1"/>
        <v>101.02299223059079</v>
      </c>
      <c r="R202">
        <f ca="1"/>
        <v>0</v>
      </c>
      <c r="S202">
        <f ca="1"/>
        <v>0.33082407204506981</v>
      </c>
      <c r="T202">
        <f ca="1"/>
        <v>0</v>
      </c>
      <c r="U202">
        <f ca="1"/>
        <v>0</v>
      </c>
      <c r="V202">
        <f ca="1"/>
        <v>0.79122990128880855</v>
      </c>
      <c r="X202" s="2">
        <f t="shared" ca="1" si="15"/>
        <v>44942</v>
      </c>
      <c r="Y202">
        <f t="shared" ca="1" si="16"/>
        <v>0</v>
      </c>
      <c r="AA202" s="63">
        <f t="shared" ca="1" si="18"/>
        <v>38.347033875261019</v>
      </c>
      <c r="AB202" s="63">
        <f t="shared" ca="1" si="19"/>
        <v>38.347033875261019</v>
      </c>
      <c r="AC202" s="3">
        <f t="shared" ca="1" si="20"/>
        <v>0</v>
      </c>
    </row>
    <row r="203" spans="8:29">
      <c r="H203" t="b">
        <f t="shared" ca="1" si="17"/>
        <v>1</v>
      </c>
      <c r="I203" t="b">
        <f t="shared" ref="I203:I266" ca="1" si="21">AND(IF(J203&gt;($J$7-1),TRUE,FALSE),IF(J203&lt;($J$8+1),TRUE,FALSE))</f>
        <v>1</v>
      </c>
      <c r="J203" s="2">
        <f ca="1"/>
        <v>44943</v>
      </c>
      <c r="K203">
        <f ca="1"/>
        <v>34.322939607575776</v>
      </c>
      <c r="L203">
        <f ca="1"/>
        <v>1.9491282959484266</v>
      </c>
      <c r="M203">
        <f ca="1"/>
        <v>0</v>
      </c>
      <c r="N203">
        <f ca="1"/>
        <v>0</v>
      </c>
      <c r="O203">
        <f ca="1"/>
        <v>0</v>
      </c>
      <c r="P203">
        <f ca="1"/>
        <v>123.48284925214402</v>
      </c>
      <c r="Q203">
        <f ca="1"/>
        <v>102.64317444132877</v>
      </c>
      <c r="R203">
        <f ca="1"/>
        <v>0</v>
      </c>
      <c r="S203">
        <f ca="1"/>
        <v>0.33559229451472761</v>
      </c>
      <c r="T203">
        <f ca="1"/>
        <v>0</v>
      </c>
      <c r="U203">
        <f ca="1"/>
        <v>0</v>
      </c>
      <c r="V203">
        <f ca="1"/>
        <v>0.79219782612025835</v>
      </c>
      <c r="X203" s="2">
        <f t="shared" ref="X203:X266" ca="1" si="22">IFERROR(J203,$X$9)</f>
        <v>44943</v>
      </c>
      <c r="Y203">
        <f t="shared" ref="Y203:Y266" ca="1" si="23">IFERROR(O203,0)</f>
        <v>0</v>
      </c>
      <c r="AA203" s="63">
        <f t="shared" ca="1" si="18"/>
        <v>36.272067903524203</v>
      </c>
      <c r="AB203" s="63">
        <f t="shared" ca="1" si="19"/>
        <v>36.272067903524203</v>
      </c>
      <c r="AC203" s="3">
        <f t="shared" ca="1" si="20"/>
        <v>0</v>
      </c>
    </row>
    <row r="204" spans="8:29">
      <c r="H204" t="b">
        <f t="shared" ref="H204:H267" ca="1" si="24">IF(J204&lt;$J$8,TRUE,FALSE)</f>
        <v>1</v>
      </c>
      <c r="I204" t="b">
        <f t="shared" ca="1" si="21"/>
        <v>1</v>
      </c>
      <c r="J204" s="2">
        <f ca="1"/>
        <v>44944</v>
      </c>
      <c r="K204">
        <f ca="1"/>
        <v>32.458285446021208</v>
      </c>
      <c r="L204">
        <f ca="1"/>
        <v>1.8646541615545686</v>
      </c>
      <c r="M204">
        <f ca="1"/>
        <v>0</v>
      </c>
      <c r="N204">
        <f ca="1"/>
        <v>0</v>
      </c>
      <c r="O204">
        <f ca="1"/>
        <v>0</v>
      </c>
      <c r="P204">
        <f ca="1"/>
        <v>125.34750341369859</v>
      </c>
      <c r="Q204">
        <f ca="1"/>
        <v>104.19313885773433</v>
      </c>
      <c r="R204">
        <f ca="1"/>
        <v>0</v>
      </c>
      <c r="S204">
        <f ca="1"/>
        <v>0.33013057115020472</v>
      </c>
      <c r="T204">
        <f ca="1"/>
        <v>0</v>
      </c>
      <c r="U204">
        <f ca="1"/>
        <v>0</v>
      </c>
      <c r="V204">
        <f ca="1"/>
        <v>0.79306288988171336</v>
      </c>
      <c r="X204" s="2">
        <f t="shared" ca="1" si="22"/>
        <v>44944</v>
      </c>
      <c r="Y204">
        <f t="shared" ca="1" si="23"/>
        <v>0</v>
      </c>
      <c r="AA204" s="63">
        <f t="shared" ca="1" si="18"/>
        <v>34.322939607575776</v>
      </c>
      <c r="AB204" s="63">
        <f t="shared" ca="1" si="19"/>
        <v>34.322939607575776</v>
      </c>
      <c r="AC204" s="3">
        <f t="shared" ca="1" si="20"/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44945</v>
      </c>
      <c r="K205">
        <f ca="1"/>
        <v>30.647437610900496</v>
      </c>
      <c r="L205">
        <f ca="1"/>
        <v>1.8108478351207111</v>
      </c>
      <c r="M205">
        <f ca="1"/>
        <v>0</v>
      </c>
      <c r="N205">
        <f ca="1"/>
        <v>0</v>
      </c>
      <c r="O205">
        <f ca="1"/>
        <v>0</v>
      </c>
      <c r="P205">
        <f ca="1"/>
        <v>127.1583512488193</v>
      </c>
      <c r="Q205">
        <f ca="1"/>
        <v>105.69837761236869</v>
      </c>
      <c r="R205">
        <f ca="1"/>
        <v>0</v>
      </c>
      <c r="S205">
        <f ca="1"/>
        <v>0.32618265313657557</v>
      </c>
      <c r="T205">
        <f ca="1"/>
        <v>0</v>
      </c>
      <c r="U205">
        <f ca="1"/>
        <v>0</v>
      </c>
      <c r="V205">
        <f ca="1"/>
        <v>0.79384839395490214</v>
      </c>
      <c r="X205" s="2">
        <f t="shared" ca="1" si="22"/>
        <v>44945</v>
      </c>
      <c r="Y205">
        <f t="shared" ca="1" si="23"/>
        <v>0</v>
      </c>
      <c r="AA205" s="63">
        <f ca="1">K204+M205+N205+O205</f>
        <v>32.458285446021208</v>
      </c>
      <c r="AB205" s="63">
        <f ca="1">K205+L205+R205</f>
        <v>32.458285446021208</v>
      </c>
      <c r="AC205" s="3">
        <f ca="1">AB205-AA205</f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44946</v>
      </c>
      <c r="K206">
        <f ca="1"/>
        <v>28.938596546979312</v>
      </c>
      <c r="L206">
        <f ca="1"/>
        <v>1.7088410639211844</v>
      </c>
      <c r="M206">
        <f ca="1"/>
        <v>0</v>
      </c>
      <c r="N206">
        <f ca="1"/>
        <v>0</v>
      </c>
      <c r="O206">
        <f ca="1"/>
        <v>0</v>
      </c>
      <c r="P206">
        <f ca="1"/>
        <v>128.86719231274049</v>
      </c>
      <c r="Q206">
        <f ca="1"/>
        <v>107.11882484434346</v>
      </c>
      <c r="R206">
        <f ca="1"/>
        <v>0</v>
      </c>
      <c r="S206">
        <f ca="1"/>
        <v>0.30487528322519031</v>
      </c>
      <c r="T206">
        <f ca="1"/>
        <v>0</v>
      </c>
      <c r="U206">
        <f ca="1"/>
        <v>0</v>
      </c>
      <c r="V206">
        <f ca="1"/>
        <v>0.79454222534371211</v>
      </c>
      <c r="X206" s="2">
        <f t="shared" ca="1" si="22"/>
        <v>44946</v>
      </c>
      <c r="Y206">
        <f t="shared" ca="1" si="23"/>
        <v>0</v>
      </c>
      <c r="AA206" s="63">
        <f ca="1">K205+M206+N206+O206</f>
        <v>30.647437610900496</v>
      </c>
      <c r="AB206" s="63">
        <f ca="1">K206+L206+R206</f>
        <v>30.647437610900496</v>
      </c>
      <c r="AC206" s="3">
        <f ca="1">AB206-AA206</f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44947</v>
      </c>
      <c r="K207">
        <f ca="1"/>
        <v>27.294030051663725</v>
      </c>
      <c r="L207">
        <f ca="1"/>
        <v>1.644566495315587</v>
      </c>
      <c r="M207">
        <f ca="1"/>
        <v>0</v>
      </c>
      <c r="N207">
        <f ca="1"/>
        <v>0</v>
      </c>
      <c r="O207">
        <f ca="1"/>
        <v>0</v>
      </c>
      <c r="P207">
        <f ca="1"/>
        <v>130.51175880805607</v>
      </c>
      <c r="Q207">
        <f ca="1"/>
        <v>108.48584485304409</v>
      </c>
      <c r="R207">
        <f ca="1"/>
        <v>0</v>
      </c>
      <c r="S207">
        <f ca="1"/>
        <v>0.39780017294840597</v>
      </c>
      <c r="T207">
        <f ca="1"/>
        <v>0</v>
      </c>
      <c r="U207">
        <f ca="1"/>
        <v>0</v>
      </c>
      <c r="V207">
        <f ca="1"/>
        <v>0.79516801426200256</v>
      </c>
      <c r="X207" s="2">
        <f t="shared" ca="1" si="22"/>
        <v>44947</v>
      </c>
      <c r="Y207">
        <f t="shared" ca="1" si="23"/>
        <v>0</v>
      </c>
      <c r="AA207" s="63">
        <f ca="1">K206+M207+N207+O207</f>
        <v>28.938596546979312</v>
      </c>
      <c r="AB207" s="63">
        <f ca="1">K207+L207+R207</f>
        <v>28.938596546979312</v>
      </c>
      <c r="AC207" s="3">
        <f ca="1">AB207-AA207</f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44948</v>
      </c>
      <c r="K208">
        <f ca="1"/>
        <v>25.731147518226635</v>
      </c>
      <c r="L208">
        <f ca="1"/>
        <v>1.5628825334370902</v>
      </c>
      <c r="M208">
        <f ca="1"/>
        <v>0</v>
      </c>
      <c r="N208">
        <f ca="1"/>
        <v>0</v>
      </c>
      <c r="O208">
        <f ca="1"/>
        <v>0</v>
      </c>
      <c r="P208">
        <f ca="1"/>
        <v>132.07464134149316</v>
      </c>
      <c r="Q208">
        <f ca="1"/>
        <v>109.78496635438978</v>
      </c>
      <c r="R208">
        <f ca="1"/>
        <v>0</v>
      </c>
      <c r="S208">
        <f ca="1"/>
        <v>0.40979982425501332</v>
      </c>
      <c r="T208">
        <f ca="1"/>
        <v>0</v>
      </c>
      <c r="U208">
        <f ca="1"/>
        <v>0</v>
      </c>
      <c r="V208">
        <f ca="1"/>
        <v>0.79930351333604954</v>
      </c>
      <c r="X208" s="2">
        <f t="shared" ca="1" si="22"/>
        <v>44948</v>
      </c>
      <c r="Y208">
        <f t="shared" ca="1" si="23"/>
        <v>0</v>
      </c>
      <c r="AA208" s="63">
        <f t="shared" ref="AA208:AA271" ca="1" si="25">K207+M208+N208+O208</f>
        <v>27.294030051663725</v>
      </c>
      <c r="AB208" s="63">
        <f t="shared" ref="AB208:AB271" ca="1" si="26">K208+L208+R208</f>
        <v>27.294030051663725</v>
      </c>
      <c r="AC208" s="3">
        <f t="shared" ref="AC208:AC271" ca="1" si="27">AB208-AA208</f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44949</v>
      </c>
      <c r="K209">
        <f ca="1"/>
        <v>24.256132315286635</v>
      </c>
      <c r="L209">
        <f ca="1"/>
        <v>1.4750152029399999</v>
      </c>
      <c r="M209">
        <f ca="1"/>
        <v>0</v>
      </c>
      <c r="N209">
        <f ca="1"/>
        <v>0</v>
      </c>
      <c r="O209">
        <f ca="1"/>
        <v>0</v>
      </c>
      <c r="P209">
        <f ca="1"/>
        <v>133.54965654443316</v>
      </c>
      <c r="Q209">
        <f ca="1"/>
        <v>111.01104952056157</v>
      </c>
      <c r="R209">
        <f ca="1"/>
        <v>0</v>
      </c>
      <c r="S209">
        <f ca="1"/>
        <v>0.39963107007794496</v>
      </c>
      <c r="T209">
        <f ca="1"/>
        <v>0</v>
      </c>
      <c r="U209">
        <f ca="1"/>
        <v>0</v>
      </c>
      <c r="V209">
        <f ca="1"/>
        <v>0.77861662404549703</v>
      </c>
      <c r="X209" s="2">
        <f t="shared" ca="1" si="22"/>
        <v>44949</v>
      </c>
      <c r="Y209">
        <f t="shared" ca="1" si="23"/>
        <v>0</v>
      </c>
      <c r="AA209" s="63">
        <f t="shared" ca="1" si="25"/>
        <v>25.731147518226635</v>
      </c>
      <c r="AB209" s="63">
        <f t="shared" ca="1" si="26"/>
        <v>25.731147518226635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44950</v>
      </c>
      <c r="K210">
        <f ca="1"/>
        <v>22.864450815728219</v>
      </c>
      <c r="L210">
        <f ca="1"/>
        <v>1.3916814995584161</v>
      </c>
      <c r="M210">
        <f ca="1"/>
        <v>0</v>
      </c>
      <c r="N210">
        <f ca="1"/>
        <v>0</v>
      </c>
      <c r="O210">
        <f ca="1"/>
        <v>0</v>
      </c>
      <c r="P210">
        <f ca="1"/>
        <v>134.94133804399158</v>
      </c>
      <c r="Q210">
        <f ca="1"/>
        <v>112.16786285772598</v>
      </c>
      <c r="R210">
        <f ca="1"/>
        <v>0</v>
      </c>
      <c r="S210">
        <f ca="1"/>
        <v>0.40534320055456652</v>
      </c>
      <c r="T210">
        <f ca="1"/>
        <v>0</v>
      </c>
      <c r="U210">
        <f ca="1"/>
        <v>0</v>
      </c>
      <c r="V210">
        <f ca="1"/>
        <v>0.75787075574057372</v>
      </c>
      <c r="X210" s="2">
        <f t="shared" ca="1" si="22"/>
        <v>44950</v>
      </c>
      <c r="Y210">
        <f t="shared" ca="1" si="23"/>
        <v>0</v>
      </c>
      <c r="AA210" s="63">
        <f t="shared" ca="1" si="25"/>
        <v>24.256132315286635</v>
      </c>
      <c r="AB210" s="63">
        <f t="shared" ca="1" si="26"/>
        <v>24.256132315286635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44951</v>
      </c>
      <c r="K211">
        <f ca="1"/>
        <v>21.536513670663311</v>
      </c>
      <c r="L211">
        <f ca="1"/>
        <v>1.327937145064908</v>
      </c>
      <c r="M211">
        <f ca="1"/>
        <v>0</v>
      </c>
      <c r="N211">
        <f ca="1"/>
        <v>0</v>
      </c>
      <c r="O211">
        <f ca="1"/>
        <v>0</v>
      </c>
      <c r="P211">
        <f ca="1"/>
        <v>136.26927518905649</v>
      </c>
      <c r="Q211">
        <f ca="1"/>
        <v>113.27168970374971</v>
      </c>
      <c r="R211">
        <f ca="1"/>
        <v>0</v>
      </c>
      <c r="S211">
        <f ca="1"/>
        <v>0.41341720480295946</v>
      </c>
      <c r="T211">
        <f ca="1"/>
        <v>0</v>
      </c>
      <c r="U211">
        <f ca="1"/>
        <v>0</v>
      </c>
      <c r="V211">
        <f ca="1"/>
        <v>0.73678575810301838</v>
      </c>
      <c r="X211" s="2">
        <f t="shared" ca="1" si="22"/>
        <v>44951</v>
      </c>
      <c r="Y211">
        <f t="shared" ca="1" si="23"/>
        <v>0</v>
      </c>
      <c r="AA211" s="63">
        <f t="shared" ca="1" si="25"/>
        <v>22.864450815728219</v>
      </c>
      <c r="AB211" s="63">
        <f t="shared" ca="1" si="26"/>
        <v>22.864450815728219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44952</v>
      </c>
      <c r="K212">
        <f ca="1"/>
        <v>20.282126376175057</v>
      </c>
      <c r="L212">
        <f ca="1"/>
        <v>1.2543872944882537</v>
      </c>
      <c r="M212">
        <f ca="1"/>
        <v>0</v>
      </c>
      <c r="N212">
        <f ca="1"/>
        <v>0</v>
      </c>
      <c r="O212">
        <f ca="1"/>
        <v>0</v>
      </c>
      <c r="P212">
        <f ca="1"/>
        <v>137.52366248354474</v>
      </c>
      <c r="Q212">
        <f ca="1"/>
        <v>114.31437939438226</v>
      </c>
      <c r="R212">
        <f ca="1"/>
        <v>0</v>
      </c>
      <c r="S212">
        <f ca="1"/>
        <v>0.38323680722259906</v>
      </c>
      <c r="T212">
        <f ca="1"/>
        <v>0</v>
      </c>
      <c r="U212">
        <f ca="1"/>
        <v>0</v>
      </c>
      <c r="V212">
        <f ca="1"/>
        <v>0.71552382342235044</v>
      </c>
      <c r="X212" s="2">
        <f t="shared" ca="1" si="22"/>
        <v>44952</v>
      </c>
      <c r="Y212">
        <f t="shared" ca="1" si="23"/>
        <v>0</v>
      </c>
      <c r="AA212" s="63">
        <f t="shared" ca="1" si="25"/>
        <v>21.536513670663311</v>
      </c>
      <c r="AB212" s="63">
        <f t="shared" ca="1" si="26"/>
        <v>21.536513670663311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44953</v>
      </c>
      <c r="K213">
        <f ca="1"/>
        <v>19.134985845182229</v>
      </c>
      <c r="L213">
        <f ca="1"/>
        <v>1.1471405309928286</v>
      </c>
      <c r="M213">
        <f ca="1"/>
        <v>0</v>
      </c>
      <c r="N213">
        <f ca="1"/>
        <v>0</v>
      </c>
      <c r="O213">
        <f ca="1"/>
        <v>0</v>
      </c>
      <c r="P213">
        <f ca="1"/>
        <v>138.67080301453757</v>
      </c>
      <c r="Q213">
        <f ca="1"/>
        <v>115.26792190125288</v>
      </c>
      <c r="R213">
        <f ca="1"/>
        <v>0</v>
      </c>
      <c r="S213">
        <f ca="1"/>
        <v>0.37675171447108974</v>
      </c>
      <c r="T213">
        <f ca="1"/>
        <v>0</v>
      </c>
      <c r="U213">
        <f ca="1"/>
        <v>0</v>
      </c>
      <c r="V213">
        <f ca="1"/>
        <v>0.69474846561024162</v>
      </c>
      <c r="X213" s="2">
        <f t="shared" ca="1" si="22"/>
        <v>44953</v>
      </c>
      <c r="Y213">
        <f t="shared" ca="1" si="23"/>
        <v>0</v>
      </c>
      <c r="AA213" s="63">
        <f t="shared" ca="1" si="25"/>
        <v>20.282126376175057</v>
      </c>
      <c r="AB213" s="63">
        <f t="shared" ca="1" si="26"/>
        <v>20.282126376175057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44954</v>
      </c>
      <c r="K214">
        <f ca="1"/>
        <v>18.050084710173223</v>
      </c>
      <c r="L214">
        <f ca="1"/>
        <v>1.0849011350090052</v>
      </c>
      <c r="M214">
        <f ca="1"/>
        <v>0</v>
      </c>
      <c r="N214">
        <f ca="1"/>
        <v>0</v>
      </c>
      <c r="O214">
        <f ca="1"/>
        <v>0</v>
      </c>
      <c r="P214">
        <f ca="1"/>
        <v>139.75570414954657</v>
      </c>
      <c r="Q214">
        <f ca="1"/>
        <v>116.1697288900513</v>
      </c>
      <c r="R214">
        <f ca="1"/>
        <v>0</v>
      </c>
      <c r="S214">
        <f ca="1"/>
        <v>0.35756114382059678</v>
      </c>
      <c r="T214">
        <f ca="1"/>
        <v>0</v>
      </c>
      <c r="U214">
        <f ca="1"/>
        <v>0</v>
      </c>
      <c r="V214">
        <f ca="1"/>
        <v>0.67373719174064972</v>
      </c>
      <c r="X214" s="2">
        <f t="shared" ca="1" si="22"/>
        <v>44954</v>
      </c>
      <c r="Y214">
        <f t="shared" ca="1" si="23"/>
        <v>0</v>
      </c>
      <c r="AA214" s="63">
        <f t="shared" ca="1" si="25"/>
        <v>19.134985845182229</v>
      </c>
      <c r="AB214" s="63">
        <f t="shared" ca="1" si="26"/>
        <v>19.134985845182229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44955</v>
      </c>
      <c r="K215">
        <f ca="1"/>
        <v>17.020683895651729</v>
      </c>
      <c r="L215">
        <f ca="1"/>
        <v>1.0294008145214946</v>
      </c>
      <c r="M215">
        <f ca="1"/>
        <v>0</v>
      </c>
      <c r="N215">
        <f ca="1"/>
        <v>0</v>
      </c>
      <c r="O215">
        <f ca="1"/>
        <v>0</v>
      </c>
      <c r="P215">
        <f ca="1"/>
        <v>140.78510496406807</v>
      </c>
      <c r="Q215">
        <f ca="1"/>
        <v>117.02540211119009</v>
      </c>
      <c r="R215">
        <f ca="1"/>
        <v>0</v>
      </c>
      <c r="S215">
        <f ca="1"/>
        <v>0.34471602063841017</v>
      </c>
      <c r="T215">
        <f ca="1"/>
        <v>0</v>
      </c>
      <c r="U215">
        <f ca="1"/>
        <v>0</v>
      </c>
      <c r="V215">
        <f ca="1"/>
        <v>0.65237204378483316</v>
      </c>
      <c r="X215" s="2">
        <f t="shared" ca="1" si="22"/>
        <v>44955</v>
      </c>
      <c r="Y215">
        <f t="shared" ca="1" si="23"/>
        <v>0</v>
      </c>
      <c r="AA215" s="63">
        <f t="shared" ca="1" si="25"/>
        <v>18.050084710173223</v>
      </c>
      <c r="AB215" s="63">
        <f t="shared" ca="1" si="26"/>
        <v>18.050084710173223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44956</v>
      </c>
      <c r="K216">
        <f ca="1"/>
        <v>16.046461010791774</v>
      </c>
      <c r="L216">
        <f ca="1"/>
        <v>0.97422288485995523</v>
      </c>
      <c r="M216">
        <f ca="1"/>
        <v>0</v>
      </c>
      <c r="N216">
        <f ca="1"/>
        <v>0</v>
      </c>
      <c r="O216">
        <f ca="1"/>
        <v>0</v>
      </c>
      <c r="P216">
        <f ca="1"/>
        <v>141.75932784892802</v>
      </c>
      <c r="Q216">
        <f ca="1"/>
        <v>117.83520954696786</v>
      </c>
      <c r="R216">
        <f ca="1"/>
        <v>0</v>
      </c>
      <c r="S216">
        <f ca="1"/>
        <v>0.34861038221418705</v>
      </c>
      <c r="T216">
        <f ca="1"/>
        <v>0</v>
      </c>
      <c r="U216">
        <f ca="1"/>
        <v>0</v>
      </c>
      <c r="V216">
        <f ca="1"/>
        <v>0.6306530217427917</v>
      </c>
      <c r="X216" s="2">
        <f t="shared" ca="1" si="22"/>
        <v>44956</v>
      </c>
      <c r="Y216">
        <f t="shared" ca="1" si="23"/>
        <v>0</v>
      </c>
      <c r="AA216" s="63">
        <f t="shared" ca="1" si="25"/>
        <v>17.020683895651729</v>
      </c>
      <c r="AB216" s="63">
        <f t="shared" ca="1" si="26"/>
        <v>17.020683895651729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44957</v>
      </c>
      <c r="K217">
        <f ca="1"/>
        <v>15.144563118959098</v>
      </c>
      <c r="L217">
        <f ca="1"/>
        <v>0.90189789183267521</v>
      </c>
      <c r="M217">
        <f ca="1"/>
        <v>0</v>
      </c>
      <c r="N217">
        <f ca="1"/>
        <v>0</v>
      </c>
      <c r="O217">
        <f ca="1"/>
        <v>0</v>
      </c>
      <c r="P217">
        <f ca="1"/>
        <v>142.6612257407607</v>
      </c>
      <c r="Q217">
        <f ca="1"/>
        <v>118.5848979709094</v>
      </c>
      <c r="R217">
        <f ca="1"/>
        <v>0</v>
      </c>
      <c r="S217">
        <f ca="1"/>
        <v>0.34678375162939018</v>
      </c>
      <c r="T217">
        <f ca="1"/>
        <v>0</v>
      </c>
      <c r="U217">
        <f ca="1"/>
        <v>0</v>
      </c>
      <c r="V217">
        <f ca="1"/>
        <v>0.60902246822230643</v>
      </c>
      <c r="X217" s="2">
        <f t="shared" ca="1" si="22"/>
        <v>44957</v>
      </c>
      <c r="Y217">
        <f t="shared" ca="1" si="23"/>
        <v>0</v>
      </c>
      <c r="AA217" s="63">
        <f t="shared" ca="1" si="25"/>
        <v>16.046461010791774</v>
      </c>
      <c r="AB217" s="63">
        <f t="shared" ca="1" si="26"/>
        <v>16.046461010791774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44958</v>
      </c>
      <c r="K218">
        <f ca="1"/>
        <v>14.30143110521422</v>
      </c>
      <c r="L218">
        <f ca="1"/>
        <v>0.8431320137448779</v>
      </c>
      <c r="M218">
        <f ca="1"/>
        <v>0</v>
      </c>
      <c r="N218">
        <f ca="1"/>
        <v>0</v>
      </c>
      <c r="O218">
        <f ca="1"/>
        <v>0</v>
      </c>
      <c r="P218">
        <f ca="1"/>
        <v>143.50435775450558</v>
      </c>
      <c r="Q218">
        <f ca="1"/>
        <v>119.28573818384592</v>
      </c>
      <c r="R218">
        <f ca="1"/>
        <v>0</v>
      </c>
      <c r="S218">
        <f ca="1"/>
        <v>0.31896903666470305</v>
      </c>
      <c r="T218">
        <f ca="1"/>
        <v>0</v>
      </c>
      <c r="U218">
        <f ca="1"/>
        <v>0</v>
      </c>
      <c r="V218">
        <f ca="1"/>
        <v>0.58724446716589429</v>
      </c>
      <c r="X218" s="2">
        <f t="shared" ca="1" si="22"/>
        <v>44958</v>
      </c>
      <c r="Y218">
        <f t="shared" ca="1" si="23"/>
        <v>0</v>
      </c>
      <c r="AA218" s="63">
        <f t="shared" ca="1" si="25"/>
        <v>15.144563118959098</v>
      </c>
      <c r="AB218" s="63">
        <f t="shared" ca="1" si="26"/>
        <v>15.144563118959098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44959</v>
      </c>
      <c r="K219">
        <f ca="1"/>
        <v>13.530731970836655</v>
      </c>
      <c r="L219">
        <f ca="1"/>
        <v>0.77069913437756554</v>
      </c>
      <c r="M219">
        <f ca="1"/>
        <v>0</v>
      </c>
      <c r="N219">
        <f ca="1"/>
        <v>0</v>
      </c>
      <c r="O219">
        <f ca="1"/>
        <v>0</v>
      </c>
      <c r="P219">
        <f ca="1"/>
        <v>144.27505688888314</v>
      </c>
      <c r="Q219">
        <f ca="1"/>
        <v>119.92636970612452</v>
      </c>
      <c r="R219">
        <f ca="1"/>
        <v>0</v>
      </c>
      <c r="S219">
        <f ca="1"/>
        <v>0.33882938111321748</v>
      </c>
      <c r="T219">
        <f ca="1"/>
        <v>0</v>
      </c>
      <c r="U219">
        <f ca="1"/>
        <v>0</v>
      </c>
      <c r="V219">
        <f ca="1"/>
        <v>0.56579085068852153</v>
      </c>
      <c r="X219" s="2">
        <f t="shared" ca="1" si="22"/>
        <v>44959</v>
      </c>
      <c r="Y219">
        <f t="shared" ca="1" si="23"/>
        <v>0</v>
      </c>
      <c r="AA219" s="63">
        <f t="shared" ca="1" si="25"/>
        <v>14.30143110521422</v>
      </c>
      <c r="AB219" s="63">
        <f t="shared" ca="1" si="26"/>
        <v>14.30143110521422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44960</v>
      </c>
      <c r="K220">
        <f ca="1"/>
        <v>12.826213758482112</v>
      </c>
      <c r="L220">
        <f ca="1"/>
        <v>0.70451821235454304</v>
      </c>
      <c r="M220">
        <f ca="1"/>
        <v>0</v>
      </c>
      <c r="N220">
        <f ca="1"/>
        <v>0</v>
      </c>
      <c r="O220">
        <f ca="1"/>
        <v>0</v>
      </c>
      <c r="P220">
        <f ca="1"/>
        <v>144.97957510123769</v>
      </c>
      <c r="Q220">
        <f ca="1"/>
        <v>120.51198937886255</v>
      </c>
      <c r="R220">
        <f ca="1"/>
        <v>0</v>
      </c>
      <c r="S220">
        <f ca="1"/>
        <v>0.31013975492152773</v>
      </c>
      <c r="T220">
        <f ca="1"/>
        <v>0</v>
      </c>
      <c r="U220">
        <f ca="1"/>
        <v>0</v>
      </c>
      <c r="V220">
        <f ca="1"/>
        <v>0.54466161879018815</v>
      </c>
      <c r="X220" s="2">
        <f t="shared" ca="1" si="22"/>
        <v>44960</v>
      </c>
      <c r="Y220">
        <f t="shared" ca="1" si="23"/>
        <v>0</v>
      </c>
      <c r="AA220" s="63">
        <f t="shared" ca="1" si="25"/>
        <v>13.530731970836655</v>
      </c>
      <c r="AB220" s="63">
        <f t="shared" ca="1" si="26"/>
        <v>13.530731970836655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44961</v>
      </c>
      <c r="K221">
        <f ca="1"/>
        <v>12.199718169065278</v>
      </c>
      <c r="L221">
        <f ca="1"/>
        <v>0.62649558941683381</v>
      </c>
      <c r="M221">
        <f ca="1"/>
        <v>0</v>
      </c>
      <c r="N221">
        <f ca="1"/>
        <v>0</v>
      </c>
      <c r="O221">
        <f ca="1"/>
        <v>0</v>
      </c>
      <c r="P221">
        <f ca="1"/>
        <v>145.60607069065452</v>
      </c>
      <c r="Q221">
        <f ca="1"/>
        <v>121.03275397459944</v>
      </c>
      <c r="R221">
        <f ca="1"/>
        <v>0</v>
      </c>
      <c r="S221">
        <f ca="1"/>
        <v>0.34489733159421754</v>
      </c>
      <c r="T221">
        <f ca="1"/>
        <v>0</v>
      </c>
      <c r="U221">
        <f ca="1"/>
        <v>0</v>
      </c>
      <c r="V221">
        <f ca="1"/>
        <v>0.52444656161460168</v>
      </c>
      <c r="X221" s="2">
        <f t="shared" ca="1" si="22"/>
        <v>44961</v>
      </c>
      <c r="Y221">
        <f t="shared" ca="1" si="23"/>
        <v>0</v>
      </c>
      <c r="AA221" s="63">
        <f t="shared" ca="1" si="25"/>
        <v>12.826213758482112</v>
      </c>
      <c r="AB221" s="63">
        <f t="shared" ca="1" si="26"/>
        <v>12.826213758482112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44962</v>
      </c>
      <c r="K222">
        <f ca="1"/>
        <v>11.597604933300772</v>
      </c>
      <c r="L222">
        <f ca="1"/>
        <v>0.60211323576450582</v>
      </c>
      <c r="M222">
        <f ca="1"/>
        <v>0</v>
      </c>
      <c r="N222">
        <f ca="1"/>
        <v>0</v>
      </c>
      <c r="O222">
        <f ca="1"/>
        <v>0</v>
      </c>
      <c r="P222">
        <f ca="1"/>
        <v>146.20818392641903</v>
      </c>
      <c r="Q222">
        <f ca="1"/>
        <v>121.53325112271607</v>
      </c>
      <c r="R222">
        <f ca="1"/>
        <v>0</v>
      </c>
      <c r="S222">
        <f ca="1"/>
        <v>0.33813888221663291</v>
      </c>
      <c r="T222">
        <f ca="1"/>
        <v>0</v>
      </c>
      <c r="U222">
        <f ca="1"/>
        <v>0</v>
      </c>
      <c r="V222">
        <f ca="1"/>
        <v>0.50353850102015851</v>
      </c>
      <c r="X222" s="2">
        <f t="shared" ca="1" si="22"/>
        <v>44962</v>
      </c>
      <c r="Y222">
        <f t="shared" ca="1" si="23"/>
        <v>0</v>
      </c>
      <c r="AA222" s="63">
        <f t="shared" ca="1" si="25"/>
        <v>12.199718169065278</v>
      </c>
      <c r="AB222" s="63">
        <f t="shared" ca="1" si="26"/>
        <v>12.199718169065278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44963</v>
      </c>
      <c r="K223">
        <f ca="1"/>
        <v>11.043717259226241</v>
      </c>
      <c r="L223">
        <f ca="1"/>
        <v>0.55388767407453088</v>
      </c>
      <c r="M223">
        <f ca="1"/>
        <v>0</v>
      </c>
      <c r="N223">
        <f ca="1"/>
        <v>0</v>
      </c>
      <c r="O223">
        <f ca="1"/>
        <v>0</v>
      </c>
      <c r="P223">
        <f ca="1"/>
        <v>146.76207160049356</v>
      </c>
      <c r="Q223">
        <f ca="1"/>
        <v>121.99366153189639</v>
      </c>
      <c r="R223">
        <f ca="1"/>
        <v>0</v>
      </c>
      <c r="S223">
        <f ca="1"/>
        <v>0.29780219081724946</v>
      </c>
      <c r="T223">
        <f ca="1"/>
        <v>0</v>
      </c>
      <c r="U223">
        <f ca="1"/>
        <v>0</v>
      </c>
      <c r="V223">
        <f ca="1"/>
        <v>0.4828073774688279</v>
      </c>
      <c r="X223" s="2">
        <f t="shared" ca="1" si="22"/>
        <v>44963</v>
      </c>
      <c r="Y223">
        <f t="shared" ca="1" si="23"/>
        <v>0</v>
      </c>
      <c r="AA223" s="63">
        <f t="shared" ca="1" si="25"/>
        <v>11.597604933300772</v>
      </c>
      <c r="AB223" s="63">
        <f t="shared" ca="1" si="26"/>
        <v>11.597604933300772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44964</v>
      </c>
      <c r="K224">
        <f ca="1"/>
        <v>10.52611729649459</v>
      </c>
      <c r="L224">
        <f ca="1"/>
        <v>0.51759996273165143</v>
      </c>
      <c r="M224">
        <f ca="1"/>
        <v>0</v>
      </c>
      <c r="N224">
        <f ca="1"/>
        <v>0</v>
      </c>
      <c r="O224">
        <f ca="1"/>
        <v>0</v>
      </c>
      <c r="P224">
        <f ca="1"/>
        <v>147.27967156322521</v>
      </c>
      <c r="Q224">
        <f ca="1"/>
        <v>122.42390835230303</v>
      </c>
      <c r="R224">
        <f ca="1"/>
        <v>0</v>
      </c>
      <c r="S224">
        <f ca="1"/>
        <v>0.26990317214244547</v>
      </c>
      <c r="T224">
        <f ca="1"/>
        <v>0</v>
      </c>
      <c r="U224">
        <f ca="1"/>
        <v>0</v>
      </c>
      <c r="V224">
        <f ca="1"/>
        <v>0.46191406162797738</v>
      </c>
      <c r="X224" s="2">
        <f t="shared" ca="1" si="22"/>
        <v>44964</v>
      </c>
      <c r="Y224">
        <f t="shared" ca="1" si="23"/>
        <v>0</v>
      </c>
      <c r="AA224" s="63">
        <f t="shared" ca="1" si="25"/>
        <v>11.043717259226241</v>
      </c>
      <c r="AB224" s="63">
        <f t="shared" ca="1" si="26"/>
        <v>11.043717259226241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44965</v>
      </c>
      <c r="K225">
        <f ca="1"/>
        <v>10.047245275803704</v>
      </c>
      <c r="L225">
        <f ca="1"/>
        <v>0.4788720206908863</v>
      </c>
      <c r="M225">
        <f ca="1"/>
        <v>0</v>
      </c>
      <c r="N225">
        <f ca="1"/>
        <v>0</v>
      </c>
      <c r="O225">
        <f ca="1"/>
        <v>0</v>
      </c>
      <c r="P225">
        <f ca="1"/>
        <v>147.75854358391609</v>
      </c>
      <c r="Q225">
        <f ca="1"/>
        <v>122.82196318058516</v>
      </c>
      <c r="R225">
        <f ca="1"/>
        <v>0</v>
      </c>
      <c r="S225">
        <f ca="1"/>
        <v>0.26555651790677148</v>
      </c>
      <c r="T225">
        <f ca="1"/>
        <v>0</v>
      </c>
      <c r="U225">
        <f ca="1"/>
        <v>0</v>
      </c>
      <c r="V225">
        <f ca="1"/>
        <v>0.44105023529431231</v>
      </c>
      <c r="X225" s="2">
        <f t="shared" ca="1" si="22"/>
        <v>44965</v>
      </c>
      <c r="Y225">
        <f t="shared" ca="1" si="23"/>
        <v>0</v>
      </c>
      <c r="AA225" s="63">
        <f t="shared" ca="1" si="25"/>
        <v>10.52611729649459</v>
      </c>
      <c r="AB225" s="63">
        <f t="shared" ca="1" si="26"/>
        <v>10.52611729649459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44966</v>
      </c>
      <c r="K226">
        <f ca="1"/>
        <v>9.5998655561398039</v>
      </c>
      <c r="L226">
        <f ca="1"/>
        <v>0.44737971966389978</v>
      </c>
      <c r="M226">
        <f ca="1"/>
        <v>0</v>
      </c>
      <c r="N226">
        <f ca="1"/>
        <v>0</v>
      </c>
      <c r="O226">
        <f ca="1"/>
        <v>0</v>
      </c>
      <c r="P226">
        <f ca="1"/>
        <v>148.20592330357999</v>
      </c>
      <c r="Q226">
        <f ca="1"/>
        <v>123.19384052942415</v>
      </c>
      <c r="R226">
        <f ca="1"/>
        <v>0</v>
      </c>
      <c r="S226">
        <f ca="1"/>
        <v>0.24602900233655897</v>
      </c>
      <c r="T226">
        <f ca="1"/>
        <v>0</v>
      </c>
      <c r="U226">
        <f ca="1"/>
        <v>0</v>
      </c>
      <c r="V226">
        <f ca="1"/>
        <v>0.41999472716394232</v>
      </c>
      <c r="X226" s="2">
        <f t="shared" ca="1" si="22"/>
        <v>44966</v>
      </c>
      <c r="Y226">
        <f t="shared" ca="1" si="23"/>
        <v>0</v>
      </c>
      <c r="AA226" s="63">
        <f t="shared" ca="1" si="25"/>
        <v>10.047245275803704</v>
      </c>
      <c r="AB226" s="63">
        <f t="shared" ca="1" si="26"/>
        <v>10.047245275803704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44967</v>
      </c>
      <c r="K227">
        <f ca="1"/>
        <v>9.1757648658511357</v>
      </c>
      <c r="L227">
        <f ca="1"/>
        <v>0.42410069028866815</v>
      </c>
      <c r="M227">
        <f ca="1"/>
        <v>0</v>
      </c>
      <c r="N227">
        <f ca="1"/>
        <v>0</v>
      </c>
      <c r="O227">
        <f ca="1"/>
        <v>0</v>
      </c>
      <c r="P227">
        <f ca="1"/>
        <v>148.63002399386866</v>
      </c>
      <c r="Q227">
        <f ca="1"/>
        <v>123.54636755157847</v>
      </c>
      <c r="R227">
        <f ca="1"/>
        <v>0</v>
      </c>
      <c r="S227">
        <f ca="1"/>
        <v>0.23731058263020957</v>
      </c>
      <c r="T227">
        <f ca="1"/>
        <v>0</v>
      </c>
      <c r="U227">
        <f ca="1"/>
        <v>0</v>
      </c>
      <c r="V227">
        <f ca="1"/>
        <v>0.3983936631506424</v>
      </c>
      <c r="X227" s="2">
        <f t="shared" ca="1" si="22"/>
        <v>44967</v>
      </c>
      <c r="Y227">
        <f t="shared" ca="1" si="23"/>
        <v>0</v>
      </c>
      <c r="AA227" s="63">
        <f t="shared" ca="1" si="25"/>
        <v>9.5998655561398039</v>
      </c>
      <c r="AB227" s="63">
        <f t="shared" ca="1" si="26"/>
        <v>9.5998655561398039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44968</v>
      </c>
      <c r="K228">
        <f ca="1"/>
        <v>8.7796012465029207</v>
      </c>
      <c r="L228">
        <f ca="1"/>
        <v>0.39616361934821498</v>
      </c>
      <c r="M228">
        <f ca="1"/>
        <v>0</v>
      </c>
      <c r="N228">
        <f ca="1"/>
        <v>0</v>
      </c>
      <c r="O228">
        <f ca="1"/>
        <v>0</v>
      </c>
      <c r="P228">
        <f ca="1"/>
        <v>149.02618761321688</v>
      </c>
      <c r="Q228">
        <f ca="1"/>
        <v>123.87567232332889</v>
      </c>
      <c r="R228">
        <f ca="1"/>
        <v>0</v>
      </c>
      <c r="S228">
        <f ca="1"/>
        <v>0.2435366368728894</v>
      </c>
      <c r="T228">
        <f ca="1"/>
        <v>0</v>
      </c>
      <c r="U228">
        <f ca="1"/>
        <v>0</v>
      </c>
      <c r="V228">
        <f ca="1"/>
        <v>0.37651244881908152</v>
      </c>
      <c r="X228" s="2">
        <f t="shared" ca="1" si="22"/>
        <v>44968</v>
      </c>
      <c r="Y228">
        <f t="shared" ca="1" si="23"/>
        <v>0</v>
      </c>
      <c r="AA228" s="63">
        <f t="shared" ca="1" si="25"/>
        <v>9.1757648658511357</v>
      </c>
      <c r="AB228" s="63">
        <f t="shared" ca="1" si="26"/>
        <v>9.1757648658511357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44969</v>
      </c>
      <c r="K229">
        <f ca="1"/>
        <v>8.4162812620057537</v>
      </c>
      <c r="L229">
        <f ca="1"/>
        <v>0.36331998449716707</v>
      </c>
      <c r="M229">
        <f ca="1"/>
        <v>0</v>
      </c>
      <c r="N229">
        <f ca="1"/>
        <v>0</v>
      </c>
      <c r="O229">
        <f ca="1"/>
        <v>0</v>
      </c>
      <c r="P229">
        <f ca="1"/>
        <v>149.38950759771404</v>
      </c>
      <c r="Q229">
        <f ca="1"/>
        <v>124.17767634066911</v>
      </c>
      <c r="R229">
        <f ca="1"/>
        <v>0</v>
      </c>
      <c r="S229">
        <f ca="1"/>
        <v>0.25438577435918386</v>
      </c>
      <c r="T229">
        <f ca="1"/>
        <v>0</v>
      </c>
      <c r="U229">
        <f ca="1"/>
        <v>0</v>
      </c>
      <c r="V229">
        <f ca="1"/>
        <v>0.35473444776266938</v>
      </c>
      <c r="X229" s="2">
        <f t="shared" ca="1" si="22"/>
        <v>44969</v>
      </c>
      <c r="Y229">
        <f t="shared" ca="1" si="23"/>
        <v>0</v>
      </c>
      <c r="AA229" s="63">
        <f t="shared" ca="1" si="25"/>
        <v>8.7796012465029207</v>
      </c>
      <c r="AB229" s="63">
        <f t="shared" ca="1" si="26"/>
        <v>8.7796012465029207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44970</v>
      </c>
      <c r="K230">
        <f ca="1"/>
        <v>8.0859257689495507</v>
      </c>
      <c r="L230">
        <f ca="1"/>
        <v>0.33035549305620293</v>
      </c>
      <c r="M230">
        <f ca="1"/>
        <v>0</v>
      </c>
      <c r="N230">
        <f ca="1"/>
        <v>0</v>
      </c>
      <c r="O230">
        <f ca="1"/>
        <v>0</v>
      </c>
      <c r="P230">
        <f ca="1"/>
        <v>149.71986309077025</v>
      </c>
      <c r="Q230">
        <f ca="1"/>
        <v>124.4522791434614</v>
      </c>
      <c r="R230">
        <f ca="1"/>
        <v>0</v>
      </c>
      <c r="S230">
        <f ca="1"/>
        <v>0.23223910952203902</v>
      </c>
      <c r="T230">
        <f ca="1"/>
        <v>0</v>
      </c>
      <c r="U230">
        <f ca="1"/>
        <v>0</v>
      </c>
      <c r="V230">
        <f ca="1"/>
        <v>0.33325134177811128</v>
      </c>
      <c r="X230" s="2">
        <f t="shared" ca="1" si="22"/>
        <v>44970</v>
      </c>
      <c r="Y230">
        <f t="shared" ca="1" si="23"/>
        <v>0</v>
      </c>
      <c r="AA230" s="63">
        <f t="shared" ca="1" si="25"/>
        <v>8.4162812620057537</v>
      </c>
      <c r="AB230" s="63">
        <f t="shared" ca="1" si="26"/>
        <v>8.4162812620057537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44971</v>
      </c>
      <c r="K231">
        <f ca="1"/>
        <v>7.7809606672524012</v>
      </c>
      <c r="L231">
        <f ca="1"/>
        <v>0.30496510169714952</v>
      </c>
      <c r="M231">
        <f ca="1"/>
        <v>0</v>
      </c>
      <c r="N231">
        <f ca="1"/>
        <v>0</v>
      </c>
      <c r="O231">
        <f ca="1"/>
        <v>0</v>
      </c>
      <c r="P231">
        <f ca="1"/>
        <v>150.0248281924674</v>
      </c>
      <c r="Q231">
        <f ca="1"/>
        <v>124.70577658315926</v>
      </c>
      <c r="R231">
        <f ca="1"/>
        <v>0</v>
      </c>
      <c r="S231">
        <f ca="1"/>
        <v>0.23142022918830021</v>
      </c>
      <c r="T231">
        <f ca="1"/>
        <v>0</v>
      </c>
      <c r="U231">
        <f ca="1"/>
        <v>0</v>
      </c>
      <c r="V231">
        <f ca="1"/>
        <v>0.31173874628636772</v>
      </c>
      <c r="X231" s="2">
        <f t="shared" ca="1" si="22"/>
        <v>44971</v>
      </c>
      <c r="Y231">
        <f t="shared" ca="1" si="23"/>
        <v>0</v>
      </c>
      <c r="AA231" s="63">
        <f t="shared" ca="1" si="25"/>
        <v>8.0859257689495507</v>
      </c>
      <c r="AB231" s="63">
        <f t="shared" ca="1" si="26"/>
        <v>8.0859257689495507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44972</v>
      </c>
      <c r="K232">
        <f ca="1"/>
        <v>7.5041859049794937</v>
      </c>
      <c r="L232">
        <f ca="1"/>
        <v>0.27677476227290754</v>
      </c>
      <c r="M232">
        <f ca="1"/>
        <v>0</v>
      </c>
      <c r="N232">
        <f ca="1"/>
        <v>0</v>
      </c>
      <c r="O232">
        <f ca="1"/>
        <v>0</v>
      </c>
      <c r="P232">
        <f ca="1"/>
        <v>150.3016029547403</v>
      </c>
      <c r="Q232">
        <f ca="1"/>
        <v>124.93584124701333</v>
      </c>
      <c r="R232">
        <f ca="1"/>
        <v>0</v>
      </c>
      <c r="S232">
        <f ca="1"/>
        <v>0.24534712296126446</v>
      </c>
      <c r="T232">
        <f ca="1"/>
        <v>0</v>
      </c>
      <c r="U232">
        <f ca="1"/>
        <v>0</v>
      </c>
      <c r="V232">
        <f ca="1"/>
        <v>0.2905652801272563</v>
      </c>
      <c r="X232" s="2">
        <f t="shared" ca="1" si="22"/>
        <v>44972</v>
      </c>
      <c r="Y232">
        <f t="shared" ca="1" si="23"/>
        <v>0</v>
      </c>
      <c r="AA232" s="63">
        <f t="shared" ca="1" si="25"/>
        <v>7.7809606672524012</v>
      </c>
      <c r="AB232" s="63">
        <f t="shared" ca="1" si="26"/>
        <v>7.7809606672524012</v>
      </c>
      <c r="AC232" s="3">
        <f t="shared" ca="1" si="27"/>
        <v>0</v>
      </c>
    </row>
    <row r="233" spans="8:29">
      <c r="H233" t="b">
        <f t="shared" ca="1" si="24"/>
        <v>1</v>
      </c>
      <c r="I233" t="b">
        <f t="shared" ca="1" si="21"/>
        <v>1</v>
      </c>
      <c r="J233" s="2">
        <f ca="1"/>
        <v>44973</v>
      </c>
      <c r="K233">
        <f ca="1"/>
        <v>7.2505911821835696</v>
      </c>
      <c r="L233">
        <f ca="1"/>
        <v>0.2535947227959241</v>
      </c>
      <c r="M233">
        <f ca="1"/>
        <v>0</v>
      </c>
      <c r="N233">
        <f ca="1"/>
        <v>0</v>
      </c>
      <c r="O233">
        <f ca="1"/>
        <v>0</v>
      </c>
      <c r="P233">
        <f ca="1"/>
        <v>150.55519767753623</v>
      </c>
      <c r="Q233">
        <f ca="1"/>
        <v>125.14663786797722</v>
      </c>
      <c r="R233">
        <f ca="1"/>
        <v>0</v>
      </c>
      <c r="S233">
        <f ca="1"/>
        <v>0.24644243427639623</v>
      </c>
      <c r="T233">
        <f ca="1"/>
        <v>0</v>
      </c>
      <c r="U233">
        <f ca="1"/>
        <v>0</v>
      </c>
      <c r="V233">
        <f ca="1"/>
        <v>0.26953926150407165</v>
      </c>
      <c r="X233" s="2">
        <f t="shared" ca="1" si="22"/>
        <v>44973</v>
      </c>
      <c r="Y233">
        <f t="shared" ca="1" si="23"/>
        <v>0</v>
      </c>
      <c r="AA233" s="63">
        <f t="shared" ca="1" si="25"/>
        <v>7.5041859049794937</v>
      </c>
      <c r="AB233" s="63">
        <f t="shared" ca="1" si="26"/>
        <v>7.5041859049794937</v>
      </c>
      <c r="AC233" s="3">
        <f t="shared" ca="1" si="27"/>
        <v>0</v>
      </c>
    </row>
    <row r="234" spans="8:29">
      <c r="H234" t="b">
        <f t="shared" ca="1" si="24"/>
        <v>1</v>
      </c>
      <c r="I234" t="b">
        <f t="shared" ca="1" si="21"/>
        <v>1</v>
      </c>
      <c r="J234" s="2">
        <f ca="1"/>
        <v>44974</v>
      </c>
      <c r="K234">
        <f ca="1"/>
        <v>7.0162888971868824</v>
      </c>
      <c r="L234">
        <f ca="1"/>
        <v>0.23430228499668715</v>
      </c>
      <c r="M234">
        <f ca="1"/>
        <v>0</v>
      </c>
      <c r="N234">
        <f ca="1"/>
        <v>0</v>
      </c>
      <c r="O234">
        <f ca="1"/>
        <v>0</v>
      </c>
      <c r="P234">
        <f ca="1"/>
        <v>150.78949996253291</v>
      </c>
      <c r="Q234">
        <f ca="1"/>
        <v>125.34139795374271</v>
      </c>
      <c r="R234">
        <f ca="1"/>
        <v>0</v>
      </c>
      <c r="S234">
        <f ca="1"/>
        <v>0.28998281799284248</v>
      </c>
      <c r="T234">
        <f ca="1"/>
        <v>0</v>
      </c>
      <c r="U234">
        <f ca="1"/>
        <v>0</v>
      </c>
      <c r="V234">
        <f ca="1"/>
        <v>0.24848375337370163</v>
      </c>
      <c r="X234" s="2">
        <f t="shared" ca="1" si="22"/>
        <v>44974</v>
      </c>
      <c r="Y234">
        <f t="shared" ca="1" si="23"/>
        <v>0</v>
      </c>
      <c r="AA234" s="63">
        <f t="shared" ca="1" si="25"/>
        <v>7.2505911821835696</v>
      </c>
      <c r="AB234" s="63">
        <f t="shared" ca="1" si="26"/>
        <v>7.2505911821835696</v>
      </c>
      <c r="AC234" s="3">
        <f t="shared" ca="1" si="27"/>
        <v>0</v>
      </c>
    </row>
    <row r="235" spans="8:29">
      <c r="H235" t="b">
        <f t="shared" ca="1" si="24"/>
        <v>1</v>
      </c>
      <c r="I235" t="b">
        <f t="shared" ca="1" si="21"/>
        <v>1</v>
      </c>
      <c r="J235" s="2">
        <f ca="1"/>
        <v>44975</v>
      </c>
      <c r="K235">
        <f ca="1"/>
        <v>6.7981490117402359</v>
      </c>
      <c r="L235">
        <f ca="1"/>
        <v>0.21813988544664653</v>
      </c>
      <c r="M235">
        <f ca="1"/>
        <v>0</v>
      </c>
      <c r="N235">
        <f ca="1"/>
        <v>0</v>
      </c>
      <c r="O235">
        <f ca="1"/>
        <v>0</v>
      </c>
      <c r="P235">
        <f ca="1"/>
        <v>151.00763984797956</v>
      </c>
      <c r="Q235">
        <f ca="1"/>
        <v>125.52272329932809</v>
      </c>
      <c r="R235">
        <f ca="1"/>
        <v>0</v>
      </c>
      <c r="S235">
        <f ca="1"/>
        <v>0.28473151487426196</v>
      </c>
      <c r="T235">
        <f ca="1"/>
        <v>0</v>
      </c>
      <c r="U235">
        <f ca="1"/>
        <v>0</v>
      </c>
      <c r="V235">
        <f ca="1"/>
        <v>0.22722181869303412</v>
      </c>
      <c r="X235" s="2">
        <f t="shared" ca="1" si="22"/>
        <v>44975</v>
      </c>
      <c r="Y235">
        <f t="shared" ca="1" si="23"/>
        <v>0</v>
      </c>
      <c r="AA235" s="63">
        <f t="shared" ca="1" si="25"/>
        <v>7.0162888971868824</v>
      </c>
      <c r="AB235" s="63">
        <f t="shared" ca="1" si="26"/>
        <v>7.0162888971868824</v>
      </c>
      <c r="AC235" s="3">
        <f t="shared" ca="1" si="27"/>
        <v>0</v>
      </c>
    </row>
    <row r="236" spans="8:29">
      <c r="H236" t="b">
        <f t="shared" ca="1" si="24"/>
        <v>1</v>
      </c>
      <c r="I236" t="b">
        <f t="shared" ca="1" si="21"/>
        <v>1</v>
      </c>
      <c r="J236" s="2">
        <f ca="1"/>
        <v>44976</v>
      </c>
      <c r="K236">
        <f ca="1"/>
        <v>6.597157398873037</v>
      </c>
      <c r="L236">
        <f ca="1"/>
        <v>0.20099161286719891</v>
      </c>
      <c r="M236">
        <f ca="1"/>
        <v>0</v>
      </c>
      <c r="N236">
        <f ca="1"/>
        <v>0</v>
      </c>
      <c r="O236">
        <f ca="1"/>
        <v>0</v>
      </c>
      <c r="P236">
        <f ca="1"/>
        <v>151.20863146084676</v>
      </c>
      <c r="Q236">
        <f ca="1"/>
        <v>125.6897944132983</v>
      </c>
      <c r="R236">
        <f ca="1"/>
        <v>0</v>
      </c>
      <c r="S236">
        <f ca="1"/>
        <v>0.28337251872151126</v>
      </c>
      <c r="T236">
        <f ca="1"/>
        <v>0</v>
      </c>
      <c r="U236">
        <f ca="1"/>
        <v>0</v>
      </c>
      <c r="V236">
        <f ca="1"/>
        <v>0.20595988401236626</v>
      </c>
      <c r="X236" s="2">
        <f t="shared" ca="1" si="22"/>
        <v>44976</v>
      </c>
      <c r="Y236">
        <f t="shared" ca="1" si="23"/>
        <v>0</v>
      </c>
      <c r="AA236" s="63">
        <f t="shared" ca="1" si="25"/>
        <v>6.7981490117402359</v>
      </c>
      <c r="AB236" s="63">
        <f t="shared" ca="1" si="26"/>
        <v>6.7981490117402359</v>
      </c>
      <c r="AC236" s="3">
        <f t="shared" ca="1" si="27"/>
        <v>0</v>
      </c>
    </row>
    <row r="237" spans="8:29">
      <c r="H237" t="b">
        <f t="shared" ca="1" si="24"/>
        <v>1</v>
      </c>
      <c r="I237" t="b">
        <f t="shared" ca="1" si="21"/>
        <v>1</v>
      </c>
      <c r="J237" s="2">
        <f ca="1"/>
        <v>44977</v>
      </c>
      <c r="K237">
        <f ca="1"/>
        <v>6.4108986604553593</v>
      </c>
      <c r="L237">
        <f ca="1"/>
        <v>0.18625873841767771</v>
      </c>
      <c r="M237">
        <f ca="1"/>
        <v>0</v>
      </c>
      <c r="N237">
        <f ca="1"/>
        <v>0</v>
      </c>
      <c r="O237">
        <f ca="1"/>
        <v>0</v>
      </c>
      <c r="P237">
        <f ca="1"/>
        <v>151.39489019926444</v>
      </c>
      <c r="Q237">
        <f ca="1"/>
        <v>125.84461905732309</v>
      </c>
      <c r="R237">
        <f ca="1"/>
        <v>0</v>
      </c>
      <c r="S237">
        <f ca="1"/>
        <v>0.31890878980809367</v>
      </c>
      <c r="T237">
        <f ca="1"/>
        <v>0</v>
      </c>
      <c r="U237">
        <f ca="1"/>
        <v>0</v>
      </c>
      <c r="V237">
        <f ca="1"/>
        <v>0.18456524654936388</v>
      </c>
      <c r="X237" s="2">
        <f t="shared" ca="1" si="22"/>
        <v>44977</v>
      </c>
      <c r="Y237">
        <f t="shared" ca="1" si="23"/>
        <v>0</v>
      </c>
      <c r="AA237" s="63">
        <f t="shared" ca="1" si="25"/>
        <v>6.597157398873037</v>
      </c>
      <c r="AB237" s="63">
        <f t="shared" ca="1" si="26"/>
        <v>6.597157398873037</v>
      </c>
      <c r="AC237" s="3">
        <f t="shared" ca="1" si="27"/>
        <v>0</v>
      </c>
    </row>
    <row r="238" spans="8:29">
      <c r="H238" t="b">
        <f t="shared" ca="1" si="24"/>
        <v>1</v>
      </c>
      <c r="I238" t="b">
        <f t="shared" ca="1" si="21"/>
        <v>1</v>
      </c>
      <c r="J238" s="2">
        <f ca="1"/>
        <v>44978</v>
      </c>
      <c r="K238">
        <f ca="1"/>
        <v>6.2402368880363213</v>
      </c>
      <c r="L238">
        <f ca="1"/>
        <v>0.17066177241903802</v>
      </c>
      <c r="M238">
        <f ca="1"/>
        <v>0</v>
      </c>
      <c r="N238">
        <f ca="1"/>
        <v>0</v>
      </c>
      <c r="O238">
        <f ca="1"/>
        <v>0</v>
      </c>
      <c r="P238">
        <f ca="1"/>
        <v>151.56555197168348</v>
      </c>
      <c r="Q238">
        <f ca="1"/>
        <v>125.98647896890563</v>
      </c>
      <c r="R238">
        <f ca="1"/>
        <v>0</v>
      </c>
      <c r="S238">
        <f ca="1"/>
        <v>0.34005542513503134</v>
      </c>
      <c r="T238">
        <f ca="1"/>
        <v>0</v>
      </c>
      <c r="U238">
        <f ca="1"/>
        <v>0</v>
      </c>
      <c r="V238">
        <f ca="1"/>
        <v>0.16327382236151058</v>
      </c>
      <c r="X238" s="2">
        <f t="shared" ca="1" si="22"/>
        <v>44978</v>
      </c>
      <c r="Y238">
        <f t="shared" ca="1" si="23"/>
        <v>0</v>
      </c>
      <c r="AA238" s="63">
        <f t="shared" ca="1" si="25"/>
        <v>6.4108986604553593</v>
      </c>
      <c r="AB238" s="63">
        <f t="shared" ca="1" si="26"/>
        <v>6.4108986604553593</v>
      </c>
      <c r="AC238" s="3">
        <f t="shared" ca="1" si="27"/>
        <v>0</v>
      </c>
    </row>
    <row r="239" spans="8:29">
      <c r="H239" t="b">
        <f t="shared" ca="1" si="24"/>
        <v>1</v>
      </c>
      <c r="I239" t="b">
        <f t="shared" ca="1" si="21"/>
        <v>1</v>
      </c>
      <c r="J239" s="2">
        <f ca="1"/>
        <v>44979</v>
      </c>
      <c r="K239">
        <f ca="1"/>
        <v>6.0852991195663719</v>
      </c>
      <c r="L239">
        <f ca="1"/>
        <v>0.15493776846994933</v>
      </c>
      <c r="M239">
        <f ca="1"/>
        <v>0</v>
      </c>
      <c r="N239">
        <f ca="1"/>
        <v>0</v>
      </c>
      <c r="O239">
        <f ca="1"/>
        <v>0</v>
      </c>
      <c r="P239">
        <f ca="1"/>
        <v>151.72048974015343</v>
      </c>
      <c r="Q239">
        <f ca="1"/>
        <v>126.11526854974969</v>
      </c>
      <c r="R239">
        <f ca="1"/>
        <v>0</v>
      </c>
      <c r="S239">
        <f ca="1"/>
        <v>0.33936942771560341</v>
      </c>
      <c r="T239">
        <f ca="1"/>
        <v>0</v>
      </c>
      <c r="U239">
        <f ca="1"/>
        <v>0</v>
      </c>
      <c r="V239">
        <f ca="1"/>
        <v>0.142292037999104</v>
      </c>
      <c r="X239" s="2">
        <f t="shared" ca="1" si="22"/>
        <v>44979</v>
      </c>
      <c r="Y239">
        <f t="shared" ca="1" si="23"/>
        <v>0</v>
      </c>
      <c r="AA239" s="63">
        <f t="shared" ca="1" si="25"/>
        <v>6.2402368880363213</v>
      </c>
      <c r="AB239" s="63">
        <f t="shared" ca="1" si="26"/>
        <v>6.2402368880363213</v>
      </c>
      <c r="AC239" s="3">
        <f t="shared" ca="1" si="27"/>
        <v>0</v>
      </c>
    </row>
    <row r="240" spans="8:29">
      <c r="H240" t="b">
        <f t="shared" ca="1" si="24"/>
        <v>1</v>
      </c>
      <c r="I240" t="b">
        <f t="shared" ca="1" si="21"/>
        <v>1</v>
      </c>
      <c r="J240" s="2">
        <f ca="1"/>
        <v>44980</v>
      </c>
      <c r="K240">
        <f ca="1"/>
        <v>5.9425943953067133</v>
      </c>
      <c r="L240">
        <f ca="1"/>
        <v>0.14270472425965863</v>
      </c>
      <c r="M240">
        <f ca="1"/>
        <v>0</v>
      </c>
      <c r="N240">
        <f ca="1"/>
        <v>0</v>
      </c>
      <c r="O240">
        <f ca="1"/>
        <v>0</v>
      </c>
      <c r="P240">
        <f ca="1"/>
        <v>151.86319446441308</v>
      </c>
      <c r="Q240">
        <f ca="1"/>
        <v>126.23388960517964</v>
      </c>
      <c r="R240">
        <f ca="1"/>
        <v>0</v>
      </c>
      <c r="S240">
        <f ca="1"/>
        <v>0.36278656778662077</v>
      </c>
      <c r="T240">
        <f ca="1"/>
        <v>0</v>
      </c>
      <c r="U240">
        <f ca="1"/>
        <v>0</v>
      </c>
      <c r="V240">
        <f ca="1"/>
        <v>0.12132499839029043</v>
      </c>
      <c r="X240" s="2">
        <f t="shared" ca="1" si="22"/>
        <v>44980</v>
      </c>
      <c r="Y240">
        <f t="shared" ca="1" si="23"/>
        <v>0</v>
      </c>
      <c r="AA240" s="63">
        <f t="shared" ca="1" si="25"/>
        <v>6.0852991195663719</v>
      </c>
      <c r="AB240" s="63">
        <f t="shared" ca="1" si="26"/>
        <v>6.0852991195663719</v>
      </c>
      <c r="AC240" s="3">
        <f t="shared" ca="1" si="27"/>
        <v>0</v>
      </c>
    </row>
    <row r="241" spans="8:29">
      <c r="H241" t="b">
        <f t="shared" ca="1" si="24"/>
        <v>1</v>
      </c>
      <c r="I241" t="b">
        <f t="shared" ca="1" si="21"/>
        <v>1</v>
      </c>
      <c r="J241" s="2">
        <f ca="1"/>
        <v>44981</v>
      </c>
      <c r="K241">
        <f ca="1"/>
        <v>5.8149022436119822</v>
      </c>
      <c r="L241">
        <f ca="1"/>
        <v>0.12769215169473114</v>
      </c>
      <c r="M241">
        <f ca="1"/>
        <v>0</v>
      </c>
      <c r="N241">
        <f ca="1"/>
        <v>0</v>
      </c>
      <c r="O241">
        <f ca="1"/>
        <v>0</v>
      </c>
      <c r="P241">
        <f ca="1"/>
        <v>151.99088661610782</v>
      </c>
      <c r="Q241">
        <f ca="1"/>
        <v>126.34003169600901</v>
      </c>
      <c r="R241">
        <f ca="1"/>
        <v>0</v>
      </c>
      <c r="S241">
        <f ca="1"/>
        <v>0.36317613348489119</v>
      </c>
      <c r="T241">
        <f ca="1"/>
        <v>0</v>
      </c>
      <c r="U241">
        <f ca="1"/>
        <v>0</v>
      </c>
      <c r="V241">
        <f ca="1"/>
        <v>0.10099198318596257</v>
      </c>
      <c r="X241" s="2">
        <f t="shared" ca="1" si="22"/>
        <v>44981</v>
      </c>
      <c r="Y241">
        <f t="shared" ca="1" si="23"/>
        <v>0</v>
      </c>
      <c r="AA241" s="63">
        <f t="shared" ca="1" si="25"/>
        <v>5.9425943953067133</v>
      </c>
      <c r="AB241" s="63">
        <f t="shared" ca="1" si="26"/>
        <v>5.9425943953067133</v>
      </c>
      <c r="AC241" s="3">
        <f t="shared" ca="1" si="27"/>
        <v>0</v>
      </c>
    </row>
    <row r="242" spans="8:29">
      <c r="H242" t="b">
        <f t="shared" ca="1" si="24"/>
        <v>1</v>
      </c>
      <c r="I242" t="b">
        <f t="shared" ca="1" si="21"/>
        <v>1</v>
      </c>
      <c r="J242" s="2">
        <f ca="1"/>
        <v>44982</v>
      </c>
      <c r="K242">
        <f ca="1"/>
        <v>5.7009817582161872</v>
      </c>
      <c r="L242">
        <f ca="1"/>
        <v>0.11392048539579491</v>
      </c>
      <c r="M242">
        <f ca="1"/>
        <v>0</v>
      </c>
      <c r="N242">
        <f ca="1"/>
        <v>0</v>
      </c>
      <c r="O242">
        <f ca="1"/>
        <v>0</v>
      </c>
      <c r="P242">
        <f ca="1"/>
        <v>152.10480710150361</v>
      </c>
      <c r="Q242">
        <f ca="1"/>
        <v>126.43472630603573</v>
      </c>
      <c r="R242">
        <f ca="1"/>
        <v>0</v>
      </c>
      <c r="S242">
        <f ca="1"/>
        <v>0.35665784643154069</v>
      </c>
      <c r="T242">
        <f ca="1"/>
        <v>0</v>
      </c>
      <c r="U242">
        <f ca="1"/>
        <v>0</v>
      </c>
      <c r="V242">
        <f ca="1"/>
        <v>8.1381460907676492E-2</v>
      </c>
      <c r="X242" s="2">
        <f t="shared" ca="1" si="22"/>
        <v>44982</v>
      </c>
      <c r="Y242">
        <f t="shared" ca="1" si="23"/>
        <v>0</v>
      </c>
      <c r="AA242" s="63">
        <f t="shared" ca="1" si="25"/>
        <v>5.8149022436119822</v>
      </c>
      <c r="AB242" s="63">
        <f t="shared" ca="1" si="26"/>
        <v>5.8149022436119822</v>
      </c>
      <c r="AC242" s="3">
        <f t="shared" ca="1" si="27"/>
        <v>0</v>
      </c>
    </row>
    <row r="243" spans="8:29">
      <c r="H243" t="b">
        <f t="shared" ca="1" si="24"/>
        <v>1</v>
      </c>
      <c r="I243" t="b">
        <f t="shared" ca="1" si="21"/>
        <v>1</v>
      </c>
      <c r="J243" s="2">
        <f ca="1"/>
        <v>44983</v>
      </c>
      <c r="K243">
        <f ca="1"/>
        <v>5.5946256943082062</v>
      </c>
      <c r="L243">
        <f ca="1"/>
        <v>0.10635606390798102</v>
      </c>
      <c r="M243">
        <f ca="1"/>
        <v>0</v>
      </c>
      <c r="N243">
        <f ca="1"/>
        <v>0</v>
      </c>
      <c r="O243">
        <f ca="1"/>
        <v>0</v>
      </c>
      <c r="P243">
        <f ca="1"/>
        <v>152.21116316541159</v>
      </c>
      <c r="Q243">
        <f ca="1"/>
        <v>126.52313310978796</v>
      </c>
      <c r="R243">
        <f ca="1"/>
        <v>0</v>
      </c>
      <c r="S243">
        <f ca="1"/>
        <v>0.36288586156910468</v>
      </c>
      <c r="T243">
        <f ca="1"/>
        <v>0</v>
      </c>
      <c r="U243">
        <f ca="1"/>
        <v>0</v>
      </c>
      <c r="V243">
        <f ca="1"/>
        <v>6.1608746339871262E-2</v>
      </c>
      <c r="X243" s="2">
        <f t="shared" ca="1" si="22"/>
        <v>44983</v>
      </c>
      <c r="Y243">
        <f t="shared" ca="1" si="23"/>
        <v>0</v>
      </c>
      <c r="AA243" s="63">
        <f t="shared" ca="1" si="25"/>
        <v>5.7009817582161872</v>
      </c>
      <c r="AB243" s="63">
        <f t="shared" ca="1" si="26"/>
        <v>5.7009817582161872</v>
      </c>
      <c r="AC243" s="3">
        <f t="shared" ca="1" si="27"/>
        <v>0</v>
      </c>
    </row>
    <row r="244" spans="8:29">
      <c r="H244" t="b">
        <f t="shared" ca="1" si="24"/>
        <v>1</v>
      </c>
      <c r="I244" t="b">
        <f t="shared" ca="1" si="21"/>
        <v>1</v>
      </c>
      <c r="J244" s="2">
        <f ca="1"/>
        <v>44984</v>
      </c>
      <c r="K244">
        <f ca="1"/>
        <v>5.4954122246846566</v>
      </c>
      <c r="L244">
        <f ca="1"/>
        <v>9.9213469623549599E-2</v>
      </c>
      <c r="M244">
        <f ca="1"/>
        <v>0</v>
      </c>
      <c r="N244">
        <f ca="1"/>
        <v>0</v>
      </c>
      <c r="O244">
        <f ca="1"/>
        <v>0</v>
      </c>
      <c r="P244">
        <f ca="1"/>
        <v>152.31037663503514</v>
      </c>
      <c r="Q244">
        <f ca="1"/>
        <v>126.60560274448764</v>
      </c>
      <c r="R244">
        <f ca="1"/>
        <v>0</v>
      </c>
      <c r="S244">
        <f ca="1"/>
        <v>0.36377157141061234</v>
      </c>
      <c r="T244">
        <f ca="1"/>
        <v>0</v>
      </c>
      <c r="U244">
        <f ca="1"/>
        <v>0</v>
      </c>
      <c r="V244">
        <f ca="1"/>
        <v>4.1673839482546174E-2</v>
      </c>
      <c r="X244" s="2">
        <f t="shared" ca="1" si="22"/>
        <v>44984</v>
      </c>
      <c r="Y244">
        <f t="shared" ca="1" si="23"/>
        <v>0</v>
      </c>
      <c r="AA244" s="63">
        <f t="shared" ca="1" si="25"/>
        <v>5.5946256943082062</v>
      </c>
      <c r="AB244" s="63">
        <f t="shared" ca="1" si="26"/>
        <v>5.5946256943082062</v>
      </c>
      <c r="AC244" s="3">
        <f t="shared" ca="1" si="27"/>
        <v>0</v>
      </c>
    </row>
    <row r="245" spans="8:29">
      <c r="H245" t="b">
        <f t="shared" ca="1" si="24"/>
        <v>1</v>
      </c>
      <c r="I245" t="b">
        <f t="shared" ca="1" si="21"/>
        <v>1</v>
      </c>
      <c r="J245" s="2">
        <f ca="1"/>
        <v>44985</v>
      </c>
      <c r="K245">
        <f ca="1"/>
        <v>5.4054167105631734</v>
      </c>
      <c r="L245">
        <f ca="1"/>
        <v>8.9995514121483211E-2</v>
      </c>
      <c r="M245">
        <f ca="1"/>
        <v>0</v>
      </c>
      <c r="N245">
        <f ca="1"/>
        <v>0</v>
      </c>
      <c r="O245">
        <f ca="1"/>
        <v>0</v>
      </c>
      <c r="P245">
        <f ca="1"/>
        <v>152.40037214915662</v>
      </c>
      <c r="Q245">
        <f ca="1"/>
        <v>126.68041009879515</v>
      </c>
      <c r="R245">
        <f ca="1"/>
        <v>0</v>
      </c>
      <c r="S245">
        <f ca="1"/>
        <v>0.39657553904723475</v>
      </c>
      <c r="T245">
        <f ca="1"/>
        <v>0</v>
      </c>
      <c r="U245">
        <f ca="1"/>
        <v>0</v>
      </c>
      <c r="V245">
        <f ca="1"/>
        <v>2.2137040972223777E-2</v>
      </c>
      <c r="X245" s="2">
        <f t="shared" ca="1" si="22"/>
        <v>44985</v>
      </c>
      <c r="Y245">
        <f t="shared" ca="1" si="23"/>
        <v>0</v>
      </c>
      <c r="AA245" s="63">
        <f t="shared" ca="1" si="25"/>
        <v>5.4954122246846566</v>
      </c>
      <c r="AB245" s="63">
        <f t="shared" ca="1" si="26"/>
        <v>5.4954122246846566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1</v>
      </c>
      <c r="J246" s="2">
        <f ca="1"/>
        <v>44986</v>
      </c>
      <c r="K246">
        <f ca="1"/>
        <v>5.3216979506288737</v>
      </c>
      <c r="L246">
        <f ca="1"/>
        <v>8.3718759934299669E-2</v>
      </c>
      <c r="M246">
        <f ca="1"/>
        <v>0</v>
      </c>
      <c r="N246">
        <f ca="1"/>
        <v>0</v>
      </c>
      <c r="O246">
        <f ca="1"/>
        <v>0</v>
      </c>
      <c r="P246">
        <f ca="1"/>
        <v>152.48409090909092</v>
      </c>
      <c r="Q246">
        <f ca="1"/>
        <v>126.75000000000001</v>
      </c>
      <c r="R246">
        <f ca="1"/>
        <v>0</v>
      </c>
      <c r="S246">
        <f ca="1"/>
        <v>0.43765195501664245</v>
      </c>
      <c r="T246">
        <f ca="1"/>
        <v>0</v>
      </c>
      <c r="U246">
        <f ca="1"/>
        <v>0</v>
      </c>
      <c r="V246">
        <f ca="1"/>
        <v>2.5117739403453855E-3</v>
      </c>
      <c r="X246" s="2">
        <f t="shared" ca="1" si="22"/>
        <v>44986</v>
      </c>
      <c r="Y246">
        <f t="shared" ca="1" si="23"/>
        <v>0</v>
      </c>
      <c r="AA246" s="63">
        <f t="shared" ca="1" si="25"/>
        <v>5.4054167105631734</v>
      </c>
      <c r="AB246" s="63">
        <f t="shared" ca="1" si="26"/>
        <v>5.4054167105631734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44987</v>
      </c>
      <c r="K247">
        <f ca="1"/>
        <v>4.7342890335642878</v>
      </c>
      <c r="L247">
        <f ca="1"/>
        <v>0</v>
      </c>
      <c r="M247">
        <f ca="1"/>
        <v>-0.58740891706458553</v>
      </c>
      <c r="N247">
        <f ca="1"/>
        <v>0</v>
      </c>
      <c r="O247">
        <f ca="1"/>
        <v>0</v>
      </c>
      <c r="P247">
        <f ca="1"/>
        <v>0</v>
      </c>
      <c r="Q247">
        <f ca="1"/>
        <v>0</v>
      </c>
      <c r="R247">
        <f ca="1"/>
        <v>0</v>
      </c>
      <c r="S247">
        <f ca="1"/>
        <v>0.44962244182857064</v>
      </c>
      <c r="T247">
        <f ca="1"/>
        <v>0</v>
      </c>
      <c r="U247">
        <f ca="1"/>
        <v>0</v>
      </c>
      <c r="V247">
        <f ca="1"/>
        <v>0</v>
      </c>
      <c r="X247" s="2">
        <f t="shared" ca="1" si="22"/>
        <v>44987</v>
      </c>
      <c r="Y247">
        <f t="shared" ca="1" si="23"/>
        <v>0</v>
      </c>
      <c r="AA247" s="63">
        <f t="shared" ca="1" si="25"/>
        <v>4.7342890335642878</v>
      </c>
      <c r="AB247" s="63">
        <f t="shared" ca="1" si="26"/>
        <v>4.7342890335642878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44988</v>
      </c>
      <c r="K248">
        <f ca="1"/>
        <v>4.1549304153860485</v>
      </c>
      <c r="L248">
        <f ca="1"/>
        <v>0</v>
      </c>
      <c r="M248">
        <f ca="1"/>
        <v>-0.5793586181782393</v>
      </c>
      <c r="N248">
        <f ca="1"/>
        <v>0</v>
      </c>
      <c r="O248">
        <f ca="1"/>
        <v>0</v>
      </c>
      <c r="P248">
        <f ca="1"/>
        <v>0</v>
      </c>
      <c r="Q248">
        <f ca="1"/>
        <v>0</v>
      </c>
      <c r="R248">
        <f ca="1"/>
        <v>0</v>
      </c>
      <c r="S248">
        <f ca="1"/>
        <v>0.47839332193956635</v>
      </c>
      <c r="T248">
        <f ca="1"/>
        <v>0</v>
      </c>
      <c r="U248">
        <f ca="1"/>
        <v>0</v>
      </c>
      <c r="V248">
        <f ca="1"/>
        <v>0</v>
      </c>
      <c r="X248" s="2">
        <f t="shared" ca="1" si="22"/>
        <v>44988</v>
      </c>
      <c r="Y248">
        <f t="shared" ca="1" si="23"/>
        <v>0</v>
      </c>
      <c r="AA248" s="63">
        <f t="shared" ca="1" si="25"/>
        <v>4.1549304153860485</v>
      </c>
      <c r="AB248" s="63">
        <f t="shared" ca="1" si="26"/>
        <v>4.1549304153860485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44989</v>
      </c>
      <c r="K249">
        <f ca="1"/>
        <v>3.6255795726527422</v>
      </c>
      <c r="L249">
        <f ca="1"/>
        <v>0</v>
      </c>
      <c r="M249">
        <f ca="1"/>
        <v>-0.52935084273330624</v>
      </c>
      <c r="N249">
        <f ca="1"/>
        <v>0</v>
      </c>
      <c r="O249">
        <f ca="1"/>
        <v>0</v>
      </c>
      <c r="P249">
        <f ca="1"/>
        <v>0</v>
      </c>
      <c r="Q249">
        <f ca="1"/>
        <v>0</v>
      </c>
      <c r="R249">
        <f ca="1"/>
        <v>0</v>
      </c>
      <c r="S249">
        <f ca="1"/>
        <v>0.53285890742506647</v>
      </c>
      <c r="T249">
        <f ca="1"/>
        <v>0</v>
      </c>
      <c r="U249">
        <f ca="1"/>
        <v>0</v>
      </c>
      <c r="V249">
        <f ca="1"/>
        <v>0</v>
      </c>
      <c r="X249" s="2">
        <f t="shared" ca="1" si="22"/>
        <v>44989</v>
      </c>
      <c r="Y249">
        <f t="shared" ca="1" si="23"/>
        <v>0</v>
      </c>
      <c r="AA249" s="63">
        <f t="shared" ca="1" si="25"/>
        <v>3.6255795726527422</v>
      </c>
      <c r="AB249" s="63">
        <f t="shared" ca="1" si="26"/>
        <v>3.6255795726527422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44990</v>
      </c>
      <c r="K250">
        <f ca="1"/>
        <v>3.142018725451742</v>
      </c>
      <c r="L250">
        <f ca="1"/>
        <v>0</v>
      </c>
      <c r="M250">
        <f ca="1"/>
        <v>-0.48356084720100023</v>
      </c>
      <c r="N250">
        <f ca="1"/>
        <v>0</v>
      </c>
      <c r="O250">
        <f ca="1"/>
        <v>0</v>
      </c>
      <c r="P250">
        <f ca="1"/>
        <v>0</v>
      </c>
      <c r="Q250">
        <f ca="1"/>
        <v>0</v>
      </c>
      <c r="R250">
        <f ca="1"/>
        <v>0</v>
      </c>
      <c r="S250">
        <f ca="1"/>
        <v>0.54209733771028257</v>
      </c>
      <c r="T250">
        <f ca="1"/>
        <v>0</v>
      </c>
      <c r="U250">
        <f ca="1"/>
        <v>0</v>
      </c>
      <c r="V250">
        <f ca="1"/>
        <v>0</v>
      </c>
      <c r="X250" s="2">
        <f t="shared" ca="1" si="22"/>
        <v>44990</v>
      </c>
      <c r="Y250">
        <f t="shared" ca="1" si="23"/>
        <v>0</v>
      </c>
      <c r="AA250" s="63">
        <f t="shared" ca="1" si="25"/>
        <v>3.142018725451742</v>
      </c>
      <c r="AB250" s="63">
        <f t="shared" ca="1" si="26"/>
        <v>3.142018725451742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44991</v>
      </c>
      <c r="K251">
        <f ca="1"/>
        <v>2.6862691161729906</v>
      </c>
      <c r="L251">
        <f ca="1"/>
        <v>0</v>
      </c>
      <c r="M251">
        <f ca="1"/>
        <v>-0.45574960927875141</v>
      </c>
      <c r="N251">
        <f ca="1"/>
        <v>0</v>
      </c>
      <c r="O251">
        <f ca="1"/>
        <v>0</v>
      </c>
      <c r="P251">
        <f ca="1"/>
        <v>0</v>
      </c>
      <c r="Q251">
        <f ca="1"/>
        <v>0</v>
      </c>
      <c r="R251">
        <f ca="1"/>
        <v>0</v>
      </c>
      <c r="S251">
        <f ca="1"/>
        <v>0.54547499301051605</v>
      </c>
      <c r="T251">
        <f ca="1"/>
        <v>0</v>
      </c>
      <c r="U251">
        <f ca="1"/>
        <v>0</v>
      </c>
      <c r="V251">
        <f ca="1"/>
        <v>0</v>
      </c>
      <c r="X251" s="2">
        <f t="shared" ca="1" si="22"/>
        <v>44991</v>
      </c>
      <c r="Y251">
        <f t="shared" ca="1" si="23"/>
        <v>0</v>
      </c>
      <c r="AA251" s="63">
        <f t="shared" ca="1" si="25"/>
        <v>2.6862691161729906</v>
      </c>
      <c r="AB251" s="63">
        <f t="shared" ca="1" si="26"/>
        <v>2.6862691161729906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44992</v>
      </c>
      <c r="K252">
        <f ca="1"/>
        <v>2.2855315948973565</v>
      </c>
      <c r="L252">
        <f ca="1"/>
        <v>0</v>
      </c>
      <c r="M252">
        <f ca="1"/>
        <v>-0.40073752127563411</v>
      </c>
      <c r="N252">
        <f ca="1"/>
        <v>0</v>
      </c>
      <c r="O252">
        <f ca="1"/>
        <v>0</v>
      </c>
      <c r="P252">
        <f ca="1"/>
        <v>0</v>
      </c>
      <c r="Q252">
        <f ca="1"/>
        <v>0</v>
      </c>
      <c r="R252">
        <f ca="1"/>
        <v>0</v>
      </c>
      <c r="S252">
        <f ca="1"/>
        <v>0.56041881534980842</v>
      </c>
      <c r="T252">
        <f ca="1"/>
        <v>0</v>
      </c>
      <c r="U252">
        <f ca="1"/>
        <v>0</v>
      </c>
      <c r="V252">
        <f ca="1"/>
        <v>0</v>
      </c>
      <c r="X252" s="2">
        <f t="shared" ca="1" si="22"/>
        <v>44992</v>
      </c>
      <c r="Y252">
        <f t="shared" ca="1" si="23"/>
        <v>0</v>
      </c>
      <c r="AA252" s="63">
        <f t="shared" ca="1" si="25"/>
        <v>2.2855315948973565</v>
      </c>
      <c r="AB252" s="63">
        <f t="shared" ca="1" si="26"/>
        <v>2.2855315948973565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44993</v>
      </c>
      <c r="K253">
        <f ca="1"/>
        <v>1.910474160006193</v>
      </c>
      <c r="L253">
        <f ca="1"/>
        <v>0</v>
      </c>
      <c r="M253">
        <f ca="1"/>
        <v>-0.3750574348911635</v>
      </c>
      <c r="N253">
        <f ca="1"/>
        <v>0</v>
      </c>
      <c r="O253">
        <f ca="1"/>
        <v>0</v>
      </c>
      <c r="P253">
        <f ca="1"/>
        <v>0</v>
      </c>
      <c r="Q253">
        <f ca="1"/>
        <v>0</v>
      </c>
      <c r="R253">
        <f ca="1"/>
        <v>0</v>
      </c>
      <c r="S253">
        <f ca="1"/>
        <v>0.54382494131219072</v>
      </c>
      <c r="T253">
        <f ca="1"/>
        <v>0</v>
      </c>
      <c r="U253">
        <f ca="1"/>
        <v>0</v>
      </c>
      <c r="V253">
        <f ca="1"/>
        <v>0</v>
      </c>
      <c r="X253" s="2">
        <f t="shared" ca="1" si="22"/>
        <v>44993</v>
      </c>
      <c r="Y253">
        <f t="shared" ca="1" si="23"/>
        <v>0</v>
      </c>
      <c r="AA253" s="63">
        <f t="shared" ca="1" si="25"/>
        <v>1.910474160006193</v>
      </c>
      <c r="AB253" s="63">
        <f t="shared" ca="1" si="26"/>
        <v>1.910474160006193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44994</v>
      </c>
      <c r="K254">
        <f ca="1"/>
        <v>1.5635872190056523</v>
      </c>
      <c r="L254">
        <f ca="1"/>
        <v>0</v>
      </c>
      <c r="M254">
        <f ca="1"/>
        <v>-0.34688694100054063</v>
      </c>
      <c r="N254">
        <f ca="1"/>
        <v>0</v>
      </c>
      <c r="O254">
        <f ca="1"/>
        <v>0</v>
      </c>
      <c r="P254">
        <f ca="1"/>
        <v>0</v>
      </c>
      <c r="Q254">
        <f ca="1"/>
        <v>0</v>
      </c>
      <c r="R254">
        <f ca="1"/>
        <v>0</v>
      </c>
      <c r="S254">
        <f ca="1"/>
        <v>0.56369393695537062</v>
      </c>
      <c r="T254">
        <f ca="1"/>
        <v>0</v>
      </c>
      <c r="U254">
        <f ca="1"/>
        <v>0</v>
      </c>
      <c r="V254">
        <f ca="1"/>
        <v>0</v>
      </c>
      <c r="X254" s="2">
        <f t="shared" ca="1" si="22"/>
        <v>44994</v>
      </c>
      <c r="Y254">
        <f t="shared" ca="1" si="23"/>
        <v>0</v>
      </c>
      <c r="AA254" s="63">
        <f t="shared" ca="1" si="25"/>
        <v>1.5635872190056523</v>
      </c>
      <c r="AB254" s="63">
        <f t="shared" ca="1" si="26"/>
        <v>1.5635872190056523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44995</v>
      </c>
      <c r="K255">
        <f ca="1"/>
        <v>1.2548951185912389</v>
      </c>
      <c r="L255">
        <f ca="1"/>
        <v>0</v>
      </c>
      <c r="M255">
        <f ca="1"/>
        <v>-0.30869210041441342</v>
      </c>
      <c r="N255">
        <f ca="1"/>
        <v>0</v>
      </c>
      <c r="O255">
        <f ca="1"/>
        <v>0</v>
      </c>
      <c r="P255">
        <f ca="1"/>
        <v>0</v>
      </c>
      <c r="Q255">
        <f ca="1"/>
        <v>0</v>
      </c>
      <c r="R255">
        <f ca="1"/>
        <v>0</v>
      </c>
      <c r="S255">
        <f ca="1"/>
        <v>0.5567290849422637</v>
      </c>
      <c r="T255">
        <f ca="1"/>
        <v>0</v>
      </c>
      <c r="U255">
        <f ca="1"/>
        <v>0</v>
      </c>
      <c r="V255">
        <f ca="1"/>
        <v>0</v>
      </c>
      <c r="X255" s="2">
        <f t="shared" ca="1" si="22"/>
        <v>44995</v>
      </c>
      <c r="Y255">
        <f t="shared" ca="1" si="23"/>
        <v>0</v>
      </c>
      <c r="AA255" s="63">
        <f t="shared" ca="1" si="25"/>
        <v>1.2548951185912389</v>
      </c>
      <c r="AB255" s="63">
        <f t="shared" ca="1" si="26"/>
        <v>1.2548951185912389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44996</v>
      </c>
      <c r="K256">
        <f ca="1"/>
        <v>0.97846775757257687</v>
      </c>
      <c r="L256">
        <f ca="1"/>
        <v>0</v>
      </c>
      <c r="M256">
        <f ca="1"/>
        <v>-0.27642736101866205</v>
      </c>
      <c r="N256">
        <f ca="1"/>
        <v>0</v>
      </c>
      <c r="O256">
        <f ca="1"/>
        <v>0</v>
      </c>
      <c r="P256">
        <f ca="1"/>
        <v>0</v>
      </c>
      <c r="Q256">
        <f ca="1"/>
        <v>0</v>
      </c>
      <c r="R256">
        <f ca="1"/>
        <v>0</v>
      </c>
      <c r="S256">
        <f ca="1"/>
        <v>0.63276166183999627</v>
      </c>
      <c r="T256">
        <f ca="1"/>
        <v>0</v>
      </c>
      <c r="U256">
        <f ca="1"/>
        <v>0</v>
      </c>
      <c r="V256">
        <f ca="1"/>
        <v>0</v>
      </c>
      <c r="X256" s="2">
        <f t="shared" ca="1" si="22"/>
        <v>44996</v>
      </c>
      <c r="Y256">
        <f t="shared" ca="1" si="23"/>
        <v>0</v>
      </c>
      <c r="AA256" s="63">
        <f t="shared" ca="1" si="25"/>
        <v>0.97846775757257687</v>
      </c>
      <c r="AB256" s="63">
        <f t="shared" ca="1" si="26"/>
        <v>0.97846775757257687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44997</v>
      </c>
      <c r="K257">
        <f ca="1"/>
        <v>0.72567098486680903</v>
      </c>
      <c r="L257">
        <f ca="1"/>
        <v>0</v>
      </c>
      <c r="M257">
        <f ca="1"/>
        <v>-0.25279677270576784</v>
      </c>
      <c r="N257">
        <f ca="1"/>
        <v>0</v>
      </c>
      <c r="O257">
        <f ca="1"/>
        <v>0</v>
      </c>
      <c r="P257">
        <f ca="1"/>
        <v>0</v>
      </c>
      <c r="Q257">
        <f ca="1"/>
        <v>0</v>
      </c>
      <c r="R257">
        <f ca="1"/>
        <v>0</v>
      </c>
      <c r="S257">
        <f ca="1"/>
        <v>0.64503474846251763</v>
      </c>
      <c r="T257">
        <f ca="1"/>
        <v>0</v>
      </c>
      <c r="U257">
        <f ca="1"/>
        <v>0</v>
      </c>
      <c r="V257">
        <f ca="1"/>
        <v>0</v>
      </c>
      <c r="X257" s="2">
        <f t="shared" ca="1" si="22"/>
        <v>44997</v>
      </c>
      <c r="Y257">
        <f t="shared" ca="1" si="23"/>
        <v>0</v>
      </c>
      <c r="AA257" s="63">
        <f t="shared" ca="1" si="25"/>
        <v>0.72567098486680903</v>
      </c>
      <c r="AB257" s="63">
        <f t="shared" ca="1" si="26"/>
        <v>0.72567098486680903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44998</v>
      </c>
      <c r="K258">
        <f ca="1"/>
        <v>0.50378638236846607</v>
      </c>
      <c r="L258">
        <f ca="1"/>
        <v>0</v>
      </c>
      <c r="M258">
        <f ca="1"/>
        <v>-0.22188460249834296</v>
      </c>
      <c r="N258">
        <f ca="1"/>
        <v>0</v>
      </c>
      <c r="O258">
        <f ca="1"/>
        <v>0</v>
      </c>
      <c r="P258">
        <f ca="1"/>
        <v>0</v>
      </c>
      <c r="Q258">
        <f ca="1"/>
        <v>0</v>
      </c>
      <c r="R258">
        <f ca="1"/>
        <v>0</v>
      </c>
      <c r="S258">
        <f ca="1"/>
        <v>0.63780267641957722</v>
      </c>
      <c r="T258">
        <f ca="1"/>
        <v>0</v>
      </c>
      <c r="U258">
        <f ca="1"/>
        <v>0</v>
      </c>
      <c r="V258">
        <f ca="1"/>
        <v>0</v>
      </c>
      <c r="X258" s="2">
        <f t="shared" ca="1" si="22"/>
        <v>44998</v>
      </c>
      <c r="Y258">
        <f t="shared" ca="1" si="23"/>
        <v>0</v>
      </c>
      <c r="AA258" s="63">
        <f t="shared" ca="1" si="25"/>
        <v>0.50378638236846607</v>
      </c>
      <c r="AB258" s="63">
        <f t="shared" ca="1" si="26"/>
        <v>0.50378638236846607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44999</v>
      </c>
      <c r="K259">
        <f ca="1"/>
        <v>0.30449732034977428</v>
      </c>
      <c r="L259">
        <f ca="1"/>
        <v>0</v>
      </c>
      <c r="M259">
        <f ca="1"/>
        <v>-0.19928906201869179</v>
      </c>
      <c r="N259">
        <f ca="1"/>
        <v>0</v>
      </c>
      <c r="O259">
        <f ca="1"/>
        <v>0</v>
      </c>
      <c r="P259">
        <f ca="1"/>
        <v>0</v>
      </c>
      <c r="Q259">
        <f ca="1"/>
        <v>0</v>
      </c>
      <c r="R259">
        <f ca="1"/>
        <v>0</v>
      </c>
      <c r="S259">
        <f ca="1"/>
        <v>0.63311487309330494</v>
      </c>
      <c r="T259">
        <f ca="1"/>
        <v>0</v>
      </c>
      <c r="U259">
        <f ca="1"/>
        <v>0</v>
      </c>
      <c r="V259">
        <f ca="1"/>
        <v>0</v>
      </c>
      <c r="X259" s="2">
        <f t="shared" ca="1" si="22"/>
        <v>44999</v>
      </c>
      <c r="Y259">
        <f t="shared" ca="1" si="23"/>
        <v>0</v>
      </c>
      <c r="AA259" s="63">
        <f t="shared" ca="1" si="25"/>
        <v>0.30449732034977428</v>
      </c>
      <c r="AB259" s="63">
        <f t="shared" ca="1" si="26"/>
        <v>0.30449732034977428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45000</v>
      </c>
      <c r="K260">
        <f ca="1"/>
        <v>0.12816538779585818</v>
      </c>
      <c r="L260">
        <f ca="1"/>
        <v>0</v>
      </c>
      <c r="M260">
        <f ca="1"/>
        <v>-0.1763319325539161</v>
      </c>
      <c r="N260">
        <f ca="1"/>
        <v>0</v>
      </c>
      <c r="O260">
        <f ca="1"/>
        <v>0</v>
      </c>
      <c r="P260">
        <f ca="1"/>
        <v>0</v>
      </c>
      <c r="Q260">
        <f ca="1"/>
        <v>0</v>
      </c>
      <c r="R260">
        <f ca="1"/>
        <v>0</v>
      </c>
      <c r="S260">
        <f ca="1"/>
        <v>0.65075172773120527</v>
      </c>
      <c r="T260">
        <f ca="1"/>
        <v>0</v>
      </c>
      <c r="U260">
        <f ca="1"/>
        <v>0</v>
      </c>
      <c r="V260">
        <f ca="1"/>
        <v>0</v>
      </c>
      <c r="X260" s="2">
        <f t="shared" ca="1" si="22"/>
        <v>45000</v>
      </c>
      <c r="Y260">
        <f t="shared" ca="1" si="23"/>
        <v>0</v>
      </c>
      <c r="AA260" s="63">
        <f t="shared" ca="1" si="25"/>
        <v>0.12816538779585818</v>
      </c>
      <c r="AB260" s="63">
        <f t="shared" ca="1" si="26"/>
        <v>0.12816538779585818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45001</v>
      </c>
      <c r="K261">
        <f ca="1"/>
        <v>-3.032876416947472E-2</v>
      </c>
      <c r="L261">
        <f ca="1"/>
        <v>0</v>
      </c>
      <c r="M261">
        <f ca="1"/>
        <v>-0.1584941519653329</v>
      </c>
      <c r="N261">
        <f ca="1"/>
        <v>0</v>
      </c>
      <c r="O261">
        <f ca="1"/>
        <v>0</v>
      </c>
      <c r="P261">
        <f ca="1"/>
        <v>2.999183249640863</v>
      </c>
      <c r="Q261">
        <f ca="1"/>
        <v>2.559972313500988</v>
      </c>
      <c r="R261">
        <f ca="1"/>
        <v>0</v>
      </c>
      <c r="S261">
        <f ca="1"/>
        <v>0.66439805449905265</v>
      </c>
      <c r="T261">
        <f ca="1"/>
        <v>0</v>
      </c>
      <c r="U261">
        <f ca="1"/>
        <v>0</v>
      </c>
      <c r="V261">
        <f ca="1"/>
        <v>8.6121396998859144E-3</v>
      </c>
      <c r="X261" s="2">
        <f t="shared" ca="1" si="22"/>
        <v>45001</v>
      </c>
      <c r="Y261">
        <f t="shared" ca="1" si="23"/>
        <v>0</v>
      </c>
      <c r="AA261" s="63">
        <f t="shared" ca="1" si="25"/>
        <v>-3.032876416947472E-2</v>
      </c>
      <c r="AB261" s="63">
        <f t="shared" ca="1" si="26"/>
        <v>-3.032876416947472E-2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45002</v>
      </c>
      <c r="K262">
        <f ca="1"/>
        <v>-0.43283591327787985</v>
      </c>
      <c r="L262">
        <f ca="1"/>
        <v>0.26253357738117744</v>
      </c>
      <c r="M262">
        <f ca="1"/>
        <v>-0.13997357172722769</v>
      </c>
      <c r="N262">
        <f ca="1"/>
        <v>0</v>
      </c>
      <c r="O262">
        <f ca="1"/>
        <v>0</v>
      </c>
      <c r="P262">
        <f ca="1"/>
        <v>3.2617168270220405</v>
      </c>
      <c r="Q262">
        <f ca="1"/>
        <v>2.7840595510983106</v>
      </c>
      <c r="R262">
        <f ca="1"/>
        <v>0</v>
      </c>
      <c r="S262">
        <f ca="1"/>
        <v>0.66957582121016002</v>
      </c>
      <c r="T262">
        <f ca="1"/>
        <v>0</v>
      </c>
      <c r="U262">
        <f ca="1"/>
        <v>0</v>
      </c>
      <c r="V262">
        <f ca="1"/>
        <v>1.1071305541399167E-2</v>
      </c>
      <c r="X262" s="2">
        <f t="shared" ca="1" si="22"/>
        <v>45002</v>
      </c>
      <c r="Y262">
        <f t="shared" ca="1" si="23"/>
        <v>0</v>
      </c>
      <c r="AA262" s="63">
        <f t="shared" ca="1" si="25"/>
        <v>-0.17030233589670241</v>
      </c>
      <c r="AB262" s="63">
        <f t="shared" ca="1" si="26"/>
        <v>-0.17030233589670241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45003</v>
      </c>
      <c r="K263">
        <f ca="1"/>
        <v>-0.83856433933767738</v>
      </c>
      <c r="L263">
        <f ca="1"/>
        <v>0.28344262968343292</v>
      </c>
      <c r="M263">
        <f ca="1"/>
        <v>-0.12228579637636461</v>
      </c>
      <c r="N263">
        <f ca="1"/>
        <v>0</v>
      </c>
      <c r="O263">
        <f ca="1"/>
        <v>0</v>
      </c>
      <c r="P263">
        <f ca="1"/>
        <v>3.5451594567054734</v>
      </c>
      <c r="Q263">
        <f ca="1"/>
        <v>3.0259938458908646</v>
      </c>
      <c r="R263">
        <f ca="1"/>
        <v>0</v>
      </c>
      <c r="S263">
        <f ca="1"/>
        <v>0.66269442765820097</v>
      </c>
      <c r="T263">
        <f ca="1"/>
        <v>0</v>
      </c>
      <c r="U263">
        <f ca="1"/>
        <v>0</v>
      </c>
      <c r="V263">
        <f ca="1"/>
        <v>1.4200217714767876E-2</v>
      </c>
      <c r="X263" s="2">
        <f t="shared" ca="1" si="22"/>
        <v>45003</v>
      </c>
      <c r="Y263">
        <f t="shared" ca="1" si="23"/>
        <v>0</v>
      </c>
      <c r="AA263" s="63">
        <f t="shared" ca="1" si="25"/>
        <v>-0.55512170965424446</v>
      </c>
      <c r="AB263" s="63">
        <f t="shared" ca="1" si="26"/>
        <v>-0.55512170965424446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45004</v>
      </c>
      <c r="K264">
        <f ca="1"/>
        <v>-1.2385014413658899</v>
      </c>
      <c r="L264">
        <f ca="1"/>
        <v>0.29642243158866188</v>
      </c>
      <c r="M264">
        <f ca="1"/>
        <v>-0.10351467043955065</v>
      </c>
      <c r="N264">
        <f ca="1"/>
        <v>0</v>
      </c>
      <c r="O264">
        <f ca="1"/>
        <v>0</v>
      </c>
      <c r="P264">
        <f ca="1"/>
        <v>3.8415818882941353</v>
      </c>
      <c r="Q264">
        <f ca="1"/>
        <v>3.2790071347782579</v>
      </c>
      <c r="R264">
        <f ca="1"/>
        <v>0</v>
      </c>
      <c r="S264">
        <f ca="1"/>
        <v>0.65147516555519946</v>
      </c>
      <c r="T264">
        <f ca="1"/>
        <v>0</v>
      </c>
      <c r="U264">
        <f ca="1"/>
        <v>0</v>
      </c>
      <c r="V264">
        <f ca="1"/>
        <v>1.8037244591686524E-2</v>
      </c>
      <c r="X264" s="2">
        <f t="shared" ca="1" si="22"/>
        <v>45004</v>
      </c>
      <c r="Y264">
        <f t="shared" ca="1" si="23"/>
        <v>0</v>
      </c>
      <c r="AA264" s="63">
        <f t="shared" ca="1" si="25"/>
        <v>-0.94207900977722803</v>
      </c>
      <c r="AB264" s="63">
        <f t="shared" ca="1" si="26"/>
        <v>-0.94207900977722803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45005</v>
      </c>
      <c r="K265">
        <f ca="1"/>
        <v>-1.6508406182011863</v>
      </c>
      <c r="L265">
        <f ca="1"/>
        <v>0.32232660614878172</v>
      </c>
      <c r="M265">
        <f ca="1"/>
        <v>-9.0012570686514692E-2</v>
      </c>
      <c r="N265">
        <f ca="1"/>
        <v>0</v>
      </c>
      <c r="O265">
        <f ca="1"/>
        <v>0</v>
      </c>
      <c r="P265">
        <f ca="1"/>
        <v>4.163908494442917</v>
      </c>
      <c r="Q265">
        <f ca="1"/>
        <v>3.5541310998592262</v>
      </c>
      <c r="R265">
        <f ca="1"/>
        <v>0</v>
      </c>
      <c r="S265">
        <f ca="1"/>
        <v>0.67344075872048359</v>
      </c>
      <c r="T265">
        <f ca="1"/>
        <v>0</v>
      </c>
      <c r="U265">
        <f ca="1"/>
        <v>0</v>
      </c>
      <c r="V265">
        <f ca="1"/>
        <v>2.2909344246685472E-2</v>
      </c>
      <c r="X265" s="2">
        <f t="shared" ca="1" si="22"/>
        <v>45005</v>
      </c>
      <c r="Y265">
        <f t="shared" ca="1" si="23"/>
        <v>0</v>
      </c>
      <c r="AA265" s="63">
        <f t="shared" ca="1" si="25"/>
        <v>-1.3285140120524046</v>
      </c>
      <c r="AB265" s="63">
        <f t="shared" ca="1" si="26"/>
        <v>-1.3285140120524046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45006</v>
      </c>
      <c r="K266">
        <f ca="1"/>
        <v>-2.0866874485954372</v>
      </c>
      <c r="L266">
        <f ca="1"/>
        <v>0.35740088802524195</v>
      </c>
      <c r="M266">
        <f ca="1"/>
        <v>-7.8445942369008925E-2</v>
      </c>
      <c r="N266">
        <f ca="1"/>
        <v>0</v>
      </c>
      <c r="O266">
        <f ca="1"/>
        <v>0</v>
      </c>
      <c r="P266">
        <f ca="1"/>
        <v>4.5213093824681589</v>
      </c>
      <c r="Q266">
        <f ca="1"/>
        <v>3.8591929457050398</v>
      </c>
      <c r="R266">
        <f ca="1"/>
        <v>0</v>
      </c>
      <c r="S266">
        <f ca="1"/>
        <v>0.65135743427467263</v>
      </c>
      <c r="T266">
        <f ca="1"/>
        <v>0</v>
      </c>
      <c r="U266">
        <f ca="1"/>
        <v>0</v>
      </c>
      <c r="V266">
        <f ca="1"/>
        <v>2.9216727333504972E-2</v>
      </c>
      <c r="X266" s="2">
        <f t="shared" ca="1" si="22"/>
        <v>45006</v>
      </c>
      <c r="Y266">
        <f t="shared" ca="1" si="23"/>
        <v>0</v>
      </c>
      <c r="AA266" s="63">
        <f t="shared" ca="1" si="25"/>
        <v>-1.7292865605701953</v>
      </c>
      <c r="AB266" s="63">
        <f t="shared" ca="1" si="26"/>
        <v>-1.7292865605701953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45007</v>
      </c>
      <c r="K267">
        <f ca="1"/>
        <v>-2.5363001681354649</v>
      </c>
      <c r="L267">
        <f ca="1"/>
        <v>0.38415729264948606</v>
      </c>
      <c r="M267">
        <f ca="1"/>
        <v>-6.5455426890541624E-2</v>
      </c>
      <c r="N267">
        <f ca="1"/>
        <v>0</v>
      </c>
      <c r="O267">
        <f ca="1"/>
        <v>0</v>
      </c>
      <c r="P267">
        <f ca="1"/>
        <v>4.905466675117645</v>
      </c>
      <c r="Q267">
        <f ca="1"/>
        <v>4.1870928942426762</v>
      </c>
      <c r="R267">
        <f ca="1"/>
        <v>0</v>
      </c>
      <c r="S267">
        <f ca="1"/>
        <v>0.6610224172960919</v>
      </c>
      <c r="T267">
        <f ca="1"/>
        <v>0</v>
      </c>
      <c r="U267">
        <f ca="1"/>
        <v>0</v>
      </c>
      <c r="V267">
        <f ca="1"/>
        <v>3.7115948559274928E-2</v>
      </c>
      <c r="X267" s="2">
        <f t="shared" ref="X267:X330" ca="1" si="29">IFERROR(J267,$X$9)</f>
        <v>45007</v>
      </c>
      <c r="Y267">
        <f t="shared" ref="Y267:Y330" ca="1" si="30">IFERROR(O267,0)</f>
        <v>0</v>
      </c>
      <c r="AA267" s="63">
        <f t="shared" ca="1" si="25"/>
        <v>-2.1521428754859788</v>
      </c>
      <c r="AB267" s="63">
        <f t="shared" ca="1" si="26"/>
        <v>-2.1521428754859788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45008</v>
      </c>
      <c r="K268">
        <f ca="1"/>
        <v>-2.9936275864887798</v>
      </c>
      <c r="L268">
        <f ca="1"/>
        <v>0.40449293768309946</v>
      </c>
      <c r="M268">
        <f ca="1"/>
        <v>-5.2834480670215456E-2</v>
      </c>
      <c r="N268">
        <f ca="1"/>
        <v>0</v>
      </c>
      <c r="O268">
        <f ca="1"/>
        <v>0</v>
      </c>
      <c r="P268">
        <f ca="1"/>
        <v>5.3099596128007445</v>
      </c>
      <c r="Q268">
        <f ca="1"/>
        <v>4.5323504644826436</v>
      </c>
      <c r="R268">
        <f ca="1"/>
        <v>0</v>
      </c>
      <c r="S268">
        <f ca="1"/>
        <v>0.67381529537295259</v>
      </c>
      <c r="T268">
        <f ca="1"/>
        <v>0</v>
      </c>
      <c r="U268">
        <f ca="1"/>
        <v>0</v>
      </c>
      <c r="V268">
        <f ca="1"/>
        <v>4.6743814937505651E-2</v>
      </c>
      <c r="X268" s="2">
        <f t="shared" ca="1" si="29"/>
        <v>45008</v>
      </c>
      <c r="Y268">
        <f t="shared" ca="1" si="30"/>
        <v>0</v>
      </c>
      <c r="AA268" s="63">
        <f t="shared" ca="1" si="25"/>
        <v>-2.5891346488056803</v>
      </c>
      <c r="AB268" s="63">
        <f t="shared" ca="1" si="26"/>
        <v>-2.5891346488056803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45009</v>
      </c>
      <c r="K269">
        <f ca="1"/>
        <v>-3.4704030943128497</v>
      </c>
      <c r="L269">
        <f ca="1"/>
        <v>0.43435778979601292</v>
      </c>
      <c r="M269">
        <f ca="1"/>
        <v>-4.2417718028056939E-2</v>
      </c>
      <c r="N269">
        <f ca="1"/>
        <v>0</v>
      </c>
      <c r="O269">
        <f ca="1"/>
        <v>0</v>
      </c>
      <c r="P269">
        <f ca="1"/>
        <v>5.7443174025967574</v>
      </c>
      <c r="Q269">
        <f ca="1"/>
        <v>4.9030993729277768</v>
      </c>
      <c r="R269">
        <f ca="1"/>
        <v>0</v>
      </c>
      <c r="S269">
        <f ca="1"/>
        <v>0.66883197388031712</v>
      </c>
      <c r="T269">
        <f ca="1"/>
        <v>0</v>
      </c>
      <c r="U269">
        <f ca="1"/>
        <v>0</v>
      </c>
      <c r="V269">
        <f ca="1"/>
        <v>5.8628598472944049E-2</v>
      </c>
      <c r="X269" s="2">
        <f t="shared" ca="1" si="29"/>
        <v>45009</v>
      </c>
      <c r="Y269">
        <f t="shared" ca="1" si="30"/>
        <v>0</v>
      </c>
      <c r="AA269" s="63">
        <f t="shared" ca="1" si="25"/>
        <v>-3.0360453045168367</v>
      </c>
      <c r="AB269" s="63">
        <f t="shared" ca="1" si="26"/>
        <v>-3.0360453045168367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45010</v>
      </c>
      <c r="K270">
        <f ca="1"/>
        <v>-3.9736223800368271</v>
      </c>
      <c r="L270">
        <f ca="1"/>
        <v>0.47016059048420189</v>
      </c>
      <c r="M270">
        <f ca="1"/>
        <v>-3.305869523977556E-2</v>
      </c>
      <c r="N270">
        <f ca="1"/>
        <v>0</v>
      </c>
      <c r="O270">
        <f ca="1"/>
        <v>0</v>
      </c>
      <c r="P270">
        <f ca="1"/>
        <v>6.2144779930809593</v>
      </c>
      <c r="Q270">
        <f ca="1"/>
        <v>5.3044079940942082</v>
      </c>
      <c r="R270">
        <f ca="1"/>
        <v>0</v>
      </c>
      <c r="S270">
        <f ca="1"/>
        <v>0.66414486048516097</v>
      </c>
      <c r="T270">
        <f ca="1"/>
        <v>0</v>
      </c>
      <c r="U270">
        <f ca="1"/>
        <v>0</v>
      </c>
      <c r="V270">
        <f ca="1"/>
        <v>7.3329907774192113E-2</v>
      </c>
      <c r="X270" s="2">
        <f t="shared" ca="1" si="29"/>
        <v>45010</v>
      </c>
      <c r="Y270">
        <f t="shared" ca="1" si="30"/>
        <v>0</v>
      </c>
      <c r="AA270" s="63">
        <f t="shared" ca="1" si="25"/>
        <v>-3.5034617895526252</v>
      </c>
      <c r="AB270" s="63">
        <f t="shared" ca="1" si="26"/>
        <v>-3.5034617895526252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45011</v>
      </c>
      <c r="K271">
        <f ca="1"/>
        <v>-4.5091012757432267</v>
      </c>
      <c r="L271">
        <f ca="1"/>
        <v>0.51108807741925766</v>
      </c>
      <c r="M271">
        <f ca="1"/>
        <v>-2.4390818287141514E-2</v>
      </c>
      <c r="N271">
        <f ca="1"/>
        <v>0</v>
      </c>
      <c r="O271">
        <f ca="1"/>
        <v>0</v>
      </c>
      <c r="P271">
        <f ca="1"/>
        <v>6.7255660705002169</v>
      </c>
      <c r="Q271">
        <f ca="1"/>
        <v>5.740650537163364</v>
      </c>
      <c r="R271">
        <f ca="1"/>
        <v>0</v>
      </c>
      <c r="S271">
        <f ca="1"/>
        <v>0.68320722294994696</v>
      </c>
      <c r="T271">
        <f ca="1"/>
        <v>0</v>
      </c>
      <c r="U271">
        <f ca="1"/>
        <v>0</v>
      </c>
      <c r="V271">
        <f ca="1"/>
        <v>9.1475986070377033E-2</v>
      </c>
      <c r="X271" s="2">
        <f t="shared" ca="1" si="29"/>
        <v>45011</v>
      </c>
      <c r="Y271">
        <f t="shared" ca="1" si="30"/>
        <v>0</v>
      </c>
      <c r="AA271" s="63">
        <f t="shared" ca="1" si="25"/>
        <v>-3.9980131983239686</v>
      </c>
      <c r="AB271" s="63">
        <f t="shared" ca="1" si="26"/>
        <v>-3.9980131983239691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45012</v>
      </c>
      <c r="K272">
        <f ca="1"/>
        <v>-5.0849087634887598</v>
      </c>
      <c r="L272">
        <f ca="1"/>
        <v>0.55951025270180477</v>
      </c>
      <c r="M272">
        <f ca="1"/>
        <v>-1.6297235043728264E-2</v>
      </c>
      <c r="N272">
        <f ca="1"/>
        <v>0</v>
      </c>
      <c r="O272">
        <f ca="1"/>
        <v>0</v>
      </c>
      <c r="P272">
        <f ca="1"/>
        <v>7.2850763232020217</v>
      </c>
      <c r="Q272">
        <f ca="1"/>
        <v>6.2182241419799693</v>
      </c>
      <c r="R272">
        <f ca="1"/>
        <v>0</v>
      </c>
      <c r="S272">
        <f ca="1"/>
        <v>0.66379295217672252</v>
      </c>
      <c r="T272">
        <f ca="1"/>
        <v>0</v>
      </c>
      <c r="U272">
        <f ca="1"/>
        <v>0</v>
      </c>
      <c r="V272">
        <f ca="1"/>
        <v>0.11386411783618301</v>
      </c>
      <c r="X272" s="2">
        <f t="shared" ca="1" si="29"/>
        <v>45012</v>
      </c>
      <c r="Y272">
        <f t="shared" ca="1" si="30"/>
        <v>0</v>
      </c>
      <c r="AA272" s="63">
        <f t="shared" ref="AA272:AA335" ca="1" si="32">K271+M272+N272+O272</f>
        <v>-4.525398510786955</v>
      </c>
      <c r="AB272" s="63">
        <f t="shared" ref="AB272:AB335" ca="1" si="33">K272+L272+R272</f>
        <v>-4.525398510786955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45013</v>
      </c>
      <c r="K273">
        <f ca="1"/>
        <v>-5.6949445469054254</v>
      </c>
      <c r="L273">
        <f ca="1"/>
        <v>0.60154446010592988</v>
      </c>
      <c r="M273">
        <f ca="1"/>
        <v>-8.4913233107357655E-3</v>
      </c>
      <c r="N273">
        <f ca="1"/>
        <v>0</v>
      </c>
      <c r="O273">
        <f ca="1"/>
        <v>0</v>
      </c>
      <c r="P273">
        <f ca="1"/>
        <v>7.8866207833079516</v>
      </c>
      <c r="Q273">
        <f ca="1"/>
        <v>6.7316763171331466</v>
      </c>
      <c r="R273">
        <f ca="1"/>
        <v>0</v>
      </c>
      <c r="S273">
        <f ca="1"/>
        <v>0.67195158533120813</v>
      </c>
      <c r="T273">
        <f ca="1"/>
        <v>0</v>
      </c>
      <c r="U273">
        <f ca="1"/>
        <v>0</v>
      </c>
      <c r="V273">
        <f ca="1"/>
        <v>0.14071278848707691</v>
      </c>
      <c r="X273" s="2">
        <f t="shared" ca="1" si="29"/>
        <v>45013</v>
      </c>
      <c r="Y273">
        <f t="shared" ca="1" si="30"/>
        <v>0</v>
      </c>
      <c r="AA273" s="63">
        <f t="shared" ca="1" si="32"/>
        <v>-5.0934000867994955</v>
      </c>
      <c r="AB273" s="63">
        <f t="shared" ca="1" si="33"/>
        <v>-5.0934000867994955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45014</v>
      </c>
      <c r="K274">
        <f ca="1"/>
        <v>-6.357573056345279</v>
      </c>
      <c r="L274">
        <f ca="1"/>
        <v>0.6613065267536351</v>
      </c>
      <c r="M274">
        <f ca="1"/>
        <v>-1.3219826862185258E-3</v>
      </c>
      <c r="N274">
        <f ca="1"/>
        <v>0</v>
      </c>
      <c r="O274">
        <f ca="1"/>
        <v>0</v>
      </c>
      <c r="P274">
        <f ca="1"/>
        <v>8.5479273100615867</v>
      </c>
      <c r="Q274">
        <f ca="1"/>
        <v>7.29613879185173</v>
      </c>
      <c r="R274">
        <f ca="1"/>
        <v>0</v>
      </c>
      <c r="S274">
        <f ca="1"/>
        <v>0.68398178408377475</v>
      </c>
      <c r="T274">
        <f ca="1"/>
        <v>0</v>
      </c>
      <c r="U274">
        <f ca="1"/>
        <v>0</v>
      </c>
      <c r="V274">
        <f ca="1"/>
        <v>0.17323012763808834</v>
      </c>
      <c r="X274" s="2">
        <f t="shared" ca="1" si="29"/>
        <v>45014</v>
      </c>
      <c r="Y274">
        <f t="shared" ca="1" si="30"/>
        <v>0</v>
      </c>
      <c r="AA274" s="63">
        <f t="shared" ca="1" si="32"/>
        <v>-5.6962665295916439</v>
      </c>
      <c r="AB274" s="63">
        <f t="shared" ca="1" si="33"/>
        <v>-5.6962665295916439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45015</v>
      </c>
      <c r="K275">
        <f ca="1"/>
        <v>-7.0556657214291549</v>
      </c>
      <c r="L275">
        <f ca="1"/>
        <v>0.70343698077014416</v>
      </c>
      <c r="M275">
        <f ca="1"/>
        <v>5.3443156862682528E-3</v>
      </c>
      <c r="N275">
        <f ca="1"/>
        <v>0</v>
      </c>
      <c r="O275">
        <f ca="1"/>
        <v>0</v>
      </c>
      <c r="P275">
        <f ca="1"/>
        <v>9.2513642908317308</v>
      </c>
      <c r="Q275">
        <f ca="1"/>
        <v>7.8965619888270835</v>
      </c>
      <c r="R275">
        <f ca="1"/>
        <v>0</v>
      </c>
      <c r="S275">
        <f ca="1"/>
        <v>0.66535534794610041</v>
      </c>
      <c r="T275">
        <f ca="1"/>
        <v>0</v>
      </c>
      <c r="U275">
        <f ca="1"/>
        <v>0</v>
      </c>
      <c r="V275">
        <f ca="1"/>
        <v>0.21074787367722272</v>
      </c>
      <c r="X275" s="2">
        <f t="shared" ca="1" si="29"/>
        <v>45015</v>
      </c>
      <c r="Y275">
        <f t="shared" ca="1" si="30"/>
        <v>0</v>
      </c>
      <c r="AA275" s="63">
        <f t="shared" ca="1" si="32"/>
        <v>-6.3522287406590108</v>
      </c>
      <c r="AB275" s="63">
        <f t="shared" ca="1" si="33"/>
        <v>-6.3522287406590108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45016</v>
      </c>
      <c r="K276">
        <f ca="1"/>
        <v>-7.7900302736220874</v>
      </c>
      <c r="L276">
        <f ca="1"/>
        <v>0.74559094702697593</v>
      </c>
      <c r="M276">
        <f ca="1"/>
        <v>1.1226394834043418E-2</v>
      </c>
      <c r="N276">
        <f ca="1"/>
        <v>0</v>
      </c>
      <c r="O276">
        <f ca="1"/>
        <v>0</v>
      </c>
      <c r="P276">
        <f ca="1"/>
        <v>9.9969552378587068</v>
      </c>
      <c r="Q276">
        <f ca="1"/>
        <v>8.5329659770844195</v>
      </c>
      <c r="R276">
        <f ca="1"/>
        <v>0</v>
      </c>
      <c r="S276">
        <f ca="1"/>
        <v>0.67808081476801807</v>
      </c>
      <c r="T276">
        <f ca="1"/>
        <v>0</v>
      </c>
      <c r="U276">
        <f ca="1"/>
        <v>0</v>
      </c>
      <c r="V276">
        <f ca="1"/>
        <v>0.25306431690202735</v>
      </c>
      <c r="X276" s="2">
        <f t="shared" ca="1" si="29"/>
        <v>45016</v>
      </c>
      <c r="Y276">
        <f t="shared" ca="1" si="30"/>
        <v>0</v>
      </c>
      <c r="AA276" s="63">
        <f t="shared" ca="1" si="32"/>
        <v>-7.0444393265951115</v>
      </c>
      <c r="AB276" s="63">
        <f t="shared" ca="1" si="33"/>
        <v>-7.0444393265951115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45017</v>
      </c>
      <c r="K277">
        <f ca="1"/>
        <v>-8.5575009749569837</v>
      </c>
      <c r="L277">
        <f ca="1"/>
        <v>0.78377910913486559</v>
      </c>
      <c r="M277">
        <f ca="1"/>
        <v>1.6308407799969338E-2</v>
      </c>
      <c r="N277">
        <f ca="1"/>
        <v>0</v>
      </c>
      <c r="O277">
        <f ca="1"/>
        <v>0</v>
      </c>
      <c r="P277">
        <f ca="1"/>
        <v>10.780734346993572</v>
      </c>
      <c r="Q277">
        <f ca="1"/>
        <v>9.2019657187727564</v>
      </c>
      <c r="R277">
        <f ca="1"/>
        <v>0</v>
      </c>
      <c r="S277">
        <f ca="1"/>
        <v>0.67106971424199302</v>
      </c>
      <c r="T277">
        <f ca="1"/>
        <v>0</v>
      </c>
      <c r="U277">
        <f ca="1"/>
        <v>0</v>
      </c>
      <c r="V277">
        <f ca="1"/>
        <v>0.29942448586241088</v>
      </c>
      <c r="X277" s="2">
        <f t="shared" ca="1" si="29"/>
        <v>45017</v>
      </c>
      <c r="Y277">
        <f t="shared" ca="1" si="30"/>
        <v>0</v>
      </c>
      <c r="AA277" s="63">
        <f t="shared" ca="1" si="32"/>
        <v>-7.7737218658221181</v>
      </c>
      <c r="AB277" s="63">
        <f t="shared" ca="1" si="33"/>
        <v>-7.7737218658221181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45018</v>
      </c>
      <c r="K278">
        <f ca="1"/>
        <v>-9.3731730945750833</v>
      </c>
      <c r="L278">
        <f ca="1"/>
        <v>0.83668487672119696</v>
      </c>
      <c r="M278">
        <f ca="1"/>
        <v>2.1012757103096469E-2</v>
      </c>
      <c r="N278">
        <f ca="1"/>
        <v>0</v>
      </c>
      <c r="O278">
        <f ca="1"/>
        <v>0</v>
      </c>
      <c r="P278">
        <f ca="1"/>
        <v>11.617419223714769</v>
      </c>
      <c r="Q278">
        <f ca="1"/>
        <v>9.9161235214971235</v>
      </c>
      <c r="R278">
        <f ca="1"/>
        <v>0</v>
      </c>
      <c r="S278">
        <f ca="1"/>
        <v>0.69099847021998839</v>
      </c>
      <c r="T278">
        <f ca="1"/>
        <v>0</v>
      </c>
      <c r="U278">
        <f ca="1"/>
        <v>0</v>
      </c>
      <c r="V278">
        <f ca="1"/>
        <v>0.34988561149199976</v>
      </c>
      <c r="X278" s="2">
        <f t="shared" ca="1" si="29"/>
        <v>45018</v>
      </c>
      <c r="Y278">
        <f t="shared" ca="1" si="30"/>
        <v>0</v>
      </c>
      <c r="AA278" s="63">
        <f t="shared" ca="1" si="32"/>
        <v>-8.5364882178538863</v>
      </c>
      <c r="AB278" s="63">
        <f t="shared" ca="1" si="33"/>
        <v>-8.5364882178538863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45019</v>
      </c>
      <c r="K279">
        <f ca="1"/>
        <v>-10.259171342901736</v>
      </c>
      <c r="L279">
        <f ca="1"/>
        <v>0.91171995421651353</v>
      </c>
      <c r="M279">
        <f ca="1"/>
        <v>2.5721705889861113E-2</v>
      </c>
      <c r="N279">
        <f ca="1"/>
        <v>0</v>
      </c>
      <c r="O279">
        <f ca="1"/>
        <v>0</v>
      </c>
      <c r="P279">
        <f ca="1"/>
        <v>12.529139177931283</v>
      </c>
      <c r="Q279">
        <f ca="1"/>
        <v>10.694328001246785</v>
      </c>
      <c r="R279">
        <f ca="1"/>
        <v>0</v>
      </c>
      <c r="S279">
        <f ca="1"/>
        <v>0.69833605878111571</v>
      </c>
      <c r="T279">
        <f ca="1"/>
        <v>0</v>
      </c>
      <c r="U279">
        <f ca="1"/>
        <v>0</v>
      </c>
      <c r="V279">
        <f ca="1"/>
        <v>0.40466899509816273</v>
      </c>
      <c r="X279" s="2">
        <f t="shared" ca="1" si="29"/>
        <v>45019</v>
      </c>
      <c r="Y279">
        <f t="shared" ca="1" si="30"/>
        <v>0</v>
      </c>
      <c r="AA279" s="63">
        <f t="shared" ca="1" si="32"/>
        <v>-9.3474513886852222</v>
      </c>
      <c r="AB279" s="63">
        <f t="shared" ca="1" si="33"/>
        <v>-9.3474513886852222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45020</v>
      </c>
      <c r="K280">
        <f ca="1"/>
        <v>-11.176263011774667</v>
      </c>
      <c r="L280">
        <f ca="1"/>
        <v>0.94609974151205378</v>
      </c>
      <c r="M280">
        <f ca="1"/>
        <v>2.9008072639122418E-2</v>
      </c>
      <c r="N280">
        <f ca="1"/>
        <v>0</v>
      </c>
      <c r="O280">
        <f ca="1"/>
        <v>0</v>
      </c>
      <c r="P280">
        <f ca="1"/>
        <v>13.475238919443337</v>
      </c>
      <c r="Q280">
        <f ca="1"/>
        <v>11.501877571407702</v>
      </c>
      <c r="R280">
        <f ca="1"/>
        <v>0</v>
      </c>
      <c r="S280">
        <f ca="1"/>
        <v>0.68162221734909134</v>
      </c>
      <c r="T280">
        <f ca="1"/>
        <v>0</v>
      </c>
      <c r="U280">
        <f ca="1"/>
        <v>0</v>
      </c>
      <c r="V280">
        <f ca="1"/>
        <v>0.4599500537479575</v>
      </c>
      <c r="X280" s="2">
        <f t="shared" ca="1" si="29"/>
        <v>45020</v>
      </c>
      <c r="Y280">
        <f t="shared" ca="1" si="30"/>
        <v>0</v>
      </c>
      <c r="AA280" s="63">
        <f t="shared" ca="1" si="32"/>
        <v>-10.230163270262613</v>
      </c>
      <c r="AB280" s="63">
        <f t="shared" ca="1" si="33"/>
        <v>-10.230163270262613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45021</v>
      </c>
      <c r="K281">
        <f ca="1"/>
        <v>-12.157676993262148</v>
      </c>
      <c r="L281">
        <f ca="1"/>
        <v>1.0140191744132157</v>
      </c>
      <c r="M281">
        <f ca="1"/>
        <v>3.2605192925734272E-2</v>
      </c>
      <c r="N281">
        <f ca="1"/>
        <v>0</v>
      </c>
      <c r="O281">
        <f ca="1"/>
        <v>0</v>
      </c>
      <c r="P281">
        <f ca="1"/>
        <v>14.489258093856552</v>
      </c>
      <c r="Q281">
        <f ca="1"/>
        <v>12.367400214003084</v>
      </c>
      <c r="R281">
        <f ca="1"/>
        <v>0</v>
      </c>
      <c r="S281">
        <f ca="1"/>
        <v>0.66913656280101719</v>
      </c>
      <c r="T281">
        <f ca="1"/>
        <v>0</v>
      </c>
      <c r="U281">
        <f ca="1"/>
        <v>0</v>
      </c>
      <c r="V281">
        <f ca="1"/>
        <v>0.51618457877267565</v>
      </c>
      <c r="X281" s="2">
        <f t="shared" ca="1" si="29"/>
        <v>45021</v>
      </c>
      <c r="Y281">
        <f t="shared" ca="1" si="30"/>
        <v>0</v>
      </c>
      <c r="AA281" s="63">
        <f t="shared" ca="1" si="32"/>
        <v>-11.143657818848933</v>
      </c>
      <c r="AB281" s="63">
        <f t="shared" ca="1" si="33"/>
        <v>-11.143657818848933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45022</v>
      </c>
      <c r="K282">
        <f ca="1"/>
        <v>-13.210061706124618</v>
      </c>
      <c r="L282">
        <f ca="1"/>
        <v>1.0883399242979745</v>
      </c>
      <c r="M282">
        <f ca="1"/>
        <v>3.5955211435505063E-2</v>
      </c>
      <c r="N282">
        <f ca="1"/>
        <v>0</v>
      </c>
      <c r="O282">
        <f ca="1"/>
        <v>0</v>
      </c>
      <c r="P282">
        <f ca="1"/>
        <v>15.577598018154527</v>
      </c>
      <c r="Q282">
        <f ca="1"/>
        <v>13.296359814659095</v>
      </c>
      <c r="R282">
        <f ca="1"/>
        <v>0</v>
      </c>
      <c r="S282">
        <f ca="1"/>
        <v>0.67932010402004872</v>
      </c>
      <c r="T282">
        <f ca="1"/>
        <v>0</v>
      </c>
      <c r="U282">
        <f ca="1"/>
        <v>0</v>
      </c>
      <c r="V282">
        <f ca="1"/>
        <v>0.57206109146593132</v>
      </c>
      <c r="X282" s="2">
        <f t="shared" ca="1" si="29"/>
        <v>45022</v>
      </c>
      <c r="Y282">
        <f t="shared" ca="1" si="30"/>
        <v>0</v>
      </c>
      <c r="AA282" s="63">
        <f t="shared" ca="1" si="32"/>
        <v>-12.121721781826643</v>
      </c>
      <c r="AB282" s="63">
        <f t="shared" ca="1" si="33"/>
        <v>-12.121721781826643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45023</v>
      </c>
      <c r="K283">
        <f ca="1"/>
        <v>-14.33353307176702</v>
      </c>
      <c r="L283">
        <f ca="1"/>
        <v>1.1623677728722459</v>
      </c>
      <c r="M283">
        <f ca="1"/>
        <v>3.8896407229843E-2</v>
      </c>
      <c r="N283">
        <f ca="1"/>
        <v>0</v>
      </c>
      <c r="O283">
        <f ca="1"/>
        <v>0</v>
      </c>
      <c r="P283">
        <f ca="1"/>
        <v>16.739965791026773</v>
      </c>
      <c r="Q283">
        <f ca="1"/>
        <v>14.288506365562599</v>
      </c>
      <c r="R283">
        <f ca="1"/>
        <v>0</v>
      </c>
      <c r="S283">
        <f ca="1"/>
        <v>0.67723288738867349</v>
      </c>
      <c r="T283">
        <f ca="1"/>
        <v>0</v>
      </c>
      <c r="U283">
        <f ca="1"/>
        <v>0</v>
      </c>
      <c r="V283">
        <f ca="1"/>
        <v>0.62597101860230597</v>
      </c>
      <c r="X283" s="2">
        <f t="shared" ca="1" si="29"/>
        <v>45023</v>
      </c>
      <c r="Y283">
        <f t="shared" ca="1" si="30"/>
        <v>0</v>
      </c>
      <c r="AA283" s="63">
        <f t="shared" ca="1" si="32"/>
        <v>-13.171165298894774</v>
      </c>
      <c r="AB283" s="63">
        <f t="shared" ca="1" si="33"/>
        <v>-13.171165298894774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45024</v>
      </c>
      <c r="K284">
        <f ca="1"/>
        <v>-15.50804010359758</v>
      </c>
      <c r="L284">
        <f ca="1"/>
        <v>1.215415235129047</v>
      </c>
      <c r="M284">
        <f ca="1"/>
        <v>4.0908203298486434E-2</v>
      </c>
      <c r="N284">
        <f ca="1"/>
        <v>0</v>
      </c>
      <c r="O284">
        <f ca="1"/>
        <v>0</v>
      </c>
      <c r="P284">
        <f ca="1"/>
        <v>17.95538102615582</v>
      </c>
      <c r="Q284">
        <f ca="1"/>
        <v>15.32593192190706</v>
      </c>
      <c r="R284">
        <f ca="1"/>
        <v>0</v>
      </c>
      <c r="S284">
        <f ca="1"/>
        <v>0.68951418675074649</v>
      </c>
      <c r="T284">
        <f ca="1"/>
        <v>0</v>
      </c>
      <c r="U284">
        <f ca="1"/>
        <v>0</v>
      </c>
      <c r="V284">
        <f ca="1"/>
        <v>0.67578827395745988</v>
      </c>
      <c r="X284" s="2">
        <f t="shared" ca="1" si="29"/>
        <v>45024</v>
      </c>
      <c r="Y284">
        <f t="shared" ca="1" si="30"/>
        <v>0</v>
      </c>
      <c r="AA284" s="63">
        <f t="shared" ca="1" si="32"/>
        <v>-14.292624868468533</v>
      </c>
      <c r="AB284" s="63">
        <f t="shared" ca="1" si="33"/>
        <v>-14.292624868468533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45025</v>
      </c>
      <c r="K285">
        <f ca="1"/>
        <v>-16.729519614858653</v>
      </c>
      <c r="L285">
        <f ca="1"/>
        <v>1.2639535425817314</v>
      </c>
      <c r="M285">
        <f ca="1"/>
        <v>4.2474031320657524E-2</v>
      </c>
      <c r="N285">
        <f ca="1"/>
        <v>0</v>
      </c>
      <c r="O285">
        <f ca="1"/>
        <v>0</v>
      </c>
      <c r="P285">
        <f ca="1"/>
        <v>19.219334568737551</v>
      </c>
      <c r="Q285">
        <f ca="1"/>
        <v>16.404787665365944</v>
      </c>
      <c r="R285">
        <f ca="1"/>
        <v>0</v>
      </c>
      <c r="S285">
        <f ca="1"/>
        <v>0.72623065668225462</v>
      </c>
      <c r="T285">
        <f ca="1"/>
        <v>0</v>
      </c>
      <c r="U285">
        <f ca="1"/>
        <v>0</v>
      </c>
      <c r="V285">
        <f ca="1"/>
        <v>0.72075362186286229</v>
      </c>
      <c r="X285" s="2">
        <f t="shared" ca="1" si="29"/>
        <v>45025</v>
      </c>
      <c r="Y285">
        <f t="shared" ca="1" si="30"/>
        <v>0</v>
      </c>
      <c r="AA285" s="63">
        <f t="shared" ca="1" si="32"/>
        <v>-15.465566072276921</v>
      </c>
      <c r="AB285" s="63">
        <f t="shared" ca="1" si="33"/>
        <v>-15.465566072276921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45026</v>
      </c>
      <c r="K286">
        <f ca="1"/>
        <v>-18.021756410916211</v>
      </c>
      <c r="L286">
        <f ca="1"/>
        <v>1.3365780263154541</v>
      </c>
      <c r="M286">
        <f ca="1"/>
        <v>4.4341230257895603E-2</v>
      </c>
      <c r="N286">
        <f ca="1"/>
        <v>0</v>
      </c>
      <c r="O286">
        <f ca="1"/>
        <v>0</v>
      </c>
      <c r="P286">
        <f ca="1"/>
        <v>20.555912595053005</v>
      </c>
      <c r="Q286">
        <f ca="1"/>
        <v>17.54563250791135</v>
      </c>
      <c r="R286">
        <f ca="1"/>
        <v>0</v>
      </c>
      <c r="S286">
        <f ca="1"/>
        <v>0.73335975667548181</v>
      </c>
      <c r="T286">
        <f ca="1"/>
        <v>0</v>
      </c>
      <c r="U286">
        <f ca="1"/>
        <v>0</v>
      </c>
      <c r="V286">
        <f ca="1"/>
        <v>0.76135544522494247</v>
      </c>
      <c r="X286" s="2">
        <f t="shared" ca="1" si="29"/>
        <v>45026</v>
      </c>
      <c r="Y286">
        <f t="shared" ca="1" si="30"/>
        <v>0</v>
      </c>
      <c r="AA286" s="63">
        <f t="shared" ca="1" si="32"/>
        <v>-16.685178384600757</v>
      </c>
      <c r="AB286" s="63">
        <f t="shared" ca="1" si="33"/>
        <v>-16.685178384600757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45027</v>
      </c>
      <c r="K287">
        <f ca="1"/>
        <v>-19.363305690958061</v>
      </c>
      <c r="L287">
        <f ca="1"/>
        <v>1.3869518355083237</v>
      </c>
      <c r="M287">
        <f ca="1"/>
        <v>4.5402555466474759E-2</v>
      </c>
      <c r="N287">
        <f ca="1"/>
        <v>0</v>
      </c>
      <c r="O287">
        <f ca="1"/>
        <v>0</v>
      </c>
      <c r="P287">
        <f ca="1"/>
        <v>21.942864430561329</v>
      </c>
      <c r="Q287">
        <f ca="1"/>
        <v>18.7294742419854</v>
      </c>
      <c r="R287">
        <f ca="1"/>
        <v>0</v>
      </c>
      <c r="S287">
        <f ca="1"/>
        <v>0.73885549378722359</v>
      </c>
      <c r="T287">
        <f ca="1"/>
        <v>0</v>
      </c>
      <c r="U287">
        <f ca="1"/>
        <v>0</v>
      </c>
      <c r="V287">
        <f ca="1"/>
        <v>0.79683907942594101</v>
      </c>
      <c r="X287" s="2">
        <f t="shared" ca="1" si="29"/>
        <v>45027</v>
      </c>
      <c r="Y287">
        <f t="shared" ca="1" si="30"/>
        <v>0</v>
      </c>
      <c r="AA287" s="63">
        <f t="shared" ca="1" si="32"/>
        <v>-17.976353855449737</v>
      </c>
      <c r="AB287" s="63">
        <f t="shared" ca="1" si="33"/>
        <v>-17.976353855449737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45028</v>
      </c>
      <c r="K288">
        <f ca="1"/>
        <v>-20.79832749423073</v>
      </c>
      <c r="L288">
        <f ca="1"/>
        <v>1.4822873727877486</v>
      </c>
      <c r="M288">
        <f ca="1"/>
        <v>4.7265569515081651E-2</v>
      </c>
      <c r="N288">
        <f ca="1"/>
        <v>0</v>
      </c>
      <c r="O288">
        <f ca="1"/>
        <v>0</v>
      </c>
      <c r="P288">
        <f ca="1"/>
        <v>23.425151803349078</v>
      </c>
      <c r="Q288">
        <f ca="1"/>
        <v>19.994690242189169</v>
      </c>
      <c r="R288">
        <f ca="1"/>
        <v>0</v>
      </c>
      <c r="S288">
        <f ca="1"/>
        <v>0.76376212117358278</v>
      </c>
      <c r="T288">
        <f ca="1"/>
        <v>0</v>
      </c>
      <c r="U288">
        <f ca="1"/>
        <v>0</v>
      </c>
      <c r="V288">
        <f ca="1"/>
        <v>0.82837901658987823</v>
      </c>
      <c r="X288" s="2">
        <f t="shared" ca="1" si="29"/>
        <v>45028</v>
      </c>
      <c r="Y288">
        <f t="shared" ca="1" si="30"/>
        <v>0</v>
      </c>
      <c r="AA288" s="63">
        <f t="shared" ca="1" si="32"/>
        <v>-19.316040121442981</v>
      </c>
      <c r="AB288" s="63">
        <f t="shared" ca="1" si="33"/>
        <v>-19.316040121442981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45029</v>
      </c>
      <c r="K289">
        <f ca="1"/>
        <v>-22.365296089335995</v>
      </c>
      <c r="L289">
        <f ca="1"/>
        <v>1.6166836597273608</v>
      </c>
      <c r="M289">
        <f ca="1"/>
        <v>4.9715064622096961E-2</v>
      </c>
      <c r="N289">
        <f ca="1"/>
        <v>0</v>
      </c>
      <c r="O289">
        <f ca="1"/>
        <v>0</v>
      </c>
      <c r="P289">
        <f ca="1"/>
        <v>25.041835463076438</v>
      </c>
      <c r="Q289">
        <f ca="1"/>
        <v>21.374621064717967</v>
      </c>
      <c r="R289">
        <f ca="1"/>
        <v>0</v>
      </c>
      <c r="S289">
        <f ca="1"/>
        <v>0.76383880819000605</v>
      </c>
      <c r="T289">
        <f ca="1"/>
        <v>0</v>
      </c>
      <c r="U289">
        <f ca="1"/>
        <v>0</v>
      </c>
      <c r="V289">
        <f ca="1"/>
        <v>0.85654721640452092</v>
      </c>
      <c r="X289" s="2">
        <f t="shared" ca="1" si="29"/>
        <v>45029</v>
      </c>
      <c r="Y289">
        <f t="shared" ca="1" si="30"/>
        <v>0</v>
      </c>
      <c r="AA289" s="63">
        <f t="shared" ca="1" si="32"/>
        <v>-20.748612429608634</v>
      </c>
      <c r="AB289" s="63">
        <f t="shared" ca="1" si="33"/>
        <v>-20.748612429608634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45030</v>
      </c>
      <c r="K290">
        <f ca="1"/>
        <v>-23.984208408424696</v>
      </c>
      <c r="L290">
        <f ca="1"/>
        <v>1.6689718145750945</v>
      </c>
      <c r="M290">
        <f ca="1"/>
        <v>5.00594954863951E-2</v>
      </c>
      <c r="N290">
        <f ca="1"/>
        <v>0</v>
      </c>
      <c r="O290">
        <f ca="1"/>
        <v>0</v>
      </c>
      <c r="P290">
        <f ca="1"/>
        <v>26.710807277651533</v>
      </c>
      <c r="Q290">
        <f ca="1"/>
        <v>22.799182780924319</v>
      </c>
      <c r="R290">
        <f ca="1"/>
        <v>0</v>
      </c>
      <c r="S290">
        <f ca="1"/>
        <v>0.78037873701996485</v>
      </c>
      <c r="T290">
        <f ca="1"/>
        <v>0</v>
      </c>
      <c r="U290">
        <f ca="1"/>
        <v>0</v>
      </c>
      <c r="V290">
        <f ca="1"/>
        <v>0.8801058348883708</v>
      </c>
      <c r="X290" s="2">
        <f t="shared" ca="1" si="29"/>
        <v>45030</v>
      </c>
      <c r="Y290">
        <f t="shared" ca="1" si="30"/>
        <v>0</v>
      </c>
      <c r="AA290" s="63">
        <f t="shared" ca="1" si="32"/>
        <v>-22.315236593849601</v>
      </c>
      <c r="AB290" s="63">
        <f t="shared" ca="1" si="33"/>
        <v>-22.315236593849601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45031</v>
      </c>
      <c r="K291">
        <f ca="1"/>
        <v>-25.673805609251605</v>
      </c>
      <c r="L291">
        <f ca="1"/>
        <v>1.7402580351624337</v>
      </c>
      <c r="M291">
        <f ca="1"/>
        <v>5.066083433552393E-2</v>
      </c>
      <c r="N291">
        <f ca="1"/>
        <v>0</v>
      </c>
      <c r="O291">
        <f ca="1"/>
        <v>0</v>
      </c>
      <c r="P291">
        <f ca="1"/>
        <v>28.451065312813967</v>
      </c>
      <c r="Q291">
        <f ca="1"/>
        <v>24.284591313029495</v>
      </c>
      <c r="R291">
        <f ca="1"/>
        <v>0</v>
      </c>
      <c r="S291">
        <f ca="1"/>
        <v>0.78870378167628086</v>
      </c>
      <c r="T291">
        <f ca="1"/>
        <v>0</v>
      </c>
      <c r="U291">
        <f ca="1"/>
        <v>0</v>
      </c>
      <c r="V291">
        <f ca="1"/>
        <v>0.89992276978037045</v>
      </c>
      <c r="X291" s="2">
        <f t="shared" ca="1" si="29"/>
        <v>45031</v>
      </c>
      <c r="Y291">
        <f t="shared" ca="1" si="30"/>
        <v>0</v>
      </c>
      <c r="AA291" s="63">
        <f t="shared" ca="1" si="32"/>
        <v>-23.933547574089172</v>
      </c>
      <c r="AB291" s="63">
        <f t="shared" ca="1" si="33"/>
        <v>-23.933547574089172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45032</v>
      </c>
      <c r="K292">
        <f ca="1"/>
        <v>-27.558508432561442</v>
      </c>
      <c r="L292">
        <f ca="1"/>
        <v>1.9382930120145971</v>
      </c>
      <c r="M292">
        <f ca="1"/>
        <v>5.3590188704759179E-2</v>
      </c>
      <c r="N292">
        <f ca="1"/>
        <v>0</v>
      </c>
      <c r="O292">
        <f ca="1"/>
        <v>0</v>
      </c>
      <c r="P292">
        <f ca="1"/>
        <v>30.389358324828564</v>
      </c>
      <c r="Q292">
        <f ca="1"/>
        <v>25.939033883954092</v>
      </c>
      <c r="R292">
        <f ca="1"/>
        <v>0</v>
      </c>
      <c r="S292">
        <f ca="1"/>
        <v>0.81098824408356895</v>
      </c>
      <c r="T292">
        <f ca="1"/>
        <v>0</v>
      </c>
      <c r="U292">
        <f ca="1"/>
        <v>0</v>
      </c>
      <c r="V292">
        <f ca="1"/>
        <v>0.91753279728788206</v>
      </c>
      <c r="X292" s="2">
        <f t="shared" ca="1" si="29"/>
        <v>45032</v>
      </c>
      <c r="Y292">
        <f t="shared" ca="1" si="30"/>
        <v>0</v>
      </c>
      <c r="AA292" s="63">
        <f t="shared" ca="1" si="32"/>
        <v>-25.620215420546845</v>
      </c>
      <c r="AB292" s="63">
        <f t="shared" ca="1" si="33"/>
        <v>-25.620215420546845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45033</v>
      </c>
      <c r="K293">
        <f ca="1"/>
        <v>-29.5142838111435</v>
      </c>
      <c r="L293">
        <f ca="1"/>
        <v>2.0094500541324223</v>
      </c>
      <c r="M293">
        <f ca="1"/>
        <v>5.3674675550366757E-2</v>
      </c>
      <c r="N293">
        <f ca="1"/>
        <v>0</v>
      </c>
      <c r="O293">
        <f ca="1"/>
        <v>0</v>
      </c>
      <c r="P293">
        <f ca="1"/>
        <v>32.398808378960986</v>
      </c>
      <c r="Q293">
        <f ca="1"/>
        <v>27.654213009657077</v>
      </c>
      <c r="R293">
        <f ca="1"/>
        <v>0</v>
      </c>
      <c r="S293">
        <f ca="1"/>
        <v>0.82048638994570078</v>
      </c>
      <c r="T293">
        <f ca="1"/>
        <v>0</v>
      </c>
      <c r="U293">
        <f ca="1"/>
        <v>0</v>
      </c>
      <c r="V293">
        <f ca="1"/>
        <v>0.9319613295872694</v>
      </c>
      <c r="X293" s="2">
        <f t="shared" ca="1" si="29"/>
        <v>45033</v>
      </c>
      <c r="Y293">
        <f t="shared" ca="1" si="30"/>
        <v>0</v>
      </c>
      <c r="AA293" s="63">
        <f t="shared" ca="1" si="32"/>
        <v>-27.504833757011077</v>
      </c>
      <c r="AB293" s="63">
        <f t="shared" ca="1" si="33"/>
        <v>-27.504833757011077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45034</v>
      </c>
      <c r="K294">
        <f ca="1"/>
        <v>-31.592099132306817</v>
      </c>
      <c r="L294">
        <f ca="1"/>
        <v>2.1324047479056532</v>
      </c>
      <c r="M294">
        <f ca="1"/>
        <v>5.4589426742334801E-2</v>
      </c>
      <c r="N294">
        <f ca="1"/>
        <v>0</v>
      </c>
      <c r="O294">
        <f ca="1"/>
        <v>0</v>
      </c>
      <c r="P294">
        <f ca="1"/>
        <v>34.531213126866639</v>
      </c>
      <c r="Q294">
        <f ca="1"/>
        <v>29.474340911635121</v>
      </c>
      <c r="R294">
        <f ca="1"/>
        <v>0</v>
      </c>
      <c r="S294">
        <f ca="1"/>
        <v>0.83111976576685676</v>
      </c>
      <c r="T294">
        <f ca="1"/>
        <v>0</v>
      </c>
      <c r="U294">
        <f ca="1"/>
        <v>0</v>
      </c>
      <c r="V294">
        <f ca="1"/>
        <v>0.94403000862926878</v>
      </c>
      <c r="X294" s="2">
        <f t="shared" ca="1" si="29"/>
        <v>45034</v>
      </c>
      <c r="Y294">
        <f t="shared" ca="1" si="30"/>
        <v>0</v>
      </c>
      <c r="AA294" s="63">
        <f t="shared" ca="1" si="32"/>
        <v>-29.459694384401164</v>
      </c>
      <c r="AB294" s="63">
        <f t="shared" ca="1" si="33"/>
        <v>-29.459694384401164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45035</v>
      </c>
      <c r="K295">
        <f ca="1"/>
        <v>-33.745500931718055</v>
      </c>
      <c r="L295">
        <f ca="1"/>
        <v>2.2078760026037472</v>
      </c>
      <c r="M295">
        <f ca="1"/>
        <v>5.4474203192511617E-2</v>
      </c>
      <c r="N295">
        <f ca="1"/>
        <v>0</v>
      </c>
      <c r="O295">
        <f ca="1"/>
        <v>0</v>
      </c>
      <c r="P295">
        <f ca="1"/>
        <v>36.739089129470386</v>
      </c>
      <c r="Q295">
        <f ca="1"/>
        <v>31.358887792518658</v>
      </c>
      <c r="R295">
        <f ca="1"/>
        <v>0</v>
      </c>
      <c r="S295">
        <f ca="1"/>
        <v>0.83336099674564623</v>
      </c>
      <c r="T295">
        <f ca="1"/>
        <v>0</v>
      </c>
      <c r="U295">
        <f ca="1"/>
        <v>0</v>
      </c>
      <c r="V295">
        <f ca="1"/>
        <v>0.95386170848418017</v>
      </c>
      <c r="X295" s="2">
        <f t="shared" ca="1" si="29"/>
        <v>45035</v>
      </c>
      <c r="Y295">
        <f t="shared" ca="1" si="30"/>
        <v>0</v>
      </c>
      <c r="AA295" s="63">
        <f t="shared" ca="1" si="32"/>
        <v>-31.537624929114305</v>
      </c>
      <c r="AB295" s="63">
        <f t="shared" ca="1" si="33"/>
        <v>-31.537624929114308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45036</v>
      </c>
      <c r="K296">
        <f ca="1"/>
        <v>-36.075799946516938</v>
      </c>
      <c r="L296">
        <f ca="1"/>
        <v>2.3862656981607202</v>
      </c>
      <c r="M296">
        <f ca="1"/>
        <v>5.5966683361837966E-2</v>
      </c>
      <c r="N296">
        <f ca="1"/>
        <v>0</v>
      </c>
      <c r="O296">
        <f ca="1"/>
        <v>0</v>
      </c>
      <c r="P296">
        <f ca="1"/>
        <v>39.125354827631107</v>
      </c>
      <c r="Q296">
        <f ca="1"/>
        <v>33.395700354965463</v>
      </c>
      <c r="R296">
        <f ca="1"/>
        <v>0</v>
      </c>
      <c r="S296">
        <f ca="1"/>
        <v>0.82464304409658906</v>
      </c>
      <c r="T296">
        <f ca="1"/>
        <v>0</v>
      </c>
      <c r="U296">
        <f ca="1"/>
        <v>0</v>
      </c>
      <c r="V296">
        <f ca="1"/>
        <v>0.96219598778363047</v>
      </c>
      <c r="X296" s="2">
        <f t="shared" ca="1" si="29"/>
        <v>45036</v>
      </c>
      <c r="Y296">
        <f t="shared" ca="1" si="30"/>
        <v>0</v>
      </c>
      <c r="AA296" s="63">
        <f t="shared" ca="1" si="32"/>
        <v>-33.689534248356217</v>
      </c>
      <c r="AB296" s="63">
        <f t="shared" ca="1" si="33"/>
        <v>-33.689534248356217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45037</v>
      </c>
      <c r="K297">
        <f ca="1"/>
        <v>-38.506537844384113</v>
      </c>
      <c r="L297">
        <f ca="1"/>
        <v>2.4866793476512044</v>
      </c>
      <c r="M297">
        <f ca="1"/>
        <v>5.594144978403115E-2</v>
      </c>
      <c r="N297">
        <f ca="1"/>
        <v>0</v>
      </c>
      <c r="O297">
        <f ca="1"/>
        <v>0</v>
      </c>
      <c r="P297">
        <f ca="1"/>
        <v>41.612034175282311</v>
      </c>
      <c r="Q297">
        <f ca="1"/>
        <v>35.518221639153097</v>
      </c>
      <c r="R297">
        <f ca="1"/>
        <v>0</v>
      </c>
      <c r="S297">
        <f ca="1"/>
        <v>0.85044111531682298</v>
      </c>
      <c r="T297">
        <f ca="1"/>
        <v>0</v>
      </c>
      <c r="U297">
        <f ca="1"/>
        <v>0</v>
      </c>
      <c r="V297">
        <f ca="1"/>
        <v>0.96898368108406063</v>
      </c>
      <c r="X297" s="2">
        <f t="shared" ca="1" si="29"/>
        <v>45037</v>
      </c>
      <c r="Y297">
        <f t="shared" ca="1" si="30"/>
        <v>0</v>
      </c>
      <c r="AA297" s="63">
        <f t="shared" ca="1" si="32"/>
        <v>-36.019858496732908</v>
      </c>
      <c r="AB297" s="63">
        <f t="shared" ca="1" si="33"/>
        <v>-36.019858496732908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45038</v>
      </c>
      <c r="K298">
        <f ca="1"/>
        <v>-40.887345085020854</v>
      </c>
      <c r="L298">
        <f ca="1"/>
        <v>2.434416686086962</v>
      </c>
      <c r="M298">
        <f ca="1"/>
        <v>5.3609445450216953E-2</v>
      </c>
      <c r="N298">
        <f ca="1"/>
        <v>0</v>
      </c>
      <c r="O298">
        <f ca="1"/>
        <v>0</v>
      </c>
      <c r="P298">
        <f ca="1"/>
        <v>44.046450861369273</v>
      </c>
      <c r="Q298">
        <f ca="1"/>
        <v>37.59613378962063</v>
      </c>
      <c r="R298">
        <f ca="1"/>
        <v>0</v>
      </c>
      <c r="S298">
        <f ca="1"/>
        <v>0.87041928358261622</v>
      </c>
      <c r="T298">
        <f ca="1"/>
        <v>0</v>
      </c>
      <c r="U298">
        <f ca="1"/>
        <v>0</v>
      </c>
      <c r="V298">
        <f ca="1"/>
        <v>0.9742211707771552</v>
      </c>
      <c r="X298" s="2">
        <f t="shared" ca="1" si="29"/>
        <v>45038</v>
      </c>
      <c r="Y298">
        <f t="shared" ca="1" si="30"/>
        <v>0</v>
      </c>
      <c r="AA298" s="63">
        <f t="shared" ca="1" si="32"/>
        <v>-38.452928398933892</v>
      </c>
      <c r="AB298" s="63">
        <f t="shared" ca="1" si="33"/>
        <v>-38.452928398933892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45039</v>
      </c>
      <c r="K299">
        <f ca="1"/>
        <v>-43.433036594081557</v>
      </c>
      <c r="L299">
        <f ca="1"/>
        <v>2.6002097241753006</v>
      </c>
      <c r="M299">
        <f ca="1"/>
        <v>5.4518215114598867E-2</v>
      </c>
      <c r="N299">
        <f ca="1"/>
        <v>0</v>
      </c>
      <c r="O299">
        <f ca="1"/>
        <v>0</v>
      </c>
      <c r="P299">
        <f ca="1"/>
        <v>46.646660585544574</v>
      </c>
      <c r="Q299">
        <f ca="1"/>
        <v>39.815559662975289</v>
      </c>
      <c r="R299">
        <f ca="1"/>
        <v>0</v>
      </c>
      <c r="S299">
        <f ca="1"/>
        <v>0.87111962981904101</v>
      </c>
      <c r="T299">
        <f ca="1"/>
        <v>0</v>
      </c>
      <c r="U299">
        <f ca="1"/>
        <v>0</v>
      </c>
      <c r="V299">
        <f ca="1"/>
        <v>0.97865645521586542</v>
      </c>
      <c r="X299" s="2">
        <f t="shared" ca="1" si="29"/>
        <v>45039</v>
      </c>
      <c r="Y299">
        <f t="shared" ca="1" si="30"/>
        <v>0</v>
      </c>
      <c r="AA299" s="63">
        <f t="shared" ca="1" si="32"/>
        <v>-40.832826869906256</v>
      </c>
      <c r="AB299" s="63">
        <f t="shared" ca="1" si="33"/>
        <v>-40.832826869906256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45040</v>
      </c>
      <c r="K300">
        <f ca="1"/>
        <v>-46.057112329900235</v>
      </c>
      <c r="L300">
        <f ca="1"/>
        <v>2.6781554306506763</v>
      </c>
      <c r="M300">
        <f ca="1"/>
        <v>5.407969483199615E-2</v>
      </c>
      <c r="N300">
        <f ca="1"/>
        <v>0</v>
      </c>
      <c r="O300">
        <f ca="1"/>
        <v>0</v>
      </c>
      <c r="P300">
        <f ca="1"/>
        <v>49.32481601619525</v>
      </c>
      <c r="Q300">
        <f ca="1"/>
        <v>42.101516599597623</v>
      </c>
      <c r="R300">
        <f ca="1"/>
        <v>0</v>
      </c>
      <c r="S300">
        <f ca="1"/>
        <v>0.90301533627117969</v>
      </c>
      <c r="T300">
        <f ca="1"/>
        <v>0</v>
      </c>
      <c r="U300">
        <f ca="1"/>
        <v>0</v>
      </c>
      <c r="V300">
        <f ca="1"/>
        <v>0.98227652541970301</v>
      </c>
      <c r="X300" s="2">
        <f t="shared" ca="1" si="29"/>
        <v>45040</v>
      </c>
      <c r="Y300">
        <f t="shared" ca="1" si="30"/>
        <v>0</v>
      </c>
      <c r="AA300" s="63">
        <f t="shared" ca="1" si="32"/>
        <v>-43.378956899249559</v>
      </c>
      <c r="AB300" s="63">
        <f t="shared" ca="1" si="33"/>
        <v>-43.378956899249559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45041</v>
      </c>
      <c r="K301">
        <f ca="1"/>
        <v>-48.896683790536642</v>
      </c>
      <c r="L301">
        <f ca="1"/>
        <v>2.8949256240351033</v>
      </c>
      <c r="M301">
        <f ca="1"/>
        <v>5.535416339869581E-2</v>
      </c>
      <c r="N301">
        <f ca="1"/>
        <v>0</v>
      </c>
      <c r="O301">
        <f ca="1"/>
        <v>0</v>
      </c>
      <c r="P301">
        <f ca="1"/>
        <v>52.219741640230353</v>
      </c>
      <c r="Q301">
        <f ca="1"/>
        <v>44.572499140615022</v>
      </c>
      <c r="R301">
        <f ca="1"/>
        <v>0</v>
      </c>
      <c r="S301">
        <f ca="1"/>
        <v>0.97048278237577967</v>
      </c>
      <c r="T301">
        <f ca="1"/>
        <v>0</v>
      </c>
      <c r="U301">
        <f ca="1"/>
        <v>0</v>
      </c>
      <c r="V301">
        <f ca="1"/>
        <v>0.98537265320403677</v>
      </c>
      <c r="X301" s="2">
        <f t="shared" ca="1" si="29"/>
        <v>45041</v>
      </c>
      <c r="Y301">
        <f t="shared" ca="1" si="30"/>
        <v>0</v>
      </c>
      <c r="AA301" s="63">
        <f t="shared" ca="1" si="32"/>
        <v>-46.001758166501538</v>
      </c>
      <c r="AB301" s="63">
        <f t="shared" ca="1" si="33"/>
        <v>-46.001758166501538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45042</v>
      </c>
      <c r="K302">
        <f ca="1"/>
        <v>-51.952535408032688</v>
      </c>
      <c r="L302">
        <f ca="1"/>
        <v>3.1122523348659712</v>
      </c>
      <c r="M302">
        <f ca="1"/>
        <v>5.6400717369927911E-2</v>
      </c>
      <c r="N302">
        <f ca="1"/>
        <v>0</v>
      </c>
      <c r="O302">
        <f ca="1"/>
        <v>0</v>
      </c>
      <c r="P302">
        <f ca="1"/>
        <v>55.331993975096324</v>
      </c>
      <c r="Q302">
        <f ca="1"/>
        <v>47.228982305103138</v>
      </c>
      <c r="R302">
        <f ca="1"/>
        <v>0</v>
      </c>
      <c r="S302">
        <f ca="1"/>
        <v>0.98655482994115207</v>
      </c>
      <c r="T302">
        <f ca="1"/>
        <v>0</v>
      </c>
      <c r="U302">
        <f ca="1"/>
        <v>0</v>
      </c>
      <c r="V302">
        <f ca="1"/>
        <v>0.98798919653210948</v>
      </c>
      <c r="X302" s="2">
        <f t="shared" ca="1" si="29"/>
        <v>45042</v>
      </c>
      <c r="Y302">
        <f t="shared" ca="1" si="30"/>
        <v>0</v>
      </c>
      <c r="AA302" s="63">
        <f t="shared" ca="1" si="32"/>
        <v>-48.840283073166717</v>
      </c>
      <c r="AB302" s="63">
        <f t="shared" ca="1" si="33"/>
        <v>-48.840283073166717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45043</v>
      </c>
      <c r="K303">
        <f ca="1"/>
        <v>-55.29596575709926</v>
      </c>
      <c r="L303">
        <f ca="1"/>
        <v>3.4015163361516301</v>
      </c>
      <c r="M303">
        <f ca="1"/>
        <v>5.8085987085054747E-2</v>
      </c>
      <c r="N303">
        <f ca="1"/>
        <v>0</v>
      </c>
      <c r="O303">
        <f ca="1"/>
        <v>0</v>
      </c>
      <c r="P303">
        <f ca="1"/>
        <v>58.733510311247954</v>
      </c>
      <c r="Q303">
        <f ca="1"/>
        <v>50.132368633868545</v>
      </c>
      <c r="R303">
        <f ca="1"/>
        <v>0</v>
      </c>
      <c r="S303">
        <f ca="1"/>
        <v>0.99746816449042908</v>
      </c>
      <c r="T303">
        <f ca="1"/>
        <v>0</v>
      </c>
      <c r="U303">
        <f ca="1"/>
        <v>0</v>
      </c>
      <c r="V303">
        <f ca="1"/>
        <v>0.99022005109548272</v>
      </c>
      <c r="X303" s="2">
        <f t="shared" ca="1" si="29"/>
        <v>45043</v>
      </c>
      <c r="Y303">
        <f t="shared" ca="1" si="30"/>
        <v>0</v>
      </c>
      <c r="AA303" s="63">
        <f t="shared" ca="1" si="32"/>
        <v>-51.89444942094763</v>
      </c>
      <c r="AB303" s="63">
        <f t="shared" ca="1" si="33"/>
        <v>-51.89444942094763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45044</v>
      </c>
      <c r="K304">
        <f ca="1"/>
        <v>-58.895508546634581</v>
      </c>
      <c r="L304">
        <f ca="1"/>
        <v>3.6586418652417407</v>
      </c>
      <c r="M304">
        <f ca="1"/>
        <v>5.9099075706417814E-2</v>
      </c>
      <c r="N304">
        <f ca="1"/>
        <v>0</v>
      </c>
      <c r="O304">
        <f ca="1"/>
        <v>0</v>
      </c>
      <c r="P304">
        <f ca="1"/>
        <v>62.392152176489695</v>
      </c>
      <c r="Q304">
        <f ca="1"/>
        <v>53.255226125539316</v>
      </c>
      <c r="R304">
        <f ca="1"/>
        <v>0</v>
      </c>
      <c r="S304">
        <f ca="1"/>
        <v>1</v>
      </c>
      <c r="T304">
        <f ca="1"/>
        <v>1.5329397748313482</v>
      </c>
      <c r="U304">
        <f ca="1"/>
        <v>0</v>
      </c>
      <c r="V304">
        <f ca="1"/>
        <v>0.99207765668835868</v>
      </c>
      <c r="X304" s="2">
        <f t="shared" ca="1" si="29"/>
        <v>45044</v>
      </c>
      <c r="Y304">
        <f t="shared" ca="1" si="30"/>
        <v>0</v>
      </c>
      <c r="AA304" s="63">
        <f t="shared" ca="1" si="32"/>
        <v>-55.23686668139284</v>
      </c>
      <c r="AB304" s="63">
        <f t="shared" ca="1" si="33"/>
        <v>-55.23686668139284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45045</v>
      </c>
      <c r="K305">
        <f ca="1"/>
        <v>-62.347761409815348</v>
      </c>
      <c r="L305">
        <f ca="1"/>
        <v>3.5077195557845826</v>
      </c>
      <c r="M305">
        <f ca="1"/>
        <v>5.5466692603816092E-2</v>
      </c>
      <c r="N305">
        <f ca="1"/>
        <v>0</v>
      </c>
      <c r="O305">
        <f ca="1"/>
        <v>0</v>
      </c>
      <c r="P305">
        <f ca="1"/>
        <v>65.899871732274278</v>
      </c>
      <c r="Q305">
        <f ca="1"/>
        <v>56.249262901188082</v>
      </c>
      <c r="R305">
        <f ca="1"/>
        <v>0</v>
      </c>
      <c r="S305">
        <f ca="1"/>
        <v>1</v>
      </c>
      <c r="T305">
        <f ca="1"/>
        <v>1.1899999999999977</v>
      </c>
      <c r="U305">
        <f ca="1"/>
        <v>0</v>
      </c>
      <c r="V305">
        <f ca="1"/>
        <v>0.99346781129447947</v>
      </c>
      <c r="X305" s="2">
        <f t="shared" ca="1" si="29"/>
        <v>45045</v>
      </c>
      <c r="Y305">
        <f t="shared" ca="1" si="30"/>
        <v>0</v>
      </c>
      <c r="AA305" s="63">
        <f t="shared" ca="1" si="32"/>
        <v>-58.840041854030765</v>
      </c>
      <c r="AB305" s="63">
        <f t="shared" ca="1" si="33"/>
        <v>-58.840041854030765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45046</v>
      </c>
      <c r="K306">
        <f ca="1"/>
        <v>-65.805712952148525</v>
      </c>
      <c r="L306">
        <f ca="1"/>
        <v>3.5118362897601259</v>
      </c>
      <c r="M306">
        <f ca="1"/>
        <v>5.3884747426945268E-2</v>
      </c>
      <c r="N306">
        <f ca="1"/>
        <v>0</v>
      </c>
      <c r="O306">
        <f ca="1"/>
        <v>0</v>
      </c>
      <c r="P306">
        <f ca="1"/>
        <v>69.411708022034404</v>
      </c>
      <c r="Q306">
        <f ca="1"/>
        <v>59.24681354182016</v>
      </c>
      <c r="R306">
        <f ca="1"/>
        <v>0</v>
      </c>
      <c r="S306">
        <f ca="1"/>
        <v>1</v>
      </c>
      <c r="T306">
        <f ca="1"/>
        <v>2.7000000000000028</v>
      </c>
      <c r="U306">
        <f ca="1"/>
        <v>0</v>
      </c>
      <c r="V306">
        <f ca="1"/>
        <v>0.99457239712777123</v>
      </c>
      <c r="X306" s="2">
        <f t="shared" ca="1" si="29"/>
        <v>45046</v>
      </c>
      <c r="Y306">
        <f t="shared" ca="1" si="30"/>
        <v>0</v>
      </c>
      <c r="AA306" s="63">
        <f t="shared" ca="1" si="32"/>
        <v>-62.293876662388399</v>
      </c>
      <c r="AB306" s="63">
        <f t="shared" ca="1" si="33"/>
        <v>-62.293876662388399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45047</v>
      </c>
      <c r="K307">
        <f ca="1"/>
        <v>-69.439160972714589</v>
      </c>
      <c r="L307">
        <f ca="1"/>
        <v>3.6874878490100542</v>
      </c>
      <c r="M307">
        <f ca="1"/>
        <v>5.4039828443990245E-2</v>
      </c>
      <c r="N307">
        <f ca="1"/>
        <v>0</v>
      </c>
      <c r="O307">
        <f ca="1"/>
        <v>0</v>
      </c>
      <c r="P307">
        <f ca="1"/>
        <v>73.099195871044458</v>
      </c>
      <c r="Q307">
        <f ca="1"/>
        <v>62.394292710012841</v>
      </c>
      <c r="R307">
        <f ca="1"/>
        <v>0</v>
      </c>
      <c r="S307">
        <f ca="1"/>
        <v>1</v>
      </c>
      <c r="T307">
        <f ca="1"/>
        <v>1.2399999999999949</v>
      </c>
      <c r="U307">
        <f ca="1"/>
        <v>0</v>
      </c>
      <c r="V307">
        <f ca="1"/>
        <v>0.99549731796581931</v>
      </c>
      <c r="X307" s="2">
        <f t="shared" ca="1" si="29"/>
        <v>45047</v>
      </c>
      <c r="Y307">
        <f t="shared" ca="1" si="30"/>
        <v>0</v>
      </c>
      <c r="AA307" s="63">
        <f t="shared" ca="1" si="32"/>
        <v>-65.751673123704535</v>
      </c>
      <c r="AB307" s="63">
        <f t="shared" ca="1" si="33"/>
        <v>-65.751673123704535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45048</v>
      </c>
      <c r="K308">
        <f ca="1"/>
        <v>-73.18337646176181</v>
      </c>
      <c r="L308">
        <f ca="1"/>
        <v>3.797737093137556</v>
      </c>
      <c r="M308">
        <f ca="1"/>
        <v>5.3521604090331465E-2</v>
      </c>
      <c r="N308">
        <f ca="1"/>
        <v>0</v>
      </c>
      <c r="O308">
        <f ca="1"/>
        <v>0</v>
      </c>
      <c r="P308">
        <f ca="1"/>
        <v>76.896932964182014</v>
      </c>
      <c r="Q308">
        <f ca="1"/>
        <v>65.635875835536112</v>
      </c>
      <c r="R308">
        <f ca="1"/>
        <v>0</v>
      </c>
      <c r="S308">
        <f ca="1"/>
        <v>1</v>
      </c>
      <c r="T308">
        <f ca="1"/>
        <v>4.6199999999999903</v>
      </c>
      <c r="U308">
        <f ca="1"/>
        <v>0</v>
      </c>
      <c r="V308">
        <f ca="1"/>
        <v>0.99625777509902047</v>
      </c>
      <c r="X308" s="2">
        <f t="shared" ca="1" si="29"/>
        <v>45048</v>
      </c>
      <c r="Y308">
        <f t="shared" ca="1" si="30"/>
        <v>0</v>
      </c>
      <c r="AA308" s="63">
        <f t="shared" ca="1" si="32"/>
        <v>-69.385639368624254</v>
      </c>
      <c r="AB308" s="63">
        <f t="shared" ca="1" si="33"/>
        <v>-69.385639368624254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45049</v>
      </c>
      <c r="K309">
        <f ca="1"/>
        <v>-77.030831587556435</v>
      </c>
      <c r="L309">
        <f ca="1"/>
        <v>3.9003917960189369</v>
      </c>
      <c r="M309">
        <f ca="1"/>
        <v>5.2936670224307925E-2</v>
      </c>
      <c r="N309">
        <f ca="1"/>
        <v>0</v>
      </c>
      <c r="O309">
        <f ca="1"/>
        <v>0</v>
      </c>
      <c r="P309">
        <f ca="1"/>
        <v>80.797324760200951</v>
      </c>
      <c r="Q309">
        <f ca="1"/>
        <v>68.965080548456044</v>
      </c>
      <c r="R309">
        <f ca="1"/>
        <v>0</v>
      </c>
      <c r="S309">
        <f ca="1"/>
        <v>1</v>
      </c>
      <c r="T309">
        <f ca="1"/>
        <v>0.71999999999999886</v>
      </c>
      <c r="U309">
        <f ca="1"/>
        <v>0</v>
      </c>
      <c r="V309">
        <f ca="1"/>
        <v>0.99688338117988173</v>
      </c>
      <c r="X309" s="2">
        <f t="shared" ca="1" si="29"/>
        <v>45049</v>
      </c>
      <c r="Y309">
        <f t="shared" ca="1" si="30"/>
        <v>0</v>
      </c>
      <c r="AA309" s="63">
        <f t="shared" ca="1" si="32"/>
        <v>-73.130439791537498</v>
      </c>
      <c r="AB309" s="63">
        <f t="shared" ca="1" si="33"/>
        <v>-73.130439791537498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45050</v>
      </c>
      <c r="K310">
        <f ca="1"/>
        <v>-80.901723961608994</v>
      </c>
      <c r="L310">
        <f ca="1"/>
        <v>3.9226070967908271</v>
      </c>
      <c r="M310">
        <f ca="1"/>
        <v>5.1714722738272378E-2</v>
      </c>
      <c r="N310">
        <f ca="1"/>
        <v>0</v>
      </c>
      <c r="O310">
        <f ca="1"/>
        <v>0</v>
      </c>
      <c r="P310">
        <f ca="1"/>
        <v>84.719931856991778</v>
      </c>
      <c r="Q310">
        <f ca="1"/>
        <v>72.313247275423947</v>
      </c>
      <c r="R310">
        <f ca="1"/>
        <v>0</v>
      </c>
      <c r="S310">
        <f ca="1"/>
        <v>1</v>
      </c>
      <c r="T310">
        <f ca="1"/>
        <v>0.39000000000000057</v>
      </c>
      <c r="U310">
        <f ca="1"/>
        <v>0</v>
      </c>
      <c r="V310">
        <f ca="1"/>
        <v>0.99739015660372132</v>
      </c>
      <c r="X310" s="2">
        <f t="shared" ca="1" si="29"/>
        <v>45050</v>
      </c>
      <c r="Y310">
        <f t="shared" ca="1" si="30"/>
        <v>0</v>
      </c>
      <c r="AA310" s="63">
        <f t="shared" ca="1" si="32"/>
        <v>-76.979116864818167</v>
      </c>
      <c r="AB310" s="63">
        <f t="shared" ca="1" si="33"/>
        <v>-76.979116864818167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45051</v>
      </c>
      <c r="K311">
        <f ca="1"/>
        <v>-84.953653261120635</v>
      </c>
      <c r="L311">
        <f ca="1"/>
        <v>4.1037337892489774</v>
      </c>
      <c r="M311">
        <f ca="1"/>
        <v>5.1804489737332204E-2</v>
      </c>
      <c r="N311">
        <f ca="1"/>
        <v>0</v>
      </c>
      <c r="O311">
        <f ca="1"/>
        <v>0</v>
      </c>
      <c r="P311">
        <f ca="1"/>
        <v>88.823665646240755</v>
      </c>
      <c r="Q311">
        <f ca="1"/>
        <v>75.81601586541052</v>
      </c>
      <c r="R311">
        <f ca="1"/>
        <v>0</v>
      </c>
      <c r="S311">
        <f ca="1"/>
        <v>1</v>
      </c>
      <c r="T311">
        <f ca="1"/>
        <v>1.269999999999996</v>
      </c>
      <c r="U311">
        <f ca="1"/>
        <v>0</v>
      </c>
      <c r="V311">
        <f ca="1"/>
        <v>0.99781862512031061</v>
      </c>
      <c r="X311" s="2">
        <f t="shared" ca="1" si="29"/>
        <v>45051</v>
      </c>
      <c r="Y311">
        <f t="shared" ca="1" si="30"/>
        <v>0</v>
      </c>
      <c r="AA311" s="63">
        <f t="shared" ca="1" si="32"/>
        <v>-80.849919471871658</v>
      </c>
      <c r="AB311" s="63">
        <f t="shared" ca="1" si="33"/>
        <v>-80.849919471871658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45052</v>
      </c>
      <c r="K312">
        <f ca="1"/>
        <v>-89.224287879169239</v>
      </c>
      <c r="L312">
        <f ca="1"/>
        <v>4.3227502964133038</v>
      </c>
      <c r="M312">
        <f ca="1"/>
        <v>5.2115678364698326E-2</v>
      </c>
      <c r="N312">
        <f ca="1"/>
        <v>0</v>
      </c>
      <c r="O312">
        <f ca="1"/>
        <v>0</v>
      </c>
      <c r="P312">
        <f ca="1"/>
        <v>93.146415942654059</v>
      </c>
      <c r="Q312">
        <f ca="1"/>
        <v>79.505727415487144</v>
      </c>
      <c r="R312">
        <f ca="1"/>
        <v>0</v>
      </c>
      <c r="S312">
        <f ca="1"/>
        <v>1</v>
      </c>
      <c r="T312">
        <f ca="1"/>
        <v>1.6600000000000108</v>
      </c>
      <c r="U312">
        <f ca="1"/>
        <v>0</v>
      </c>
      <c r="V312">
        <f ca="1"/>
        <v>0.99818268529148779</v>
      </c>
      <c r="X312" s="2">
        <f t="shared" ca="1" si="29"/>
        <v>45052</v>
      </c>
      <c r="Y312">
        <f t="shared" ca="1" si="30"/>
        <v>0</v>
      </c>
      <c r="AA312" s="63">
        <f t="shared" ca="1" si="32"/>
        <v>-84.901537582755935</v>
      </c>
      <c r="AB312" s="63">
        <f t="shared" ca="1" si="33"/>
        <v>-84.901537582755935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45053</v>
      </c>
      <c r="K313">
        <f ca="1"/>
        <v>-93.4845682760063</v>
      </c>
      <c r="L313">
        <f ca="1"/>
        <v>4.3109682327121135</v>
      </c>
      <c r="M313">
        <f ca="1"/>
        <v>5.0687835875046439E-2</v>
      </c>
      <c r="N313">
        <f ca="1"/>
        <v>0</v>
      </c>
      <c r="O313">
        <f ca="1"/>
        <v>0</v>
      </c>
      <c r="P313">
        <f ca="1"/>
        <v>97.457384175366172</v>
      </c>
      <c r="Q313">
        <f ca="1"/>
        <v>83.185382308680744</v>
      </c>
      <c r="R313">
        <f ca="1"/>
        <v>0</v>
      </c>
      <c r="S313">
        <f ca="1"/>
        <v>0.9993939393939395</v>
      </c>
      <c r="T313">
        <f ca="1"/>
        <v>0</v>
      </c>
      <c r="U313">
        <f ca="1"/>
        <v>0</v>
      </c>
      <c r="V313">
        <f ca="1"/>
        <v>0.998476385275058</v>
      </c>
      <c r="X313" s="2">
        <f t="shared" ca="1" si="29"/>
        <v>45053</v>
      </c>
      <c r="Y313">
        <f t="shared" ca="1" si="30"/>
        <v>0</v>
      </c>
      <c r="AA313" s="63">
        <f t="shared" ca="1" si="32"/>
        <v>-89.173600043294186</v>
      </c>
      <c r="AB313" s="63">
        <f t="shared" ca="1" si="33"/>
        <v>-89.173600043294186</v>
      </c>
      <c r="AC313" s="3">
        <f t="shared" ca="1" si="34"/>
        <v>0</v>
      </c>
    </row>
    <row r="314" spans="8:29">
      <c r="H314" t="b">
        <f t="shared" ca="1" si="31"/>
        <v>0</v>
      </c>
      <c r="I314" t="b">
        <f t="shared" ca="1" si="28"/>
        <v>0</v>
      </c>
      <c r="J314" s="2">
        <f ca="1"/>
        <v>45054</v>
      </c>
      <c r="K314">
        <f ca="1"/>
        <v>-97.74908824435623</v>
      </c>
      <c r="L314">
        <f ca="1"/>
        <v>4.3140060645686304</v>
      </c>
      <c r="M314">
        <f ca="1"/>
        <v>4.9486096218696929E-2</v>
      </c>
      <c r="N314">
        <f ca="1"/>
        <v>0</v>
      </c>
      <c r="O314">
        <f ca="1"/>
        <v>0</v>
      </c>
      <c r="P314">
        <f ca="1"/>
        <v>101.7713902399348</v>
      </c>
      <c r="Q314">
        <f ca="1"/>
        <v>86.8676301629569</v>
      </c>
      <c r="R314">
        <f ca="1"/>
        <v>0</v>
      </c>
      <c r="S314">
        <f ca="1"/>
        <v>1</v>
      </c>
      <c r="T314">
        <f ca="1"/>
        <v>1.5200014395932584</v>
      </c>
      <c r="U314">
        <f ca="1"/>
        <v>0</v>
      </c>
      <c r="V314">
        <f ca="1"/>
        <v>0.99871603845575052</v>
      </c>
      <c r="X314" s="2">
        <f t="shared" ca="1" si="29"/>
        <v>45054</v>
      </c>
      <c r="Y314">
        <f t="shared" ca="1" si="30"/>
        <v>0</v>
      </c>
      <c r="AA314" s="63">
        <f t="shared" ca="1" si="32"/>
        <v>-93.435082179787599</v>
      </c>
      <c r="AB314" s="63">
        <f t="shared" ca="1" si="33"/>
        <v>-93.435082179787599</v>
      </c>
      <c r="AC314" s="3">
        <f t="shared" ca="1" si="34"/>
        <v>0</v>
      </c>
    </row>
    <row r="315" spans="8:29">
      <c r="H315" t="b">
        <f t="shared" ca="1" si="31"/>
        <v>0</v>
      </c>
      <c r="I315" t="b">
        <f t="shared" ca="1" si="28"/>
        <v>0</v>
      </c>
      <c r="J315" s="2">
        <f ca="1"/>
        <v>45055</v>
      </c>
      <c r="K315">
        <f ca="1"/>
        <v>-101.92151961385592</v>
      </c>
      <c r="L315">
        <f ca="1"/>
        <v>4.2201969628791716</v>
      </c>
      <c r="M315">
        <f ca="1"/>
        <v>4.7765593379486049E-2</v>
      </c>
      <c r="N315">
        <f ca="1"/>
        <v>0</v>
      </c>
      <c r="O315">
        <f ca="1"/>
        <v>0</v>
      </c>
      <c r="P315">
        <f ca="1"/>
        <v>105.99158720281397</v>
      </c>
      <c r="Q315">
        <f ca="1"/>
        <v>90.469806650100637</v>
      </c>
      <c r="R315">
        <f ca="1"/>
        <v>0</v>
      </c>
      <c r="S315">
        <f ca="1"/>
        <v>1</v>
      </c>
      <c r="T315">
        <f ca="1"/>
        <v>0.59999999999999432</v>
      </c>
      <c r="U315">
        <f ca="1"/>
        <v>0</v>
      </c>
      <c r="V315">
        <f ca="1"/>
        <v>0.99890893200791941</v>
      </c>
      <c r="X315" s="2">
        <f t="shared" ca="1" si="29"/>
        <v>45055</v>
      </c>
      <c r="Y315">
        <f t="shared" ca="1" si="30"/>
        <v>0</v>
      </c>
      <c r="AA315" s="63">
        <f t="shared" ca="1" si="32"/>
        <v>-97.701322650976749</v>
      </c>
      <c r="AB315" s="63">
        <f t="shared" ca="1" si="33"/>
        <v>-97.701322650976749</v>
      </c>
      <c r="AC315" s="3">
        <f t="shared" ca="1" si="34"/>
        <v>0</v>
      </c>
    </row>
    <row r="316" spans="8:29">
      <c r="H316" t="b">
        <f t="shared" ca="1" si="31"/>
        <v>0</v>
      </c>
      <c r="I316" t="b">
        <f t="shared" ca="1" si="28"/>
        <v>0</v>
      </c>
      <c r="J316" s="2">
        <f ca="1"/>
        <v>45056</v>
      </c>
      <c r="K316">
        <f ca="1"/>
        <v>-106.27652942731922</v>
      </c>
      <c r="L316">
        <f ca="1"/>
        <v>4.4028897176600168</v>
      </c>
      <c r="M316">
        <f ca="1"/>
        <v>4.787990419672461E-2</v>
      </c>
      <c r="N316">
        <f ca="1"/>
        <v>0</v>
      </c>
      <c r="O316">
        <f ca="1"/>
        <v>0</v>
      </c>
      <c r="P316">
        <f ca="1"/>
        <v>110.39447692047399</v>
      </c>
      <c r="Q316">
        <f ca="1"/>
        <v>94.227921722915042</v>
      </c>
      <c r="R316">
        <f ca="1"/>
        <v>0</v>
      </c>
      <c r="S316">
        <f ca="1"/>
        <v>1</v>
      </c>
      <c r="T316">
        <f ca="1"/>
        <v>1.5</v>
      </c>
      <c r="U316">
        <f ca="1"/>
        <v>0</v>
      </c>
      <c r="V316">
        <f ca="1"/>
        <v>0.99907527548842612</v>
      </c>
      <c r="X316" s="2">
        <f t="shared" ca="1" si="29"/>
        <v>45056</v>
      </c>
      <c r="Y316">
        <f t="shared" ca="1" si="30"/>
        <v>0</v>
      </c>
      <c r="AA316" s="63">
        <f t="shared" ca="1" si="32"/>
        <v>-101.8736397096592</v>
      </c>
      <c r="AB316" s="63">
        <f t="shared" ca="1" si="33"/>
        <v>-101.8736397096592</v>
      </c>
      <c r="AC316" s="3">
        <f t="shared" ca="1" si="34"/>
        <v>0</v>
      </c>
    </row>
    <row r="317" spans="8:29">
      <c r="H317" t="b">
        <f t="shared" ca="1" si="31"/>
        <v>0</v>
      </c>
      <c r="I317" t="b">
        <f t="shared" ca="1" si="28"/>
        <v>0</v>
      </c>
      <c r="J317" s="2">
        <f ca="1"/>
        <v>45057</v>
      </c>
      <c r="K317">
        <f ca="1"/>
        <v>-110.90517584834463</v>
      </c>
      <c r="L317">
        <f ca="1"/>
        <v>4.6771521662429905</v>
      </c>
      <c r="M317">
        <f ca="1"/>
        <v>4.8505745217586771E-2</v>
      </c>
      <c r="N317">
        <f ca="1"/>
        <v>0</v>
      </c>
      <c r="O317">
        <f ca="1"/>
        <v>0</v>
      </c>
      <c r="P317">
        <f ca="1"/>
        <v>115.07162908671698</v>
      </c>
      <c r="Q317">
        <f ca="1"/>
        <v>98.220135287406961</v>
      </c>
      <c r="R317">
        <f ca="1"/>
        <v>0</v>
      </c>
      <c r="S317">
        <f ca="1"/>
        <v>1</v>
      </c>
      <c r="T317">
        <f ca="1"/>
        <v>0.60000000000000853</v>
      </c>
      <c r="U317">
        <f ca="1"/>
        <v>0</v>
      </c>
      <c r="V317">
        <f ca="1"/>
        <v>0.99922080123894919</v>
      </c>
      <c r="X317" s="2">
        <f t="shared" ca="1" si="29"/>
        <v>45057</v>
      </c>
      <c r="Y317">
        <f t="shared" ca="1" si="30"/>
        <v>0</v>
      </c>
      <c r="AA317" s="63">
        <f t="shared" ca="1" si="32"/>
        <v>-106.22802368210164</v>
      </c>
      <c r="AB317" s="63">
        <f t="shared" ca="1" si="33"/>
        <v>-106.22802368210164</v>
      </c>
      <c r="AC317" s="3">
        <f t="shared" ca="1" si="34"/>
        <v>0</v>
      </c>
    </row>
    <row r="318" spans="8:29">
      <c r="H318" t="b">
        <f t="shared" ca="1" si="31"/>
        <v>0</v>
      </c>
      <c r="I318" t="b">
        <f t="shared" ca="1" si="28"/>
        <v>0</v>
      </c>
      <c r="J318" s="2">
        <f ca="1"/>
        <v>45058</v>
      </c>
      <c r="K318">
        <f ca="1"/>
        <v>-115.83366799007531</v>
      </c>
      <c r="L318">
        <f ca="1"/>
        <v>4.9777073270558532</v>
      </c>
      <c r="M318">
        <f ca="1"/>
        <v>4.9215185325166111E-2</v>
      </c>
      <c r="N318">
        <f ca="1"/>
        <v>0</v>
      </c>
      <c r="O318">
        <f ca="1"/>
        <v>0</v>
      </c>
      <c r="P318">
        <f ca="1"/>
        <v>120.04933641377283</v>
      </c>
      <c r="Q318">
        <f ca="1"/>
        <v>102.46888965861781</v>
      </c>
      <c r="R318">
        <f ca="1"/>
        <v>0</v>
      </c>
      <c r="S318">
        <f ca="1"/>
        <v>1</v>
      </c>
      <c r="T318">
        <f ca="1"/>
        <v>1.980000000000004</v>
      </c>
      <c r="U318">
        <f ca="1"/>
        <v>0</v>
      </c>
      <c r="V318">
        <f ca="1"/>
        <v>0.99934762072976369</v>
      </c>
      <c r="X318" s="2">
        <f t="shared" ca="1" si="29"/>
        <v>45058</v>
      </c>
      <c r="Y318">
        <f t="shared" ca="1" si="30"/>
        <v>0</v>
      </c>
      <c r="AA318" s="63">
        <f t="shared" ca="1" si="32"/>
        <v>-110.85596066301946</v>
      </c>
      <c r="AB318" s="63">
        <f t="shared" ca="1" si="33"/>
        <v>-110.85596066301946</v>
      </c>
      <c r="AC318" s="3">
        <f t="shared" ca="1" si="34"/>
        <v>0</v>
      </c>
    </row>
    <row r="319" spans="8:29">
      <c r="H319" t="b">
        <f t="shared" ca="1" si="31"/>
        <v>0</v>
      </c>
      <c r="I319" t="b">
        <f t="shared" ca="1" si="28"/>
        <v>0</v>
      </c>
      <c r="J319" s="2">
        <f ca="1"/>
        <v>45059</v>
      </c>
      <c r="K319">
        <f ca="1"/>
        <v>-120.84098142501648</v>
      </c>
      <c r="L319">
        <f ca="1"/>
        <v>5.055861236222924</v>
      </c>
      <c r="M319">
        <f ca="1"/>
        <v>4.8547801281757508E-2</v>
      </c>
      <c r="N319">
        <f ca="1"/>
        <v>0</v>
      </c>
      <c r="O319">
        <f ca="1"/>
        <v>0</v>
      </c>
      <c r="P319">
        <f ca="1"/>
        <v>125.10519764999576</v>
      </c>
      <c r="Q319">
        <f ca="1"/>
        <v>106.78435280585411</v>
      </c>
      <c r="R319">
        <f ca="1"/>
        <v>0</v>
      </c>
      <c r="S319">
        <f ca="1"/>
        <v>1</v>
      </c>
      <c r="T319">
        <f ca="1"/>
        <v>1.6299999999999955</v>
      </c>
      <c r="U319">
        <f ca="1"/>
        <v>0</v>
      </c>
      <c r="V319">
        <f ca="1"/>
        <v>0.99945293785621891</v>
      </c>
      <c r="X319" s="2">
        <f t="shared" ca="1" si="29"/>
        <v>45059</v>
      </c>
      <c r="Y319">
        <f t="shared" ca="1" si="30"/>
        <v>0</v>
      </c>
      <c r="AA319" s="63">
        <f t="shared" ca="1" si="32"/>
        <v>-115.78512018879356</v>
      </c>
      <c r="AB319" s="63">
        <f t="shared" ca="1" si="33"/>
        <v>-115.78512018879356</v>
      </c>
      <c r="AC319" s="3">
        <f t="shared" ca="1" si="34"/>
        <v>0</v>
      </c>
    </row>
    <row r="320" spans="8:29">
      <c r="H320" t="b">
        <f t="shared" ca="1" si="31"/>
        <v>0</v>
      </c>
      <c r="I320" t="b">
        <f t="shared" ca="1" si="28"/>
        <v>0</v>
      </c>
      <c r="J320" s="2">
        <f ca="1"/>
        <v>45060</v>
      </c>
      <c r="K320">
        <f ca="1"/>
        <v>-125.77204821913469</v>
      </c>
      <c r="L320">
        <f ca="1"/>
        <v>4.9781219297412775</v>
      </c>
      <c r="M320">
        <f ca="1"/>
        <v>4.7055135623064182E-2</v>
      </c>
      <c r="N320">
        <f ca="1"/>
        <v>0</v>
      </c>
      <c r="O320">
        <f ca="1"/>
        <v>0</v>
      </c>
      <c r="P320">
        <f ca="1"/>
        <v>130.08331957973704</v>
      </c>
      <c r="Q320">
        <f ca="1"/>
        <v>111.03346106387596</v>
      </c>
      <c r="R320">
        <f ca="1"/>
        <v>0</v>
      </c>
      <c r="S320">
        <f ca="1"/>
        <v>1</v>
      </c>
      <c r="T320">
        <f ca="1"/>
        <v>1.2099999999999937</v>
      </c>
      <c r="U320">
        <f ca="1"/>
        <v>0</v>
      </c>
      <c r="V320">
        <f ca="1"/>
        <v>0.99953822857095775</v>
      </c>
      <c r="X320" s="2">
        <f t="shared" ca="1" si="29"/>
        <v>45060</v>
      </c>
      <c r="Y320">
        <f t="shared" ca="1" si="30"/>
        <v>0</v>
      </c>
      <c r="AA320" s="63">
        <f t="shared" ca="1" si="32"/>
        <v>-120.79392628939341</v>
      </c>
      <c r="AB320" s="63">
        <f t="shared" ca="1" si="33"/>
        <v>-120.79392628939341</v>
      </c>
      <c r="AC320" s="3">
        <f t="shared" ca="1" si="34"/>
        <v>0</v>
      </c>
    </row>
    <row r="321" spans="8:29">
      <c r="H321" t="b">
        <f t="shared" ca="1" si="31"/>
        <v>0</v>
      </c>
      <c r="I321" t="b">
        <f t="shared" ca="1" si="28"/>
        <v>0</v>
      </c>
      <c r="J321" s="2">
        <f ca="1"/>
        <v>45061</v>
      </c>
      <c r="K321">
        <f ca="1"/>
        <v>-130.76015818515964</v>
      </c>
      <c r="L321">
        <f ca="1"/>
        <v>5.0345054497972797</v>
      </c>
      <c r="M321">
        <f ca="1"/>
        <v>4.6395483772333712E-2</v>
      </c>
      <c r="N321">
        <f ca="1"/>
        <v>0</v>
      </c>
      <c r="O321">
        <f ca="1"/>
        <v>0</v>
      </c>
      <c r="P321">
        <f ca="1"/>
        <v>135.11782502953432</v>
      </c>
      <c r="Q321">
        <f ca="1"/>
        <v>115.33069584110879</v>
      </c>
      <c r="R321">
        <f ca="1"/>
        <v>0</v>
      </c>
      <c r="S321">
        <f ca="1"/>
        <v>1</v>
      </c>
      <c r="T321">
        <f ca="1"/>
        <v>2.3300000000000125</v>
      </c>
      <c r="U321">
        <f ca="1"/>
        <v>0</v>
      </c>
      <c r="V321">
        <f ca="1"/>
        <v>0.99960960399327814</v>
      </c>
      <c r="X321" s="2">
        <f t="shared" ca="1" si="29"/>
        <v>45061</v>
      </c>
      <c r="Y321">
        <f t="shared" ca="1" si="30"/>
        <v>0</v>
      </c>
      <c r="AA321" s="63">
        <f t="shared" ca="1" si="32"/>
        <v>-125.72565273536236</v>
      </c>
      <c r="AB321" s="63">
        <f t="shared" ca="1" si="33"/>
        <v>-125.72565273536236</v>
      </c>
      <c r="AC321" s="3">
        <f t="shared" ca="1" si="34"/>
        <v>0</v>
      </c>
    </row>
    <row r="322" spans="8:29">
      <c r="H322" t="b">
        <f t="shared" ca="1" si="31"/>
        <v>0</v>
      </c>
      <c r="I322" t="b">
        <f t="shared" ca="1" si="28"/>
        <v>0</v>
      </c>
      <c r="J322" s="2">
        <f ca="1"/>
        <v>45062</v>
      </c>
      <c r="K322">
        <f ca="1"/>
        <v>-135.85270811959188</v>
      </c>
      <c r="L322">
        <f ca="1"/>
        <v>5.1385676027073259</v>
      </c>
      <c r="M322">
        <f ca="1"/>
        <v>4.6017668275096568E-2</v>
      </c>
      <c r="N322">
        <f ca="1"/>
        <v>0</v>
      </c>
      <c r="O322">
        <f ca="1"/>
        <v>0</v>
      </c>
      <c r="P322">
        <f ca="1"/>
        <v>140.25639263224164</v>
      </c>
      <c r="Q322">
        <f ca="1"/>
        <v>119.71675354383805</v>
      </c>
      <c r="R322">
        <f ca="1"/>
        <v>0</v>
      </c>
      <c r="S322">
        <f ca="1"/>
        <v>1</v>
      </c>
      <c r="T322">
        <f ca="1"/>
        <v>2.3400000000000034</v>
      </c>
      <c r="U322">
        <f ca="1"/>
        <v>0</v>
      </c>
      <c r="V322">
        <f ca="1"/>
        <v>0.99967001654541632</v>
      </c>
      <c r="X322" s="2">
        <f t="shared" ca="1" si="29"/>
        <v>45062</v>
      </c>
      <c r="Y322">
        <f t="shared" ca="1" si="30"/>
        <v>0</v>
      </c>
      <c r="AA322" s="63">
        <f t="shared" ca="1" si="32"/>
        <v>-130.71414051688456</v>
      </c>
      <c r="AB322" s="63">
        <f t="shared" ca="1" si="33"/>
        <v>-130.71414051688456</v>
      </c>
      <c r="AC322" s="3">
        <f t="shared" ca="1" si="34"/>
        <v>0</v>
      </c>
    </row>
    <row r="323" spans="8:29">
      <c r="H323" t="b">
        <f t="shared" ca="1" si="31"/>
        <v>0</v>
      </c>
      <c r="I323" t="b">
        <f t="shared" ca="1" si="28"/>
        <v>0</v>
      </c>
      <c r="J323" s="2">
        <f ca="1"/>
        <v>45063</v>
      </c>
      <c r="K323">
        <f ca="1"/>
        <v>-140.78911628941631</v>
      </c>
      <c r="L323">
        <f ca="1"/>
        <v>4.9807642718393481</v>
      </c>
      <c r="M323">
        <f ca="1"/>
        <v>4.4356102014927679E-2</v>
      </c>
      <c r="N323">
        <f ca="1"/>
        <v>0</v>
      </c>
      <c r="O323">
        <f ca="1"/>
        <v>0</v>
      </c>
      <c r="P323">
        <f ca="1"/>
        <v>145.23715690408099</v>
      </c>
      <c r="Q323">
        <f ca="1"/>
        <v>123.96811719009422</v>
      </c>
      <c r="R323">
        <f ca="1"/>
        <v>0</v>
      </c>
      <c r="S323">
        <f ca="1"/>
        <v>1</v>
      </c>
      <c r="T323">
        <f ca="1"/>
        <v>2.1800000000000068</v>
      </c>
      <c r="U323">
        <f ca="1"/>
        <v>0</v>
      </c>
      <c r="V323">
        <f ca="1"/>
        <v>0.99971884634275565</v>
      </c>
      <c r="X323" s="2">
        <f t="shared" ca="1" si="29"/>
        <v>45063</v>
      </c>
      <c r="Y323">
        <f t="shared" ca="1" si="30"/>
        <v>0</v>
      </c>
      <c r="AA323" s="63">
        <f t="shared" ca="1" si="32"/>
        <v>-135.80835201757696</v>
      </c>
      <c r="AB323" s="63">
        <f t="shared" ca="1" si="33"/>
        <v>-135.80835201757696</v>
      </c>
      <c r="AC323" s="3">
        <f t="shared" ca="1" si="34"/>
        <v>0</v>
      </c>
    </row>
    <row r="324" spans="8:29">
      <c r="H324" t="b">
        <f t="shared" ca="1" si="31"/>
        <v>0</v>
      </c>
      <c r="I324" t="b">
        <f t="shared" ca="1" si="28"/>
        <v>0</v>
      </c>
      <c r="J324" s="2">
        <f ca="1"/>
        <v>45064</v>
      </c>
      <c r="K324">
        <f ca="1"/>
        <v>-145.71641928155461</v>
      </c>
      <c r="L324">
        <f ca="1"/>
        <v>4.9708303225176564</v>
      </c>
      <c r="M324">
        <f ca="1"/>
        <v>4.3527330379362184E-2</v>
      </c>
      <c r="N324">
        <f ca="1"/>
        <v>0</v>
      </c>
      <c r="O324">
        <f ca="1"/>
        <v>0</v>
      </c>
      <c r="P324">
        <f ca="1"/>
        <v>150.20798722659865</v>
      </c>
      <c r="Q324">
        <f ca="1"/>
        <v>128.21100164948169</v>
      </c>
      <c r="R324">
        <f ca="1"/>
        <v>0</v>
      </c>
      <c r="S324">
        <f ca="1"/>
        <v>1</v>
      </c>
      <c r="T324">
        <f ca="1"/>
        <v>2.039999999999992</v>
      </c>
      <c r="U324">
        <f ca="1"/>
        <v>0</v>
      </c>
      <c r="V324">
        <f ca="1"/>
        <v>0.99975978157690026</v>
      </c>
      <c r="X324" s="2">
        <f t="shared" ca="1" si="29"/>
        <v>45064</v>
      </c>
      <c r="Y324">
        <f t="shared" ca="1" si="30"/>
        <v>0</v>
      </c>
      <c r="AA324" s="63">
        <f t="shared" ca="1" si="32"/>
        <v>-140.74558895903695</v>
      </c>
      <c r="AB324" s="63">
        <f t="shared" ca="1" si="33"/>
        <v>-140.74558895903695</v>
      </c>
      <c r="AC324" s="3">
        <f t="shared" ca="1" si="34"/>
        <v>0</v>
      </c>
    </row>
    <row r="325" spans="8:29">
      <c r="H325" t="b">
        <f t="shared" ca="1" si="31"/>
        <v>0</v>
      </c>
      <c r="I325" t="b">
        <f t="shared" ca="1" si="28"/>
        <v>0</v>
      </c>
      <c r="J325" s="2">
        <f ca="1"/>
        <v>45065</v>
      </c>
      <c r="K325">
        <f ca="1"/>
        <v>-151.02308424415008</v>
      </c>
      <c r="L325">
        <f ca="1"/>
        <v>5.3512378253113297</v>
      </c>
      <c r="M325">
        <f ca="1"/>
        <v>4.4572862715839712E-2</v>
      </c>
      <c r="N325">
        <f ca="1"/>
        <v>0</v>
      </c>
      <c r="O325">
        <f ca="1"/>
        <v>0</v>
      </c>
      <c r="P325">
        <f ca="1"/>
        <v>155.55922505190998</v>
      </c>
      <c r="Q325">
        <f ca="1"/>
        <v>132.77858539995665</v>
      </c>
      <c r="R325">
        <f ca="1"/>
        <v>0</v>
      </c>
      <c r="S325">
        <f ca="1"/>
        <v>0.9943939393939395</v>
      </c>
      <c r="T325">
        <f ca="1"/>
        <v>0</v>
      </c>
      <c r="U325">
        <f ca="1"/>
        <v>0</v>
      </c>
      <c r="V325">
        <f ca="1"/>
        <v>0.99979671591530406</v>
      </c>
      <c r="X325" s="2">
        <f t="shared" ca="1" si="29"/>
        <v>45065</v>
      </c>
      <c r="Y325">
        <f t="shared" ca="1" si="30"/>
        <v>0</v>
      </c>
      <c r="AA325" s="63">
        <f t="shared" ca="1" si="32"/>
        <v>-145.67184641883875</v>
      </c>
      <c r="AB325" s="63">
        <f t="shared" ca="1" si="33"/>
        <v>-145.67184641883875</v>
      </c>
      <c r="AC325" s="3">
        <f t="shared" ca="1" si="34"/>
        <v>0</v>
      </c>
    </row>
    <row r="326" spans="8:29">
      <c r="H326" t="b">
        <f t="shared" ca="1" si="31"/>
        <v>0</v>
      </c>
      <c r="I326" t="b">
        <f t="shared" ca="1" si="28"/>
        <v>0</v>
      </c>
      <c r="J326" s="2">
        <f ca="1"/>
        <v>45066</v>
      </c>
      <c r="K326">
        <f ca="1"/>
        <v>-156.37109212022929</v>
      </c>
      <c r="L326">
        <f ca="1"/>
        <v>5.3919871835145159</v>
      </c>
      <c r="M326">
        <f ca="1"/>
        <v>4.3979307435300541E-2</v>
      </c>
      <c r="N326">
        <f ca="1"/>
        <v>0</v>
      </c>
      <c r="O326">
        <f ca="1"/>
        <v>0</v>
      </c>
      <c r="P326">
        <f ca="1"/>
        <v>160.95121223542449</v>
      </c>
      <c r="Q326">
        <f ca="1"/>
        <v>137.38095102939999</v>
      </c>
      <c r="R326">
        <f ca="1"/>
        <v>0</v>
      </c>
      <c r="S326">
        <f ca="1"/>
        <v>1</v>
      </c>
      <c r="T326">
        <f ca="1"/>
        <v>3.3900014094260058</v>
      </c>
      <c r="U326">
        <f ca="1"/>
        <v>0</v>
      </c>
      <c r="V326">
        <f ca="1"/>
        <v>0.9998278006015493</v>
      </c>
      <c r="X326" s="2">
        <f t="shared" ca="1" si="29"/>
        <v>45066</v>
      </c>
      <c r="Y326">
        <f t="shared" ca="1" si="30"/>
        <v>0</v>
      </c>
      <c r="AA326" s="63">
        <f t="shared" ca="1" si="32"/>
        <v>-150.97910493671478</v>
      </c>
      <c r="AB326" s="63">
        <f t="shared" ca="1" si="33"/>
        <v>-150.97910493671478</v>
      </c>
      <c r="AC326" s="3">
        <f t="shared" ca="1" si="34"/>
        <v>0</v>
      </c>
    </row>
    <row r="327" spans="8:29">
      <c r="H327" t="b">
        <f t="shared" ca="1" si="31"/>
        <v>0</v>
      </c>
      <c r="I327" t="b">
        <f t="shared" ca="1" si="28"/>
        <v>0</v>
      </c>
      <c r="J327" s="2">
        <f ca="1"/>
        <v>45067</v>
      </c>
      <c r="K327">
        <f ca="1"/>
        <v>-161.97582336211627</v>
      </c>
      <c r="L327">
        <f ca="1"/>
        <v>5.649144486455981</v>
      </c>
      <c r="M327">
        <f ca="1"/>
        <v>4.4413244568992205E-2</v>
      </c>
      <c r="N327">
        <f ca="1"/>
        <v>0</v>
      </c>
      <c r="O327">
        <f ca="1"/>
        <v>0</v>
      </c>
      <c r="P327">
        <f ca="1"/>
        <v>166.60035672188047</v>
      </c>
      <c r="Q327">
        <f ca="1"/>
        <v>142.20281494252558</v>
      </c>
      <c r="R327">
        <f ca="1"/>
        <v>0</v>
      </c>
      <c r="S327">
        <f ca="1"/>
        <v>1</v>
      </c>
      <c r="T327">
        <f ca="1"/>
        <v>3.6600000000000108</v>
      </c>
      <c r="U327">
        <f ca="1"/>
        <v>0</v>
      </c>
      <c r="V327">
        <f ca="1"/>
        <v>0.99985497510087828</v>
      </c>
      <c r="X327" s="2">
        <f t="shared" ca="1" si="29"/>
        <v>45067</v>
      </c>
      <c r="Y327">
        <f t="shared" ca="1" si="30"/>
        <v>0</v>
      </c>
      <c r="AA327" s="63">
        <f t="shared" ca="1" si="32"/>
        <v>-156.32667887566029</v>
      </c>
      <c r="AB327" s="63">
        <f t="shared" ca="1" si="33"/>
        <v>-156.32667887566029</v>
      </c>
      <c r="AC327" s="3">
        <f t="shared" ca="1" si="34"/>
        <v>0</v>
      </c>
    </row>
    <row r="328" spans="8:29">
      <c r="H328" t="b">
        <f t="shared" ca="1" si="31"/>
        <v>0</v>
      </c>
      <c r="I328" t="b">
        <f t="shared" ca="1" si="28"/>
        <v>0</v>
      </c>
      <c r="J328" s="2">
        <f ca="1"/>
        <v>45068</v>
      </c>
      <c r="K328">
        <f ca="1"/>
        <v>-167.2911551462258</v>
      </c>
      <c r="L328">
        <f ca="1"/>
        <v>5.3576982094920993</v>
      </c>
      <c r="M328">
        <f ca="1"/>
        <v>4.2366425382557082E-2</v>
      </c>
      <c r="N328">
        <f ca="1"/>
        <v>0</v>
      </c>
      <c r="O328">
        <f ca="1"/>
        <v>0</v>
      </c>
      <c r="P328">
        <f ca="1"/>
        <v>171.95805493137257</v>
      </c>
      <c r="Q328">
        <f ca="1"/>
        <v>146.77591299581593</v>
      </c>
      <c r="R328">
        <f ca="1"/>
        <v>0</v>
      </c>
      <c r="S328">
        <f ca="1"/>
        <v>1</v>
      </c>
      <c r="T328">
        <f ca="1"/>
        <v>3.3299999999999983</v>
      </c>
      <c r="U328">
        <f ca="1"/>
        <v>0</v>
      </c>
      <c r="V328">
        <f ca="1"/>
        <v>0.99987656208374642</v>
      </c>
      <c r="X328" s="2">
        <f t="shared" ca="1" si="29"/>
        <v>45068</v>
      </c>
      <c r="Y328">
        <f t="shared" ca="1" si="30"/>
        <v>0</v>
      </c>
      <c r="AA328" s="63">
        <f t="shared" ca="1" si="32"/>
        <v>-161.93345693673371</v>
      </c>
      <c r="AB328" s="63">
        <f t="shared" ca="1" si="33"/>
        <v>-161.93345693673371</v>
      </c>
      <c r="AC328" s="3">
        <f t="shared" ca="1" si="34"/>
        <v>0</v>
      </c>
    </row>
    <row r="329" spans="8:29">
      <c r="H329" t="b">
        <f t="shared" ca="1" si="31"/>
        <v>0</v>
      </c>
      <c r="I329" t="b">
        <f t="shared" ca="1" si="28"/>
        <v>0</v>
      </c>
      <c r="J329" s="2">
        <f ca="1"/>
        <v>45069</v>
      </c>
      <c r="K329">
        <f ca="1"/>
        <v>-172.49399426980722</v>
      </c>
      <c r="L329">
        <f ca="1"/>
        <v>5.2440756846498573</v>
      </c>
      <c r="M329">
        <f ca="1"/>
        <v>4.1236561068445532E-2</v>
      </c>
      <c r="N329">
        <f ca="1"/>
        <v>0</v>
      </c>
      <c r="O329">
        <f ca="1"/>
        <v>0</v>
      </c>
      <c r="P329">
        <f ca="1"/>
        <v>177.20213061602243</v>
      </c>
      <c r="Q329">
        <f ca="1"/>
        <v>151.25202780614467</v>
      </c>
      <c r="R329">
        <f ca="1"/>
        <v>0</v>
      </c>
      <c r="S329">
        <f ca="1"/>
        <v>1</v>
      </c>
      <c r="T329">
        <f ca="1"/>
        <v>6.3599999999999994</v>
      </c>
      <c r="U329">
        <f ca="1"/>
        <v>0</v>
      </c>
      <c r="V329">
        <f ca="1"/>
        <v>0.99989443137594058</v>
      </c>
      <c r="X329" s="2">
        <f t="shared" ca="1" si="29"/>
        <v>45069</v>
      </c>
      <c r="Y329">
        <f t="shared" ca="1" si="30"/>
        <v>0</v>
      </c>
      <c r="AA329" s="63">
        <f t="shared" ca="1" si="32"/>
        <v>-167.24991858515736</v>
      </c>
      <c r="AB329" s="63">
        <f t="shared" ca="1" si="33"/>
        <v>-167.24991858515736</v>
      </c>
      <c r="AC329" s="3">
        <f t="shared" ca="1" si="34"/>
        <v>0</v>
      </c>
    </row>
    <row r="330" spans="8:29">
      <c r="H330" t="b">
        <f t="shared" ca="1" si="31"/>
        <v>0</v>
      </c>
      <c r="I330" t="b">
        <f t="shared" ca="1" si="28"/>
        <v>0</v>
      </c>
      <c r="J330" s="2">
        <f ca="1"/>
        <v>45070</v>
      </c>
      <c r="K330">
        <f ca="1"/>
        <v>-177.68842010992597</v>
      </c>
      <c r="L330">
        <f ca="1"/>
        <v>5.2350343325809376</v>
      </c>
      <c r="M330">
        <f ca="1"/>
        <v>4.060849246217213E-2</v>
      </c>
      <c r="N330">
        <f ca="1"/>
        <v>0</v>
      </c>
      <c r="O330">
        <f ca="1"/>
        <v>0</v>
      </c>
      <c r="P330">
        <f ca="1"/>
        <v>182.43716494860337</v>
      </c>
      <c r="Q330">
        <f ca="1"/>
        <v>155.72042531177863</v>
      </c>
      <c r="R330">
        <f ca="1"/>
        <v>0</v>
      </c>
      <c r="S330">
        <f ca="1"/>
        <v>1</v>
      </c>
      <c r="T330">
        <f ca="1"/>
        <v>3.8299999999999983</v>
      </c>
      <c r="U330">
        <f ca="1"/>
        <v>0</v>
      </c>
      <c r="V330">
        <f ca="1"/>
        <v>0.99990958777057903</v>
      </c>
      <c r="X330" s="2">
        <f t="shared" ca="1" si="29"/>
        <v>45070</v>
      </c>
      <c r="Y330">
        <f t="shared" ca="1" si="30"/>
        <v>0</v>
      </c>
      <c r="AA330" s="63">
        <f t="shared" ca="1" si="32"/>
        <v>-172.45338577734503</v>
      </c>
      <c r="AB330" s="63">
        <f t="shared" ca="1" si="33"/>
        <v>-172.45338577734503</v>
      </c>
      <c r="AC330" s="3">
        <f t="shared" ca="1" si="34"/>
        <v>0</v>
      </c>
    </row>
    <row r="331" spans="8:29">
      <c r="H331" t="b">
        <f t="shared" ca="1" si="31"/>
        <v>0</v>
      </c>
      <c r="I331" t="b">
        <f t="shared" ref="I331:I394" ca="1" si="35">AND(IF(J331&gt;($J$7-1),TRUE,FALSE),IF(J331&lt;($J$8+1),TRUE,FALSE))</f>
        <v>0</v>
      </c>
      <c r="J331" s="2">
        <f ca="1"/>
        <v>45071</v>
      </c>
      <c r="K331">
        <f ca="1"/>
        <v>-183.10400559849569</v>
      </c>
      <c r="L331">
        <f ca="1"/>
        <v>5.4565459296364054</v>
      </c>
      <c r="M331">
        <f ca="1"/>
        <v>4.096044106668284E-2</v>
      </c>
      <c r="N331">
        <f ca="1"/>
        <v>0</v>
      </c>
      <c r="O331">
        <f ca="1"/>
        <v>0</v>
      </c>
      <c r="P331">
        <f ca="1"/>
        <v>187.89371087823977</v>
      </c>
      <c r="Q331">
        <f ca="1"/>
        <v>160.3778954776607</v>
      </c>
      <c r="R331">
        <f ca="1"/>
        <v>0</v>
      </c>
      <c r="S331">
        <f ca="1"/>
        <v>1</v>
      </c>
      <c r="T331">
        <f ca="1"/>
        <v>4.4699999999999989</v>
      </c>
      <c r="U331">
        <f ca="1"/>
        <v>0</v>
      </c>
      <c r="V331">
        <f ca="1"/>
        <v>0.99992300015113067</v>
      </c>
      <c r="X331" s="2">
        <f t="shared" ref="X331:X394" ca="1" si="36">IFERROR(J331,$X$9)</f>
        <v>45071</v>
      </c>
      <c r="Y331">
        <f t="shared" ref="Y331:Y394" ca="1" si="37">IFERROR(O331,0)</f>
        <v>0</v>
      </c>
      <c r="AA331" s="63">
        <f t="shared" ca="1" si="32"/>
        <v>-177.64745966885928</v>
      </c>
      <c r="AB331" s="63">
        <f t="shared" ca="1" si="33"/>
        <v>-177.64745966885928</v>
      </c>
      <c r="AC331" s="3">
        <f t="shared" ca="1" si="34"/>
        <v>0</v>
      </c>
    </row>
    <row r="332" spans="8:29">
      <c r="H332" t="b">
        <f t="shared" ref="H332:H395" ca="1" si="38">IF(J332&lt;$J$8,TRUE,FALSE)</f>
        <v>0</v>
      </c>
      <c r="I332" t="b">
        <f t="shared" ca="1" si="35"/>
        <v>0</v>
      </c>
      <c r="J332" s="2">
        <f ca="1"/>
        <v>45072</v>
      </c>
      <c r="K332">
        <f ca="1"/>
        <v>-188.8179032597929</v>
      </c>
      <c r="L332">
        <f ca="1"/>
        <v>5.7555388926166984</v>
      </c>
      <c r="M332">
        <f ca="1"/>
        <v>4.1641231319477612E-2</v>
      </c>
      <c r="N332">
        <f ca="1"/>
        <v>0</v>
      </c>
      <c r="O332">
        <f ca="1"/>
        <v>0</v>
      </c>
      <c r="P332">
        <f ca="1"/>
        <v>193.64924977085647</v>
      </c>
      <c r="Q332">
        <f ca="1"/>
        <v>165.29057302617039</v>
      </c>
      <c r="R332">
        <f ca="1"/>
        <v>0</v>
      </c>
      <c r="S332">
        <f ca="1"/>
        <v>1</v>
      </c>
      <c r="T332">
        <f ca="1"/>
        <v>5.4599999999999937</v>
      </c>
      <c r="U332">
        <f ca="1"/>
        <v>0</v>
      </c>
      <c r="V332">
        <f ca="1"/>
        <v>0.99993494478416378</v>
      </c>
      <c r="X332" s="2">
        <f t="shared" ca="1" si="36"/>
        <v>45072</v>
      </c>
      <c r="Y332">
        <f t="shared" ca="1" si="37"/>
        <v>0</v>
      </c>
      <c r="AA332" s="63">
        <f t="shared" ca="1" si="32"/>
        <v>-183.0623643671762</v>
      </c>
      <c r="AB332" s="63">
        <f t="shared" ca="1" si="33"/>
        <v>-183.0623643671762</v>
      </c>
      <c r="AC332" s="3">
        <f t="shared" ca="1" si="34"/>
        <v>0</v>
      </c>
    </row>
    <row r="333" spans="8:29">
      <c r="H333" t="b">
        <f t="shared" ca="1" si="38"/>
        <v>0</v>
      </c>
      <c r="I333" t="b">
        <f t="shared" ca="1" si="35"/>
        <v>0</v>
      </c>
      <c r="J333" s="2">
        <f ca="1"/>
        <v>45073</v>
      </c>
      <c r="K333">
        <f ca="1"/>
        <v>-194.12871321878572</v>
      </c>
      <c r="L333">
        <f ca="1"/>
        <v>5.3502491465209516</v>
      </c>
      <c r="M333">
        <f ca="1"/>
        <v>3.9439187528124364E-2</v>
      </c>
      <c r="N333">
        <f ca="1"/>
        <v>0</v>
      </c>
      <c r="O333">
        <f ca="1"/>
        <v>0</v>
      </c>
      <c r="P333">
        <f ca="1"/>
        <v>198.99949891737742</v>
      </c>
      <c r="Q333">
        <f ca="1"/>
        <v>169.85731288345187</v>
      </c>
      <c r="R333">
        <f ca="1"/>
        <v>0</v>
      </c>
      <c r="S333">
        <f ca="1"/>
        <v>1</v>
      </c>
      <c r="T333">
        <f ca="1"/>
        <v>2.8299999999999983</v>
      </c>
      <c r="U333">
        <f ca="1"/>
        <v>0</v>
      </c>
      <c r="V333">
        <f ca="1"/>
        <v>0.99994435175519791</v>
      </c>
      <c r="X333" s="2">
        <f t="shared" ca="1" si="36"/>
        <v>45073</v>
      </c>
      <c r="Y333">
        <f t="shared" ca="1" si="37"/>
        <v>0</v>
      </c>
      <c r="AA333" s="63">
        <f t="shared" ca="1" si="32"/>
        <v>-188.77846407226477</v>
      </c>
      <c r="AB333" s="63">
        <f t="shared" ca="1" si="33"/>
        <v>-188.77846407226477</v>
      </c>
      <c r="AC333" s="3">
        <f t="shared" ca="1" si="34"/>
        <v>0</v>
      </c>
    </row>
    <row r="334" spans="8:29">
      <c r="H334" t="b">
        <f t="shared" ca="1" si="38"/>
        <v>0</v>
      </c>
      <c r="I334" t="b">
        <f t="shared" ca="1" si="35"/>
        <v>0</v>
      </c>
      <c r="J334" s="2">
        <f ca="1"/>
        <v>45074</v>
      </c>
      <c r="K334">
        <f ca="1"/>
        <v>-198.95079902063372</v>
      </c>
      <c r="L334">
        <f ca="1"/>
        <v>4.8591682923795361</v>
      </c>
      <c r="M334">
        <f ca="1"/>
        <v>3.7082490531527235E-2</v>
      </c>
      <c r="N334">
        <f ca="1"/>
        <v>0</v>
      </c>
      <c r="O334">
        <f ca="1"/>
        <v>0</v>
      </c>
      <c r="P334">
        <f ca="1"/>
        <v>203.85866720975696</v>
      </c>
      <c r="Q334">
        <f ca="1"/>
        <v>174.00488749284696</v>
      </c>
      <c r="R334">
        <f ca="1"/>
        <v>0</v>
      </c>
      <c r="S334">
        <f ca="1"/>
        <v>1</v>
      </c>
      <c r="T334">
        <f ca="1"/>
        <v>2.3299999999999983</v>
      </c>
      <c r="U334">
        <f ca="1"/>
        <v>0</v>
      </c>
      <c r="V334">
        <f ca="1"/>
        <v>0.999951699422445</v>
      </c>
      <c r="X334" s="2">
        <f t="shared" ca="1" si="36"/>
        <v>45074</v>
      </c>
      <c r="Y334">
        <f t="shared" ca="1" si="37"/>
        <v>0</v>
      </c>
      <c r="AA334" s="63">
        <f t="shared" ca="1" si="32"/>
        <v>-194.09163072825419</v>
      </c>
      <c r="AB334" s="63">
        <f t="shared" ca="1" si="33"/>
        <v>-194.09163072825419</v>
      </c>
      <c r="AC334" s="3">
        <f t="shared" ca="1" si="34"/>
        <v>0</v>
      </c>
    </row>
    <row r="335" spans="8:29">
      <c r="H335" t="b">
        <f t="shared" ca="1" si="38"/>
        <v>0</v>
      </c>
      <c r="I335" t="b">
        <f t="shared" ca="1" si="35"/>
        <v>0</v>
      </c>
      <c r="J335" s="2">
        <f ca="1"/>
        <v>45075</v>
      </c>
      <c r="K335">
        <f ca="1"/>
        <v>-203.52290336829378</v>
      </c>
      <c r="L335">
        <f ca="1"/>
        <v>4.6078611125034001</v>
      </c>
      <c r="M335">
        <f ca="1"/>
        <v>3.5756764843333677E-2</v>
      </c>
      <c r="N335">
        <f ca="1"/>
        <v>0</v>
      </c>
      <c r="O335">
        <f ca="1"/>
        <v>0</v>
      </c>
      <c r="P335">
        <f ca="1"/>
        <v>208.46652832226036</v>
      </c>
      <c r="Q335">
        <f ca="1"/>
        <v>177.9379572290423</v>
      </c>
      <c r="R335">
        <f ca="1"/>
        <v>0</v>
      </c>
      <c r="S335">
        <f ca="1"/>
        <v>1</v>
      </c>
      <c r="T335">
        <f ca="1"/>
        <v>3.519999999999996</v>
      </c>
      <c r="U335">
        <f ca="1"/>
        <v>0</v>
      </c>
      <c r="V335">
        <f ca="1"/>
        <v>0.99995776600225128</v>
      </c>
      <c r="X335" s="2">
        <f t="shared" ca="1" si="36"/>
        <v>45075</v>
      </c>
      <c r="Y335">
        <f t="shared" ca="1" si="37"/>
        <v>0</v>
      </c>
      <c r="AA335" s="63">
        <f t="shared" ca="1" si="32"/>
        <v>-198.91504225579038</v>
      </c>
      <c r="AB335" s="63">
        <f t="shared" ca="1" si="33"/>
        <v>-198.91504225579038</v>
      </c>
      <c r="AC335" s="3">
        <f t="shared" ca="1" si="34"/>
        <v>0</v>
      </c>
    </row>
    <row r="336" spans="8:29">
      <c r="H336" t="b">
        <f t="shared" ca="1" si="38"/>
        <v>0</v>
      </c>
      <c r="I336" t="b">
        <f t="shared" ca="1" si="35"/>
        <v>0</v>
      </c>
      <c r="J336" s="2">
        <f ca="1"/>
        <v>45076</v>
      </c>
      <c r="K336">
        <f ca="1"/>
        <v>-208.29763672337506</v>
      </c>
      <c r="L336">
        <f ca="1"/>
        <v>4.8108463143074403</v>
      </c>
      <c r="M336">
        <f ca="1"/>
        <v>3.6112959226151098E-2</v>
      </c>
      <c r="N336">
        <f ca="1"/>
        <v>0</v>
      </c>
      <c r="O336">
        <f ca="1"/>
        <v>0</v>
      </c>
      <c r="P336">
        <f ca="1"/>
        <v>213.2773746365678</v>
      </c>
      <c r="Q336">
        <f ca="1"/>
        <v>182.04428630066874</v>
      </c>
      <c r="R336">
        <f ca="1"/>
        <v>0</v>
      </c>
      <c r="S336">
        <f ca="1"/>
        <v>1</v>
      </c>
      <c r="T336">
        <f ca="1"/>
        <v>4.0700000000000074</v>
      </c>
      <c r="U336">
        <f ca="1"/>
        <v>0</v>
      </c>
      <c r="V336">
        <f ca="1"/>
        <v>0.99996329126064853</v>
      </c>
      <c r="X336" s="2">
        <f t="shared" ca="1" si="36"/>
        <v>45076</v>
      </c>
      <c r="Y336">
        <f t="shared" ca="1" si="37"/>
        <v>0</v>
      </c>
      <c r="AA336" s="63">
        <f t="shared" ref="AA336:AA399" ca="1" si="39">K335+M336+N336+O336</f>
        <v>-203.48679040906762</v>
      </c>
      <c r="AB336" s="63">
        <f t="shared" ref="AB336:AB399" ca="1" si="40">K336+L336+R336</f>
        <v>-203.48679040906762</v>
      </c>
      <c r="AC336" s="3">
        <f t="shared" ref="AC336:AC399" ca="1" si="41">AB336-AA336</f>
        <v>0</v>
      </c>
    </row>
    <row r="337" spans="8:29">
      <c r="H337" t="b">
        <f t="shared" ca="1" si="38"/>
        <v>0</v>
      </c>
      <c r="I337" t="b">
        <f t="shared" ca="1" si="35"/>
        <v>0</v>
      </c>
      <c r="J337" s="2">
        <f ca="1"/>
        <v>45077</v>
      </c>
      <c r="K337">
        <f ca="1"/>
        <v>-212.86734107544569</v>
      </c>
      <c r="L337">
        <f ca="1"/>
        <v>4.6047103822970428</v>
      </c>
      <c r="M337">
        <f ca="1"/>
        <v>3.5006030226402807E-2</v>
      </c>
      <c r="N337">
        <f ca="1"/>
        <v>0</v>
      </c>
      <c r="O337">
        <f ca="1"/>
        <v>0</v>
      </c>
      <c r="P337">
        <f ca="1"/>
        <v>217.88208501886484</v>
      </c>
      <c r="Q337">
        <f ca="1"/>
        <v>185.97466671066289</v>
      </c>
      <c r="R337">
        <f ca="1"/>
        <v>0</v>
      </c>
      <c r="S337">
        <f ca="1"/>
        <v>1</v>
      </c>
      <c r="T337">
        <f ca="1"/>
        <v>4.2399999999999949</v>
      </c>
      <c r="U337">
        <f ca="1"/>
        <v>0</v>
      </c>
      <c r="V337">
        <f ca="1"/>
        <v>0.99996790835612881</v>
      </c>
      <c r="X337" s="2">
        <f t="shared" ca="1" si="36"/>
        <v>45077</v>
      </c>
      <c r="Y337">
        <f t="shared" ca="1" si="37"/>
        <v>0</v>
      </c>
      <c r="AA337" s="63">
        <f t="shared" ca="1" si="39"/>
        <v>-208.26263069314865</v>
      </c>
      <c r="AB337" s="63">
        <f t="shared" ca="1" si="40"/>
        <v>-208.26263069314865</v>
      </c>
      <c r="AC337" s="3">
        <f t="shared" ca="1" si="41"/>
        <v>0</v>
      </c>
    </row>
    <row r="338" spans="8:29">
      <c r="H338" t="b">
        <f t="shared" ca="1" si="38"/>
        <v>0</v>
      </c>
      <c r="I338" t="b">
        <f t="shared" ca="1" si="35"/>
        <v>0</v>
      </c>
      <c r="J338" s="2">
        <f ca="1"/>
        <v>45078</v>
      </c>
      <c r="K338">
        <f ca="1"/>
        <v>-217.44590047864739</v>
      </c>
      <c r="L338">
        <f ca="1"/>
        <v>4.6132521674852001</v>
      </c>
      <c r="M338">
        <f ca="1"/>
        <v>3.4692764283493993E-2</v>
      </c>
      <c r="N338">
        <f ca="1"/>
        <v>0</v>
      </c>
      <c r="O338">
        <f ca="1"/>
        <v>0</v>
      </c>
      <c r="P338">
        <f ca="1"/>
        <v>222.49533718635004</v>
      </c>
      <c r="Q338">
        <f ca="1"/>
        <v>189.91233801680085</v>
      </c>
      <c r="R338">
        <f ca="1"/>
        <v>0</v>
      </c>
      <c r="S338">
        <f ca="1"/>
        <v>1</v>
      </c>
      <c r="T338">
        <f ca="1"/>
        <v>2.8799999999999955</v>
      </c>
      <c r="U338">
        <f ca="1"/>
        <v>0</v>
      </c>
      <c r="V338">
        <f ca="1"/>
        <v>0.99997196155156187</v>
      </c>
      <c r="X338" s="2">
        <f t="shared" ca="1" si="36"/>
        <v>45078</v>
      </c>
      <c r="Y338">
        <f t="shared" ca="1" si="37"/>
        <v>0</v>
      </c>
      <c r="AA338" s="63">
        <f t="shared" ca="1" si="39"/>
        <v>-212.83264831116219</v>
      </c>
      <c r="AB338" s="63">
        <f t="shared" ca="1" si="40"/>
        <v>-212.83264831116219</v>
      </c>
      <c r="AC338" s="3">
        <f t="shared" ca="1" si="41"/>
        <v>0</v>
      </c>
    </row>
    <row r="339" spans="8:29">
      <c r="H339" t="b">
        <f t="shared" ca="1" si="38"/>
        <v>0</v>
      </c>
      <c r="I339" t="b">
        <f t="shared" ca="1" si="35"/>
        <v>0</v>
      </c>
      <c r="J339" s="2">
        <f ca="1"/>
        <v>45079</v>
      </c>
      <c r="K339">
        <f ca="1"/>
        <v>-221.9000452822369</v>
      </c>
      <c r="L339">
        <f ca="1"/>
        <v>4.4880744688755101</v>
      </c>
      <c r="M339">
        <f ca="1"/>
        <v>3.3929665285992172E-2</v>
      </c>
      <c r="N339">
        <f ca="1"/>
        <v>0</v>
      </c>
      <c r="O339">
        <f ca="1"/>
        <v>0</v>
      </c>
      <c r="P339">
        <f ca="1"/>
        <v>226.98341165522555</v>
      </c>
      <c r="Q339">
        <f ca="1"/>
        <v>193.74316308646866</v>
      </c>
      <c r="R339">
        <f ca="1"/>
        <v>0</v>
      </c>
      <c r="S339">
        <f ca="1"/>
        <v>1</v>
      </c>
      <c r="T339">
        <f ca="1"/>
        <v>3.8100000000000023</v>
      </c>
      <c r="U339">
        <f ca="1"/>
        <v>0</v>
      </c>
      <c r="V339">
        <f ca="1"/>
        <v>0.99997542442672593</v>
      </c>
      <c r="X339" s="2">
        <f t="shared" ca="1" si="36"/>
        <v>45079</v>
      </c>
      <c r="Y339">
        <f t="shared" ca="1" si="37"/>
        <v>0</v>
      </c>
      <c r="AA339" s="63">
        <f t="shared" ca="1" si="39"/>
        <v>-217.41197081336139</v>
      </c>
      <c r="AB339" s="63">
        <f t="shared" ca="1" si="40"/>
        <v>-217.41197081336139</v>
      </c>
      <c r="AC339" s="3">
        <f t="shared" ca="1" si="41"/>
        <v>0</v>
      </c>
    </row>
    <row r="340" spans="8:29">
      <c r="H340" t="b">
        <f t="shared" ca="1" si="38"/>
        <v>0</v>
      </c>
      <c r="I340" t="b">
        <f t="shared" ca="1" si="35"/>
        <v>0</v>
      </c>
      <c r="J340" s="2">
        <f ca="1"/>
        <v>45080</v>
      </c>
      <c r="K340">
        <f ca="1"/>
        <v>-225.97102777628004</v>
      </c>
      <c r="L340">
        <f ca="1"/>
        <v>4.1033078226324164</v>
      </c>
      <c r="M340">
        <f ca="1"/>
        <v>3.2325328589285718E-2</v>
      </c>
      <c r="N340">
        <f ca="1"/>
        <v>0</v>
      </c>
      <c r="O340">
        <f ca="1"/>
        <v>0</v>
      </c>
      <c r="P340">
        <f ca="1"/>
        <v>231.08671947785797</v>
      </c>
      <c r="Q340">
        <f ca="1"/>
        <v>197.24556808988714</v>
      </c>
      <c r="R340">
        <f ca="1"/>
        <v>0</v>
      </c>
      <c r="S340">
        <f ca="1"/>
        <v>1</v>
      </c>
      <c r="T340">
        <f ca="1"/>
        <v>1.2999999999999972</v>
      </c>
      <c r="U340">
        <f ca="1"/>
        <v>0</v>
      </c>
      <c r="V340">
        <f ca="1"/>
        <v>0.99997822604653952</v>
      </c>
      <c r="X340" s="2">
        <f t="shared" ca="1" si="36"/>
        <v>45080</v>
      </c>
      <c r="Y340">
        <f t="shared" ca="1" si="37"/>
        <v>0</v>
      </c>
      <c r="AA340" s="63">
        <f t="shared" ca="1" si="39"/>
        <v>-221.86771995364762</v>
      </c>
      <c r="AB340" s="63">
        <f t="shared" ca="1" si="40"/>
        <v>-221.86771995364762</v>
      </c>
      <c r="AC340" s="3">
        <f t="shared" ca="1" si="41"/>
        <v>0</v>
      </c>
    </row>
    <row r="341" spans="8:29">
      <c r="H341" t="b">
        <f t="shared" ca="1" si="38"/>
        <v>0</v>
      </c>
      <c r="I341" t="b">
        <f t="shared" ca="1" si="35"/>
        <v>0</v>
      </c>
      <c r="J341" s="2">
        <f ca="1"/>
        <v>45081</v>
      </c>
      <c r="K341">
        <f ca="1"/>
        <v>-230.0959079911899</v>
      </c>
      <c r="L341">
        <f ca="1"/>
        <v>4.1570979283891631</v>
      </c>
      <c r="M341">
        <f ca="1"/>
        <v>3.2217713479299803E-2</v>
      </c>
      <c r="N341">
        <f ca="1"/>
        <v>0</v>
      </c>
      <c r="O341">
        <f ca="1"/>
        <v>0</v>
      </c>
      <c r="P341">
        <f ca="1"/>
        <v>235.24381740624713</v>
      </c>
      <c r="Q341">
        <f ca="1"/>
        <v>200.79388598692222</v>
      </c>
      <c r="R341">
        <f ca="1"/>
        <v>0</v>
      </c>
      <c r="S341">
        <f ca="1"/>
        <v>1</v>
      </c>
      <c r="T341">
        <f ca="1"/>
        <v>3.039999999999992</v>
      </c>
      <c r="U341">
        <f ca="1"/>
        <v>0</v>
      </c>
      <c r="V341">
        <f ca="1"/>
        <v>0.99998075062620917</v>
      </c>
      <c r="X341" s="2">
        <f t="shared" ca="1" si="36"/>
        <v>45081</v>
      </c>
      <c r="Y341">
        <f t="shared" ca="1" si="37"/>
        <v>0</v>
      </c>
      <c r="AA341" s="63">
        <f t="shared" ca="1" si="39"/>
        <v>-225.93881006280074</v>
      </c>
      <c r="AB341" s="63">
        <f t="shared" ca="1" si="40"/>
        <v>-225.93881006280074</v>
      </c>
      <c r="AC341" s="3">
        <f t="shared" ca="1" si="41"/>
        <v>0</v>
      </c>
    </row>
    <row r="342" spans="8:29">
      <c r="H342" t="b">
        <f t="shared" ca="1" si="38"/>
        <v>0</v>
      </c>
      <c r="I342" t="b">
        <f t="shared" ca="1" si="35"/>
        <v>0</v>
      </c>
      <c r="J342" s="2">
        <f ca="1"/>
        <v>45082</v>
      </c>
      <c r="K342">
        <f ca="1"/>
        <v>-234.28347135248856</v>
      </c>
      <c r="L342">
        <f ca="1"/>
        <v>4.2197118062657921</v>
      </c>
      <c r="M342">
        <f ca="1"/>
        <v>3.2148444967145196E-2</v>
      </c>
      <c r="N342">
        <f ca="1"/>
        <v>0</v>
      </c>
      <c r="O342">
        <f ca="1"/>
        <v>0</v>
      </c>
      <c r="P342">
        <f ca="1"/>
        <v>239.46352921251292</v>
      </c>
      <c r="Q342">
        <f ca="1"/>
        <v>204.39564836549221</v>
      </c>
      <c r="R342">
        <f ca="1"/>
        <v>0</v>
      </c>
      <c r="S342">
        <f ca="1"/>
        <v>1</v>
      </c>
      <c r="T342">
        <f ca="1"/>
        <v>2.0400000000000063</v>
      </c>
      <c r="U342">
        <f ca="1"/>
        <v>0</v>
      </c>
      <c r="V342">
        <f ca="1"/>
        <v>0.99998302662814176</v>
      </c>
      <c r="X342" s="2">
        <f t="shared" ca="1" si="36"/>
        <v>45082</v>
      </c>
      <c r="Y342">
        <f t="shared" ca="1" si="37"/>
        <v>0</v>
      </c>
      <c r="AA342" s="63">
        <f t="shared" ca="1" si="39"/>
        <v>-230.06375954622277</v>
      </c>
      <c r="AB342" s="63">
        <f t="shared" ca="1" si="40"/>
        <v>-230.06375954622277</v>
      </c>
      <c r="AC342" s="3">
        <f t="shared" ca="1" si="41"/>
        <v>0</v>
      </c>
    </row>
    <row r="343" spans="8:29">
      <c r="H343" t="b">
        <f t="shared" ca="1" si="38"/>
        <v>0</v>
      </c>
      <c r="I343" t="b">
        <f t="shared" ca="1" si="35"/>
        <v>0</v>
      </c>
      <c r="J343" s="2">
        <f ca="1"/>
        <v>45083</v>
      </c>
      <c r="K343">
        <f ca="1"/>
        <v>-238.40309532448074</v>
      </c>
      <c r="L343">
        <f ca="1"/>
        <v>4.1512792540864325</v>
      </c>
      <c r="M343">
        <f ca="1"/>
        <v>3.1655282094260606E-2</v>
      </c>
      <c r="N343">
        <f ca="1"/>
        <v>0</v>
      </c>
      <c r="O343">
        <f ca="1"/>
        <v>0</v>
      </c>
      <c r="P343">
        <f ca="1"/>
        <v>243.61480846659936</v>
      </c>
      <c r="Q343">
        <f ca="1"/>
        <v>207.93899969534004</v>
      </c>
      <c r="R343">
        <f ca="1"/>
        <v>0</v>
      </c>
      <c r="S343">
        <f ca="1"/>
        <v>1</v>
      </c>
      <c r="T343">
        <f ca="1"/>
        <v>2.1599999999999966</v>
      </c>
      <c r="U343">
        <f ca="1"/>
        <v>0</v>
      </c>
      <c r="V343">
        <f ca="1"/>
        <v>0.99998501557809705</v>
      </c>
      <c r="X343" s="2">
        <f t="shared" ca="1" si="36"/>
        <v>45083</v>
      </c>
      <c r="Y343">
        <f t="shared" ca="1" si="37"/>
        <v>0</v>
      </c>
      <c r="AA343" s="63">
        <f t="shared" ca="1" si="39"/>
        <v>-234.25181607039431</v>
      </c>
      <c r="AB343" s="63">
        <f t="shared" ca="1" si="40"/>
        <v>-234.25181607039431</v>
      </c>
      <c r="AC343" s="3">
        <f t="shared" ca="1" si="41"/>
        <v>0</v>
      </c>
    </row>
    <row r="344" spans="8:29">
      <c r="H344" t="b">
        <f t="shared" ca="1" si="38"/>
        <v>0</v>
      </c>
      <c r="I344" t="b">
        <f t="shared" ca="1" si="35"/>
        <v>0</v>
      </c>
      <c r="J344" s="2">
        <f ca="1"/>
        <v>45084</v>
      </c>
      <c r="K344">
        <f ca="1"/>
        <v>-242.56378350499472</v>
      </c>
      <c r="L344">
        <f ca="1"/>
        <v>4.192223330729604</v>
      </c>
      <c r="M344">
        <f ca="1"/>
        <v>3.1535150215639796E-2</v>
      </c>
      <c r="N344">
        <f ca="1"/>
        <v>0</v>
      </c>
      <c r="O344">
        <f ca="1"/>
        <v>0</v>
      </c>
      <c r="P344">
        <f ca="1"/>
        <v>247.80703179732896</v>
      </c>
      <c r="Q344">
        <f ca="1"/>
        <v>211.51729910734355</v>
      </c>
      <c r="R344">
        <f ca="1"/>
        <v>0</v>
      </c>
      <c r="S344">
        <f ca="1"/>
        <v>1</v>
      </c>
      <c r="T344">
        <f ca="1"/>
        <v>1.7400000000000091</v>
      </c>
      <c r="U344">
        <f ca="1"/>
        <v>0</v>
      </c>
      <c r="V344">
        <f ca="1"/>
        <v>0.99998680049716893</v>
      </c>
      <c r="X344" s="2">
        <f t="shared" ca="1" si="36"/>
        <v>45084</v>
      </c>
      <c r="Y344">
        <f t="shared" ca="1" si="37"/>
        <v>0</v>
      </c>
      <c r="AA344" s="63">
        <f t="shared" ca="1" si="39"/>
        <v>-238.37156017426511</v>
      </c>
      <c r="AB344" s="63">
        <f t="shared" ca="1" si="40"/>
        <v>-238.37156017426511</v>
      </c>
      <c r="AC344" s="3">
        <f t="shared" ca="1" si="41"/>
        <v>0</v>
      </c>
    </row>
    <row r="345" spans="8:29">
      <c r="H345" t="b">
        <f t="shared" ca="1" si="38"/>
        <v>0</v>
      </c>
      <c r="I345" t="b">
        <f t="shared" ca="1" si="35"/>
        <v>0</v>
      </c>
      <c r="J345" s="2">
        <f ca="1"/>
        <v>45085</v>
      </c>
      <c r="K345">
        <f ca="1"/>
        <v>-246.8772921822204</v>
      </c>
      <c r="L345">
        <f ca="1"/>
        <v>4.345310102843257</v>
      </c>
      <c r="M345">
        <f ca="1"/>
        <v>3.180142561757382E-2</v>
      </c>
      <c r="N345">
        <f ca="1"/>
        <v>0</v>
      </c>
      <c r="O345">
        <f ca="1"/>
        <v>0</v>
      </c>
      <c r="P345">
        <f ca="1"/>
        <v>252.15234190017222</v>
      </c>
      <c r="Q345">
        <f ca="1"/>
        <v>215.22626672650685</v>
      </c>
      <c r="R345">
        <f ca="1"/>
        <v>0</v>
      </c>
      <c r="S345">
        <f ca="1"/>
        <v>1</v>
      </c>
      <c r="T345">
        <f ca="1"/>
        <v>1.4199999999999875</v>
      </c>
      <c r="U345">
        <f ca="1"/>
        <v>0</v>
      </c>
      <c r="V345">
        <f ca="1"/>
        <v>0.99998843995616848</v>
      </c>
      <c r="X345" s="2">
        <f t="shared" ca="1" si="36"/>
        <v>45085</v>
      </c>
      <c r="Y345">
        <f t="shared" ca="1" si="37"/>
        <v>0</v>
      </c>
      <c r="AA345" s="63">
        <f t="shared" ca="1" si="39"/>
        <v>-242.53198207937714</v>
      </c>
      <c r="AB345" s="63">
        <f t="shared" ca="1" si="40"/>
        <v>-242.53198207937714</v>
      </c>
      <c r="AC345" s="3">
        <f t="shared" ca="1" si="41"/>
        <v>0</v>
      </c>
    </row>
    <row r="346" spans="8:29">
      <c r="H346" t="b">
        <f t="shared" ca="1" si="38"/>
        <v>0</v>
      </c>
      <c r="I346" t="b">
        <f t="shared" ca="1" si="35"/>
        <v>0</v>
      </c>
      <c r="J346" s="2">
        <f ca="1"/>
        <v>45086</v>
      </c>
      <c r="K346">
        <f ca="1"/>
        <v>-251.39878532012821</v>
      </c>
      <c r="L346">
        <f ca="1"/>
        <v>4.5537736657534253</v>
      </c>
      <c r="M346">
        <f ca="1"/>
        <v>3.2280527845601092E-2</v>
      </c>
      <c r="N346">
        <f ca="1"/>
        <v>0</v>
      </c>
      <c r="O346">
        <f ca="1"/>
        <v>0</v>
      </c>
      <c r="P346">
        <f ca="1"/>
        <v>256.70611556592564</v>
      </c>
      <c r="Q346">
        <f ca="1"/>
        <v>219.11316977175244</v>
      </c>
      <c r="R346">
        <f ca="1"/>
        <v>0</v>
      </c>
      <c r="S346">
        <f ca="1"/>
        <v>1</v>
      </c>
      <c r="T346">
        <f ca="1"/>
        <v>3.8099999999999881</v>
      </c>
      <c r="U346">
        <f ca="1"/>
        <v>0</v>
      </c>
      <c r="V346">
        <f ca="1"/>
        <v>0.99998995434471283</v>
      </c>
      <c r="X346" s="2">
        <f t="shared" ca="1" si="36"/>
        <v>45086</v>
      </c>
      <c r="Y346">
        <f t="shared" ca="1" si="37"/>
        <v>0</v>
      </c>
      <c r="AA346" s="63">
        <f t="shared" ca="1" si="39"/>
        <v>-246.84501165437479</v>
      </c>
      <c r="AB346" s="63">
        <f t="shared" ca="1" si="40"/>
        <v>-246.84501165437479</v>
      </c>
      <c r="AC346" s="3">
        <f t="shared" ca="1" si="41"/>
        <v>0</v>
      </c>
    </row>
    <row r="347" spans="8:29">
      <c r="H347" t="b">
        <f t="shared" ca="1" si="38"/>
        <v>0</v>
      </c>
      <c r="I347" t="b">
        <f t="shared" ca="1" si="35"/>
        <v>0</v>
      </c>
      <c r="J347" s="2">
        <f ca="1"/>
        <v>45087</v>
      </c>
      <c r="K347">
        <f ca="1"/>
        <v>-255.88118824833751</v>
      </c>
      <c r="L347">
        <f ca="1"/>
        <v>4.5143311823276235</v>
      </c>
      <c r="M347">
        <f ca="1"/>
        <v>3.1928254118327892E-2</v>
      </c>
      <c r="N347">
        <f ca="1"/>
        <v>0</v>
      </c>
      <c r="O347">
        <f ca="1"/>
        <v>0</v>
      </c>
      <c r="P347">
        <f ca="1"/>
        <v>261.22044674825327</v>
      </c>
      <c r="Q347">
        <f ca="1"/>
        <v>222.96640642947142</v>
      </c>
      <c r="R347">
        <f ca="1"/>
        <v>0</v>
      </c>
      <c r="S347">
        <f ca="1"/>
        <v>1</v>
      </c>
      <c r="T347">
        <f ca="1"/>
        <v>5.8900000000000006</v>
      </c>
      <c r="U347">
        <f ca="1"/>
        <v>0</v>
      </c>
      <c r="V347">
        <f ca="1"/>
        <v>0.99999127383366582</v>
      </c>
      <c r="X347" s="2">
        <f t="shared" ca="1" si="36"/>
        <v>45087</v>
      </c>
      <c r="Y347">
        <f t="shared" ca="1" si="37"/>
        <v>0</v>
      </c>
      <c r="AA347" s="63">
        <f t="shared" ca="1" si="39"/>
        <v>-251.36685706600989</v>
      </c>
      <c r="AB347" s="63">
        <f t="shared" ca="1" si="40"/>
        <v>-251.36685706600989</v>
      </c>
      <c r="AC347" s="3">
        <f t="shared" ca="1" si="41"/>
        <v>0</v>
      </c>
    </row>
    <row r="348" spans="8:29">
      <c r="H348" t="b">
        <f t="shared" ca="1" si="38"/>
        <v>0</v>
      </c>
      <c r="I348" t="b">
        <f t="shared" ca="1" si="35"/>
        <v>0</v>
      </c>
      <c r="J348" s="2">
        <f ca="1"/>
        <v>45088</v>
      </c>
      <c r="K348">
        <f ca="1"/>
        <v>-260.34508961070009</v>
      </c>
      <c r="L348">
        <f ca="1"/>
        <v>4.4955644369475749</v>
      </c>
      <c r="M348">
        <f ca="1"/>
        <v>3.1663074584994177E-2</v>
      </c>
      <c r="N348">
        <f ca="1"/>
        <v>0</v>
      </c>
      <c r="O348">
        <f ca="1"/>
        <v>0</v>
      </c>
      <c r="P348">
        <f ca="1"/>
        <v>265.71601118520084</v>
      </c>
      <c r="Q348">
        <f ca="1"/>
        <v>226.80362460996224</v>
      </c>
      <c r="R348">
        <f ca="1"/>
        <v>0</v>
      </c>
      <c r="S348">
        <f ca="1"/>
        <v>1</v>
      </c>
      <c r="T348">
        <f ca="1"/>
        <v>3.539999999999992</v>
      </c>
      <c r="U348">
        <f ca="1"/>
        <v>0</v>
      </c>
      <c r="V348">
        <f ca="1"/>
        <v>0.99999242908866248</v>
      </c>
      <c r="X348" s="2">
        <f t="shared" ca="1" si="36"/>
        <v>45088</v>
      </c>
      <c r="Y348">
        <f t="shared" ca="1" si="37"/>
        <v>0</v>
      </c>
      <c r="AA348" s="63">
        <f t="shared" ca="1" si="39"/>
        <v>-255.84952517375251</v>
      </c>
      <c r="AB348" s="63">
        <f t="shared" ca="1" si="40"/>
        <v>-255.84952517375251</v>
      </c>
      <c r="AC348" s="3">
        <f t="shared" ca="1" si="41"/>
        <v>0</v>
      </c>
    </row>
    <row r="349" spans="8:29">
      <c r="H349" t="b">
        <f t="shared" ca="1" si="38"/>
        <v>0</v>
      </c>
      <c r="I349" t="b">
        <f t="shared" ca="1" si="35"/>
        <v>0</v>
      </c>
      <c r="J349" s="2">
        <f ca="1"/>
        <v>45089</v>
      </c>
      <c r="K349">
        <f ca="1"/>
        <v>-264.63702262202099</v>
      </c>
      <c r="L349">
        <f ca="1"/>
        <v>4.3228135197834945</v>
      </c>
      <c r="M349">
        <f ca="1"/>
        <v>3.088050846256607E-2</v>
      </c>
      <c r="N349">
        <f ca="1"/>
        <v>0</v>
      </c>
      <c r="O349">
        <f ca="1"/>
        <v>0</v>
      </c>
      <c r="P349">
        <f ca="1"/>
        <v>270.03882470498434</v>
      </c>
      <c r="Q349">
        <f ca="1"/>
        <v>230.4933901247565</v>
      </c>
      <c r="R349">
        <f ca="1"/>
        <v>0</v>
      </c>
      <c r="S349">
        <f ca="1"/>
        <v>1</v>
      </c>
      <c r="T349">
        <f ca="1"/>
        <v>2.8399999999999892</v>
      </c>
      <c r="U349">
        <f ca="1"/>
        <v>0</v>
      </c>
      <c r="V349">
        <f ca="1"/>
        <v>0.99999340774239243</v>
      </c>
      <c r="X349" s="2">
        <f t="shared" ca="1" si="36"/>
        <v>45089</v>
      </c>
      <c r="Y349">
        <f t="shared" ca="1" si="37"/>
        <v>0</v>
      </c>
      <c r="AA349" s="63">
        <f t="shared" ca="1" si="39"/>
        <v>-260.3142091022375</v>
      </c>
      <c r="AB349" s="63">
        <f t="shared" ca="1" si="40"/>
        <v>-260.3142091022375</v>
      </c>
      <c r="AC349" s="3">
        <f t="shared" ca="1" si="41"/>
        <v>0</v>
      </c>
    </row>
    <row r="350" spans="8:29">
      <c r="H350" t="b">
        <f t="shared" ca="1" si="38"/>
        <v>0</v>
      </c>
      <c r="I350" t="b">
        <f t="shared" ca="1" si="35"/>
        <v>0</v>
      </c>
      <c r="J350" s="2">
        <f ca="1"/>
        <v>45090</v>
      </c>
      <c r="K350">
        <f ca="1"/>
        <v>-268.75218795421551</v>
      </c>
      <c r="L350">
        <f ca="1"/>
        <v>4.145263648196817</v>
      </c>
      <c r="M350">
        <f ca="1"/>
        <v>3.0098316002319159E-2</v>
      </c>
      <c r="N350">
        <f ca="1"/>
        <v>0</v>
      </c>
      <c r="O350">
        <f ca="1"/>
        <v>0</v>
      </c>
      <c r="P350">
        <f ca="1"/>
        <v>274.18408835318115</v>
      </c>
      <c r="Q350">
        <f ca="1"/>
        <v>234.03160679518393</v>
      </c>
      <c r="R350">
        <f ca="1"/>
        <v>0</v>
      </c>
      <c r="S350">
        <f ca="1"/>
        <v>1</v>
      </c>
      <c r="T350">
        <f ca="1"/>
        <v>2.1299999999999955</v>
      </c>
      <c r="U350">
        <f ca="1"/>
        <v>0</v>
      </c>
      <c r="V350">
        <f ca="1"/>
        <v>0.99999423806607024</v>
      </c>
      <c r="X350" s="2">
        <f t="shared" ca="1" si="36"/>
        <v>45090</v>
      </c>
      <c r="Y350">
        <f t="shared" ca="1" si="37"/>
        <v>0</v>
      </c>
      <c r="AA350" s="63">
        <f t="shared" ca="1" si="39"/>
        <v>-264.6069243060187</v>
      </c>
      <c r="AB350" s="63">
        <f t="shared" ca="1" si="40"/>
        <v>-264.6069243060187</v>
      </c>
      <c r="AC350" s="3">
        <f t="shared" ca="1" si="41"/>
        <v>0</v>
      </c>
    </row>
    <row r="351" spans="8:29">
      <c r="H351" t="b">
        <f t="shared" ca="1" si="38"/>
        <v>0</v>
      </c>
      <c r="I351" t="b">
        <f t="shared" ca="1" si="35"/>
        <v>0</v>
      </c>
      <c r="J351" s="2">
        <f ca="1"/>
        <v>45091</v>
      </c>
      <c r="K351">
        <f ca="1"/>
        <v>-272.46478859350862</v>
      </c>
      <c r="L351">
        <f ca="1"/>
        <v>3.7411806152258578</v>
      </c>
      <c r="M351">
        <f ca="1"/>
        <v>2.8579975932760959E-2</v>
      </c>
      <c r="N351">
        <f ca="1"/>
        <v>0</v>
      </c>
      <c r="O351">
        <f ca="1"/>
        <v>0</v>
      </c>
      <c r="P351">
        <f ca="1"/>
        <v>277.92526896840701</v>
      </c>
      <c r="Q351">
        <f ca="1"/>
        <v>237.22491577219677</v>
      </c>
      <c r="R351">
        <f ca="1"/>
        <v>0</v>
      </c>
      <c r="S351">
        <f ca="1"/>
        <v>1</v>
      </c>
      <c r="T351">
        <f ca="1"/>
        <v>1.9599999999999937</v>
      </c>
      <c r="U351">
        <f ca="1"/>
        <v>0</v>
      </c>
      <c r="V351">
        <f ca="1"/>
        <v>0.99999490614259567</v>
      </c>
      <c r="X351" s="2">
        <f t="shared" ca="1" si="36"/>
        <v>45091</v>
      </c>
      <c r="Y351">
        <f t="shared" ca="1" si="37"/>
        <v>0</v>
      </c>
      <c r="AA351" s="63">
        <f t="shared" ca="1" si="39"/>
        <v>-268.72360797828276</v>
      </c>
      <c r="AB351" s="63">
        <f t="shared" ca="1" si="40"/>
        <v>-268.72360797828276</v>
      </c>
      <c r="AC351" s="3">
        <f t="shared" ca="1" si="41"/>
        <v>0</v>
      </c>
    </row>
    <row r="352" spans="8:29">
      <c r="H352" t="b">
        <f t="shared" ca="1" si="38"/>
        <v>0</v>
      </c>
      <c r="I352" t="b">
        <f t="shared" ca="1" si="35"/>
        <v>0</v>
      </c>
      <c r="J352" s="2">
        <f ca="1"/>
        <v>45092</v>
      </c>
      <c r="K352">
        <f ca="1"/>
        <v>-276.15992713698432</v>
      </c>
      <c r="L352">
        <f ca="1"/>
        <v>3.7234918959152878</v>
      </c>
      <c r="M352">
        <f ca="1"/>
        <v>2.8353352439559387E-2</v>
      </c>
      <c r="N352">
        <f ca="1"/>
        <v>0</v>
      </c>
      <c r="O352">
        <f ca="1"/>
        <v>0</v>
      </c>
      <c r="P352">
        <f ca="1"/>
        <v>281.6487608643223</v>
      </c>
      <c r="Q352">
        <f ca="1"/>
        <v>240.40312642812449</v>
      </c>
      <c r="R352">
        <f ca="1"/>
        <v>0</v>
      </c>
      <c r="S352">
        <f ca="1"/>
        <v>1</v>
      </c>
      <c r="T352">
        <f ca="1"/>
        <v>5.0900000000000034</v>
      </c>
      <c r="U352">
        <f ca="1"/>
        <v>0</v>
      </c>
      <c r="V352">
        <f ca="1"/>
        <v>0.99999550215184141</v>
      </c>
      <c r="X352" s="2">
        <f t="shared" ca="1" si="36"/>
        <v>45092</v>
      </c>
      <c r="Y352">
        <f t="shared" ca="1" si="37"/>
        <v>0</v>
      </c>
      <c r="AA352" s="63">
        <f t="shared" ca="1" si="39"/>
        <v>-272.43643524106903</v>
      </c>
      <c r="AB352" s="63">
        <f t="shared" ca="1" si="40"/>
        <v>-272.43643524106903</v>
      </c>
      <c r="AC352" s="3">
        <f t="shared" ca="1" si="41"/>
        <v>0</v>
      </c>
    </row>
    <row r="353" spans="8:29">
      <c r="H353" t="b">
        <f t="shared" ca="1" si="38"/>
        <v>0</v>
      </c>
      <c r="I353" t="b">
        <f t="shared" ca="1" si="35"/>
        <v>0</v>
      </c>
      <c r="J353" s="2">
        <f ca="1"/>
        <v>45093</v>
      </c>
      <c r="K353">
        <f ca="1"/>
        <v>-279.4670615622565</v>
      </c>
      <c r="L353">
        <f ca="1"/>
        <v>3.3340645961614541</v>
      </c>
      <c r="M353">
        <f ca="1"/>
        <v>2.6930170889277072E-2</v>
      </c>
      <c r="N353">
        <f ca="1"/>
        <v>0</v>
      </c>
      <c r="O353">
        <f ca="1"/>
        <v>0</v>
      </c>
      <c r="P353">
        <f ca="1"/>
        <v>284.98282546048375</v>
      </c>
      <c r="Q353">
        <f ca="1"/>
        <v>243.24893888677275</v>
      </c>
      <c r="R353">
        <f ca="1"/>
        <v>0</v>
      </c>
      <c r="S353">
        <f ca="1"/>
        <v>1</v>
      </c>
      <c r="T353">
        <f ca="1"/>
        <v>2.8899999999999864</v>
      </c>
      <c r="U353">
        <f ca="1"/>
        <v>0</v>
      </c>
      <c r="V353">
        <f ca="1"/>
        <v>0.9999959829501367</v>
      </c>
      <c r="X353" s="2">
        <f t="shared" ca="1" si="36"/>
        <v>45093</v>
      </c>
      <c r="Y353">
        <f t="shared" ca="1" si="37"/>
        <v>0</v>
      </c>
      <c r="AA353" s="63">
        <f t="shared" ca="1" si="39"/>
        <v>-276.13299696609505</v>
      </c>
      <c r="AB353" s="63">
        <f t="shared" ca="1" si="40"/>
        <v>-276.13299696609505</v>
      </c>
      <c r="AC353" s="3">
        <f t="shared" ca="1" si="41"/>
        <v>0</v>
      </c>
    </row>
    <row r="354" spans="8:29">
      <c r="H354" t="b">
        <f t="shared" ca="1" si="38"/>
        <v>0</v>
      </c>
      <c r="I354" t="b">
        <f t="shared" ca="1" si="35"/>
        <v>0</v>
      </c>
      <c r="J354" s="2">
        <f ca="1"/>
        <v>45094</v>
      </c>
      <c r="K354">
        <f ca="1"/>
        <v>-282.76688926245833</v>
      </c>
      <c r="L354">
        <f ca="1"/>
        <v>3.3265699690018096</v>
      </c>
      <c r="M354">
        <f ca="1"/>
        <v>2.6742268799964108E-2</v>
      </c>
      <c r="N354">
        <f ca="1"/>
        <v>0</v>
      </c>
      <c r="O354">
        <f ca="1"/>
        <v>0</v>
      </c>
      <c r="P354">
        <f ca="1"/>
        <v>288.30939542948556</v>
      </c>
      <c r="Q354">
        <f ca="1"/>
        <v>246.08835425780362</v>
      </c>
      <c r="R354">
        <f ca="1"/>
        <v>0</v>
      </c>
      <c r="S354">
        <f ca="1"/>
        <v>1</v>
      </c>
      <c r="T354">
        <f ca="1"/>
        <v>3.3899999999999864</v>
      </c>
      <c r="U354">
        <f ca="1"/>
        <v>0</v>
      </c>
      <c r="V354">
        <f ca="1"/>
        <v>0.99999641736620193</v>
      </c>
      <c r="X354" s="2">
        <f t="shared" ca="1" si="36"/>
        <v>45094</v>
      </c>
      <c r="Y354">
        <f t="shared" ca="1" si="37"/>
        <v>0</v>
      </c>
      <c r="AA354" s="63">
        <f t="shared" ca="1" si="39"/>
        <v>-279.44031929345653</v>
      </c>
      <c r="AB354" s="63">
        <f t="shared" ca="1" si="40"/>
        <v>-279.44031929345653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0</v>
      </c>
      <c r="J355" s="2">
        <f ca="1"/>
        <v>45095</v>
      </c>
      <c r="K355">
        <f ca="1"/>
        <v>-286.31617456354627</v>
      </c>
      <c r="L355">
        <f ca="1"/>
        <v>3.5766924572056951</v>
      </c>
      <c r="M355">
        <f ca="1"/>
        <v>2.7407156117757125E-2</v>
      </c>
      <c r="N355">
        <f ca="1"/>
        <v>0</v>
      </c>
      <c r="O355">
        <f ca="1"/>
        <v>0</v>
      </c>
      <c r="P355">
        <f ca="1"/>
        <v>291.88608788669126</v>
      </c>
      <c r="Q355">
        <f ca="1"/>
        <v>249.14126330077414</v>
      </c>
      <c r="R355">
        <f ca="1"/>
        <v>0</v>
      </c>
      <c r="S355">
        <f ca="1"/>
        <v>1</v>
      </c>
      <c r="T355">
        <f ca="1"/>
        <v>3.6199999999999903</v>
      </c>
      <c r="U355">
        <f ca="1"/>
        <v>0</v>
      </c>
      <c r="V355">
        <f ca="1"/>
        <v>0.99999683844956799</v>
      </c>
      <c r="X355" s="2">
        <f t="shared" ca="1" si="36"/>
        <v>45095</v>
      </c>
      <c r="Y355">
        <f t="shared" ca="1" si="37"/>
        <v>0</v>
      </c>
      <c r="AA355" s="63">
        <f t="shared" ca="1" si="39"/>
        <v>-282.73948210634057</v>
      </c>
      <c r="AB355" s="63">
        <f t="shared" ca="1" si="40"/>
        <v>-282.73948210634057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45096</v>
      </c>
      <c r="K356">
        <f ca="1"/>
        <v>-289.6099448805665</v>
      </c>
      <c r="L356">
        <f ca="1"/>
        <v>3.3201928659042892</v>
      </c>
      <c r="M356">
        <f ca="1"/>
        <v>2.6422548884066366E-2</v>
      </c>
      <c r="N356">
        <f ca="1"/>
        <v>0</v>
      </c>
      <c r="O356">
        <f ca="1"/>
        <v>0</v>
      </c>
      <c r="P356">
        <f ca="1"/>
        <v>295.20628075259555</v>
      </c>
      <c r="Q356">
        <f ca="1"/>
        <v>251.97523545409828</v>
      </c>
      <c r="R356">
        <f ca="1"/>
        <v>0</v>
      </c>
      <c r="S356">
        <f ca="1"/>
        <v>1</v>
      </c>
      <c r="T356">
        <f ca="1"/>
        <v>2.9399999999999835</v>
      </c>
      <c r="U356">
        <f ca="1"/>
        <v>0</v>
      </c>
      <c r="V356">
        <f ca="1"/>
        <v>0.99999719046879032</v>
      </c>
      <c r="X356" s="2">
        <f t="shared" ca="1" si="36"/>
        <v>45096</v>
      </c>
      <c r="Y356">
        <f t="shared" ca="1" si="37"/>
        <v>0</v>
      </c>
      <c r="AA356" s="63">
        <f t="shared" ca="1" si="39"/>
        <v>-286.28975201466221</v>
      </c>
      <c r="AB356" s="63">
        <f t="shared" ca="1" si="40"/>
        <v>-286.28975201466221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45097</v>
      </c>
      <c r="K357">
        <f ca="1"/>
        <v>-292.93522411803548</v>
      </c>
      <c r="L357">
        <f ca="1"/>
        <v>3.3516694576135819</v>
      </c>
      <c r="M357">
        <f ca="1"/>
        <v>2.6390220144612897E-2</v>
      </c>
      <c r="N357">
        <f ca="1"/>
        <v>0</v>
      </c>
      <c r="O357">
        <f ca="1"/>
        <v>0</v>
      </c>
      <c r="P357">
        <f ca="1"/>
        <v>298.55795021020913</v>
      </c>
      <c r="Q357">
        <f ca="1"/>
        <v>254.83607465641282</v>
      </c>
      <c r="R357">
        <f ca="1"/>
        <v>0</v>
      </c>
      <c r="S357">
        <f ca="1"/>
        <v>1</v>
      </c>
      <c r="T357">
        <f ca="1"/>
        <v>4.6300000000000097</v>
      </c>
      <c r="U357">
        <f ca="1"/>
        <v>0</v>
      </c>
      <c r="V357">
        <f ca="1"/>
        <v>0.99999751125918002</v>
      </c>
      <c r="X357" s="2">
        <f t="shared" ca="1" si="36"/>
        <v>45097</v>
      </c>
      <c r="Y357">
        <f t="shared" ca="1" si="37"/>
        <v>0</v>
      </c>
      <c r="AA357" s="63">
        <f t="shared" ca="1" si="39"/>
        <v>-289.5835546604219</v>
      </c>
      <c r="AB357" s="63">
        <f t="shared" ca="1" si="40"/>
        <v>-289.5835546604219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45098</v>
      </c>
      <c r="K358">
        <f ca="1"/>
        <v>-296.25939688857977</v>
      </c>
      <c r="L358">
        <f ca="1"/>
        <v>3.3504346576411876</v>
      </c>
      <c r="M358">
        <f ca="1"/>
        <v>2.6261887096878489E-2</v>
      </c>
      <c r="N358">
        <f ca="1"/>
        <v>0</v>
      </c>
      <c r="O358">
        <f ca="1"/>
        <v>0</v>
      </c>
      <c r="P358">
        <f ca="1"/>
        <v>301.90838486785032</v>
      </c>
      <c r="Q358">
        <f ca="1"/>
        <v>257.69585988720274</v>
      </c>
      <c r="R358">
        <f ca="1"/>
        <v>0</v>
      </c>
      <c r="S358">
        <f ca="1"/>
        <v>1</v>
      </c>
      <c r="T358">
        <f ca="1"/>
        <v>0.90999999999999659</v>
      </c>
      <c r="U358">
        <f ca="1"/>
        <v>0</v>
      </c>
      <c r="V358">
        <f ca="1"/>
        <v>0.99999780026041318</v>
      </c>
      <c r="X358" s="2">
        <f t="shared" ca="1" si="36"/>
        <v>45098</v>
      </c>
      <c r="Y358">
        <f t="shared" ca="1" si="37"/>
        <v>0</v>
      </c>
      <c r="AA358" s="63">
        <f t="shared" ca="1" si="39"/>
        <v>-292.90896223093858</v>
      </c>
      <c r="AB358" s="63">
        <f t="shared" ca="1" si="40"/>
        <v>-292.90896223093858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45099</v>
      </c>
      <c r="K359">
        <f ca="1"/>
        <v>-299.34175949281808</v>
      </c>
      <c r="L359">
        <f ca="1"/>
        <v>3.1076949960016123</v>
      </c>
      <c r="M359">
        <f ca="1"/>
        <v>2.5332391763321915E-2</v>
      </c>
      <c r="N359">
        <f ca="1"/>
        <v>0</v>
      </c>
      <c r="O359">
        <f ca="1"/>
        <v>0</v>
      </c>
      <c r="P359">
        <f ca="1"/>
        <v>305.01607986385193</v>
      </c>
      <c r="Q359">
        <f ca="1"/>
        <v>260.34845310554721</v>
      </c>
      <c r="R359">
        <f ca="1"/>
        <v>0</v>
      </c>
      <c r="S359">
        <f ca="1"/>
        <v>1</v>
      </c>
      <c r="T359">
        <f ca="1"/>
        <v>0.88000000000000966</v>
      </c>
      <c r="U359">
        <f ca="1"/>
        <v>0</v>
      </c>
      <c r="V359">
        <f ca="1"/>
        <v>0.99999804245305457</v>
      </c>
      <c r="X359" s="2">
        <f t="shared" ca="1" si="36"/>
        <v>45099</v>
      </c>
      <c r="Y359">
        <f t="shared" ca="1" si="37"/>
        <v>0</v>
      </c>
      <c r="AA359" s="63">
        <f t="shared" ca="1" si="39"/>
        <v>-296.23406449681647</v>
      </c>
      <c r="AB359" s="63">
        <f t="shared" ca="1" si="40"/>
        <v>-296.23406449681647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45100</v>
      </c>
      <c r="K360">
        <f ca="1"/>
        <v>-302.23277025492808</v>
      </c>
      <c r="L360">
        <f ca="1"/>
        <v>2.9155872089714308</v>
      </c>
      <c r="M360">
        <f ca="1"/>
        <v>2.4576446861432011E-2</v>
      </c>
      <c r="N360">
        <f ca="1"/>
        <v>0</v>
      </c>
      <c r="O360">
        <f ca="1"/>
        <v>0</v>
      </c>
      <c r="P360">
        <f ca="1"/>
        <v>307.93166707282336</v>
      </c>
      <c r="Q360">
        <f ca="1"/>
        <v>262.83707147638478</v>
      </c>
      <c r="R360">
        <f ca="1"/>
        <v>0</v>
      </c>
      <c r="S360">
        <f ca="1"/>
        <v>1</v>
      </c>
      <c r="T360">
        <f ca="1"/>
        <v>3.6999999999999886</v>
      </c>
      <c r="U360">
        <f ca="1"/>
        <v>0</v>
      </c>
      <c r="V360">
        <f ca="1"/>
        <v>0.99999824891002842</v>
      </c>
      <c r="X360" s="2">
        <f t="shared" ca="1" si="36"/>
        <v>45100</v>
      </c>
      <c r="Y360">
        <f t="shared" ca="1" si="37"/>
        <v>0</v>
      </c>
      <c r="AA360" s="63">
        <f t="shared" ca="1" si="39"/>
        <v>-299.31718304595665</v>
      </c>
      <c r="AB360" s="63">
        <f t="shared" ca="1" si="40"/>
        <v>-299.31718304595665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45101</v>
      </c>
      <c r="K361">
        <f ca="1"/>
        <v>-305.1266729169555</v>
      </c>
      <c r="L361">
        <f ca="1"/>
        <v>2.9183652275160057</v>
      </c>
      <c r="M361">
        <f ca="1"/>
        <v>2.4462565488616583E-2</v>
      </c>
      <c r="N361">
        <f ca="1"/>
        <v>0</v>
      </c>
      <c r="O361">
        <f ca="1"/>
        <v>0</v>
      </c>
      <c r="P361">
        <f ca="1"/>
        <v>310.85003230033936</v>
      </c>
      <c r="Q361">
        <f ca="1"/>
        <v>265.32806104296748</v>
      </c>
      <c r="R361">
        <f ca="1"/>
        <v>0</v>
      </c>
      <c r="S361">
        <f ca="1"/>
        <v>1</v>
      </c>
      <c r="T361">
        <f ca="1"/>
        <v>5.2800000000000011</v>
      </c>
      <c r="U361">
        <f ca="1"/>
        <v>0</v>
      </c>
      <c r="V361">
        <f ca="1"/>
        <v>0.99999843703040125</v>
      </c>
      <c r="X361" s="2">
        <f t="shared" ca="1" si="36"/>
        <v>45101</v>
      </c>
      <c r="Y361">
        <f t="shared" ca="1" si="37"/>
        <v>0</v>
      </c>
      <c r="AA361" s="63">
        <f t="shared" ca="1" si="39"/>
        <v>-302.20830768943949</v>
      </c>
      <c r="AB361" s="63">
        <f t="shared" ca="1" si="40"/>
        <v>-302.20830768943949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45102</v>
      </c>
      <c r="K362">
        <f ca="1"/>
        <v>-308.04951747198874</v>
      </c>
      <c r="L362">
        <f ca="1"/>
        <v>2.9472908739899708</v>
      </c>
      <c r="M362">
        <f ca="1"/>
        <v>2.4446318956742097E-2</v>
      </c>
      <c r="N362">
        <f ca="1"/>
        <v>0</v>
      </c>
      <c r="O362">
        <f ca="1"/>
        <v>0</v>
      </c>
      <c r="P362">
        <f ca="1"/>
        <v>313.79732317432934</v>
      </c>
      <c r="Q362">
        <f ca="1"/>
        <v>267.84374028269116</v>
      </c>
      <c r="R362">
        <f ca="1"/>
        <v>0</v>
      </c>
      <c r="S362">
        <f ca="1"/>
        <v>1</v>
      </c>
      <c r="T362">
        <f ca="1"/>
        <v>7.4300000000000068</v>
      </c>
      <c r="U362">
        <f ca="1"/>
        <v>0</v>
      </c>
      <c r="V362">
        <f ca="1"/>
        <v>0.99999860966989862</v>
      </c>
      <c r="X362" s="2">
        <f t="shared" ca="1" si="36"/>
        <v>45102</v>
      </c>
      <c r="Y362">
        <f t="shared" ca="1" si="37"/>
        <v>0</v>
      </c>
      <c r="AA362" s="63">
        <f t="shared" ca="1" si="39"/>
        <v>-305.10222659799877</v>
      </c>
      <c r="AB362" s="63">
        <f t="shared" ca="1" si="40"/>
        <v>-305.10222659799877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45103</v>
      </c>
      <c r="K363">
        <f ca="1"/>
        <v>-310.73314479111951</v>
      </c>
      <c r="L363">
        <f ca="1"/>
        <v>2.7071605406048889</v>
      </c>
      <c r="M363">
        <f ca="1"/>
        <v>2.3533221474105304E-2</v>
      </c>
      <c r="N363">
        <f ca="1"/>
        <v>0</v>
      </c>
      <c r="O363">
        <f ca="1"/>
        <v>0</v>
      </c>
      <c r="P363">
        <f ca="1"/>
        <v>316.50448371493422</v>
      </c>
      <c r="Q363">
        <f ca="1"/>
        <v>270.15445471902331</v>
      </c>
      <c r="R363">
        <f ca="1"/>
        <v>0</v>
      </c>
      <c r="S363">
        <f ca="1"/>
        <v>1</v>
      </c>
      <c r="T363">
        <f ca="1"/>
        <v>2.4599999999999937</v>
      </c>
      <c r="U363">
        <f ca="1"/>
        <v>0</v>
      </c>
      <c r="V363">
        <f ca="1"/>
        <v>0.999998754066451</v>
      </c>
      <c r="X363" s="2">
        <f t="shared" ca="1" si="36"/>
        <v>45103</v>
      </c>
      <c r="Y363">
        <f t="shared" ca="1" si="37"/>
        <v>0</v>
      </c>
      <c r="AA363" s="63">
        <f t="shared" ca="1" si="39"/>
        <v>-308.02598425051463</v>
      </c>
      <c r="AB363" s="63">
        <f t="shared" ca="1" si="40"/>
        <v>-308.02598425051463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45104</v>
      </c>
      <c r="K364">
        <f ca="1"/>
        <v>-313.41219415219467</v>
      </c>
      <c r="L364">
        <f ca="1"/>
        <v>2.7024552277345606</v>
      </c>
      <c r="M364">
        <f ca="1"/>
        <v>2.3405866659403252E-2</v>
      </c>
      <c r="N364">
        <f ca="1"/>
        <v>0</v>
      </c>
      <c r="O364">
        <f ca="1"/>
        <v>0</v>
      </c>
      <c r="P364">
        <f ca="1"/>
        <v>319.20693894266878</v>
      </c>
      <c r="Q364">
        <f ca="1"/>
        <v>272.46115290503946</v>
      </c>
      <c r="R364">
        <f ca="1"/>
        <v>0</v>
      </c>
      <c r="S364">
        <f ca="1"/>
        <v>1</v>
      </c>
      <c r="T364">
        <f ca="1"/>
        <v>1.3399999999999892</v>
      </c>
      <c r="U364">
        <f ca="1"/>
        <v>0</v>
      </c>
      <c r="V364">
        <f ca="1"/>
        <v>0.99999888569423523</v>
      </c>
      <c r="X364" s="2">
        <f t="shared" ca="1" si="36"/>
        <v>45104</v>
      </c>
      <c r="Y364">
        <f t="shared" ca="1" si="37"/>
        <v>0</v>
      </c>
      <c r="AA364" s="63">
        <f t="shared" ca="1" si="39"/>
        <v>-310.70973892446011</v>
      </c>
      <c r="AB364" s="63">
        <f t="shared" ca="1" si="40"/>
        <v>-310.70973892446011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45105</v>
      </c>
      <c r="K365">
        <f ca="1"/>
        <v>-315.98074291265004</v>
      </c>
      <c r="L365">
        <f ca="1"/>
        <v>2.5914746438051566</v>
      </c>
      <c r="M365">
        <f ca="1"/>
        <v>2.2925883349807386E-2</v>
      </c>
      <c r="N365">
        <f ca="1"/>
        <v>0</v>
      </c>
      <c r="O365">
        <f ca="1"/>
        <v>0</v>
      </c>
      <c r="P365">
        <f ca="1"/>
        <v>321.79841358647394</v>
      </c>
      <c r="Q365">
        <f ca="1"/>
        <v>274.67312289389412</v>
      </c>
      <c r="R365">
        <f ca="1"/>
        <v>0</v>
      </c>
      <c r="S365">
        <f ca="1"/>
        <v>1</v>
      </c>
      <c r="T365">
        <f ca="1"/>
        <v>4.3500000000000085</v>
      </c>
      <c r="U365">
        <f ca="1"/>
        <v>0</v>
      </c>
      <c r="V365">
        <f ca="1"/>
        <v>0.99999900102456352</v>
      </c>
      <c r="X365" s="2">
        <f t="shared" ca="1" si="36"/>
        <v>45105</v>
      </c>
      <c r="Y365">
        <f t="shared" ca="1" si="37"/>
        <v>0</v>
      </c>
      <c r="AA365" s="63">
        <f t="shared" ca="1" si="39"/>
        <v>-313.38926826884489</v>
      </c>
      <c r="AB365" s="63">
        <f t="shared" ca="1" si="40"/>
        <v>-313.38926826884489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45106</v>
      </c>
      <c r="K366">
        <f ca="1"/>
        <v>-318.54282532388112</v>
      </c>
      <c r="L366">
        <f ca="1"/>
        <v>2.5848822374989027</v>
      </c>
      <c r="M366">
        <f ca="1"/>
        <v>2.2799826267847045E-2</v>
      </c>
      <c r="N366">
        <f ca="1"/>
        <v>0</v>
      </c>
      <c r="O366">
        <f ca="1"/>
        <v>0</v>
      </c>
      <c r="P366">
        <f ca="1"/>
        <v>324.38329582397284</v>
      </c>
      <c r="Q366">
        <f ca="1"/>
        <v>276.87946589159196</v>
      </c>
      <c r="R366">
        <f ca="1"/>
        <v>0</v>
      </c>
      <c r="S366">
        <f ca="1"/>
        <v>1</v>
      </c>
      <c r="T366">
        <f ca="1"/>
        <v>3.9699999999999989</v>
      </c>
      <c r="U366">
        <f ca="1"/>
        <v>0</v>
      </c>
      <c r="V366">
        <f ca="1"/>
        <v>0.99999910620527821</v>
      </c>
      <c r="X366" s="2">
        <f t="shared" ca="1" si="36"/>
        <v>45106</v>
      </c>
      <c r="Y366">
        <f t="shared" ca="1" si="37"/>
        <v>0</v>
      </c>
      <c r="AA366" s="63">
        <f t="shared" ca="1" si="39"/>
        <v>-315.95794308638222</v>
      </c>
      <c r="AB366" s="63">
        <f t="shared" ca="1" si="40"/>
        <v>-315.95794308638222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45107</v>
      </c>
      <c r="K367">
        <f ca="1"/>
        <v>-321.09097908997035</v>
      </c>
      <c r="L367">
        <f ca="1"/>
        <v>2.5708095075427764</v>
      </c>
      <c r="M367">
        <f ca="1"/>
        <v>2.2655741453528222E-2</v>
      </c>
      <c r="N367">
        <f ca="1"/>
        <v>0</v>
      </c>
      <c r="O367">
        <f ca="1"/>
        <v>0</v>
      </c>
      <c r="P367">
        <f ca="1"/>
        <v>326.95410533151562</v>
      </c>
      <c r="Q367">
        <f ca="1"/>
        <v>279.07379701936895</v>
      </c>
      <c r="R367">
        <f ca="1"/>
        <v>0</v>
      </c>
      <c r="S367">
        <f ca="1"/>
        <v>1</v>
      </c>
      <c r="T367">
        <f ca="1"/>
        <v>6.1599999999999966</v>
      </c>
      <c r="U367">
        <f ca="1"/>
        <v>0</v>
      </c>
      <c r="V367">
        <f ca="1"/>
        <v>0.99999920174793455</v>
      </c>
      <c r="X367" s="2">
        <f t="shared" ca="1" si="36"/>
        <v>45107</v>
      </c>
      <c r="Y367">
        <f t="shared" ca="1" si="37"/>
        <v>0</v>
      </c>
      <c r="AA367" s="63">
        <f t="shared" ca="1" si="39"/>
        <v>-318.52016958242757</v>
      </c>
      <c r="AB367" s="63">
        <f t="shared" ca="1" si="40"/>
        <v>-318.52016958242757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45108</v>
      </c>
      <c r="K368">
        <f ca="1"/>
        <v>-323.31577545744204</v>
      </c>
      <c r="L368">
        <f ca="1"/>
        <v>2.2462464121335302</v>
      </c>
      <c r="M368">
        <f ca="1"/>
        <v>2.1450044661851742E-2</v>
      </c>
      <c r="N368">
        <f ca="1"/>
        <v>0</v>
      </c>
      <c r="O368">
        <f ca="1"/>
        <v>0</v>
      </c>
      <c r="P368">
        <f ca="1"/>
        <v>329.20035174364915</v>
      </c>
      <c r="Q368">
        <f ca="1"/>
        <v>280.9910952121524</v>
      </c>
      <c r="R368">
        <f ca="1"/>
        <v>0</v>
      </c>
      <c r="S368">
        <f ca="1"/>
        <v>1</v>
      </c>
      <c r="T368">
        <f ca="1"/>
        <v>2.0900000000000034</v>
      </c>
      <c r="U368">
        <f ca="1"/>
        <v>0</v>
      </c>
      <c r="V368">
        <f ca="1"/>
        <v>0.99999927833812186</v>
      </c>
      <c r="X368" s="2">
        <f t="shared" ca="1" si="36"/>
        <v>45108</v>
      </c>
      <c r="Y368">
        <f t="shared" ca="1" si="37"/>
        <v>0</v>
      </c>
      <c r="AA368" s="63">
        <f t="shared" ca="1" si="39"/>
        <v>-321.06952904530851</v>
      </c>
      <c r="AB368" s="63">
        <f t="shared" ca="1" si="40"/>
        <v>-321.06952904530851</v>
      </c>
      <c r="AC368" s="3">
        <f t="shared" ca="1" si="41"/>
        <v>0</v>
      </c>
    </row>
    <row r="369" spans="8:29">
      <c r="H369" t="b">
        <f t="shared" ca="1" si="38"/>
        <v>0</v>
      </c>
      <c r="I369" t="b">
        <f t="shared" ca="1" si="35"/>
        <v>0</v>
      </c>
      <c r="J369" s="2">
        <f ca="1"/>
        <v>45109</v>
      </c>
      <c r="K369">
        <f ca="1"/>
        <v>-325.28946554812597</v>
      </c>
      <c r="L369">
        <f ca="1"/>
        <v>1.9941909753479763</v>
      </c>
      <c r="M369">
        <f ca="1"/>
        <v>2.0500884664069297E-2</v>
      </c>
      <c r="N369">
        <f ca="1"/>
        <v>0</v>
      </c>
      <c r="O369">
        <f ca="1"/>
        <v>0</v>
      </c>
      <c r="P369">
        <f ca="1"/>
        <v>331.19454271899713</v>
      </c>
      <c r="Q369">
        <f ca="1"/>
        <v>282.69324985219839</v>
      </c>
      <c r="R369">
        <f ca="1"/>
        <v>0</v>
      </c>
      <c r="S369">
        <f ca="1"/>
        <v>1</v>
      </c>
      <c r="T369">
        <f ca="1"/>
        <v>2.9399999999999977</v>
      </c>
      <c r="U369">
        <f ca="1"/>
        <v>0</v>
      </c>
      <c r="V369">
        <f ca="1"/>
        <v>0.99999934129457424</v>
      </c>
      <c r="X369" s="2">
        <f t="shared" ca="1" si="36"/>
        <v>45109</v>
      </c>
      <c r="Y369">
        <f t="shared" ca="1" si="37"/>
        <v>0</v>
      </c>
      <c r="AA369" s="63">
        <f t="shared" ca="1" si="39"/>
        <v>-323.295274572778</v>
      </c>
      <c r="AB369" s="63">
        <f t="shared" ca="1" si="40"/>
        <v>-323.295274572778</v>
      </c>
      <c r="AC369" s="3">
        <f t="shared" ca="1" si="41"/>
        <v>0</v>
      </c>
    </row>
    <row r="370" spans="8:29">
      <c r="H370" t="b">
        <f t="shared" ca="1" si="38"/>
        <v>0</v>
      </c>
      <c r="I370" t="b">
        <f t="shared" ca="1" si="35"/>
        <v>0</v>
      </c>
      <c r="J370" s="2">
        <f ca="1"/>
        <v>45110</v>
      </c>
      <c r="K370">
        <f ca="1"/>
        <v>-327.28182759198546</v>
      </c>
      <c r="L370">
        <f ca="1"/>
        <v>2.0128041422349838</v>
      </c>
      <c r="M370">
        <f ca="1"/>
        <v>2.0442098375514028E-2</v>
      </c>
      <c r="N370">
        <f ca="1"/>
        <v>0</v>
      </c>
      <c r="O370">
        <f ca="1"/>
        <v>0</v>
      </c>
      <c r="P370">
        <f ca="1"/>
        <v>333.20734686123211</v>
      </c>
      <c r="Q370">
        <f ca="1"/>
        <v>284.41129188155378</v>
      </c>
      <c r="R370">
        <f ca="1"/>
        <v>0</v>
      </c>
      <c r="S370">
        <f ca="1"/>
        <v>1</v>
      </c>
      <c r="T370">
        <f ca="1"/>
        <v>2</v>
      </c>
      <c r="U370">
        <f ca="1"/>
        <v>0</v>
      </c>
      <c r="V370">
        <f ca="1"/>
        <v>0.9999994003179794</v>
      </c>
      <c r="X370" s="2">
        <f t="shared" ca="1" si="36"/>
        <v>45110</v>
      </c>
      <c r="Y370">
        <f t="shared" ca="1" si="37"/>
        <v>0</v>
      </c>
      <c r="AA370" s="63">
        <f t="shared" ca="1" si="39"/>
        <v>-325.26902344975048</v>
      </c>
      <c r="AB370" s="63">
        <f t="shared" ca="1" si="40"/>
        <v>-325.26902344975048</v>
      </c>
      <c r="AC370" s="3">
        <f t="shared" ca="1" si="41"/>
        <v>0</v>
      </c>
    </row>
    <row r="371" spans="8:29">
      <c r="H371" t="b">
        <f t="shared" ca="1" si="38"/>
        <v>0</v>
      </c>
      <c r="I371" t="b">
        <f t="shared" ca="1" si="35"/>
        <v>0</v>
      </c>
      <c r="J371" s="2">
        <f ca="1"/>
        <v>45111</v>
      </c>
      <c r="K371">
        <f ca="1"/>
        <v>-329.43469469291762</v>
      </c>
      <c r="L371">
        <f ca="1"/>
        <v>2.1737449424821307</v>
      </c>
      <c r="M371">
        <f ca="1"/>
        <v>2.087784154995731E-2</v>
      </c>
      <c r="N371">
        <f ca="1"/>
        <v>0</v>
      </c>
      <c r="O371">
        <f ca="1"/>
        <v>0</v>
      </c>
      <c r="P371">
        <f ca="1"/>
        <v>335.38109180371424</v>
      </c>
      <c r="Q371">
        <f ca="1"/>
        <v>286.26670597471838</v>
      </c>
      <c r="R371">
        <f ca="1"/>
        <v>0</v>
      </c>
      <c r="S371">
        <f ca="1"/>
        <v>1</v>
      </c>
      <c r="T371">
        <f ca="1"/>
        <v>3.9700000000000131</v>
      </c>
      <c r="U371">
        <f ca="1"/>
        <v>0</v>
      </c>
      <c r="V371">
        <f ca="1"/>
        <v>0.99999945926180578</v>
      </c>
      <c r="X371" s="2">
        <f t="shared" ca="1" si="36"/>
        <v>45111</v>
      </c>
      <c r="Y371">
        <f t="shared" ca="1" si="37"/>
        <v>0</v>
      </c>
      <c r="AA371" s="63">
        <f t="shared" ca="1" si="39"/>
        <v>-327.26094975043549</v>
      </c>
      <c r="AB371" s="63">
        <f t="shared" ca="1" si="40"/>
        <v>-327.26094975043549</v>
      </c>
      <c r="AC371" s="3">
        <f t="shared" ca="1" si="41"/>
        <v>0</v>
      </c>
    </row>
    <row r="372" spans="8:29">
      <c r="H372" t="b">
        <f t="shared" ca="1" si="38"/>
        <v>0</v>
      </c>
      <c r="I372" t="b">
        <f t="shared" ca="1" si="35"/>
        <v>0</v>
      </c>
      <c r="J372" s="2">
        <f ca="1"/>
        <v>45112</v>
      </c>
      <c r="K372">
        <f ca="1"/>
        <v>-331.743381703311</v>
      </c>
      <c r="L372">
        <f ca="1"/>
        <v>2.3300295634813892</v>
      </c>
      <c r="M372">
        <f ca="1"/>
        <v>2.1342553088020466E-2</v>
      </c>
      <c r="N372">
        <f ca="1"/>
        <v>0</v>
      </c>
      <c r="O372">
        <f ca="1"/>
        <v>0</v>
      </c>
      <c r="P372">
        <f ca="1"/>
        <v>337.71112136719563</v>
      </c>
      <c r="Q372">
        <f ca="1"/>
        <v>288.25551781969835</v>
      </c>
      <c r="R372">
        <f ca="1"/>
        <v>0</v>
      </c>
      <c r="S372">
        <f ca="1"/>
        <v>1</v>
      </c>
      <c r="T372">
        <f ca="1"/>
        <v>1.519999999999996</v>
      </c>
      <c r="U372">
        <f ca="1"/>
        <v>0</v>
      </c>
      <c r="V372">
        <f ca="1"/>
        <v>0.99999951725720015</v>
      </c>
      <c r="X372" s="2">
        <f t="shared" ca="1" si="36"/>
        <v>45112</v>
      </c>
      <c r="Y372">
        <f t="shared" ca="1" si="37"/>
        <v>0</v>
      </c>
      <c r="AA372" s="63">
        <f t="shared" ca="1" si="39"/>
        <v>-329.41335213982961</v>
      </c>
      <c r="AB372" s="63">
        <f t="shared" ca="1" si="40"/>
        <v>-329.41335213982961</v>
      </c>
      <c r="AC372" s="3">
        <f t="shared" ca="1" si="41"/>
        <v>0</v>
      </c>
    </row>
    <row r="373" spans="8:29">
      <c r="H373" t="b">
        <f t="shared" ca="1" si="38"/>
        <v>0</v>
      </c>
      <c r="I373" t="b">
        <f t="shared" ca="1" si="35"/>
        <v>0</v>
      </c>
      <c r="J373" s="2">
        <f ca="1"/>
        <v>45113</v>
      </c>
      <c r="K373">
        <f ca="1"/>
        <v>-333.97696759368864</v>
      </c>
      <c r="L373">
        <f ca="1"/>
        <v>2.2545823445541942</v>
      </c>
      <c r="M373">
        <f ca="1"/>
        <v>2.0996454176579249E-2</v>
      </c>
      <c r="N373">
        <f ca="1"/>
        <v>0</v>
      </c>
      <c r="O373">
        <f ca="1"/>
        <v>0</v>
      </c>
      <c r="P373">
        <f ca="1"/>
        <v>339.96570371174982</v>
      </c>
      <c r="Q373">
        <f ca="1"/>
        <v>290.17993120166096</v>
      </c>
      <c r="R373">
        <f ca="1"/>
        <v>0</v>
      </c>
      <c r="S373">
        <f ca="1"/>
        <v>1</v>
      </c>
      <c r="T373">
        <f ca="1"/>
        <v>3.1299999999999955</v>
      </c>
      <c r="U373">
        <f ca="1"/>
        <v>0</v>
      </c>
      <c r="V373">
        <f ca="1"/>
        <v>0.99999956860184191</v>
      </c>
      <c r="X373" s="2">
        <f t="shared" ca="1" si="36"/>
        <v>45113</v>
      </c>
      <c r="Y373">
        <f t="shared" ca="1" si="37"/>
        <v>0</v>
      </c>
      <c r="AA373" s="63">
        <f t="shared" ca="1" si="39"/>
        <v>-331.72238524913445</v>
      </c>
      <c r="AB373" s="63">
        <f t="shared" ca="1" si="40"/>
        <v>-331.72238524913445</v>
      </c>
      <c r="AC373" s="3">
        <f t="shared" ca="1" si="41"/>
        <v>0</v>
      </c>
    </row>
    <row r="374" spans="8:29">
      <c r="H374" t="b">
        <f t="shared" ca="1" si="38"/>
        <v>0</v>
      </c>
      <c r="I374" t="b">
        <f t="shared" ca="1" si="35"/>
        <v>0</v>
      </c>
      <c r="J374" s="2">
        <f ca="1"/>
        <v>45114</v>
      </c>
      <c r="K374">
        <f ca="1"/>
        <v>-336.13344395211283</v>
      </c>
      <c r="L374">
        <f ca="1"/>
        <v>2.1771181482424709</v>
      </c>
      <c r="M374">
        <f ca="1"/>
        <v>2.0641789818279577E-2</v>
      </c>
      <c r="N374">
        <f ca="1"/>
        <v>0</v>
      </c>
      <c r="O374">
        <f ca="1"/>
        <v>0</v>
      </c>
      <c r="P374">
        <f ca="1"/>
        <v>342.1428218599923</v>
      </c>
      <c r="Q374">
        <f ca="1"/>
        <v>292.03822451647881</v>
      </c>
      <c r="R374">
        <f ca="1"/>
        <v>0</v>
      </c>
      <c r="S374">
        <f ca="1"/>
        <v>1</v>
      </c>
      <c r="T374">
        <f ca="1"/>
        <v>1.4599999999999937</v>
      </c>
      <c r="U374">
        <f ca="1"/>
        <v>0</v>
      </c>
      <c r="V374">
        <f ca="1"/>
        <v>0.99999961402316861</v>
      </c>
      <c r="X374" s="2">
        <f t="shared" ca="1" si="36"/>
        <v>45114</v>
      </c>
      <c r="Y374">
        <f t="shared" ca="1" si="37"/>
        <v>0</v>
      </c>
      <c r="AA374" s="63">
        <f t="shared" ca="1" si="39"/>
        <v>-333.95632580387036</v>
      </c>
      <c r="AB374" s="63">
        <f t="shared" ca="1" si="40"/>
        <v>-333.95632580387036</v>
      </c>
      <c r="AC374" s="3">
        <f t="shared" ca="1" si="41"/>
        <v>0</v>
      </c>
    </row>
    <row r="375" spans="8:29">
      <c r="H375" t="b">
        <f t="shared" ca="1" si="38"/>
        <v>0</v>
      </c>
      <c r="I375" t="b">
        <f t="shared" ca="1" si="35"/>
        <v>0</v>
      </c>
      <c r="J375" s="2">
        <f ca="1"/>
        <v>45115</v>
      </c>
      <c r="K375">
        <f ca="1"/>
        <v>-338.12480125298021</v>
      </c>
      <c r="L375">
        <f ca="1"/>
        <v>2.0113179837963457</v>
      </c>
      <c r="M375">
        <f ca="1"/>
        <v>1.9960682928978457E-2</v>
      </c>
      <c r="N375">
        <f ca="1"/>
        <v>0</v>
      </c>
      <c r="O375">
        <f ca="1"/>
        <v>0</v>
      </c>
      <c r="P375">
        <f ca="1"/>
        <v>344.15413984378864</v>
      </c>
      <c r="Q375">
        <f ca="1"/>
        <v>293.7549980256606</v>
      </c>
      <c r="R375">
        <f ca="1"/>
        <v>0</v>
      </c>
      <c r="S375">
        <f ca="1"/>
        <v>1</v>
      </c>
      <c r="T375">
        <f ca="1"/>
        <v>2.4500000000000028</v>
      </c>
      <c r="U375">
        <f ca="1"/>
        <v>0</v>
      </c>
      <c r="V375">
        <f ca="1"/>
        <v>0.99999965258662094</v>
      </c>
      <c r="X375" s="2">
        <f t="shared" ca="1" si="36"/>
        <v>45115</v>
      </c>
      <c r="Y375">
        <f t="shared" ca="1" si="37"/>
        <v>0</v>
      </c>
      <c r="AA375" s="63">
        <f t="shared" ca="1" si="39"/>
        <v>-336.11348326918386</v>
      </c>
      <c r="AB375" s="63">
        <f t="shared" ca="1" si="40"/>
        <v>-336.11348326918386</v>
      </c>
      <c r="AC375" s="3">
        <f t="shared" ca="1" si="41"/>
        <v>0</v>
      </c>
    </row>
    <row r="376" spans="8:29">
      <c r="H376" t="b">
        <f t="shared" ca="1" si="38"/>
        <v>0</v>
      </c>
      <c r="I376" t="b">
        <f t="shared" ca="1" si="35"/>
        <v>0</v>
      </c>
      <c r="J376" s="2">
        <f ca="1"/>
        <v>45116</v>
      </c>
      <c r="K376">
        <f ca="1"/>
        <v>-340.12465979045282</v>
      </c>
      <c r="L376">
        <f ca="1"/>
        <v>2.0197726961812918</v>
      </c>
      <c r="M376">
        <f ca="1"/>
        <v>1.9914158708646212E-2</v>
      </c>
      <c r="N376">
        <f ca="1"/>
        <v>0</v>
      </c>
      <c r="O376">
        <f ca="1"/>
        <v>0</v>
      </c>
      <c r="P376">
        <f ca="1"/>
        <v>346.17391253996993</v>
      </c>
      <c r="Q376">
        <f ca="1"/>
        <v>295.47898810943042</v>
      </c>
      <c r="R376">
        <f ca="1"/>
        <v>0</v>
      </c>
      <c r="S376">
        <f ca="1"/>
        <v>1</v>
      </c>
      <c r="T376">
        <f ca="1"/>
        <v>3.1499999999999915</v>
      </c>
      <c r="U376">
        <f ca="1"/>
        <v>0</v>
      </c>
      <c r="V376">
        <f ca="1"/>
        <v>0.9999996882326273</v>
      </c>
      <c r="X376" s="2">
        <f t="shared" ca="1" si="36"/>
        <v>45116</v>
      </c>
      <c r="Y376">
        <f t="shared" ca="1" si="37"/>
        <v>0</v>
      </c>
      <c r="AA376" s="63">
        <f t="shared" ca="1" si="39"/>
        <v>-338.10488709427153</v>
      </c>
      <c r="AB376" s="63">
        <f t="shared" ca="1" si="40"/>
        <v>-338.10488709427153</v>
      </c>
      <c r="AC376" s="3">
        <f t="shared" ca="1" si="41"/>
        <v>0</v>
      </c>
    </row>
    <row r="377" spans="8:29">
      <c r="H377" t="b">
        <f t="shared" ca="1" si="38"/>
        <v>0</v>
      </c>
      <c r="I377" t="b">
        <f t="shared" ca="1" si="35"/>
        <v>0</v>
      </c>
      <c r="J377" s="2">
        <f ca="1"/>
        <v>45117</v>
      </c>
      <c r="K377">
        <f ca="1"/>
        <v>-341.84285754292995</v>
      </c>
      <c r="L377">
        <f ca="1"/>
        <v>1.7369971326961036</v>
      </c>
      <c r="M377">
        <f ca="1"/>
        <v>1.8799380218998962E-2</v>
      </c>
      <c r="N377">
        <f ca="1"/>
        <v>0</v>
      </c>
      <c r="O377">
        <f ca="1"/>
        <v>0</v>
      </c>
      <c r="P377">
        <f ca="1"/>
        <v>347.91090967266604</v>
      </c>
      <c r="Q377">
        <f ca="1"/>
        <v>296.96161327708734</v>
      </c>
      <c r="R377">
        <f ca="1"/>
        <v>0</v>
      </c>
      <c r="S377">
        <f ca="1"/>
        <v>1</v>
      </c>
      <c r="T377">
        <f ca="1"/>
        <v>0.85000000000000853</v>
      </c>
      <c r="U377">
        <f ca="1"/>
        <v>0</v>
      </c>
      <c r="V377">
        <f ca="1"/>
        <v>0.99999971656516817</v>
      </c>
      <c r="X377" s="2">
        <f t="shared" ca="1" si="36"/>
        <v>45117</v>
      </c>
      <c r="Y377">
        <f t="shared" ca="1" si="37"/>
        <v>0</v>
      </c>
      <c r="AA377" s="63">
        <f t="shared" ca="1" si="39"/>
        <v>-340.10586041023384</v>
      </c>
      <c r="AB377" s="63">
        <f t="shared" ca="1" si="40"/>
        <v>-340.10586041023384</v>
      </c>
      <c r="AC377" s="3">
        <f t="shared" ca="1" si="41"/>
        <v>0</v>
      </c>
    </row>
    <row r="378" spans="8:29">
      <c r="H378" t="b">
        <f t="shared" ca="1" si="38"/>
        <v>0</v>
      </c>
      <c r="I378" t="b">
        <f t="shared" ca="1" si="35"/>
        <v>0</v>
      </c>
      <c r="J378" s="2">
        <f ca="1"/>
        <v>45118</v>
      </c>
      <c r="K378">
        <f ca="1"/>
        <v>-343.39719282442218</v>
      </c>
      <c r="L378">
        <f ca="1"/>
        <v>1.5724498833977805</v>
      </c>
      <c r="M378">
        <f ca="1"/>
        <v>1.8114601905556249E-2</v>
      </c>
      <c r="N378">
        <f ca="1"/>
        <v>0</v>
      </c>
      <c r="O378">
        <f ca="1"/>
        <v>0</v>
      </c>
      <c r="P378">
        <f ca="1"/>
        <v>349.48335955606382</v>
      </c>
      <c r="Q378">
        <f ca="1"/>
        <v>298.30378807295824</v>
      </c>
      <c r="R378">
        <f ca="1"/>
        <v>0</v>
      </c>
      <c r="S378">
        <f ca="1"/>
        <v>1</v>
      </c>
      <c r="T378">
        <f ca="1"/>
        <v>2.7099999999999937</v>
      </c>
      <c r="U378">
        <f ca="1"/>
        <v>0</v>
      </c>
      <c r="V378">
        <f ca="1"/>
        <v>0.99999974046340456</v>
      </c>
      <c r="X378" s="2">
        <f t="shared" ca="1" si="36"/>
        <v>45118</v>
      </c>
      <c r="Y378">
        <f t="shared" ca="1" si="37"/>
        <v>0</v>
      </c>
      <c r="AA378" s="63">
        <f t="shared" ca="1" si="39"/>
        <v>-341.8247429410244</v>
      </c>
      <c r="AB378" s="63">
        <f t="shared" ca="1" si="40"/>
        <v>-341.8247429410244</v>
      </c>
      <c r="AC378" s="3">
        <f t="shared" ca="1" si="41"/>
        <v>0</v>
      </c>
    </row>
    <row r="379" spans="8:29">
      <c r="H379" t="b">
        <f t="shared" ca="1" si="38"/>
        <v>0</v>
      </c>
      <c r="I379" t="b">
        <f t="shared" ca="1" si="35"/>
        <v>0</v>
      </c>
      <c r="J379" s="2">
        <f ca="1"/>
        <v>45119</v>
      </c>
      <c r="K379">
        <f ca="1"/>
        <v>-345.01975042332595</v>
      </c>
      <c r="L379">
        <f ca="1"/>
        <v>1.6408167288676623</v>
      </c>
      <c r="M379">
        <f ca="1"/>
        <v>1.825912996392276E-2</v>
      </c>
      <c r="N379">
        <f ca="1"/>
        <v>0</v>
      </c>
      <c r="O379">
        <f ca="1"/>
        <v>0</v>
      </c>
      <c r="P379">
        <f ca="1"/>
        <v>351.12417628493148</v>
      </c>
      <c r="Q379">
        <f ca="1"/>
        <v>299.70431783316326</v>
      </c>
      <c r="R379">
        <f ca="1"/>
        <v>0</v>
      </c>
      <c r="S379">
        <f ca="1"/>
        <v>1</v>
      </c>
      <c r="T379">
        <f ca="1"/>
        <v>5.8000000000000114</v>
      </c>
      <c r="U379">
        <f ca="1"/>
        <v>0</v>
      </c>
      <c r="V379">
        <f ca="1"/>
        <v>0.99999976371923138</v>
      </c>
      <c r="X379" s="2">
        <f t="shared" ca="1" si="36"/>
        <v>45119</v>
      </c>
      <c r="Y379">
        <f t="shared" ca="1" si="37"/>
        <v>0</v>
      </c>
      <c r="AA379" s="63">
        <f t="shared" ca="1" si="39"/>
        <v>-343.37893369445828</v>
      </c>
      <c r="AB379" s="63">
        <f t="shared" ca="1" si="40"/>
        <v>-343.37893369445828</v>
      </c>
      <c r="AC379" s="3">
        <f t="shared" ca="1" si="41"/>
        <v>0</v>
      </c>
    </row>
    <row r="380" spans="8:29">
      <c r="H380" t="b">
        <f t="shared" ca="1" si="38"/>
        <v>0</v>
      </c>
      <c r="I380" t="b">
        <f t="shared" ca="1" si="35"/>
        <v>0</v>
      </c>
      <c r="J380" s="2">
        <f ca="1"/>
        <v>45120</v>
      </c>
      <c r="K380">
        <f ca="1"/>
        <v>-346.6672895799183</v>
      </c>
      <c r="L380">
        <f ca="1"/>
        <v>1.6657999421559566</v>
      </c>
      <c r="M380">
        <f ca="1"/>
        <v>1.8260785563576576E-2</v>
      </c>
      <c r="N380">
        <f ca="1"/>
        <v>0</v>
      </c>
      <c r="O380">
        <f ca="1"/>
        <v>0</v>
      </c>
      <c r="P380">
        <f ca="1"/>
        <v>352.78997622708744</v>
      </c>
      <c r="Q380">
        <f ca="1"/>
        <v>301.12617217709555</v>
      </c>
      <c r="R380">
        <f ca="1"/>
        <v>0</v>
      </c>
      <c r="S380">
        <f ca="1"/>
        <v>1</v>
      </c>
      <c r="T380">
        <f ca="1"/>
        <v>1.2199999999999989</v>
      </c>
      <c r="U380">
        <f ca="1"/>
        <v>0</v>
      </c>
      <c r="V380">
        <f ca="1"/>
        <v>0.9999997856632048</v>
      </c>
      <c r="X380" s="2">
        <f t="shared" ca="1" si="36"/>
        <v>45120</v>
      </c>
      <c r="Y380">
        <f t="shared" ca="1" si="37"/>
        <v>0</v>
      </c>
      <c r="AA380" s="63">
        <f t="shared" ca="1" si="39"/>
        <v>-345.00148963776235</v>
      </c>
      <c r="AB380" s="63">
        <f t="shared" ca="1" si="40"/>
        <v>-345.00148963776235</v>
      </c>
      <c r="AC380" s="3">
        <f t="shared" ca="1" si="41"/>
        <v>0</v>
      </c>
    </row>
    <row r="381" spans="8:29">
      <c r="H381" t="b">
        <f t="shared" ca="1" si="38"/>
        <v>0</v>
      </c>
      <c r="I381" t="b">
        <f t="shared" ca="1" si="35"/>
        <v>0</v>
      </c>
      <c r="J381" s="2">
        <f ca="1"/>
        <v>45121</v>
      </c>
      <c r="K381">
        <f ca="1"/>
        <v>-348.14213449354094</v>
      </c>
      <c r="L381">
        <f ca="1"/>
        <v>1.492376714089005</v>
      </c>
      <c r="M381">
        <f ca="1"/>
        <v>1.7531800466392689E-2</v>
      </c>
      <c r="N381">
        <f ca="1"/>
        <v>0</v>
      </c>
      <c r="O381">
        <f ca="1"/>
        <v>0</v>
      </c>
      <c r="P381">
        <f ca="1"/>
        <v>354.28235294117644</v>
      </c>
      <c r="Q381">
        <f ca="1"/>
        <v>302.40000000000003</v>
      </c>
      <c r="R381">
        <f ca="1"/>
        <v>0</v>
      </c>
      <c r="S381">
        <f ca="1"/>
        <v>1</v>
      </c>
      <c r="T381">
        <f ca="1"/>
        <v>3.2800000000000011</v>
      </c>
      <c r="U381">
        <f ca="1"/>
        <v>0</v>
      </c>
      <c r="V381">
        <f ca="1"/>
        <v>0.99999999999999978</v>
      </c>
      <c r="X381" s="2">
        <f t="shared" ca="1" si="36"/>
        <v>45121</v>
      </c>
      <c r="Y381">
        <f t="shared" ca="1" si="37"/>
        <v>0</v>
      </c>
      <c r="AA381" s="63">
        <f t="shared" ca="1" si="39"/>
        <v>-346.64975777945193</v>
      </c>
      <c r="AB381" s="63">
        <f t="shared" ca="1" si="40"/>
        <v>-346.64975777945193</v>
      </c>
      <c r="AC381" s="3">
        <f t="shared" ca="1" si="41"/>
        <v>0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E14" sqref="E14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J26" sqref="J26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2025-08-05T04:22:55Z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