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1BC18A40-FDA8-4CFE-90AA-B773B67771A9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8" i="3" s="1"/>
  <c r="J8" i="3" s="1"/>
  <c r="B21" i="1"/>
  <c r="B44" i="1"/>
  <c r="D44" i="1"/>
  <c r="B36" i="3"/>
  <c r="D52" i="1"/>
  <c r="R14" i="1" s="1"/>
  <c r="D61" i="1"/>
  <c r="D50" i="1"/>
  <c r="G52" i="1" s="1"/>
  <c r="B29" i="3"/>
  <c r="D18" i="3"/>
  <c r="D9" i="3"/>
  <c r="AI10" i="3" a="1"/>
  <c r="AI9" i="3" a="1"/>
  <c r="AI11" i="3" a="1"/>
  <c r="AI9" i="3" l="1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G9" i="3" a="1"/>
  <c r="AG5" i="3" a="1"/>
  <c r="AG10" i="3" a="1"/>
  <c r="AH9" i="3" a="1"/>
  <c r="I1" i="3" a="1"/>
  <c r="AG11" i="3" a="1"/>
  <c r="J10" i="3" a="1"/>
  <c r="AH11" i="3" a="1"/>
  <c r="AH10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N9" i="3" a="1"/>
  <c r="AM10" i="3" a="1"/>
  <c r="AN11" i="3" a="1"/>
  <c r="AJ9" i="3" a="1"/>
  <c r="AO11" i="3" a="1"/>
  <c r="AK10" i="3" a="1"/>
  <c r="AJ11" i="3" a="1"/>
  <c r="AN10" i="3" a="1"/>
  <c r="AJ10" i="3" a="1"/>
  <c r="AM11" i="3" a="1"/>
  <c r="AO9" i="3" a="1"/>
  <c r="AL10" i="3" a="1"/>
  <c r="AL9" i="3" a="1"/>
  <c r="AM9" i="3" a="1"/>
  <c r="AL11" i="3" a="1"/>
  <c r="AO10" i="3" a="1"/>
  <c r="AK9" i="3" a="1"/>
  <c r="AK11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<sst xmlns="http://schemas.openxmlformats.org/spreadsheetml/2006/main" count="487" uniqueCount="285">
  <si>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</si>
  <si>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</si>
  <si>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</si>
  <si>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</si>
  <si>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</si>
  <si>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</si>
  <si>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</si>
  <si>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</si>
  <si>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</si>
  <si>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</si>
  <si>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</si>
  <si>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</si>
  <si>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</si>
  <si>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</si>
  <si>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</si>
  <si>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</si>
  <si>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</si>
  <si>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</si>
  <si>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</si>
  <si>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</si>
  <si>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</si>
  <si>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</si>
  <si>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</si>
  <si>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</si>
  <si>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</si>
  <si>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</si>
  <si>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</si>
  <si>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</si>
  <si>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</si>
  <si>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</si>
  <si>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</si>
  <si>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</si>
  <si>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</si>
  <si>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</si>
  <si>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</si>
  <si>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</si>
  <si>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</si>
  <si>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</si>
  <si>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</si>
  <si>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</si>
  <si>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</si>
  <si>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</si>
  <si>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</si>
  <si>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</si>
  <si>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</si>
  <si>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</si>
  <si>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</si>
  <si>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</si>
  <si>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</si>
  <si>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</si>
  <si>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</si>
  <si>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</si>
  <si>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</si>
  <si>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</si>
  <si>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</si>
  <si>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</si>
  <si>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</si>
  <si>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</si>
  <si>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</si>
  <si>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</si>
  <si>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</si>
  <si>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</si>
  <si>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</si>
  <si>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</si>
  <si>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</si>
  <si>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</si>
  <si>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</si>
  <si>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</si>
  <si>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</si>
  <si>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</si>
  <si>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</si>
  <si>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</si>
  <si>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</si>
  <si>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</si>
  <si>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</si>
  <si>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</si>
  <si>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</si>
  <si>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</si>
  <si>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</si>
  <si>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</si>
  <si>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</si>
  <si>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</si>
  <si>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</si>
  <si>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</si>
  <si>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</si>
  <si>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</si>
  <si>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</si>
  <si>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</si>
  <si>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</si>
  <si>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</si>
  <si>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</si>
  <si>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</si>
  <si>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</si>
  <si>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</si>
  <si>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</si>
  <si>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</si>
  <si>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</si>
  <si>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</si>
  <si>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</si>
  <si>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</si>
  <si>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</si>
  <si>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</si>
  <si>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</si>
  <si>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</si>
  <si>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</si>
  <si>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</si>
  <si>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</si>
  <si>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</si>
  <si>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</si>
  <si>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</si>
  <si>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</si>
  <si>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</si>
  <si>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</si>
  <si>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</si>
  <si>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</si>
  <si>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</si>
  <si>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</si>
  <si>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</si>
  <si>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</si>
  <si>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</si>
  <si>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</si>
  <si>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</si>
  <si>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</si>
  <si>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</si>
  <si>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</si>
  <si>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</si>
  <si>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</si>
  <si>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</si>
  <si>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</si>
  <si>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</si>
  <si>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</si>
  <si>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</si>
  <si>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</si>
  <si>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</si>
  <si>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</si>
  <si>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</si>
  <si>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</si>
  <si>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</si>
  <si>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</si>
  <si>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</si>
  <si>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</si>
  <si>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</si>
  <si>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</si>
  <si>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</si>
  <si>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</si>
  <si>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</si>
  <si>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</si>
  <si>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</si>
  <si>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</si>
  <si>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</si>
  <si>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</si>
  <si>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</si>
  <si>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</si>
  <si>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</si>
  <si>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</si>
  <si>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</si>
  <si>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</si>
  <si>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</si>
  <si>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</si>
  <si>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</si>
  <si>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</si>
  <si>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</si>
  <si>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</si>
  <si>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</si>
  <si>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</si>
  <si>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</si>
  <si>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</si>
  <si>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</si>
  <si>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</si>
  <si>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</si>
  <si>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</si>
  <si>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</si>
  <si>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</si>
  <si>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</si>
  <si>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</si>
  <si>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</si>
  <si>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</si>
  <si>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</si>
  <si>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</si>
  <si>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</si>
  <si>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</si>
  <si>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</si>
  <si>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</si>
  <si>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</si>
  <si>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</si>
  <si>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</si>
  <si>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</si>
  <si>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</si>
  <si>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</si>
  <si>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</si>
  <si>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</si>
  <si>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</si>
  <si>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</si>
  <si>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</si>
  <si>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</si>
  <si>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</si>
  <si>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</si>
  <si>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</si>
  <si>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</si>
  <si>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</si>
  <si>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</si>
  <si>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</si>
  <si>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</si>
  <si>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</si>
  <si>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</si>
  <si>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</si>
  <si>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</si>
  <si>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</si>
  <si>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</si>
  <si>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</si>
  <si>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</si>
  <si>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</si>
  <si>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</si>
  <si>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</si>
  <si>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</si>
  <si>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</si>
  <si>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</si>
  <si>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</si>
  <si>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</si>
  <si>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</si>
  <si>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</si>
  <si>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</si>
  <si>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</si>
  <si>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</si>
  <si>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</si>
  <si>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</si>
  <si>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</si>
  <si>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</si>
  <si>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</si>
  <si>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</si>
  <si>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</si>
  <si>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</si>
  <si>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</si>
  <si>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</si>
  <si>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</si>
  <si>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</si>
  <si>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</si>
  <si>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</si>
  <si>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</si>
  <si>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</si>
  <si>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Sandy clay loam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</si>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</sst>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3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346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95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108.00000000000001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2.53772215382789</c:v>
                </c:pt>
                <c:pt idx="16">
                  <c:v>2.8903893225774602</c:v>
                </c:pt>
                <c:pt idx="17">
                  <c:v>3.2496460253822277</c:v>
                </c:pt>
                <c:pt idx="18">
                  <c:v>3.6308897482653881</c:v>
                </c:pt>
                <c:pt idx="19">
                  <c:v>4.1007868234890879</c:v>
                </c:pt>
                <c:pt idx="20">
                  <c:v>4.5214279190959328</c:v>
                </c:pt>
                <c:pt idx="21">
                  <c:v>4.9908261653183521</c:v>
                </c:pt>
                <c:pt idx="22">
                  <c:v>5.5404390039039546</c:v>
                </c:pt>
                <c:pt idx="23">
                  <c:v>6.1494524621996201</c:v>
                </c:pt>
                <c:pt idx="24">
                  <c:v>6.8098496178952646</c:v>
                </c:pt>
                <c:pt idx="25">
                  <c:v>7.7055766315823746</c:v>
                </c:pt>
                <c:pt idx="26">
                  <c:v>8.6692676087113423</c:v>
                </c:pt>
                <c:pt idx="27">
                  <c:v>9.7238098411090022</c:v>
                </c:pt>
                <c:pt idx="28">
                  <c:v>10.879983592630319</c:v>
                </c:pt>
                <c:pt idx="29">
                  <c:v>11.953764437125127</c:v>
                </c:pt>
                <c:pt idx="30">
                  <c:v>13.102483848968401</c:v>
                </c:pt>
                <c:pt idx="31">
                  <c:v>14.773697245904973</c:v>
                </c:pt>
                <c:pt idx="32">
                  <c:v>16.647074763305987</c:v>
                </c:pt>
                <c:pt idx="33">
                  <c:v>19.100409166589902</c:v>
                </c:pt>
                <c:pt idx="34">
                  <c:v>21.311346236572895</c:v>
                </c:pt>
                <c:pt idx="35">
                  <c:v>23.590844359255307</c:v>
                </c:pt>
                <c:pt idx="36">
                  <c:v>25.537505091099078</c:v>
                </c:pt>
                <c:pt idx="37">
                  <c:v>28.228459458515058</c:v>
                </c:pt>
                <c:pt idx="38">
                  <c:v>31.234553559451044</c:v>
                </c:pt>
                <c:pt idx="39">
                  <c:v>34.584052167856882</c:v>
                </c:pt>
                <c:pt idx="40">
                  <c:v>38.500138770921893</c:v>
                </c:pt>
                <c:pt idx="41">
                  <c:v>42.757029279683515</c:v>
                </c:pt>
                <c:pt idx="42">
                  <c:v>46.901899849321772</c:v>
                </c:pt>
                <c:pt idx="43">
                  <c:v>50.406601297335108</c:v>
                </c:pt>
                <c:pt idx="44">
                  <c:v>54.172318721494968</c:v>
                </c:pt>
                <c:pt idx="45">
                  <c:v>59.54254727453413</c:v>
                </c:pt>
                <c:pt idx="46">
                  <c:v>64.377570018828635</c:v>
                </c:pt>
                <c:pt idx="47">
                  <c:v>69.062868518947838</c:v>
                </c:pt>
                <c:pt idx="48">
                  <c:v>73.556281283251124</c:v>
                </c:pt>
                <c:pt idx="49">
                  <c:v>78.345473953785415</c:v>
                </c:pt>
                <c:pt idx="50">
                  <c:v>83.174581693086338</c:v>
                </c:pt>
                <c:pt idx="51">
                  <c:v>87.951110907396767</c:v>
                </c:pt>
                <c:pt idx="52">
                  <c:v>93.315267863128753</c:v>
                </c:pt>
                <c:pt idx="53">
                  <c:v>98.004652191625269</c:v>
                </c:pt>
                <c:pt idx="54">
                  <c:v>103.74053176917297</c:v>
                </c:pt>
                <c:pt idx="55">
                  <c:v>109.29706339749656</c:v>
                </c:pt>
                <c:pt idx="56">
                  <c:v>116.29111823242181</c:v>
                </c:pt>
                <c:pt idx="57">
                  <c:v>123.02502366267508</c:v>
                </c:pt>
                <c:pt idx="58">
                  <c:v>130.83216094150643</c:v>
                </c:pt>
                <c:pt idx="59">
                  <c:v>136.86255028392932</c:v>
                </c:pt>
                <c:pt idx="60">
                  <c:v>142.33259040855839</c:v>
                </c:pt>
                <c:pt idx="61">
                  <c:v>147.9992530644366</c:v>
                </c:pt>
                <c:pt idx="62">
                  <c:v>153.34079537017371</c:v>
                </c:pt>
                <c:pt idx="63">
                  <c:v>159.31626621680459</c:v>
                </c:pt>
                <c:pt idx="64">
                  <c:v>164.81481110526889</c:v>
                </c:pt>
                <c:pt idx="65">
                  <c:v>170.01709197926925</c:v>
                </c:pt>
                <c:pt idx="66">
                  <c:v>176.88613183623559</c:v>
                </c:pt>
                <c:pt idx="67">
                  <c:v>183.72504777909282</c:v>
                </c:pt>
                <c:pt idx="68">
                  <c:v>191.7869744228787</c:v>
                </c:pt>
                <c:pt idx="69">
                  <c:v>198.46500202269564</c:v>
                </c:pt>
                <c:pt idx="70">
                  <c:v>205.28151680174156</c:v>
                </c:pt>
                <c:pt idx="71">
                  <c:v>212.81546729293251</c:v>
                </c:pt>
                <c:pt idx="72">
                  <c:v>220.68971434133272</c:v>
                </c:pt>
                <c:pt idx="73">
                  <c:v>228.62415322278679</c:v>
                </c:pt>
                <c:pt idx="74">
                  <c:v>235.36413898249353</c:v>
                </c:pt>
                <c:pt idx="75">
                  <c:v>241.81115887058181</c:v>
                </c:pt>
                <c:pt idx="76">
                  <c:v>247.35030515217724</c:v>
                </c:pt>
                <c:pt idx="77">
                  <c:v>252.44923357016862</c:v>
                </c:pt>
                <c:pt idx="78">
                  <c:v>258.07206513612317</c:v>
                </c:pt>
                <c:pt idx="79">
                  <c:v>263.01370554933857</c:v>
                </c:pt>
                <c:pt idx="80">
                  <c:v>267.78140457409847</c:v>
                </c:pt>
                <c:pt idx="81">
                  <c:v>271.36734702767552</c:v>
                </c:pt>
                <c:pt idx="82">
                  <c:v>275.40838829815164</c:v>
                </c:pt>
                <c:pt idx="83">
                  <c:v>280.81702125011259</c:v>
                </c:pt>
                <c:pt idx="84">
                  <c:v>286.06286029246644</c:v>
                </c:pt>
                <c:pt idx="85">
                  <c:v>290.473648921387</c:v>
                </c:pt>
                <c:pt idx="86">
                  <c:v>294.61064275120992</c:v>
                </c:pt>
                <c:pt idx="87">
                  <c:v>298.12846117815025</c:v>
                </c:pt>
                <c:pt idx="88">
                  <c:v>301.45255566248289</c:v>
                </c:pt>
                <c:pt idx="89">
                  <c:v>304.57982921514298</c:v>
                </c:pt>
                <c:pt idx="90">
                  <c:v>307.15579615022006</c:v>
                </c:pt>
                <c:pt idx="91">
                  <c:v>309.00390679655288</c:v>
                </c:pt>
                <c:pt idx="92">
                  <c:v>310.45086256633022</c:v>
                </c:pt>
                <c:pt idx="93">
                  <c:v>312.26986496143195</c:v>
                </c:pt>
                <c:pt idx="94">
                  <c:v>314.14389574115876</c:v>
                </c:pt>
                <c:pt idx="95">
                  <c:v>315.99662441356935</c:v>
                </c:pt>
                <c:pt idx="96">
                  <c:v>317.80088661278478</c:v>
                </c:pt>
                <c:pt idx="97">
                  <c:v>319.33655238027768</c:v>
                </c:pt>
                <c:pt idx="98">
                  <c:v>320.82596650991661</c:v>
                </c:pt>
                <c:pt idx="99">
                  <c:v>322.16386174083942</c:v>
                </c:pt>
                <c:pt idx="100">
                  <c:v>323.18517031542831</c:v>
                </c:pt>
                <c:pt idx="101">
                  <c:v>324.28627319073075</c:v>
                </c:pt>
                <c:pt idx="102">
                  <c:v>325.24659989260454</c:v>
                </c:pt>
                <c:pt idx="103">
                  <c:v>326.22956298073501</c:v>
                </c:pt>
                <c:pt idx="104">
                  <c:v>327.07826638116978</c:v>
                </c:pt>
                <c:pt idx="105">
                  <c:v>327.8629796171362</c:v>
                </c:pt>
                <c:pt idx="106">
                  <c:v>328.62431373732881</c:v>
                </c:pt>
                <c:pt idx="107">
                  <c:v>329.29079201819212</c:v>
                </c:pt>
                <c:pt idx="108">
                  <c:v>330.01696417200992</c:v>
                </c:pt>
                <c:pt idx="109">
                  <c:v>330.66597858147549</c:v>
                </c:pt>
                <c:pt idx="110">
                  <c:v>331.27361429885923</c:v>
                </c:pt>
                <c:pt idx="111">
                  <c:v>331.7679542673751</c:v>
                </c:pt>
                <c:pt idx="112">
                  <c:v>332.24828501769696</c:v>
                </c:pt>
                <c:pt idx="113">
                  <c:v>332.64194979153319</c:v>
                </c:pt>
                <c:pt idx="114">
                  <c:v>332.95960682261949</c:v>
                </c:pt>
                <c:pt idx="115">
                  <c:v>333.22065022805054</c:v>
                </c:pt>
                <c:pt idx="116">
                  <c:v>333.46181142975468</c:v>
                </c:pt>
                <c:pt idx="117">
                  <c:v>333.69365068621357</c:v>
                </c:pt>
                <c:pt idx="118">
                  <c:v>333.89118578008197</c:v>
                </c:pt>
                <c:pt idx="119">
                  <c:v>334.08929400317396</c:v>
                </c:pt>
                <c:pt idx="120">
                  <c:v>334.28016161803799</c:v>
                </c:pt>
                <c:pt idx="121">
                  <c:v>334.44396285723599</c:v>
                </c:pt>
                <c:pt idx="122">
                  <c:v>334.5654986258134</c:v>
                </c:pt>
                <c:pt idx="123">
                  <c:v>334.68665961264719</c:v>
                </c:pt>
                <c:pt idx="124">
                  <c:v>334.80656154833349</c:v>
                </c:pt>
                <c:pt idx="125">
                  <c:v>334.90962327450853</c:v>
                </c:pt>
                <c:pt idx="126">
                  <c:v>335.01362519854268</c:v>
                </c:pt>
                <c:pt idx="127">
                  <c:v>335.10316825031231</c:v>
                </c:pt>
                <c:pt idx="128">
                  <c:v>335.18513014863521</c:v>
                </c:pt>
                <c:pt idx="129">
                  <c:v>335.255917864786</c:v>
                </c:pt>
                <c:pt idx="130">
                  <c:v>335.3262736337428</c:v>
                </c:pt>
                <c:pt idx="131">
                  <c:v>335.3799397676292</c:v>
                </c:pt>
                <c:pt idx="132">
                  <c:v>335.42093264241043</c:v>
                </c:pt>
                <c:pt idx="133">
                  <c:v>335.4567280870923</c:v>
                </c:pt>
                <c:pt idx="134">
                  <c:v>335.48562285224523</c:v>
                </c:pt>
                <c:pt idx="135">
                  <c:v>335.51327224187861</c:v>
                </c:pt>
                <c:pt idx="136">
                  <c:v>335.54166258576294</c:v>
                </c:pt>
                <c:pt idx="137">
                  <c:v>335.56938078864709</c:v>
                </c:pt>
                <c:pt idx="138">
                  <c:v>335.59499661193689</c:v>
                </c:pt>
                <c:pt idx="139">
                  <c:v>335.61581600132621</c:v>
                </c:pt>
                <c:pt idx="140">
                  <c:v>335.63478260869556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80.792839409207119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80.460864549997893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84.514221314524548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50.551232739697447</c:v>
                </c:pt>
                <c:pt idx="2">
                  <c:v>50.929493728987389</c:v>
                </c:pt>
                <c:pt idx="3">
                  <c:v>50.453524691118524</c:v>
                </c:pt>
                <c:pt idx="4">
                  <c:v>50.045980774825338</c:v>
                </c:pt>
                <c:pt idx="5">
                  <c:v>48.653987898916718</c:v>
                </c:pt>
                <c:pt idx="6">
                  <c:v>48.310324099328575</c:v>
                </c:pt>
                <c:pt idx="7">
                  <c:v>48.264437222741918</c:v>
                </c:pt>
                <c:pt idx="8">
                  <c:v>48.486316875762007</c:v>
                </c:pt>
                <c:pt idx="9">
                  <c:v>48.796512543118034</c:v>
                </c:pt>
                <c:pt idx="10">
                  <c:v>49.388869214228279</c:v>
                </c:pt>
                <c:pt idx="11">
                  <c:v>49.978902167414944</c:v>
                </c:pt>
                <c:pt idx="12">
                  <c:v>49.993484263594901</c:v>
                </c:pt>
                <c:pt idx="13">
                  <c:v>50.037607263557</c:v>
                </c:pt>
                <c:pt idx="14">
                  <c:v>49.345414159002338</c:v>
                </c:pt>
                <c:pt idx="15">
                  <c:v>49.321325188130849</c:v>
                </c:pt>
                <c:pt idx="16">
                  <c:v>48.207731551262803</c:v>
                </c:pt>
                <c:pt idx="17">
                  <c:v>47.964713300158593</c:v>
                </c:pt>
                <c:pt idx="18">
                  <c:v>47.675045515911926</c:v>
                </c:pt>
                <c:pt idx="19">
                  <c:v>47.24048703524398</c:v>
                </c:pt>
                <c:pt idx="20">
                  <c:v>47.127191408263293</c:v>
                </c:pt>
                <c:pt idx="21">
                  <c:v>46.278507661798074</c:v>
                </c:pt>
                <c:pt idx="22">
                  <c:v>45.950910160402643</c:v>
                </c:pt>
                <c:pt idx="23">
                  <c:v>144.51193449183023</c:v>
                </c:pt>
                <c:pt idx="24">
                  <c:v>143.77120266614929</c:v>
                </c:pt>
                <c:pt idx="25">
                  <c:v>142.3361088156278</c:v>
                </c:pt>
                <c:pt idx="26">
                  <c:v>139.46226438476117</c:v>
                </c:pt>
                <c:pt idx="27">
                  <c:v>135.75334141364289</c:v>
                </c:pt>
                <c:pt idx="28">
                  <c:v>134.13645168556405</c:v>
                </c:pt>
                <c:pt idx="29">
                  <c:v>133.14774778767378</c:v>
                </c:pt>
                <c:pt idx="30">
                  <c:v>132.12146332601407</c:v>
                </c:pt>
                <c:pt idx="31">
                  <c:v>128.22466440043516</c:v>
                </c:pt>
                <c:pt idx="32">
                  <c:v>122.69240215149001</c:v>
                </c:pt>
                <c:pt idx="33">
                  <c:v>120.95688023787102</c:v>
                </c:pt>
                <c:pt idx="34">
                  <c:v>116.45424904630242</c:v>
                </c:pt>
                <c:pt idx="35">
                  <c:v>114.71856470795005</c:v>
                </c:pt>
                <c:pt idx="36">
                  <c:v>112.52255898776794</c:v>
                </c:pt>
                <c:pt idx="37">
                  <c:v>50.603154198804859</c:v>
                </c:pt>
                <c:pt idx="38">
                  <c:v>47.800714445760839</c:v>
                </c:pt>
                <c:pt idx="39">
                  <c:v>43.937579538264202</c:v>
                </c:pt>
                <c:pt idx="40">
                  <c:v>114.5778090428483</c:v>
                </c:pt>
                <c:pt idx="41">
                  <c:v>106.19127952894419</c:v>
                </c:pt>
                <c:pt idx="42">
                  <c:v>102.10884385027524</c:v>
                </c:pt>
                <c:pt idx="43">
                  <c:v>98.591045257776756</c:v>
                </c:pt>
                <c:pt idx="44">
                  <c:v>94.255743278074519</c:v>
                </c:pt>
                <c:pt idx="45">
                  <c:v>88.148994744750127</c:v>
                </c:pt>
                <c:pt idx="46">
                  <c:v>82.941484739651401</c:v>
                </c:pt>
                <c:pt idx="47">
                  <c:v>78.726980246006207</c:v>
                </c:pt>
                <c:pt idx="48">
                  <c:v>73.941954073240993</c:v>
                </c:pt>
                <c:pt idx="49">
                  <c:v>69.717862821559919</c:v>
                </c:pt>
                <c:pt idx="50">
                  <c:v>65.157029122762481</c:v>
                </c:pt>
                <c:pt idx="51">
                  <c:v>60.348717740664988</c:v>
                </c:pt>
                <c:pt idx="52">
                  <c:v>55.151809833042215</c:v>
                </c:pt>
                <c:pt idx="53">
                  <c:v>50.997640488592033</c:v>
                </c:pt>
                <c:pt idx="54">
                  <c:v>124.58723152987905</c:v>
                </c:pt>
                <c:pt idx="55">
                  <c:v>119.58974914342055</c:v>
                </c:pt>
                <c:pt idx="56">
                  <c:v>113.2041457179632</c:v>
                </c:pt>
                <c:pt idx="57">
                  <c:v>106.87443908253974</c:v>
                </c:pt>
                <c:pt idx="58">
                  <c:v>97.671997908761554</c:v>
                </c:pt>
                <c:pt idx="59">
                  <c:v>90.855281660165105</c:v>
                </c:pt>
                <c:pt idx="60">
                  <c:v>84.395315474368658</c:v>
                </c:pt>
                <c:pt idx="61">
                  <c:v>78.748658449118849</c:v>
                </c:pt>
                <c:pt idx="62">
                  <c:v>72.495494199893514</c:v>
                </c:pt>
                <c:pt idx="63">
                  <c:v>66.845910624684592</c:v>
                </c:pt>
                <c:pt idx="64">
                  <c:v>60.487111131606831</c:v>
                </c:pt>
                <c:pt idx="65">
                  <c:v>54.797797852438499</c:v>
                </c:pt>
                <c:pt idx="66">
                  <c:v>132.23671289450328</c:v>
                </c:pt>
                <c:pt idx="67">
                  <c:v>122.4245680982105</c:v>
                </c:pt>
                <c:pt idx="68">
                  <c:v>112.72328516231093</c:v>
                </c:pt>
                <c:pt idx="69">
                  <c:v>106.5860440018259</c:v>
                </c:pt>
                <c:pt idx="70">
                  <c:v>100.26166589893538</c:v>
                </c:pt>
                <c:pt idx="71">
                  <c:v>92.440901007511698</c:v>
                </c:pt>
                <c:pt idx="72">
                  <c:v>84.037937812265938</c:v>
                </c:pt>
                <c:pt idx="73">
                  <c:v>75.276360007579115</c:v>
                </c:pt>
                <c:pt idx="74">
                  <c:v>67.531158862804745</c:v>
                </c:pt>
                <c:pt idx="75">
                  <c:v>61.338834013935809</c:v>
                </c:pt>
                <c:pt idx="76">
                  <c:v>56.397432846231595</c:v>
                </c:pt>
                <c:pt idx="77">
                  <c:v>51.886506865888677</c:v>
                </c:pt>
                <c:pt idx="78">
                  <c:v>46.887457270913515</c:v>
                </c:pt>
                <c:pt idx="79">
                  <c:v>42.549031049112983</c:v>
                </c:pt>
                <c:pt idx="80">
                  <c:v>38.071584546872515</c:v>
                </c:pt>
                <c:pt idx="81">
                  <c:v>35.006628041931705</c:v>
                </c:pt>
                <c:pt idx="82">
                  <c:v>31.288602999525075</c:v>
                </c:pt>
                <c:pt idx="83">
                  <c:v>25.953393839375163</c:v>
                </c:pt>
                <c:pt idx="84">
                  <c:v>21.03123192013431</c:v>
                </c:pt>
                <c:pt idx="85">
                  <c:v>17.232375308783052</c:v>
                </c:pt>
                <c:pt idx="86">
                  <c:v>13.412981610870483</c:v>
                </c:pt>
                <c:pt idx="87">
                  <c:v>10.457445169586466</c:v>
                </c:pt>
                <c:pt idx="88">
                  <c:v>7.6523217771444942</c:v>
                </c:pt>
                <c:pt idx="89">
                  <c:v>5.1657934949562136</c:v>
                </c:pt>
                <c:pt idx="90">
                  <c:v>3.1838611109422956</c:v>
                </c:pt>
                <c:pt idx="91">
                  <c:v>1.8889061172242525</c:v>
                </c:pt>
                <c:pt idx="92">
                  <c:v>0.98203939174289989</c:v>
                </c:pt>
                <c:pt idx="93">
                  <c:v>-0.23979372450376291</c:v>
                </c:pt>
                <c:pt idx="94">
                  <c:v>-1.4909089758259761</c:v>
                </c:pt>
                <c:pt idx="95">
                  <c:v>-2.7013546325934175</c:v>
                </c:pt>
                <c:pt idx="96">
                  <c:v>-3.8448973853849679</c:v>
                </c:pt>
                <c:pt idx="97">
                  <c:v>-4.7415067404574884</c:v>
                </c:pt>
                <c:pt idx="98">
                  <c:v>-5.5748163873254448</c:v>
                </c:pt>
                <c:pt idx="99">
                  <c:v>-6.2615167103730247</c:v>
                </c:pt>
                <c:pt idx="100">
                  <c:v>-6.6812158667780688</c:v>
                </c:pt>
                <c:pt idx="101">
                  <c:v>-7.1396434047523298</c:v>
                </c:pt>
                <c:pt idx="102">
                  <c:v>-7.4710779315602052</c:v>
                </c:pt>
                <c:pt idx="103">
                  <c:v>-7.792117086302075</c:v>
                </c:pt>
                <c:pt idx="104">
                  <c:v>-7.9948955569372178</c:v>
                </c:pt>
                <c:pt idx="105">
                  <c:v>-8.1296077867411185</c:v>
                </c:pt>
                <c:pt idx="106">
                  <c:v>-8.2205041543099089</c:v>
                </c:pt>
                <c:pt idx="107">
                  <c:v>-8.2275006537535162</c:v>
                </c:pt>
                <c:pt idx="108">
                  <c:v>-8.2266739483409346</c:v>
                </c:pt>
                <c:pt idx="109">
                  <c:v>-8.1464087783677499</c:v>
                </c:pt>
                <c:pt idx="110">
                  <c:v>-8.0013872150244243</c:v>
                </c:pt>
                <c:pt idx="111">
                  <c:v>-7.7778555324962051</c:v>
                </c:pt>
                <c:pt idx="112">
                  <c:v>-7.5023391390490994</c:v>
                </c:pt>
                <c:pt idx="113">
                  <c:v>-7.1716000174663099</c:v>
                </c:pt>
                <c:pt idx="114">
                  <c:v>-6.8021856927623903</c:v>
                </c:pt>
                <c:pt idx="115">
                  <c:v>-6.4064098961576388</c:v>
                </c:pt>
                <c:pt idx="116">
                  <c:v>-5.9847701247559</c:v>
                </c:pt>
                <c:pt idx="117">
                  <c:v>-5.5332133449208403</c:v>
                </c:pt>
                <c:pt idx="118">
                  <c:v>-5.0657832690006908</c:v>
                </c:pt>
                <c:pt idx="119">
                  <c:v>-4.5621277400678792</c:v>
                </c:pt>
                <c:pt idx="120">
                  <c:v>-4.0208599792103596</c:v>
                </c:pt>
                <c:pt idx="121">
                  <c:v>-3.4656184946339654</c:v>
                </c:pt>
                <c:pt idx="122">
                  <c:v>-2.9329587842573797</c:v>
                </c:pt>
                <c:pt idx="123">
                  <c:v>-2.3682257274856378</c:v>
                </c:pt>
                <c:pt idx="124">
                  <c:v>-1.7647369286054602</c:v>
                </c:pt>
                <c:pt idx="125">
                  <c:v>-1.1574279835548826</c:v>
                </c:pt>
                <c:pt idx="126">
                  <c:v>-0.49706565945872427</c:v>
                </c:pt>
                <c:pt idx="127">
                  <c:v>0.16886058903653905</c:v>
                </c:pt>
                <c:pt idx="128">
                  <c:v>0.8621553826240318</c:v>
                </c:pt>
                <c:pt idx="129">
                  <c:v>1.5589671222842578</c:v>
                </c:pt>
                <c:pt idx="130">
                  <c:v>2.2938689701196129</c:v>
                </c:pt>
                <c:pt idx="131">
                  <c:v>2.9825686892281578</c:v>
                </c:pt>
                <c:pt idx="132">
                  <c:v>3.5238431272349318</c:v>
                </c:pt>
                <c:pt idx="133">
                  <c:v>4.1543048760025636</c:v>
                </c:pt>
                <c:pt idx="134">
                  <c:v>4.7957280184307782</c:v>
                </c:pt>
                <c:pt idx="135">
                  <c:v>5.4204893776608243</c:v>
                </c:pt>
                <c:pt idx="136">
                  <c:v>6.1381870965907313</c:v>
                </c:pt>
                <c:pt idx="137">
                  <c:v>6.7753704086959914</c:v>
                </c:pt>
                <c:pt idx="138">
                  <c:v>7.5798335540466768</c:v>
                </c:pt>
                <c:pt idx="139">
                  <c:v>8.3577421079085461</c:v>
                </c:pt>
                <c:pt idx="140">
                  <c:v>9.1590760031474616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45458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-0.23671546026389592</c:v>
                </c:pt>
                <c:pt idx="3">
                  <c:v>-1.3009192259951115</c:v>
                </c:pt>
                <c:pt idx="4">
                  <c:v>-2.3151844363649068</c:v>
                </c:pt>
                <c:pt idx="5">
                  <c:v>-4.3542801205110999</c:v>
                </c:pt>
                <c:pt idx="6">
                  <c:v>-5.3200665127228977</c:v>
                </c:pt>
                <c:pt idx="7">
                  <c:v>-5.9606545070502452</c:v>
                </c:pt>
                <c:pt idx="8">
                  <c:v>-6.3051181669415302</c:v>
                </c:pt>
                <c:pt idx="9">
                  <c:v>-6.5872893046908638</c:v>
                </c:pt>
                <c:pt idx="10">
                  <c:v>-6.5872893046908638</c:v>
                </c:pt>
                <c:pt idx="11">
                  <c:v>-6.5885538412493769</c:v>
                </c:pt>
                <c:pt idx="12">
                  <c:v>-7.0896479530856436</c:v>
                </c:pt>
                <c:pt idx="13">
                  <c:v>-7.5994514010027521</c:v>
                </c:pt>
                <c:pt idx="14">
                  <c:v>-8.8658406675645143</c:v>
                </c:pt>
                <c:pt idx="15">
                  <c:v>-9.4579824905478151</c:v>
                </c:pt>
                <c:pt idx="16">
                  <c:v>-10.817300787738207</c:v>
                </c:pt>
                <c:pt idx="17">
                  <c:v>-11.269003261686654</c:v>
                </c:pt>
                <c:pt idx="18">
                  <c:v>-11.733731314063503</c:v>
                </c:pt>
                <c:pt idx="19">
                  <c:v>-12.290484416339744</c:v>
                </c:pt>
                <c:pt idx="20">
                  <c:v>-12.513689722893659</c:v>
                </c:pt>
                <c:pt idx="21">
                  <c:v>-13.431211440014527</c:v>
                </c:pt>
                <c:pt idx="22">
                  <c:v>-13.767785208058987</c:v>
                </c:pt>
                <c:pt idx="23">
                  <c:v>-15.160545156422279</c:v>
                </c:pt>
                <c:pt idx="24">
                  <c:v>-15.801889738750408</c:v>
                </c:pt>
                <c:pt idx="25">
                  <c:v>-16.969870967901262</c:v>
                </c:pt>
                <c:pt idx="26">
                  <c:v>-19.496765503174142</c:v>
                </c:pt>
                <c:pt idx="27">
                  <c:v>-22.763895919862474</c:v>
                </c:pt>
                <c:pt idx="28">
                  <c:v>-23.835043526800821</c:v>
                </c:pt>
                <c:pt idx="29">
                  <c:v>-24.311673870330612</c:v>
                </c:pt>
                <c:pt idx="30">
                  <c:v>-24.74824914045135</c:v>
                </c:pt>
                <c:pt idx="31">
                  <c:v>-27.622339951490673</c:v>
                </c:pt>
                <c:pt idx="32">
                  <c:v>-31.933288643897527</c:v>
                </c:pt>
                <c:pt idx="33">
                  <c:v>-31.933288643897527</c:v>
                </c:pt>
                <c:pt idx="34">
                  <c:v>-34.857818135448291</c:v>
                </c:pt>
                <c:pt idx="35">
                  <c:v>-34.927314309430791</c:v>
                </c:pt>
                <c:pt idx="36">
                  <c:v>-35.726713706761288</c:v>
                </c:pt>
                <c:pt idx="37">
                  <c:v>-36.225598855565948</c:v>
                </c:pt>
                <c:pt idx="38">
                  <c:v>-36.649431856985025</c:v>
                </c:pt>
                <c:pt idx="39">
                  <c:v>-37.798813466645413</c:v>
                </c:pt>
                <c:pt idx="40">
                  <c:v>-44.696088660584209</c:v>
                </c:pt>
                <c:pt idx="41">
                  <c:v>-49.485777068554938</c:v>
                </c:pt>
                <c:pt idx="42">
                  <c:v>-50.048115628889789</c:v>
                </c:pt>
                <c:pt idx="43">
                  <c:v>-50.623658716278662</c:v>
                </c:pt>
                <c:pt idx="44">
                  <c:v>-51.760464941728131</c:v>
                </c:pt>
                <c:pt idx="45">
                  <c:v>-53.148875485041096</c:v>
                </c:pt>
                <c:pt idx="46">
                  <c:v>-54.121815162552309</c:v>
                </c:pt>
                <c:pt idx="47">
                  <c:v>-54.230207381731596</c:v>
                </c:pt>
                <c:pt idx="48">
                  <c:v>-55.08128998933983</c:v>
                </c:pt>
                <c:pt idx="49">
                  <c:v>-55.08128998933983</c:v>
                </c:pt>
                <c:pt idx="50">
                  <c:v>-55.371947243157656</c:v>
                </c:pt>
                <c:pt idx="51">
                  <c:v>-55.953568943122036</c:v>
                </c:pt>
                <c:pt idx="52">
                  <c:v>-56.354498621560502</c:v>
                </c:pt>
                <c:pt idx="53">
                  <c:v>-56.354498621560502</c:v>
                </c:pt>
                <c:pt idx="54">
                  <c:v>-58.061260691434576</c:v>
                </c:pt>
                <c:pt idx="55">
                  <c:v>-58.061260691434576</c:v>
                </c:pt>
                <c:pt idx="56">
                  <c:v>-58.061260691434576</c:v>
                </c:pt>
                <c:pt idx="57">
                  <c:v>-58.249609600834127</c:v>
                </c:pt>
                <c:pt idx="58">
                  <c:v>-60.272127725646286</c:v>
                </c:pt>
                <c:pt idx="59">
                  <c:v>-61.618102637429196</c:v>
                </c:pt>
                <c:pt idx="60">
                  <c:v>-63.147247904183629</c:v>
                </c:pt>
                <c:pt idx="61">
                  <c:v>-63.672010703530077</c:v>
                </c:pt>
                <c:pt idx="62">
                  <c:v>-65.117297686448538</c:v>
                </c:pt>
                <c:pt idx="63">
                  <c:v>-65.345542563885871</c:v>
                </c:pt>
                <c:pt idx="64">
                  <c:v>-66.744635743103913</c:v>
                </c:pt>
                <c:pt idx="65">
                  <c:v>-67.761651104405843</c:v>
                </c:pt>
                <c:pt idx="66">
                  <c:v>-68.553716896375334</c:v>
                </c:pt>
                <c:pt idx="67">
                  <c:v>-72.113610424378948</c:v>
                </c:pt>
                <c:pt idx="68">
                  <c:v>-74.385719772259264</c:v>
                </c:pt>
                <c:pt idx="69">
                  <c:v>-74.432679420631089</c:v>
                </c:pt>
                <c:pt idx="70">
                  <c:v>-74.537590902919533</c:v>
                </c:pt>
                <c:pt idx="71">
                  <c:v>-75.45396157377661</c:v>
                </c:pt>
                <c:pt idx="72">
                  <c:v>-76.634146526531467</c:v>
                </c:pt>
                <c:pt idx="73">
                  <c:v>-78.126582185812168</c:v>
                </c:pt>
                <c:pt idx="74">
                  <c:v>-79.759270290376378</c:v>
                </c:pt>
                <c:pt idx="75">
                  <c:v>-80.130859168895583</c:v>
                </c:pt>
                <c:pt idx="76">
                  <c:v>-80.130859168895583</c:v>
                </c:pt>
                <c:pt idx="77">
                  <c:v>-80.130859168895583</c:v>
                </c:pt>
                <c:pt idx="78">
                  <c:v>-80.130859168895583</c:v>
                </c:pt>
                <c:pt idx="79">
                  <c:v>-80.130859168895583</c:v>
                </c:pt>
                <c:pt idx="80">
                  <c:v>-80.447460264187796</c:v>
                </c:pt>
                <c:pt idx="81">
                  <c:v>-80.482162486768502</c:v>
                </c:pt>
                <c:pt idx="82">
                  <c:v>-80.749249257300676</c:v>
                </c:pt>
                <c:pt idx="83">
                  <c:v>-81.36814366633412</c:v>
                </c:pt>
                <c:pt idx="84">
                  <c:v>-81.754996413479546</c:v>
                </c:pt>
                <c:pt idx="85">
                  <c:v>-81.820479439652928</c:v>
                </c:pt>
                <c:pt idx="86">
                  <c:v>-82.186128981827522</c:v>
                </c:pt>
                <c:pt idx="87">
                  <c:v>-82.280579414141812</c:v>
                </c:pt>
                <c:pt idx="88">
                  <c:v>-82.425973527907558</c:v>
                </c:pt>
                <c:pt idx="89">
                  <c:v>-82.457267755166853</c:v>
                </c:pt>
                <c:pt idx="90">
                  <c:v>-82.501278867161304</c:v>
                </c:pt>
                <c:pt idx="91">
                  <c:v>-82.522916423611363</c:v>
                </c:pt>
                <c:pt idx="92">
                  <c:v>-82.523403173570742</c:v>
                </c:pt>
                <c:pt idx="93">
                  <c:v>-82.523403173570742</c:v>
                </c:pt>
                <c:pt idx="94">
                  <c:v>-82.523403173570742</c:v>
                </c:pt>
                <c:pt idx="95">
                  <c:v>-82.523403173570742</c:v>
                </c:pt>
                <c:pt idx="96">
                  <c:v>-82.523403173570742</c:v>
                </c:pt>
                <c:pt idx="97">
                  <c:v>-82.523403173570742</c:v>
                </c:pt>
                <c:pt idx="98">
                  <c:v>-82.523403173570742</c:v>
                </c:pt>
                <c:pt idx="99">
                  <c:v>-82.523403173570742</c:v>
                </c:pt>
                <c:pt idx="100">
                  <c:v>-82.523403173570742</c:v>
                </c:pt>
                <c:pt idx="101">
                  <c:v>-82.523403173570742</c:v>
                </c:pt>
                <c:pt idx="102">
                  <c:v>-82.523403173570742</c:v>
                </c:pt>
                <c:pt idx="103">
                  <c:v>-82.523403173570742</c:v>
                </c:pt>
                <c:pt idx="104">
                  <c:v>-82.523403173570742</c:v>
                </c:pt>
                <c:pt idx="105">
                  <c:v>-82.523403173570742</c:v>
                </c:pt>
                <c:pt idx="106">
                  <c:v>-82.523403173570742</c:v>
                </c:pt>
                <c:pt idx="107">
                  <c:v>-82.523403173570742</c:v>
                </c:pt>
                <c:pt idx="108">
                  <c:v>-82.523403173570742</c:v>
                </c:pt>
                <c:pt idx="109">
                  <c:v>-82.523403173570742</c:v>
                </c:pt>
                <c:pt idx="110">
                  <c:v>-82.523403173570742</c:v>
                </c:pt>
                <c:pt idx="111">
                  <c:v>-82.523403173570742</c:v>
                </c:pt>
                <c:pt idx="112">
                  <c:v>-82.523403173570742</c:v>
                </c:pt>
                <c:pt idx="113">
                  <c:v>-82.523403173570742</c:v>
                </c:pt>
                <c:pt idx="114">
                  <c:v>-82.523403173570742</c:v>
                </c:pt>
                <c:pt idx="115">
                  <c:v>-82.523403173570742</c:v>
                </c:pt>
                <c:pt idx="116">
                  <c:v>-82.523403173570742</c:v>
                </c:pt>
                <c:pt idx="117">
                  <c:v>-82.523403173570742</c:v>
                </c:pt>
                <c:pt idx="118">
                  <c:v>-82.523403173570742</c:v>
                </c:pt>
                <c:pt idx="119">
                  <c:v>-82.523403173570742</c:v>
                </c:pt>
                <c:pt idx="120">
                  <c:v>-82.523403173570742</c:v>
                </c:pt>
                <c:pt idx="121">
                  <c:v>-82.523403173570742</c:v>
                </c:pt>
                <c:pt idx="122">
                  <c:v>-82.523403173570742</c:v>
                </c:pt>
                <c:pt idx="123">
                  <c:v>-82.523403173570742</c:v>
                </c:pt>
                <c:pt idx="124">
                  <c:v>-82.523403173570742</c:v>
                </c:pt>
                <c:pt idx="125">
                  <c:v>-82.523403173570742</c:v>
                </c:pt>
                <c:pt idx="126">
                  <c:v>-82.523403173570742</c:v>
                </c:pt>
                <c:pt idx="127">
                  <c:v>-82.523774307226546</c:v>
                </c:pt>
                <c:pt idx="128">
                  <c:v>-82.523774307226546</c:v>
                </c:pt>
                <c:pt idx="129">
                  <c:v>-82.52569487220498</c:v>
                </c:pt>
                <c:pt idx="130">
                  <c:v>-82.558035100235884</c:v>
                </c:pt>
                <c:pt idx="131">
                  <c:v>-82.589572522201976</c:v>
                </c:pt>
                <c:pt idx="132">
                  <c:v>-82.721343827084468</c:v>
                </c:pt>
                <c:pt idx="133">
                  <c:v>-82.761610480723164</c:v>
                </c:pt>
                <c:pt idx="134">
                  <c:v>-82.761610480723164</c:v>
                </c:pt>
                <c:pt idx="135">
                  <c:v>-82.800160796243645</c:v>
                </c:pt>
                <c:pt idx="136">
                  <c:v>-82.800160796243645</c:v>
                </c:pt>
                <c:pt idx="137">
                  <c:v>-82.931067407712973</c:v>
                </c:pt>
                <c:pt idx="138">
                  <c:v>-82.931067407712973</c:v>
                </c:pt>
                <c:pt idx="139">
                  <c:v>-82.931067407712973</c:v>
                </c:pt>
                <c:pt idx="140">
                  <c:v>-82.931067407712973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0.87518945829361017</c:v>
                </c:pt>
                <c:pt idx="1">
                  <c:v>1.745437076344454</c:v>
                </c:pt>
                <c:pt idx="2">
                  <c:v>2.6760428234915148</c:v>
                </c:pt>
                <c:pt idx="3">
                  <c:v>3.5526555619276499</c:v>
                </c:pt>
                <c:pt idx="4">
                  <c:v>4.4378678043477082</c:v>
                </c:pt>
                <c:pt idx="5">
                  <c:v>5.3604086455221163</c:v>
                </c:pt>
                <c:pt idx="6">
                  <c:v>6.2354634085191813</c:v>
                </c:pt>
                <c:pt idx="7">
                  <c:v>7.0623169394431713</c:v>
                </c:pt>
                <c:pt idx="8">
                  <c:v>7.8419323101693674</c:v>
                </c:pt>
                <c:pt idx="9">
                  <c:v>8.6434745384518212</c:v>
                </c:pt>
                <c:pt idx="10">
                  <c:v>9.4347368868534147</c:v>
                </c:pt>
                <c:pt idx="11">
                  <c:v>10.215077027128354</c:v>
                </c:pt>
                <c:pt idx="12">
                  <c:v>10.895365649379281</c:v>
                </c:pt>
                <c:pt idx="13">
                  <c:v>11.614223066957951</c:v>
                </c:pt>
                <c:pt idx="14">
                  <c:v>12.349724427745269</c:v>
                </c:pt>
                <c:pt idx="15">
                  <c:v>13.070649191120197</c:v>
                </c:pt>
                <c:pt idx="16">
                  <c:v>13.820204514939332</c:v>
                </c:pt>
                <c:pt idx="17">
                  <c:v>14.527417780387841</c:v>
                </c:pt>
                <c:pt idx="18">
                  <c:v>15.215044609963639</c:v>
                </c:pt>
                <c:pt idx="19">
                  <c:v>15.93804047210061</c:v>
                </c:pt>
                <c:pt idx="20">
                  <c:v>16.584958154583457</c:v>
                </c:pt>
                <c:pt idx="21">
                  <c:v>17.235746360284264</c:v>
                </c:pt>
                <c:pt idx="22">
                  <c:v>17.90479240110059</c:v>
                </c:pt>
                <c:pt idx="23">
                  <c:v>18.573838441916916</c:v>
                </c:pt>
                <c:pt idx="24">
                  <c:v>19.236326832440806</c:v>
                </c:pt>
                <c:pt idx="25">
                  <c:v>19.969734541556953</c:v>
                </c:pt>
                <c:pt idx="26">
                  <c:v>20.685154718138723</c:v>
                </c:pt>
                <c:pt idx="27">
                  <c:v>21.391686778093995</c:v>
                </c:pt>
                <c:pt idx="28">
                  <c:v>22.091429634101189</c:v>
                </c:pt>
                <c:pt idx="29">
                  <c:v>22.73385033922915</c:v>
                </c:pt>
                <c:pt idx="30">
                  <c:v>23.369881552940019</c:v>
                </c:pt>
                <c:pt idx="31">
                  <c:v>24.099808203933446</c:v>
                </c:pt>
                <c:pt idx="32">
                  <c:v>24.829734854926873</c:v>
                </c:pt>
                <c:pt idx="33">
                  <c:v>25.626861264362464</c:v>
                </c:pt>
                <c:pt idx="34">
                  <c:v>26.328636520901522</c:v>
                </c:pt>
                <c:pt idx="35">
                  <c:v>27.006269101725231</c:v>
                </c:pt>
                <c:pt idx="36">
                  <c:v>27.613433406852117</c:v>
                </c:pt>
                <c:pt idx="37">
                  <c:v>28.291065987675825</c:v>
                </c:pt>
                <c:pt idx="38">
                  <c:v>28.975351066304928</c:v>
                </c:pt>
                <c:pt idx="39">
                  <c:v>29.665658745249928</c:v>
                </c:pt>
                <c:pt idx="40">
                  <c:v>30.379706941330497</c:v>
                </c:pt>
                <c:pt idx="41">
                  <c:v>31.090332471475897</c:v>
                </c:pt>
                <c:pt idx="42">
                  <c:v>31.761353836987087</c:v>
                </c:pt>
                <c:pt idx="43">
                  <c:v>32.364816207674728</c:v>
                </c:pt>
                <c:pt idx="44">
                  <c:v>32.971362512065454</c:v>
                </c:pt>
                <c:pt idx="45">
                  <c:v>33.664357665975182</c:v>
                </c:pt>
                <c:pt idx="46">
                  <c:v>34.301663509164378</c:v>
                </c:pt>
                <c:pt idx="47">
                  <c:v>34.915030100876578</c:v>
                </c:pt>
                <c:pt idx="48">
                  <c:v>35.506257734157849</c:v>
                </c:pt>
                <c:pt idx="49">
                  <c:v>36.101749165394729</c:v>
                </c:pt>
                <c:pt idx="50">
                  <c:v>36.689337825264822</c:v>
                </c:pt>
                <c:pt idx="51">
                  <c:v>37.266096398699268</c:v>
                </c:pt>
                <c:pt idx="52">
                  <c:v>37.860367586321033</c:v>
                </c:pt>
                <c:pt idx="53">
                  <c:v>38.419364408351818</c:v>
                </c:pt>
                <c:pt idx="54">
                  <c:v>39.014245516139269</c:v>
                </c:pt>
                <c:pt idx="55">
                  <c:v>39.595200330092062</c:v>
                </c:pt>
                <c:pt idx="56">
                  <c:v>40.225515913920106</c:v>
                </c:pt>
                <c:pt idx="57">
                  <c:v>40.838260452975362</c:v>
                </c:pt>
                <c:pt idx="58">
                  <c:v>41.485178135458206</c:v>
                </c:pt>
                <c:pt idx="59">
                  <c:v>42.061936708892652</c:v>
                </c:pt>
                <c:pt idx="60">
                  <c:v>42.616840796810223</c:v>
                </c:pt>
                <c:pt idx="61">
                  <c:v>43.176423888035465</c:v>
                </c:pt>
                <c:pt idx="62">
                  <c:v>43.723778875983932</c:v>
                </c:pt>
                <c:pt idx="63">
                  <c:v>44.291019758514196</c:v>
                </c:pt>
                <c:pt idx="64">
                  <c:v>44.841850604539097</c:v>
                </c:pt>
                <c:pt idx="65">
                  <c:v>45.382870263295743</c:v>
                </c:pt>
                <c:pt idx="66">
                  <c:v>45.979583551598232</c:v>
                </c:pt>
                <c:pt idx="67">
                  <c:v>46.576296839900721</c:v>
                </c:pt>
                <c:pt idx="68">
                  <c:v>47.218717545028682</c:v>
                </c:pt>
                <c:pt idx="69">
                  <c:v>47.814819703077632</c:v>
                </c:pt>
                <c:pt idx="70">
                  <c:v>48.41951443356087</c:v>
                </c:pt>
                <c:pt idx="71">
                  <c:v>49.056182757820132</c:v>
                </c:pt>
                <c:pt idx="72">
                  <c:v>49.714105266176077</c:v>
                </c:pt>
                <c:pt idx="73">
                  <c:v>50.385126631687271</c:v>
                </c:pt>
                <c:pt idx="74">
                  <c:v>51.017343754011456</c:v>
                </c:pt>
                <c:pt idx="75">
                  <c:v>51.647659337839499</c:v>
                </c:pt>
                <c:pt idx="76">
                  <c:v>52.248661840881574</c:v>
                </c:pt>
                <c:pt idx="77">
                  <c:v>52.83928197203754</c:v>
                </c:pt>
                <c:pt idx="78">
                  <c:v>53.465174896819029</c:v>
                </c:pt>
                <c:pt idx="79">
                  <c:v>54.069869627302268</c:v>
                </c:pt>
                <c:pt idx="80">
                  <c:v>54.677652338011029</c:v>
                </c:pt>
                <c:pt idx="81">
                  <c:v>55.233723788260171</c:v>
                </c:pt>
                <c:pt idx="82">
                  <c:v>55.823736820019761</c:v>
                </c:pt>
                <c:pt idx="83">
                  <c:v>56.515387407982807</c:v>
                </c:pt>
                <c:pt idx="84">
                  <c:v>57.224646784547289</c:v>
                </c:pt>
                <c:pt idx="85">
                  <c:v>57.900291669206318</c:v>
                </c:pt>
                <c:pt idx="86">
                  <c:v>58.581245334386061</c:v>
                </c:pt>
                <c:pt idx="87">
                  <c:v>59.235270249666549</c:v>
                </c:pt>
                <c:pt idx="88">
                  <c:v>59.896452047266372</c:v>
                </c:pt>
                <c:pt idx="89">
                  <c:v>60.564840470482018</c:v>
                </c:pt>
                <c:pt idx="90">
                  <c:v>61.198962802103914</c:v>
                </c:pt>
                <c:pt idx="91">
                  <c:v>61.769760813741193</c:v>
                </c:pt>
                <c:pt idx="92">
                  <c:v>62.306203043351921</c:v>
                </c:pt>
                <c:pt idx="93">
                  <c:v>62.898646889388566</c:v>
                </c:pt>
                <c:pt idx="94">
                  <c:v>63.516379211156227</c:v>
                </c:pt>
                <c:pt idx="95">
                  <c:v>64.153047535415482</c:v>
                </c:pt>
                <c:pt idx="96">
                  <c:v>64.807721023310222</c:v>
                </c:pt>
                <c:pt idx="97">
                  <c:v>65.440572807435075</c:v>
                </c:pt>
                <c:pt idx="98">
                  <c:v>66.090069199605168</c:v>
                </c:pt>
                <c:pt idx="99">
                  <c:v>66.734414725074046</c:v>
                </c:pt>
                <c:pt idx="100">
                  <c:v>67.329295832861504</c:v>
                </c:pt>
                <c:pt idx="101">
                  <c:v>67.964690344332269</c:v>
                </c:pt>
                <c:pt idx="102">
                  <c:v>68.586180559147564</c:v>
                </c:pt>
                <c:pt idx="103">
                  <c:v>69.240205474428052</c:v>
                </c:pt>
                <c:pt idx="104">
                  <c:v>69.878149245001907</c:v>
                </c:pt>
                <c:pt idx="105">
                  <c:v>70.519929161520267</c:v>
                </c:pt>
                <c:pt idx="106">
                  <c:v>71.18176404999592</c:v>
                </c:pt>
                <c:pt idx="107">
                  <c:v>71.832552255696726</c:v>
                </c:pt>
                <c:pt idx="108">
                  <c:v>72.550033526891156</c:v>
                </c:pt>
                <c:pt idx="109">
                  <c:v>73.26957964284324</c:v>
                </c:pt>
                <c:pt idx="110">
                  <c:v>74.012087040542511</c:v>
                </c:pt>
                <c:pt idx="111">
                  <c:v>74.719981927214235</c:v>
                </c:pt>
                <c:pt idx="112">
                  <c:v>75.465303465307684</c:v>
                </c:pt>
                <c:pt idx="113">
                  <c:v>76.179351661388253</c:v>
                </c:pt>
                <c:pt idx="114">
                  <c:v>76.856321264088677</c:v>
                </c:pt>
                <c:pt idx="115">
                  <c:v>77.503238946571528</c:v>
                </c:pt>
                <c:pt idx="116">
                  <c:v>78.155967947534975</c:v>
                </c:pt>
                <c:pt idx="117">
                  <c:v>78.828968347025054</c:v>
                </c:pt>
                <c:pt idx="118">
                  <c:v>79.483641834919794</c:v>
                </c:pt>
                <c:pt idx="119">
                  <c:v>80.174620761290797</c:v>
                </c:pt>
                <c:pt idx="120">
                  <c:v>80.895545524665721</c:v>
                </c:pt>
                <c:pt idx="121">
                  <c:v>81.603440411337445</c:v>
                </c:pt>
                <c:pt idx="122">
                  <c:v>82.247143920868297</c:v>
                </c:pt>
                <c:pt idx="123">
                  <c:v>82.922127065473134</c:v>
                </c:pt>
                <c:pt idx="124">
                  <c:v>83.634120413398165</c:v>
                </c:pt>
                <c:pt idx="125">
                  <c:v>84.333186632686491</c:v>
                </c:pt>
                <c:pt idx="126">
                  <c:v>85.085572869280426</c:v>
                </c:pt>
                <c:pt idx="127">
                  <c:v>85.829486499152097</c:v>
                </c:pt>
                <c:pt idx="128">
                  <c:v>86.592548499678486</c:v>
                </c:pt>
                <c:pt idx="129">
                  <c:v>87.349904995213961</c:v>
                </c:pt>
                <c:pt idx="130">
                  <c:v>88.174505429512237</c:v>
                </c:pt>
                <c:pt idx="131">
                  <c:v>88.936138531377338</c:v>
                </c:pt>
                <c:pt idx="132">
                  <c:v>89.638592085101948</c:v>
                </c:pt>
                <c:pt idx="133">
                  <c:v>90.333607195827611</c:v>
                </c:pt>
                <c:pt idx="134">
                  <c:v>90.99283218713461</c:v>
                </c:pt>
                <c:pt idx="135">
                  <c:v>91.672456179553137</c:v>
                </c:pt>
                <c:pt idx="136">
                  <c:v>92.406561354371235</c:v>
                </c:pt>
                <c:pt idx="137">
                  <c:v>93.189804792894734</c:v>
                </c:pt>
                <c:pt idx="138">
                  <c:v>94.00692253095589</c:v>
                </c:pt>
                <c:pt idx="139">
                  <c:v>94.793076022466352</c:v>
                </c:pt>
                <c:pt idx="140">
                  <c:v>95.600504159184823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-0.31901487835339837</c:v>
                </c:pt>
                <c:pt idx="2">
                  <c:v>-0.63464417594662415</c:v>
                </c:pt>
                <c:pt idx="3">
                  <c:v>-0.92302218652040757</c:v>
                </c:pt>
                <c:pt idx="4">
                  <c:v>-1.2015131348638579</c:v>
                </c:pt>
                <c:pt idx="5">
                  <c:v>-1.476951167800701</c:v>
                </c:pt>
                <c:pt idx="6">
                  <c:v>-1.7298833381741106</c:v>
                </c:pt>
                <c:pt idx="7">
                  <c:v>-1.9620357513574125</c:v>
                </c:pt>
                <c:pt idx="8">
                  <c:v>-2.1753078091722378</c:v>
                </c:pt>
                <c:pt idx="9">
                  <c:v>-2.3844832323493339</c:v>
                </c:pt>
                <c:pt idx="10">
                  <c:v>-2.5833889096406804</c:v>
                </c:pt>
                <c:pt idx="11">
                  <c:v>-2.7724315601704372</c:v>
                </c:pt>
                <c:pt idx="12">
                  <c:v>-2.9370439744051415</c:v>
                </c:pt>
                <c:pt idx="13">
                  <c:v>-3.1019749441046058</c:v>
                </c:pt>
                <c:pt idx="14">
                  <c:v>-3.2632801428848248</c:v>
                </c:pt>
                <c:pt idx="15">
                  <c:v>-3.416152054147938</c:v>
                </c:pt>
                <c:pt idx="16">
                  <c:v>-3.5673155488951585</c:v>
                </c:pt>
                <c:pt idx="17">
                  <c:v>-3.7065878886946528</c:v>
                </c:pt>
                <c:pt idx="18">
                  <c:v>-3.8379107272571087</c:v>
                </c:pt>
                <c:pt idx="19">
                  <c:v>-3.9688148925620834</c:v>
                </c:pt>
                <c:pt idx="20">
                  <c:v>-4.085181799864853</c:v>
                </c:pt>
                <c:pt idx="21">
                  <c:v>-4.1977337886875876</c:v>
                </c:pt>
                <c:pt idx="22">
                  <c:v>-4.3081907242692825</c:v>
                </c:pt>
                <c:pt idx="23">
                  <c:v>-4.4144390269990836</c:v>
                </c:pt>
                <c:pt idx="24">
                  <c:v>-4.5159175051801554</c:v>
                </c:pt>
                <c:pt idx="25">
                  <c:v>-4.620710821979813</c:v>
                </c:pt>
                <c:pt idx="26">
                  <c:v>-4.7193899170263736</c:v>
                </c:pt>
                <c:pt idx="27">
                  <c:v>-4.8131722990139272</c:v>
                </c:pt>
                <c:pt idx="28">
                  <c:v>-4.9024835246402763</c:v>
                </c:pt>
                <c:pt idx="29">
                  <c:v>-4.9831969396339053</c:v>
                </c:pt>
                <c:pt idx="30">
                  <c:v>-5.0602179330405104</c:v>
                </c:pt>
                <c:pt idx="31">
                  <c:v>-5.1416393016369355</c:v>
                </c:pt>
                <c:pt idx="32">
                  <c:v>-5.219501991767646</c:v>
                </c:pt>
                <c:pt idx="33">
                  <c:v>-5.29881591153831</c:v>
                </c:pt>
                <c:pt idx="34">
                  <c:v>-5.3677557981121957</c:v>
                </c:pt>
                <c:pt idx="35">
                  <c:v>-5.4320784206233705</c:v>
                </c:pt>
                <c:pt idx="36">
                  <c:v>-5.4891883167581241</c:v>
                </c:pt>
                <c:pt idx="37">
                  <c:v>-5.5482196689493275</c:v>
                </c:pt>
                <c:pt idx="38">
                  <c:v>-5.6050173982673925</c:v>
                </c:pt>
                <c:pt idx="39">
                  <c:v>-5.659579766642798</c:v>
                </c:pt>
                <c:pt idx="40">
                  <c:v>-5.7128760703425829</c:v>
                </c:pt>
                <c:pt idx="41">
                  <c:v>-5.7634521976597544</c:v>
                </c:pt>
                <c:pt idx="42">
                  <c:v>-5.809700111866797</c:v>
                </c:pt>
                <c:pt idx="43">
                  <c:v>-5.8507165396507093</c:v>
                </c:pt>
                <c:pt idx="44">
                  <c:v>-5.890041174134331</c:v>
                </c:pt>
                <c:pt idx="45">
                  <c:v>-5.9311457650163302</c:v>
                </c:pt>
                <c:pt idx="46">
                  <c:v>-5.9679991914985431</c:v>
                </c:pt>
                <c:pt idx="47">
                  <c:v>-6.002179557557465</c:v>
                </c:pt>
                <c:pt idx="48">
                  <c:v>-6.0339379916924258</c:v>
                </c:pt>
                <c:pt idx="49">
                  <c:v>-6.0643280040760814</c:v>
                </c:pt>
                <c:pt idx="50">
                  <c:v>-6.0929853696248664</c:v>
                </c:pt>
                <c:pt idx="51">
                  <c:v>-6.1199044108819978</c:v>
                </c:pt>
                <c:pt idx="52">
                  <c:v>-6.1459968719560845</c:v>
                </c:pt>
                <c:pt idx="53">
                  <c:v>-6.1697787099405339</c:v>
                </c:pt>
                <c:pt idx="54">
                  <c:v>-6.193291679017074</c:v>
                </c:pt>
                <c:pt idx="55">
                  <c:v>-6.2151972511047884</c:v>
                </c:pt>
                <c:pt idx="56">
                  <c:v>-6.237061425464935</c:v>
                </c:pt>
                <c:pt idx="57">
                  <c:v>-6.2572582602908327</c:v>
                </c:pt>
                <c:pt idx="58">
                  <c:v>-6.2769617129083599</c:v>
                </c:pt>
                <c:pt idx="59">
                  <c:v>-6.294072280733463</c:v>
                </c:pt>
                <c:pt idx="60">
                  <c:v>-6.3097571630639635</c:v>
                </c:pt>
                <c:pt idx="61">
                  <c:v>-6.3245718243143418</c:v>
                </c:pt>
                <c:pt idx="62">
                  <c:v>-6.3382617728325723</c:v>
                </c:pt>
                <c:pt idx="63">
                  <c:v>-6.3513705065035424</c:v>
                </c:pt>
                <c:pt idx="64">
                  <c:v>-6.3633627779238839</c:v>
                </c:pt>
                <c:pt idx="65">
                  <c:v>-6.3743994805465771</c:v>
                </c:pt>
                <c:pt idx="66">
                  <c:v>-6.3853133923730079</c:v>
                </c:pt>
                <c:pt idx="67">
                  <c:v>-6.3953620061074368</c:v>
                </c:pt>
                <c:pt idx="68">
                  <c:v>-6.405029655468768</c:v>
                </c:pt>
                <c:pt idx="69">
                  <c:v>-6.413385725813983</c:v>
                </c:pt>
                <c:pt idx="70">
                  <c:v>-6.4210322978533751</c:v>
                </c:pt>
                <c:pt idx="71">
                  <c:v>-6.4281443514882817</c:v>
                </c:pt>
                <c:pt idx="72">
                  <c:v>-6.4345980539349128</c:v>
                </c:pt>
                <c:pt idx="73">
                  <c:v>-6.4403226833981595</c:v>
                </c:pt>
                <c:pt idx="74">
                  <c:v>-6.4450670862257589</c:v>
                </c:pt>
                <c:pt idx="75">
                  <c:v>-6.4490987523152654</c:v>
                </c:pt>
                <c:pt idx="76">
                  <c:v>-6.4523561414661197</c:v>
                </c:pt>
                <c:pt idx="77">
                  <c:v>-6.4549738349736288</c:v>
                </c:pt>
                <c:pt idx="78">
                  <c:v>-6.457084788775723</c:v>
                </c:pt>
                <c:pt idx="79">
                  <c:v>-6.4585653278440951</c:v>
                </c:pt>
                <c:pt idx="80">
                  <c:v>-6.4594944207412057</c:v>
                </c:pt>
                <c:pt idx="81">
                  <c:v>-6.4598776997734131</c:v>
                </c:pt>
                <c:pt idx="82">
                  <c:v>-6.4597877329313391</c:v>
                </c:pt>
                <c:pt idx="83">
                  <c:v>-6.4591201200498976</c:v>
                </c:pt>
                <c:pt idx="84">
                  <c:v>-6.4578496263559515</c:v>
                </c:pt>
                <c:pt idx="85">
                  <c:v>-6.456079467272307</c:v>
                </c:pt>
                <c:pt idx="86">
                  <c:v>-6.4537834583670879</c:v>
                </c:pt>
                <c:pt idx="87">
                  <c:v>-6.4510759556769735</c:v>
                </c:pt>
                <c:pt idx="88">
                  <c:v>-6.4478925476203761</c:v>
                </c:pt>
                <c:pt idx="89">
                  <c:v>-6.4442414731049169</c:v>
                </c:pt>
                <c:pt idx="90">
                  <c:v>-6.440318141669211</c:v>
                </c:pt>
                <c:pt idx="91">
                  <c:v>-6.4363229442416507</c:v>
                </c:pt>
                <c:pt idx="92">
                  <c:v>-6.4321893795970144</c:v>
                </c:pt>
                <c:pt idx="93">
                  <c:v>-6.4274639467785892</c:v>
                </c:pt>
                <c:pt idx="94">
                  <c:v>-6.4222807401416571</c:v>
                </c:pt>
                <c:pt idx="95">
                  <c:v>-6.4166660487577651</c:v>
                </c:pt>
                <c:pt idx="96">
                  <c:v>-6.4106200902286226</c:v>
                </c:pt>
                <c:pt idx="97">
                  <c:v>-6.4044154619330911</c:v>
                </c:pt>
                <c:pt idx="98">
                  <c:v>-6.3978073713322061</c:v>
                </c:pt>
                <c:pt idx="99">
                  <c:v>-6.3909579889258534</c:v>
                </c:pt>
                <c:pt idx="100">
                  <c:v>-6.384229678529465</c:v>
                </c:pt>
                <c:pt idx="101">
                  <c:v>-6.3769488526720437</c:v>
                </c:pt>
                <c:pt idx="102">
                  <c:v>-6.3695468924214298</c:v>
                </c:pt>
                <c:pt idx="103">
                  <c:v>-6.3616478743133094</c:v>
                </c:pt>
                <c:pt idx="104">
                  <c:v>-6.3536667150875346</c:v>
                </c:pt>
                <c:pt idx="105">
                  <c:v>-6.3454456254433742</c:v>
                </c:pt>
                <c:pt idx="106">
                  <c:v>-6.3368427612952125</c:v>
                </c:pt>
                <c:pt idx="107">
                  <c:v>-6.3281491855763088</c:v>
                </c:pt>
                <c:pt idx="108">
                  <c:v>-6.3186315975403584</c:v>
                </c:pt>
                <c:pt idx="109">
                  <c:v>-6.3088981340536936</c:v>
                </c:pt>
                <c:pt idx="110">
                  <c:v>-6.2987482510258994</c:v>
                </c:pt>
                <c:pt idx="111">
                  <c:v>-6.288771486653534</c:v>
                </c:pt>
                <c:pt idx="112">
                  <c:v>-6.2782458809780275</c:v>
                </c:pt>
                <c:pt idx="113">
                  <c:v>-6.2678901816395713</c:v>
                </c:pt>
                <c:pt idx="114">
                  <c:v>-6.257788428549782</c:v>
                </c:pt>
                <c:pt idx="115">
                  <c:v>-6.247886908996823</c:v>
                </c:pt>
                <c:pt idx="116">
                  <c:v>-6.2378149368543996</c:v>
                </c:pt>
                <c:pt idx="117">
                  <c:v>-6.2274193000505251</c:v>
                </c:pt>
                <c:pt idx="118">
                  <c:v>-6.2171276181567166</c:v>
                </c:pt>
                <c:pt idx="119">
                  <c:v>-6.2063427925029142</c:v>
                </c:pt>
                <c:pt idx="120">
                  <c:v>-6.1951321801562891</c:v>
                </c:pt>
                <c:pt idx="121">
                  <c:v>-6.1839843430536288</c:v>
                </c:pt>
                <c:pt idx="122">
                  <c:v>-6.173492373630479</c:v>
                </c:pt>
                <c:pt idx="123">
                  <c:v>-6.1625814746297847</c:v>
                </c:pt>
                <c:pt idx="124">
                  <c:v>-6.1511840879883399</c:v>
                </c:pt>
                <c:pt idx="125">
                  <c:v>-6.1398796360510497</c:v>
                </c:pt>
                <c:pt idx="126">
                  <c:v>-6.1279016245146698</c:v>
                </c:pt>
                <c:pt idx="127">
                  <c:v>-6.1159748204656452</c:v>
                </c:pt>
                <c:pt idx="128">
                  <c:v>-6.1037801290816427</c:v>
                </c:pt>
                <c:pt idx="129">
                  <c:v>-6.0916166038276707</c:v>
                </c:pt>
                <c:pt idx="130">
                  <c:v>-6.0786191933028846</c:v>
                </c:pt>
                <c:pt idx="131">
                  <c:v>-6.0663490202069514</c:v>
                </c:pt>
                <c:pt idx="132">
                  <c:v>-6.0547639562610653</c:v>
                </c:pt>
                <c:pt idx="133">
                  <c:v>-6.0432552198985237</c:v>
                </c:pt>
                <c:pt idx="134">
                  <c:v>-6.0321623036243741</c:v>
                </c:pt>
                <c:pt idx="135">
                  <c:v>-6.0208252316589892</c:v>
                </c:pt>
                <c:pt idx="136">
                  <c:v>-6.0088423436628542</c:v>
                </c:pt>
                <c:pt idx="137">
                  <c:v>-5.9962776557276118</c:v>
                </c:pt>
                <c:pt idx="138">
                  <c:v>-5.9833164251482875</c:v>
                </c:pt>
                <c:pt idx="139">
                  <c:v>-5.9707419734075557</c:v>
                </c:pt>
                <c:pt idx="140">
                  <c:v>-5.9578696075177584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1.5298380824423061</c:v>
                </c:pt>
                <c:pt idx="15">
                  <c:v>1.5872084993253912</c:v>
                </c:pt>
                <c:pt idx="16">
                  <c:v>1.6498644916719156</c:v>
                </c:pt>
                <c:pt idx="17">
                  <c:v>1.7145583958168287</c:v>
                </c:pt>
                <c:pt idx="18">
                  <c:v>1.7797166965275555</c:v>
                </c:pt>
                <c:pt idx="19">
                  <c:v>1.8511977674812321</c:v>
                </c:pt>
                <c:pt idx="20">
                  <c:v>1.9240664917319363</c:v>
                </c:pt>
                <c:pt idx="21">
                  <c:v>1.9962067184221322</c:v>
                </c:pt>
                <c:pt idx="22">
                  <c:v>2.0742894579957016</c:v>
                </c:pt>
                <c:pt idx="23">
                  <c:v>2.1542222831708209</c:v>
                </c:pt>
                <c:pt idx="24">
                  <c:v>2.240183974868398</c:v>
                </c:pt>
                <c:pt idx="25">
                  <c:v>2.3246126658820678</c:v>
                </c:pt>
                <c:pt idx="26">
                  <c:v>2.4124798003771764</c:v>
                </c:pt>
                <c:pt idx="27">
                  <c:v>2.5080977002442797</c:v>
                </c:pt>
                <c:pt idx="28">
                  <c:v>2.6146366160159924</c:v>
                </c:pt>
                <c:pt idx="29">
                  <c:v>2.7267142540763079</c:v>
                </c:pt>
                <c:pt idx="30">
                  <c:v>2.8395038008920275</c:v>
                </c:pt>
                <c:pt idx="31">
                  <c:v>2.961624997388157</c:v>
                </c:pt>
                <c:pt idx="32">
                  <c:v>3.0804636581886742</c:v>
                </c:pt>
                <c:pt idx="33">
                  <c:v>3.1998531936754797</c:v>
                </c:pt>
                <c:pt idx="34">
                  <c:v>3.3223984227768431</c:v>
                </c:pt>
                <c:pt idx="35">
                  <c:v>3.4581871885036732</c:v>
                </c:pt>
                <c:pt idx="36">
                  <c:v>3.6107060884665851</c:v>
                </c:pt>
                <c:pt idx="37">
                  <c:v>3.7645151376026007</c:v>
                </c:pt>
                <c:pt idx="38">
                  <c:v>3.9181644441932426</c:v>
                </c:pt>
                <c:pt idx="39">
                  <c:v>4.0758874545655495</c:v>
                </c:pt>
                <c:pt idx="40">
                  <c:v>4.2432680131583425</c:v>
                </c:pt>
                <c:pt idx="41">
                  <c:v>4.4233396942084466</c:v>
                </c:pt>
                <c:pt idx="42">
                  <c:v>4.6148930954488918</c:v>
                </c:pt>
                <c:pt idx="43">
                  <c:v>4.8075082343699194</c:v>
                </c:pt>
                <c:pt idx="44">
                  <c:v>5.0114175887170704</c:v>
                </c:pt>
                <c:pt idx="45">
                  <c:v>5.2106876307332302</c:v>
                </c:pt>
                <c:pt idx="46">
                  <c:v>5.4094500383727686</c:v>
                </c:pt>
                <c:pt idx="47">
                  <c:v>5.6162651774130641</c:v>
                </c:pt>
                <c:pt idx="48">
                  <c:v>5.8458864249495308</c:v>
                </c:pt>
                <c:pt idx="49">
                  <c:v>6.1080017153305244</c:v>
                </c:pt>
                <c:pt idx="50">
                  <c:v>6.3853086251902846</c:v>
                </c:pt>
                <c:pt idx="51">
                  <c:v>6.6649277821964681</c:v>
                </c:pt>
                <c:pt idx="52">
                  <c:v>6.9458991947192317</c:v>
                </c:pt>
                <c:pt idx="53">
                  <c:v>7.2421660944548352</c:v>
                </c:pt>
                <c:pt idx="54">
                  <c:v>7.5524052326557651</c:v>
                </c:pt>
                <c:pt idx="55">
                  <c:v>7.8775317254896002</c:v>
                </c:pt>
                <c:pt idx="56">
                  <c:v>8.2301471773085488</c:v>
                </c:pt>
                <c:pt idx="57">
                  <c:v>8.5981593046327944</c:v>
                </c:pt>
                <c:pt idx="58">
                  <c:v>9.0064519494429174</c:v>
                </c:pt>
                <c:pt idx="59">
                  <c:v>9.4371322365271357</c:v>
                </c:pt>
                <c:pt idx="60">
                  <c:v>9.8969719335483042</c:v>
                </c:pt>
                <c:pt idx="61">
                  <c:v>10.371768150846295</c:v>
                </c:pt>
                <c:pt idx="62">
                  <c:v>10.835368353190525</c:v>
                </c:pt>
                <c:pt idx="63">
                  <c:v>11.354396452442572</c:v>
                </c:pt>
                <c:pt idx="64">
                  <c:v>11.88896349096029</c:v>
                </c:pt>
                <c:pt idx="65">
                  <c:v>12.456532660692256</c:v>
                </c:pt>
                <c:pt idx="66">
                  <c:v>13.046121670754419</c:v>
                </c:pt>
                <c:pt idx="67">
                  <c:v>13.682553224514987</c:v>
                </c:pt>
                <c:pt idx="68">
                  <c:v>14.341731378015776</c:v>
                </c:pt>
                <c:pt idx="69">
                  <c:v>15.030781216905373</c:v>
                </c:pt>
                <c:pt idx="70">
                  <c:v>15.724942815373465</c:v>
                </c:pt>
                <c:pt idx="71">
                  <c:v>16.419771520490169</c:v>
                </c:pt>
                <c:pt idx="72">
                  <c:v>17.174158424606031</c:v>
                </c:pt>
                <c:pt idx="73">
                  <c:v>18.001027482871841</c:v>
                </c:pt>
                <c:pt idx="74">
                  <c:v>18.906749791520127</c:v>
                </c:pt>
                <c:pt idx="75">
                  <c:v>19.824323112335335</c:v>
                </c:pt>
                <c:pt idx="76">
                  <c:v>20.774924294925292</c:v>
                </c:pt>
                <c:pt idx="77">
                  <c:v>21.724821366214396</c:v>
                </c:pt>
                <c:pt idx="78">
                  <c:v>22.685819962916309</c:v>
                </c:pt>
                <c:pt idx="79">
                  <c:v>23.750225832518737</c:v>
                </c:pt>
                <c:pt idx="80">
                  <c:v>24.85828188150786</c:v>
                </c:pt>
                <c:pt idx="81">
                  <c:v>26.04064254661743</c:v>
                </c:pt>
                <c:pt idx="82">
                  <c:v>27.237807669666328</c:v>
                </c:pt>
                <c:pt idx="83">
                  <c:v>28.423621438435568</c:v>
                </c:pt>
                <c:pt idx="84">
                  <c:v>29.662531633499771</c:v>
                </c:pt>
                <c:pt idx="85">
                  <c:v>30.952411064428048</c:v>
                </c:pt>
                <c:pt idx="86">
                  <c:v>32.345330082340062</c:v>
                </c:pt>
                <c:pt idx="87">
                  <c:v>33.794976079201</c:v>
                </c:pt>
                <c:pt idx="88">
                  <c:v>35.344501553514576</c:v>
                </c:pt>
                <c:pt idx="89">
                  <c:v>36.999871322482257</c:v>
                </c:pt>
                <c:pt idx="90">
                  <c:v>38.679473623624958</c:v>
                </c:pt>
                <c:pt idx="91">
                  <c:v>40.365059675299911</c:v>
                </c:pt>
                <c:pt idx="92">
                  <c:v>42.116412148535488</c:v>
                </c:pt>
                <c:pt idx="93">
                  <c:v>43.919800489911815</c:v>
                </c:pt>
                <c:pt idx="94">
                  <c:v>45.740655064093126</c:v>
                </c:pt>
                <c:pt idx="95">
                  <c:v>47.478732974469843</c:v>
                </c:pt>
                <c:pt idx="96">
                  <c:v>49.548756942672007</c:v>
                </c:pt>
                <c:pt idx="97">
                  <c:v>51.747295473591805</c:v>
                </c:pt>
                <c:pt idx="98">
                  <c:v>54.017460145470494</c:v>
                </c:pt>
                <c:pt idx="99">
                  <c:v>56.163154180509444</c:v>
                </c:pt>
                <c:pt idx="100">
                  <c:v>58.288120904580836</c:v>
                </c:pt>
                <c:pt idx="101">
                  <c:v>60.626128584341309</c:v>
                </c:pt>
                <c:pt idx="102">
                  <c:v>62.934810395041275</c:v>
                </c:pt>
                <c:pt idx="103">
                  <c:v>65.355762533701878</c:v>
                </c:pt>
                <c:pt idx="104">
                  <c:v>67.770843966815548</c:v>
                </c:pt>
                <c:pt idx="105">
                  <c:v>70.319438733120009</c:v>
                </c:pt>
                <c:pt idx="106">
                  <c:v>72.925424427911153</c:v>
                </c:pt>
                <c:pt idx="107">
                  <c:v>75.659629444538794</c:v>
                </c:pt>
                <c:pt idx="108">
                  <c:v>78.395400120662103</c:v>
                </c:pt>
                <c:pt idx="109">
                  <c:v>81.080542696955007</c:v>
                </c:pt>
                <c:pt idx="110">
                  <c:v>83.841298922284992</c:v>
                </c:pt>
                <c:pt idx="111">
                  <c:v>86.709696069196866</c:v>
                </c:pt>
                <c:pt idx="112">
                  <c:v>89.660360279078148</c:v>
                </c:pt>
                <c:pt idx="113">
                  <c:v>92.589198530930688</c:v>
                </c:pt>
                <c:pt idx="114">
                  <c:v>95.626209506322112</c:v>
                </c:pt>
                <c:pt idx="115">
                  <c:v>98.632461667705385</c:v>
                </c:pt>
                <c:pt idx="116">
                  <c:v>101.58076949022558</c:v>
                </c:pt>
                <c:pt idx="117">
                  <c:v>104.48596269062328</c:v>
                </c:pt>
                <c:pt idx="118">
                  <c:v>107.42410653036765</c:v>
                </c:pt>
                <c:pt idx="119">
                  <c:v>110.40125333430468</c:v>
                </c:pt>
                <c:pt idx="120">
                  <c:v>113.40134321871768</c:v>
                </c:pt>
                <c:pt idx="121">
                  <c:v>116.57734565644915</c:v>
                </c:pt>
                <c:pt idx="122">
                  <c:v>119.67566876596727</c:v>
                </c:pt>
                <c:pt idx="123">
                  <c:v>122.7171446806494</c:v>
                </c:pt>
                <c:pt idx="124">
                  <c:v>125.8493878528041</c:v>
                </c:pt>
                <c:pt idx="125">
                  <c:v>128.97520042769304</c:v>
                </c:pt>
                <c:pt idx="126">
                  <c:v>132.01328089011312</c:v>
                </c:pt>
                <c:pt idx="127">
                  <c:v>135.01679780234389</c:v>
                </c:pt>
                <c:pt idx="128">
                  <c:v>137.9563466314697</c:v>
                </c:pt>
                <c:pt idx="129">
                  <c:v>140.89721612382763</c:v>
                </c:pt>
                <c:pt idx="130">
                  <c:v>143.73000642730744</c:v>
                </c:pt>
                <c:pt idx="131">
                  <c:v>146.44544551387483</c:v>
                </c:pt>
                <c:pt idx="132">
                  <c:v>149.02375131744591</c:v>
                </c:pt>
                <c:pt idx="133">
                  <c:v>151.50492338798551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9.2490942595323435</c:v>
                </c:pt>
                <c:pt idx="1">
                  <c:v>9.3835028048390665</c:v>
                </c:pt>
                <c:pt idx="2">
                  <c:v>9.3918251821351557</c:v>
                </c:pt>
                <c:pt idx="3">
                  <c:v>9.5605257532180836</c:v>
                </c:pt>
                <c:pt idx="4">
                  <c:v>9.7664260188566061</c:v>
                </c:pt>
                <c:pt idx="5">
                  <c:v>9.9456941433792885</c:v>
                </c:pt>
                <c:pt idx="6">
                  <c:v>10.207295197100471</c:v>
                </c:pt>
                <c:pt idx="7">
                  <c:v>10.492251716506027</c:v>
                </c:pt>
                <c:pt idx="8">
                  <c:v>10.798567581780803</c:v>
                </c:pt>
                <c:pt idx="9">
                  <c:v>11.134141101315327</c:v>
                </c:pt>
                <c:pt idx="10">
                  <c:v>11.487903499772329</c:v>
                </c:pt>
                <c:pt idx="11">
                  <c:v>11.847990501225242</c:v>
                </c:pt>
                <c:pt idx="12">
                  <c:v>12.21830522027275</c:v>
                </c:pt>
                <c:pt idx="13">
                  <c:v>12.626513258600326</c:v>
                </c:pt>
                <c:pt idx="14">
                  <c:v>13.095955060747928</c:v>
                </c:pt>
                <c:pt idx="15">
                  <c:v>13.505584567051155</c:v>
                </c:pt>
                <c:pt idx="16">
                  <c:v>13.85615865709522</c:v>
                </c:pt>
                <c:pt idx="17">
                  <c:v>14.181268945658511</c:v>
                </c:pt>
                <c:pt idx="18">
                  <c:v>14.646637064201318</c:v>
                </c:pt>
                <c:pt idx="19">
                  <c:v>15.161797256407826</c:v>
                </c:pt>
                <c:pt idx="20">
                  <c:v>15.678256731606046</c:v>
                </c:pt>
                <c:pt idx="21">
                  <c:v>16.176858298910329</c:v>
                </c:pt>
                <c:pt idx="22">
                  <c:v>16.700516658249377</c:v>
                </c:pt>
                <c:pt idx="23">
                  <c:v>17.201666121745493</c:v>
                </c:pt>
                <c:pt idx="24">
                  <c:v>17.761040099302328</c:v>
                </c:pt>
                <c:pt idx="25">
                  <c:v>18.296454173047184</c:v>
                </c:pt>
                <c:pt idx="26">
                  <c:v>18.81457129580804</c:v>
                </c:pt>
                <c:pt idx="27">
                  <c:v>19.351078784427809</c:v>
                </c:pt>
                <c:pt idx="28">
                  <c:v>19.960304556100667</c:v>
                </c:pt>
                <c:pt idx="29">
                  <c:v>20.628034167413436</c:v>
                </c:pt>
                <c:pt idx="30">
                  <c:v>21.287448335795283</c:v>
                </c:pt>
                <c:pt idx="31">
                  <c:v>21.917590087760225</c:v>
                </c:pt>
                <c:pt idx="32">
                  <c:v>22.565710852425948</c:v>
                </c:pt>
                <c:pt idx="33">
                  <c:v>23.194048518432233</c:v>
                </c:pt>
                <c:pt idx="34">
                  <c:v>23.818416411419456</c:v>
                </c:pt>
                <c:pt idx="35">
                  <c:v>24.470598531180219</c:v>
                </c:pt>
                <c:pt idx="36">
                  <c:v>25.221307323026004</c:v>
                </c:pt>
                <c:pt idx="37">
                  <c:v>25.943988918652934</c:v>
                </c:pt>
                <c:pt idx="38">
                  <c:v>26.600903212402187</c:v>
                </c:pt>
                <c:pt idx="39">
                  <c:v>27.208541127043283</c:v>
                </c:pt>
                <c:pt idx="40">
                  <c:v>27.821028878526157</c:v>
                </c:pt>
                <c:pt idx="41">
                  <c:v>28.461328136764973</c:v>
                </c:pt>
                <c:pt idx="42">
                  <c:v>29.122738723673081</c:v>
                </c:pt>
                <c:pt idx="43">
                  <c:v>29.748921398814115</c:v>
                </c:pt>
                <c:pt idx="44">
                  <c:v>30.408937183515352</c:v>
                </c:pt>
                <c:pt idx="45">
                  <c:v>31.024346167522339</c:v>
                </c:pt>
                <c:pt idx="46">
                  <c:v>31.582597984931677</c:v>
                </c:pt>
                <c:pt idx="47">
                  <c:v>32.116451885942169</c:v>
                </c:pt>
                <c:pt idx="48">
                  <c:v>32.677962936517844</c:v>
                </c:pt>
                <c:pt idx="49">
                  <c:v>33.34265237524059</c:v>
                </c:pt>
                <c:pt idx="50">
                  <c:v>34.062032052324298</c:v>
                </c:pt>
                <c:pt idx="51">
                  <c:v>34.796221116278218</c:v>
                </c:pt>
                <c:pt idx="52">
                  <c:v>35.448083753347262</c:v>
                </c:pt>
                <c:pt idx="53">
                  <c:v>36.091131882902296</c:v>
                </c:pt>
                <c:pt idx="54">
                  <c:v>36.703573186229278</c:v>
                </c:pt>
                <c:pt idx="55">
                  <c:v>37.282830146903947</c:v>
                </c:pt>
                <c:pt idx="56">
                  <c:v>37.827659530112108</c:v>
                </c:pt>
                <c:pt idx="57">
                  <c:v>38.343182968603784</c:v>
                </c:pt>
                <c:pt idx="58">
                  <c:v>38.876843315212383</c:v>
                </c:pt>
                <c:pt idx="59">
                  <c:v>39.455360691681406</c:v>
                </c:pt>
                <c:pt idx="60">
                  <c:v>40.008896169137927</c:v>
                </c:pt>
                <c:pt idx="61">
                  <c:v>40.62101940855576</c:v>
                </c:pt>
                <c:pt idx="62">
                  <c:v>41.103327667429035</c:v>
                </c:pt>
                <c:pt idx="63">
                  <c:v>41.65213458766673</c:v>
                </c:pt>
                <c:pt idx="64">
                  <c:v>42.238497502774592</c:v>
                </c:pt>
                <c:pt idx="65">
                  <c:v>42.765964535981382</c:v>
                </c:pt>
                <c:pt idx="66">
                  <c:v>43.248041406135151</c:v>
                </c:pt>
                <c:pt idx="67">
                  <c:v>43.718876195319112</c:v>
                </c:pt>
                <c:pt idx="68">
                  <c:v>44.115421563198133</c:v>
                </c:pt>
                <c:pt idx="69">
                  <c:v>44.482423105989703</c:v>
                </c:pt>
                <c:pt idx="70">
                  <c:v>44.796299270436762</c:v>
                </c:pt>
                <c:pt idx="71">
                  <c:v>45.118800179430558</c:v>
                </c:pt>
                <c:pt idx="72">
                  <c:v>45.40402127626367</c:v>
                </c:pt>
                <c:pt idx="73">
                  <c:v>45.756179457078332</c:v>
                </c:pt>
                <c:pt idx="74">
                  <c:v>46.085166078987598</c:v>
                </c:pt>
                <c:pt idx="75">
                  <c:v>46.332536314790396</c:v>
                </c:pt>
                <c:pt idx="76">
                  <c:v>46.49107699704178</c:v>
                </c:pt>
                <c:pt idx="77">
                  <c:v>46.553133553934273</c:v>
                </c:pt>
                <c:pt idx="78">
                  <c:v>46.583403065735041</c:v>
                </c:pt>
                <c:pt idx="79">
                  <c:v>46.549765944991336</c:v>
                </c:pt>
                <c:pt idx="80">
                  <c:v>46.481953036210129</c:v>
                </c:pt>
                <c:pt idx="81">
                  <c:v>46.333115375914765</c:v>
                </c:pt>
                <c:pt idx="82">
                  <c:v>46.201289689457134</c:v>
                </c:pt>
                <c:pt idx="83">
                  <c:v>46.029633192554854</c:v>
                </c:pt>
                <c:pt idx="84">
                  <c:v>45.76654663303249</c:v>
                </c:pt>
                <c:pt idx="85">
                  <c:v>45.410199080243828</c:v>
                </c:pt>
                <c:pt idx="86">
                  <c:v>44.949198075324496</c:v>
                </c:pt>
                <c:pt idx="87">
                  <c:v>44.445183816200398</c:v>
                </c:pt>
                <c:pt idx="88">
                  <c:v>43.896359657460799</c:v>
                </c:pt>
                <c:pt idx="89">
                  <c:v>43.218974384367549</c:v>
                </c:pt>
                <c:pt idx="90">
                  <c:v>42.439760078762312</c:v>
                </c:pt>
                <c:pt idx="91">
                  <c:v>41.585006757407243</c:v>
                </c:pt>
                <c:pt idx="92">
                  <c:v>40.679392840107063</c:v>
                </c:pt>
                <c:pt idx="93">
                  <c:v>39.723740517973702</c:v>
                </c:pt>
                <c:pt idx="94">
                  <c:v>38.741252896889243</c:v>
                </c:pt>
                <c:pt idx="95">
                  <c:v>37.710443600206418</c:v>
                </c:pt>
                <c:pt idx="96">
                  <c:v>36.477871706669383</c:v>
                </c:pt>
                <c:pt idx="97">
                  <c:v>35.139691588740597</c:v>
                </c:pt>
                <c:pt idx="98">
                  <c:v>33.779290255690135</c:v>
                </c:pt>
                <c:pt idx="99">
                  <c:v>32.418378099163874</c:v>
                </c:pt>
                <c:pt idx="100">
                  <c:v>31.033474027492467</c:v>
                </c:pt>
                <c:pt idx="101">
                  <c:v>29.460003944098275</c:v>
                </c:pt>
                <c:pt idx="102">
                  <c:v>27.871523532004019</c:v>
                </c:pt>
                <c:pt idx="103">
                  <c:v>26.181068738308621</c:v>
                </c:pt>
                <c:pt idx="104">
                  <c:v>24.433861344142137</c:v>
                </c:pt>
                <c:pt idx="105">
                  <c:v>22.55557588056811</c:v>
                </c:pt>
                <c:pt idx="106">
                  <c:v>20.591515783027329</c:v>
                </c:pt>
                <c:pt idx="107">
                  <c:v>18.505891542340308</c:v>
                </c:pt>
                <c:pt idx="108">
                  <c:v>16.412951335301308</c:v>
                </c:pt>
                <c:pt idx="109">
                  <c:v>14.347762419178586</c:v>
                </c:pt>
                <c:pt idx="110">
                  <c:v>12.219888032221071</c:v>
                </c:pt>
                <c:pt idx="111">
                  <c:v>9.9788837181316516</c:v>
                </c:pt>
                <c:pt idx="112">
                  <c:v>7.6644931329746395</c:v>
                </c:pt>
                <c:pt idx="113">
                  <c:v>5.3804940685049818</c:v>
                </c:pt>
                <c:pt idx="114">
                  <c:v>3.0141173128261771</c:v>
                </c:pt>
                <c:pt idx="115">
                  <c:v>0.67428391531083021</c:v>
                </c:pt>
                <c:pt idx="116">
                  <c:v>-1.6313015644559052</c:v>
                </c:pt>
                <c:pt idx="117">
                  <c:v>-3.9082785942057772</c:v>
                </c:pt>
                <c:pt idx="118">
                  <c:v>-6.172767313921792</c:v>
                </c:pt>
                <c:pt idx="119">
                  <c:v>-8.4847973153786942</c:v>
                </c:pt>
                <c:pt idx="120">
                  <c:v>-10.841176117172264</c:v>
                </c:pt>
                <c:pt idx="121">
                  <c:v>-13.328902720634572</c:v>
                </c:pt>
                <c:pt idx="122">
                  <c:v>-15.735106468187688</c:v>
                </c:pt>
                <c:pt idx="123">
                  <c:v>-18.118182216151908</c:v>
                </c:pt>
                <c:pt idx="124">
                  <c:v>-20.587230335971753</c:v>
                </c:pt>
                <c:pt idx="125">
                  <c:v>-23.053610685939482</c:v>
                </c:pt>
                <c:pt idx="126">
                  <c:v>-25.473664937069003</c:v>
                </c:pt>
                <c:pt idx="127">
                  <c:v>-27.821220579096533</c:v>
                </c:pt>
                <c:pt idx="128">
                  <c:v>-30.075458618945532</c:v>
                </c:pt>
                <c:pt idx="129">
                  <c:v>-32.344067026403586</c:v>
                </c:pt>
                <c:pt idx="130">
                  <c:v>-34.492777385059881</c:v>
                </c:pt>
                <c:pt idx="131">
                  <c:v>-36.554558307155027</c:v>
                </c:pt>
                <c:pt idx="132">
                  <c:v>-38.536080298682826</c:v>
                </c:pt>
                <c:pt idx="133">
                  <c:v>-40.427920026913384</c:v>
                </c:pt>
                <c:pt idx="134">
                  <c:v>-42.309780106382249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-1.8499396802172442E-3</c:v>
                </c:pt>
                <c:pt idx="1">
                  <c:v>-1.8499396802172442E-3</c:v>
                </c:pt>
                <c:pt idx="2">
                  <c:v>-0.1578303033997383</c:v>
                </c:pt>
                <c:pt idx="3">
                  <c:v>-0.1578303033997383</c:v>
                </c:pt>
                <c:pt idx="4">
                  <c:v>-0.16018005503693045</c:v>
                </c:pt>
                <c:pt idx="5">
                  <c:v>-0.25000841141597352</c:v>
                </c:pt>
                <c:pt idx="6">
                  <c:v>-0.25000841141597352</c:v>
                </c:pt>
                <c:pt idx="7">
                  <c:v>-0.25000841141597352</c:v>
                </c:pt>
                <c:pt idx="8">
                  <c:v>-0.25000841141597352</c:v>
                </c:pt>
                <c:pt idx="9">
                  <c:v>-0.25000841141597352</c:v>
                </c:pt>
                <c:pt idx="10">
                  <c:v>-0.25000841141597352</c:v>
                </c:pt>
                <c:pt idx="11">
                  <c:v>-0.25000841141597352</c:v>
                </c:pt>
                <c:pt idx="12">
                  <c:v>-0.25000841141597352</c:v>
                </c:pt>
                <c:pt idx="13">
                  <c:v>-0.28538275275163832</c:v>
                </c:pt>
                <c:pt idx="14">
                  <c:v>-0.28538275275163832</c:v>
                </c:pt>
                <c:pt idx="15">
                  <c:v>-0.28538275275163832</c:v>
                </c:pt>
                <c:pt idx="16">
                  <c:v>-0.39090430695899059</c:v>
                </c:pt>
                <c:pt idx="17">
                  <c:v>-0.53460783227499709</c:v>
                </c:pt>
                <c:pt idx="18">
                  <c:v>-0.53460783227499709</c:v>
                </c:pt>
                <c:pt idx="19">
                  <c:v>-0.53460783227499709</c:v>
                </c:pt>
                <c:pt idx="20">
                  <c:v>-0.53460783227499709</c:v>
                </c:pt>
                <c:pt idx="21">
                  <c:v>-0.53460783227499709</c:v>
                </c:pt>
                <c:pt idx="22">
                  <c:v>-0.53460783227499709</c:v>
                </c:pt>
                <c:pt idx="23">
                  <c:v>-0.53460783227499709</c:v>
                </c:pt>
                <c:pt idx="24">
                  <c:v>-0.53460783227499709</c:v>
                </c:pt>
                <c:pt idx="25">
                  <c:v>-0.53460783227499709</c:v>
                </c:pt>
                <c:pt idx="26">
                  <c:v>-0.53460783227499709</c:v>
                </c:pt>
                <c:pt idx="27">
                  <c:v>-0.53460783227499709</c:v>
                </c:pt>
                <c:pt idx="28">
                  <c:v>-0.53460783227499709</c:v>
                </c:pt>
                <c:pt idx="29">
                  <c:v>-0.53460783227499709</c:v>
                </c:pt>
                <c:pt idx="30">
                  <c:v>-0.53460783227499709</c:v>
                </c:pt>
                <c:pt idx="31">
                  <c:v>-0.60436814320071486</c:v>
                </c:pt>
                <c:pt idx="32">
                  <c:v>-0.60436814320071486</c:v>
                </c:pt>
                <c:pt idx="33">
                  <c:v>-0.60436814320071486</c:v>
                </c:pt>
                <c:pt idx="34">
                  <c:v>-0.60436814320071486</c:v>
                </c:pt>
                <c:pt idx="35">
                  <c:v>-0.60436814320071486</c:v>
                </c:pt>
                <c:pt idx="36">
                  <c:v>-0.60436814320071486</c:v>
                </c:pt>
                <c:pt idx="37">
                  <c:v>-0.60436814320071486</c:v>
                </c:pt>
                <c:pt idx="38">
                  <c:v>-0.60436814320071486</c:v>
                </c:pt>
                <c:pt idx="39">
                  <c:v>-0.60436814320071486</c:v>
                </c:pt>
                <c:pt idx="40">
                  <c:v>-0.60436814320071486</c:v>
                </c:pt>
                <c:pt idx="41">
                  <c:v>-0.60436814320071486</c:v>
                </c:pt>
                <c:pt idx="42">
                  <c:v>-0.60436814320071486</c:v>
                </c:pt>
                <c:pt idx="43">
                  <c:v>-0.60436814320071486</c:v>
                </c:pt>
                <c:pt idx="44">
                  <c:v>-0.60436814320071486</c:v>
                </c:pt>
                <c:pt idx="45">
                  <c:v>-0.60436814320071486</c:v>
                </c:pt>
                <c:pt idx="46">
                  <c:v>-0.60436814320071486</c:v>
                </c:pt>
                <c:pt idx="47">
                  <c:v>-0.60436814320071486</c:v>
                </c:pt>
                <c:pt idx="48">
                  <c:v>-0.60436814320071486</c:v>
                </c:pt>
                <c:pt idx="49">
                  <c:v>-0.60436814320071486</c:v>
                </c:pt>
                <c:pt idx="50">
                  <c:v>-0.60436814320071486</c:v>
                </c:pt>
                <c:pt idx="51">
                  <c:v>-0.60436814320071486</c:v>
                </c:pt>
                <c:pt idx="52">
                  <c:v>-0.60436814320071486</c:v>
                </c:pt>
                <c:pt idx="53">
                  <c:v>-0.60436814320071486</c:v>
                </c:pt>
                <c:pt idx="54">
                  <c:v>-0.60436814320071486</c:v>
                </c:pt>
                <c:pt idx="55">
                  <c:v>-0.60436814320071486</c:v>
                </c:pt>
                <c:pt idx="56">
                  <c:v>-0.60436814320071486</c:v>
                </c:pt>
                <c:pt idx="57">
                  <c:v>-0.60436814320071486</c:v>
                </c:pt>
                <c:pt idx="58">
                  <c:v>-0.60436814320071486</c:v>
                </c:pt>
                <c:pt idx="59">
                  <c:v>-0.60436814320071486</c:v>
                </c:pt>
                <c:pt idx="60">
                  <c:v>-0.60436814320071486</c:v>
                </c:pt>
                <c:pt idx="61">
                  <c:v>-0.60436814320071486</c:v>
                </c:pt>
                <c:pt idx="62">
                  <c:v>-0.60436814320071486</c:v>
                </c:pt>
                <c:pt idx="63">
                  <c:v>-0.60436814320071486</c:v>
                </c:pt>
                <c:pt idx="64">
                  <c:v>-0.60436814320071486</c:v>
                </c:pt>
                <c:pt idx="65">
                  <c:v>-0.60436814320071486</c:v>
                </c:pt>
                <c:pt idx="66">
                  <c:v>-0.60436814320071486</c:v>
                </c:pt>
                <c:pt idx="67">
                  <c:v>-0.60436814320071486</c:v>
                </c:pt>
                <c:pt idx="68">
                  <c:v>-0.60436814320071486</c:v>
                </c:pt>
                <c:pt idx="69">
                  <c:v>-0.60436814320071486</c:v>
                </c:pt>
                <c:pt idx="70">
                  <c:v>-0.60436814320071486</c:v>
                </c:pt>
                <c:pt idx="71">
                  <c:v>-0.60436814320071486</c:v>
                </c:pt>
                <c:pt idx="72">
                  <c:v>-0.60436814320071486</c:v>
                </c:pt>
                <c:pt idx="73">
                  <c:v>-0.60436814320071486</c:v>
                </c:pt>
                <c:pt idx="74">
                  <c:v>-0.60436814320071486</c:v>
                </c:pt>
                <c:pt idx="75">
                  <c:v>-0.60436814320071486</c:v>
                </c:pt>
                <c:pt idx="76">
                  <c:v>-0.60436814320071486</c:v>
                </c:pt>
                <c:pt idx="77">
                  <c:v>-0.60436814320071486</c:v>
                </c:pt>
                <c:pt idx="78">
                  <c:v>-0.60436814320071486</c:v>
                </c:pt>
                <c:pt idx="79">
                  <c:v>-0.60436814320071486</c:v>
                </c:pt>
                <c:pt idx="80">
                  <c:v>-0.60436814320071486</c:v>
                </c:pt>
                <c:pt idx="81">
                  <c:v>-0.60436814320071486</c:v>
                </c:pt>
                <c:pt idx="82">
                  <c:v>-0.60436814320071486</c:v>
                </c:pt>
                <c:pt idx="83">
                  <c:v>-0.60436814320071486</c:v>
                </c:pt>
                <c:pt idx="84">
                  <c:v>-0.60436814320071486</c:v>
                </c:pt>
                <c:pt idx="85">
                  <c:v>-0.60436814320071486</c:v>
                </c:pt>
                <c:pt idx="86">
                  <c:v>-0.60436814320071486</c:v>
                </c:pt>
                <c:pt idx="87">
                  <c:v>-0.60436814320071486</c:v>
                </c:pt>
                <c:pt idx="88">
                  <c:v>-0.60436814320071486</c:v>
                </c:pt>
                <c:pt idx="89">
                  <c:v>-0.60436814320071486</c:v>
                </c:pt>
                <c:pt idx="90">
                  <c:v>-0.60436814320071486</c:v>
                </c:pt>
                <c:pt idx="91">
                  <c:v>-0.60436814320071486</c:v>
                </c:pt>
                <c:pt idx="92">
                  <c:v>-0.60436814320071486</c:v>
                </c:pt>
                <c:pt idx="93">
                  <c:v>-0.60436814320071486</c:v>
                </c:pt>
                <c:pt idx="94">
                  <c:v>-0.60436814320071486</c:v>
                </c:pt>
                <c:pt idx="95">
                  <c:v>-0.60436814320071486</c:v>
                </c:pt>
                <c:pt idx="96">
                  <c:v>-0.60436814320071486</c:v>
                </c:pt>
                <c:pt idx="97">
                  <c:v>-0.60436814320071486</c:v>
                </c:pt>
                <c:pt idx="98">
                  <c:v>-0.60436814320071486</c:v>
                </c:pt>
                <c:pt idx="99">
                  <c:v>-0.60436814320071486</c:v>
                </c:pt>
                <c:pt idx="100">
                  <c:v>-0.60436814320071486</c:v>
                </c:pt>
                <c:pt idx="101">
                  <c:v>-0.60436814320071486</c:v>
                </c:pt>
                <c:pt idx="102">
                  <c:v>-0.60436814320071486</c:v>
                </c:pt>
                <c:pt idx="103">
                  <c:v>-0.60436814320071486</c:v>
                </c:pt>
                <c:pt idx="104">
                  <c:v>-0.60436814320071486</c:v>
                </c:pt>
                <c:pt idx="105">
                  <c:v>-0.60436814320071486</c:v>
                </c:pt>
                <c:pt idx="106">
                  <c:v>-0.60436814320071486</c:v>
                </c:pt>
                <c:pt idx="107">
                  <c:v>-0.60436814320071486</c:v>
                </c:pt>
                <c:pt idx="108">
                  <c:v>-0.60436814320071486</c:v>
                </c:pt>
                <c:pt idx="109">
                  <c:v>-0.60436814320071486</c:v>
                </c:pt>
                <c:pt idx="110">
                  <c:v>-0.60436814320071486</c:v>
                </c:pt>
                <c:pt idx="111">
                  <c:v>-0.60436814320071486</c:v>
                </c:pt>
                <c:pt idx="112">
                  <c:v>-0.60436814320071486</c:v>
                </c:pt>
                <c:pt idx="113">
                  <c:v>-0.60436814320071486</c:v>
                </c:pt>
                <c:pt idx="114">
                  <c:v>-0.60436814320071486</c:v>
                </c:pt>
                <c:pt idx="115">
                  <c:v>-0.60436814320071486</c:v>
                </c:pt>
                <c:pt idx="116">
                  <c:v>-0.60436814320071486</c:v>
                </c:pt>
                <c:pt idx="117">
                  <c:v>-0.60436814320071486</c:v>
                </c:pt>
                <c:pt idx="118">
                  <c:v>-0.60436814320071486</c:v>
                </c:pt>
                <c:pt idx="119">
                  <c:v>-0.60436814320071486</c:v>
                </c:pt>
                <c:pt idx="120">
                  <c:v>-0.60436814320071486</c:v>
                </c:pt>
                <c:pt idx="121">
                  <c:v>-0.60436814320071486</c:v>
                </c:pt>
                <c:pt idx="122">
                  <c:v>-0.60436814320071486</c:v>
                </c:pt>
                <c:pt idx="123">
                  <c:v>-0.60436814320071486</c:v>
                </c:pt>
                <c:pt idx="124">
                  <c:v>-0.60436814320071486</c:v>
                </c:pt>
                <c:pt idx="125">
                  <c:v>-0.60436814320071486</c:v>
                </c:pt>
                <c:pt idx="126">
                  <c:v>-0.60436814320071486</c:v>
                </c:pt>
                <c:pt idx="127">
                  <c:v>-0.60436814320071486</c:v>
                </c:pt>
                <c:pt idx="128">
                  <c:v>-0.60436814320071486</c:v>
                </c:pt>
                <c:pt idx="129">
                  <c:v>-0.60436814320071486</c:v>
                </c:pt>
                <c:pt idx="130">
                  <c:v>-0.60436814320071486</c:v>
                </c:pt>
                <c:pt idx="131">
                  <c:v>-0.60436814320071486</c:v>
                </c:pt>
                <c:pt idx="132">
                  <c:v>-0.60436814320071486</c:v>
                </c:pt>
                <c:pt idx="133">
                  <c:v>-0.60436814320071486</c:v>
                </c:pt>
                <c:pt idx="134">
                  <c:v>-0.60436814320071486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19.050255145513425</c:v>
                </c:pt>
                <c:pt idx="23">
                  <c:v>19.857238296355156</c:v>
                </c:pt>
                <c:pt idx="24">
                  <c:v>20.721025251922548</c:v>
                </c:pt>
                <c:pt idx="25">
                  <c:v>21.535895764477772</c:v>
                </c:pt>
                <c:pt idx="26">
                  <c:v>22.325164469011675</c:v>
                </c:pt>
                <c:pt idx="27">
                  <c:v>23.13568330186429</c:v>
                </c:pt>
                <c:pt idx="28">
                  <c:v>24.027986510606809</c:v>
                </c:pt>
                <c:pt idx="29">
                  <c:v>24.972478087419802</c:v>
                </c:pt>
                <c:pt idx="30">
                  <c:v>25.891805032697256</c:v>
                </c:pt>
                <c:pt idx="31">
                  <c:v>26.854276347618871</c:v>
                </c:pt>
                <c:pt idx="32">
                  <c:v>27.742321913153166</c:v>
                </c:pt>
                <c:pt idx="33">
                  <c:v>28.598046413820661</c:v>
                </c:pt>
                <c:pt idx="34">
                  <c:v>29.443062622460843</c:v>
                </c:pt>
                <c:pt idx="35">
                  <c:v>30.325764231812322</c:v>
                </c:pt>
                <c:pt idx="36">
                  <c:v>31.320759321712703</c:v>
                </c:pt>
                <c:pt idx="37">
                  <c:v>32.276640520916814</c:v>
                </c:pt>
                <c:pt idx="38">
                  <c:v>33.155237304906009</c:v>
                </c:pt>
                <c:pt idx="39">
                  <c:v>33.980185064911147</c:v>
                </c:pt>
                <c:pt idx="40">
                  <c:v>34.813314069320974</c:v>
                </c:pt>
                <c:pt idx="41">
                  <c:v>35.681130114139172</c:v>
                </c:pt>
                <c:pt idx="42">
                  <c:v>36.575038903291627</c:v>
                </c:pt>
                <c:pt idx="43">
                  <c:v>37.426609823911512</c:v>
                </c:pt>
                <c:pt idx="44">
                  <c:v>38.317332050292897</c:v>
                </c:pt>
                <c:pt idx="45">
                  <c:v>39.151584280376028</c:v>
                </c:pt>
                <c:pt idx="46">
                  <c:v>39.922494186480733</c:v>
                </c:pt>
                <c:pt idx="47">
                  <c:v>40.672405429857434</c:v>
                </c:pt>
                <c:pt idx="48">
                  <c:v>41.468461458195335</c:v>
                </c:pt>
                <c:pt idx="49">
                  <c:v>42.395181908843377</c:v>
                </c:pt>
                <c:pt idx="50">
                  <c:v>43.386274328108385</c:v>
                </c:pt>
                <c:pt idx="51">
                  <c:v>44.389715127144214</c:v>
                </c:pt>
                <c:pt idx="52">
                  <c:v>45.308179924569444</c:v>
                </c:pt>
                <c:pt idx="53">
                  <c:v>46.228827662706813</c:v>
                </c:pt>
                <c:pt idx="54">
                  <c:v>47.128798392379991</c:v>
                </c:pt>
                <c:pt idx="55">
                  <c:v>48.006576741848306</c:v>
                </c:pt>
                <c:pt idx="56">
                  <c:v>48.872566998098677</c:v>
                </c:pt>
                <c:pt idx="57">
                  <c:v>49.721027819386265</c:v>
                </c:pt>
                <c:pt idx="58">
                  <c:v>50.621863837957598</c:v>
                </c:pt>
                <c:pt idx="59">
                  <c:v>51.585927200573622</c:v>
                </c:pt>
                <c:pt idx="60">
                  <c:v>52.549633960605277</c:v>
                </c:pt>
                <c:pt idx="61">
                  <c:v>53.5844052504427</c:v>
                </c:pt>
                <c:pt idx="62">
                  <c:v>54.479153964829614</c:v>
                </c:pt>
                <c:pt idx="63">
                  <c:v>55.489180189428183</c:v>
                </c:pt>
                <c:pt idx="64">
                  <c:v>56.550754085903655</c:v>
                </c:pt>
                <c:pt idx="65">
                  <c:v>57.583051477985023</c:v>
                </c:pt>
                <c:pt idx="66">
                  <c:v>58.590260624570156</c:v>
                </c:pt>
                <c:pt idx="67">
                  <c:v>59.628634305343574</c:v>
                </c:pt>
                <c:pt idx="68">
                  <c:v>60.614336470598808</c:v>
                </c:pt>
                <c:pt idx="69">
                  <c:v>61.598662809885731</c:v>
                </c:pt>
                <c:pt idx="70">
                  <c:v>62.536349773318754</c:v>
                </c:pt>
                <c:pt idx="71">
                  <c:v>63.485129288749967</c:v>
                </c:pt>
                <c:pt idx="72">
                  <c:v>64.451944178107439</c:v>
                </c:pt>
                <c:pt idx="73">
                  <c:v>65.552907092387656</c:v>
                </c:pt>
                <c:pt idx="74">
                  <c:v>66.704003590093009</c:v>
                </c:pt>
                <c:pt idx="75">
                  <c:v>67.78748358029425</c:v>
                </c:pt>
                <c:pt idx="76">
                  <c:v>68.815128423462482</c:v>
                </c:pt>
                <c:pt idx="77">
                  <c:v>69.74884614364359</c:v>
                </c:pt>
                <c:pt idx="78">
                  <c:v>70.663815464744715</c:v>
                </c:pt>
                <c:pt idx="79">
                  <c:v>71.6123411567727</c:v>
                </c:pt>
                <c:pt idx="80">
                  <c:v>72.570070564158868</c:v>
                </c:pt>
                <c:pt idx="81">
                  <c:v>73.518457245872128</c:v>
                </c:pt>
                <c:pt idx="82">
                  <c:v>74.501241367238336</c:v>
                </c:pt>
                <c:pt idx="83">
                  <c:v>75.437125333581619</c:v>
                </c:pt>
                <c:pt idx="84">
                  <c:v>76.334079706285038</c:v>
                </c:pt>
                <c:pt idx="85">
                  <c:v>77.188479168067772</c:v>
                </c:pt>
                <c:pt idx="86">
                  <c:v>78.03769618749449</c:v>
                </c:pt>
                <c:pt idx="87">
                  <c:v>78.900543303469547</c:v>
                </c:pt>
                <c:pt idx="88">
                  <c:v>79.8157609388292</c:v>
                </c:pt>
                <c:pt idx="89">
                  <c:v>80.705553503765685</c:v>
                </c:pt>
                <c:pt idx="90">
                  <c:v>81.520521409739743</c:v>
                </c:pt>
                <c:pt idx="91">
                  <c:v>82.269513497315259</c:v>
                </c:pt>
                <c:pt idx="92">
                  <c:v>83.03343848082838</c:v>
                </c:pt>
                <c:pt idx="93">
                  <c:v>83.800223381912659</c:v>
                </c:pt>
                <c:pt idx="94">
                  <c:v>84.560227718736911</c:v>
                </c:pt>
                <c:pt idx="95">
                  <c:v>85.195983338473425</c:v>
                </c:pt>
                <c:pt idx="96">
                  <c:v>85.949510932228677</c:v>
                </c:pt>
                <c:pt idx="97">
                  <c:v>86.72359115878352</c:v>
                </c:pt>
                <c:pt idx="98">
                  <c:v>87.54773857487308</c:v>
                </c:pt>
                <c:pt idx="99">
                  <c:v>88.256106788000437</c:v>
                </c:pt>
                <c:pt idx="100">
                  <c:v>88.923502938273913</c:v>
                </c:pt>
                <c:pt idx="101">
                  <c:v>89.613127371097548</c:v>
                </c:pt>
                <c:pt idx="102">
                  <c:v>90.263523745481862</c:v>
                </c:pt>
                <c:pt idx="103">
                  <c:v>90.924794118213953</c:v>
                </c:pt>
                <c:pt idx="104">
                  <c:v>91.532115372480305</c:v>
                </c:pt>
                <c:pt idx="105">
                  <c:v>92.144342378796722</c:v>
                </c:pt>
                <c:pt idx="106">
                  <c:v>92.733599451839339</c:v>
                </c:pt>
                <c:pt idx="107">
                  <c:v>93.331300718772638</c:v>
                </c:pt>
                <c:pt idx="108">
                  <c:v>93.923169051646965</c:v>
                </c:pt>
                <c:pt idx="109">
                  <c:v>94.493638115907714</c:v>
                </c:pt>
                <c:pt idx="110">
                  <c:v>95.07634226077613</c:v>
                </c:pt>
                <c:pt idx="111">
                  <c:v>95.657009222340818</c:v>
                </c:pt>
                <c:pt idx="112">
                  <c:v>96.246857973383797</c:v>
                </c:pt>
                <c:pt idx="113">
                  <c:v>96.842649030163827</c:v>
                </c:pt>
                <c:pt idx="114">
                  <c:v>97.462713650392701</c:v>
                </c:pt>
                <c:pt idx="115">
                  <c:v>98.078267446044833</c:v>
                </c:pt>
                <c:pt idx="116">
                  <c:v>98.672372285418888</c:v>
                </c:pt>
                <c:pt idx="117">
                  <c:v>99.2532707535604</c:v>
                </c:pt>
                <c:pt idx="118">
                  <c:v>99.873893019110668</c:v>
                </c:pt>
                <c:pt idx="119">
                  <c:v>100.4885223889699</c:v>
                </c:pt>
                <c:pt idx="120">
                  <c:v>101.08597379920644</c:v>
                </c:pt>
                <c:pt idx="121">
                  <c:v>101.72623438558109</c:v>
                </c:pt>
                <c:pt idx="122">
                  <c:v>102.36860077597198</c:v>
                </c:pt>
                <c:pt idx="123">
                  <c:v>102.98167465998617</c:v>
                </c:pt>
                <c:pt idx="124">
                  <c:v>103.60216061531852</c:v>
                </c:pt>
                <c:pt idx="125">
                  <c:v>104.22041719663355</c:v>
                </c:pt>
                <c:pt idx="126">
                  <c:v>104.80260004317873</c:v>
                </c:pt>
                <c:pt idx="127">
                  <c:v>105.41704556191503</c:v>
                </c:pt>
                <c:pt idx="128">
                  <c:v>106.05639778210309</c:v>
                </c:pt>
                <c:pt idx="129">
                  <c:v>106.68611702924046</c:v>
                </c:pt>
                <c:pt idx="130">
                  <c:v>107.32493263560657</c:v>
                </c:pt>
                <c:pt idx="131">
                  <c:v>107.93621215034275</c:v>
                </c:pt>
                <c:pt idx="132">
                  <c:v>108.49658924645125</c:v>
                </c:pt>
                <c:pt idx="133">
                  <c:v>109.04958762327696</c:v>
                </c:pt>
                <c:pt idx="134">
                  <c:v>109.62520455149017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-0.74176759542902371</c:v>
                </c:pt>
                <c:pt idx="2">
                  <c:v>-1.4653890723454159</c:v>
                </c:pt>
                <c:pt idx="3">
                  <c:v>-2.1491535168555265</c:v>
                </c:pt>
                <c:pt idx="4">
                  <c:v>-2.7636963842961029</c:v>
                </c:pt>
                <c:pt idx="5">
                  <c:v>-3.3658659850412738</c:v>
                </c:pt>
                <c:pt idx="6">
                  <c:v>-3.9772846786776865</c:v>
                </c:pt>
                <c:pt idx="7">
                  <c:v>-4.5209173487109888</c:v>
                </c:pt>
                <c:pt idx="8">
                  <c:v>-5.0375030575878865</c:v>
                </c:pt>
                <c:pt idx="9">
                  <c:v>-5.527579113468394</c:v>
                </c:pt>
                <c:pt idx="10">
                  <c:v>-6.0041702503486905</c:v>
                </c:pt>
                <c:pt idx="11">
                  <c:v>-6.449740265609031</c:v>
                </c:pt>
                <c:pt idx="12">
                  <c:v>-6.8642070579647649</c:v>
                </c:pt>
                <c:pt idx="13">
                  <c:v>-7.2533852462407618</c:v>
                </c:pt>
                <c:pt idx="14">
                  <c:v>-7.6540573972860413</c:v>
                </c:pt>
                <c:pt idx="15">
                  <c:v>-8.0365061019895059</c:v>
                </c:pt>
                <c:pt idx="16">
                  <c:v>-8.3881170574998531</c:v>
                </c:pt>
                <c:pt idx="17">
                  <c:v>-8.7358819322134504</c:v>
                </c:pt>
                <c:pt idx="18">
                  <c:v>-9.0627136034742062</c:v>
                </c:pt>
                <c:pt idx="19">
                  <c:v>-9.3635583923901908</c:v>
                </c:pt>
                <c:pt idx="20">
                  <c:v>-9.6613454550740769</c:v>
                </c:pt>
                <c:pt idx="21">
                  <c:v>-9.9369869206109112</c:v>
                </c:pt>
                <c:pt idx="22">
                  <c:v>-10.186350844846038</c:v>
                </c:pt>
                <c:pt idx="23">
                  <c:v>-10.429755282583114</c:v>
                </c:pt>
                <c:pt idx="24">
                  <c:v>-10.655656144753609</c:v>
                </c:pt>
                <c:pt idx="25">
                  <c:v>-10.874107431066589</c:v>
                </c:pt>
                <c:pt idx="26">
                  <c:v>-11.069135178863286</c:v>
                </c:pt>
                <c:pt idx="27">
                  <c:v>-11.252419626141224</c:v>
                </c:pt>
                <c:pt idx="28">
                  <c:v>-11.430813070506966</c:v>
                </c:pt>
                <c:pt idx="29">
                  <c:v>-11.607351591804916</c:v>
                </c:pt>
                <c:pt idx="30">
                  <c:v>-11.772035919244823</c:v>
                </c:pt>
                <c:pt idx="31">
                  <c:v>-11.919159149324711</c:v>
                </c:pt>
                <c:pt idx="32">
                  <c:v>-12.059607204859534</c:v>
                </c:pt>
                <c:pt idx="33">
                  <c:v>-12.180693344927588</c:v>
                </c:pt>
                <c:pt idx="34">
                  <c:v>-12.288690644101992</c:v>
                </c:pt>
                <c:pt idx="35">
                  <c:v>-12.386793730653588</c:v>
                </c:pt>
                <c:pt idx="36">
                  <c:v>-12.481524454517475</c:v>
                </c:pt>
                <c:pt idx="37">
                  <c:v>-12.573291852609158</c:v>
                </c:pt>
                <c:pt idx="38">
                  <c:v>-12.652682407050319</c:v>
                </c:pt>
                <c:pt idx="39">
                  <c:v>-12.720715590699621</c:v>
                </c:pt>
                <c:pt idx="40">
                  <c:v>-12.780302425691351</c:v>
                </c:pt>
                <c:pt idx="41">
                  <c:v>-12.833563120025515</c:v>
                </c:pt>
                <c:pt idx="42">
                  <c:v>-12.881008225554792</c:v>
                </c:pt>
                <c:pt idx="43">
                  <c:v>-12.921953026558695</c:v>
                </c:pt>
                <c:pt idx="44">
                  <c:v>-12.954726133116518</c:v>
                </c:pt>
                <c:pt idx="45">
                  <c:v>-12.981523220449516</c:v>
                </c:pt>
                <c:pt idx="46">
                  <c:v>-13.001096424509504</c:v>
                </c:pt>
                <c:pt idx="47">
                  <c:v>-13.014992105565332</c:v>
                </c:pt>
                <c:pt idx="48">
                  <c:v>-13.024234308891247</c:v>
                </c:pt>
                <c:pt idx="49">
                  <c:v>-13.029158039117013</c:v>
                </c:pt>
                <c:pt idx="50">
                  <c:v>-13.02907376066131</c:v>
                </c:pt>
                <c:pt idx="51">
                  <c:v>-13.023479592982854</c:v>
                </c:pt>
                <c:pt idx="52">
                  <c:v>-13.013112171058586</c:v>
                </c:pt>
                <c:pt idx="53">
                  <c:v>-12.998742918892011</c:v>
                </c:pt>
                <c:pt idx="54">
                  <c:v>-12.980075627738737</c:v>
                </c:pt>
                <c:pt idx="55">
                  <c:v>-12.957365915884003</c:v>
                </c:pt>
                <c:pt idx="56">
                  <c:v>-12.930760811843813</c:v>
                </c:pt>
                <c:pt idx="57">
                  <c:v>-12.899306233067074</c:v>
                </c:pt>
                <c:pt idx="58">
                  <c:v>-12.86423148853874</c:v>
                </c:pt>
                <c:pt idx="59">
                  <c:v>-12.82311451569135</c:v>
                </c:pt>
                <c:pt idx="60">
                  <c:v>-12.777980214754132</c:v>
                </c:pt>
                <c:pt idx="61">
                  <c:v>-12.728311800308104</c:v>
                </c:pt>
                <c:pt idx="62">
                  <c:v>-12.676163633429701</c:v>
                </c:pt>
                <c:pt idx="63">
                  <c:v>-12.625003886599108</c:v>
                </c:pt>
                <c:pt idx="64">
                  <c:v>-12.567195091707935</c:v>
                </c:pt>
                <c:pt idx="65">
                  <c:v>-12.507839034557831</c:v>
                </c:pt>
                <c:pt idx="66">
                  <c:v>-12.445100223700441</c:v>
                </c:pt>
                <c:pt idx="67">
                  <c:v>-12.380643490069643</c:v>
                </c:pt>
                <c:pt idx="68">
                  <c:v>-12.311750827898534</c:v>
                </c:pt>
                <c:pt idx="69">
                  <c:v>-12.241729471773956</c:v>
                </c:pt>
                <c:pt idx="70">
                  <c:v>-12.170004429379714</c:v>
                </c:pt>
                <c:pt idx="71">
                  <c:v>-12.099653629897587</c:v>
                </c:pt>
                <c:pt idx="72">
                  <c:v>-12.031103531218298</c:v>
                </c:pt>
                <c:pt idx="73">
                  <c:v>-11.958310419626796</c:v>
                </c:pt>
                <c:pt idx="74">
                  <c:v>-11.880246094826537</c:v>
                </c:pt>
                <c:pt idx="75">
                  <c:v>-11.796633661974345</c:v>
                </c:pt>
                <c:pt idx="76">
                  <c:v>-11.715170095557573</c:v>
                </c:pt>
                <c:pt idx="77">
                  <c:v>-11.633673073884458</c:v>
                </c:pt>
                <c:pt idx="78">
                  <c:v>-11.555437165883971</c:v>
                </c:pt>
                <c:pt idx="79">
                  <c:v>-11.479138378482416</c:v>
                </c:pt>
                <c:pt idx="80">
                  <c:v>-11.396895321651668</c:v>
                </c:pt>
                <c:pt idx="81">
                  <c:v>-11.314381588829916</c:v>
                </c:pt>
                <c:pt idx="82">
                  <c:v>-11.229245265728975</c:v>
                </c:pt>
                <c:pt idx="83">
                  <c:v>-11.146689950503918</c:v>
                </c:pt>
                <c:pt idx="84">
                  <c:v>-11.068416644980244</c:v>
                </c:pt>
                <c:pt idx="85">
                  <c:v>-10.989547382141827</c:v>
                </c:pt>
                <c:pt idx="86">
                  <c:v>-10.910414965784954</c:v>
                </c:pt>
                <c:pt idx="87">
                  <c:v>-10.827713972218978</c:v>
                </c:pt>
                <c:pt idx="88">
                  <c:v>-10.744929350457193</c:v>
                </c:pt>
                <c:pt idx="89">
                  <c:v>-10.659445670242873</c:v>
                </c:pt>
                <c:pt idx="90">
                  <c:v>-10.571253739304927</c:v>
                </c:pt>
                <c:pt idx="91">
                  <c:v>-10.485833649741531</c:v>
                </c:pt>
                <c:pt idx="92">
                  <c:v>-10.403993006997164</c:v>
                </c:pt>
                <c:pt idx="93">
                  <c:v>-10.322179434574883</c:v>
                </c:pt>
                <c:pt idx="94">
                  <c:v>-10.241228316416203</c:v>
                </c:pt>
                <c:pt idx="95">
                  <c:v>-10.162865700143604</c:v>
                </c:pt>
                <c:pt idx="96">
                  <c:v>-10.091352706186226</c:v>
                </c:pt>
                <c:pt idx="97">
                  <c:v>-10.007428225276342</c:v>
                </c:pt>
                <c:pt idx="98">
                  <c:v>-9.9211500388401799</c:v>
                </c:pt>
                <c:pt idx="99">
                  <c:v>-9.8355341161015044</c:v>
                </c:pt>
                <c:pt idx="100">
                  <c:v>-9.759120450716166</c:v>
                </c:pt>
                <c:pt idx="101">
                  <c:v>-9.6864539485896533</c:v>
                </c:pt>
                <c:pt idx="102">
                  <c:v>-9.6115407850470049</c:v>
                </c:pt>
                <c:pt idx="103">
                  <c:v>-9.5417357608256061</c:v>
                </c:pt>
                <c:pt idx="104">
                  <c:v>-9.4725087885924886</c:v>
                </c:pt>
                <c:pt idx="105">
                  <c:v>-9.4119560039116532</c:v>
                </c:pt>
                <c:pt idx="106">
                  <c:v>-9.3538737074976357</c:v>
                </c:pt>
                <c:pt idx="107">
                  <c:v>-9.3012051832898859</c:v>
                </c:pt>
                <c:pt idx="108">
                  <c:v>-9.2503256742825606</c:v>
                </c:pt>
                <c:pt idx="109">
                  <c:v>-9.1993635380725749</c:v>
                </c:pt>
                <c:pt idx="110">
                  <c:v>-9.1498789421631432</c:v>
                </c:pt>
                <c:pt idx="111">
                  <c:v>-9.0997012486590911</c:v>
                </c:pt>
                <c:pt idx="112">
                  <c:v>-9.052975377401328</c:v>
                </c:pt>
                <c:pt idx="113">
                  <c:v>-9.0065505037200406</c:v>
                </c:pt>
                <c:pt idx="114">
                  <c:v>-8.9575023731171903</c:v>
                </c:pt>
                <c:pt idx="115">
                  <c:v>-8.9069327736334483</c:v>
                </c:pt>
                <c:pt idx="116">
                  <c:v>-8.8560678054176609</c:v>
                </c:pt>
                <c:pt idx="117">
                  <c:v>-8.8074503020382569</c:v>
                </c:pt>
                <c:pt idx="118">
                  <c:v>-8.7601325995319375</c:v>
                </c:pt>
                <c:pt idx="119">
                  <c:v>-8.707099745053851</c:v>
                </c:pt>
                <c:pt idx="120">
                  <c:v>-8.6566123124329568</c:v>
                </c:pt>
                <c:pt idx="121">
                  <c:v>-8.6103526400500723</c:v>
                </c:pt>
                <c:pt idx="122">
                  <c:v>-8.5623373921555679</c:v>
                </c:pt>
                <c:pt idx="123">
                  <c:v>-8.5125844205814545</c:v>
                </c:pt>
                <c:pt idx="124">
                  <c:v>-8.4672581378777423</c:v>
                </c:pt>
                <c:pt idx="125">
                  <c:v>-8.4245490408752399</c:v>
                </c:pt>
                <c:pt idx="126">
                  <c:v>-8.3833733972690538</c:v>
                </c:pt>
                <c:pt idx="127">
                  <c:v>-8.3475300325236699</c:v>
                </c:pt>
                <c:pt idx="128">
                  <c:v>-8.306014281056747</c:v>
                </c:pt>
                <c:pt idx="129">
                  <c:v>-8.2600557119679987</c:v>
                </c:pt>
                <c:pt idx="130">
                  <c:v>-8.2175138742054976</c:v>
                </c:pt>
                <c:pt idx="131">
                  <c:v>-8.1722495357480973</c:v>
                </c:pt>
                <c:pt idx="132">
                  <c:v>-8.1298708860120392</c:v>
                </c:pt>
                <c:pt idx="133">
                  <c:v>-8.0934641700772563</c:v>
                </c:pt>
                <c:pt idx="134">
                  <c:v>-8.057130204593923</c:v>
                </c:pt>
                <c:pt idx="135">
                  <c:v>-8.0195306002615183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112.77913043478263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118.34782608695652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119.98260869565216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119.93043478260869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119.68695652173912</c:v>
                </c:pt>
                <c:pt idx="54">
                  <c:v>120</c:v>
                </c:pt>
                <c:pt idx="55">
                  <c:v>119.75652173913043</c:v>
                </c:pt>
                <c:pt idx="56">
                  <c:v>118.24347930496248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119.82608695652175</c:v>
                </c:pt>
                <c:pt idx="77">
                  <c:v>118.31304348368803</c:v>
                </c:pt>
                <c:pt idx="78">
                  <c:v>119.87826090889524</c:v>
                </c:pt>
                <c:pt idx="79">
                  <c:v>119.84347830238526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117.96521739130432</c:v>
                </c:pt>
                <c:pt idx="107">
                  <c:v>119.7503442259172</c:v>
                </c:pt>
                <c:pt idx="108">
                  <c:v>120</c:v>
                </c:pt>
                <c:pt idx="109">
                  <c:v>118.9217391304348</c:v>
                </c:pt>
                <c:pt idx="110">
                  <c:v>119.393937742784</c:v>
                </c:pt>
                <c:pt idx="111">
                  <c:v>120</c:v>
                </c:pt>
                <c:pt idx="112">
                  <c:v>119.63478260869563</c:v>
                </c:pt>
                <c:pt idx="113">
                  <c:v>119.50424687939419</c:v>
                </c:pt>
                <c:pt idx="114">
                  <c:v>117.77715991238705</c:v>
                </c:pt>
                <c:pt idx="115">
                  <c:v>120</c:v>
                </c:pt>
                <c:pt idx="116">
                  <c:v>118.81739130434784</c:v>
                </c:pt>
                <c:pt idx="117">
                  <c:v>119.97867674858225</c:v>
                </c:pt>
                <c:pt idx="118">
                  <c:v>120</c:v>
                </c:pt>
                <c:pt idx="119">
                  <c:v>120</c:v>
                </c:pt>
                <c:pt idx="120">
                  <c:v>118.9217391304348</c:v>
                </c:pt>
                <c:pt idx="121">
                  <c:v>117.21198739760555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119.33913043478262</c:v>
                </c:pt>
                <c:pt idx="127">
                  <c:v>120</c:v>
                </c:pt>
                <c:pt idx="128">
                  <c:v>119.13043478260869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119.4086956521739</c:v>
                </c:pt>
                <c:pt idx="135">
                  <c:v>120</c:v>
                </c:pt>
                <c:pt idx="136">
                  <c:v>119.40869565217393</c:v>
                </c:pt>
                <c:pt idx="137">
                  <c:v>120</c:v>
                </c:pt>
                <c:pt idx="138">
                  <c:v>118.95652173913041</c:v>
                </c:pt>
                <c:pt idx="139">
                  <c:v>116.97300567107749</c:v>
                </c:pt>
                <c:pt idx="140">
                  <c:v>114.64570329580009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0.84396173913044947</c:v>
                </c:pt>
                <c:pt idx="3">
                  <c:v>4.6739617391304478</c:v>
                </c:pt>
                <c:pt idx="4">
                  <c:v>8.3539617391304546</c:v>
                </c:pt>
                <c:pt idx="5">
                  <c:v>15.963961739130454</c:v>
                </c:pt>
                <c:pt idx="6">
                  <c:v>19.593961739130464</c:v>
                </c:pt>
                <c:pt idx="7">
                  <c:v>22.00396173913046</c:v>
                </c:pt>
                <c:pt idx="8">
                  <c:v>23.293961739130467</c:v>
                </c:pt>
                <c:pt idx="9">
                  <c:v>24.343961739130464</c:v>
                </c:pt>
                <c:pt idx="10">
                  <c:v>24.343961739130464</c:v>
                </c:pt>
                <c:pt idx="11">
                  <c:v>24.348555942029009</c:v>
                </c:pt>
                <c:pt idx="12">
                  <c:v>26.168555942029016</c:v>
                </c:pt>
                <c:pt idx="13">
                  <c:v>28.01855594202901</c:v>
                </c:pt>
                <c:pt idx="14">
                  <c:v>32.678555942029021</c:v>
                </c:pt>
                <c:pt idx="15">
                  <c:v>34.858555942029028</c:v>
                </c:pt>
                <c:pt idx="16">
                  <c:v>39.978555942029033</c:v>
                </c:pt>
                <c:pt idx="17">
                  <c:v>41.688555942029026</c:v>
                </c:pt>
                <c:pt idx="18">
                  <c:v>43.458555942029037</c:v>
                </c:pt>
                <c:pt idx="19">
                  <c:v>45.598555942029051</c:v>
                </c:pt>
                <c:pt idx="20">
                  <c:v>46.458555942029037</c:v>
                </c:pt>
                <c:pt idx="21">
                  <c:v>50.058555942029045</c:v>
                </c:pt>
                <c:pt idx="22">
                  <c:v>51.388555942029058</c:v>
                </c:pt>
                <c:pt idx="23">
                  <c:v>53.138555942029058</c:v>
                </c:pt>
                <c:pt idx="24">
                  <c:v>53.94855594202906</c:v>
                </c:pt>
                <c:pt idx="25">
                  <c:v>55.438555942029069</c:v>
                </c:pt>
                <c:pt idx="26">
                  <c:v>58.728555942029075</c:v>
                </c:pt>
                <c:pt idx="27">
                  <c:v>63.098555942029066</c:v>
                </c:pt>
                <c:pt idx="28">
                  <c:v>64.548555942029068</c:v>
                </c:pt>
                <c:pt idx="29">
                  <c:v>65.198555942029074</c:v>
                </c:pt>
                <c:pt idx="30">
                  <c:v>65.798555942029068</c:v>
                </c:pt>
                <c:pt idx="31">
                  <c:v>69.868555942029076</c:v>
                </c:pt>
                <c:pt idx="32">
                  <c:v>76.248555942029085</c:v>
                </c:pt>
                <c:pt idx="33">
                  <c:v>76.248555942029085</c:v>
                </c:pt>
                <c:pt idx="34">
                  <c:v>80.808569775552257</c:v>
                </c:pt>
                <c:pt idx="35">
                  <c:v>80.918569775552257</c:v>
                </c:pt>
                <c:pt idx="36">
                  <c:v>82.208569775552263</c:v>
                </c:pt>
                <c:pt idx="37">
                  <c:v>84.038569775552276</c:v>
                </c:pt>
                <c:pt idx="38">
                  <c:v>85.648569775552275</c:v>
                </c:pt>
                <c:pt idx="39">
                  <c:v>90.398569775552275</c:v>
                </c:pt>
                <c:pt idx="40">
                  <c:v>101.55856977555227</c:v>
                </c:pt>
                <c:pt idx="41">
                  <c:v>109.74856977555227</c:v>
                </c:pt>
                <c:pt idx="42">
                  <c:v>110.74856977555227</c:v>
                </c:pt>
                <c:pt idx="43">
                  <c:v>111.80856977555226</c:v>
                </c:pt>
                <c:pt idx="44">
                  <c:v>113.99856977555226</c:v>
                </c:pt>
                <c:pt idx="45">
                  <c:v>116.85856977555225</c:v>
                </c:pt>
                <c:pt idx="46">
                  <c:v>118.98856977555225</c:v>
                </c:pt>
                <c:pt idx="47">
                  <c:v>119.23856977555225</c:v>
                </c:pt>
                <c:pt idx="48">
                  <c:v>121.32856977555225</c:v>
                </c:pt>
                <c:pt idx="49">
                  <c:v>121.32856977555225</c:v>
                </c:pt>
                <c:pt idx="50">
                  <c:v>122.13857046011077</c:v>
                </c:pt>
                <c:pt idx="51">
                  <c:v>123.88857046011077</c:v>
                </c:pt>
                <c:pt idx="52">
                  <c:v>125.20857046011078</c:v>
                </c:pt>
                <c:pt idx="53">
                  <c:v>125.20857046011078</c:v>
                </c:pt>
                <c:pt idx="54">
                  <c:v>127.70857163861965</c:v>
                </c:pt>
                <c:pt idx="55">
                  <c:v>127.70857163861965</c:v>
                </c:pt>
                <c:pt idx="56">
                  <c:v>127.70857163861965</c:v>
                </c:pt>
                <c:pt idx="57">
                  <c:v>128.02857515864139</c:v>
                </c:pt>
                <c:pt idx="58">
                  <c:v>131.78857515864138</c:v>
                </c:pt>
                <c:pt idx="59">
                  <c:v>134.47857515864138</c:v>
                </c:pt>
                <c:pt idx="60">
                  <c:v>137.7685751586414</c:v>
                </c:pt>
                <c:pt idx="61">
                  <c:v>138.97857515864138</c:v>
                </c:pt>
                <c:pt idx="62">
                  <c:v>142.59857515864138</c:v>
                </c:pt>
                <c:pt idx="63">
                  <c:v>143.21857515864139</c:v>
                </c:pt>
                <c:pt idx="64">
                  <c:v>147.41857515864137</c:v>
                </c:pt>
                <c:pt idx="65">
                  <c:v>150.78857515864138</c:v>
                </c:pt>
                <c:pt idx="66">
                  <c:v>151.87857515864135</c:v>
                </c:pt>
                <c:pt idx="67">
                  <c:v>157.15857515864136</c:v>
                </c:pt>
                <c:pt idx="68">
                  <c:v>160.81857515864135</c:v>
                </c:pt>
                <c:pt idx="69">
                  <c:v>160.89857515864134</c:v>
                </c:pt>
                <c:pt idx="70">
                  <c:v>161.08857515864133</c:v>
                </c:pt>
                <c:pt idx="71">
                  <c:v>162.88857515864134</c:v>
                </c:pt>
                <c:pt idx="72">
                  <c:v>165.43857515864136</c:v>
                </c:pt>
                <c:pt idx="73">
                  <c:v>169.03857515864138</c:v>
                </c:pt>
                <c:pt idx="74">
                  <c:v>173.42857515864137</c:v>
                </c:pt>
                <c:pt idx="75">
                  <c:v>174.52857515864136</c:v>
                </c:pt>
                <c:pt idx="76">
                  <c:v>174.52857515864136</c:v>
                </c:pt>
                <c:pt idx="77">
                  <c:v>174.52857515864136</c:v>
                </c:pt>
                <c:pt idx="78">
                  <c:v>174.52857515864136</c:v>
                </c:pt>
                <c:pt idx="79">
                  <c:v>174.52857515864136</c:v>
                </c:pt>
                <c:pt idx="80">
                  <c:v>176.03857518367502</c:v>
                </c:pt>
                <c:pt idx="81">
                  <c:v>176.21857518367503</c:v>
                </c:pt>
                <c:pt idx="82">
                  <c:v>177.76857518367504</c:v>
                </c:pt>
                <c:pt idx="83">
                  <c:v>182.09857518367505</c:v>
                </c:pt>
                <c:pt idx="84">
                  <c:v>185.43857518367506</c:v>
                </c:pt>
                <c:pt idx="85">
                  <c:v>186.12857518367505</c:v>
                </c:pt>
                <c:pt idx="86">
                  <c:v>191.07857518367507</c:v>
                </c:pt>
                <c:pt idx="87">
                  <c:v>192.71857518367506</c:v>
                </c:pt>
                <c:pt idx="88">
                  <c:v>196.16857518367505</c:v>
                </c:pt>
                <c:pt idx="89">
                  <c:v>197.26857518367507</c:v>
                </c:pt>
                <c:pt idx="90">
                  <c:v>199.77857518367506</c:v>
                </c:pt>
                <c:pt idx="91">
                  <c:v>201.85857518367504</c:v>
                </c:pt>
                <c:pt idx="92">
                  <c:v>201.94857518367502</c:v>
                </c:pt>
                <c:pt idx="93">
                  <c:v>205.37857518367503</c:v>
                </c:pt>
                <c:pt idx="94">
                  <c:v>209.12857518367503</c:v>
                </c:pt>
                <c:pt idx="95">
                  <c:v>211.04857518367504</c:v>
                </c:pt>
                <c:pt idx="96">
                  <c:v>216.60857518367504</c:v>
                </c:pt>
                <c:pt idx="97">
                  <c:v>218.64857518367506</c:v>
                </c:pt>
                <c:pt idx="98">
                  <c:v>218.94857518367505</c:v>
                </c:pt>
                <c:pt idx="99">
                  <c:v>224.17857518367504</c:v>
                </c:pt>
                <c:pt idx="100">
                  <c:v>226.08857518367503</c:v>
                </c:pt>
                <c:pt idx="101">
                  <c:v>226.65857518367503</c:v>
                </c:pt>
                <c:pt idx="102">
                  <c:v>228.86857518367503</c:v>
                </c:pt>
                <c:pt idx="103">
                  <c:v>229.53857518367505</c:v>
                </c:pt>
                <c:pt idx="104">
                  <c:v>232.32857518367507</c:v>
                </c:pt>
                <c:pt idx="105">
                  <c:v>232.36857518367509</c:v>
                </c:pt>
                <c:pt idx="106">
                  <c:v>232.36857518367509</c:v>
                </c:pt>
                <c:pt idx="107">
                  <c:v>232.36857518367509</c:v>
                </c:pt>
                <c:pt idx="108">
                  <c:v>233.80720081854929</c:v>
                </c:pt>
                <c:pt idx="109">
                  <c:v>233.80720081854929</c:v>
                </c:pt>
                <c:pt idx="110">
                  <c:v>233.80720081854929</c:v>
                </c:pt>
                <c:pt idx="111">
                  <c:v>234.97495745565655</c:v>
                </c:pt>
                <c:pt idx="112">
                  <c:v>234.97495745565655</c:v>
                </c:pt>
                <c:pt idx="113">
                  <c:v>234.97495745565655</c:v>
                </c:pt>
                <c:pt idx="114">
                  <c:v>234.97495745565655</c:v>
                </c:pt>
                <c:pt idx="115">
                  <c:v>235.35267112057545</c:v>
                </c:pt>
                <c:pt idx="116">
                  <c:v>235.35267112057545</c:v>
                </c:pt>
                <c:pt idx="117">
                  <c:v>235.35267112057545</c:v>
                </c:pt>
                <c:pt idx="118">
                  <c:v>237.04067679165297</c:v>
                </c:pt>
                <c:pt idx="119">
                  <c:v>241.50067679165298</c:v>
                </c:pt>
                <c:pt idx="120">
                  <c:v>241.50067679165298</c:v>
                </c:pt>
                <c:pt idx="121">
                  <c:v>241.50067679165298</c:v>
                </c:pt>
                <c:pt idx="122">
                  <c:v>242.46055140622974</c:v>
                </c:pt>
                <c:pt idx="123">
                  <c:v>244.23055140622972</c:v>
                </c:pt>
                <c:pt idx="124">
                  <c:v>248.99055140622971</c:v>
                </c:pt>
                <c:pt idx="125">
                  <c:v>249.09055140622971</c:v>
                </c:pt>
                <c:pt idx="126">
                  <c:v>249.09055140622971</c:v>
                </c:pt>
                <c:pt idx="127">
                  <c:v>249.48963836275146</c:v>
                </c:pt>
                <c:pt idx="128">
                  <c:v>249.48963836275146</c:v>
                </c:pt>
                <c:pt idx="129">
                  <c:v>249.71333401492535</c:v>
                </c:pt>
                <c:pt idx="130">
                  <c:v>252.27333401492535</c:v>
                </c:pt>
                <c:pt idx="131">
                  <c:v>254.19333401492537</c:v>
                </c:pt>
                <c:pt idx="132">
                  <c:v>260.98333401492539</c:v>
                </c:pt>
                <c:pt idx="133">
                  <c:v>262.74333401492538</c:v>
                </c:pt>
                <c:pt idx="134">
                  <c:v>262.74333401492538</c:v>
                </c:pt>
                <c:pt idx="135">
                  <c:v>264.03471662362102</c:v>
                </c:pt>
                <c:pt idx="136">
                  <c:v>264.03471662362102</c:v>
                </c:pt>
                <c:pt idx="137">
                  <c:v>267.54299488449061</c:v>
                </c:pt>
                <c:pt idx="138">
                  <c:v>267.54299488449061</c:v>
                </c:pt>
                <c:pt idx="139">
                  <c:v>267.54299488449061</c:v>
                </c:pt>
                <c:pt idx="140">
                  <c:v>267.54299488449061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9.6360663176434016E-3</c:v>
                </c:pt>
                <c:pt idx="16">
                  <c:v>1.4216832801880543E-2</c:v>
                </c:pt>
                <c:pt idx="17">
                  <c:v>2.0147822467962581E-2</c:v>
                </c:pt>
                <c:pt idx="18">
                  <c:v>2.7975039775895962E-2</c:v>
                </c:pt>
                <c:pt idx="19">
                  <c:v>3.9974507900826017E-2</c:v>
                </c:pt>
                <c:pt idx="20">
                  <c:v>5.305240615613268E-2</c:v>
                </c:pt>
                <c:pt idx="21">
                  <c:v>7.0345885409351855E-2</c:v>
                </c:pt>
                <c:pt idx="22">
                  <c:v>9.4235502619654674E-2</c:v>
                </c:pt>
                <c:pt idx="23">
                  <c:v>0.12514595439148771</c:v>
                </c:pt>
                <c:pt idx="24">
                  <c:v>0.16348290447402231</c:v>
                </c:pt>
                <c:pt idx="25">
                  <c:v>0.22207146195424543</c:v>
                </c:pt>
                <c:pt idx="26">
                  <c:v>0.29084380200534332</c:v>
                </c:pt>
                <c:pt idx="27">
                  <c:v>0.36883404789930535</c:v>
                </c:pt>
                <c:pt idx="28">
                  <c:v>0.45276063747484402</c:v>
                </c:pt>
                <c:pt idx="29">
                  <c:v>0.5256709002336033</c:v>
                </c:pt>
                <c:pt idx="30">
                  <c:v>0.59597031912771059</c:v>
                </c:pt>
                <c:pt idx="31">
                  <c:v>0.68231293152986272</c:v>
                </c:pt>
                <c:pt idx="32">
                  <c:v>0.75770545172396464</c:v>
                </c:pt>
                <c:pt idx="33">
                  <c:v>0.8285975047504982</c:v>
                </c:pt>
                <c:pt idx="34">
                  <c:v>0.87273158679177665</c:v>
                </c:pt>
                <c:pt idx="35">
                  <c:v>0.90482413604051837</c:v>
                </c:pt>
                <c:pt idx="36">
                  <c:v>0.92474595683683669</c:v>
                </c:pt>
                <c:pt idx="37">
                  <c:v>0.94455560573096098</c:v>
                </c:pt>
                <c:pt idx="38">
                  <c:v>0.9596271224272892</c:v>
                </c:pt>
                <c:pt idx="39">
                  <c:v>0.970891105292914</c:v>
                </c:pt>
                <c:pt idx="40">
                  <c:v>0.97953261498127753</c:v>
                </c:pt>
                <c:pt idx="41">
                  <c:v>0.98560154416937262</c:v>
                </c:pt>
                <c:pt idx="42">
                  <c:v>0.98950647171149719</c:v>
                </c:pt>
                <c:pt idx="43">
                  <c:v>0.99183145127661732</c:v>
                </c:pt>
                <c:pt idx="44">
                  <c:v>0.99366468529388408</c:v>
                </c:pt>
                <c:pt idx="45">
                  <c:v>0.99548844446555829</c:v>
                </c:pt>
                <c:pt idx="46">
                  <c:v>0.99661089212712883</c:v>
                </c:pt>
                <c:pt idx="47">
                  <c:v>0.99739261586570338</c:v>
                </c:pt>
                <c:pt idx="48">
                  <c:v>0.99794797721052186</c:v>
                </c:pt>
                <c:pt idx="49">
                  <c:v>0.99839241106282373</c:v>
                </c:pt>
                <c:pt idx="50">
                  <c:v>0.99873025434691354</c:v>
                </c:pt>
                <c:pt idx="51">
                  <c:v>0.99898561993273927</c:v>
                </c:pt>
                <c:pt idx="52">
                  <c:v>0.99920448489079294</c:v>
                </c:pt>
                <c:pt idx="53">
                  <c:v>0.9993522871291447</c:v>
                </c:pt>
                <c:pt idx="54">
                  <c:v>0.99949240254292182</c:v>
                </c:pt>
                <c:pt idx="55">
                  <c:v>0.99959635312235151</c:v>
                </c:pt>
                <c:pt idx="56">
                  <c:v>0.9996949603326688</c:v>
                </c:pt>
                <c:pt idx="57">
                  <c:v>0.99976533811098134</c:v>
                </c:pt>
                <c:pt idx="58">
                  <c:v>0.99982558254247622</c:v>
                </c:pt>
                <c:pt idx="59">
                  <c:v>0.9998606913310405</c:v>
                </c:pt>
                <c:pt idx="60">
                  <c:v>0.99988608131145362</c:v>
                </c:pt>
                <c:pt idx="61">
                  <c:v>0.99990731755227136</c:v>
                </c:pt>
                <c:pt idx="62">
                  <c:v>0.99992358023552363</c:v>
                </c:pt>
                <c:pt idx="63">
                  <c:v>0.9999383390702723</c:v>
                </c:pt>
                <c:pt idx="64">
                  <c:v>0.99994935266417906</c:v>
                </c:pt>
                <c:pt idx="65">
                  <c:v>0.99995794635180979</c:v>
                </c:pt>
                <c:pt idx="66">
                  <c:v>0.99996711074850486</c:v>
                </c:pt>
                <c:pt idx="67">
                  <c:v>0.99997427807693073</c:v>
                </c:pt>
                <c:pt idx="68">
                  <c:v>0.99998079724974953</c:v>
                </c:pt>
                <c:pt idx="69">
                  <c:v>0.999984972451332</c:v>
                </c:pt>
                <c:pt idx="70">
                  <c:v>0.99998834423965943</c:v>
                </c:pt>
                <c:pt idx="71">
                  <c:v>0.99999124838683717</c:v>
                </c:pt>
                <c:pt idx="72">
                  <c:v>0.99999356558967334</c:v>
                </c:pt>
                <c:pt idx="73">
                  <c:v>0.99999532912899036</c:v>
                </c:pt>
                <c:pt idx="74">
                  <c:v>0.99999647726023</c:v>
                </c:pt>
                <c:pt idx="75">
                  <c:v>0.99999733809337121</c:v>
                </c:pt>
                <c:pt idx="76">
                  <c:v>0.99999792745743465</c:v>
                </c:pt>
                <c:pt idx="77">
                  <c:v>0.99999836876841541</c:v>
                </c:pt>
                <c:pt idx="78">
                  <c:v>0.9999987618774846</c:v>
                </c:pt>
                <c:pt idx="79">
                  <c:v>0.99999903968271997</c:v>
                </c:pt>
                <c:pt idx="80">
                  <c:v>0.99999925752297358</c:v>
                </c:pt>
                <c:pt idx="81">
                  <c:v>0.99999939363272139</c:v>
                </c:pt>
                <c:pt idx="82">
                  <c:v>0.99999952244395285</c:v>
                </c:pt>
                <c:pt idx="83">
                  <c:v>0.99999966010929919</c:v>
                </c:pt>
                <c:pt idx="84">
                  <c:v>0.99999976206214614</c:v>
                </c:pt>
                <c:pt idx="85">
                  <c:v>0.98628674405542005</c:v>
                </c:pt>
                <c:pt idx="86">
                  <c:v>0.95176360664237436</c:v>
                </c:pt>
                <c:pt idx="87">
                  <c:v>0.91997299554966638</c:v>
                </c:pt>
                <c:pt idx="88">
                  <c:v>0.88744926763930676</c:v>
                </c:pt>
                <c:pt idx="89">
                  <c:v>0.8541924229112956</c:v>
                </c:pt>
                <c:pt idx="90">
                  <c:v>0.82446786830469654</c:v>
                </c:pt>
                <c:pt idx="91">
                  <c:v>0.80160795299065268</c:v>
                </c:pt>
                <c:pt idx="92">
                  <c:v>0.78268020969855834</c:v>
                </c:pt>
                <c:pt idx="93">
                  <c:v>0.75742100298129122</c:v>
                </c:pt>
                <c:pt idx="94">
                  <c:v>0.72942926994368662</c:v>
                </c:pt>
                <c:pt idx="95">
                  <c:v>0.69943812740339606</c:v>
                </c:pt>
                <c:pt idx="96">
                  <c:v>0.66758086932726524</c:v>
                </c:pt>
                <c:pt idx="97">
                  <c:v>0.63798960868751187</c:v>
                </c:pt>
                <c:pt idx="98">
                  <c:v>0.60666552647876393</c:v>
                </c:pt>
                <c:pt idx="99">
                  <c:v>0.57587462013739876</c:v>
                </c:pt>
                <c:pt idx="100">
                  <c:v>0.55034882548644037</c:v>
                </c:pt>
                <c:pt idx="101">
                  <c:v>0.5204909769129954</c:v>
                </c:pt>
                <c:pt idx="102">
                  <c:v>0.49209936197485371</c:v>
                </c:pt>
                <c:pt idx="103">
                  <c:v>0.46030875088214573</c:v>
                </c:pt>
                <c:pt idx="104">
                  <c:v>0.43018431437500948</c:v>
                </c:pt>
                <c:pt idx="105">
                  <c:v>0.39965999596733592</c:v>
                </c:pt>
                <c:pt idx="106">
                  <c:v>0.36706962107355356</c:v>
                </c:pt>
                <c:pt idx="107">
                  <c:v>0.3356122448979596</c:v>
                </c:pt>
                <c:pt idx="108">
                  <c:v>0.29749017038007886</c:v>
                </c:pt>
                <c:pt idx="109">
                  <c:v>0.25916815491192979</c:v>
                </c:pt>
                <c:pt idx="110">
                  <c:v>0.21864678899082601</c:v>
                </c:pt>
                <c:pt idx="111">
                  <c:v>0.18145777224086579</c:v>
                </c:pt>
                <c:pt idx="112">
                  <c:v>0.14066981838607051</c:v>
                </c:pt>
                <c:pt idx="113">
                  <c:v>0.10288097878530411</c:v>
                </c:pt>
                <c:pt idx="114">
                  <c:v>6.8757723272795612E-2</c:v>
                </c:pt>
                <c:pt idx="115">
                  <c:v>3.7700228997738949E-2</c:v>
                </c:pt>
                <c:pt idx="116">
                  <c:v>6.0429118718765551E-3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9</v>
    <v>1</v>
  </rv>
  <rv s="0">
    <v>2</v>
    <v>8</v>
    <v>8</v>
    <v>1</v>
  </rv>
  <rv s="0">
    <v>2</v>
    <v>8</v>
    <v>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C13" zoomScale="110" zoomScaleNormal="110" workbookViewId="0">
      <selection activeCell="G23" sqref="G23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30" t="s">
        <v>152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153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184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281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8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259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Short (Group1)</v>
      </c>
      <c r="E7" s="92" t="s">
        <v>252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GroundStore Potato Short (Group1)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147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>
        <v>60000</v>
      </c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Interface'!P8:Q8),0)&amp;" kg N/ha from all sources"</f>
        <v>requires 336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 ca="1">PriorHarvestDate</f>
        <v>45421</v>
      </c>
      <c r="Z14"/>
      <c r="AA14"/>
      <c r="AB14"/>
      <c r="AC14"/>
    </row>
    <row r="15" spans="2:34" s="55" customFormat="1" ht="16.2" thickBot="1">
      <c r="B15" s="55">
        <f ca="1">SUMIF(B29:B43,1,G29:G43)</f>
        <v>245.76792527372956</v>
      </c>
      <c r="C15" s="105" t="s">
        <v>221</v>
      </c>
      <c r="D15" s="106" t="str">
        <f ca="1">SUMIF(B29:B43,1,G29:G43)&amp;" Kg/ha"</f>
        <v>245.76792527373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9" t="s">
        <v>224</v>
      </c>
      <c r="S15" s="129"/>
      <c r="T15" s="129"/>
      <c r="U15" s="129"/>
      <c r="V15" s="129"/>
      <c r="W15" s="115"/>
      <c r="X15" s="115"/>
      <c r="Y15" s="115"/>
      <c r="Z15" s="127" t="s">
        <v>223</v>
      </c>
      <c r="AA15" s="127"/>
      <c r="AB15" s="127"/>
      <c r="AC15" s="127"/>
      <c r="AD15" s="128" t="s">
        <v>225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185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244</v>
      </c>
      <c r="Y17" s="55" t="s">
        <v>245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244</v>
      </c>
      <c r="AK17" s="55" t="s">
        <v>245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45421</v>
      </c>
      <c r="S18" s="55">
        <f ca="1">IF(R18&gt;1,R18,"")</f>
        <v>45421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108.00000000000001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0.87518945829361017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Interface'!X11:X1004,('Model Interface'!X11:X1004&gt;=CurrentHarvestDate+1)*('Model Interface'!X11:X1004&lt;=FollowingHarvestDate),"")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9.2490942595323435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-1.8499396802172442E-3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-0.74176759542902371</v>
      </c>
    </row>
    <row r="19" spans="1:37" s="55" customFormat="1">
      <c r="C19" s="57" t="s">
        <v>218</v>
      </c>
      <c r="D19" s="85">
        <f>IF(E19="",60,E19)</f>
        <v>55</v>
      </c>
      <c r="E19" s="16">
        <v>55</v>
      </c>
      <c r="F19" s="94" t="str">
        <f ca="1">ROUND('Model Interface'!N7,0)&amp;" kg N/ha available from SOM mineralisation"</f>
        <v>95 kg N/ha available from SOM mineralisation</v>
      </c>
      <c r="R19" s="83">
        <f ca="1"/>
        <v>45422</v>
      </c>
      <c r="S19" s="55">
        <f t="shared" ref="S19:S82" ca="1" si="11">IF(R19&gt;1,R19,"")</f>
        <v>45422</v>
      </c>
      <c r="T19" s="55">
        <f t="shared" ca="1" si="0"/>
        <v>50.551232739697447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1.745437076344454</v>
      </c>
      <c r="Y19" s="55">
        <f t="shared" ref="Y19:Y82" ca="1" si="14">VLOOKUP(S19,ModelOutputs,4,FALSE)+Y18</f>
        <v>-0.31901487835339837</v>
      </c>
      <c r="Z19">
        <f t="shared" ca="1" si="3"/>
        <v>112.77913043478263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9.3835028048390665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-1.8499396802172442E-3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-1.4653890723454159</v>
      </c>
    </row>
    <row r="20" spans="1:37" s="55" customFormat="1">
      <c r="C20" s="57" t="s">
        <v>228</v>
      </c>
      <c r="D20" s="85" t="str">
        <f>IF(E20="","Sedementary",E20)</f>
        <v>Sedimentary</v>
      </c>
      <c r="E20" s="16" t="s">
        <v>246</v>
      </c>
      <c r="F20" s="94"/>
      <c r="R20" s="83">
        <f ca="1"/>
        <v>45423</v>
      </c>
      <c r="S20" s="55">
        <f t="shared" ca="1" si="11"/>
        <v>45423</v>
      </c>
      <c r="T20" s="55">
        <f t="shared" ca="1" si="0"/>
        <v>50.929493728987389</v>
      </c>
      <c r="U20" s="55">
        <f t="shared" ca="1" si="1"/>
        <v>0</v>
      </c>
      <c r="V20" s="55">
        <f t="shared" ca="1" si="2"/>
        <v>0</v>
      </c>
      <c r="W20" s="55">
        <f t="shared" ca="1" si="12"/>
        <v>-0.23671546026389592</v>
      </c>
      <c r="X20" s="55">
        <f t="shared" ca="1" si="13"/>
        <v>2.6760428234915148</v>
      </c>
      <c r="Y20" s="55">
        <f t="shared" ca="1" si="14"/>
        <v>-0.63464417594662415</v>
      </c>
      <c r="Z20">
        <f t="shared" ca="1" si="3"/>
        <v>120</v>
      </c>
      <c r="AA20">
        <f t="shared" ca="1" si="15"/>
        <v>0.84396173913044947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9.3918251821351557</v>
      </c>
      <c r="AG20" s="55">
        <f t="shared" ca="1" si="7"/>
        <v>0</v>
      </c>
      <c r="AH20" s="55">
        <f t="shared" ca="1" si="8"/>
        <v>0</v>
      </c>
      <c r="AI20" s="55">
        <f t="shared" ca="1" si="17"/>
        <v>-0.1578303033997383</v>
      </c>
      <c r="AJ20" s="55">
        <f t="shared" ca="1" si="18"/>
        <v>2.5397329992429598</v>
      </c>
      <c r="AK20" s="55">
        <f t="shared" ca="1" si="19"/>
        <v>-2.1491535168555265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266</v>
      </c>
      <c r="F21" s="94"/>
      <c r="R21" s="83">
        <f ca="1"/>
        <v>45424</v>
      </c>
      <c r="S21" s="55">
        <f t="shared" ca="1" si="11"/>
        <v>45424</v>
      </c>
      <c r="T21" s="55">
        <f t="shared" ca="1" si="0"/>
        <v>50.453524691118524</v>
      </c>
      <c r="U21" s="55">
        <f t="shared" ca="1" si="1"/>
        <v>0</v>
      </c>
      <c r="V21" s="55">
        <f t="shared" ca="1" si="2"/>
        <v>0</v>
      </c>
      <c r="W21" s="55">
        <f t="shared" ca="1" si="12"/>
        <v>-1.3009192259951115</v>
      </c>
      <c r="X21" s="55">
        <f t="shared" ca="1" si="13"/>
        <v>3.5526555619276499</v>
      </c>
      <c r="Y21" s="55">
        <f t="shared" ca="1" si="14"/>
        <v>-0.92302218652040757</v>
      </c>
      <c r="Z21">
        <f t="shared" ca="1" si="3"/>
        <v>120</v>
      </c>
      <c r="AA21">
        <f t="shared" ca="1" si="15"/>
        <v>4.6739617391304478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9.5605257532180836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-0.1578303033997383</v>
      </c>
      <c r="AJ21" s="55">
        <f t="shared" ca="1" si="18"/>
        <v>3.3229764377664637</v>
      </c>
      <c r="AK21" s="55">
        <f t="shared" ca="1" si="19"/>
        <v>-2.7636963842961029</v>
      </c>
    </row>
    <row r="22" spans="1:37" s="55" customFormat="1" ht="15" customHeight="1">
      <c r="C22" s="57" t="s">
        <v>210</v>
      </c>
      <c r="D22" s="85" t="str">
        <f>IF(E22="","loam",E22)</f>
        <v>SandyLoam</v>
      </c>
      <c r="E22" s="16" t="s">
        <v>272</v>
      </c>
      <c r="F22" s="94"/>
      <c r="R22" s="83">
        <f ca="1"/>
        <v>45425</v>
      </c>
      <c r="S22" s="55">
        <f t="shared" ca="1" si="11"/>
        <v>45425</v>
      </c>
      <c r="T22" s="55">
        <f t="shared" ca="1" si="0"/>
        <v>50.045980774825338</v>
      </c>
      <c r="U22" s="55">
        <f t="shared" ca="1" si="1"/>
        <v>0</v>
      </c>
      <c r="V22" s="55">
        <f t="shared" ca="1" si="2"/>
        <v>0</v>
      </c>
      <c r="W22" s="55">
        <f t="shared" ca="1" si="12"/>
        <v>-2.3151844363649068</v>
      </c>
      <c r="X22" s="55">
        <f t="shared" ca="1" si="13"/>
        <v>4.4378678043477082</v>
      </c>
      <c r="Y22" s="55">
        <f t="shared" ca="1" si="14"/>
        <v>-1.2015131348638579</v>
      </c>
      <c r="Z22">
        <f t="shared" ca="1" si="3"/>
        <v>120</v>
      </c>
      <c r="AA22">
        <f t="shared" ca="1" si="15"/>
        <v>8.3539617391304546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9.7664260188566061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-0.16018005503693045</v>
      </c>
      <c r="AJ22" s="55">
        <f t="shared" ca="1" si="18"/>
        <v>4.1333960557873501</v>
      </c>
      <c r="AK22" s="55">
        <f t="shared" ca="1" si="19"/>
        <v>-3.3658659850412738</v>
      </c>
    </row>
    <row r="23" spans="1:37" s="55" customFormat="1">
      <c r="C23" s="57"/>
      <c r="D23" s="85"/>
      <c r="E23" s="113"/>
      <c r="F23" s="94"/>
      <c r="R23" s="83">
        <f ca="1"/>
        <v>45426</v>
      </c>
      <c r="S23" s="55">
        <f t="shared" ca="1" si="11"/>
        <v>45426</v>
      </c>
      <c r="T23" s="55">
        <f t="shared" ca="1" si="0"/>
        <v>48.653987898916718</v>
      </c>
      <c r="U23" s="55">
        <f t="shared" ca="1" si="1"/>
        <v>0</v>
      </c>
      <c r="V23" s="55">
        <f t="shared" ca="1" si="2"/>
        <v>0</v>
      </c>
      <c r="W23" s="55">
        <f t="shared" ca="1" si="12"/>
        <v>-4.3542801205110999</v>
      </c>
      <c r="X23" s="55">
        <f t="shared" ca="1" si="13"/>
        <v>5.3604086455221163</v>
      </c>
      <c r="Y23" s="55">
        <f t="shared" ca="1" si="14"/>
        <v>-1.476951167800701</v>
      </c>
      <c r="Z23">
        <f t="shared" ca="1" si="3"/>
        <v>120</v>
      </c>
      <c r="AA23">
        <f t="shared" ca="1" si="15"/>
        <v>15.963961739130454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9.9456941433792885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-0.25000841141597352</v>
      </c>
      <c r="AJ23" s="55">
        <f t="shared" ca="1" si="18"/>
        <v>5.0139112303254878</v>
      </c>
      <c r="AK23" s="55">
        <f t="shared" ca="1" si="19"/>
        <v>-3.9772846786776865</v>
      </c>
    </row>
    <row r="24" spans="1:37" s="55" customFormat="1">
      <c r="C24" s="57" t="s">
        <v>227</v>
      </c>
      <c r="D24" s="85">
        <f>IF(E24="",0,E24)</f>
        <v>0</v>
      </c>
      <c r="E24" s="113">
        <v>0</v>
      </c>
      <c r="F24" s="94"/>
      <c r="R24" s="83">
        <f ca="1"/>
        <v>45427</v>
      </c>
      <c r="S24" s="55">
        <f t="shared" ca="1" si="11"/>
        <v>45427</v>
      </c>
      <c r="T24" s="55">
        <f t="shared" ca="1" si="0"/>
        <v>48.310324099328575</v>
      </c>
      <c r="U24" s="55">
        <f t="shared" ca="1" si="1"/>
        <v>0</v>
      </c>
      <c r="V24" s="55">
        <f t="shared" ca="1" si="2"/>
        <v>0</v>
      </c>
      <c r="W24" s="55">
        <f t="shared" ca="1" si="12"/>
        <v>-5.3200665127228977</v>
      </c>
      <c r="X24" s="55">
        <f t="shared" ca="1" si="13"/>
        <v>6.2354634085191813</v>
      </c>
      <c r="Y24" s="55">
        <f t="shared" ca="1" si="14"/>
        <v>-1.7298833381741106</v>
      </c>
      <c r="Z24">
        <f t="shared" ca="1" si="3"/>
        <v>120</v>
      </c>
      <c r="AA24">
        <f t="shared" ca="1" si="15"/>
        <v>19.593961739130464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10.207295197100471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-0.25000841141597352</v>
      </c>
      <c r="AJ24" s="55">
        <f t="shared" ca="1" si="18"/>
        <v>5.8191449540799729</v>
      </c>
      <c r="AK24" s="55">
        <f t="shared" ca="1" si="19"/>
        <v>-4.5209173487109888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45428</v>
      </c>
      <c r="S25" s="55">
        <f t="shared" ca="1" si="11"/>
        <v>45428</v>
      </c>
      <c r="T25" s="55">
        <f t="shared" ca="1" si="0"/>
        <v>48.264437222741918</v>
      </c>
      <c r="U25" s="55">
        <f t="shared" ca="1" si="1"/>
        <v>0</v>
      </c>
      <c r="V25" s="55">
        <f t="shared" ca="1" si="2"/>
        <v>0</v>
      </c>
      <c r="W25" s="55">
        <f t="shared" ca="1" si="12"/>
        <v>-5.9606545070502452</v>
      </c>
      <c r="X25" s="55">
        <f t="shared" ca="1" si="13"/>
        <v>7.0623169394431713</v>
      </c>
      <c r="Y25" s="55">
        <f t="shared" ca="1" si="14"/>
        <v>-1.9620357513574125</v>
      </c>
      <c r="Z25">
        <f t="shared" ca="1" si="3"/>
        <v>120</v>
      </c>
      <c r="AA25">
        <f t="shared" ca="1" si="15"/>
        <v>22.00396173913046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10.492251716506027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-0.25000841141597352</v>
      </c>
      <c r="AJ25" s="55">
        <f t="shared" ca="1" si="18"/>
        <v>6.6206871823624267</v>
      </c>
      <c r="AK25" s="55">
        <f t="shared" ca="1" si="19"/>
        <v>-5.0375030575878865</v>
      </c>
    </row>
    <row r="26" spans="1:37" s="55" customFormat="1" ht="15" thickBot="1">
      <c r="C26" s="56"/>
      <c r="D26" s="56"/>
      <c r="E26" s="56"/>
      <c r="F26" s="56"/>
      <c r="R26" s="83">
        <f ca="1"/>
        <v>45429</v>
      </c>
      <c r="S26" s="55">
        <f t="shared" ca="1" si="11"/>
        <v>45429</v>
      </c>
      <c r="T26" s="55">
        <f t="shared" ca="1" si="0"/>
        <v>48.486316875762007</v>
      </c>
      <c r="U26" s="55">
        <f t="shared" ca="1" si="1"/>
        <v>0</v>
      </c>
      <c r="V26" s="55">
        <f t="shared" ca="1" si="2"/>
        <v>0</v>
      </c>
      <c r="W26" s="55">
        <f t="shared" ca="1" si="12"/>
        <v>-6.3051181669415302</v>
      </c>
      <c r="X26" s="55">
        <f t="shared" ca="1" si="13"/>
        <v>7.8419323101693674</v>
      </c>
      <c r="Y26" s="55">
        <f t="shared" ca="1" si="14"/>
        <v>-2.1753078091722378</v>
      </c>
      <c r="Z26">
        <f t="shared" ca="1" si="3"/>
        <v>120</v>
      </c>
      <c r="AA26">
        <f t="shared" ca="1" si="15"/>
        <v>23.293961739130467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10.798567581780803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-0.25000841141597352</v>
      </c>
      <c r="AJ26" s="55">
        <f t="shared" ca="1" si="18"/>
        <v>7.4170791035177093</v>
      </c>
      <c r="AK26" s="55">
        <f t="shared" ca="1" si="19"/>
        <v>-5.527579113468394</v>
      </c>
    </row>
    <row r="27" spans="1:37" s="55" customFormat="1" ht="15" thickBot="1">
      <c r="C27" s="123" t="s">
        <v>138</v>
      </c>
      <c r="D27" s="124"/>
      <c r="E27" s="60"/>
      <c r="F27" s="125" t="s">
        <v>145</v>
      </c>
      <c r="G27" s="126"/>
      <c r="R27" s="83">
        <f ca="1"/>
        <v>45430</v>
      </c>
      <c r="S27" s="55">
        <f t="shared" ca="1" si="11"/>
        <v>45430</v>
      </c>
      <c r="T27" s="55">
        <f t="shared" ca="1" si="0"/>
        <v>48.796512543118034</v>
      </c>
      <c r="U27" s="55">
        <f t="shared" ca="1" si="1"/>
        <v>0</v>
      </c>
      <c r="V27" s="55">
        <f t="shared" ca="1" si="2"/>
        <v>0</v>
      </c>
      <c r="W27" s="55">
        <f t="shared" ca="1" si="12"/>
        <v>-6.5872893046908638</v>
      </c>
      <c r="X27" s="55">
        <f t="shared" ca="1" si="13"/>
        <v>8.6434745384518212</v>
      </c>
      <c r="Y27" s="55">
        <f t="shared" ca="1" si="14"/>
        <v>-2.3844832323493339</v>
      </c>
      <c r="Z27">
        <f t="shared" ca="1" si="3"/>
        <v>120</v>
      </c>
      <c r="AA27">
        <f t="shared" ca="1" si="15"/>
        <v>24.343961739130464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11.134141101315327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-0.25000841141597352</v>
      </c>
      <c r="AJ27" s="55">
        <f t="shared" ca="1" si="18"/>
        <v>8.2292437599325297</v>
      </c>
      <c r="AK27" s="55">
        <f t="shared" ca="1" si="19"/>
        <v>-6.0041702503486905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45431</v>
      </c>
      <c r="S28" s="55">
        <f t="shared" ca="1" si="11"/>
        <v>45431</v>
      </c>
      <c r="T28" s="55">
        <f t="shared" ca="1" si="0"/>
        <v>49.388869214228279</v>
      </c>
      <c r="U28" s="55">
        <f t="shared" ca="1" si="1"/>
        <v>0</v>
      </c>
      <c r="V28" s="55">
        <f t="shared" ca="1" si="2"/>
        <v>0</v>
      </c>
      <c r="W28" s="55">
        <f t="shared" ca="1" si="12"/>
        <v>-6.5872893046908638</v>
      </c>
      <c r="X28" s="55">
        <f t="shared" ca="1" si="13"/>
        <v>9.4347368868534147</v>
      </c>
      <c r="Y28" s="55">
        <f t="shared" ca="1" si="14"/>
        <v>-2.5833889096406804</v>
      </c>
      <c r="Z28">
        <f t="shared" ca="1" si="3"/>
        <v>118.34782608695652</v>
      </c>
      <c r="AA28">
        <f t="shared" ca="1" si="15"/>
        <v>24.343961739130464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11.487903499772329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-0.25000841141597352</v>
      </c>
      <c r="AJ28" s="55">
        <f t="shared" ca="1" si="18"/>
        <v>9.0285761736498724</v>
      </c>
      <c r="AK28" s="55">
        <f t="shared" ca="1" si="19"/>
        <v>-6.449740265609031</v>
      </c>
    </row>
    <row r="29" spans="1:37" s="55" customFormat="1">
      <c r="A29" s="83">
        <f t="array" aca="1" ref="A29:A43" ca="1">_xlfn._xlws.FILTER('Model Interface'!X11:X500,'Model Interface'!Y11:Y500&gt;0,"")</f>
        <v>45444</v>
      </c>
      <c r="B29" s="55">
        <f t="shared" ref="B29:B43" ca="1" si="24">IF(AND(NOT(F29=""),F29&gt;=StartSchedullingDate),1,0)</f>
        <v>0</v>
      </c>
      <c r="C29" s="78">
        <v>45444</v>
      </c>
      <c r="D29" s="80">
        <v>100</v>
      </c>
      <c r="F29" s="74">
        <f ca="1">A29</f>
        <v>45444</v>
      </c>
      <c r="G29" s="76">
        <f ca="1">IFERROR(VLOOKUP(F29,'Model Interface'!$J$11:$O$500,6,FALSE),"")</f>
        <v>100</v>
      </c>
      <c r="H29" s="55" t="str">
        <f ca="1">IF(B29=1,"Suggested","Applied or Planned")</f>
        <v>Applied or Planned</v>
      </c>
      <c r="R29" s="83">
        <f ca="1"/>
        <v>45432</v>
      </c>
      <c r="S29" s="55">
        <f t="shared" ca="1" si="11"/>
        <v>45432</v>
      </c>
      <c r="T29" s="55">
        <f t="shared" ca="1" si="0"/>
        <v>49.978902167414944</v>
      </c>
      <c r="U29" s="55">
        <f t="shared" ca="1" si="1"/>
        <v>0</v>
      </c>
      <c r="V29" s="55">
        <f t="shared" ca="1" si="2"/>
        <v>0</v>
      </c>
      <c r="W29" s="55">
        <f t="shared" ca="1" si="12"/>
        <v>-6.5885538412493769</v>
      </c>
      <c r="X29" s="55">
        <f t="shared" ca="1" si="13"/>
        <v>10.215077027128354</v>
      </c>
      <c r="Y29" s="55">
        <f t="shared" ca="1" si="14"/>
        <v>-2.7724315601704372</v>
      </c>
      <c r="Z29">
        <f t="shared" ca="1" si="3"/>
        <v>120</v>
      </c>
      <c r="AA29">
        <f t="shared" ca="1" si="15"/>
        <v>24.348555942029009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11.847990501225242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-0.25000841141597352</v>
      </c>
      <c r="AJ29" s="55">
        <f t="shared" ca="1" si="18"/>
        <v>9.8031299674585188</v>
      </c>
      <c r="AK29" s="55">
        <f t="shared" ca="1" si="19"/>
        <v>-6.8642070579647649</v>
      </c>
    </row>
    <row r="30" spans="1:37" s="55" customFormat="1">
      <c r="A30" s="83">
        <f ca="1"/>
        <v>45461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45461</v>
      </c>
      <c r="G30" s="76">
        <f ca="1">IFERROR(VLOOKUP(F30,'Model Interface'!$J$11:$O$500,6,FALSE),"")</f>
        <v>80.792839409207119</v>
      </c>
      <c r="H30" s="55" t="str">
        <f t="shared" ref="H30:H43" ca="1" si="26">IF(F30="","",IF(F30&lt;=StartSchedullingDate,"Applied or Planned","Suggested"))</f>
        <v>Suggested</v>
      </c>
      <c r="R30" s="83">
        <f ca="1"/>
        <v>45433</v>
      </c>
      <c r="S30" s="55">
        <f t="shared" ca="1" si="11"/>
        <v>45433</v>
      </c>
      <c r="T30" s="55">
        <f t="shared" ca="1" si="0"/>
        <v>49.993484263594901</v>
      </c>
      <c r="U30" s="55">
        <f t="shared" ca="1" si="1"/>
        <v>0</v>
      </c>
      <c r="V30" s="55">
        <f t="shared" ca="1" si="2"/>
        <v>0</v>
      </c>
      <c r="W30" s="55">
        <f t="shared" ca="1" si="12"/>
        <v>-7.0896479530856436</v>
      </c>
      <c r="X30" s="55">
        <f t="shared" ca="1" si="13"/>
        <v>10.895365649379281</v>
      </c>
      <c r="Y30" s="55">
        <f t="shared" ca="1" si="14"/>
        <v>-2.9370439744051415</v>
      </c>
      <c r="Z30">
        <f t="shared" ca="1" si="3"/>
        <v>120</v>
      </c>
      <c r="AA30">
        <f t="shared" ca="1" si="15"/>
        <v>26.168555942029016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12.21830522027275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-0.25000841141597352</v>
      </c>
      <c r="AJ30" s="55">
        <f t="shared" ca="1" si="18"/>
        <v>10.562622874782024</v>
      </c>
      <c r="AK30" s="55">
        <f t="shared" ca="1" si="19"/>
        <v>-7.2533852462407618</v>
      </c>
    </row>
    <row r="31" spans="1:37" s="55" customFormat="1">
      <c r="A31" s="83">
        <f ca="1"/>
        <v>45475</v>
      </c>
      <c r="B31" s="55">
        <f t="shared" ca="1" si="24"/>
        <v>1</v>
      </c>
      <c r="C31" s="78"/>
      <c r="D31" s="81"/>
      <c r="F31" s="74">
        <f t="shared" ca="1" si="25"/>
        <v>45475</v>
      </c>
      <c r="G31" s="76">
        <f ca="1">IFERROR(VLOOKUP(F31,'Model Interface'!$J$11:$O$500,6,FALSE),"")</f>
        <v>80.460864549997893</v>
      </c>
      <c r="H31" s="55" t="str">
        <f t="shared" ca="1" si="26"/>
        <v>Suggested</v>
      </c>
      <c r="R31" s="83">
        <f ca="1"/>
        <v>45434</v>
      </c>
      <c r="S31" s="55">
        <f t="shared" ca="1" si="11"/>
        <v>45434</v>
      </c>
      <c r="T31" s="55">
        <f t="shared" ca="1" si="0"/>
        <v>50.037607263557</v>
      </c>
      <c r="U31" s="55">
        <f t="shared" ca="1" si="1"/>
        <v>0</v>
      </c>
      <c r="V31" s="55">
        <f t="shared" ca="1" si="2"/>
        <v>0</v>
      </c>
      <c r="W31" s="55">
        <f t="shared" ca="1" si="12"/>
        <v>-7.5994514010027521</v>
      </c>
      <c r="X31" s="55">
        <f t="shared" ca="1" si="13"/>
        <v>11.614223066957951</v>
      </c>
      <c r="Y31" s="55">
        <f t="shared" ca="1" si="14"/>
        <v>-3.1019749441046058</v>
      </c>
      <c r="Z31">
        <f t="shared" ca="1" si="3"/>
        <v>120</v>
      </c>
      <c r="AA31">
        <f t="shared" ca="1" si="15"/>
        <v>28.01855594202901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12.626513258600326</v>
      </c>
      <c r="AG31" s="55">
        <f t="shared" ca="1" si="22"/>
        <v>0</v>
      </c>
      <c r="AH31" s="55">
        <f t="shared" ca="1" si="23"/>
        <v>0</v>
      </c>
      <c r="AI31" s="55">
        <f t="shared" ca="1" si="17"/>
        <v>-0.28538275275163832</v>
      </c>
      <c r="AJ31" s="55">
        <f t="shared" ca="1" si="18"/>
        <v>11.406877405490544</v>
      </c>
      <c r="AK31" s="55">
        <f t="shared" ca="1" si="19"/>
        <v>-7.6540573972860413</v>
      </c>
    </row>
    <row r="32" spans="1:37" s="55" customFormat="1">
      <c r="A32" s="83">
        <f ca="1"/>
        <v>45487</v>
      </c>
      <c r="B32" s="55">
        <f t="shared" ca="1" si="24"/>
        <v>1</v>
      </c>
      <c r="C32" s="78"/>
      <c r="D32" s="81"/>
      <c r="F32" s="74">
        <f t="shared" ca="1" si="25"/>
        <v>45487</v>
      </c>
      <c r="G32" s="76">
        <f ca="1">IFERROR(VLOOKUP(F32,'Model Interface'!$J$11:$O$500,6,FALSE),"")</f>
        <v>84.514221314524548</v>
      </c>
      <c r="H32" s="55" t="str">
        <f t="shared" ca="1" si="26"/>
        <v>Suggested</v>
      </c>
      <c r="R32" s="83">
        <f ca="1"/>
        <v>45435</v>
      </c>
      <c r="S32" s="55">
        <f t="shared" ca="1" si="11"/>
        <v>45435</v>
      </c>
      <c r="T32" s="55">
        <f t="shared" ca="1" si="0"/>
        <v>49.345414159002338</v>
      </c>
      <c r="U32" s="55">
        <f t="shared" ca="1" si="1"/>
        <v>0</v>
      </c>
      <c r="V32" s="55">
        <f t="shared" ca="1" si="2"/>
        <v>0</v>
      </c>
      <c r="W32" s="55">
        <f t="shared" ca="1" si="12"/>
        <v>-8.8658406675645143</v>
      </c>
      <c r="X32" s="55">
        <f t="shared" ca="1" si="13"/>
        <v>12.349724427745269</v>
      </c>
      <c r="Y32" s="55">
        <f t="shared" ca="1" si="14"/>
        <v>-3.2632801428848248</v>
      </c>
      <c r="Z32">
        <f t="shared" ca="1" si="3"/>
        <v>120</v>
      </c>
      <c r="AA32">
        <f t="shared" ca="1" si="15"/>
        <v>32.678555942029021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13.095955060747928</v>
      </c>
      <c r="AG32" s="55">
        <f t="shared" ca="1" si="22"/>
        <v>1.5298380824423061</v>
      </c>
      <c r="AH32" s="55">
        <f t="shared" ca="1" si="23"/>
        <v>0</v>
      </c>
      <c r="AI32" s="55">
        <f t="shared" ca="1" si="17"/>
        <v>-0.28538275275163832</v>
      </c>
      <c r="AJ32" s="55">
        <f t="shared" ca="1" si="18"/>
        <v>12.258767912341611</v>
      </c>
      <c r="AK32" s="55">
        <f t="shared" ca="1" si="19"/>
        <v>-8.0365061019895059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45436</v>
      </c>
      <c r="S33" s="55">
        <f t="shared" ca="1" si="11"/>
        <v>45436</v>
      </c>
      <c r="T33" s="55">
        <f t="shared" ca="1" si="0"/>
        <v>49.321325188130849</v>
      </c>
      <c r="U33" s="55">
        <f t="shared" ca="1" si="1"/>
        <v>2.53772215382789</v>
      </c>
      <c r="V33" s="55">
        <f t="shared" ca="1" si="2"/>
        <v>0</v>
      </c>
      <c r="W33" s="55">
        <f t="shared" ca="1" si="12"/>
        <v>-9.4579824905478151</v>
      </c>
      <c r="X33" s="55">
        <f t="shared" ca="1" si="13"/>
        <v>13.070649191120197</v>
      </c>
      <c r="Y33" s="55">
        <f t="shared" ca="1" si="14"/>
        <v>-3.416152054147938</v>
      </c>
      <c r="Z33">
        <f t="shared" ca="1" si="3"/>
        <v>120</v>
      </c>
      <c r="AA33">
        <f t="shared" ca="1" si="15"/>
        <v>34.858555942029028</v>
      </c>
      <c r="AB33">
        <f t="shared" ca="1" si="4"/>
        <v>0</v>
      </c>
      <c r="AC33">
        <f t="shared" ca="1" si="5"/>
        <v>9.6360663176434016E-3</v>
      </c>
      <c r="AD33" s="83">
        <f ca="1"/>
        <v>45577</v>
      </c>
      <c r="AE33" s="55">
        <f t="shared" ca="1" si="20"/>
        <v>45577</v>
      </c>
      <c r="AF33" s="55">
        <f t="shared" ca="1" si="21"/>
        <v>13.505584567051155</v>
      </c>
      <c r="AG33" s="55">
        <f t="shared" ca="1" si="22"/>
        <v>1.5872084993253912</v>
      </c>
      <c r="AH33" s="55">
        <f t="shared" ca="1" si="23"/>
        <v>0</v>
      </c>
      <c r="AI33" s="55">
        <f t="shared" ca="1" si="17"/>
        <v>-0.28538275275163832</v>
      </c>
      <c r="AJ33" s="55">
        <f t="shared" ca="1" si="18"/>
        <v>13.077378791038271</v>
      </c>
      <c r="AK33" s="55">
        <f t="shared" ca="1" si="19"/>
        <v>-8.3881170574998531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45437</v>
      </c>
      <c r="S34" s="55">
        <f t="shared" ca="1" si="11"/>
        <v>45437</v>
      </c>
      <c r="T34" s="55">
        <f t="shared" ca="1" si="0"/>
        <v>48.207731551262803</v>
      </c>
      <c r="U34" s="55">
        <f t="shared" ca="1" si="1"/>
        <v>2.8903893225774602</v>
      </c>
      <c r="V34" s="55">
        <f t="shared" ca="1" si="2"/>
        <v>0</v>
      </c>
      <c r="W34" s="55">
        <f t="shared" ca="1" si="12"/>
        <v>-10.817300787738207</v>
      </c>
      <c r="X34" s="55">
        <f t="shared" ca="1" si="13"/>
        <v>13.820204514939332</v>
      </c>
      <c r="Y34" s="55">
        <f t="shared" ca="1" si="14"/>
        <v>-3.5673155488951585</v>
      </c>
      <c r="Z34">
        <f t="shared" ca="1" si="3"/>
        <v>120</v>
      </c>
      <c r="AA34">
        <f t="shared" ca="1" si="15"/>
        <v>39.978555942029033</v>
      </c>
      <c r="AB34">
        <f t="shared" ca="1" si="4"/>
        <v>0</v>
      </c>
      <c r="AC34">
        <f t="shared" ca="1" si="5"/>
        <v>1.4216832801880543E-2</v>
      </c>
      <c r="AD34" s="83">
        <f ca="1"/>
        <v>45578</v>
      </c>
      <c r="AE34" s="55">
        <f t="shared" ca="1" si="20"/>
        <v>45578</v>
      </c>
      <c r="AF34" s="55">
        <f t="shared" ca="1" si="21"/>
        <v>13.85615865709522</v>
      </c>
      <c r="AG34" s="55">
        <f t="shared" ca="1" si="22"/>
        <v>1.6498644916719156</v>
      </c>
      <c r="AH34" s="55">
        <f t="shared" ca="1" si="23"/>
        <v>0</v>
      </c>
      <c r="AI34" s="55">
        <f t="shared" ca="1" si="17"/>
        <v>-0.39090430695899059</v>
      </c>
      <c r="AJ34" s="55">
        <f t="shared" ca="1" si="18"/>
        <v>13.943895302349809</v>
      </c>
      <c r="AK34" s="55">
        <f t="shared" ca="1" si="19"/>
        <v>-8.7358819322134504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45438</v>
      </c>
      <c r="S35" s="55">
        <f t="shared" ca="1" si="11"/>
        <v>45438</v>
      </c>
      <c r="T35" s="55">
        <f t="shared" ca="1" si="0"/>
        <v>47.964713300158593</v>
      </c>
      <c r="U35" s="55">
        <f t="shared" ca="1" si="1"/>
        <v>3.2496460253822277</v>
      </c>
      <c r="V35" s="55">
        <f t="shared" ca="1" si="2"/>
        <v>0</v>
      </c>
      <c r="W35" s="55">
        <f t="shared" ca="1" si="12"/>
        <v>-11.269003261686654</v>
      </c>
      <c r="X35" s="55">
        <f t="shared" ca="1" si="13"/>
        <v>14.527417780387841</v>
      </c>
      <c r="Y35" s="55">
        <f t="shared" ca="1" si="14"/>
        <v>-3.7065878886946528</v>
      </c>
      <c r="Z35">
        <f t="shared" ca="1" si="3"/>
        <v>120</v>
      </c>
      <c r="AA35">
        <f t="shared" ca="1" si="15"/>
        <v>41.688555942029026</v>
      </c>
      <c r="AB35">
        <f t="shared" ca="1" si="4"/>
        <v>0</v>
      </c>
      <c r="AC35">
        <f t="shared" ca="1" si="5"/>
        <v>2.0147822467962581E-2</v>
      </c>
      <c r="AD35" s="83">
        <f ca="1"/>
        <v>45579</v>
      </c>
      <c r="AE35" s="55">
        <f t="shared" ca="1" si="20"/>
        <v>45579</v>
      </c>
      <c r="AF35" s="55">
        <f t="shared" ca="1" si="21"/>
        <v>14.181268945658511</v>
      </c>
      <c r="AG35" s="55">
        <f t="shared" ca="1" si="22"/>
        <v>1.7145583958168287</v>
      </c>
      <c r="AH35" s="55">
        <f t="shared" ca="1" si="23"/>
        <v>0</v>
      </c>
      <c r="AI35" s="55">
        <f t="shared" ca="1" si="17"/>
        <v>-0.53460783227499709</v>
      </c>
      <c r="AJ35" s="55">
        <f t="shared" ca="1" si="18"/>
        <v>14.804234691634775</v>
      </c>
      <c r="AK35" s="55">
        <f t="shared" ca="1" si="19"/>
        <v>-9.0627136034742062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3" t="s">
        <v>139</v>
      </c>
      <c r="D36" s="124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45439</v>
      </c>
      <c r="S36" s="55">
        <f t="shared" ca="1" si="11"/>
        <v>45439</v>
      </c>
      <c r="T36" s="55">
        <f t="shared" ca="1" si="0"/>
        <v>47.675045515911926</v>
      </c>
      <c r="U36" s="55">
        <f t="shared" ca="1" si="1"/>
        <v>3.6308897482653881</v>
      </c>
      <c r="V36" s="55">
        <f t="shared" ca="1" si="2"/>
        <v>0</v>
      </c>
      <c r="W36" s="55">
        <f t="shared" ca="1" si="12"/>
        <v>-11.733731314063503</v>
      </c>
      <c r="X36" s="55">
        <f t="shared" ca="1" si="13"/>
        <v>15.215044609963639</v>
      </c>
      <c r="Y36" s="55">
        <f t="shared" ca="1" si="14"/>
        <v>-3.8379107272571087</v>
      </c>
      <c r="Z36">
        <f t="shared" ca="1" si="3"/>
        <v>120</v>
      </c>
      <c r="AA36">
        <f t="shared" ca="1" si="15"/>
        <v>43.458555942029037</v>
      </c>
      <c r="AB36">
        <f t="shared" ca="1" si="4"/>
        <v>0</v>
      </c>
      <c r="AC36">
        <f t="shared" ca="1" si="5"/>
        <v>2.7975039775895962E-2</v>
      </c>
      <c r="AD36" s="83">
        <f ca="1"/>
        <v>45580</v>
      </c>
      <c r="AE36" s="55">
        <f t="shared" ca="1" si="20"/>
        <v>45580</v>
      </c>
      <c r="AF36" s="55">
        <f t="shared" ca="1" si="21"/>
        <v>14.646637064201318</v>
      </c>
      <c r="AG36" s="55">
        <f t="shared" ca="1" si="22"/>
        <v>1.7797166965275555</v>
      </c>
      <c r="AH36" s="55">
        <f t="shared" ca="1" si="23"/>
        <v>0</v>
      </c>
      <c r="AI36" s="55">
        <f t="shared" ca="1" si="17"/>
        <v>-0.53460783227499709</v>
      </c>
      <c r="AJ36" s="55">
        <f t="shared" ca="1" si="18"/>
        <v>15.635605899804293</v>
      </c>
      <c r="AK36" s="55">
        <f t="shared" ca="1" si="19"/>
        <v>-9.3635583923901908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45440</v>
      </c>
      <c r="S37" s="55">
        <f t="shared" ca="1" si="11"/>
        <v>45440</v>
      </c>
      <c r="T37" s="55">
        <f t="shared" ca="1" si="0"/>
        <v>47.24048703524398</v>
      </c>
      <c r="U37" s="55">
        <f t="shared" ca="1" si="1"/>
        <v>4.1007868234890879</v>
      </c>
      <c r="V37" s="55">
        <f t="shared" ca="1" si="2"/>
        <v>0</v>
      </c>
      <c r="W37" s="55">
        <f t="shared" ca="1" si="12"/>
        <v>-12.290484416339744</v>
      </c>
      <c r="X37" s="55">
        <f t="shared" ca="1" si="13"/>
        <v>15.93804047210061</v>
      </c>
      <c r="Y37" s="55">
        <f t="shared" ca="1" si="14"/>
        <v>-3.9688148925620834</v>
      </c>
      <c r="Z37">
        <f t="shared" ca="1" si="3"/>
        <v>120</v>
      </c>
      <c r="AA37">
        <f t="shared" ca="1" si="15"/>
        <v>45.598555942029051</v>
      </c>
      <c r="AB37">
        <f t="shared" ca="1" si="4"/>
        <v>0</v>
      </c>
      <c r="AC37">
        <f t="shared" ca="1" si="5"/>
        <v>3.9974507900826017E-2</v>
      </c>
      <c r="AD37" s="83">
        <f ca="1"/>
        <v>45581</v>
      </c>
      <c r="AE37" s="55">
        <f t="shared" ca="1" si="20"/>
        <v>45581</v>
      </c>
      <c r="AF37" s="55">
        <f t="shared" ca="1" si="21"/>
        <v>15.161797256407826</v>
      </c>
      <c r="AG37" s="55">
        <f t="shared" ca="1" si="22"/>
        <v>1.8511977674812321</v>
      </c>
      <c r="AH37" s="55">
        <f t="shared" ca="1" si="23"/>
        <v>0</v>
      </c>
      <c r="AI37" s="55">
        <f t="shared" ca="1" si="17"/>
        <v>-0.53460783227499709</v>
      </c>
      <c r="AJ37" s="55">
        <f t="shared" ca="1" si="18"/>
        <v>16.520034225648367</v>
      </c>
      <c r="AK37" s="55">
        <f t="shared" ca="1" si="19"/>
        <v>-9.6613454550740769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45458</v>
      </c>
      <c r="D38" s="81">
        <v>50</v>
      </c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45441</v>
      </c>
      <c r="S38" s="55">
        <f t="shared" ca="1" si="11"/>
        <v>45441</v>
      </c>
      <c r="T38" s="55">
        <f t="shared" ca="1" si="0"/>
        <v>47.127191408263293</v>
      </c>
      <c r="U38" s="55">
        <f t="shared" ca="1" si="1"/>
        <v>4.5214279190959328</v>
      </c>
      <c r="V38" s="55">
        <f t="shared" ca="1" si="2"/>
        <v>0</v>
      </c>
      <c r="W38" s="55">
        <f t="shared" ca="1" si="12"/>
        <v>-12.513689722893659</v>
      </c>
      <c r="X38" s="55">
        <f t="shared" ca="1" si="13"/>
        <v>16.584958154583457</v>
      </c>
      <c r="Y38" s="55">
        <f t="shared" ca="1" si="14"/>
        <v>-4.085181799864853</v>
      </c>
      <c r="Z38">
        <f t="shared" ca="1" si="3"/>
        <v>120</v>
      </c>
      <c r="AA38">
        <f t="shared" ca="1" si="15"/>
        <v>46.458555942029037</v>
      </c>
      <c r="AB38">
        <f t="shared" ca="1" si="4"/>
        <v>0</v>
      </c>
      <c r="AC38">
        <f t="shared" ca="1" si="5"/>
        <v>5.305240615613268E-2</v>
      </c>
      <c r="AD38" s="83">
        <f ca="1"/>
        <v>45582</v>
      </c>
      <c r="AE38" s="55">
        <f t="shared" ca="1" si="20"/>
        <v>45582</v>
      </c>
      <c r="AF38" s="55">
        <f t="shared" ca="1" si="21"/>
        <v>15.678256731606046</v>
      </c>
      <c r="AG38" s="55">
        <f t="shared" ca="1" si="22"/>
        <v>1.9240664917319363</v>
      </c>
      <c r="AH38" s="55">
        <f t="shared" ca="1" si="23"/>
        <v>0</v>
      </c>
      <c r="AI38" s="55">
        <f t="shared" ca="1" si="17"/>
        <v>-0.53460783227499709</v>
      </c>
      <c r="AJ38" s="55">
        <f t="shared" ca="1" si="18"/>
        <v>17.385003890634124</v>
      </c>
      <c r="AK38" s="55">
        <f t="shared" ca="1" si="19"/>
        <v>-9.9369869206109112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45442</v>
      </c>
      <c r="S39" s="55">
        <f t="shared" ca="1" si="11"/>
        <v>45442</v>
      </c>
      <c r="T39" s="55">
        <f t="shared" ca="1" si="0"/>
        <v>46.278507661798074</v>
      </c>
      <c r="U39" s="55">
        <f t="shared" ca="1" si="1"/>
        <v>4.9908261653183521</v>
      </c>
      <c r="V39" s="55">
        <f t="shared" ca="1" si="2"/>
        <v>0</v>
      </c>
      <c r="W39" s="55">
        <f t="shared" ca="1" si="12"/>
        <v>-13.431211440014527</v>
      </c>
      <c r="X39" s="55">
        <f t="shared" ca="1" si="13"/>
        <v>17.235746360284264</v>
      </c>
      <c r="Y39" s="55">
        <f t="shared" ca="1" si="14"/>
        <v>-4.1977337886875876</v>
      </c>
      <c r="Z39">
        <f t="shared" ca="1" si="3"/>
        <v>120</v>
      </c>
      <c r="AA39">
        <f t="shared" ca="1" si="15"/>
        <v>50.058555942029045</v>
      </c>
      <c r="AB39">
        <f t="shared" ca="1" si="4"/>
        <v>0</v>
      </c>
      <c r="AC39">
        <f t="shared" ca="1" si="5"/>
        <v>7.0345885409351855E-2</v>
      </c>
      <c r="AD39" s="83">
        <f ca="1"/>
        <v>45583</v>
      </c>
      <c r="AE39" s="55">
        <f t="shared" ca="1" si="20"/>
        <v>45583</v>
      </c>
      <c r="AF39" s="55">
        <f t="shared" ca="1" si="21"/>
        <v>16.176858298910329</v>
      </c>
      <c r="AG39" s="55">
        <f t="shared" ca="1" si="22"/>
        <v>1.9962067184221322</v>
      </c>
      <c r="AH39" s="55">
        <f t="shared" ca="1" si="23"/>
        <v>0</v>
      </c>
      <c r="AI39" s="55">
        <f t="shared" ca="1" si="17"/>
        <v>-0.53460783227499709</v>
      </c>
      <c r="AJ39" s="55">
        <f t="shared" ca="1" si="18"/>
        <v>18.205109608863729</v>
      </c>
      <c r="AK39" s="55">
        <f t="shared" ca="1" si="19"/>
        <v>-10.186350844846038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45443</v>
      </c>
      <c r="S40" s="55">
        <f t="shared" ca="1" si="11"/>
        <v>45443</v>
      </c>
      <c r="T40" s="55">
        <f t="shared" ca="1" si="0"/>
        <v>45.950910160402643</v>
      </c>
      <c r="U40" s="55">
        <f t="shared" ca="1" si="1"/>
        <v>5.5404390039039546</v>
      </c>
      <c r="V40" s="55">
        <f t="shared" ca="1" si="2"/>
        <v>0</v>
      </c>
      <c r="W40" s="55">
        <f t="shared" ca="1" si="12"/>
        <v>-13.767785208058987</v>
      </c>
      <c r="X40" s="55">
        <f t="shared" ca="1" si="13"/>
        <v>17.90479240110059</v>
      </c>
      <c r="Y40" s="55">
        <f t="shared" ca="1" si="14"/>
        <v>-4.3081907242692825</v>
      </c>
      <c r="Z40">
        <f t="shared" ca="1" si="3"/>
        <v>120</v>
      </c>
      <c r="AA40">
        <f t="shared" ca="1" si="15"/>
        <v>51.388555942029058</v>
      </c>
      <c r="AB40">
        <f t="shared" ca="1" si="4"/>
        <v>0</v>
      </c>
      <c r="AC40">
        <f t="shared" ca="1" si="5"/>
        <v>9.4235502619654674E-2</v>
      </c>
      <c r="AD40" s="83">
        <f ca="1"/>
        <v>45584</v>
      </c>
      <c r="AE40" s="55">
        <f t="shared" ca="1" si="20"/>
        <v>45584</v>
      </c>
      <c r="AF40" s="55">
        <f t="shared" ca="1" si="21"/>
        <v>16.700516658249377</v>
      </c>
      <c r="AG40" s="55">
        <f t="shared" ca="1" si="22"/>
        <v>2.0742894579957016</v>
      </c>
      <c r="AH40" s="55">
        <f t="shared" ca="1" si="23"/>
        <v>0</v>
      </c>
      <c r="AI40" s="55">
        <f t="shared" ca="1" si="17"/>
        <v>-0.53460783227499709</v>
      </c>
      <c r="AJ40" s="55">
        <f t="shared" ca="1" si="18"/>
        <v>19.050255145513425</v>
      </c>
      <c r="AK40" s="55">
        <f t="shared" ca="1" si="19"/>
        <v>-10.429755282583114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45444</v>
      </c>
      <c r="S41" s="55">
        <f t="shared" ca="1" si="11"/>
        <v>45444</v>
      </c>
      <c r="T41" s="55">
        <f t="shared" ca="1" si="0"/>
        <v>144.51193449183023</v>
      </c>
      <c r="U41" s="55">
        <f t="shared" ca="1" si="1"/>
        <v>6.1494524621996201</v>
      </c>
      <c r="V41" s="55">
        <f t="shared" ca="1" si="2"/>
        <v>100</v>
      </c>
      <c r="W41" s="55">
        <f t="shared" ca="1" si="12"/>
        <v>-15.160545156422279</v>
      </c>
      <c r="X41" s="55">
        <f t="shared" ca="1" si="13"/>
        <v>18.573838441916916</v>
      </c>
      <c r="Y41" s="55">
        <f t="shared" ca="1" si="14"/>
        <v>-4.4144390269990836</v>
      </c>
      <c r="Z41">
        <f t="shared" ca="1" si="3"/>
        <v>120</v>
      </c>
      <c r="AA41">
        <f t="shared" ca="1" si="15"/>
        <v>53.138555942029058</v>
      </c>
      <c r="AB41">
        <f t="shared" ca="1" si="4"/>
        <v>0</v>
      </c>
      <c r="AC41">
        <f t="shared" ca="1" si="5"/>
        <v>0.12514595439148771</v>
      </c>
      <c r="AD41" s="83">
        <f ca="1"/>
        <v>45585</v>
      </c>
      <c r="AE41" s="55">
        <f t="shared" ca="1" si="20"/>
        <v>45585</v>
      </c>
      <c r="AF41" s="55">
        <f t="shared" ca="1" si="21"/>
        <v>17.201666121745493</v>
      </c>
      <c r="AG41" s="55">
        <f t="shared" ca="1" si="22"/>
        <v>2.1542222831708209</v>
      </c>
      <c r="AH41" s="55">
        <f t="shared" ca="1" si="23"/>
        <v>0</v>
      </c>
      <c r="AI41" s="55">
        <f t="shared" ca="1" si="17"/>
        <v>-0.53460783227499709</v>
      </c>
      <c r="AJ41" s="55">
        <f t="shared" ca="1" si="18"/>
        <v>19.857238296355156</v>
      </c>
      <c r="AK41" s="55">
        <f t="shared" ca="1" si="19"/>
        <v>-10.655656144753609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45445</v>
      </c>
      <c r="S42" s="55">
        <f t="shared" ca="1" si="11"/>
        <v>45445</v>
      </c>
      <c r="T42" s="55">
        <f t="shared" ca="1" si="0"/>
        <v>143.77120266614929</v>
      </c>
      <c r="U42" s="55">
        <f t="shared" ca="1" si="1"/>
        <v>6.8098496178952646</v>
      </c>
      <c r="V42" s="55">
        <f t="shared" ca="1" si="2"/>
        <v>0</v>
      </c>
      <c r="W42" s="55">
        <f t="shared" ca="1" si="12"/>
        <v>-15.801889738750408</v>
      </c>
      <c r="X42" s="55">
        <f t="shared" ca="1" si="13"/>
        <v>19.236326832440806</v>
      </c>
      <c r="Y42" s="55">
        <f t="shared" ca="1" si="14"/>
        <v>-4.5159175051801554</v>
      </c>
      <c r="Z42">
        <f t="shared" ca="1" si="3"/>
        <v>120</v>
      </c>
      <c r="AA42">
        <f t="shared" ca="1" si="15"/>
        <v>53.94855594202906</v>
      </c>
      <c r="AB42">
        <f t="shared" ca="1" si="4"/>
        <v>0</v>
      </c>
      <c r="AC42">
        <f t="shared" ca="1" si="5"/>
        <v>0.16348290447402231</v>
      </c>
      <c r="AD42" s="83">
        <f ca="1"/>
        <v>45586</v>
      </c>
      <c r="AE42" s="55">
        <f t="shared" ca="1" si="20"/>
        <v>45586</v>
      </c>
      <c r="AF42" s="55">
        <f t="shared" ca="1" si="21"/>
        <v>17.761040099302328</v>
      </c>
      <c r="AG42" s="55">
        <f t="shared" ca="1" si="22"/>
        <v>2.240183974868398</v>
      </c>
      <c r="AH42" s="55">
        <f t="shared" ca="1" si="23"/>
        <v>0</v>
      </c>
      <c r="AI42" s="55">
        <f t="shared" ca="1" si="17"/>
        <v>-0.53460783227499709</v>
      </c>
      <c r="AJ42" s="55">
        <f t="shared" ca="1" si="18"/>
        <v>20.721025251922548</v>
      </c>
      <c r="AK42" s="55">
        <f t="shared" ca="1" si="19"/>
        <v>-10.874107431066589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45446</v>
      </c>
      <c r="S43" s="55">
        <f t="shared" ca="1" si="11"/>
        <v>45446</v>
      </c>
      <c r="T43" s="55">
        <f t="shared" ca="1" si="0"/>
        <v>142.3361088156278</v>
      </c>
      <c r="U43" s="55">
        <f t="shared" ca="1" si="1"/>
        <v>7.7055766315823746</v>
      </c>
      <c r="V43" s="55">
        <f t="shared" ca="1" si="2"/>
        <v>0</v>
      </c>
      <c r="W43" s="55">
        <f t="shared" ca="1" si="12"/>
        <v>-16.969870967901262</v>
      </c>
      <c r="X43" s="55">
        <f t="shared" ca="1" si="13"/>
        <v>19.969734541556953</v>
      </c>
      <c r="Y43" s="55">
        <f t="shared" ca="1" si="14"/>
        <v>-4.620710821979813</v>
      </c>
      <c r="Z43">
        <f t="shared" ca="1" si="3"/>
        <v>120</v>
      </c>
      <c r="AA43">
        <f t="shared" ca="1" si="15"/>
        <v>55.438555942029069</v>
      </c>
      <c r="AB43">
        <f t="shared" ca="1" si="4"/>
        <v>0</v>
      </c>
      <c r="AC43">
        <f t="shared" ca="1" si="5"/>
        <v>0.22207146195424543</v>
      </c>
      <c r="AD43" s="83">
        <f ca="1"/>
        <v>45587</v>
      </c>
      <c r="AE43" s="55">
        <f t="shared" ca="1" si="20"/>
        <v>45587</v>
      </c>
      <c r="AF43" s="55">
        <f t="shared" ca="1" si="21"/>
        <v>18.296454173047184</v>
      </c>
      <c r="AG43" s="55">
        <f t="shared" ca="1" si="22"/>
        <v>2.3246126658820678</v>
      </c>
      <c r="AH43" s="55">
        <f t="shared" ca="1" si="23"/>
        <v>0</v>
      </c>
      <c r="AI43" s="55">
        <f t="shared" ca="1" si="17"/>
        <v>-0.53460783227499709</v>
      </c>
      <c r="AJ43" s="55">
        <f t="shared" ca="1" si="18"/>
        <v>21.535895764477772</v>
      </c>
      <c r="AK43" s="55">
        <f t="shared" ca="1" si="19"/>
        <v>-11.069135178863286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150</v>
      </c>
      <c r="D44" s="96">
        <f ca="1">MAX(CurrentEstablishDate,C38:C43,MAX(C29:C34)+1)</f>
        <v>45458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45447</v>
      </c>
      <c r="S44" s="55">
        <f t="shared" ca="1" si="11"/>
        <v>45447</v>
      </c>
      <c r="T44" s="55">
        <f t="shared" ca="1" si="0"/>
        <v>139.46226438476117</v>
      </c>
      <c r="U44" s="55">
        <f t="shared" ca="1" si="1"/>
        <v>8.6692676087113423</v>
      </c>
      <c r="V44" s="55">
        <f t="shared" ca="1" si="2"/>
        <v>0</v>
      </c>
      <c r="W44" s="55">
        <f t="shared" ca="1" si="12"/>
        <v>-19.496765503174142</v>
      </c>
      <c r="X44" s="55">
        <f t="shared" ca="1" si="13"/>
        <v>20.685154718138723</v>
      </c>
      <c r="Y44" s="55">
        <f t="shared" ca="1" si="14"/>
        <v>-4.7193899170263736</v>
      </c>
      <c r="Z44">
        <f t="shared" ca="1" si="3"/>
        <v>120</v>
      </c>
      <c r="AA44">
        <f t="shared" ca="1" si="15"/>
        <v>58.728555942029075</v>
      </c>
      <c r="AB44">
        <f t="shared" ca="1" si="4"/>
        <v>0</v>
      </c>
      <c r="AC44">
        <f t="shared" ca="1" si="5"/>
        <v>0.29084380200534332</v>
      </c>
      <c r="AD44" s="83">
        <f ca="1"/>
        <v>45588</v>
      </c>
      <c r="AE44" s="55">
        <f t="shared" ca="1" si="20"/>
        <v>45588</v>
      </c>
      <c r="AF44" s="55">
        <f t="shared" ca="1" si="21"/>
        <v>18.81457129580804</v>
      </c>
      <c r="AG44" s="55">
        <f t="shared" ca="1" si="22"/>
        <v>2.4124798003771764</v>
      </c>
      <c r="AH44" s="55">
        <f t="shared" ca="1" si="23"/>
        <v>0</v>
      </c>
      <c r="AI44" s="55">
        <f t="shared" ca="1" si="17"/>
        <v>-0.53460783227499709</v>
      </c>
      <c r="AJ44" s="55">
        <f t="shared" ca="1" si="18"/>
        <v>22.325164469011675</v>
      </c>
      <c r="AK44" s="55">
        <f t="shared" ca="1" si="19"/>
        <v>-11.252419626141224</v>
      </c>
    </row>
    <row r="45" spans="1:37" s="55" customFormat="1">
      <c r="R45" s="83">
        <f ca="1"/>
        <v>45448</v>
      </c>
      <c r="S45" s="55">
        <f t="shared" ca="1" si="11"/>
        <v>45448</v>
      </c>
      <c r="T45" s="55">
        <f t="shared" ca="1" si="0"/>
        <v>135.75334141364289</v>
      </c>
      <c r="U45" s="55">
        <f t="shared" ca="1" si="1"/>
        <v>9.7238098411090022</v>
      </c>
      <c r="V45" s="55">
        <f t="shared" ca="1" si="2"/>
        <v>0</v>
      </c>
      <c r="W45" s="55">
        <f t="shared" ca="1" si="12"/>
        <v>-22.763895919862474</v>
      </c>
      <c r="X45" s="55">
        <f t="shared" ca="1" si="13"/>
        <v>21.391686778093995</v>
      </c>
      <c r="Y45" s="55">
        <f t="shared" ca="1" si="14"/>
        <v>-4.8131722990139272</v>
      </c>
      <c r="Z45">
        <f t="shared" ca="1" si="3"/>
        <v>120</v>
      </c>
      <c r="AA45">
        <f t="shared" ca="1" si="15"/>
        <v>63.098555942029066</v>
      </c>
      <c r="AB45">
        <f t="shared" ca="1" si="4"/>
        <v>0</v>
      </c>
      <c r="AC45">
        <f t="shared" ca="1" si="5"/>
        <v>0.36883404789930535</v>
      </c>
      <c r="AD45" s="83">
        <f ca="1"/>
        <v>45589</v>
      </c>
      <c r="AE45" s="55">
        <f t="shared" ca="1" si="20"/>
        <v>45589</v>
      </c>
      <c r="AF45" s="55">
        <f t="shared" ca="1" si="21"/>
        <v>19.351078784427809</v>
      </c>
      <c r="AG45" s="55">
        <f t="shared" ca="1" si="22"/>
        <v>2.5080977002442797</v>
      </c>
      <c r="AH45" s="55">
        <f t="shared" ca="1" si="23"/>
        <v>0</v>
      </c>
      <c r="AI45" s="55">
        <f t="shared" ca="1" si="17"/>
        <v>-0.53460783227499709</v>
      </c>
      <c r="AJ45" s="55">
        <f t="shared" ca="1" si="18"/>
        <v>23.13568330186429</v>
      </c>
      <c r="AK45" s="55">
        <f t="shared" ca="1" si="19"/>
        <v>-11.430813070506966</v>
      </c>
    </row>
    <row r="46" spans="1:37" s="55" customFormat="1" ht="15" thickBot="1">
      <c r="C46" s="120" t="s">
        <v>154</v>
      </c>
      <c r="D46" s="120"/>
      <c r="E46" s="120"/>
      <c r="F46" s="120"/>
      <c r="G46" s="120"/>
      <c r="H46" s="120"/>
      <c r="R46" s="83">
        <f ca="1"/>
        <v>45449</v>
      </c>
      <c r="S46" s="55">
        <f t="shared" ca="1" si="11"/>
        <v>45449</v>
      </c>
      <c r="T46" s="55">
        <f t="shared" ca="1" si="0"/>
        <v>134.13645168556405</v>
      </c>
      <c r="U46" s="55">
        <f t="shared" ca="1" si="1"/>
        <v>10.879983592630319</v>
      </c>
      <c r="V46" s="55">
        <f t="shared" ca="1" si="2"/>
        <v>0</v>
      </c>
      <c r="W46" s="55">
        <f t="shared" ca="1" si="12"/>
        <v>-23.835043526800821</v>
      </c>
      <c r="X46" s="55">
        <f t="shared" ca="1" si="13"/>
        <v>22.091429634101189</v>
      </c>
      <c r="Y46" s="55">
        <f t="shared" ca="1" si="14"/>
        <v>-4.9024835246402763</v>
      </c>
      <c r="Z46">
        <f t="shared" ca="1" si="3"/>
        <v>120</v>
      </c>
      <c r="AA46">
        <f t="shared" ca="1" si="15"/>
        <v>64.548555942029068</v>
      </c>
      <c r="AB46">
        <f t="shared" ca="1" si="4"/>
        <v>0</v>
      </c>
      <c r="AC46">
        <f t="shared" ca="1" si="5"/>
        <v>0.45276063747484402</v>
      </c>
      <c r="AD46" s="83">
        <f ca="1"/>
        <v>45590</v>
      </c>
      <c r="AE46" s="55">
        <f t="shared" ca="1" si="20"/>
        <v>45590</v>
      </c>
      <c r="AF46" s="55">
        <f t="shared" ca="1" si="21"/>
        <v>19.960304556100667</v>
      </c>
      <c r="AG46" s="55">
        <f t="shared" ca="1" si="22"/>
        <v>2.6146366160159924</v>
      </c>
      <c r="AH46" s="55">
        <f t="shared" ca="1" si="23"/>
        <v>0</v>
      </c>
      <c r="AI46" s="55">
        <f t="shared" ca="1" si="17"/>
        <v>-0.53460783227499709</v>
      </c>
      <c r="AJ46" s="55">
        <f t="shared" ca="1" si="18"/>
        <v>24.027986510606809</v>
      </c>
      <c r="AK46" s="55">
        <f t="shared" ca="1" si="19"/>
        <v>-11.607351591804916</v>
      </c>
    </row>
    <row r="47" spans="1:37" s="55" customFormat="1">
      <c r="C47" s="61" t="s">
        <v>26</v>
      </c>
      <c r="D47" s="88" t="str">
        <f>IF(E47="","Fodder",E47)</f>
        <v>Fodder</v>
      </c>
      <c r="E47" s="87"/>
      <c r="F47" s="61" t="s">
        <v>134</v>
      </c>
      <c r="G47" s="88">
        <f>IF(H47="",VLOOKUP(PriorCropNameFull,CropCoefficients,23,FALSE),H47)</f>
        <v>0</v>
      </c>
      <c r="H47" s="89"/>
      <c r="R47" s="83">
        <f ca="1"/>
        <v>45450</v>
      </c>
      <c r="S47" s="55">
        <f t="shared" ca="1" si="11"/>
        <v>45450</v>
      </c>
      <c r="T47" s="55">
        <f t="shared" ca="1" si="0"/>
        <v>133.14774778767378</v>
      </c>
      <c r="U47" s="55">
        <f t="shared" ca="1" si="1"/>
        <v>11.953764437125127</v>
      </c>
      <c r="V47" s="55">
        <f t="shared" ca="1" si="2"/>
        <v>0</v>
      </c>
      <c r="W47" s="55">
        <f t="shared" ca="1" si="12"/>
        <v>-24.311673870330612</v>
      </c>
      <c r="X47" s="55">
        <f t="shared" ca="1" si="13"/>
        <v>22.73385033922915</v>
      </c>
      <c r="Y47" s="55">
        <f t="shared" ca="1" si="14"/>
        <v>-4.9831969396339053</v>
      </c>
      <c r="Z47">
        <f t="shared" ca="1" si="3"/>
        <v>120</v>
      </c>
      <c r="AA47">
        <f t="shared" ca="1" si="15"/>
        <v>65.198555942029074</v>
      </c>
      <c r="AB47">
        <f t="shared" ca="1" si="4"/>
        <v>0</v>
      </c>
      <c r="AC47">
        <f t="shared" ca="1" si="5"/>
        <v>0.5256709002336033</v>
      </c>
      <c r="AD47" s="83">
        <f ca="1"/>
        <v>45591</v>
      </c>
      <c r="AE47" s="55">
        <f t="shared" ca="1" si="20"/>
        <v>45591</v>
      </c>
      <c r="AF47" s="55">
        <f t="shared" ca="1" si="21"/>
        <v>20.628034167413436</v>
      </c>
      <c r="AG47" s="55">
        <f t="shared" ca="1" si="22"/>
        <v>2.7267142540763079</v>
      </c>
      <c r="AH47" s="55">
        <f t="shared" ca="1" si="23"/>
        <v>0</v>
      </c>
      <c r="AI47" s="55">
        <f t="shared" ca="1" si="17"/>
        <v>-0.53460783227499709</v>
      </c>
      <c r="AJ47" s="55">
        <f t="shared" ca="1" si="18"/>
        <v>24.972478087419802</v>
      </c>
      <c r="AK47" s="55">
        <f t="shared" ca="1" si="19"/>
        <v>-11.772035919244823</v>
      </c>
    </row>
    <row r="48" spans="1:37" s="55" customFormat="1">
      <c r="C48" s="61" t="s">
        <v>95</v>
      </c>
      <c r="D48" s="84" t="str">
        <f>IF(E48="","Barley",E48)</f>
        <v>Barley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45451</v>
      </c>
      <c r="S48" s="55">
        <f t="shared" ca="1" si="11"/>
        <v>45451</v>
      </c>
      <c r="T48" s="55">
        <f t="shared" ca="1" si="0"/>
        <v>132.12146332601407</v>
      </c>
      <c r="U48" s="55">
        <f t="shared" ca="1" si="1"/>
        <v>13.102483848968401</v>
      </c>
      <c r="V48" s="55">
        <f t="shared" ca="1" si="2"/>
        <v>0</v>
      </c>
      <c r="W48" s="55">
        <f t="shared" ca="1" si="12"/>
        <v>-24.74824914045135</v>
      </c>
      <c r="X48" s="55">
        <f t="shared" ca="1" si="13"/>
        <v>23.369881552940019</v>
      </c>
      <c r="Y48" s="55">
        <f t="shared" ca="1" si="14"/>
        <v>-5.0602179330405104</v>
      </c>
      <c r="Z48">
        <f t="shared" ca="1" si="3"/>
        <v>120</v>
      </c>
      <c r="AA48">
        <f t="shared" ca="1" si="15"/>
        <v>65.798555942029068</v>
      </c>
      <c r="AB48">
        <f t="shared" ca="1" si="4"/>
        <v>0</v>
      </c>
      <c r="AC48">
        <f t="shared" ca="1" si="5"/>
        <v>0.59597031912771059</v>
      </c>
      <c r="AD48" s="83">
        <f ca="1"/>
        <v>45592</v>
      </c>
      <c r="AE48" s="55">
        <f t="shared" ca="1" si="20"/>
        <v>45592</v>
      </c>
      <c r="AF48" s="55">
        <f t="shared" ca="1" si="21"/>
        <v>21.287448335795283</v>
      </c>
      <c r="AG48" s="55">
        <f t="shared" ca="1" si="22"/>
        <v>2.8395038008920275</v>
      </c>
      <c r="AH48" s="55">
        <f t="shared" ca="1" si="23"/>
        <v>0</v>
      </c>
      <c r="AI48" s="55">
        <f t="shared" ca="1" si="17"/>
        <v>-0.53460783227499709</v>
      </c>
      <c r="AJ48" s="55">
        <f t="shared" ca="1" si="18"/>
        <v>25.891805032697256</v>
      </c>
      <c r="AK48" s="55">
        <f t="shared" ca="1" si="19"/>
        <v>-11.919159149324711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45452</v>
      </c>
      <c r="S49" s="55">
        <f t="shared" ca="1" si="11"/>
        <v>45452</v>
      </c>
      <c r="T49" s="55">
        <f t="shared" ca="1" si="0"/>
        <v>128.22466440043516</v>
      </c>
      <c r="U49" s="55">
        <f t="shared" ca="1" si="1"/>
        <v>14.773697245904973</v>
      </c>
      <c r="V49" s="55">
        <f t="shared" ca="1" si="2"/>
        <v>0</v>
      </c>
      <c r="W49" s="55">
        <f t="shared" ca="1" si="12"/>
        <v>-27.622339951490673</v>
      </c>
      <c r="X49" s="55">
        <f t="shared" ca="1" si="13"/>
        <v>24.099808203933446</v>
      </c>
      <c r="Y49" s="55">
        <f t="shared" ca="1" si="14"/>
        <v>-5.1416393016369355</v>
      </c>
      <c r="Z49">
        <f t="shared" ca="1" si="3"/>
        <v>120</v>
      </c>
      <c r="AA49">
        <f t="shared" ca="1" si="15"/>
        <v>69.868555942029076</v>
      </c>
      <c r="AB49">
        <f t="shared" ca="1" si="4"/>
        <v>0</v>
      </c>
      <c r="AC49">
        <f t="shared" ca="1" si="5"/>
        <v>0.68231293152986272</v>
      </c>
      <c r="AD49" s="83">
        <f ca="1"/>
        <v>45593</v>
      </c>
      <c r="AE49" s="55">
        <f t="shared" ca="1" si="20"/>
        <v>45593</v>
      </c>
      <c r="AF49" s="55">
        <f t="shared" ca="1" si="21"/>
        <v>21.917590087760225</v>
      </c>
      <c r="AG49" s="55">
        <f t="shared" ca="1" si="22"/>
        <v>2.961624997388157</v>
      </c>
      <c r="AH49" s="55">
        <f t="shared" ca="1" si="23"/>
        <v>0</v>
      </c>
      <c r="AI49" s="55">
        <f t="shared" ca="1" si="17"/>
        <v>-0.60436814320071486</v>
      </c>
      <c r="AJ49" s="55">
        <f t="shared" ca="1" si="18"/>
        <v>26.854276347618871</v>
      </c>
      <c r="AK49" s="55">
        <f t="shared" ca="1" si="19"/>
        <v>-12.059607204859534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Barley Fodder General</v>
      </c>
      <c r="F50" s="56"/>
      <c r="R50" s="83">
        <f ca="1"/>
        <v>45453</v>
      </c>
      <c r="S50" s="55">
        <f t="shared" ca="1" si="11"/>
        <v>45453</v>
      </c>
      <c r="T50" s="55">
        <f t="shared" ca="1" si="0"/>
        <v>122.69240215149001</v>
      </c>
      <c r="U50" s="55">
        <f t="shared" ca="1" si="1"/>
        <v>16.647074763305987</v>
      </c>
      <c r="V50" s="55">
        <f t="shared" ca="1" si="2"/>
        <v>0</v>
      </c>
      <c r="W50" s="55">
        <f t="shared" ca="1" si="12"/>
        <v>-31.933288643897527</v>
      </c>
      <c r="X50" s="55">
        <f t="shared" ca="1" si="13"/>
        <v>24.829734854926873</v>
      </c>
      <c r="Y50" s="55">
        <f t="shared" ca="1" si="14"/>
        <v>-5.219501991767646</v>
      </c>
      <c r="Z50">
        <f t="shared" ca="1" si="3"/>
        <v>120</v>
      </c>
      <c r="AA50">
        <f t="shared" ca="1" si="15"/>
        <v>76.248555942029085</v>
      </c>
      <c r="AB50">
        <f t="shared" ca="1" si="4"/>
        <v>0</v>
      </c>
      <c r="AC50">
        <f t="shared" ca="1" si="5"/>
        <v>0.75770545172396464</v>
      </c>
      <c r="AD50" s="83">
        <f ca="1"/>
        <v>45594</v>
      </c>
      <c r="AE50" s="55">
        <f t="shared" ca="1" si="20"/>
        <v>45594</v>
      </c>
      <c r="AF50" s="55">
        <f t="shared" ca="1" si="21"/>
        <v>22.565710852425948</v>
      </c>
      <c r="AG50" s="55">
        <f t="shared" ca="1" si="22"/>
        <v>3.0804636581886742</v>
      </c>
      <c r="AH50" s="55">
        <f t="shared" ca="1" si="23"/>
        <v>0</v>
      </c>
      <c r="AI50" s="55">
        <f t="shared" ca="1" si="17"/>
        <v>-0.60436814320071486</v>
      </c>
      <c r="AJ50" s="55">
        <f t="shared" ca="1" si="18"/>
        <v>27.742321913153166</v>
      </c>
      <c r="AK50" s="55">
        <f t="shared" ca="1" si="19"/>
        <v>-12.180693344927588</v>
      </c>
    </row>
    <row r="51" spans="2:37" s="55" customFormat="1">
      <c r="C51" s="61" t="s">
        <v>4</v>
      </c>
      <c r="D51" s="68">
        <f ca="1">IF(E51="",CurrentEstablishDate-60,E51)</f>
        <v>45376</v>
      </c>
      <c r="E51" s="67"/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45454</v>
      </c>
      <c r="S51" s="55">
        <f t="shared" ca="1" si="11"/>
        <v>45454</v>
      </c>
      <c r="T51" s="55">
        <f t="shared" ca="1" si="0"/>
        <v>120.95688023787102</v>
      </c>
      <c r="U51" s="55">
        <f t="shared" ca="1" si="1"/>
        <v>19.100409166589902</v>
      </c>
      <c r="V51" s="55">
        <f t="shared" ca="1" si="2"/>
        <v>0</v>
      </c>
      <c r="W51" s="55">
        <f t="shared" ca="1" si="12"/>
        <v>-31.933288643897527</v>
      </c>
      <c r="X51" s="55">
        <f t="shared" ca="1" si="13"/>
        <v>25.626861264362464</v>
      </c>
      <c r="Y51" s="55">
        <f t="shared" ca="1" si="14"/>
        <v>-5.29881591153831</v>
      </c>
      <c r="Z51">
        <f t="shared" ca="1" si="3"/>
        <v>119.98260869565216</v>
      </c>
      <c r="AA51">
        <f t="shared" ca="1" si="15"/>
        <v>76.248555942029085</v>
      </c>
      <c r="AB51">
        <f t="shared" ca="1" si="4"/>
        <v>0</v>
      </c>
      <c r="AC51">
        <f t="shared" ca="1" si="5"/>
        <v>0.8285975047504982</v>
      </c>
      <c r="AD51" s="83">
        <f ca="1"/>
        <v>45595</v>
      </c>
      <c r="AE51" s="55">
        <f t="shared" ca="1" si="20"/>
        <v>45595</v>
      </c>
      <c r="AF51" s="55">
        <f t="shared" ca="1" si="21"/>
        <v>23.194048518432233</v>
      </c>
      <c r="AG51" s="55">
        <f t="shared" ca="1" si="22"/>
        <v>3.1998531936754797</v>
      </c>
      <c r="AH51" s="55">
        <f t="shared" ca="1" si="23"/>
        <v>0</v>
      </c>
      <c r="AI51" s="55">
        <f t="shared" ca="1" si="17"/>
        <v>-0.60436814320071486</v>
      </c>
      <c r="AJ51" s="55">
        <f t="shared" ca="1" si="18"/>
        <v>28.598046413820661</v>
      </c>
      <c r="AK51" s="55">
        <f t="shared" ca="1" si="19"/>
        <v>-12.288690644101992</v>
      </c>
    </row>
    <row r="52" spans="2:37" s="55" customFormat="1">
      <c r="C52" s="61" t="s">
        <v>5</v>
      </c>
      <c r="D52" s="68">
        <f ca="1">IF(E51="",CurrentEstablishDate-15,E51)</f>
        <v>45421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45455</v>
      </c>
      <c r="S52" s="55">
        <f t="shared" ca="1" si="11"/>
        <v>45455</v>
      </c>
      <c r="T52" s="55">
        <f t="shared" ca="1" si="0"/>
        <v>116.45424904630242</v>
      </c>
      <c r="U52" s="55">
        <f t="shared" ca="1" si="1"/>
        <v>21.311346236572895</v>
      </c>
      <c r="V52" s="55">
        <f t="shared" ca="1" si="2"/>
        <v>0</v>
      </c>
      <c r="W52" s="55">
        <f t="shared" ca="1" si="12"/>
        <v>-34.857818135448291</v>
      </c>
      <c r="X52" s="55">
        <f t="shared" ca="1" si="13"/>
        <v>26.328636520901522</v>
      </c>
      <c r="Y52" s="55">
        <f t="shared" ca="1" si="14"/>
        <v>-5.3677557981121957</v>
      </c>
      <c r="Z52">
        <f t="shared" ca="1" si="3"/>
        <v>120</v>
      </c>
      <c r="AA52">
        <f t="shared" ca="1" si="15"/>
        <v>80.808569775552257</v>
      </c>
      <c r="AB52">
        <f t="shared" ca="1" si="4"/>
        <v>0</v>
      </c>
      <c r="AC52">
        <f t="shared" ca="1" si="5"/>
        <v>0.87273158679177665</v>
      </c>
      <c r="AD52" s="83">
        <f ca="1"/>
        <v>45596</v>
      </c>
      <c r="AE52" s="55">
        <f t="shared" ca="1" si="20"/>
        <v>45596</v>
      </c>
      <c r="AF52" s="55">
        <f t="shared" ca="1" si="21"/>
        <v>23.818416411419456</v>
      </c>
      <c r="AG52" s="55">
        <f t="shared" ca="1" si="22"/>
        <v>3.3223984227768431</v>
      </c>
      <c r="AH52" s="55">
        <f t="shared" ca="1" si="23"/>
        <v>0</v>
      </c>
      <c r="AI52" s="55">
        <f t="shared" ca="1" si="17"/>
        <v>-0.60436814320071486</v>
      </c>
      <c r="AJ52" s="55">
        <f t="shared" ca="1" si="18"/>
        <v>29.443062622460843</v>
      </c>
      <c r="AK52" s="55">
        <f t="shared" ca="1" si="19"/>
        <v>-12.386793730653588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45456</v>
      </c>
      <c r="S53" s="55">
        <f t="shared" ca="1" si="11"/>
        <v>45456</v>
      </c>
      <c r="T53" s="55">
        <f t="shared" ca="1" si="0"/>
        <v>114.71856470795005</v>
      </c>
      <c r="U53" s="55">
        <f t="shared" ca="1" si="1"/>
        <v>23.590844359255307</v>
      </c>
      <c r="V53" s="55">
        <f t="shared" ca="1" si="2"/>
        <v>0</v>
      </c>
      <c r="W53" s="55">
        <f t="shared" ca="1" si="12"/>
        <v>-34.927314309430791</v>
      </c>
      <c r="X53" s="55">
        <f t="shared" ca="1" si="13"/>
        <v>27.006269101725231</v>
      </c>
      <c r="Y53" s="55">
        <f t="shared" ca="1" si="14"/>
        <v>-5.4320784206233705</v>
      </c>
      <c r="Z53">
        <f t="shared" ca="1" si="3"/>
        <v>120</v>
      </c>
      <c r="AA53">
        <f t="shared" ca="1" si="15"/>
        <v>80.918569775552257</v>
      </c>
      <c r="AB53">
        <f t="shared" ca="1" si="4"/>
        <v>0</v>
      </c>
      <c r="AC53">
        <f t="shared" ca="1" si="5"/>
        <v>0.90482413604051837</v>
      </c>
      <c r="AD53" s="83">
        <f ca="1"/>
        <v>45597</v>
      </c>
      <c r="AE53" s="55">
        <f t="shared" ca="1" si="20"/>
        <v>45597</v>
      </c>
      <c r="AF53" s="55">
        <f t="shared" ca="1" si="21"/>
        <v>24.470598531180219</v>
      </c>
      <c r="AG53" s="55">
        <f t="shared" ca="1" si="22"/>
        <v>3.4581871885036732</v>
      </c>
      <c r="AH53" s="55">
        <f t="shared" ca="1" si="23"/>
        <v>0</v>
      </c>
      <c r="AI53" s="55">
        <f t="shared" ca="1" si="17"/>
        <v>-0.60436814320071486</v>
      </c>
      <c r="AJ53" s="55">
        <f t="shared" ca="1" si="18"/>
        <v>30.325764231812322</v>
      </c>
      <c r="AK53" s="55">
        <f t="shared" ca="1" si="19"/>
        <v>-12.481524454517475</v>
      </c>
    </row>
    <row r="54" spans="2:37" s="54" customFormat="1">
      <c r="B54" s="55"/>
      <c r="C54" s="61" t="s">
        <v>101</v>
      </c>
      <c r="D54" s="70"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45457</v>
      </c>
      <c r="S54" s="55">
        <f t="shared" ca="1" si="11"/>
        <v>45457</v>
      </c>
      <c r="T54" s="55">
        <f t="shared" ca="1" si="0"/>
        <v>112.52255898776794</v>
      </c>
      <c r="U54" s="55">
        <f t="shared" ca="1" si="1"/>
        <v>25.537505091099078</v>
      </c>
      <c r="V54" s="55">
        <f t="shared" ca="1" si="2"/>
        <v>0</v>
      </c>
      <c r="W54" s="55">
        <f t="shared" ca="1" si="12"/>
        <v>-35.726713706761288</v>
      </c>
      <c r="X54" s="55">
        <f t="shared" ca="1" si="13"/>
        <v>27.613433406852117</v>
      </c>
      <c r="Y54" s="55">
        <f t="shared" ca="1" si="14"/>
        <v>-5.4891883167581241</v>
      </c>
      <c r="Z54">
        <f t="shared" ca="1" si="3"/>
        <v>120</v>
      </c>
      <c r="AA54">
        <f t="shared" ca="1" si="15"/>
        <v>82.208569775552263</v>
      </c>
      <c r="AB54">
        <f t="shared" ca="1" si="4"/>
        <v>0</v>
      </c>
      <c r="AC54">
        <f t="shared" ca="1" si="5"/>
        <v>0.92474595683683669</v>
      </c>
      <c r="AD54" s="83">
        <f ca="1"/>
        <v>45598</v>
      </c>
      <c r="AE54" s="55">
        <f t="shared" ca="1" si="20"/>
        <v>45598</v>
      </c>
      <c r="AF54" s="55">
        <f t="shared" ca="1" si="21"/>
        <v>25.221307323026004</v>
      </c>
      <c r="AG54" s="55">
        <f t="shared" ca="1" si="22"/>
        <v>3.6107060884665851</v>
      </c>
      <c r="AH54" s="55">
        <f t="shared" ca="1" si="23"/>
        <v>0</v>
      </c>
      <c r="AI54" s="55">
        <f t="shared" ca="1" si="17"/>
        <v>-0.60436814320071486</v>
      </c>
      <c r="AJ54" s="55">
        <f t="shared" ca="1" si="18"/>
        <v>31.320759321712703</v>
      </c>
      <c r="AK54" s="55">
        <f t="shared" ca="1" si="19"/>
        <v>-12.573291852609158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45458</v>
      </c>
      <c r="S55" s="55">
        <f t="shared" ca="1" si="11"/>
        <v>45458</v>
      </c>
      <c r="T55" s="55">
        <f t="shared" ca="1" si="0"/>
        <v>50.603154198804859</v>
      </c>
      <c r="U55" s="55">
        <f t="shared" ca="1" si="1"/>
        <v>28.228459458515058</v>
      </c>
      <c r="V55" s="55">
        <f t="shared" ca="1" si="2"/>
        <v>0</v>
      </c>
      <c r="W55" s="55">
        <f t="shared" ca="1" si="12"/>
        <v>-36.225598855565948</v>
      </c>
      <c r="X55" s="55">
        <f t="shared" ca="1" si="13"/>
        <v>28.291065987675825</v>
      </c>
      <c r="Y55" s="55">
        <f t="shared" ca="1" si="14"/>
        <v>-5.5482196689493275</v>
      </c>
      <c r="Z55">
        <f t="shared" ca="1" si="3"/>
        <v>120</v>
      </c>
      <c r="AA55">
        <f t="shared" ca="1" si="15"/>
        <v>84.038569775552276</v>
      </c>
      <c r="AB55">
        <f t="shared" ca="1" si="4"/>
        <v>0</v>
      </c>
      <c r="AC55">
        <f t="shared" ca="1" si="5"/>
        <v>0.94455560573096098</v>
      </c>
      <c r="AD55" s="83">
        <f ca="1"/>
        <v>45599</v>
      </c>
      <c r="AE55" s="55">
        <f t="shared" ca="1" si="20"/>
        <v>45599</v>
      </c>
      <c r="AF55" s="55">
        <f t="shared" ca="1" si="21"/>
        <v>25.943988918652934</v>
      </c>
      <c r="AG55" s="55">
        <f t="shared" ca="1" si="22"/>
        <v>3.7645151376026007</v>
      </c>
      <c r="AH55" s="55">
        <f t="shared" ca="1" si="23"/>
        <v>0</v>
      </c>
      <c r="AI55" s="55">
        <f t="shared" ca="1" si="17"/>
        <v>-0.60436814320071486</v>
      </c>
      <c r="AJ55" s="55">
        <f t="shared" ca="1" si="18"/>
        <v>32.276640520916814</v>
      </c>
      <c r="AK55" s="55">
        <f t="shared" ca="1" si="19"/>
        <v>-12.652682407050319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Interface'!M9,0)&amp;" kg N/ha to the current crop"</f>
        <v>Previous crop residues are providing -6 kg N/ha to the current crop</v>
      </c>
      <c r="R56" s="83">
        <f ca="1"/>
        <v>45459</v>
      </c>
      <c r="S56" s="55">
        <f t="shared" ca="1" si="11"/>
        <v>45459</v>
      </c>
      <c r="T56" s="55">
        <f t="shared" ca="1" si="0"/>
        <v>47.800714445760839</v>
      </c>
      <c r="U56" s="55">
        <f t="shared" ca="1" si="1"/>
        <v>31.234553559451044</v>
      </c>
      <c r="V56" s="55">
        <f t="shared" ca="1" si="2"/>
        <v>0</v>
      </c>
      <c r="W56" s="55">
        <f t="shared" ca="1" si="12"/>
        <v>-36.649431856985025</v>
      </c>
      <c r="X56" s="55">
        <f t="shared" ca="1" si="13"/>
        <v>28.975351066304928</v>
      </c>
      <c r="Y56" s="55">
        <f t="shared" ca="1" si="14"/>
        <v>-5.6050173982673925</v>
      </c>
      <c r="Z56">
        <f t="shared" ca="1" si="3"/>
        <v>120</v>
      </c>
      <c r="AA56">
        <f t="shared" ca="1" si="15"/>
        <v>85.648569775552275</v>
      </c>
      <c r="AB56">
        <f t="shared" ca="1" si="4"/>
        <v>0</v>
      </c>
      <c r="AC56">
        <f t="shared" ca="1" si="5"/>
        <v>0.9596271224272892</v>
      </c>
      <c r="AD56" s="83">
        <f ca="1"/>
        <v>45600</v>
      </c>
      <c r="AE56" s="55">
        <f t="shared" ca="1" si="20"/>
        <v>45600</v>
      </c>
      <c r="AF56" s="55">
        <f t="shared" ca="1" si="21"/>
        <v>26.600903212402187</v>
      </c>
      <c r="AG56" s="55">
        <f t="shared" ca="1" si="22"/>
        <v>3.9181644441932426</v>
      </c>
      <c r="AH56" s="55">
        <f t="shared" ca="1" si="23"/>
        <v>0</v>
      </c>
      <c r="AI56" s="55">
        <f t="shared" ca="1" si="17"/>
        <v>-0.60436814320071486</v>
      </c>
      <c r="AJ56" s="55">
        <f t="shared" ca="1" si="18"/>
        <v>33.155237304906009</v>
      </c>
      <c r="AK56" s="55">
        <f t="shared" ca="1" si="19"/>
        <v>-12.720715590699621</v>
      </c>
    </row>
    <row r="57" spans="2:37" s="55" customFormat="1" ht="15" thickBot="1">
      <c r="C57" s="120" t="s">
        <v>155</v>
      </c>
      <c r="D57" s="120"/>
      <c r="E57" s="120"/>
      <c r="F57" s="120"/>
      <c r="G57" s="120"/>
      <c r="H57" s="120"/>
      <c r="R57" s="83">
        <f ca="1"/>
        <v>45460</v>
      </c>
      <c r="S57" s="55">
        <f t="shared" ca="1" si="11"/>
        <v>45460</v>
      </c>
      <c r="T57" s="55">
        <f t="shared" ca="1" si="0"/>
        <v>43.937579538264202</v>
      </c>
      <c r="U57" s="55">
        <f t="shared" ca="1" si="1"/>
        <v>34.584052167856882</v>
      </c>
      <c r="V57" s="55">
        <f t="shared" ca="1" si="2"/>
        <v>0</v>
      </c>
      <c r="W57" s="55">
        <f t="shared" ca="1" si="12"/>
        <v>-37.798813466645413</v>
      </c>
      <c r="X57" s="55">
        <f t="shared" ca="1" si="13"/>
        <v>29.665658745249928</v>
      </c>
      <c r="Y57" s="55">
        <f t="shared" ca="1" si="14"/>
        <v>-5.659579766642798</v>
      </c>
      <c r="Z57">
        <f t="shared" ca="1" si="3"/>
        <v>120</v>
      </c>
      <c r="AA57">
        <f t="shared" ca="1" si="15"/>
        <v>90.398569775552275</v>
      </c>
      <c r="AB57">
        <f t="shared" ca="1" si="4"/>
        <v>0</v>
      </c>
      <c r="AC57">
        <f t="shared" ca="1" si="5"/>
        <v>0.970891105292914</v>
      </c>
      <c r="AD57" s="83">
        <f ca="1"/>
        <v>45601</v>
      </c>
      <c r="AE57" s="55">
        <f t="shared" ca="1" si="20"/>
        <v>45601</v>
      </c>
      <c r="AF57" s="55">
        <f t="shared" ca="1" si="21"/>
        <v>27.208541127043283</v>
      </c>
      <c r="AG57" s="55">
        <f t="shared" ca="1" si="22"/>
        <v>4.0758874545655495</v>
      </c>
      <c r="AH57" s="55">
        <f t="shared" ca="1" si="23"/>
        <v>0</v>
      </c>
      <c r="AI57" s="55">
        <f t="shared" ca="1" si="17"/>
        <v>-0.60436814320071486</v>
      </c>
      <c r="AJ57" s="55">
        <f t="shared" ca="1" si="18"/>
        <v>33.980185064911147</v>
      </c>
      <c r="AK57" s="55">
        <f t="shared" ca="1" si="19"/>
        <v>-12.780302425691351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45461</v>
      </c>
      <c r="S58" s="55">
        <f t="shared" ca="1" si="11"/>
        <v>45461</v>
      </c>
      <c r="T58" s="55">
        <f t="shared" ca="1" si="0"/>
        <v>114.5778090428483</v>
      </c>
      <c r="U58" s="55">
        <f t="shared" ca="1" si="1"/>
        <v>38.500138770921893</v>
      </c>
      <c r="V58" s="55">
        <f t="shared" ca="1" si="2"/>
        <v>80.792839409207119</v>
      </c>
      <c r="W58" s="55">
        <f t="shared" ca="1" si="12"/>
        <v>-44.696088660584209</v>
      </c>
      <c r="X58" s="55">
        <f t="shared" ca="1" si="13"/>
        <v>30.379706941330497</v>
      </c>
      <c r="Y58" s="55">
        <f t="shared" ca="1" si="14"/>
        <v>-5.7128760703425829</v>
      </c>
      <c r="Z58">
        <f t="shared" ca="1" si="3"/>
        <v>120</v>
      </c>
      <c r="AA58">
        <f t="shared" ca="1" si="15"/>
        <v>101.55856977555227</v>
      </c>
      <c r="AB58">
        <f t="shared" ca="1" si="4"/>
        <v>0</v>
      </c>
      <c r="AC58">
        <f t="shared" ca="1" si="5"/>
        <v>0.97953261498127753</v>
      </c>
      <c r="AD58" s="83">
        <f ca="1"/>
        <v>45602</v>
      </c>
      <c r="AE58" s="55">
        <f t="shared" ca="1" si="20"/>
        <v>45602</v>
      </c>
      <c r="AF58" s="55">
        <f t="shared" ca="1" si="21"/>
        <v>27.821028878526157</v>
      </c>
      <c r="AG58" s="55">
        <f t="shared" ca="1" si="22"/>
        <v>4.2432680131583425</v>
      </c>
      <c r="AH58" s="55">
        <f t="shared" ca="1" si="23"/>
        <v>0</v>
      </c>
      <c r="AI58" s="55">
        <f t="shared" ca="1" si="17"/>
        <v>-0.60436814320071486</v>
      </c>
      <c r="AJ58" s="55">
        <f t="shared" ca="1" si="18"/>
        <v>34.813314069320974</v>
      </c>
      <c r="AK58" s="55">
        <f t="shared" ca="1" si="19"/>
        <v>-12.833563120025515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45462</v>
      </c>
      <c r="S59" s="55">
        <f t="shared" ca="1" si="11"/>
        <v>45462</v>
      </c>
      <c r="T59" s="55">
        <f t="shared" ca="1" si="0"/>
        <v>106.19127952894419</v>
      </c>
      <c r="U59" s="55">
        <f t="shared" ca="1" si="1"/>
        <v>42.757029279683515</v>
      </c>
      <c r="V59" s="55">
        <f t="shared" ca="1" si="2"/>
        <v>0</v>
      </c>
      <c r="W59" s="55">
        <f t="shared" ca="1" si="12"/>
        <v>-49.485777068554938</v>
      </c>
      <c r="X59" s="55">
        <f t="shared" ca="1" si="13"/>
        <v>31.090332471475897</v>
      </c>
      <c r="Y59" s="55">
        <f t="shared" ca="1" si="14"/>
        <v>-5.7634521976597544</v>
      </c>
      <c r="Z59">
        <f t="shared" ca="1" si="3"/>
        <v>120</v>
      </c>
      <c r="AA59">
        <f t="shared" ca="1" si="15"/>
        <v>109.74856977555227</v>
      </c>
      <c r="AB59">
        <f t="shared" ca="1" si="4"/>
        <v>0</v>
      </c>
      <c r="AC59">
        <f t="shared" ca="1" si="5"/>
        <v>0.98560154416937262</v>
      </c>
      <c r="AD59" s="83">
        <f ca="1"/>
        <v>45603</v>
      </c>
      <c r="AE59" s="55">
        <f t="shared" ca="1" si="20"/>
        <v>45603</v>
      </c>
      <c r="AF59" s="55">
        <f t="shared" ca="1" si="21"/>
        <v>28.461328136764973</v>
      </c>
      <c r="AG59" s="55">
        <f t="shared" ca="1" si="22"/>
        <v>4.4233396942084466</v>
      </c>
      <c r="AH59" s="55">
        <f t="shared" ca="1" si="23"/>
        <v>0</v>
      </c>
      <c r="AI59" s="55">
        <f t="shared" ca="1" si="17"/>
        <v>-0.60436814320071486</v>
      </c>
      <c r="AJ59" s="55">
        <f t="shared" ca="1" si="18"/>
        <v>35.681130114139172</v>
      </c>
      <c r="AK59" s="55">
        <f t="shared" ca="1" si="19"/>
        <v>-12.881008225554792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45463</v>
      </c>
      <c r="S60" s="55">
        <f t="shared" ca="1" si="11"/>
        <v>45463</v>
      </c>
      <c r="T60" s="55">
        <f t="shared" ca="1" si="0"/>
        <v>102.10884385027524</v>
      </c>
      <c r="U60" s="55">
        <f t="shared" ca="1" si="1"/>
        <v>46.901899849321772</v>
      </c>
      <c r="V60" s="55">
        <f t="shared" ca="1" si="2"/>
        <v>0</v>
      </c>
      <c r="W60" s="55">
        <f t="shared" ca="1" si="12"/>
        <v>-50.048115628889789</v>
      </c>
      <c r="X60" s="55">
        <f t="shared" ca="1" si="13"/>
        <v>31.761353836987087</v>
      </c>
      <c r="Y60" s="55">
        <f t="shared" ca="1" si="14"/>
        <v>-5.809700111866797</v>
      </c>
      <c r="Z60">
        <f t="shared" ca="1" si="3"/>
        <v>120</v>
      </c>
      <c r="AA60">
        <f t="shared" ca="1" si="15"/>
        <v>110.74856977555227</v>
      </c>
      <c r="AB60">
        <f t="shared" ca="1" si="4"/>
        <v>0</v>
      </c>
      <c r="AC60">
        <f t="shared" ca="1" si="5"/>
        <v>0.98950647171149719</v>
      </c>
      <c r="AD60" s="83">
        <f ca="1"/>
        <v>45604</v>
      </c>
      <c r="AE60" s="55">
        <f t="shared" ca="1" si="20"/>
        <v>45604</v>
      </c>
      <c r="AF60" s="55">
        <f t="shared" ca="1" si="21"/>
        <v>29.122738723673081</v>
      </c>
      <c r="AG60" s="55">
        <f t="shared" ca="1" si="22"/>
        <v>4.6148930954488918</v>
      </c>
      <c r="AH60" s="55">
        <f t="shared" ca="1" si="23"/>
        <v>0</v>
      </c>
      <c r="AI60" s="55">
        <f t="shared" ca="1" si="17"/>
        <v>-0.60436814320071486</v>
      </c>
      <c r="AJ60" s="55">
        <f t="shared" ca="1" si="18"/>
        <v>36.575038903291627</v>
      </c>
      <c r="AK60" s="55">
        <f t="shared" ca="1" si="19"/>
        <v>-12.921953026558695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45464</v>
      </c>
      <c r="S61" s="55">
        <f t="shared" ca="1" si="11"/>
        <v>45464</v>
      </c>
      <c r="T61" s="55">
        <f t="shared" ca="1" si="0"/>
        <v>98.591045257776756</v>
      </c>
      <c r="U61" s="55">
        <f t="shared" ca="1" si="1"/>
        <v>50.406601297335108</v>
      </c>
      <c r="V61" s="55">
        <f t="shared" ca="1" si="2"/>
        <v>0</v>
      </c>
      <c r="W61" s="55">
        <f t="shared" ca="1" si="12"/>
        <v>-50.623658716278662</v>
      </c>
      <c r="X61" s="55">
        <f t="shared" ca="1" si="13"/>
        <v>32.364816207674728</v>
      </c>
      <c r="Y61" s="55">
        <f t="shared" ca="1" si="14"/>
        <v>-5.8507165396507093</v>
      </c>
      <c r="Z61">
        <f t="shared" ca="1" si="3"/>
        <v>120</v>
      </c>
      <c r="AA61">
        <f t="shared" ca="1" si="15"/>
        <v>111.80856977555226</v>
      </c>
      <c r="AB61">
        <f t="shared" ca="1" si="4"/>
        <v>0</v>
      </c>
      <c r="AC61">
        <f t="shared" ca="1" si="5"/>
        <v>0.99183145127661732</v>
      </c>
      <c r="AD61" s="83">
        <f ca="1"/>
        <v>45605</v>
      </c>
      <c r="AE61" s="55">
        <f t="shared" ca="1" si="20"/>
        <v>45605</v>
      </c>
      <c r="AF61" s="55">
        <f t="shared" ca="1" si="21"/>
        <v>29.748921398814115</v>
      </c>
      <c r="AG61" s="55">
        <f t="shared" ca="1" si="22"/>
        <v>4.8075082343699194</v>
      </c>
      <c r="AH61" s="55">
        <f t="shared" ca="1" si="23"/>
        <v>0</v>
      </c>
      <c r="AI61" s="55">
        <f t="shared" ca="1" si="17"/>
        <v>-0.60436814320071486</v>
      </c>
      <c r="AJ61" s="55">
        <f t="shared" ca="1" si="18"/>
        <v>37.426609823911512</v>
      </c>
      <c r="AK61" s="55">
        <f t="shared" ca="1" si="19"/>
        <v>-12.954726133116518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45465</v>
      </c>
      <c r="S62" s="55">
        <f t="shared" ca="1" si="11"/>
        <v>45465</v>
      </c>
      <c r="T62" s="55">
        <f t="shared" ca="1" si="0"/>
        <v>94.255743278074519</v>
      </c>
      <c r="U62" s="55">
        <f t="shared" ca="1" si="1"/>
        <v>54.172318721494968</v>
      </c>
      <c r="V62" s="55">
        <f t="shared" ca="1" si="2"/>
        <v>0</v>
      </c>
      <c r="W62" s="55">
        <f t="shared" ca="1" si="12"/>
        <v>-51.760464941728131</v>
      </c>
      <c r="X62" s="55">
        <f t="shared" ca="1" si="13"/>
        <v>32.971362512065454</v>
      </c>
      <c r="Y62" s="55">
        <f t="shared" ca="1" si="14"/>
        <v>-5.890041174134331</v>
      </c>
      <c r="Z62">
        <f t="shared" ca="1" si="3"/>
        <v>120</v>
      </c>
      <c r="AA62">
        <f t="shared" ca="1" si="15"/>
        <v>113.99856977555226</v>
      </c>
      <c r="AB62">
        <f t="shared" ca="1" si="4"/>
        <v>0</v>
      </c>
      <c r="AC62">
        <f t="shared" ca="1" si="5"/>
        <v>0.99366468529388408</v>
      </c>
      <c r="AD62" s="83">
        <f ca="1"/>
        <v>45606</v>
      </c>
      <c r="AE62" s="55">
        <f t="shared" ca="1" si="20"/>
        <v>45606</v>
      </c>
      <c r="AF62" s="55">
        <f t="shared" ca="1" si="21"/>
        <v>30.408937183515352</v>
      </c>
      <c r="AG62" s="55">
        <f t="shared" ca="1" si="22"/>
        <v>5.0114175887170704</v>
      </c>
      <c r="AH62" s="55">
        <f t="shared" ca="1" si="23"/>
        <v>0</v>
      </c>
      <c r="AI62" s="55">
        <f t="shared" ca="1" si="17"/>
        <v>-0.60436814320071486</v>
      </c>
      <c r="AJ62" s="55">
        <f t="shared" ca="1" si="18"/>
        <v>38.317332050292897</v>
      </c>
      <c r="AK62" s="55">
        <f t="shared" ca="1" si="19"/>
        <v>-12.981523220449516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45466</v>
      </c>
      <c r="S63" s="55">
        <f t="shared" ca="1" si="11"/>
        <v>45466</v>
      </c>
      <c r="T63" s="55">
        <f t="shared" ca="1" si="0"/>
        <v>88.148994744750127</v>
      </c>
      <c r="U63" s="55">
        <f t="shared" ca="1" si="1"/>
        <v>59.54254727453413</v>
      </c>
      <c r="V63" s="55">
        <f t="shared" ca="1" si="2"/>
        <v>0</v>
      </c>
      <c r="W63" s="55">
        <f t="shared" ca="1" si="12"/>
        <v>-53.148875485041096</v>
      </c>
      <c r="X63" s="55">
        <f t="shared" ca="1" si="13"/>
        <v>33.664357665975182</v>
      </c>
      <c r="Y63" s="55">
        <f t="shared" ca="1" si="14"/>
        <v>-5.9311457650163302</v>
      </c>
      <c r="Z63">
        <f t="shared" ca="1" si="3"/>
        <v>120</v>
      </c>
      <c r="AA63">
        <f t="shared" ca="1" si="15"/>
        <v>116.85856977555225</v>
      </c>
      <c r="AB63">
        <f t="shared" ca="1" si="4"/>
        <v>0</v>
      </c>
      <c r="AC63">
        <f t="shared" ca="1" si="5"/>
        <v>0.99548844446555829</v>
      </c>
      <c r="AD63" s="83">
        <f ca="1"/>
        <v>45607</v>
      </c>
      <c r="AE63" s="55">
        <f t="shared" ca="1" si="20"/>
        <v>45607</v>
      </c>
      <c r="AF63" s="55">
        <f t="shared" ca="1" si="21"/>
        <v>31.024346167522339</v>
      </c>
      <c r="AG63" s="55">
        <f t="shared" ca="1" si="22"/>
        <v>5.2106876307332302</v>
      </c>
      <c r="AH63" s="55">
        <f t="shared" ca="1" si="23"/>
        <v>0</v>
      </c>
      <c r="AI63" s="55">
        <f t="shared" ca="1" si="17"/>
        <v>-0.60436814320071486</v>
      </c>
      <c r="AJ63" s="55">
        <f t="shared" ca="1" si="18"/>
        <v>39.151584280376028</v>
      </c>
      <c r="AK63" s="55">
        <f t="shared" ca="1" si="19"/>
        <v>-13.001096424509504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45467</v>
      </c>
      <c r="S64" s="55">
        <f t="shared" ca="1" si="11"/>
        <v>45467</v>
      </c>
      <c r="T64" s="55">
        <f t="shared" ca="1" si="0"/>
        <v>82.941484739651401</v>
      </c>
      <c r="U64" s="55">
        <f t="shared" ca="1" si="1"/>
        <v>64.377570018828635</v>
      </c>
      <c r="V64" s="55">
        <f t="shared" ca="1" si="2"/>
        <v>0</v>
      </c>
      <c r="W64" s="55">
        <f t="shared" ca="1" si="12"/>
        <v>-54.121815162552309</v>
      </c>
      <c r="X64" s="55">
        <f t="shared" ca="1" si="13"/>
        <v>34.301663509164378</v>
      </c>
      <c r="Y64" s="55">
        <f t="shared" ca="1" si="14"/>
        <v>-5.9679991914985431</v>
      </c>
      <c r="Z64">
        <f t="shared" ca="1" si="3"/>
        <v>120</v>
      </c>
      <c r="AA64">
        <f t="shared" ca="1" si="15"/>
        <v>118.98856977555225</v>
      </c>
      <c r="AB64">
        <f t="shared" ca="1" si="4"/>
        <v>0</v>
      </c>
      <c r="AC64">
        <f t="shared" ca="1" si="5"/>
        <v>0.99661089212712883</v>
      </c>
      <c r="AD64" s="83">
        <f ca="1"/>
        <v>45608</v>
      </c>
      <c r="AE64" s="55">
        <f t="shared" ca="1" si="20"/>
        <v>45608</v>
      </c>
      <c r="AF64" s="55">
        <f t="shared" ca="1" si="21"/>
        <v>31.582597984931677</v>
      </c>
      <c r="AG64" s="55">
        <f t="shared" ca="1" si="22"/>
        <v>5.4094500383727686</v>
      </c>
      <c r="AH64" s="55">
        <f t="shared" ca="1" si="23"/>
        <v>0</v>
      </c>
      <c r="AI64" s="55">
        <f t="shared" ca="1" si="17"/>
        <v>-0.60436814320071486</v>
      </c>
      <c r="AJ64" s="55">
        <f t="shared" ca="1" si="18"/>
        <v>39.922494186480733</v>
      </c>
      <c r="AK64" s="55">
        <f t="shared" ca="1" si="19"/>
        <v>-13.014992105565332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45468</v>
      </c>
      <c r="S65" s="55">
        <f t="shared" ca="1" si="11"/>
        <v>45468</v>
      </c>
      <c r="T65" s="55">
        <f t="shared" ca="1" si="0"/>
        <v>78.726980246006207</v>
      </c>
      <c r="U65" s="55">
        <f t="shared" ca="1" si="1"/>
        <v>69.062868518947838</v>
      </c>
      <c r="V65" s="55">
        <f t="shared" ca="1" si="2"/>
        <v>0</v>
      </c>
      <c r="W65" s="55">
        <f t="shared" ca="1" si="12"/>
        <v>-54.230207381731596</v>
      </c>
      <c r="X65" s="55">
        <f t="shared" ca="1" si="13"/>
        <v>34.915030100876578</v>
      </c>
      <c r="Y65" s="55">
        <f t="shared" ca="1" si="14"/>
        <v>-6.002179557557465</v>
      </c>
      <c r="Z65">
        <f t="shared" ca="1" si="3"/>
        <v>120</v>
      </c>
      <c r="AA65">
        <f t="shared" ca="1" si="15"/>
        <v>119.23856977555225</v>
      </c>
      <c r="AB65">
        <f t="shared" ca="1" si="4"/>
        <v>0</v>
      </c>
      <c r="AC65">
        <f t="shared" ca="1" si="5"/>
        <v>0.99739261586570338</v>
      </c>
      <c r="AD65" s="83">
        <f ca="1"/>
        <v>45609</v>
      </c>
      <c r="AE65" s="55">
        <f t="shared" ca="1" si="20"/>
        <v>45609</v>
      </c>
      <c r="AF65" s="55">
        <f t="shared" ca="1" si="21"/>
        <v>32.116451885942169</v>
      </c>
      <c r="AG65" s="55">
        <f t="shared" ca="1" si="22"/>
        <v>5.6162651774130641</v>
      </c>
      <c r="AH65" s="55">
        <f t="shared" ca="1" si="23"/>
        <v>0</v>
      </c>
      <c r="AI65" s="55">
        <f t="shared" ca="1" si="17"/>
        <v>-0.60436814320071486</v>
      </c>
      <c r="AJ65" s="55">
        <f t="shared" ca="1" si="18"/>
        <v>40.672405429857434</v>
      </c>
      <c r="AK65" s="55">
        <f t="shared" ca="1" si="19"/>
        <v>-13.024234308891247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45469</v>
      </c>
      <c r="S66" s="55">
        <f t="shared" ca="1" si="11"/>
        <v>45469</v>
      </c>
      <c r="T66" s="55">
        <f t="shared" ca="1" si="0"/>
        <v>73.941954073240993</v>
      </c>
      <c r="U66" s="55">
        <f t="shared" ca="1" si="1"/>
        <v>73.556281283251124</v>
      </c>
      <c r="V66" s="55">
        <f t="shared" ca="1" si="2"/>
        <v>0</v>
      </c>
      <c r="W66" s="55">
        <f t="shared" ca="1" si="12"/>
        <v>-55.08128998933983</v>
      </c>
      <c r="X66" s="55">
        <f t="shared" ca="1" si="13"/>
        <v>35.506257734157849</v>
      </c>
      <c r="Y66" s="55">
        <f t="shared" ca="1" si="14"/>
        <v>-6.0339379916924258</v>
      </c>
      <c r="Z66">
        <f t="shared" ca="1" si="3"/>
        <v>120</v>
      </c>
      <c r="AA66">
        <f t="shared" ca="1" si="15"/>
        <v>121.32856977555225</v>
      </c>
      <c r="AB66">
        <f t="shared" ca="1" si="4"/>
        <v>0</v>
      </c>
      <c r="AC66">
        <f t="shared" ca="1" si="5"/>
        <v>0.99794797721052186</v>
      </c>
      <c r="AD66" s="83">
        <f ca="1"/>
        <v>45610</v>
      </c>
      <c r="AE66" s="55">
        <f t="shared" ca="1" si="20"/>
        <v>45610</v>
      </c>
      <c r="AF66" s="55">
        <f t="shared" ca="1" si="21"/>
        <v>32.677962936517844</v>
      </c>
      <c r="AG66" s="55">
        <f t="shared" ca="1" si="22"/>
        <v>5.8458864249495308</v>
      </c>
      <c r="AH66" s="55">
        <f t="shared" ca="1" si="23"/>
        <v>0</v>
      </c>
      <c r="AI66" s="55">
        <f t="shared" ca="1" si="17"/>
        <v>-0.60436814320071486</v>
      </c>
      <c r="AJ66" s="55">
        <f t="shared" ca="1" si="18"/>
        <v>41.468461458195335</v>
      </c>
      <c r="AK66" s="55">
        <f t="shared" ca="1" si="19"/>
        <v>-13.029158039117013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Interface'!L9,0)&amp;" kg N/ha"</f>
        <v>Following crop will take up 152 kg N/ha</v>
      </c>
      <c r="R67" s="83">
        <f ca="1"/>
        <v>45470</v>
      </c>
      <c r="S67" s="55">
        <f t="shared" ca="1" si="11"/>
        <v>45470</v>
      </c>
      <c r="T67" s="55">
        <f t="shared" ca="1" si="0"/>
        <v>69.717862821559919</v>
      </c>
      <c r="U67" s="55">
        <f t="shared" ca="1" si="1"/>
        <v>78.345473953785415</v>
      </c>
      <c r="V67" s="55">
        <f t="shared" ca="1" si="2"/>
        <v>0</v>
      </c>
      <c r="W67" s="55">
        <f t="shared" ca="1" si="12"/>
        <v>-55.08128998933983</v>
      </c>
      <c r="X67" s="55">
        <f t="shared" ca="1" si="13"/>
        <v>36.101749165394729</v>
      </c>
      <c r="Y67" s="55">
        <f t="shared" ca="1" si="14"/>
        <v>-6.0643280040760814</v>
      </c>
      <c r="Z67">
        <f t="shared" ca="1" si="3"/>
        <v>119.93043478260869</v>
      </c>
      <c r="AA67">
        <f t="shared" ca="1" si="15"/>
        <v>121.32856977555225</v>
      </c>
      <c r="AB67">
        <f t="shared" ca="1" si="4"/>
        <v>0</v>
      </c>
      <c r="AC67">
        <f t="shared" ca="1" si="5"/>
        <v>0.99839241106282373</v>
      </c>
      <c r="AD67" s="83">
        <f ca="1"/>
        <v>45611</v>
      </c>
      <c r="AE67" s="55">
        <f t="shared" ca="1" si="20"/>
        <v>45611</v>
      </c>
      <c r="AF67" s="55">
        <f t="shared" ca="1" si="21"/>
        <v>33.34265237524059</v>
      </c>
      <c r="AG67" s="55">
        <f t="shared" ca="1" si="22"/>
        <v>6.1080017153305244</v>
      </c>
      <c r="AH67" s="55">
        <f t="shared" ca="1" si="23"/>
        <v>0</v>
      </c>
      <c r="AI67" s="55">
        <f t="shared" ca="1" si="17"/>
        <v>-0.60436814320071486</v>
      </c>
      <c r="AJ67" s="55">
        <f t="shared" ca="1" si="18"/>
        <v>42.395181908843377</v>
      </c>
      <c r="AK67" s="55">
        <f t="shared" ca="1" si="19"/>
        <v>-13.02907376066131</v>
      </c>
    </row>
    <row r="68" spans="2:37" ht="15" thickBot="1">
      <c r="C68" s="122" t="s">
        <v>186</v>
      </c>
      <c r="D68" s="122"/>
      <c r="E68" s="122"/>
      <c r="F68" s="122"/>
      <c r="G68" s="122"/>
      <c r="H68" s="122"/>
      <c r="R68" s="83">
        <f ca="1"/>
        <v>45471</v>
      </c>
      <c r="S68" s="55">
        <f t="shared" ca="1" si="11"/>
        <v>45471</v>
      </c>
      <c r="T68" s="55">
        <f t="shared" ca="1" si="0"/>
        <v>65.157029122762481</v>
      </c>
      <c r="U68" s="55">
        <f t="shared" ca="1" si="1"/>
        <v>83.174581693086338</v>
      </c>
      <c r="V68" s="55">
        <f t="shared" ca="1" si="2"/>
        <v>0</v>
      </c>
      <c r="W68" s="55">
        <f t="shared" ca="1" si="12"/>
        <v>-55.371947243157656</v>
      </c>
      <c r="X68" s="55">
        <f t="shared" ca="1" si="13"/>
        <v>36.689337825264822</v>
      </c>
      <c r="Y68" s="55">
        <f t="shared" ca="1" si="14"/>
        <v>-6.0929853696248664</v>
      </c>
      <c r="Z68">
        <f t="shared" ca="1" si="3"/>
        <v>120</v>
      </c>
      <c r="AA68">
        <f t="shared" ca="1" si="15"/>
        <v>122.13857046011077</v>
      </c>
      <c r="AB68">
        <f t="shared" ca="1" si="4"/>
        <v>0</v>
      </c>
      <c r="AC68">
        <f t="shared" ca="1" si="5"/>
        <v>0.99873025434691354</v>
      </c>
      <c r="AD68" s="83">
        <f ca="1"/>
        <v>45612</v>
      </c>
      <c r="AE68" s="55">
        <f t="shared" ca="1" si="20"/>
        <v>45612</v>
      </c>
      <c r="AF68" s="55">
        <f t="shared" ca="1" si="21"/>
        <v>34.062032052324298</v>
      </c>
      <c r="AG68" s="55">
        <f t="shared" ca="1" si="22"/>
        <v>6.3853086251902846</v>
      </c>
      <c r="AH68" s="55">
        <f t="shared" ca="1" si="23"/>
        <v>0</v>
      </c>
      <c r="AI68" s="55">
        <f t="shared" ca="1" si="17"/>
        <v>-0.60436814320071486</v>
      </c>
      <c r="AJ68" s="55">
        <f t="shared" ca="1" si="18"/>
        <v>43.386274328108385</v>
      </c>
      <c r="AK68" s="55">
        <f t="shared" ca="1" si="19"/>
        <v>-13.023479592982854</v>
      </c>
    </row>
    <row r="69" spans="2:37">
      <c r="C69" s="61"/>
      <c r="D69" s="88"/>
      <c r="E69" s="99"/>
      <c r="R69" s="83">
        <f ca="1"/>
        <v>45472</v>
      </c>
      <c r="S69" s="55">
        <f t="shared" ca="1" si="11"/>
        <v>45472</v>
      </c>
      <c r="T69" s="55">
        <f t="shared" ca="1" si="0"/>
        <v>60.348717740664988</v>
      </c>
      <c r="U69" s="55">
        <f t="shared" ca="1" si="1"/>
        <v>87.951110907396767</v>
      </c>
      <c r="V69" s="55">
        <f t="shared" ca="1" si="2"/>
        <v>0</v>
      </c>
      <c r="W69" s="55">
        <f t="shared" ca="1" si="12"/>
        <v>-55.953568943122036</v>
      </c>
      <c r="X69" s="55">
        <f t="shared" ca="1" si="13"/>
        <v>37.266096398699268</v>
      </c>
      <c r="Y69" s="55">
        <f t="shared" ca="1" si="14"/>
        <v>-6.1199044108819978</v>
      </c>
      <c r="Z69">
        <f t="shared" ca="1" si="3"/>
        <v>120</v>
      </c>
      <c r="AA69">
        <f t="shared" ca="1" si="15"/>
        <v>123.88857046011077</v>
      </c>
      <c r="AB69">
        <f t="shared" ca="1" si="4"/>
        <v>0</v>
      </c>
      <c r="AC69">
        <f t="shared" ca="1" si="5"/>
        <v>0.99898561993273927</v>
      </c>
      <c r="AD69" s="83">
        <f ca="1"/>
        <v>45613</v>
      </c>
      <c r="AE69" s="55">
        <f t="shared" ca="1" si="20"/>
        <v>45613</v>
      </c>
      <c r="AF69" s="55">
        <f t="shared" ca="1" si="21"/>
        <v>34.796221116278218</v>
      </c>
      <c r="AG69" s="55">
        <f t="shared" ca="1" si="22"/>
        <v>6.6649277821964681</v>
      </c>
      <c r="AH69" s="55">
        <f t="shared" ca="1" si="23"/>
        <v>0</v>
      </c>
      <c r="AI69" s="55">
        <f t="shared" ca="1" si="17"/>
        <v>-0.60436814320071486</v>
      </c>
      <c r="AJ69" s="55">
        <f t="shared" ca="1" si="18"/>
        <v>44.389715127144214</v>
      </c>
      <c r="AK69" s="55">
        <f t="shared" ca="1" si="19"/>
        <v>-13.013112171058586</v>
      </c>
    </row>
    <row r="70" spans="2:37">
      <c r="C70" s="61"/>
      <c r="D70" s="84"/>
      <c r="E70" s="69"/>
      <c r="R70" s="83">
        <f ca="1"/>
        <v>45473</v>
      </c>
      <c r="S70" s="55">
        <f t="shared" ca="1" si="11"/>
        <v>45473</v>
      </c>
      <c r="T70" s="55">
        <f t="shared" ca="1" si="0"/>
        <v>55.151809833042215</v>
      </c>
      <c r="U70" s="55">
        <f t="shared" ca="1" si="1"/>
        <v>93.315267863128753</v>
      </c>
      <c r="V70" s="55">
        <f t="shared" ca="1" si="2"/>
        <v>0</v>
      </c>
      <c r="W70" s="55">
        <f t="shared" ca="1" si="12"/>
        <v>-56.354498621560502</v>
      </c>
      <c r="X70" s="55">
        <f t="shared" ca="1" si="13"/>
        <v>37.860367586321033</v>
      </c>
      <c r="Y70" s="55">
        <f t="shared" ca="1" si="14"/>
        <v>-6.1459968719560845</v>
      </c>
      <c r="Z70">
        <f t="shared" ca="1" si="3"/>
        <v>120</v>
      </c>
      <c r="AA70">
        <f t="shared" ca="1" si="15"/>
        <v>125.20857046011078</v>
      </c>
      <c r="AB70">
        <f t="shared" ca="1" si="4"/>
        <v>0</v>
      </c>
      <c r="AC70">
        <f t="shared" ca="1" si="5"/>
        <v>0.99920448489079294</v>
      </c>
      <c r="AD70" s="83">
        <f ca="1"/>
        <v>45614</v>
      </c>
      <c r="AE70" s="55">
        <f t="shared" ca="1" si="20"/>
        <v>45614</v>
      </c>
      <c r="AF70" s="55">
        <f t="shared" ca="1" si="21"/>
        <v>35.448083753347262</v>
      </c>
      <c r="AG70" s="55">
        <f t="shared" ca="1" si="22"/>
        <v>6.9458991947192317</v>
      </c>
      <c r="AH70" s="55">
        <f t="shared" ca="1" si="23"/>
        <v>0</v>
      </c>
      <c r="AI70" s="55">
        <f t="shared" ca="1" si="17"/>
        <v>-0.60436814320071486</v>
      </c>
      <c r="AJ70" s="55">
        <f t="shared" ca="1" si="18"/>
        <v>45.308179924569444</v>
      </c>
      <c r="AK70" s="55">
        <f t="shared" ca="1" si="19"/>
        <v>-12.998742918892011</v>
      </c>
    </row>
    <row r="71" spans="2:37">
      <c r="C71" s="61"/>
      <c r="D71" s="84"/>
      <c r="E71" s="69"/>
      <c r="R71" s="83">
        <f ca="1"/>
        <v>45474</v>
      </c>
      <c r="S71" s="55">
        <f t="shared" ca="1" si="11"/>
        <v>45474</v>
      </c>
      <c r="T71" s="55">
        <f t="shared" ca="1" si="0"/>
        <v>50.997640488592033</v>
      </c>
      <c r="U71" s="55">
        <f t="shared" ca="1" si="1"/>
        <v>98.004652191625269</v>
      </c>
      <c r="V71" s="55">
        <f t="shared" ca="1" si="2"/>
        <v>0</v>
      </c>
      <c r="W71" s="55">
        <f t="shared" ca="1" si="12"/>
        <v>-56.354498621560502</v>
      </c>
      <c r="X71" s="55">
        <f t="shared" ca="1" si="13"/>
        <v>38.419364408351818</v>
      </c>
      <c r="Y71" s="55">
        <f t="shared" ca="1" si="14"/>
        <v>-6.1697787099405339</v>
      </c>
      <c r="Z71">
        <f t="shared" ca="1" si="3"/>
        <v>119.68695652173912</v>
      </c>
      <c r="AA71">
        <f t="shared" ca="1" si="15"/>
        <v>125.20857046011078</v>
      </c>
      <c r="AB71">
        <f t="shared" ca="1" si="4"/>
        <v>0</v>
      </c>
      <c r="AC71">
        <f t="shared" ca="1" si="5"/>
        <v>0.9993522871291447</v>
      </c>
      <c r="AD71" s="83">
        <f ca="1"/>
        <v>45615</v>
      </c>
      <c r="AE71" s="55">
        <f t="shared" ca="1" si="20"/>
        <v>45615</v>
      </c>
      <c r="AF71" s="55">
        <f t="shared" ca="1" si="21"/>
        <v>36.091131882902296</v>
      </c>
      <c r="AG71" s="55">
        <f t="shared" ca="1" si="22"/>
        <v>7.2421660944548352</v>
      </c>
      <c r="AH71" s="55">
        <f t="shared" ca="1" si="23"/>
        <v>0</v>
      </c>
      <c r="AI71" s="55">
        <f t="shared" ca="1" si="17"/>
        <v>-0.60436814320071486</v>
      </c>
      <c r="AJ71" s="55">
        <f t="shared" ca="1" si="18"/>
        <v>46.228827662706813</v>
      </c>
      <c r="AK71" s="55">
        <f t="shared" ca="1" si="19"/>
        <v>-12.980075627738737</v>
      </c>
    </row>
    <row r="72" spans="2:37">
      <c r="C72" s="61"/>
      <c r="D72" s="84">
        <v>120</v>
      </c>
      <c r="E72" s="69">
        <v>120</v>
      </c>
      <c r="R72" s="83">
        <f ca="1"/>
        <v>45475</v>
      </c>
      <c r="S72" s="55">
        <f t="shared" ca="1" si="11"/>
        <v>45475</v>
      </c>
      <c r="T72" s="55">
        <f t="shared" ca="1" si="0"/>
        <v>124.58723152987905</v>
      </c>
      <c r="U72" s="55">
        <f t="shared" ca="1" si="1"/>
        <v>103.74053176917297</v>
      </c>
      <c r="V72" s="55">
        <f t="shared" ca="1" si="2"/>
        <v>80.460864549997893</v>
      </c>
      <c r="W72" s="55">
        <f t="shared" ca="1" si="12"/>
        <v>-58.061260691434576</v>
      </c>
      <c r="X72" s="55">
        <f t="shared" ca="1" si="13"/>
        <v>39.014245516139269</v>
      </c>
      <c r="Y72" s="55">
        <f t="shared" ca="1" si="14"/>
        <v>-6.193291679017074</v>
      </c>
      <c r="Z72">
        <f t="shared" ca="1" si="3"/>
        <v>120</v>
      </c>
      <c r="AA72">
        <f t="shared" ca="1" si="15"/>
        <v>127.70857163861965</v>
      </c>
      <c r="AB72">
        <f t="shared" ca="1" si="4"/>
        <v>0</v>
      </c>
      <c r="AC72">
        <f t="shared" ca="1" si="5"/>
        <v>0.99949240254292182</v>
      </c>
      <c r="AD72" s="83">
        <f ca="1"/>
        <v>45616</v>
      </c>
      <c r="AE72" s="55">
        <f t="shared" ca="1" si="20"/>
        <v>45616</v>
      </c>
      <c r="AF72" s="55">
        <f t="shared" ca="1" si="21"/>
        <v>36.703573186229278</v>
      </c>
      <c r="AG72" s="55">
        <f t="shared" ca="1" si="22"/>
        <v>7.5524052326557651</v>
      </c>
      <c r="AH72" s="55">
        <f t="shared" ca="1" si="23"/>
        <v>0</v>
      </c>
      <c r="AI72" s="55">
        <f t="shared" ca="1" si="17"/>
        <v>-0.60436814320071486</v>
      </c>
      <c r="AJ72" s="55">
        <f t="shared" ca="1" si="18"/>
        <v>47.128798392379991</v>
      </c>
      <c r="AK72" s="55">
        <f t="shared" ca="1" si="19"/>
        <v>-12.957365915884003</v>
      </c>
    </row>
    <row r="73" spans="2:37">
      <c r="R73" s="83">
        <f ca="1"/>
        <v>45476</v>
      </c>
      <c r="S73" s="55">
        <f t="shared" ca="1" si="11"/>
        <v>45476</v>
      </c>
      <c r="T73" s="55">
        <f t="shared" ca="1" si="0"/>
        <v>119.58974914342055</v>
      </c>
      <c r="U73" s="55">
        <f t="shared" ca="1" si="1"/>
        <v>109.29706339749656</v>
      </c>
      <c r="V73" s="55">
        <f t="shared" ca="1" si="2"/>
        <v>0</v>
      </c>
      <c r="W73" s="55">
        <f t="shared" ca="1" si="12"/>
        <v>-58.061260691434576</v>
      </c>
      <c r="X73" s="55">
        <f t="shared" ca="1" si="13"/>
        <v>39.595200330092062</v>
      </c>
      <c r="Y73" s="55">
        <f t="shared" ca="1" si="14"/>
        <v>-6.2151972511047884</v>
      </c>
      <c r="Z73">
        <f t="shared" ca="1" si="3"/>
        <v>119.75652173913043</v>
      </c>
      <c r="AA73">
        <f t="shared" ca="1" si="15"/>
        <v>127.70857163861965</v>
      </c>
      <c r="AB73">
        <f t="shared" ca="1" si="4"/>
        <v>0</v>
      </c>
      <c r="AC73">
        <f t="shared" ca="1" si="5"/>
        <v>0.99959635312235151</v>
      </c>
      <c r="AD73" s="83">
        <f ca="1"/>
        <v>45617</v>
      </c>
      <c r="AE73" s="55">
        <f t="shared" ca="1" si="20"/>
        <v>45617</v>
      </c>
      <c r="AF73" s="55">
        <f t="shared" ca="1" si="21"/>
        <v>37.282830146903947</v>
      </c>
      <c r="AG73" s="55">
        <f t="shared" ca="1" si="22"/>
        <v>7.8775317254896002</v>
      </c>
      <c r="AH73" s="55">
        <f t="shared" ca="1" si="23"/>
        <v>0</v>
      </c>
      <c r="AI73" s="55">
        <f t="shared" ca="1" si="17"/>
        <v>-0.60436814320071486</v>
      </c>
      <c r="AJ73" s="55">
        <f t="shared" ca="1" si="18"/>
        <v>48.006576741848306</v>
      </c>
      <c r="AK73" s="55">
        <f t="shared" ca="1" si="19"/>
        <v>-12.930760811843813</v>
      </c>
    </row>
    <row r="74" spans="2:37">
      <c r="R74" s="83">
        <f ca="1"/>
        <v>45477</v>
      </c>
      <c r="S74" s="55">
        <f t="shared" ca="1" si="11"/>
        <v>45477</v>
      </c>
      <c r="T74" s="55">
        <f t="shared" ca="1" si="0"/>
        <v>113.2041457179632</v>
      </c>
      <c r="U74" s="55">
        <f t="shared" ca="1" si="1"/>
        <v>116.29111823242181</v>
      </c>
      <c r="V74" s="55">
        <f t="shared" ca="1" si="2"/>
        <v>0</v>
      </c>
      <c r="W74" s="55">
        <f t="shared" ca="1" si="12"/>
        <v>-58.061260691434576</v>
      </c>
      <c r="X74" s="55">
        <f t="shared" ca="1" si="13"/>
        <v>40.225515913920106</v>
      </c>
      <c r="Y74" s="55">
        <f t="shared" ca="1" si="14"/>
        <v>-6.237061425464935</v>
      </c>
      <c r="Z74">
        <f t="shared" ca="1" si="3"/>
        <v>118.24347930496248</v>
      </c>
      <c r="AA74">
        <f t="shared" ca="1" si="15"/>
        <v>127.70857163861965</v>
      </c>
      <c r="AB74">
        <f t="shared" ca="1" si="4"/>
        <v>0</v>
      </c>
      <c r="AC74">
        <f t="shared" ca="1" si="5"/>
        <v>0.9996949603326688</v>
      </c>
      <c r="AD74" s="83">
        <f ca="1"/>
        <v>45618</v>
      </c>
      <c r="AE74" s="55">
        <f t="shared" ca="1" si="20"/>
        <v>45618</v>
      </c>
      <c r="AF74" s="55">
        <f t="shared" ca="1" si="21"/>
        <v>37.827659530112108</v>
      </c>
      <c r="AG74" s="55">
        <f t="shared" ca="1" si="22"/>
        <v>8.2301471773085488</v>
      </c>
      <c r="AH74" s="55">
        <f t="shared" ca="1" si="23"/>
        <v>0</v>
      </c>
      <c r="AI74" s="55">
        <f t="shared" ca="1" si="17"/>
        <v>-0.60436814320071486</v>
      </c>
      <c r="AJ74" s="55">
        <f t="shared" ca="1" si="18"/>
        <v>48.872566998098677</v>
      </c>
      <c r="AK74" s="55">
        <f t="shared" ca="1" si="19"/>
        <v>-12.899306233067074</v>
      </c>
    </row>
    <row r="75" spans="2:37">
      <c r="R75" s="83">
        <f ca="1"/>
        <v>45478</v>
      </c>
      <c r="S75" s="55">
        <f t="shared" ca="1" si="11"/>
        <v>45478</v>
      </c>
      <c r="T75" s="55">
        <f t="shared" ca="1" si="0"/>
        <v>106.87443908253974</v>
      </c>
      <c r="U75" s="55">
        <f t="shared" ca="1" si="1"/>
        <v>123.02502366267508</v>
      </c>
      <c r="V75" s="55">
        <f t="shared" ca="1" si="2"/>
        <v>0</v>
      </c>
      <c r="W75" s="55">
        <f t="shared" ca="1" si="12"/>
        <v>-58.249609600834127</v>
      </c>
      <c r="X75" s="55">
        <f t="shared" ca="1" si="13"/>
        <v>40.838260452975362</v>
      </c>
      <c r="Y75" s="55">
        <f t="shared" ca="1" si="14"/>
        <v>-6.2572582602908327</v>
      </c>
      <c r="Z75">
        <f t="shared" ca="1" si="3"/>
        <v>120</v>
      </c>
      <c r="AA75">
        <f t="shared" ca="1" si="15"/>
        <v>128.02857515864139</v>
      </c>
      <c r="AB75">
        <f t="shared" ca="1" si="4"/>
        <v>0</v>
      </c>
      <c r="AC75">
        <f t="shared" ca="1" si="5"/>
        <v>0.99976533811098134</v>
      </c>
      <c r="AD75" s="83">
        <f ca="1"/>
        <v>45619</v>
      </c>
      <c r="AE75" s="55">
        <f t="shared" ca="1" si="20"/>
        <v>45619</v>
      </c>
      <c r="AF75" s="55">
        <f t="shared" ca="1" si="21"/>
        <v>38.343182968603784</v>
      </c>
      <c r="AG75" s="55">
        <f t="shared" ca="1" si="22"/>
        <v>8.5981593046327944</v>
      </c>
      <c r="AH75" s="55">
        <f t="shared" ca="1" si="23"/>
        <v>0</v>
      </c>
      <c r="AI75" s="55">
        <f t="shared" ca="1" si="17"/>
        <v>-0.60436814320071486</v>
      </c>
      <c r="AJ75" s="55">
        <f t="shared" ca="1" si="18"/>
        <v>49.721027819386265</v>
      </c>
      <c r="AK75" s="55">
        <f t="shared" ca="1" si="19"/>
        <v>-12.86423148853874</v>
      </c>
    </row>
    <row r="76" spans="2:37">
      <c r="R76" s="83">
        <f ca="1"/>
        <v>45479</v>
      </c>
      <c r="S76" s="55">
        <f t="shared" ca="1" si="11"/>
        <v>45479</v>
      </c>
      <c r="T76" s="55">
        <f t="shared" ca="1" si="0"/>
        <v>97.671997908761554</v>
      </c>
      <c r="U76" s="55">
        <f t="shared" ca="1" si="1"/>
        <v>130.83216094150643</v>
      </c>
      <c r="V76" s="55">
        <f t="shared" ca="1" si="2"/>
        <v>0</v>
      </c>
      <c r="W76" s="55">
        <f t="shared" ca="1" si="12"/>
        <v>-60.272127725646286</v>
      </c>
      <c r="X76" s="55">
        <f t="shared" ca="1" si="13"/>
        <v>41.485178135458206</v>
      </c>
      <c r="Y76" s="55">
        <f t="shared" ca="1" si="14"/>
        <v>-6.2769617129083599</v>
      </c>
      <c r="Z76">
        <f t="shared" ca="1" si="3"/>
        <v>120</v>
      </c>
      <c r="AA76">
        <f t="shared" ca="1" si="15"/>
        <v>131.78857515864138</v>
      </c>
      <c r="AB76">
        <f t="shared" ca="1" si="4"/>
        <v>0</v>
      </c>
      <c r="AC76">
        <f t="shared" ca="1" si="5"/>
        <v>0.99982558254247622</v>
      </c>
      <c r="AD76" s="83">
        <f ca="1"/>
        <v>45620</v>
      </c>
      <c r="AE76" s="55">
        <f t="shared" ca="1" si="20"/>
        <v>45620</v>
      </c>
      <c r="AF76" s="55">
        <f t="shared" ca="1" si="21"/>
        <v>38.876843315212383</v>
      </c>
      <c r="AG76" s="55">
        <f t="shared" ca="1" si="22"/>
        <v>9.0064519494429174</v>
      </c>
      <c r="AH76" s="55">
        <f t="shared" ca="1" si="23"/>
        <v>0</v>
      </c>
      <c r="AI76" s="55">
        <f t="shared" ca="1" si="17"/>
        <v>-0.60436814320071486</v>
      </c>
      <c r="AJ76" s="55">
        <f t="shared" ca="1" si="18"/>
        <v>50.621863837957598</v>
      </c>
      <c r="AK76" s="55">
        <f t="shared" ca="1" si="19"/>
        <v>-12.82311451569135</v>
      </c>
    </row>
    <row r="77" spans="2:37">
      <c r="R77" s="83">
        <f ca="1"/>
        <v>45480</v>
      </c>
      <c r="S77" s="55">
        <f t="shared" ca="1" si="11"/>
        <v>45480</v>
      </c>
      <c r="T77" s="55">
        <f t="shared" ca="1" si="0"/>
        <v>90.855281660165105</v>
      </c>
      <c r="U77" s="55">
        <f t="shared" ca="1" si="1"/>
        <v>136.86255028392932</v>
      </c>
      <c r="V77" s="55">
        <f t="shared" ca="1" si="2"/>
        <v>0</v>
      </c>
      <c r="W77" s="55">
        <f t="shared" ca="1" si="12"/>
        <v>-61.618102637429196</v>
      </c>
      <c r="X77" s="55">
        <f t="shared" ca="1" si="13"/>
        <v>42.061936708892652</v>
      </c>
      <c r="Y77" s="55">
        <f t="shared" ca="1" si="14"/>
        <v>-6.294072280733463</v>
      </c>
      <c r="Z77">
        <f t="shared" ca="1" si="3"/>
        <v>120</v>
      </c>
      <c r="AA77">
        <f t="shared" ca="1" si="15"/>
        <v>134.47857515864138</v>
      </c>
      <c r="AB77">
        <f t="shared" ca="1" si="4"/>
        <v>0</v>
      </c>
      <c r="AC77">
        <f t="shared" ca="1" si="5"/>
        <v>0.9998606913310405</v>
      </c>
      <c r="AD77" s="83">
        <f ca="1"/>
        <v>45621</v>
      </c>
      <c r="AE77" s="55">
        <f t="shared" ca="1" si="20"/>
        <v>45621</v>
      </c>
      <c r="AF77" s="55">
        <f t="shared" ca="1" si="21"/>
        <v>39.455360691681406</v>
      </c>
      <c r="AG77" s="55">
        <f t="shared" ca="1" si="22"/>
        <v>9.4371322365271357</v>
      </c>
      <c r="AH77" s="55">
        <f t="shared" ca="1" si="23"/>
        <v>0</v>
      </c>
      <c r="AI77" s="55">
        <f t="shared" ca="1" si="17"/>
        <v>-0.60436814320071486</v>
      </c>
      <c r="AJ77" s="55">
        <f t="shared" ca="1" si="18"/>
        <v>51.585927200573622</v>
      </c>
      <c r="AK77" s="55">
        <f t="shared" ca="1" si="19"/>
        <v>-12.777980214754132</v>
      </c>
    </row>
    <row r="78" spans="2:37">
      <c r="R78" s="83">
        <f ca="1"/>
        <v>45481</v>
      </c>
      <c r="S78" s="55">
        <f t="shared" ca="1" si="11"/>
        <v>45481</v>
      </c>
      <c r="T78" s="55">
        <f t="shared" ca="1" si="0"/>
        <v>84.395315474368658</v>
      </c>
      <c r="U78" s="55">
        <f t="shared" ca="1" si="1"/>
        <v>142.33259040855839</v>
      </c>
      <c r="V78" s="55">
        <f t="shared" ca="1" si="2"/>
        <v>0</v>
      </c>
      <c r="W78" s="55">
        <f t="shared" ca="1" si="12"/>
        <v>-63.147247904183629</v>
      </c>
      <c r="X78" s="55">
        <f t="shared" ca="1" si="13"/>
        <v>42.616840796810223</v>
      </c>
      <c r="Y78" s="55">
        <f t="shared" ca="1" si="14"/>
        <v>-6.3097571630639635</v>
      </c>
      <c r="Z78">
        <f t="shared" ca="1" si="3"/>
        <v>120</v>
      </c>
      <c r="AA78">
        <f t="shared" ca="1" si="15"/>
        <v>137.7685751586414</v>
      </c>
      <c r="AB78">
        <f t="shared" ca="1" si="4"/>
        <v>0</v>
      </c>
      <c r="AC78">
        <f t="shared" ca="1" si="5"/>
        <v>0.99988608131145362</v>
      </c>
      <c r="AD78" s="83">
        <f ca="1"/>
        <v>45622</v>
      </c>
      <c r="AE78" s="55">
        <f t="shared" ca="1" si="20"/>
        <v>45622</v>
      </c>
      <c r="AF78" s="55">
        <f t="shared" ca="1" si="21"/>
        <v>40.008896169137927</v>
      </c>
      <c r="AG78" s="55">
        <f t="shared" ca="1" si="22"/>
        <v>9.8969719335483042</v>
      </c>
      <c r="AH78" s="55">
        <f t="shared" ca="1" si="23"/>
        <v>0</v>
      </c>
      <c r="AI78" s="55">
        <f t="shared" ca="1" si="17"/>
        <v>-0.60436814320071486</v>
      </c>
      <c r="AJ78" s="55">
        <f t="shared" ca="1" si="18"/>
        <v>52.549633960605277</v>
      </c>
      <c r="AK78" s="55">
        <f t="shared" ca="1" si="19"/>
        <v>-12.728311800308104</v>
      </c>
    </row>
    <row r="79" spans="2:37">
      <c r="R79" s="83">
        <f ca="1"/>
        <v>45482</v>
      </c>
      <c r="S79" s="55">
        <f t="shared" ca="1" si="11"/>
        <v>45482</v>
      </c>
      <c r="T79" s="55">
        <f t="shared" ca="1" si="0"/>
        <v>78.748658449118849</v>
      </c>
      <c r="U79" s="55">
        <f t="shared" ca="1" si="1"/>
        <v>147.9992530644366</v>
      </c>
      <c r="V79" s="55">
        <f t="shared" ca="1" si="2"/>
        <v>0</v>
      </c>
      <c r="W79" s="55">
        <f t="shared" ca="1" si="12"/>
        <v>-63.672010703530077</v>
      </c>
      <c r="X79" s="55">
        <f t="shared" ca="1" si="13"/>
        <v>43.176423888035465</v>
      </c>
      <c r="Y79" s="55">
        <f t="shared" ca="1" si="14"/>
        <v>-6.3245718243143418</v>
      </c>
      <c r="Z79">
        <f t="shared" ca="1" si="3"/>
        <v>120</v>
      </c>
      <c r="AA79">
        <f t="shared" ca="1" si="15"/>
        <v>138.97857515864138</v>
      </c>
      <c r="AB79">
        <f t="shared" ca="1" si="4"/>
        <v>0</v>
      </c>
      <c r="AC79">
        <f t="shared" ca="1" si="5"/>
        <v>0.99990731755227136</v>
      </c>
      <c r="AD79" s="83">
        <f ca="1"/>
        <v>45623</v>
      </c>
      <c r="AE79" s="55">
        <f t="shared" ca="1" si="20"/>
        <v>45623</v>
      </c>
      <c r="AF79" s="55">
        <f t="shared" ca="1" si="21"/>
        <v>40.62101940855576</v>
      </c>
      <c r="AG79" s="55">
        <f t="shared" ca="1" si="22"/>
        <v>10.371768150846295</v>
      </c>
      <c r="AH79" s="55">
        <f t="shared" ca="1" si="23"/>
        <v>0</v>
      </c>
      <c r="AI79" s="55">
        <f t="shared" ca="1" si="17"/>
        <v>-0.60436814320071486</v>
      </c>
      <c r="AJ79" s="55">
        <f t="shared" ca="1" si="18"/>
        <v>53.5844052504427</v>
      </c>
      <c r="AK79" s="55">
        <f t="shared" ca="1" si="19"/>
        <v>-12.676163633429701</v>
      </c>
    </row>
    <row r="80" spans="2:37">
      <c r="R80" s="83">
        <f ca="1"/>
        <v>45483</v>
      </c>
      <c r="S80" s="55">
        <f t="shared" ca="1" si="11"/>
        <v>45483</v>
      </c>
      <c r="T80" s="55">
        <f t="shared" ca="1" si="0"/>
        <v>72.495494199893514</v>
      </c>
      <c r="U80" s="55">
        <f t="shared" ca="1" si="1"/>
        <v>153.34079537017371</v>
      </c>
      <c r="V80" s="55">
        <f t="shared" ca="1" si="2"/>
        <v>0</v>
      </c>
      <c r="W80" s="55">
        <f t="shared" ca="1" si="12"/>
        <v>-65.117297686448538</v>
      </c>
      <c r="X80" s="55">
        <f t="shared" ca="1" si="13"/>
        <v>43.723778875983932</v>
      </c>
      <c r="Y80" s="55">
        <f t="shared" ca="1" si="14"/>
        <v>-6.3382617728325723</v>
      </c>
      <c r="Z80">
        <f t="shared" ca="1" si="3"/>
        <v>120</v>
      </c>
      <c r="AA80">
        <f t="shared" ca="1" si="15"/>
        <v>142.59857515864138</v>
      </c>
      <c r="AB80">
        <f t="shared" ca="1" si="4"/>
        <v>0</v>
      </c>
      <c r="AC80">
        <f t="shared" ca="1" si="5"/>
        <v>0.99992358023552363</v>
      </c>
      <c r="AD80" s="83">
        <f ca="1"/>
        <v>45624</v>
      </c>
      <c r="AE80" s="55">
        <f t="shared" ca="1" si="20"/>
        <v>45624</v>
      </c>
      <c r="AF80" s="55">
        <f t="shared" ca="1" si="21"/>
        <v>41.103327667429035</v>
      </c>
      <c r="AG80" s="55">
        <f t="shared" ca="1" si="22"/>
        <v>10.835368353190525</v>
      </c>
      <c r="AH80" s="55">
        <f t="shared" ca="1" si="23"/>
        <v>0</v>
      </c>
      <c r="AI80" s="55">
        <f t="shared" ca="1" si="17"/>
        <v>-0.60436814320071486</v>
      </c>
      <c r="AJ80" s="55">
        <f t="shared" ca="1" si="18"/>
        <v>54.479153964829614</v>
      </c>
      <c r="AK80" s="55">
        <f t="shared" ca="1" si="19"/>
        <v>-12.625003886599108</v>
      </c>
    </row>
    <row r="81" spans="18:37">
      <c r="R81" s="83">
        <f ca="1"/>
        <v>45484</v>
      </c>
      <c r="S81" s="55">
        <f t="shared" ca="1" si="11"/>
        <v>45484</v>
      </c>
      <c r="T81" s="55">
        <f t="shared" ca="1" si="0"/>
        <v>66.845910624684592</v>
      </c>
      <c r="U81" s="55">
        <f t="shared" ca="1" si="1"/>
        <v>159.31626621680459</v>
      </c>
      <c r="V81" s="55">
        <f t="shared" ca="1" si="2"/>
        <v>0</v>
      </c>
      <c r="W81" s="55">
        <f t="shared" ca="1" si="12"/>
        <v>-65.345542563885871</v>
      </c>
      <c r="X81" s="55">
        <f t="shared" ca="1" si="13"/>
        <v>44.291019758514196</v>
      </c>
      <c r="Y81" s="55">
        <f t="shared" ca="1" si="14"/>
        <v>-6.3513705065035424</v>
      </c>
      <c r="Z81">
        <f t="shared" ca="1" si="3"/>
        <v>120</v>
      </c>
      <c r="AA81">
        <f t="shared" ca="1" si="15"/>
        <v>143.21857515864139</v>
      </c>
      <c r="AB81">
        <f t="shared" ca="1" si="4"/>
        <v>0</v>
      </c>
      <c r="AC81">
        <f t="shared" ca="1" si="5"/>
        <v>0.9999383390702723</v>
      </c>
      <c r="AD81" s="83">
        <f ca="1"/>
        <v>45625</v>
      </c>
      <c r="AE81" s="55">
        <f t="shared" ca="1" si="20"/>
        <v>45625</v>
      </c>
      <c r="AF81" s="55">
        <f t="shared" ca="1" si="21"/>
        <v>41.65213458766673</v>
      </c>
      <c r="AG81" s="55">
        <f t="shared" ca="1" si="22"/>
        <v>11.354396452442572</v>
      </c>
      <c r="AH81" s="55">
        <f t="shared" ca="1" si="23"/>
        <v>0</v>
      </c>
      <c r="AI81" s="55">
        <f t="shared" ca="1" si="17"/>
        <v>-0.60436814320071486</v>
      </c>
      <c r="AJ81" s="55">
        <f t="shared" ca="1" si="18"/>
        <v>55.489180189428183</v>
      </c>
      <c r="AK81" s="55">
        <f t="shared" ca="1" si="19"/>
        <v>-12.567195091707935</v>
      </c>
    </row>
    <row r="82" spans="18:37">
      <c r="R82" s="83">
        <f ca="1"/>
        <v>45485</v>
      </c>
      <c r="S82" s="55">
        <f t="shared" ca="1" si="11"/>
        <v>45485</v>
      </c>
      <c r="T82" s="55">
        <f t="shared" ref="T82:T145" ca="1" si="27">VLOOKUP(S82,ModelOutputs,2,FALSE)</f>
        <v>60.487111131606831</v>
      </c>
      <c r="U82" s="55">
        <f t="shared" ref="U82:U145" ca="1" si="28">VLOOKUP(S82,ModelOutputs,7,FALSE)</f>
        <v>164.81481110526889</v>
      </c>
      <c r="V82" s="55">
        <f t="shared" ref="V82:V145" ca="1" si="29">VLOOKUP(S82,ModelOutputs,6,FALSE)</f>
        <v>0</v>
      </c>
      <c r="W82" s="55">
        <f t="shared" ca="1" si="12"/>
        <v>-66.744635743103913</v>
      </c>
      <c r="X82" s="55">
        <f t="shared" ca="1" si="13"/>
        <v>44.841850604539097</v>
      </c>
      <c r="Y82" s="55">
        <f t="shared" ca="1" si="14"/>
        <v>-6.3633627779238839</v>
      </c>
      <c r="Z82">
        <f t="shared" ref="Z82:Z145" ca="1" si="30">VLOOKUP(S82,ModelOutputs,10,FALSE)*AWC</f>
        <v>120</v>
      </c>
      <c r="AA82">
        <f t="shared" ca="1" si="15"/>
        <v>147.41857515864137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0.99994935266417906</v>
      </c>
      <c r="AD82" s="83">
        <f ca="1"/>
        <v>45626</v>
      </c>
      <c r="AE82" s="55">
        <f t="shared" ca="1" si="20"/>
        <v>45626</v>
      </c>
      <c r="AF82" s="55">
        <f t="shared" ca="1" si="21"/>
        <v>42.238497502774592</v>
      </c>
      <c r="AG82" s="55">
        <f t="shared" ca="1" si="22"/>
        <v>11.88896349096029</v>
      </c>
      <c r="AH82" s="55">
        <f t="shared" ca="1" si="23"/>
        <v>0</v>
      </c>
      <c r="AI82" s="55">
        <f t="shared" ca="1" si="17"/>
        <v>-0.60436814320071486</v>
      </c>
      <c r="AJ82" s="55">
        <f t="shared" ca="1" si="18"/>
        <v>56.550754085903655</v>
      </c>
      <c r="AK82" s="55">
        <f t="shared" ca="1" si="19"/>
        <v>-12.507839034557831</v>
      </c>
    </row>
    <row r="83" spans="18:37">
      <c r="R83" s="83">
        <f ca="1"/>
        <v>45486</v>
      </c>
      <c r="S83" s="55">
        <f t="shared" ref="S83:S146" ca="1" si="33">IF(R83&gt;1,R83,"")</f>
        <v>45486</v>
      </c>
      <c r="T83" s="55">
        <f t="shared" ca="1" si="27"/>
        <v>54.797797852438499</v>
      </c>
      <c r="U83" s="55">
        <f t="shared" ca="1" si="28"/>
        <v>170.01709197926925</v>
      </c>
      <c r="V83" s="55">
        <f t="shared" ca="1" si="29"/>
        <v>0</v>
      </c>
      <c r="W83" s="55">
        <f t="shared" ref="W83:W146" ca="1" si="34">-VLOOKUP(S83,ModelOutputs,9,FALSE)+W82</f>
        <v>-67.761651104405843</v>
      </c>
      <c r="X83" s="55">
        <f t="shared" ref="X83:X146" ca="1" si="35">VLOOKUP(S83,ModelOutputs,5,FALSE)+X82</f>
        <v>45.382870263295743</v>
      </c>
      <c r="Y83" s="55">
        <f t="shared" ref="Y83:Y146" ca="1" si="36">VLOOKUP(S83,ModelOutputs,4,FALSE)+Y82</f>
        <v>-6.3743994805465771</v>
      </c>
      <c r="Z83">
        <f t="shared" ca="1" si="30"/>
        <v>120</v>
      </c>
      <c r="AA83">
        <f t="shared" ref="AA83:AA146" ca="1" si="37">VLOOKUP(S83,ModelOutputs,11,FALSE)+AA82</f>
        <v>150.78857515864138</v>
      </c>
      <c r="AB83">
        <f t="shared" ca="1" si="31"/>
        <v>0</v>
      </c>
      <c r="AC83">
        <f t="shared" ca="1" si="32"/>
        <v>0.99995794635180979</v>
      </c>
      <c r="AD83" s="83">
        <f ca="1"/>
        <v>45627</v>
      </c>
      <c r="AE83" s="55">
        <f t="shared" ca="1" si="20"/>
        <v>45627</v>
      </c>
      <c r="AF83" s="55">
        <f t="shared" ca="1" si="21"/>
        <v>42.765964535981382</v>
      </c>
      <c r="AG83" s="55">
        <f t="shared" ca="1" si="22"/>
        <v>12.456532660692256</v>
      </c>
      <c r="AH83" s="55">
        <f t="shared" ca="1" si="23"/>
        <v>0</v>
      </c>
      <c r="AI83" s="55">
        <f t="shared" ref="AI83:AI146" ca="1" si="38">-VLOOKUP(AE83,ModelOutputs,9,FALSE)+AI82</f>
        <v>-0.60436814320071486</v>
      </c>
      <c r="AJ83" s="55">
        <f t="shared" ref="AJ83:AJ146" ca="1" si="39">VLOOKUP(AE83,ModelOutputs,5,FALSE)+AJ82</f>
        <v>57.583051477985023</v>
      </c>
      <c r="AK83" s="55">
        <f t="shared" ref="AK83:AK146" ca="1" si="40">VLOOKUP(AE83,ModelOutputs,4,FALSE)+AK82</f>
        <v>-12.445100223700441</v>
      </c>
    </row>
    <row r="84" spans="18:37">
      <c r="R84" s="83">
        <f ca="1"/>
        <v>45487</v>
      </c>
      <c r="S84" s="55">
        <f t="shared" ca="1" si="33"/>
        <v>45487</v>
      </c>
      <c r="T84" s="55">
        <f t="shared" ca="1" si="27"/>
        <v>132.23671289450328</v>
      </c>
      <c r="U84" s="55">
        <f t="shared" ca="1" si="28"/>
        <v>176.88613183623559</v>
      </c>
      <c r="V84" s="55">
        <f t="shared" ca="1" si="29"/>
        <v>84.514221314524548</v>
      </c>
      <c r="W84" s="55">
        <f t="shared" ca="1" si="34"/>
        <v>-68.553716896375334</v>
      </c>
      <c r="X84" s="55">
        <f t="shared" ca="1" si="35"/>
        <v>45.979583551598232</v>
      </c>
      <c r="Y84" s="55">
        <f t="shared" ca="1" si="36"/>
        <v>-6.3853133923730079</v>
      </c>
      <c r="Z84">
        <f t="shared" ca="1" si="30"/>
        <v>120</v>
      </c>
      <c r="AA84">
        <f t="shared" ca="1" si="37"/>
        <v>151.87857515864135</v>
      </c>
      <c r="AB84">
        <f t="shared" ca="1" si="31"/>
        <v>0</v>
      </c>
      <c r="AC84">
        <f t="shared" ca="1" si="32"/>
        <v>0.99996711074850486</v>
      </c>
      <c r="AD84" s="83">
        <f ca="1"/>
        <v>45628</v>
      </c>
      <c r="AE84" s="55">
        <f t="shared" ca="1" si="20"/>
        <v>45628</v>
      </c>
      <c r="AF84" s="55">
        <f t="shared" ca="1" si="21"/>
        <v>43.248041406135151</v>
      </c>
      <c r="AG84" s="55">
        <f t="shared" ca="1" si="22"/>
        <v>13.046121670754419</v>
      </c>
      <c r="AH84" s="55">
        <f t="shared" ca="1" si="23"/>
        <v>0</v>
      </c>
      <c r="AI84" s="55">
        <f t="shared" ca="1" si="38"/>
        <v>-0.60436814320071486</v>
      </c>
      <c r="AJ84" s="55">
        <f t="shared" ca="1" si="39"/>
        <v>58.590260624570156</v>
      </c>
      <c r="AK84" s="55">
        <f t="shared" ca="1" si="40"/>
        <v>-12.380643490069643</v>
      </c>
    </row>
    <row r="85" spans="18:37">
      <c r="R85" s="83">
        <f ca="1"/>
        <v>45488</v>
      </c>
      <c r="S85" s="55">
        <f t="shared" ca="1" si="33"/>
        <v>45488</v>
      </c>
      <c r="T85" s="55">
        <f t="shared" ca="1" si="27"/>
        <v>122.4245680982105</v>
      </c>
      <c r="U85" s="55">
        <f t="shared" ca="1" si="28"/>
        <v>183.72504777909282</v>
      </c>
      <c r="V85" s="55">
        <f t="shared" ca="1" si="29"/>
        <v>0</v>
      </c>
      <c r="W85" s="55">
        <f t="shared" ca="1" si="34"/>
        <v>-72.113610424378948</v>
      </c>
      <c r="X85" s="55">
        <f t="shared" ca="1" si="35"/>
        <v>46.576296839900721</v>
      </c>
      <c r="Y85" s="55">
        <f t="shared" ca="1" si="36"/>
        <v>-6.3953620061074368</v>
      </c>
      <c r="Z85">
        <f t="shared" ca="1" si="30"/>
        <v>120</v>
      </c>
      <c r="AA85">
        <f t="shared" ca="1" si="37"/>
        <v>157.15857515864136</v>
      </c>
      <c r="AB85">
        <f t="shared" ca="1" si="31"/>
        <v>0</v>
      </c>
      <c r="AC85">
        <f t="shared" ca="1" si="32"/>
        <v>0.99997427807693073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43.718876195319112</v>
      </c>
      <c r="AG85" s="55">
        <f t="shared" ref="AG85:AG148" ca="1" si="43">VLOOKUP(AE85,ModelOutputs,7,FALSE)</f>
        <v>13.682553224514987</v>
      </c>
      <c r="AH85" s="55">
        <f t="shared" ref="AH85:AH148" ca="1" si="44">VLOOKUP(AE85,ModelOutputs,6,FALSE)</f>
        <v>0</v>
      </c>
      <c r="AI85" s="55">
        <f t="shared" ca="1" si="38"/>
        <v>-0.60436814320071486</v>
      </c>
      <c r="AJ85" s="55">
        <f t="shared" ca="1" si="39"/>
        <v>59.628634305343574</v>
      </c>
      <c r="AK85" s="55">
        <f t="shared" ca="1" si="40"/>
        <v>-12.311750827898534</v>
      </c>
    </row>
    <row r="86" spans="18:37">
      <c r="R86" s="83">
        <f ca="1"/>
        <v>45489</v>
      </c>
      <c r="S86" s="55">
        <f t="shared" ca="1" si="33"/>
        <v>45489</v>
      </c>
      <c r="T86" s="55">
        <f t="shared" ca="1" si="27"/>
        <v>112.72328516231093</v>
      </c>
      <c r="U86" s="55">
        <f t="shared" ca="1" si="28"/>
        <v>191.7869744228787</v>
      </c>
      <c r="V86" s="55">
        <f t="shared" ca="1" si="29"/>
        <v>0</v>
      </c>
      <c r="W86" s="55">
        <f t="shared" ca="1" si="34"/>
        <v>-74.385719772259264</v>
      </c>
      <c r="X86" s="55">
        <f t="shared" ca="1" si="35"/>
        <v>47.218717545028682</v>
      </c>
      <c r="Y86" s="55">
        <f t="shared" ca="1" si="36"/>
        <v>-6.405029655468768</v>
      </c>
      <c r="Z86">
        <f t="shared" ca="1" si="30"/>
        <v>120</v>
      </c>
      <c r="AA86">
        <f t="shared" ca="1" si="37"/>
        <v>160.81857515864135</v>
      </c>
      <c r="AB86">
        <f t="shared" ca="1" si="31"/>
        <v>0</v>
      </c>
      <c r="AC86">
        <f t="shared" ca="1" si="32"/>
        <v>0.99998079724974953</v>
      </c>
      <c r="AD86" s="83">
        <f ca="1"/>
        <v>45630</v>
      </c>
      <c r="AE86" s="55">
        <f t="shared" ca="1" si="41"/>
        <v>45630</v>
      </c>
      <c r="AF86" s="55">
        <f t="shared" ca="1" si="42"/>
        <v>44.115421563198133</v>
      </c>
      <c r="AG86" s="55">
        <f t="shared" ca="1" si="43"/>
        <v>14.341731378015776</v>
      </c>
      <c r="AH86" s="55">
        <f t="shared" ca="1" si="44"/>
        <v>0</v>
      </c>
      <c r="AI86" s="55">
        <f t="shared" ca="1" si="38"/>
        <v>-0.60436814320071486</v>
      </c>
      <c r="AJ86" s="55">
        <f t="shared" ca="1" si="39"/>
        <v>60.614336470598808</v>
      </c>
      <c r="AK86" s="55">
        <f t="shared" ca="1" si="40"/>
        <v>-12.241729471773956</v>
      </c>
    </row>
    <row r="87" spans="18:37">
      <c r="R87" s="83">
        <f ca="1"/>
        <v>45490</v>
      </c>
      <c r="S87" s="55">
        <f t="shared" ca="1" si="33"/>
        <v>45490</v>
      </c>
      <c r="T87" s="55">
        <f t="shared" ca="1" si="27"/>
        <v>106.5860440018259</v>
      </c>
      <c r="U87" s="55">
        <f t="shared" ca="1" si="28"/>
        <v>198.46500202269564</v>
      </c>
      <c r="V87" s="55">
        <f t="shared" ca="1" si="29"/>
        <v>0</v>
      </c>
      <c r="W87" s="55">
        <f t="shared" ca="1" si="34"/>
        <v>-74.432679420631089</v>
      </c>
      <c r="X87" s="55">
        <f t="shared" ca="1" si="35"/>
        <v>47.814819703077632</v>
      </c>
      <c r="Y87" s="55">
        <f t="shared" ca="1" si="36"/>
        <v>-6.413385725813983</v>
      </c>
      <c r="Z87">
        <f t="shared" ca="1" si="30"/>
        <v>120</v>
      </c>
      <c r="AA87">
        <f t="shared" ca="1" si="37"/>
        <v>160.89857515864134</v>
      </c>
      <c r="AB87">
        <f t="shared" ca="1" si="31"/>
        <v>0</v>
      </c>
      <c r="AC87">
        <f t="shared" ca="1" si="32"/>
        <v>0.999984972451332</v>
      </c>
      <c r="AD87" s="83">
        <f ca="1"/>
        <v>45631</v>
      </c>
      <c r="AE87" s="55">
        <f t="shared" ca="1" si="41"/>
        <v>45631</v>
      </c>
      <c r="AF87" s="55">
        <f t="shared" ca="1" si="42"/>
        <v>44.482423105989703</v>
      </c>
      <c r="AG87" s="55">
        <f t="shared" ca="1" si="43"/>
        <v>15.030781216905373</v>
      </c>
      <c r="AH87" s="55">
        <f t="shared" ca="1" si="44"/>
        <v>0</v>
      </c>
      <c r="AI87" s="55">
        <f t="shared" ca="1" si="38"/>
        <v>-0.60436814320071486</v>
      </c>
      <c r="AJ87" s="55">
        <f t="shared" ca="1" si="39"/>
        <v>61.598662809885731</v>
      </c>
      <c r="AK87" s="55">
        <f t="shared" ca="1" si="40"/>
        <v>-12.170004429379714</v>
      </c>
    </row>
    <row r="88" spans="18:37">
      <c r="R88" s="83">
        <f ca="1"/>
        <v>45491</v>
      </c>
      <c r="S88" s="55">
        <f t="shared" ca="1" si="33"/>
        <v>45491</v>
      </c>
      <c r="T88" s="55">
        <f t="shared" ca="1" si="27"/>
        <v>100.26166589893538</v>
      </c>
      <c r="U88" s="55">
        <f t="shared" ca="1" si="28"/>
        <v>205.28151680174156</v>
      </c>
      <c r="V88" s="55">
        <f t="shared" ca="1" si="29"/>
        <v>0</v>
      </c>
      <c r="W88" s="55">
        <f t="shared" ca="1" si="34"/>
        <v>-74.537590902919533</v>
      </c>
      <c r="X88" s="55">
        <f t="shared" ca="1" si="35"/>
        <v>48.41951443356087</v>
      </c>
      <c r="Y88" s="55">
        <f t="shared" ca="1" si="36"/>
        <v>-6.4210322978533751</v>
      </c>
      <c r="Z88">
        <f t="shared" ca="1" si="30"/>
        <v>120</v>
      </c>
      <c r="AA88">
        <f t="shared" ca="1" si="37"/>
        <v>161.08857515864133</v>
      </c>
      <c r="AB88">
        <f t="shared" ca="1" si="31"/>
        <v>0</v>
      </c>
      <c r="AC88">
        <f t="shared" ca="1" si="32"/>
        <v>0.99998834423965943</v>
      </c>
      <c r="AD88" s="83">
        <f ca="1"/>
        <v>45632</v>
      </c>
      <c r="AE88" s="55">
        <f t="shared" ca="1" si="41"/>
        <v>45632</v>
      </c>
      <c r="AF88" s="55">
        <f t="shared" ca="1" si="42"/>
        <v>44.796299270436762</v>
      </c>
      <c r="AG88" s="55">
        <f t="shared" ca="1" si="43"/>
        <v>15.724942815373465</v>
      </c>
      <c r="AH88" s="55">
        <f t="shared" ca="1" si="44"/>
        <v>0</v>
      </c>
      <c r="AI88" s="55">
        <f t="shared" ca="1" si="38"/>
        <v>-0.60436814320071486</v>
      </c>
      <c r="AJ88" s="55">
        <f t="shared" ca="1" si="39"/>
        <v>62.536349773318754</v>
      </c>
      <c r="AK88" s="55">
        <f t="shared" ca="1" si="40"/>
        <v>-12.099653629897587</v>
      </c>
    </row>
    <row r="89" spans="18:37">
      <c r="R89" s="83">
        <f ca="1"/>
        <v>45492</v>
      </c>
      <c r="S89" s="55">
        <f t="shared" ca="1" si="33"/>
        <v>45492</v>
      </c>
      <c r="T89" s="55">
        <f t="shared" ca="1" si="27"/>
        <v>92.440901007511698</v>
      </c>
      <c r="U89" s="55">
        <f t="shared" ca="1" si="28"/>
        <v>212.81546729293251</v>
      </c>
      <c r="V89" s="55">
        <f t="shared" ca="1" si="29"/>
        <v>0</v>
      </c>
      <c r="W89" s="55">
        <f t="shared" ca="1" si="34"/>
        <v>-75.45396157377661</v>
      </c>
      <c r="X89" s="55">
        <f t="shared" ca="1" si="35"/>
        <v>49.056182757820132</v>
      </c>
      <c r="Y89" s="55">
        <f t="shared" ca="1" si="36"/>
        <v>-6.4281443514882817</v>
      </c>
      <c r="Z89">
        <f t="shared" ca="1" si="30"/>
        <v>120</v>
      </c>
      <c r="AA89">
        <f t="shared" ca="1" si="37"/>
        <v>162.88857515864134</v>
      </c>
      <c r="AB89">
        <f t="shared" ca="1" si="31"/>
        <v>0</v>
      </c>
      <c r="AC89">
        <f t="shared" ca="1" si="32"/>
        <v>0.99999124838683717</v>
      </c>
      <c r="AD89" s="83">
        <f ca="1"/>
        <v>45633</v>
      </c>
      <c r="AE89" s="55">
        <f t="shared" ca="1" si="41"/>
        <v>45633</v>
      </c>
      <c r="AF89" s="55">
        <f t="shared" ca="1" si="42"/>
        <v>45.118800179430558</v>
      </c>
      <c r="AG89" s="55">
        <f t="shared" ca="1" si="43"/>
        <v>16.419771520490169</v>
      </c>
      <c r="AH89" s="55">
        <f t="shared" ca="1" si="44"/>
        <v>0</v>
      </c>
      <c r="AI89" s="55">
        <f t="shared" ca="1" si="38"/>
        <v>-0.60436814320071486</v>
      </c>
      <c r="AJ89" s="55">
        <f t="shared" ca="1" si="39"/>
        <v>63.485129288749967</v>
      </c>
      <c r="AK89" s="55">
        <f t="shared" ca="1" si="40"/>
        <v>-12.031103531218298</v>
      </c>
    </row>
    <row r="90" spans="18:37">
      <c r="R90" s="83">
        <f ca="1"/>
        <v>45493</v>
      </c>
      <c r="S90" s="55">
        <f t="shared" ca="1" si="33"/>
        <v>45493</v>
      </c>
      <c r="T90" s="55">
        <f t="shared" ca="1" si="27"/>
        <v>84.037937812265938</v>
      </c>
      <c r="U90" s="55">
        <f t="shared" ca="1" si="28"/>
        <v>220.68971434133272</v>
      </c>
      <c r="V90" s="55">
        <f t="shared" ca="1" si="29"/>
        <v>0</v>
      </c>
      <c r="W90" s="55">
        <f t="shared" ca="1" si="34"/>
        <v>-76.634146526531467</v>
      </c>
      <c r="X90" s="55">
        <f t="shared" ca="1" si="35"/>
        <v>49.714105266176077</v>
      </c>
      <c r="Y90" s="55">
        <f t="shared" ca="1" si="36"/>
        <v>-6.4345980539349128</v>
      </c>
      <c r="Z90">
        <f t="shared" ca="1" si="30"/>
        <v>120</v>
      </c>
      <c r="AA90">
        <f t="shared" ca="1" si="37"/>
        <v>165.43857515864136</v>
      </c>
      <c r="AB90">
        <f t="shared" ca="1" si="31"/>
        <v>0</v>
      </c>
      <c r="AC90">
        <f t="shared" ca="1" si="32"/>
        <v>0.99999356558967334</v>
      </c>
      <c r="AD90" s="83">
        <f ca="1"/>
        <v>45634</v>
      </c>
      <c r="AE90" s="55">
        <f t="shared" ca="1" si="41"/>
        <v>45634</v>
      </c>
      <c r="AF90" s="55">
        <f t="shared" ca="1" si="42"/>
        <v>45.40402127626367</v>
      </c>
      <c r="AG90" s="55">
        <f t="shared" ca="1" si="43"/>
        <v>17.174158424606031</v>
      </c>
      <c r="AH90" s="55">
        <f t="shared" ca="1" si="44"/>
        <v>0</v>
      </c>
      <c r="AI90" s="55">
        <f t="shared" ca="1" si="38"/>
        <v>-0.60436814320071486</v>
      </c>
      <c r="AJ90" s="55">
        <f t="shared" ca="1" si="39"/>
        <v>64.451944178107439</v>
      </c>
      <c r="AK90" s="55">
        <f t="shared" ca="1" si="40"/>
        <v>-11.958310419626796</v>
      </c>
    </row>
    <row r="91" spans="18:37">
      <c r="R91" s="83">
        <f ca="1"/>
        <v>45494</v>
      </c>
      <c r="S91" s="55">
        <f t="shared" ca="1" si="33"/>
        <v>45494</v>
      </c>
      <c r="T91" s="55">
        <f t="shared" ca="1" si="27"/>
        <v>75.276360007579115</v>
      </c>
      <c r="U91" s="55">
        <f t="shared" ca="1" si="28"/>
        <v>228.62415322278679</v>
      </c>
      <c r="V91" s="55">
        <f t="shared" ca="1" si="29"/>
        <v>0</v>
      </c>
      <c r="W91" s="55">
        <f t="shared" ca="1" si="34"/>
        <v>-78.126582185812168</v>
      </c>
      <c r="X91" s="55">
        <f t="shared" ca="1" si="35"/>
        <v>50.385126631687271</v>
      </c>
      <c r="Y91" s="55">
        <f t="shared" ca="1" si="36"/>
        <v>-6.4403226833981595</v>
      </c>
      <c r="Z91">
        <f t="shared" ca="1" si="30"/>
        <v>120</v>
      </c>
      <c r="AA91">
        <f t="shared" ca="1" si="37"/>
        <v>169.03857515864138</v>
      </c>
      <c r="AB91">
        <f t="shared" ca="1" si="31"/>
        <v>0</v>
      </c>
      <c r="AC91">
        <f t="shared" ca="1" si="32"/>
        <v>0.99999532912899036</v>
      </c>
      <c r="AD91" s="83">
        <f ca="1"/>
        <v>45635</v>
      </c>
      <c r="AE91" s="55">
        <f t="shared" ca="1" si="41"/>
        <v>45635</v>
      </c>
      <c r="AF91" s="55">
        <f t="shared" ca="1" si="42"/>
        <v>45.756179457078332</v>
      </c>
      <c r="AG91" s="55">
        <f t="shared" ca="1" si="43"/>
        <v>18.001027482871841</v>
      </c>
      <c r="AH91" s="55">
        <f t="shared" ca="1" si="44"/>
        <v>0</v>
      </c>
      <c r="AI91" s="55">
        <f t="shared" ca="1" si="38"/>
        <v>-0.60436814320071486</v>
      </c>
      <c r="AJ91" s="55">
        <f t="shared" ca="1" si="39"/>
        <v>65.552907092387656</v>
      </c>
      <c r="AK91" s="55">
        <f t="shared" ca="1" si="40"/>
        <v>-11.880246094826537</v>
      </c>
    </row>
    <row r="92" spans="18:37">
      <c r="R92" s="83">
        <f ca="1"/>
        <v>45495</v>
      </c>
      <c r="S92" s="55">
        <f t="shared" ca="1" si="33"/>
        <v>45495</v>
      </c>
      <c r="T92" s="55">
        <f t="shared" ca="1" si="27"/>
        <v>67.531158862804745</v>
      </c>
      <c r="U92" s="55">
        <f t="shared" ca="1" si="28"/>
        <v>235.36413898249353</v>
      </c>
      <c r="V92" s="55">
        <f t="shared" ca="1" si="29"/>
        <v>0</v>
      </c>
      <c r="W92" s="55">
        <f t="shared" ca="1" si="34"/>
        <v>-79.759270290376378</v>
      </c>
      <c r="X92" s="55">
        <f t="shared" ca="1" si="35"/>
        <v>51.017343754011456</v>
      </c>
      <c r="Y92" s="55">
        <f t="shared" ca="1" si="36"/>
        <v>-6.4450670862257589</v>
      </c>
      <c r="Z92">
        <f t="shared" ca="1" si="30"/>
        <v>120</v>
      </c>
      <c r="AA92">
        <f t="shared" ca="1" si="37"/>
        <v>173.42857515864137</v>
      </c>
      <c r="AB92">
        <f t="shared" ca="1" si="31"/>
        <v>0</v>
      </c>
      <c r="AC92">
        <f t="shared" ca="1" si="32"/>
        <v>0.99999647726023</v>
      </c>
      <c r="AD92" s="83">
        <f ca="1"/>
        <v>45636</v>
      </c>
      <c r="AE92" s="55">
        <f t="shared" ca="1" si="41"/>
        <v>45636</v>
      </c>
      <c r="AF92" s="55">
        <f t="shared" ca="1" si="42"/>
        <v>46.085166078987598</v>
      </c>
      <c r="AG92" s="55">
        <f t="shared" ca="1" si="43"/>
        <v>18.906749791520127</v>
      </c>
      <c r="AH92" s="55">
        <f t="shared" ca="1" si="44"/>
        <v>0</v>
      </c>
      <c r="AI92" s="55">
        <f t="shared" ca="1" si="38"/>
        <v>-0.60436814320071486</v>
      </c>
      <c r="AJ92" s="55">
        <f t="shared" ca="1" si="39"/>
        <v>66.704003590093009</v>
      </c>
      <c r="AK92" s="55">
        <f t="shared" ca="1" si="40"/>
        <v>-11.796633661974345</v>
      </c>
    </row>
    <row r="93" spans="18:37">
      <c r="R93" s="83">
        <f ca="1"/>
        <v>45496</v>
      </c>
      <c r="S93" s="55">
        <f t="shared" ca="1" si="33"/>
        <v>45496</v>
      </c>
      <c r="T93" s="55">
        <f t="shared" ca="1" si="27"/>
        <v>61.338834013935809</v>
      </c>
      <c r="U93" s="55">
        <f t="shared" ca="1" si="28"/>
        <v>241.81115887058181</v>
      </c>
      <c r="V93" s="55">
        <f t="shared" ca="1" si="29"/>
        <v>0</v>
      </c>
      <c r="W93" s="55">
        <f t="shared" ca="1" si="34"/>
        <v>-80.130859168895583</v>
      </c>
      <c r="X93" s="55">
        <f t="shared" ca="1" si="35"/>
        <v>51.647659337839499</v>
      </c>
      <c r="Y93" s="55">
        <f t="shared" ca="1" si="36"/>
        <v>-6.4490987523152654</v>
      </c>
      <c r="Z93">
        <f t="shared" ca="1" si="30"/>
        <v>120</v>
      </c>
      <c r="AA93">
        <f t="shared" ca="1" si="37"/>
        <v>174.52857515864136</v>
      </c>
      <c r="AB93">
        <f t="shared" ca="1" si="31"/>
        <v>0</v>
      </c>
      <c r="AC93">
        <f t="shared" ca="1" si="32"/>
        <v>0.99999733809337121</v>
      </c>
      <c r="AD93" s="83">
        <f ca="1"/>
        <v>45637</v>
      </c>
      <c r="AE93" s="55">
        <f t="shared" ca="1" si="41"/>
        <v>45637</v>
      </c>
      <c r="AF93" s="55">
        <f t="shared" ca="1" si="42"/>
        <v>46.332536314790396</v>
      </c>
      <c r="AG93" s="55">
        <f t="shared" ca="1" si="43"/>
        <v>19.824323112335335</v>
      </c>
      <c r="AH93" s="55">
        <f t="shared" ca="1" si="44"/>
        <v>0</v>
      </c>
      <c r="AI93" s="55">
        <f t="shared" ca="1" si="38"/>
        <v>-0.60436814320071486</v>
      </c>
      <c r="AJ93" s="55">
        <f t="shared" ca="1" si="39"/>
        <v>67.78748358029425</v>
      </c>
      <c r="AK93" s="55">
        <f t="shared" ca="1" si="40"/>
        <v>-11.715170095557573</v>
      </c>
    </row>
    <row r="94" spans="18:37">
      <c r="R94" s="83">
        <f ca="1"/>
        <v>45497</v>
      </c>
      <c r="S94" s="55">
        <f t="shared" ca="1" si="33"/>
        <v>45497</v>
      </c>
      <c r="T94" s="55">
        <f t="shared" ca="1" si="27"/>
        <v>56.397432846231595</v>
      </c>
      <c r="U94" s="55">
        <f t="shared" ca="1" si="28"/>
        <v>247.35030515217724</v>
      </c>
      <c r="V94" s="55">
        <f t="shared" ca="1" si="29"/>
        <v>0</v>
      </c>
      <c r="W94" s="55">
        <f t="shared" ca="1" si="34"/>
        <v>-80.130859168895583</v>
      </c>
      <c r="X94" s="55">
        <f t="shared" ca="1" si="35"/>
        <v>52.248661840881574</v>
      </c>
      <c r="Y94" s="55">
        <f t="shared" ca="1" si="36"/>
        <v>-6.4523561414661197</v>
      </c>
      <c r="Z94">
        <f t="shared" ca="1" si="30"/>
        <v>119.82608695652175</v>
      </c>
      <c r="AA94">
        <f t="shared" ca="1" si="37"/>
        <v>174.52857515864136</v>
      </c>
      <c r="AB94">
        <f t="shared" ca="1" si="31"/>
        <v>0</v>
      </c>
      <c r="AC94">
        <f t="shared" ca="1" si="32"/>
        <v>0.99999792745743465</v>
      </c>
      <c r="AD94" s="83">
        <f ca="1"/>
        <v>45638</v>
      </c>
      <c r="AE94" s="55">
        <f t="shared" ca="1" si="41"/>
        <v>45638</v>
      </c>
      <c r="AF94" s="55">
        <f t="shared" ca="1" si="42"/>
        <v>46.49107699704178</v>
      </c>
      <c r="AG94" s="55">
        <f t="shared" ca="1" si="43"/>
        <v>20.774924294925292</v>
      </c>
      <c r="AH94" s="55">
        <f t="shared" ca="1" si="44"/>
        <v>0</v>
      </c>
      <c r="AI94" s="55">
        <f t="shared" ca="1" si="38"/>
        <v>-0.60436814320071486</v>
      </c>
      <c r="AJ94" s="55">
        <f t="shared" ca="1" si="39"/>
        <v>68.815128423462482</v>
      </c>
      <c r="AK94" s="55">
        <f t="shared" ca="1" si="40"/>
        <v>-11.633673073884458</v>
      </c>
    </row>
    <row r="95" spans="18:37">
      <c r="R95" s="83">
        <f ca="1"/>
        <v>45498</v>
      </c>
      <c r="S95" s="55">
        <f t="shared" ca="1" si="33"/>
        <v>45498</v>
      </c>
      <c r="T95" s="55">
        <f t="shared" ca="1" si="27"/>
        <v>51.886506865888677</v>
      </c>
      <c r="U95" s="55">
        <f t="shared" ca="1" si="28"/>
        <v>252.44923357016862</v>
      </c>
      <c r="V95" s="55">
        <f t="shared" ca="1" si="29"/>
        <v>0</v>
      </c>
      <c r="W95" s="55">
        <f t="shared" ca="1" si="34"/>
        <v>-80.130859168895583</v>
      </c>
      <c r="X95" s="55">
        <f t="shared" ca="1" si="35"/>
        <v>52.83928197203754</v>
      </c>
      <c r="Y95" s="55">
        <f t="shared" ca="1" si="36"/>
        <v>-6.4549738349736288</v>
      </c>
      <c r="Z95">
        <f t="shared" ca="1" si="30"/>
        <v>118.31304348368803</v>
      </c>
      <c r="AA95">
        <f t="shared" ca="1" si="37"/>
        <v>174.52857515864136</v>
      </c>
      <c r="AB95">
        <f t="shared" ca="1" si="31"/>
        <v>0</v>
      </c>
      <c r="AC95">
        <f t="shared" ca="1" si="32"/>
        <v>0.99999836876841541</v>
      </c>
      <c r="AD95" s="83">
        <f ca="1"/>
        <v>45639</v>
      </c>
      <c r="AE95" s="55">
        <f t="shared" ca="1" si="41"/>
        <v>45639</v>
      </c>
      <c r="AF95" s="55">
        <f t="shared" ca="1" si="42"/>
        <v>46.553133553934273</v>
      </c>
      <c r="AG95" s="55">
        <f t="shared" ca="1" si="43"/>
        <v>21.724821366214396</v>
      </c>
      <c r="AH95" s="55">
        <f t="shared" ca="1" si="44"/>
        <v>0</v>
      </c>
      <c r="AI95" s="55">
        <f t="shared" ca="1" si="38"/>
        <v>-0.60436814320071486</v>
      </c>
      <c r="AJ95" s="55">
        <f t="shared" ca="1" si="39"/>
        <v>69.74884614364359</v>
      </c>
      <c r="AK95" s="55">
        <f t="shared" ca="1" si="40"/>
        <v>-11.555437165883971</v>
      </c>
    </row>
    <row r="96" spans="18:37">
      <c r="R96" s="83">
        <f ca="1"/>
        <v>45499</v>
      </c>
      <c r="S96" s="55">
        <f t="shared" ca="1" si="33"/>
        <v>45499</v>
      </c>
      <c r="T96" s="55">
        <f t="shared" ca="1" si="27"/>
        <v>46.887457270913515</v>
      </c>
      <c r="U96" s="55">
        <f t="shared" ca="1" si="28"/>
        <v>258.07206513612317</v>
      </c>
      <c r="V96" s="55">
        <f t="shared" ca="1" si="29"/>
        <v>0</v>
      </c>
      <c r="W96" s="55">
        <f t="shared" ca="1" si="34"/>
        <v>-80.130859168895583</v>
      </c>
      <c r="X96" s="55">
        <f t="shared" ca="1" si="35"/>
        <v>53.465174896819029</v>
      </c>
      <c r="Y96" s="55">
        <f t="shared" ca="1" si="36"/>
        <v>-6.457084788775723</v>
      </c>
      <c r="Z96">
        <f t="shared" ca="1" si="30"/>
        <v>119.87826090889524</v>
      </c>
      <c r="AA96">
        <f t="shared" ca="1" si="37"/>
        <v>174.52857515864136</v>
      </c>
      <c r="AB96">
        <f t="shared" ca="1" si="31"/>
        <v>0</v>
      </c>
      <c r="AC96">
        <f t="shared" ca="1" si="32"/>
        <v>0.9999987618774846</v>
      </c>
      <c r="AD96" s="83">
        <f ca="1"/>
        <v>45640</v>
      </c>
      <c r="AE96" s="55">
        <f t="shared" ca="1" si="41"/>
        <v>45640</v>
      </c>
      <c r="AF96" s="55">
        <f t="shared" ca="1" si="42"/>
        <v>46.583403065735041</v>
      </c>
      <c r="AG96" s="55">
        <f t="shared" ca="1" si="43"/>
        <v>22.685819962916309</v>
      </c>
      <c r="AH96" s="55">
        <f t="shared" ca="1" si="44"/>
        <v>0</v>
      </c>
      <c r="AI96" s="55">
        <f t="shared" ca="1" si="38"/>
        <v>-0.60436814320071486</v>
      </c>
      <c r="AJ96" s="55">
        <f t="shared" ca="1" si="39"/>
        <v>70.663815464744715</v>
      </c>
      <c r="AK96" s="55">
        <f t="shared" ca="1" si="40"/>
        <v>-11.479138378482416</v>
      </c>
    </row>
    <row r="97" spans="18:37">
      <c r="R97" s="83">
        <f ca="1"/>
        <v>45500</v>
      </c>
      <c r="S97" s="55">
        <f t="shared" ca="1" si="33"/>
        <v>45500</v>
      </c>
      <c r="T97" s="55">
        <f t="shared" ca="1" si="27"/>
        <v>42.549031049112983</v>
      </c>
      <c r="U97" s="55">
        <f t="shared" ca="1" si="28"/>
        <v>263.01370554933857</v>
      </c>
      <c r="V97" s="55">
        <f t="shared" ca="1" si="29"/>
        <v>0</v>
      </c>
      <c r="W97" s="55">
        <f t="shared" ca="1" si="34"/>
        <v>-80.130859168895583</v>
      </c>
      <c r="X97" s="55">
        <f t="shared" ca="1" si="35"/>
        <v>54.069869627302268</v>
      </c>
      <c r="Y97" s="55">
        <f t="shared" ca="1" si="36"/>
        <v>-6.4585653278440951</v>
      </c>
      <c r="Z97">
        <f t="shared" ca="1" si="30"/>
        <v>119.84347830238526</v>
      </c>
      <c r="AA97">
        <f t="shared" ca="1" si="37"/>
        <v>174.52857515864136</v>
      </c>
      <c r="AB97">
        <f t="shared" ca="1" si="31"/>
        <v>0</v>
      </c>
      <c r="AC97">
        <f t="shared" ca="1" si="32"/>
        <v>0.99999903968271997</v>
      </c>
      <c r="AD97" s="83">
        <f ca="1"/>
        <v>45641</v>
      </c>
      <c r="AE97" s="55">
        <f t="shared" ca="1" si="41"/>
        <v>45641</v>
      </c>
      <c r="AF97" s="55">
        <f t="shared" ca="1" si="42"/>
        <v>46.549765944991336</v>
      </c>
      <c r="AG97" s="55">
        <f t="shared" ca="1" si="43"/>
        <v>23.750225832518737</v>
      </c>
      <c r="AH97" s="55">
        <f t="shared" ca="1" si="44"/>
        <v>0</v>
      </c>
      <c r="AI97" s="55">
        <f t="shared" ca="1" si="38"/>
        <v>-0.60436814320071486</v>
      </c>
      <c r="AJ97" s="55">
        <f t="shared" ca="1" si="39"/>
        <v>71.6123411567727</v>
      </c>
      <c r="AK97" s="55">
        <f t="shared" ca="1" si="40"/>
        <v>-11.396895321651668</v>
      </c>
    </row>
    <row r="98" spans="18:37">
      <c r="R98" s="83">
        <f ca="1"/>
        <v>45501</v>
      </c>
      <c r="S98" s="55">
        <f t="shared" ca="1" si="33"/>
        <v>45501</v>
      </c>
      <c r="T98" s="55">
        <f t="shared" ca="1" si="27"/>
        <v>38.071584546872515</v>
      </c>
      <c r="U98" s="55">
        <f t="shared" ca="1" si="28"/>
        <v>267.78140457409847</v>
      </c>
      <c r="V98" s="55">
        <f t="shared" ca="1" si="29"/>
        <v>0</v>
      </c>
      <c r="W98" s="55">
        <f t="shared" ca="1" si="34"/>
        <v>-80.447460264187796</v>
      </c>
      <c r="X98" s="55">
        <f t="shared" ca="1" si="35"/>
        <v>54.677652338011029</v>
      </c>
      <c r="Y98" s="55">
        <f t="shared" ca="1" si="36"/>
        <v>-6.4594944207412057</v>
      </c>
      <c r="Z98">
        <f t="shared" ca="1" si="30"/>
        <v>120</v>
      </c>
      <c r="AA98">
        <f t="shared" ca="1" si="37"/>
        <v>176.03857518367502</v>
      </c>
      <c r="AB98">
        <f t="shared" ca="1" si="31"/>
        <v>0</v>
      </c>
      <c r="AC98">
        <f t="shared" ca="1" si="32"/>
        <v>0.99999925752297358</v>
      </c>
      <c r="AD98" s="83">
        <f ca="1"/>
        <v>45642</v>
      </c>
      <c r="AE98" s="55">
        <f t="shared" ca="1" si="41"/>
        <v>45642</v>
      </c>
      <c r="AF98" s="55">
        <f t="shared" ca="1" si="42"/>
        <v>46.481953036210129</v>
      </c>
      <c r="AG98" s="55">
        <f t="shared" ca="1" si="43"/>
        <v>24.85828188150786</v>
      </c>
      <c r="AH98" s="55">
        <f t="shared" ca="1" si="44"/>
        <v>0</v>
      </c>
      <c r="AI98" s="55">
        <f t="shared" ca="1" si="38"/>
        <v>-0.60436814320071486</v>
      </c>
      <c r="AJ98" s="55">
        <f t="shared" ca="1" si="39"/>
        <v>72.570070564158868</v>
      </c>
      <c r="AK98" s="55">
        <f t="shared" ca="1" si="40"/>
        <v>-11.314381588829916</v>
      </c>
    </row>
    <row r="99" spans="18:37">
      <c r="R99" s="83">
        <f ca="1"/>
        <v>45502</v>
      </c>
      <c r="S99" s="55">
        <f t="shared" ca="1" si="33"/>
        <v>45502</v>
      </c>
      <c r="T99" s="55">
        <f t="shared" ca="1" si="27"/>
        <v>35.006628041931705</v>
      </c>
      <c r="U99" s="55">
        <f t="shared" ca="1" si="28"/>
        <v>271.36734702767552</v>
      </c>
      <c r="V99" s="55">
        <f t="shared" ca="1" si="29"/>
        <v>0</v>
      </c>
      <c r="W99" s="55">
        <f t="shared" ca="1" si="34"/>
        <v>-80.482162486768502</v>
      </c>
      <c r="X99" s="55">
        <f t="shared" ca="1" si="35"/>
        <v>55.233723788260171</v>
      </c>
      <c r="Y99" s="55">
        <f t="shared" ca="1" si="36"/>
        <v>-6.4598776997734131</v>
      </c>
      <c r="Z99">
        <f t="shared" ca="1" si="30"/>
        <v>120</v>
      </c>
      <c r="AA99">
        <f t="shared" ca="1" si="37"/>
        <v>176.21857518367503</v>
      </c>
      <c r="AB99">
        <f t="shared" ca="1" si="31"/>
        <v>0</v>
      </c>
      <c r="AC99">
        <f t="shared" ca="1" si="32"/>
        <v>0.99999939363272139</v>
      </c>
      <c r="AD99" s="83">
        <f ca="1"/>
        <v>45643</v>
      </c>
      <c r="AE99" s="55">
        <f t="shared" ca="1" si="41"/>
        <v>45643</v>
      </c>
      <c r="AF99" s="55">
        <f t="shared" ca="1" si="42"/>
        <v>46.333115375914765</v>
      </c>
      <c r="AG99" s="55">
        <f t="shared" ca="1" si="43"/>
        <v>26.04064254661743</v>
      </c>
      <c r="AH99" s="55">
        <f t="shared" ca="1" si="44"/>
        <v>0</v>
      </c>
      <c r="AI99" s="55">
        <f t="shared" ca="1" si="38"/>
        <v>-0.60436814320071486</v>
      </c>
      <c r="AJ99" s="55">
        <f t="shared" ca="1" si="39"/>
        <v>73.518457245872128</v>
      </c>
      <c r="AK99" s="55">
        <f t="shared" ca="1" si="40"/>
        <v>-11.229245265728975</v>
      </c>
    </row>
    <row r="100" spans="18:37">
      <c r="R100" s="83">
        <f ca="1"/>
        <v>45503</v>
      </c>
      <c r="S100" s="55">
        <f t="shared" ca="1" si="33"/>
        <v>45503</v>
      </c>
      <c r="T100" s="55">
        <f t="shared" ca="1" si="27"/>
        <v>31.288602999525075</v>
      </c>
      <c r="U100" s="55">
        <f t="shared" ca="1" si="28"/>
        <v>275.40838829815164</v>
      </c>
      <c r="V100" s="55">
        <f t="shared" ca="1" si="29"/>
        <v>0</v>
      </c>
      <c r="W100" s="55">
        <f t="shared" ca="1" si="34"/>
        <v>-80.749249257300676</v>
      </c>
      <c r="X100" s="55">
        <f t="shared" ca="1" si="35"/>
        <v>55.823736820019761</v>
      </c>
      <c r="Y100" s="55">
        <f t="shared" ca="1" si="36"/>
        <v>-6.4597877329313391</v>
      </c>
      <c r="Z100">
        <f t="shared" ca="1" si="30"/>
        <v>120</v>
      </c>
      <c r="AA100">
        <f t="shared" ca="1" si="37"/>
        <v>177.76857518367504</v>
      </c>
      <c r="AB100">
        <f t="shared" ca="1" si="31"/>
        <v>0</v>
      </c>
      <c r="AC100">
        <f t="shared" ca="1" si="32"/>
        <v>0.99999952244395285</v>
      </c>
      <c r="AD100" s="83">
        <f ca="1"/>
        <v>45644</v>
      </c>
      <c r="AE100" s="55">
        <f t="shared" ca="1" si="41"/>
        <v>45644</v>
      </c>
      <c r="AF100" s="55">
        <f t="shared" ca="1" si="42"/>
        <v>46.201289689457134</v>
      </c>
      <c r="AG100" s="55">
        <f t="shared" ca="1" si="43"/>
        <v>27.237807669666328</v>
      </c>
      <c r="AH100" s="55">
        <f t="shared" ca="1" si="44"/>
        <v>0</v>
      </c>
      <c r="AI100" s="55">
        <f t="shared" ca="1" si="38"/>
        <v>-0.60436814320071486</v>
      </c>
      <c r="AJ100" s="55">
        <f t="shared" ca="1" si="39"/>
        <v>74.501241367238336</v>
      </c>
      <c r="AK100" s="55">
        <f t="shared" ca="1" si="40"/>
        <v>-11.146689950503918</v>
      </c>
    </row>
    <row r="101" spans="18:37">
      <c r="R101" s="83">
        <f ca="1"/>
        <v>45504</v>
      </c>
      <c r="S101" s="55">
        <f t="shared" ca="1" si="33"/>
        <v>45504</v>
      </c>
      <c r="T101" s="55">
        <f t="shared" ca="1" si="27"/>
        <v>25.953393839375163</v>
      </c>
      <c r="U101" s="55">
        <f t="shared" ca="1" si="28"/>
        <v>280.81702125011259</v>
      </c>
      <c r="V101" s="55">
        <f t="shared" ca="1" si="29"/>
        <v>0</v>
      </c>
      <c r="W101" s="55">
        <f t="shared" ca="1" si="34"/>
        <v>-81.36814366633412</v>
      </c>
      <c r="X101" s="55">
        <f t="shared" ca="1" si="35"/>
        <v>56.515387407982807</v>
      </c>
      <c r="Y101" s="55">
        <f t="shared" ca="1" si="36"/>
        <v>-6.4591201200498976</v>
      </c>
      <c r="Z101">
        <f t="shared" ca="1" si="30"/>
        <v>120</v>
      </c>
      <c r="AA101">
        <f t="shared" ca="1" si="37"/>
        <v>182.09857518367505</v>
      </c>
      <c r="AB101">
        <f t="shared" ca="1" si="31"/>
        <v>0</v>
      </c>
      <c r="AC101">
        <f t="shared" ca="1" si="32"/>
        <v>0.99999966010929919</v>
      </c>
      <c r="AD101" s="83">
        <f ca="1"/>
        <v>45645</v>
      </c>
      <c r="AE101" s="55">
        <f t="shared" ca="1" si="41"/>
        <v>45645</v>
      </c>
      <c r="AF101" s="55">
        <f t="shared" ca="1" si="42"/>
        <v>46.029633192554854</v>
      </c>
      <c r="AG101" s="55">
        <f t="shared" ca="1" si="43"/>
        <v>28.423621438435568</v>
      </c>
      <c r="AH101" s="55">
        <f t="shared" ca="1" si="44"/>
        <v>0</v>
      </c>
      <c r="AI101" s="55">
        <f t="shared" ca="1" si="38"/>
        <v>-0.60436814320071486</v>
      </c>
      <c r="AJ101" s="55">
        <f t="shared" ca="1" si="39"/>
        <v>75.437125333581619</v>
      </c>
      <c r="AK101" s="55">
        <f t="shared" ca="1" si="40"/>
        <v>-11.068416644980244</v>
      </c>
    </row>
    <row r="102" spans="18:37">
      <c r="R102" s="83">
        <f ca="1"/>
        <v>45505</v>
      </c>
      <c r="S102" s="55">
        <f t="shared" ca="1" si="33"/>
        <v>45505</v>
      </c>
      <c r="T102" s="55">
        <f t="shared" ca="1" si="27"/>
        <v>21.03123192013431</v>
      </c>
      <c r="U102" s="55">
        <f t="shared" ca="1" si="28"/>
        <v>286.06286029246644</v>
      </c>
      <c r="V102" s="55">
        <f t="shared" ca="1" si="29"/>
        <v>0</v>
      </c>
      <c r="W102" s="55">
        <f t="shared" ca="1" si="34"/>
        <v>-81.754996413479546</v>
      </c>
      <c r="X102" s="55">
        <f t="shared" ca="1" si="35"/>
        <v>57.224646784547289</v>
      </c>
      <c r="Y102" s="55">
        <f t="shared" ca="1" si="36"/>
        <v>-6.4578496263559515</v>
      </c>
      <c r="Z102">
        <f t="shared" ca="1" si="30"/>
        <v>120</v>
      </c>
      <c r="AA102">
        <f t="shared" ca="1" si="37"/>
        <v>185.43857518367506</v>
      </c>
      <c r="AB102">
        <f t="shared" ca="1" si="31"/>
        <v>0</v>
      </c>
      <c r="AC102">
        <f t="shared" ca="1" si="32"/>
        <v>0.99999976206214614</v>
      </c>
      <c r="AD102" s="83">
        <f ca="1"/>
        <v>45646</v>
      </c>
      <c r="AE102" s="55">
        <f t="shared" ca="1" si="41"/>
        <v>45646</v>
      </c>
      <c r="AF102" s="55">
        <f t="shared" ca="1" si="42"/>
        <v>45.76654663303249</v>
      </c>
      <c r="AG102" s="55">
        <f t="shared" ca="1" si="43"/>
        <v>29.662531633499771</v>
      </c>
      <c r="AH102" s="55">
        <f t="shared" ca="1" si="44"/>
        <v>0</v>
      </c>
      <c r="AI102" s="55">
        <f t="shared" ca="1" si="38"/>
        <v>-0.60436814320071486</v>
      </c>
      <c r="AJ102" s="55">
        <f t="shared" ca="1" si="39"/>
        <v>76.334079706285038</v>
      </c>
      <c r="AK102" s="55">
        <f t="shared" ca="1" si="40"/>
        <v>-10.989547382141827</v>
      </c>
    </row>
    <row r="103" spans="18:37">
      <c r="R103" s="83">
        <f ca="1"/>
        <v>45506</v>
      </c>
      <c r="S103" s="55">
        <f t="shared" ca="1" si="33"/>
        <v>45506</v>
      </c>
      <c r="T103" s="55">
        <f t="shared" ca="1" si="27"/>
        <v>17.232375308783052</v>
      </c>
      <c r="U103" s="55">
        <f t="shared" ca="1" si="28"/>
        <v>290.473648921387</v>
      </c>
      <c r="V103" s="55">
        <f t="shared" ca="1" si="29"/>
        <v>0</v>
      </c>
      <c r="W103" s="55">
        <f t="shared" ca="1" si="34"/>
        <v>-81.820479439652928</v>
      </c>
      <c r="X103" s="55">
        <f t="shared" ca="1" si="35"/>
        <v>57.900291669206318</v>
      </c>
      <c r="Y103" s="55">
        <f t="shared" ca="1" si="36"/>
        <v>-6.456079467272307</v>
      </c>
      <c r="Z103">
        <f t="shared" ca="1" si="30"/>
        <v>120</v>
      </c>
      <c r="AA103">
        <f t="shared" ca="1" si="37"/>
        <v>186.12857518367505</v>
      </c>
      <c r="AB103">
        <f t="shared" ca="1" si="31"/>
        <v>0</v>
      </c>
      <c r="AC103">
        <f t="shared" ca="1" si="32"/>
        <v>0.98628674405542005</v>
      </c>
      <c r="AD103" s="83">
        <f ca="1"/>
        <v>45647</v>
      </c>
      <c r="AE103" s="55">
        <f t="shared" ca="1" si="41"/>
        <v>45647</v>
      </c>
      <c r="AF103" s="55">
        <f t="shared" ca="1" si="42"/>
        <v>45.410199080243828</v>
      </c>
      <c r="AG103" s="55">
        <f t="shared" ca="1" si="43"/>
        <v>30.952411064428048</v>
      </c>
      <c r="AH103" s="55">
        <f t="shared" ca="1" si="44"/>
        <v>0</v>
      </c>
      <c r="AI103" s="55">
        <f t="shared" ca="1" si="38"/>
        <v>-0.60436814320071486</v>
      </c>
      <c r="AJ103" s="55">
        <f t="shared" ca="1" si="39"/>
        <v>77.188479168067772</v>
      </c>
      <c r="AK103" s="55">
        <f t="shared" ca="1" si="40"/>
        <v>-10.910414965784954</v>
      </c>
    </row>
    <row r="104" spans="18:37">
      <c r="R104" s="83">
        <f ca="1"/>
        <v>45507</v>
      </c>
      <c r="S104" s="55">
        <f t="shared" ca="1" si="33"/>
        <v>45507</v>
      </c>
      <c r="T104" s="55">
        <f t="shared" ca="1" si="27"/>
        <v>13.412981610870483</v>
      </c>
      <c r="U104" s="55">
        <f t="shared" ca="1" si="28"/>
        <v>294.61064275120992</v>
      </c>
      <c r="V104" s="55">
        <f t="shared" ca="1" si="29"/>
        <v>0</v>
      </c>
      <c r="W104" s="55">
        <f t="shared" ca="1" si="34"/>
        <v>-82.186128981827522</v>
      </c>
      <c r="X104" s="55">
        <f t="shared" ca="1" si="35"/>
        <v>58.581245334386061</v>
      </c>
      <c r="Y104" s="55">
        <f t="shared" ca="1" si="36"/>
        <v>-6.4537834583670879</v>
      </c>
      <c r="Z104">
        <f t="shared" ca="1" si="30"/>
        <v>120</v>
      </c>
      <c r="AA104">
        <f t="shared" ca="1" si="37"/>
        <v>191.07857518367507</v>
      </c>
      <c r="AB104">
        <f t="shared" ca="1" si="31"/>
        <v>0</v>
      </c>
      <c r="AC104">
        <f t="shared" ca="1" si="32"/>
        <v>0.95176360664237436</v>
      </c>
      <c r="AD104" s="83">
        <f ca="1"/>
        <v>45648</v>
      </c>
      <c r="AE104" s="55">
        <f t="shared" ca="1" si="41"/>
        <v>45648</v>
      </c>
      <c r="AF104" s="55">
        <f t="shared" ca="1" si="42"/>
        <v>44.949198075324496</v>
      </c>
      <c r="AG104" s="55">
        <f t="shared" ca="1" si="43"/>
        <v>32.345330082340062</v>
      </c>
      <c r="AH104" s="55">
        <f t="shared" ca="1" si="44"/>
        <v>0</v>
      </c>
      <c r="AI104" s="55">
        <f t="shared" ca="1" si="38"/>
        <v>-0.60436814320071486</v>
      </c>
      <c r="AJ104" s="55">
        <f t="shared" ca="1" si="39"/>
        <v>78.03769618749449</v>
      </c>
      <c r="AK104" s="55">
        <f t="shared" ca="1" si="40"/>
        <v>-10.827713972218978</v>
      </c>
    </row>
    <row r="105" spans="18:37">
      <c r="R105" s="83">
        <f ca="1"/>
        <v>45508</v>
      </c>
      <c r="S105" s="55">
        <f t="shared" ca="1" si="33"/>
        <v>45508</v>
      </c>
      <c r="T105" s="55">
        <f t="shared" ca="1" si="27"/>
        <v>10.457445169586466</v>
      </c>
      <c r="U105" s="55">
        <f t="shared" ca="1" si="28"/>
        <v>298.12846117815025</v>
      </c>
      <c r="V105" s="55">
        <f t="shared" ca="1" si="29"/>
        <v>0</v>
      </c>
      <c r="W105" s="55">
        <f t="shared" ca="1" si="34"/>
        <v>-82.280579414141812</v>
      </c>
      <c r="X105" s="55">
        <f t="shared" ca="1" si="35"/>
        <v>59.235270249666549</v>
      </c>
      <c r="Y105" s="55">
        <f t="shared" ca="1" si="36"/>
        <v>-6.4510759556769735</v>
      </c>
      <c r="Z105">
        <f t="shared" ca="1" si="30"/>
        <v>120</v>
      </c>
      <c r="AA105">
        <f t="shared" ca="1" si="37"/>
        <v>192.71857518367506</v>
      </c>
      <c r="AB105">
        <f t="shared" ca="1" si="31"/>
        <v>0</v>
      </c>
      <c r="AC105">
        <f t="shared" ca="1" si="32"/>
        <v>0.91997299554966638</v>
      </c>
      <c r="AD105" s="83">
        <f ca="1"/>
        <v>45649</v>
      </c>
      <c r="AE105" s="55">
        <f t="shared" ca="1" si="41"/>
        <v>45649</v>
      </c>
      <c r="AF105" s="55">
        <f t="shared" ca="1" si="42"/>
        <v>44.445183816200398</v>
      </c>
      <c r="AG105" s="55">
        <f t="shared" ca="1" si="43"/>
        <v>33.794976079201</v>
      </c>
      <c r="AH105" s="55">
        <f t="shared" ca="1" si="44"/>
        <v>0</v>
      </c>
      <c r="AI105" s="55">
        <f t="shared" ca="1" si="38"/>
        <v>-0.60436814320071486</v>
      </c>
      <c r="AJ105" s="55">
        <f t="shared" ca="1" si="39"/>
        <v>78.900543303469547</v>
      </c>
      <c r="AK105" s="55">
        <f t="shared" ca="1" si="40"/>
        <v>-10.744929350457193</v>
      </c>
    </row>
    <row r="106" spans="18:37">
      <c r="R106" s="83">
        <f ca="1"/>
        <v>45509</v>
      </c>
      <c r="S106" s="55">
        <f t="shared" ca="1" si="33"/>
        <v>45509</v>
      </c>
      <c r="T106" s="55">
        <f t="shared" ca="1" si="27"/>
        <v>7.6523217771444942</v>
      </c>
      <c r="U106" s="55">
        <f t="shared" ca="1" si="28"/>
        <v>301.45255566248289</v>
      </c>
      <c r="V106" s="55">
        <f t="shared" ca="1" si="29"/>
        <v>0</v>
      </c>
      <c r="W106" s="55">
        <f t="shared" ca="1" si="34"/>
        <v>-82.425973527907558</v>
      </c>
      <c r="X106" s="55">
        <f t="shared" ca="1" si="35"/>
        <v>59.896452047266372</v>
      </c>
      <c r="Y106" s="55">
        <f t="shared" ca="1" si="36"/>
        <v>-6.4478925476203761</v>
      </c>
      <c r="Z106">
        <f t="shared" ca="1" si="30"/>
        <v>120</v>
      </c>
      <c r="AA106">
        <f t="shared" ca="1" si="37"/>
        <v>196.16857518367505</v>
      </c>
      <c r="AB106">
        <f t="shared" ca="1" si="31"/>
        <v>0</v>
      </c>
      <c r="AC106">
        <f t="shared" ca="1" si="32"/>
        <v>0.88744926763930676</v>
      </c>
      <c r="AD106" s="83">
        <f ca="1"/>
        <v>45650</v>
      </c>
      <c r="AE106" s="55">
        <f t="shared" ca="1" si="41"/>
        <v>45650</v>
      </c>
      <c r="AF106" s="55">
        <f t="shared" ca="1" si="42"/>
        <v>43.896359657460799</v>
      </c>
      <c r="AG106" s="55">
        <f t="shared" ca="1" si="43"/>
        <v>35.344501553514576</v>
      </c>
      <c r="AH106" s="55">
        <f t="shared" ca="1" si="44"/>
        <v>0</v>
      </c>
      <c r="AI106" s="55">
        <f t="shared" ca="1" si="38"/>
        <v>-0.60436814320071486</v>
      </c>
      <c r="AJ106" s="55">
        <f t="shared" ca="1" si="39"/>
        <v>79.8157609388292</v>
      </c>
      <c r="AK106" s="55">
        <f t="shared" ca="1" si="40"/>
        <v>-10.659445670242873</v>
      </c>
    </row>
    <row r="107" spans="18:37">
      <c r="R107" s="83">
        <f ca="1"/>
        <v>45510</v>
      </c>
      <c r="S107" s="55">
        <f t="shared" ca="1" si="33"/>
        <v>45510</v>
      </c>
      <c r="T107" s="55">
        <f t="shared" ca="1" si="27"/>
        <v>5.1657934949562136</v>
      </c>
      <c r="U107" s="55">
        <f t="shared" ca="1" si="28"/>
        <v>304.57982921514298</v>
      </c>
      <c r="V107" s="55">
        <f t="shared" ca="1" si="29"/>
        <v>0</v>
      </c>
      <c r="W107" s="55">
        <f t="shared" ca="1" si="34"/>
        <v>-82.457267755166853</v>
      </c>
      <c r="X107" s="55">
        <f t="shared" ca="1" si="35"/>
        <v>60.564840470482018</v>
      </c>
      <c r="Y107" s="55">
        <f t="shared" ca="1" si="36"/>
        <v>-6.4442414731049169</v>
      </c>
      <c r="Z107">
        <f t="shared" ca="1" si="30"/>
        <v>120</v>
      </c>
      <c r="AA107">
        <f t="shared" ca="1" si="37"/>
        <v>197.26857518367507</v>
      </c>
      <c r="AB107">
        <f t="shared" ca="1" si="31"/>
        <v>0</v>
      </c>
      <c r="AC107">
        <f t="shared" ca="1" si="32"/>
        <v>0.8541924229112956</v>
      </c>
      <c r="AD107" s="83">
        <f ca="1"/>
        <v>45651</v>
      </c>
      <c r="AE107" s="55">
        <f t="shared" ca="1" si="41"/>
        <v>45651</v>
      </c>
      <c r="AF107" s="55">
        <f t="shared" ca="1" si="42"/>
        <v>43.218974384367549</v>
      </c>
      <c r="AG107" s="55">
        <f t="shared" ca="1" si="43"/>
        <v>36.999871322482257</v>
      </c>
      <c r="AH107" s="55">
        <f t="shared" ca="1" si="44"/>
        <v>0</v>
      </c>
      <c r="AI107" s="55">
        <f t="shared" ca="1" si="38"/>
        <v>-0.60436814320071486</v>
      </c>
      <c r="AJ107" s="55">
        <f t="shared" ca="1" si="39"/>
        <v>80.705553503765685</v>
      </c>
      <c r="AK107" s="55">
        <f t="shared" ca="1" si="40"/>
        <v>-10.571253739304927</v>
      </c>
    </row>
    <row r="108" spans="18:37">
      <c r="R108" s="83">
        <f ca="1"/>
        <v>45511</v>
      </c>
      <c r="S108" s="55">
        <f t="shared" ca="1" si="33"/>
        <v>45511</v>
      </c>
      <c r="T108" s="55">
        <f t="shared" ca="1" si="27"/>
        <v>3.1838611109422956</v>
      </c>
      <c r="U108" s="55">
        <f t="shared" ca="1" si="28"/>
        <v>307.15579615022006</v>
      </c>
      <c r="V108" s="55">
        <f t="shared" ca="1" si="29"/>
        <v>0</v>
      </c>
      <c r="W108" s="55">
        <f t="shared" ca="1" si="34"/>
        <v>-82.501278867161304</v>
      </c>
      <c r="X108" s="55">
        <f t="shared" ca="1" si="35"/>
        <v>61.198962802103914</v>
      </c>
      <c r="Y108" s="55">
        <f t="shared" ca="1" si="36"/>
        <v>-6.440318141669211</v>
      </c>
      <c r="Z108">
        <f t="shared" ca="1" si="30"/>
        <v>120</v>
      </c>
      <c r="AA108">
        <f t="shared" ca="1" si="37"/>
        <v>199.77857518367506</v>
      </c>
      <c r="AB108">
        <f t="shared" ca="1" si="31"/>
        <v>0</v>
      </c>
      <c r="AC108">
        <f t="shared" ca="1" si="32"/>
        <v>0.82446786830469654</v>
      </c>
      <c r="AD108" s="83">
        <f ca="1"/>
        <v>45652</v>
      </c>
      <c r="AE108" s="55">
        <f t="shared" ca="1" si="41"/>
        <v>45652</v>
      </c>
      <c r="AF108" s="55">
        <f t="shared" ca="1" si="42"/>
        <v>42.439760078762312</v>
      </c>
      <c r="AG108" s="55">
        <f t="shared" ca="1" si="43"/>
        <v>38.679473623624958</v>
      </c>
      <c r="AH108" s="55">
        <f t="shared" ca="1" si="44"/>
        <v>0</v>
      </c>
      <c r="AI108" s="55">
        <f t="shared" ca="1" si="38"/>
        <v>-0.60436814320071486</v>
      </c>
      <c r="AJ108" s="55">
        <f t="shared" ca="1" si="39"/>
        <v>81.520521409739743</v>
      </c>
      <c r="AK108" s="55">
        <f t="shared" ca="1" si="40"/>
        <v>-10.485833649741531</v>
      </c>
    </row>
    <row r="109" spans="18:37">
      <c r="R109" s="83">
        <f ca="1"/>
        <v>45512</v>
      </c>
      <c r="S109" s="55">
        <f t="shared" ca="1" si="33"/>
        <v>45512</v>
      </c>
      <c r="T109" s="55">
        <f t="shared" ca="1" si="27"/>
        <v>1.8889061172242525</v>
      </c>
      <c r="U109" s="55">
        <f t="shared" ca="1" si="28"/>
        <v>309.00390679655288</v>
      </c>
      <c r="V109" s="55">
        <f t="shared" ca="1" si="29"/>
        <v>0</v>
      </c>
      <c r="W109" s="55">
        <f t="shared" ca="1" si="34"/>
        <v>-82.522916423611363</v>
      </c>
      <c r="X109" s="55">
        <f t="shared" ca="1" si="35"/>
        <v>61.769760813741193</v>
      </c>
      <c r="Y109" s="55">
        <f t="shared" ca="1" si="36"/>
        <v>-6.4363229442416507</v>
      </c>
      <c r="Z109">
        <f t="shared" ca="1" si="30"/>
        <v>120</v>
      </c>
      <c r="AA109">
        <f t="shared" ca="1" si="37"/>
        <v>201.85857518367504</v>
      </c>
      <c r="AB109">
        <f t="shared" ca="1" si="31"/>
        <v>0</v>
      </c>
      <c r="AC109">
        <f t="shared" ca="1" si="32"/>
        <v>0.80160795299065268</v>
      </c>
      <c r="AD109" s="83">
        <f ca="1"/>
        <v>45653</v>
      </c>
      <c r="AE109" s="55">
        <f t="shared" ca="1" si="41"/>
        <v>45653</v>
      </c>
      <c r="AF109" s="55">
        <f t="shared" ca="1" si="42"/>
        <v>41.585006757407243</v>
      </c>
      <c r="AG109" s="55">
        <f t="shared" ca="1" si="43"/>
        <v>40.365059675299911</v>
      </c>
      <c r="AH109" s="55">
        <f t="shared" ca="1" si="44"/>
        <v>0</v>
      </c>
      <c r="AI109" s="55">
        <f t="shared" ca="1" si="38"/>
        <v>-0.60436814320071486</v>
      </c>
      <c r="AJ109" s="55">
        <f t="shared" ca="1" si="39"/>
        <v>82.269513497315259</v>
      </c>
      <c r="AK109" s="55">
        <f t="shared" ca="1" si="40"/>
        <v>-10.403993006997164</v>
      </c>
    </row>
    <row r="110" spans="18:37">
      <c r="R110" s="83">
        <f ca="1"/>
        <v>45513</v>
      </c>
      <c r="S110" s="55">
        <f t="shared" ca="1" si="33"/>
        <v>45513</v>
      </c>
      <c r="T110" s="55">
        <f t="shared" ca="1" si="27"/>
        <v>0.98203939174289989</v>
      </c>
      <c r="U110" s="55">
        <f t="shared" ca="1" si="28"/>
        <v>310.45086256633022</v>
      </c>
      <c r="V110" s="55">
        <f t="shared" ca="1" si="29"/>
        <v>0</v>
      </c>
      <c r="W110" s="55">
        <f t="shared" ca="1" si="34"/>
        <v>-82.523403173570742</v>
      </c>
      <c r="X110" s="55">
        <f t="shared" ca="1" si="35"/>
        <v>62.306203043351921</v>
      </c>
      <c r="Y110" s="55">
        <f t="shared" ca="1" si="36"/>
        <v>-6.4321893795970144</v>
      </c>
      <c r="Z110">
        <f t="shared" ca="1" si="30"/>
        <v>120</v>
      </c>
      <c r="AA110">
        <f t="shared" ca="1" si="37"/>
        <v>201.94857518367502</v>
      </c>
      <c r="AB110">
        <f t="shared" ca="1" si="31"/>
        <v>0</v>
      </c>
      <c r="AC110">
        <f t="shared" ca="1" si="32"/>
        <v>0.78268020969855834</v>
      </c>
      <c r="AD110" s="83">
        <f ca="1"/>
        <v>45654</v>
      </c>
      <c r="AE110" s="55">
        <f t="shared" ca="1" si="41"/>
        <v>45654</v>
      </c>
      <c r="AF110" s="55">
        <f t="shared" ca="1" si="42"/>
        <v>40.679392840107063</v>
      </c>
      <c r="AG110" s="55">
        <f t="shared" ca="1" si="43"/>
        <v>42.116412148535488</v>
      </c>
      <c r="AH110" s="55">
        <f t="shared" ca="1" si="44"/>
        <v>0</v>
      </c>
      <c r="AI110" s="55">
        <f t="shared" ca="1" si="38"/>
        <v>-0.60436814320071486</v>
      </c>
      <c r="AJ110" s="55">
        <f t="shared" ca="1" si="39"/>
        <v>83.03343848082838</v>
      </c>
      <c r="AK110" s="55">
        <f t="shared" ca="1" si="40"/>
        <v>-10.322179434574883</v>
      </c>
    </row>
    <row r="111" spans="18:37">
      <c r="R111" s="83">
        <f ca="1"/>
        <v>45514</v>
      </c>
      <c r="S111" s="55">
        <f t="shared" ca="1" si="33"/>
        <v>45514</v>
      </c>
      <c r="T111" s="55">
        <f t="shared" ca="1" si="27"/>
        <v>-0.23979372450376291</v>
      </c>
      <c r="U111" s="55">
        <f t="shared" ca="1" si="28"/>
        <v>312.26986496143195</v>
      </c>
      <c r="V111" s="55">
        <f t="shared" ca="1" si="29"/>
        <v>0</v>
      </c>
      <c r="W111" s="55">
        <f t="shared" ca="1" si="34"/>
        <v>-82.523403173570742</v>
      </c>
      <c r="X111" s="55">
        <f t="shared" ca="1" si="35"/>
        <v>62.898646889388566</v>
      </c>
      <c r="Y111" s="55">
        <f t="shared" ca="1" si="36"/>
        <v>-6.4274639467785892</v>
      </c>
      <c r="Z111">
        <f t="shared" ca="1" si="30"/>
        <v>120</v>
      </c>
      <c r="AA111">
        <f t="shared" ca="1" si="37"/>
        <v>205.37857518367503</v>
      </c>
      <c r="AB111">
        <f t="shared" ca="1" si="31"/>
        <v>0</v>
      </c>
      <c r="AC111">
        <f t="shared" ca="1" si="32"/>
        <v>0.75742100298129122</v>
      </c>
      <c r="AD111" s="83">
        <f ca="1"/>
        <v>45655</v>
      </c>
      <c r="AE111" s="55">
        <f t="shared" ca="1" si="41"/>
        <v>45655</v>
      </c>
      <c r="AF111" s="55">
        <f t="shared" ca="1" si="42"/>
        <v>39.723740517973702</v>
      </c>
      <c r="AG111" s="55">
        <f t="shared" ca="1" si="43"/>
        <v>43.919800489911815</v>
      </c>
      <c r="AH111" s="55">
        <f t="shared" ca="1" si="44"/>
        <v>0</v>
      </c>
      <c r="AI111" s="55">
        <f t="shared" ca="1" si="38"/>
        <v>-0.60436814320071486</v>
      </c>
      <c r="AJ111" s="55">
        <f t="shared" ca="1" si="39"/>
        <v>83.800223381912659</v>
      </c>
      <c r="AK111" s="55">
        <f t="shared" ca="1" si="40"/>
        <v>-10.241228316416203</v>
      </c>
    </row>
    <row r="112" spans="18:37">
      <c r="R112" s="83">
        <f ca="1"/>
        <v>45515</v>
      </c>
      <c r="S112" s="55">
        <f t="shared" ca="1" si="33"/>
        <v>45515</v>
      </c>
      <c r="T112" s="55">
        <f t="shared" ca="1" si="27"/>
        <v>-1.4909089758259761</v>
      </c>
      <c r="U112" s="55">
        <f t="shared" ca="1" si="28"/>
        <v>314.14389574115876</v>
      </c>
      <c r="V112" s="55">
        <f t="shared" ca="1" si="29"/>
        <v>0</v>
      </c>
      <c r="W112" s="55">
        <f t="shared" ca="1" si="34"/>
        <v>-82.523403173570742</v>
      </c>
      <c r="X112" s="55">
        <f t="shared" ca="1" si="35"/>
        <v>63.516379211156227</v>
      </c>
      <c r="Y112" s="55">
        <f t="shared" ca="1" si="36"/>
        <v>-6.4222807401416571</v>
      </c>
      <c r="Z112">
        <f t="shared" ca="1" si="30"/>
        <v>120</v>
      </c>
      <c r="AA112">
        <f t="shared" ca="1" si="37"/>
        <v>209.12857518367503</v>
      </c>
      <c r="AB112">
        <f t="shared" ca="1" si="31"/>
        <v>0</v>
      </c>
      <c r="AC112">
        <f t="shared" ca="1" si="32"/>
        <v>0.72942926994368662</v>
      </c>
      <c r="AD112" s="83">
        <f ca="1"/>
        <v>45656</v>
      </c>
      <c r="AE112" s="55">
        <f t="shared" ca="1" si="41"/>
        <v>45656</v>
      </c>
      <c r="AF112" s="55">
        <f t="shared" ca="1" si="42"/>
        <v>38.741252896889243</v>
      </c>
      <c r="AG112" s="55">
        <f t="shared" ca="1" si="43"/>
        <v>45.740655064093126</v>
      </c>
      <c r="AH112" s="55">
        <f t="shared" ca="1" si="44"/>
        <v>0</v>
      </c>
      <c r="AI112" s="55">
        <f t="shared" ca="1" si="38"/>
        <v>-0.60436814320071486</v>
      </c>
      <c r="AJ112" s="55">
        <f t="shared" ca="1" si="39"/>
        <v>84.560227718736911</v>
      </c>
      <c r="AK112" s="55">
        <f t="shared" ca="1" si="40"/>
        <v>-10.162865700143604</v>
      </c>
    </row>
    <row r="113" spans="18:37">
      <c r="R113" s="83">
        <f ca="1"/>
        <v>45516</v>
      </c>
      <c r="S113" s="55">
        <f t="shared" ca="1" si="33"/>
        <v>45516</v>
      </c>
      <c r="T113" s="55">
        <f t="shared" ca="1" si="27"/>
        <v>-2.7013546325934175</v>
      </c>
      <c r="U113" s="55">
        <f t="shared" ca="1" si="28"/>
        <v>315.99662441356935</v>
      </c>
      <c r="V113" s="55">
        <f t="shared" ca="1" si="29"/>
        <v>0</v>
      </c>
      <c r="W113" s="55">
        <f t="shared" ca="1" si="34"/>
        <v>-82.523403173570742</v>
      </c>
      <c r="X113" s="55">
        <f t="shared" ca="1" si="35"/>
        <v>64.153047535415482</v>
      </c>
      <c r="Y113" s="55">
        <f t="shared" ca="1" si="36"/>
        <v>-6.4166660487577651</v>
      </c>
      <c r="Z113">
        <f t="shared" ca="1" si="30"/>
        <v>120</v>
      </c>
      <c r="AA113">
        <f t="shared" ca="1" si="37"/>
        <v>211.04857518367504</v>
      </c>
      <c r="AB113">
        <f t="shared" ca="1" si="31"/>
        <v>0</v>
      </c>
      <c r="AC113">
        <f t="shared" ca="1" si="32"/>
        <v>0.69943812740339606</v>
      </c>
      <c r="AD113" s="83">
        <f ca="1"/>
        <v>45657</v>
      </c>
      <c r="AE113" s="55">
        <f t="shared" ca="1" si="41"/>
        <v>45657</v>
      </c>
      <c r="AF113" s="55">
        <f t="shared" ca="1" si="42"/>
        <v>37.710443600206418</v>
      </c>
      <c r="AG113" s="55">
        <f t="shared" ca="1" si="43"/>
        <v>47.478732974469843</v>
      </c>
      <c r="AH113" s="55">
        <f t="shared" ca="1" si="44"/>
        <v>0</v>
      </c>
      <c r="AI113" s="55">
        <f t="shared" ca="1" si="38"/>
        <v>-0.60436814320071486</v>
      </c>
      <c r="AJ113" s="55">
        <f t="shared" ca="1" si="39"/>
        <v>85.195983338473425</v>
      </c>
      <c r="AK113" s="55">
        <f t="shared" ca="1" si="40"/>
        <v>-10.091352706186226</v>
      </c>
    </row>
    <row r="114" spans="18:37">
      <c r="R114" s="83">
        <f ca="1"/>
        <v>45517</v>
      </c>
      <c r="S114" s="55">
        <f t="shared" ca="1" si="33"/>
        <v>45517</v>
      </c>
      <c r="T114" s="55">
        <f t="shared" ca="1" si="27"/>
        <v>-3.8448973853849679</v>
      </c>
      <c r="U114" s="55">
        <f t="shared" ca="1" si="28"/>
        <v>317.80088661278478</v>
      </c>
      <c r="V114" s="55">
        <f t="shared" ca="1" si="29"/>
        <v>0</v>
      </c>
      <c r="W114" s="55">
        <f t="shared" ca="1" si="34"/>
        <v>-82.523403173570742</v>
      </c>
      <c r="X114" s="55">
        <f t="shared" ca="1" si="35"/>
        <v>64.807721023310222</v>
      </c>
      <c r="Y114" s="55">
        <f t="shared" ca="1" si="36"/>
        <v>-6.4106200902286226</v>
      </c>
      <c r="Z114">
        <f t="shared" ca="1" si="30"/>
        <v>120</v>
      </c>
      <c r="AA114">
        <f t="shared" ca="1" si="37"/>
        <v>216.60857518367504</v>
      </c>
      <c r="AB114">
        <f t="shared" ca="1" si="31"/>
        <v>0</v>
      </c>
      <c r="AC114">
        <f t="shared" ca="1" si="32"/>
        <v>0.66758086932726524</v>
      </c>
      <c r="AD114" s="83">
        <f ca="1"/>
        <v>45658</v>
      </c>
      <c r="AE114" s="55">
        <f t="shared" ca="1" si="41"/>
        <v>45658</v>
      </c>
      <c r="AF114" s="55">
        <f t="shared" ca="1" si="42"/>
        <v>36.477871706669383</v>
      </c>
      <c r="AG114" s="55">
        <f t="shared" ca="1" si="43"/>
        <v>49.548756942672007</v>
      </c>
      <c r="AH114" s="55">
        <f t="shared" ca="1" si="44"/>
        <v>0</v>
      </c>
      <c r="AI114" s="55">
        <f t="shared" ca="1" si="38"/>
        <v>-0.60436814320071486</v>
      </c>
      <c r="AJ114" s="55">
        <f t="shared" ca="1" si="39"/>
        <v>85.949510932228677</v>
      </c>
      <c r="AK114" s="55">
        <f t="shared" ca="1" si="40"/>
        <v>-10.007428225276342</v>
      </c>
    </row>
    <row r="115" spans="18:37">
      <c r="R115" s="83">
        <f ca="1"/>
        <v>45518</v>
      </c>
      <c r="S115" s="55">
        <f t="shared" ca="1" si="33"/>
        <v>45518</v>
      </c>
      <c r="T115" s="55">
        <f t="shared" ca="1" si="27"/>
        <v>-4.7415067404574884</v>
      </c>
      <c r="U115" s="55">
        <f t="shared" ca="1" si="28"/>
        <v>319.33655238027768</v>
      </c>
      <c r="V115" s="55">
        <f t="shared" ca="1" si="29"/>
        <v>0</v>
      </c>
      <c r="W115" s="55">
        <f t="shared" ca="1" si="34"/>
        <v>-82.523403173570742</v>
      </c>
      <c r="X115" s="55">
        <f t="shared" ca="1" si="35"/>
        <v>65.440572807435075</v>
      </c>
      <c r="Y115" s="55">
        <f t="shared" ca="1" si="36"/>
        <v>-6.4044154619330911</v>
      </c>
      <c r="Z115">
        <f t="shared" ca="1" si="30"/>
        <v>120</v>
      </c>
      <c r="AA115">
        <f t="shared" ca="1" si="37"/>
        <v>218.64857518367506</v>
      </c>
      <c r="AB115">
        <f t="shared" ca="1" si="31"/>
        <v>0</v>
      </c>
      <c r="AC115">
        <f t="shared" ca="1" si="32"/>
        <v>0.63798960868751187</v>
      </c>
      <c r="AD115" s="83">
        <f ca="1"/>
        <v>45659</v>
      </c>
      <c r="AE115" s="55">
        <f t="shared" ca="1" si="41"/>
        <v>45659</v>
      </c>
      <c r="AF115" s="55">
        <f t="shared" ca="1" si="42"/>
        <v>35.139691588740597</v>
      </c>
      <c r="AG115" s="55">
        <f t="shared" ca="1" si="43"/>
        <v>51.747295473591805</v>
      </c>
      <c r="AH115" s="55">
        <f t="shared" ca="1" si="44"/>
        <v>0</v>
      </c>
      <c r="AI115" s="55">
        <f t="shared" ca="1" si="38"/>
        <v>-0.60436814320071486</v>
      </c>
      <c r="AJ115" s="55">
        <f t="shared" ca="1" si="39"/>
        <v>86.72359115878352</v>
      </c>
      <c r="AK115" s="55">
        <f t="shared" ca="1" si="40"/>
        <v>-9.9211500388401799</v>
      </c>
    </row>
    <row r="116" spans="18:37">
      <c r="R116" s="83">
        <f ca="1"/>
        <v>45519</v>
      </c>
      <c r="S116" s="55">
        <f t="shared" ca="1" si="33"/>
        <v>45519</v>
      </c>
      <c r="T116" s="55">
        <f t="shared" ca="1" si="27"/>
        <v>-5.5748163873254448</v>
      </c>
      <c r="U116" s="55">
        <f t="shared" ca="1" si="28"/>
        <v>320.82596650991661</v>
      </c>
      <c r="V116" s="55">
        <f t="shared" ca="1" si="29"/>
        <v>0</v>
      </c>
      <c r="W116" s="55">
        <f t="shared" ca="1" si="34"/>
        <v>-82.523403173570742</v>
      </c>
      <c r="X116" s="55">
        <f t="shared" ca="1" si="35"/>
        <v>66.090069199605168</v>
      </c>
      <c r="Y116" s="55">
        <f t="shared" ca="1" si="36"/>
        <v>-6.3978073713322061</v>
      </c>
      <c r="Z116">
        <f t="shared" ca="1" si="30"/>
        <v>120</v>
      </c>
      <c r="AA116">
        <f t="shared" ca="1" si="37"/>
        <v>218.94857518367505</v>
      </c>
      <c r="AB116">
        <f t="shared" ca="1" si="31"/>
        <v>0</v>
      </c>
      <c r="AC116">
        <f t="shared" ca="1" si="32"/>
        <v>0.60666552647876393</v>
      </c>
      <c r="AD116" s="83">
        <f ca="1"/>
        <v>45660</v>
      </c>
      <c r="AE116" s="55">
        <f t="shared" ca="1" si="41"/>
        <v>45660</v>
      </c>
      <c r="AF116" s="55">
        <f t="shared" ca="1" si="42"/>
        <v>33.779290255690135</v>
      </c>
      <c r="AG116" s="55">
        <f t="shared" ca="1" si="43"/>
        <v>54.017460145470494</v>
      </c>
      <c r="AH116" s="55">
        <f t="shared" ca="1" si="44"/>
        <v>0</v>
      </c>
      <c r="AI116" s="55">
        <f t="shared" ca="1" si="38"/>
        <v>-0.60436814320071486</v>
      </c>
      <c r="AJ116" s="55">
        <f t="shared" ca="1" si="39"/>
        <v>87.54773857487308</v>
      </c>
      <c r="AK116" s="55">
        <f t="shared" ca="1" si="40"/>
        <v>-9.8355341161015044</v>
      </c>
    </row>
    <row r="117" spans="18:37">
      <c r="R117" s="83">
        <f ca="1"/>
        <v>45520</v>
      </c>
      <c r="S117" s="55">
        <f t="shared" ca="1" si="33"/>
        <v>45520</v>
      </c>
      <c r="T117" s="55">
        <f t="shared" ca="1" si="27"/>
        <v>-6.2615167103730247</v>
      </c>
      <c r="U117" s="55">
        <f t="shared" ca="1" si="28"/>
        <v>322.16386174083942</v>
      </c>
      <c r="V117" s="55">
        <f t="shared" ca="1" si="29"/>
        <v>0</v>
      </c>
      <c r="W117" s="55">
        <f t="shared" ca="1" si="34"/>
        <v>-82.523403173570742</v>
      </c>
      <c r="X117" s="55">
        <f t="shared" ca="1" si="35"/>
        <v>66.734414725074046</v>
      </c>
      <c r="Y117" s="55">
        <f t="shared" ca="1" si="36"/>
        <v>-6.3909579889258534</v>
      </c>
      <c r="Z117">
        <f t="shared" ca="1" si="30"/>
        <v>120</v>
      </c>
      <c r="AA117">
        <f t="shared" ca="1" si="37"/>
        <v>224.17857518367504</v>
      </c>
      <c r="AB117">
        <f t="shared" ca="1" si="31"/>
        <v>0</v>
      </c>
      <c r="AC117">
        <f t="shared" ca="1" si="32"/>
        <v>0.57587462013739876</v>
      </c>
      <c r="AD117" s="83">
        <f ca="1"/>
        <v>45661</v>
      </c>
      <c r="AE117" s="55">
        <f t="shared" ca="1" si="41"/>
        <v>45661</v>
      </c>
      <c r="AF117" s="55">
        <f t="shared" ca="1" si="42"/>
        <v>32.418378099163874</v>
      </c>
      <c r="AG117" s="55">
        <f t="shared" ca="1" si="43"/>
        <v>56.163154180509444</v>
      </c>
      <c r="AH117" s="55">
        <f t="shared" ca="1" si="44"/>
        <v>0</v>
      </c>
      <c r="AI117" s="55">
        <f t="shared" ca="1" si="38"/>
        <v>-0.60436814320071486</v>
      </c>
      <c r="AJ117" s="55">
        <f t="shared" ca="1" si="39"/>
        <v>88.256106788000437</v>
      </c>
      <c r="AK117" s="55">
        <f t="shared" ca="1" si="40"/>
        <v>-9.759120450716166</v>
      </c>
    </row>
    <row r="118" spans="18:37">
      <c r="R118" s="83">
        <f ca="1"/>
        <v>45521</v>
      </c>
      <c r="S118" s="55">
        <f t="shared" ca="1" si="33"/>
        <v>45521</v>
      </c>
      <c r="T118" s="55">
        <f t="shared" ca="1" si="27"/>
        <v>-6.6812158667780688</v>
      </c>
      <c r="U118" s="55">
        <f t="shared" ca="1" si="28"/>
        <v>323.18517031542831</v>
      </c>
      <c r="V118" s="55">
        <f t="shared" ca="1" si="29"/>
        <v>0</v>
      </c>
      <c r="W118" s="55">
        <f t="shared" ca="1" si="34"/>
        <v>-82.523403173570742</v>
      </c>
      <c r="X118" s="55">
        <f t="shared" ca="1" si="35"/>
        <v>67.329295832861504</v>
      </c>
      <c r="Y118" s="55">
        <f t="shared" ca="1" si="36"/>
        <v>-6.384229678529465</v>
      </c>
      <c r="Z118">
        <f t="shared" ca="1" si="30"/>
        <v>120</v>
      </c>
      <c r="AA118">
        <f t="shared" ca="1" si="37"/>
        <v>226.08857518367503</v>
      </c>
      <c r="AB118">
        <f t="shared" ca="1" si="31"/>
        <v>0</v>
      </c>
      <c r="AC118">
        <f t="shared" ca="1" si="32"/>
        <v>0.55034882548644037</v>
      </c>
      <c r="AD118" s="83">
        <f ca="1"/>
        <v>45662</v>
      </c>
      <c r="AE118" s="55">
        <f t="shared" ca="1" si="41"/>
        <v>45662</v>
      </c>
      <c r="AF118" s="55">
        <f t="shared" ca="1" si="42"/>
        <v>31.033474027492467</v>
      </c>
      <c r="AG118" s="55">
        <f t="shared" ca="1" si="43"/>
        <v>58.288120904580836</v>
      </c>
      <c r="AH118" s="55">
        <f t="shared" ca="1" si="44"/>
        <v>0</v>
      </c>
      <c r="AI118" s="55">
        <f t="shared" ca="1" si="38"/>
        <v>-0.60436814320071486</v>
      </c>
      <c r="AJ118" s="55">
        <f t="shared" ca="1" si="39"/>
        <v>88.923502938273913</v>
      </c>
      <c r="AK118" s="55">
        <f t="shared" ca="1" si="40"/>
        <v>-9.6864539485896533</v>
      </c>
    </row>
    <row r="119" spans="18:37">
      <c r="R119" s="83">
        <f ca="1"/>
        <v>45522</v>
      </c>
      <c r="S119" s="55">
        <f t="shared" ca="1" si="33"/>
        <v>45522</v>
      </c>
      <c r="T119" s="55">
        <f t="shared" ca="1" si="27"/>
        <v>-7.1396434047523298</v>
      </c>
      <c r="U119" s="55">
        <f t="shared" ca="1" si="28"/>
        <v>324.28627319073075</v>
      </c>
      <c r="V119" s="55">
        <f t="shared" ca="1" si="29"/>
        <v>0</v>
      </c>
      <c r="W119" s="55">
        <f t="shared" ca="1" si="34"/>
        <v>-82.523403173570742</v>
      </c>
      <c r="X119" s="55">
        <f t="shared" ca="1" si="35"/>
        <v>67.964690344332269</v>
      </c>
      <c r="Y119" s="55">
        <f t="shared" ca="1" si="36"/>
        <v>-6.3769488526720437</v>
      </c>
      <c r="Z119">
        <f t="shared" ca="1" si="30"/>
        <v>120</v>
      </c>
      <c r="AA119">
        <f t="shared" ca="1" si="37"/>
        <v>226.65857518367503</v>
      </c>
      <c r="AB119">
        <f t="shared" ca="1" si="31"/>
        <v>0</v>
      </c>
      <c r="AC119">
        <f t="shared" ca="1" si="32"/>
        <v>0.5204909769129954</v>
      </c>
      <c r="AD119" s="83">
        <f ca="1"/>
        <v>45663</v>
      </c>
      <c r="AE119" s="55">
        <f t="shared" ca="1" si="41"/>
        <v>45663</v>
      </c>
      <c r="AF119" s="55">
        <f t="shared" ca="1" si="42"/>
        <v>29.460003944098275</v>
      </c>
      <c r="AG119" s="55">
        <f t="shared" ca="1" si="43"/>
        <v>60.626128584341309</v>
      </c>
      <c r="AH119" s="55">
        <f t="shared" ca="1" si="44"/>
        <v>0</v>
      </c>
      <c r="AI119" s="55">
        <f t="shared" ca="1" si="38"/>
        <v>-0.60436814320071486</v>
      </c>
      <c r="AJ119" s="55">
        <f t="shared" ca="1" si="39"/>
        <v>89.613127371097548</v>
      </c>
      <c r="AK119" s="55">
        <f t="shared" ca="1" si="40"/>
        <v>-9.6115407850470049</v>
      </c>
    </row>
    <row r="120" spans="18:37">
      <c r="R120" s="83">
        <f ca="1"/>
        <v>45523</v>
      </c>
      <c r="S120" s="55">
        <f t="shared" ca="1" si="33"/>
        <v>45523</v>
      </c>
      <c r="T120" s="55">
        <f t="shared" ca="1" si="27"/>
        <v>-7.4710779315602052</v>
      </c>
      <c r="U120" s="55">
        <f t="shared" ca="1" si="28"/>
        <v>325.24659989260454</v>
      </c>
      <c r="V120" s="55">
        <f t="shared" ca="1" si="29"/>
        <v>0</v>
      </c>
      <c r="W120" s="55">
        <f t="shared" ca="1" si="34"/>
        <v>-82.523403173570742</v>
      </c>
      <c r="X120" s="55">
        <f t="shared" ca="1" si="35"/>
        <v>68.586180559147564</v>
      </c>
      <c r="Y120" s="55">
        <f t="shared" ca="1" si="36"/>
        <v>-6.3695468924214298</v>
      </c>
      <c r="Z120">
        <f t="shared" ca="1" si="30"/>
        <v>120</v>
      </c>
      <c r="AA120">
        <f t="shared" ca="1" si="37"/>
        <v>228.86857518367503</v>
      </c>
      <c r="AB120">
        <f t="shared" ca="1" si="31"/>
        <v>0</v>
      </c>
      <c r="AC120">
        <f t="shared" ca="1" si="32"/>
        <v>0.49209936197485371</v>
      </c>
      <c r="AD120" s="83">
        <f ca="1"/>
        <v>45664</v>
      </c>
      <c r="AE120" s="55">
        <f t="shared" ca="1" si="41"/>
        <v>45664</v>
      </c>
      <c r="AF120" s="55">
        <f t="shared" ca="1" si="42"/>
        <v>27.871523532004019</v>
      </c>
      <c r="AG120" s="55">
        <f t="shared" ca="1" si="43"/>
        <v>62.934810395041275</v>
      </c>
      <c r="AH120" s="55">
        <f t="shared" ca="1" si="44"/>
        <v>0</v>
      </c>
      <c r="AI120" s="55">
        <f t="shared" ca="1" si="38"/>
        <v>-0.60436814320071486</v>
      </c>
      <c r="AJ120" s="55">
        <f t="shared" ca="1" si="39"/>
        <v>90.263523745481862</v>
      </c>
      <c r="AK120" s="55">
        <f t="shared" ca="1" si="40"/>
        <v>-9.5417357608256061</v>
      </c>
    </row>
    <row r="121" spans="18:37">
      <c r="R121" s="83">
        <f ca="1"/>
        <v>45524</v>
      </c>
      <c r="S121" s="55">
        <f t="shared" ca="1" si="33"/>
        <v>45524</v>
      </c>
      <c r="T121" s="55">
        <f t="shared" ca="1" si="27"/>
        <v>-7.792117086302075</v>
      </c>
      <c r="U121" s="55">
        <f t="shared" ca="1" si="28"/>
        <v>326.22956298073501</v>
      </c>
      <c r="V121" s="55">
        <f t="shared" ca="1" si="29"/>
        <v>0</v>
      </c>
      <c r="W121" s="55">
        <f t="shared" ca="1" si="34"/>
        <v>-82.523403173570742</v>
      </c>
      <c r="X121" s="55">
        <f t="shared" ca="1" si="35"/>
        <v>69.240205474428052</v>
      </c>
      <c r="Y121" s="55">
        <f t="shared" ca="1" si="36"/>
        <v>-6.3616478743133094</v>
      </c>
      <c r="Z121">
        <f t="shared" ca="1" si="30"/>
        <v>120</v>
      </c>
      <c r="AA121">
        <f t="shared" ca="1" si="37"/>
        <v>229.53857518367505</v>
      </c>
      <c r="AB121">
        <f t="shared" ca="1" si="31"/>
        <v>0</v>
      </c>
      <c r="AC121">
        <f t="shared" ca="1" si="32"/>
        <v>0.46030875088214573</v>
      </c>
      <c r="AD121" s="83">
        <f ca="1"/>
        <v>45665</v>
      </c>
      <c r="AE121" s="55">
        <f t="shared" ca="1" si="41"/>
        <v>45665</v>
      </c>
      <c r="AF121" s="55">
        <f t="shared" ca="1" si="42"/>
        <v>26.181068738308621</v>
      </c>
      <c r="AG121" s="55">
        <f t="shared" ca="1" si="43"/>
        <v>65.355762533701878</v>
      </c>
      <c r="AH121" s="55">
        <f t="shared" ca="1" si="44"/>
        <v>0</v>
      </c>
      <c r="AI121" s="55">
        <f t="shared" ca="1" si="38"/>
        <v>-0.60436814320071486</v>
      </c>
      <c r="AJ121" s="55">
        <f t="shared" ca="1" si="39"/>
        <v>90.924794118213953</v>
      </c>
      <c r="AK121" s="55">
        <f t="shared" ca="1" si="40"/>
        <v>-9.4725087885924886</v>
      </c>
    </row>
    <row r="122" spans="18:37">
      <c r="R122" s="83">
        <f ca="1"/>
        <v>45525</v>
      </c>
      <c r="S122" s="55">
        <f t="shared" ca="1" si="33"/>
        <v>45525</v>
      </c>
      <c r="T122" s="55">
        <f t="shared" ca="1" si="27"/>
        <v>-7.9948955569372178</v>
      </c>
      <c r="U122" s="55">
        <f t="shared" ca="1" si="28"/>
        <v>327.07826638116978</v>
      </c>
      <c r="V122" s="55">
        <f t="shared" ca="1" si="29"/>
        <v>0</v>
      </c>
      <c r="W122" s="55">
        <f t="shared" ca="1" si="34"/>
        <v>-82.523403173570742</v>
      </c>
      <c r="X122" s="55">
        <f t="shared" ca="1" si="35"/>
        <v>69.878149245001907</v>
      </c>
      <c r="Y122" s="55">
        <f t="shared" ca="1" si="36"/>
        <v>-6.3536667150875346</v>
      </c>
      <c r="Z122">
        <f t="shared" ca="1" si="30"/>
        <v>120</v>
      </c>
      <c r="AA122">
        <f t="shared" ca="1" si="37"/>
        <v>232.32857518367507</v>
      </c>
      <c r="AB122">
        <f t="shared" ca="1" si="31"/>
        <v>0</v>
      </c>
      <c r="AC122">
        <f t="shared" ca="1" si="32"/>
        <v>0.43018431437500948</v>
      </c>
      <c r="AD122" s="83">
        <f ca="1"/>
        <v>45666</v>
      </c>
      <c r="AE122" s="55">
        <f t="shared" ca="1" si="41"/>
        <v>45666</v>
      </c>
      <c r="AF122" s="55">
        <f t="shared" ca="1" si="42"/>
        <v>24.433861344142137</v>
      </c>
      <c r="AG122" s="55">
        <f t="shared" ca="1" si="43"/>
        <v>67.770843966815548</v>
      </c>
      <c r="AH122" s="55">
        <f t="shared" ca="1" si="44"/>
        <v>0</v>
      </c>
      <c r="AI122" s="55">
        <f t="shared" ca="1" si="38"/>
        <v>-0.60436814320071486</v>
      </c>
      <c r="AJ122" s="55">
        <f t="shared" ca="1" si="39"/>
        <v>91.532115372480305</v>
      </c>
      <c r="AK122" s="55">
        <f t="shared" ca="1" si="40"/>
        <v>-9.4119560039116532</v>
      </c>
    </row>
    <row r="123" spans="18:37">
      <c r="R123" s="83">
        <f ca="1"/>
        <v>45526</v>
      </c>
      <c r="S123" s="55">
        <f t="shared" ca="1" si="33"/>
        <v>45526</v>
      </c>
      <c r="T123" s="55">
        <f t="shared" ca="1" si="27"/>
        <v>-8.1296077867411185</v>
      </c>
      <c r="U123" s="55">
        <f t="shared" ca="1" si="28"/>
        <v>327.8629796171362</v>
      </c>
      <c r="V123" s="55">
        <f t="shared" ca="1" si="29"/>
        <v>0</v>
      </c>
      <c r="W123" s="55">
        <f t="shared" ca="1" si="34"/>
        <v>-82.523403173570742</v>
      </c>
      <c r="X123" s="55">
        <f t="shared" ca="1" si="35"/>
        <v>70.519929161520267</v>
      </c>
      <c r="Y123" s="55">
        <f t="shared" ca="1" si="36"/>
        <v>-6.3454456254433742</v>
      </c>
      <c r="Z123">
        <f t="shared" ca="1" si="30"/>
        <v>120</v>
      </c>
      <c r="AA123">
        <f t="shared" ca="1" si="37"/>
        <v>232.36857518367509</v>
      </c>
      <c r="AB123">
        <f t="shared" ca="1" si="31"/>
        <v>0</v>
      </c>
      <c r="AC123">
        <f t="shared" ca="1" si="32"/>
        <v>0.39965999596733592</v>
      </c>
      <c r="AD123" s="83">
        <f ca="1"/>
        <v>45667</v>
      </c>
      <c r="AE123" s="55">
        <f t="shared" ca="1" si="41"/>
        <v>45667</v>
      </c>
      <c r="AF123" s="55">
        <f t="shared" ca="1" si="42"/>
        <v>22.55557588056811</v>
      </c>
      <c r="AG123" s="55">
        <f t="shared" ca="1" si="43"/>
        <v>70.319438733120009</v>
      </c>
      <c r="AH123" s="55">
        <f t="shared" ca="1" si="44"/>
        <v>0</v>
      </c>
      <c r="AI123" s="55">
        <f t="shared" ca="1" si="38"/>
        <v>-0.60436814320071486</v>
      </c>
      <c r="AJ123" s="55">
        <f t="shared" ca="1" si="39"/>
        <v>92.144342378796722</v>
      </c>
      <c r="AK123" s="55">
        <f t="shared" ca="1" si="40"/>
        <v>-9.3538737074976357</v>
      </c>
    </row>
    <row r="124" spans="18:37">
      <c r="R124" s="83">
        <f ca="1"/>
        <v>45527</v>
      </c>
      <c r="S124" s="55">
        <f t="shared" ca="1" si="33"/>
        <v>45527</v>
      </c>
      <c r="T124" s="55">
        <f t="shared" ca="1" si="27"/>
        <v>-8.2205041543099089</v>
      </c>
      <c r="U124" s="55">
        <f t="shared" ca="1" si="28"/>
        <v>328.62431373732881</v>
      </c>
      <c r="V124" s="55">
        <f t="shared" ca="1" si="29"/>
        <v>0</v>
      </c>
      <c r="W124" s="55">
        <f t="shared" ca="1" si="34"/>
        <v>-82.523403173570742</v>
      </c>
      <c r="X124" s="55">
        <f t="shared" ca="1" si="35"/>
        <v>71.18176404999592</v>
      </c>
      <c r="Y124" s="55">
        <f t="shared" ca="1" si="36"/>
        <v>-6.3368427612952125</v>
      </c>
      <c r="Z124">
        <f t="shared" ca="1" si="30"/>
        <v>117.96521739130432</v>
      </c>
      <c r="AA124">
        <f t="shared" ca="1" si="37"/>
        <v>232.36857518367509</v>
      </c>
      <c r="AB124">
        <f t="shared" ca="1" si="31"/>
        <v>0</v>
      </c>
      <c r="AC124">
        <f t="shared" ca="1" si="32"/>
        <v>0.36706962107355356</v>
      </c>
      <c r="AD124" s="83">
        <f ca="1"/>
        <v>45668</v>
      </c>
      <c r="AE124" s="55">
        <f t="shared" ca="1" si="41"/>
        <v>45668</v>
      </c>
      <c r="AF124" s="55">
        <f t="shared" ca="1" si="42"/>
        <v>20.591515783027329</v>
      </c>
      <c r="AG124" s="55">
        <f t="shared" ca="1" si="43"/>
        <v>72.925424427911153</v>
      </c>
      <c r="AH124" s="55">
        <f t="shared" ca="1" si="44"/>
        <v>0</v>
      </c>
      <c r="AI124" s="55">
        <f t="shared" ca="1" si="38"/>
        <v>-0.60436814320071486</v>
      </c>
      <c r="AJ124" s="55">
        <f t="shared" ca="1" si="39"/>
        <v>92.733599451839339</v>
      </c>
      <c r="AK124" s="55">
        <f t="shared" ca="1" si="40"/>
        <v>-9.3012051832898859</v>
      </c>
    </row>
    <row r="125" spans="18:37">
      <c r="R125" s="83">
        <f ca="1"/>
        <v>45528</v>
      </c>
      <c r="S125" s="55">
        <f t="shared" ca="1" si="33"/>
        <v>45528</v>
      </c>
      <c r="T125" s="55">
        <f t="shared" ca="1" si="27"/>
        <v>-8.2275006537535162</v>
      </c>
      <c r="U125" s="55">
        <f t="shared" ca="1" si="28"/>
        <v>329.29079201819212</v>
      </c>
      <c r="V125" s="55">
        <f t="shared" ca="1" si="29"/>
        <v>0</v>
      </c>
      <c r="W125" s="55">
        <f t="shared" ca="1" si="34"/>
        <v>-82.523403173570742</v>
      </c>
      <c r="X125" s="55">
        <f t="shared" ca="1" si="35"/>
        <v>71.832552255696726</v>
      </c>
      <c r="Y125" s="55">
        <f t="shared" ca="1" si="36"/>
        <v>-6.3281491855763088</v>
      </c>
      <c r="Z125">
        <f t="shared" ca="1" si="30"/>
        <v>119.7503442259172</v>
      </c>
      <c r="AA125">
        <f t="shared" ca="1" si="37"/>
        <v>232.36857518367509</v>
      </c>
      <c r="AB125">
        <f t="shared" ca="1" si="31"/>
        <v>0</v>
      </c>
      <c r="AC125">
        <f t="shared" ca="1" si="32"/>
        <v>0.3356122448979596</v>
      </c>
      <c r="AD125" s="83">
        <f ca="1"/>
        <v>45669</v>
      </c>
      <c r="AE125" s="55">
        <f t="shared" ca="1" si="41"/>
        <v>45669</v>
      </c>
      <c r="AF125" s="55">
        <f t="shared" ca="1" si="42"/>
        <v>18.505891542340308</v>
      </c>
      <c r="AG125" s="55">
        <f t="shared" ca="1" si="43"/>
        <v>75.659629444538794</v>
      </c>
      <c r="AH125" s="55">
        <f t="shared" ca="1" si="44"/>
        <v>0</v>
      </c>
      <c r="AI125" s="55">
        <f t="shared" ca="1" si="38"/>
        <v>-0.60436814320071486</v>
      </c>
      <c r="AJ125" s="55">
        <f t="shared" ca="1" si="39"/>
        <v>93.331300718772638</v>
      </c>
      <c r="AK125" s="55">
        <f t="shared" ca="1" si="40"/>
        <v>-9.2503256742825606</v>
      </c>
    </row>
    <row r="126" spans="18:37">
      <c r="R126" s="83">
        <f ca="1"/>
        <v>45529</v>
      </c>
      <c r="S126" s="55">
        <f t="shared" ca="1" si="33"/>
        <v>45529</v>
      </c>
      <c r="T126" s="55">
        <f t="shared" ca="1" si="27"/>
        <v>-8.2266739483409346</v>
      </c>
      <c r="U126" s="55">
        <f t="shared" ca="1" si="28"/>
        <v>330.01696417200992</v>
      </c>
      <c r="V126" s="55">
        <f t="shared" ca="1" si="29"/>
        <v>0</v>
      </c>
      <c r="W126" s="55">
        <f t="shared" ca="1" si="34"/>
        <v>-82.523403173570742</v>
      </c>
      <c r="X126" s="55">
        <f t="shared" ca="1" si="35"/>
        <v>72.550033526891156</v>
      </c>
      <c r="Y126" s="55">
        <f t="shared" ca="1" si="36"/>
        <v>-6.3186315975403584</v>
      </c>
      <c r="Z126">
        <f t="shared" ca="1" si="30"/>
        <v>120</v>
      </c>
      <c r="AA126">
        <f t="shared" ca="1" si="37"/>
        <v>233.80720081854929</v>
      </c>
      <c r="AB126">
        <f t="shared" ca="1" si="31"/>
        <v>0</v>
      </c>
      <c r="AC126">
        <f t="shared" ca="1" si="32"/>
        <v>0.29749017038007886</v>
      </c>
      <c r="AD126" s="83">
        <f ca="1"/>
        <v>45670</v>
      </c>
      <c r="AE126" s="55">
        <f t="shared" ca="1" si="41"/>
        <v>45670</v>
      </c>
      <c r="AF126" s="55">
        <f t="shared" ca="1" si="42"/>
        <v>16.412951335301308</v>
      </c>
      <c r="AG126" s="55">
        <f t="shared" ca="1" si="43"/>
        <v>78.395400120662103</v>
      </c>
      <c r="AH126" s="55">
        <f t="shared" ca="1" si="44"/>
        <v>0</v>
      </c>
      <c r="AI126" s="55">
        <f t="shared" ca="1" si="38"/>
        <v>-0.60436814320071486</v>
      </c>
      <c r="AJ126" s="55">
        <f t="shared" ca="1" si="39"/>
        <v>93.923169051646965</v>
      </c>
      <c r="AK126" s="55">
        <f t="shared" ca="1" si="40"/>
        <v>-9.1993635380725749</v>
      </c>
    </row>
    <row r="127" spans="18:37">
      <c r="R127" s="83">
        <f ca="1"/>
        <v>45530</v>
      </c>
      <c r="S127" s="55">
        <f t="shared" ca="1" si="33"/>
        <v>45530</v>
      </c>
      <c r="T127" s="55">
        <f t="shared" ca="1" si="27"/>
        <v>-8.1464087783677499</v>
      </c>
      <c r="U127" s="55">
        <f t="shared" ca="1" si="28"/>
        <v>330.66597858147549</v>
      </c>
      <c r="V127" s="55">
        <f t="shared" ca="1" si="29"/>
        <v>0</v>
      </c>
      <c r="W127" s="55">
        <f t="shared" ca="1" si="34"/>
        <v>-82.523403173570742</v>
      </c>
      <c r="X127" s="55">
        <f t="shared" ca="1" si="35"/>
        <v>73.26957964284324</v>
      </c>
      <c r="Y127" s="55">
        <f t="shared" ca="1" si="36"/>
        <v>-6.3088981340536936</v>
      </c>
      <c r="Z127">
        <f t="shared" ca="1" si="30"/>
        <v>118.9217391304348</v>
      </c>
      <c r="AA127">
        <f t="shared" ca="1" si="37"/>
        <v>233.80720081854929</v>
      </c>
      <c r="AB127">
        <f t="shared" ca="1" si="31"/>
        <v>0</v>
      </c>
      <c r="AC127">
        <f t="shared" ca="1" si="32"/>
        <v>0.25916815491192979</v>
      </c>
      <c r="AD127" s="83">
        <f ca="1"/>
        <v>45671</v>
      </c>
      <c r="AE127" s="55">
        <f t="shared" ca="1" si="41"/>
        <v>45671</v>
      </c>
      <c r="AF127" s="55">
        <f t="shared" ca="1" si="42"/>
        <v>14.347762419178586</v>
      </c>
      <c r="AG127" s="55">
        <f t="shared" ca="1" si="43"/>
        <v>81.080542696955007</v>
      </c>
      <c r="AH127" s="55">
        <f t="shared" ca="1" si="44"/>
        <v>0</v>
      </c>
      <c r="AI127" s="55">
        <f t="shared" ca="1" si="38"/>
        <v>-0.60436814320071486</v>
      </c>
      <c r="AJ127" s="55">
        <f t="shared" ca="1" si="39"/>
        <v>94.493638115907714</v>
      </c>
      <c r="AK127" s="55">
        <f t="shared" ca="1" si="40"/>
        <v>-9.1498789421631432</v>
      </c>
    </row>
    <row r="128" spans="18:37">
      <c r="R128" s="83">
        <f ca="1"/>
        <v>45531</v>
      </c>
      <c r="S128" s="55">
        <f t="shared" ca="1" si="33"/>
        <v>45531</v>
      </c>
      <c r="T128" s="55">
        <f t="shared" ca="1" si="27"/>
        <v>-8.0013872150244243</v>
      </c>
      <c r="U128" s="55">
        <f t="shared" ca="1" si="28"/>
        <v>331.27361429885923</v>
      </c>
      <c r="V128" s="55">
        <f t="shared" ca="1" si="29"/>
        <v>0</v>
      </c>
      <c r="W128" s="55">
        <f t="shared" ca="1" si="34"/>
        <v>-82.523403173570742</v>
      </c>
      <c r="X128" s="55">
        <f t="shared" ca="1" si="35"/>
        <v>74.012087040542511</v>
      </c>
      <c r="Y128" s="55">
        <f t="shared" ca="1" si="36"/>
        <v>-6.2987482510258994</v>
      </c>
      <c r="Z128">
        <f t="shared" ca="1" si="30"/>
        <v>119.393937742784</v>
      </c>
      <c r="AA128">
        <f t="shared" ca="1" si="37"/>
        <v>233.80720081854929</v>
      </c>
      <c r="AB128">
        <f t="shared" ca="1" si="31"/>
        <v>0</v>
      </c>
      <c r="AC128">
        <f t="shared" ca="1" si="32"/>
        <v>0.21864678899082601</v>
      </c>
      <c r="AD128" s="83">
        <f ca="1"/>
        <v>45672</v>
      </c>
      <c r="AE128" s="55">
        <f t="shared" ca="1" si="41"/>
        <v>45672</v>
      </c>
      <c r="AF128" s="55">
        <f t="shared" ca="1" si="42"/>
        <v>12.219888032221071</v>
      </c>
      <c r="AG128" s="55">
        <f t="shared" ca="1" si="43"/>
        <v>83.841298922284992</v>
      </c>
      <c r="AH128" s="55">
        <f t="shared" ca="1" si="44"/>
        <v>0</v>
      </c>
      <c r="AI128" s="55">
        <f t="shared" ca="1" si="38"/>
        <v>-0.60436814320071486</v>
      </c>
      <c r="AJ128" s="55">
        <f t="shared" ca="1" si="39"/>
        <v>95.07634226077613</v>
      </c>
      <c r="AK128" s="55">
        <f t="shared" ca="1" si="40"/>
        <v>-9.0997012486590911</v>
      </c>
    </row>
    <row r="129" spans="18:37">
      <c r="R129" s="83">
        <f ca="1"/>
        <v>45532</v>
      </c>
      <c r="S129" s="55">
        <f t="shared" ca="1" si="33"/>
        <v>45532</v>
      </c>
      <c r="T129" s="55">
        <f t="shared" ca="1" si="27"/>
        <v>-7.7778555324962051</v>
      </c>
      <c r="U129" s="55">
        <f t="shared" ca="1" si="28"/>
        <v>331.7679542673751</v>
      </c>
      <c r="V129" s="55">
        <f t="shared" ca="1" si="29"/>
        <v>0</v>
      </c>
      <c r="W129" s="55">
        <f t="shared" ca="1" si="34"/>
        <v>-82.523403173570742</v>
      </c>
      <c r="X129" s="55">
        <f t="shared" ca="1" si="35"/>
        <v>74.719981927214235</v>
      </c>
      <c r="Y129" s="55">
        <f t="shared" ca="1" si="36"/>
        <v>-6.288771486653534</v>
      </c>
      <c r="Z129">
        <f t="shared" ca="1" si="30"/>
        <v>120</v>
      </c>
      <c r="AA129">
        <f t="shared" ca="1" si="37"/>
        <v>234.97495745565655</v>
      </c>
      <c r="AB129">
        <f t="shared" ca="1" si="31"/>
        <v>0</v>
      </c>
      <c r="AC129">
        <f t="shared" ca="1" si="32"/>
        <v>0.18145777224086579</v>
      </c>
      <c r="AD129" s="83">
        <f ca="1"/>
        <v>45673</v>
      </c>
      <c r="AE129" s="55">
        <f t="shared" ca="1" si="41"/>
        <v>45673</v>
      </c>
      <c r="AF129" s="55">
        <f t="shared" ca="1" si="42"/>
        <v>9.9788837181316516</v>
      </c>
      <c r="AG129" s="55">
        <f t="shared" ca="1" si="43"/>
        <v>86.709696069196866</v>
      </c>
      <c r="AH129" s="55">
        <f t="shared" ca="1" si="44"/>
        <v>0</v>
      </c>
      <c r="AI129" s="55">
        <f t="shared" ca="1" si="38"/>
        <v>-0.60436814320071486</v>
      </c>
      <c r="AJ129" s="55">
        <f t="shared" ca="1" si="39"/>
        <v>95.657009222340818</v>
      </c>
      <c r="AK129" s="55">
        <f t="shared" ca="1" si="40"/>
        <v>-9.052975377401328</v>
      </c>
    </row>
    <row r="130" spans="18:37">
      <c r="R130" s="83">
        <f ca="1"/>
        <v>45533</v>
      </c>
      <c r="S130" s="55">
        <f t="shared" ca="1" si="33"/>
        <v>45533</v>
      </c>
      <c r="T130" s="55">
        <f t="shared" ca="1" si="27"/>
        <v>-7.5023391390490994</v>
      </c>
      <c r="U130" s="55">
        <f t="shared" ca="1" si="28"/>
        <v>332.24828501769696</v>
      </c>
      <c r="V130" s="55">
        <f t="shared" ca="1" si="29"/>
        <v>0</v>
      </c>
      <c r="W130" s="55">
        <f t="shared" ca="1" si="34"/>
        <v>-82.523403173570742</v>
      </c>
      <c r="X130" s="55">
        <f t="shared" ca="1" si="35"/>
        <v>75.465303465307684</v>
      </c>
      <c r="Y130" s="55">
        <f t="shared" ca="1" si="36"/>
        <v>-6.2782458809780275</v>
      </c>
      <c r="Z130">
        <f t="shared" ca="1" si="30"/>
        <v>119.63478260869563</v>
      </c>
      <c r="AA130">
        <f t="shared" ca="1" si="37"/>
        <v>234.97495745565655</v>
      </c>
      <c r="AB130">
        <f t="shared" ca="1" si="31"/>
        <v>0</v>
      </c>
      <c r="AC130">
        <f t="shared" ca="1" si="32"/>
        <v>0.14066981838607051</v>
      </c>
      <c r="AD130" s="83">
        <f ca="1"/>
        <v>45674</v>
      </c>
      <c r="AE130" s="55">
        <f t="shared" ca="1" si="41"/>
        <v>45674</v>
      </c>
      <c r="AF130" s="55">
        <f t="shared" ca="1" si="42"/>
        <v>7.6644931329746395</v>
      </c>
      <c r="AG130" s="55">
        <f t="shared" ca="1" si="43"/>
        <v>89.660360279078148</v>
      </c>
      <c r="AH130" s="55">
        <f t="shared" ca="1" si="44"/>
        <v>0</v>
      </c>
      <c r="AI130" s="55">
        <f t="shared" ca="1" si="38"/>
        <v>-0.60436814320071486</v>
      </c>
      <c r="AJ130" s="55">
        <f t="shared" ca="1" si="39"/>
        <v>96.246857973383797</v>
      </c>
      <c r="AK130" s="55">
        <f t="shared" ca="1" si="40"/>
        <v>-9.0065505037200406</v>
      </c>
    </row>
    <row r="131" spans="18:37">
      <c r="R131" s="83">
        <f ca="1"/>
        <v>45534</v>
      </c>
      <c r="S131" s="55">
        <f t="shared" ca="1" si="33"/>
        <v>45534</v>
      </c>
      <c r="T131" s="55">
        <f t="shared" ca="1" si="27"/>
        <v>-7.1716000174663099</v>
      </c>
      <c r="U131" s="55">
        <f t="shared" ca="1" si="28"/>
        <v>332.64194979153319</v>
      </c>
      <c r="V131" s="55">
        <f t="shared" ca="1" si="29"/>
        <v>0</v>
      </c>
      <c r="W131" s="55">
        <f t="shared" ca="1" si="34"/>
        <v>-82.523403173570742</v>
      </c>
      <c r="X131" s="55">
        <f t="shared" ca="1" si="35"/>
        <v>76.179351661388253</v>
      </c>
      <c r="Y131" s="55">
        <f t="shared" ca="1" si="36"/>
        <v>-6.2678901816395713</v>
      </c>
      <c r="Z131">
        <f t="shared" ca="1" si="30"/>
        <v>119.50424687939419</v>
      </c>
      <c r="AA131">
        <f t="shared" ca="1" si="37"/>
        <v>234.97495745565655</v>
      </c>
      <c r="AB131">
        <f t="shared" ca="1" si="31"/>
        <v>0</v>
      </c>
      <c r="AC131">
        <f t="shared" ca="1" si="32"/>
        <v>0.10288097878530411</v>
      </c>
      <c r="AD131" s="83">
        <f ca="1"/>
        <v>45675</v>
      </c>
      <c r="AE131" s="55">
        <f t="shared" ca="1" si="41"/>
        <v>45675</v>
      </c>
      <c r="AF131" s="55">
        <f t="shared" ca="1" si="42"/>
        <v>5.3804940685049818</v>
      </c>
      <c r="AG131" s="55">
        <f t="shared" ca="1" si="43"/>
        <v>92.589198530930688</v>
      </c>
      <c r="AH131" s="55">
        <f t="shared" ca="1" si="44"/>
        <v>0</v>
      </c>
      <c r="AI131" s="55">
        <f t="shared" ca="1" si="38"/>
        <v>-0.60436814320071486</v>
      </c>
      <c r="AJ131" s="55">
        <f t="shared" ca="1" si="39"/>
        <v>96.842649030163827</v>
      </c>
      <c r="AK131" s="55">
        <f t="shared" ca="1" si="40"/>
        <v>-8.9575023731171903</v>
      </c>
    </row>
    <row r="132" spans="18:37">
      <c r="R132" s="83">
        <f ca="1"/>
        <v>45535</v>
      </c>
      <c r="S132" s="55">
        <f t="shared" ca="1" si="33"/>
        <v>45535</v>
      </c>
      <c r="T132" s="55">
        <f t="shared" ca="1" si="27"/>
        <v>-6.8021856927623903</v>
      </c>
      <c r="U132" s="55">
        <f t="shared" ca="1" si="28"/>
        <v>332.95960682261949</v>
      </c>
      <c r="V132" s="55">
        <f t="shared" ca="1" si="29"/>
        <v>0</v>
      </c>
      <c r="W132" s="55">
        <f t="shared" ca="1" si="34"/>
        <v>-82.523403173570742</v>
      </c>
      <c r="X132" s="55">
        <f t="shared" ca="1" si="35"/>
        <v>76.856321264088677</v>
      </c>
      <c r="Y132" s="55">
        <f t="shared" ca="1" si="36"/>
        <v>-6.257788428549782</v>
      </c>
      <c r="Z132">
        <f t="shared" ca="1" si="30"/>
        <v>117.77715991238705</v>
      </c>
      <c r="AA132">
        <f t="shared" ca="1" si="37"/>
        <v>234.97495745565655</v>
      </c>
      <c r="AB132">
        <f t="shared" ca="1" si="31"/>
        <v>0</v>
      </c>
      <c r="AC132">
        <f t="shared" ca="1" si="32"/>
        <v>6.8757723272795612E-2</v>
      </c>
      <c r="AD132" s="83">
        <f ca="1"/>
        <v>45676</v>
      </c>
      <c r="AE132" s="55">
        <f t="shared" ca="1" si="41"/>
        <v>45676</v>
      </c>
      <c r="AF132" s="55">
        <f t="shared" ca="1" si="42"/>
        <v>3.0141173128261771</v>
      </c>
      <c r="AG132" s="55">
        <f t="shared" ca="1" si="43"/>
        <v>95.626209506322112</v>
      </c>
      <c r="AH132" s="55">
        <f t="shared" ca="1" si="44"/>
        <v>0</v>
      </c>
      <c r="AI132" s="55">
        <f t="shared" ca="1" si="38"/>
        <v>-0.60436814320071486</v>
      </c>
      <c r="AJ132" s="55">
        <f t="shared" ca="1" si="39"/>
        <v>97.462713650392701</v>
      </c>
      <c r="AK132" s="55">
        <f t="shared" ca="1" si="40"/>
        <v>-8.9069327736334483</v>
      </c>
    </row>
    <row r="133" spans="18:37">
      <c r="R133" s="83">
        <f ca="1"/>
        <v>45536</v>
      </c>
      <c r="S133" s="55">
        <f t="shared" ca="1" si="33"/>
        <v>45536</v>
      </c>
      <c r="T133" s="55">
        <f t="shared" ca="1" si="27"/>
        <v>-6.4064098961576388</v>
      </c>
      <c r="U133" s="55">
        <f t="shared" ca="1" si="28"/>
        <v>333.22065022805054</v>
      </c>
      <c r="V133" s="55">
        <f t="shared" ca="1" si="29"/>
        <v>0</v>
      </c>
      <c r="W133" s="55">
        <f t="shared" ca="1" si="34"/>
        <v>-82.523403173570742</v>
      </c>
      <c r="X133" s="55">
        <f t="shared" ca="1" si="35"/>
        <v>77.503238946571528</v>
      </c>
      <c r="Y133" s="55">
        <f t="shared" ca="1" si="36"/>
        <v>-6.247886908996823</v>
      </c>
      <c r="Z133">
        <f t="shared" ca="1" si="30"/>
        <v>120</v>
      </c>
      <c r="AA133">
        <f t="shared" ca="1" si="37"/>
        <v>235.35267112057545</v>
      </c>
      <c r="AB133">
        <f t="shared" ca="1" si="31"/>
        <v>0</v>
      </c>
      <c r="AC133">
        <f t="shared" ca="1" si="32"/>
        <v>3.7700228997738949E-2</v>
      </c>
      <c r="AD133" s="83">
        <f ca="1"/>
        <v>45677</v>
      </c>
      <c r="AE133" s="55">
        <f t="shared" ca="1" si="41"/>
        <v>45677</v>
      </c>
      <c r="AF133" s="55">
        <f t="shared" ca="1" si="42"/>
        <v>0.67428391531083021</v>
      </c>
      <c r="AG133" s="55">
        <f t="shared" ca="1" si="43"/>
        <v>98.632461667705385</v>
      </c>
      <c r="AH133" s="55">
        <f t="shared" ca="1" si="44"/>
        <v>0</v>
      </c>
      <c r="AI133" s="55">
        <f t="shared" ca="1" si="38"/>
        <v>-0.60436814320071486</v>
      </c>
      <c r="AJ133" s="55">
        <f t="shared" ca="1" si="39"/>
        <v>98.078267446044833</v>
      </c>
      <c r="AK133" s="55">
        <f t="shared" ca="1" si="40"/>
        <v>-8.8560678054176609</v>
      </c>
    </row>
    <row r="134" spans="18:37">
      <c r="R134" s="83">
        <f ca="1"/>
        <v>45537</v>
      </c>
      <c r="S134" s="55">
        <f t="shared" ca="1" si="33"/>
        <v>45537</v>
      </c>
      <c r="T134" s="55">
        <f t="shared" ca="1" si="27"/>
        <v>-5.9847701247559</v>
      </c>
      <c r="U134" s="55">
        <f t="shared" ca="1" si="28"/>
        <v>333.46181142975468</v>
      </c>
      <c r="V134" s="55">
        <f t="shared" ca="1" si="29"/>
        <v>0</v>
      </c>
      <c r="W134" s="55">
        <f t="shared" ca="1" si="34"/>
        <v>-82.523403173570742</v>
      </c>
      <c r="X134" s="55">
        <f t="shared" ca="1" si="35"/>
        <v>78.155967947534975</v>
      </c>
      <c r="Y134" s="55">
        <f t="shared" ca="1" si="36"/>
        <v>-6.2378149368543996</v>
      </c>
      <c r="Z134">
        <f t="shared" ca="1" si="30"/>
        <v>118.81739130434784</v>
      </c>
      <c r="AA134">
        <f t="shared" ca="1" si="37"/>
        <v>235.35267112057545</v>
      </c>
      <c r="AB134">
        <f t="shared" ca="1" si="31"/>
        <v>0</v>
      </c>
      <c r="AC134">
        <f t="shared" ca="1" si="32"/>
        <v>6.0429118718765551E-3</v>
      </c>
      <c r="AD134" s="83">
        <f ca="1"/>
        <v>45678</v>
      </c>
      <c r="AE134" s="55">
        <f t="shared" ca="1" si="41"/>
        <v>45678</v>
      </c>
      <c r="AF134" s="55">
        <f t="shared" ca="1" si="42"/>
        <v>-1.6313015644559052</v>
      </c>
      <c r="AG134" s="55">
        <f t="shared" ca="1" si="43"/>
        <v>101.58076949022558</v>
      </c>
      <c r="AH134" s="55">
        <f t="shared" ca="1" si="44"/>
        <v>0</v>
      </c>
      <c r="AI134" s="55">
        <f t="shared" ca="1" si="38"/>
        <v>-0.60436814320071486</v>
      </c>
      <c r="AJ134" s="55">
        <f t="shared" ca="1" si="39"/>
        <v>98.672372285418888</v>
      </c>
      <c r="AK134" s="55">
        <f t="shared" ca="1" si="40"/>
        <v>-8.8074503020382569</v>
      </c>
    </row>
    <row r="135" spans="18:37">
      <c r="R135" s="83">
        <f ca="1"/>
        <v>45538</v>
      </c>
      <c r="S135" s="55">
        <f t="shared" ca="1" si="33"/>
        <v>45538</v>
      </c>
      <c r="T135" s="55">
        <f t="shared" ca="1" si="27"/>
        <v>-5.5332133449208403</v>
      </c>
      <c r="U135" s="55">
        <f t="shared" ca="1" si="28"/>
        <v>333.69365068621357</v>
      </c>
      <c r="V135" s="55">
        <f t="shared" ca="1" si="29"/>
        <v>0</v>
      </c>
      <c r="W135" s="55">
        <f t="shared" ca="1" si="34"/>
        <v>-82.523403173570742</v>
      </c>
      <c r="X135" s="55">
        <f t="shared" ca="1" si="35"/>
        <v>78.828968347025054</v>
      </c>
      <c r="Y135" s="55">
        <f t="shared" ca="1" si="36"/>
        <v>-6.2274193000505251</v>
      </c>
      <c r="Z135">
        <f t="shared" ca="1" si="30"/>
        <v>119.97867674858225</v>
      </c>
      <c r="AA135">
        <f t="shared" ca="1" si="37"/>
        <v>235.35267112057545</v>
      </c>
      <c r="AB135">
        <f t="shared" ca="1" si="31"/>
        <v>0</v>
      </c>
      <c r="AC135">
        <f t="shared" ca="1" si="32"/>
        <v>0</v>
      </c>
      <c r="AD135" s="83">
        <f ca="1"/>
        <v>45679</v>
      </c>
      <c r="AE135" s="55">
        <f t="shared" ca="1" si="41"/>
        <v>45679</v>
      </c>
      <c r="AF135" s="55">
        <f t="shared" ca="1" si="42"/>
        <v>-3.9082785942057772</v>
      </c>
      <c r="AG135" s="55">
        <f t="shared" ca="1" si="43"/>
        <v>104.48596269062328</v>
      </c>
      <c r="AH135" s="55">
        <f t="shared" ca="1" si="44"/>
        <v>0</v>
      </c>
      <c r="AI135" s="55">
        <f t="shared" ca="1" si="38"/>
        <v>-0.60436814320071486</v>
      </c>
      <c r="AJ135" s="55">
        <f t="shared" ca="1" si="39"/>
        <v>99.2532707535604</v>
      </c>
      <c r="AK135" s="55">
        <f t="shared" ca="1" si="40"/>
        <v>-8.7601325995319375</v>
      </c>
    </row>
    <row r="136" spans="18:37">
      <c r="R136" s="83">
        <f ca="1"/>
        <v>45539</v>
      </c>
      <c r="S136" s="55">
        <f t="shared" ca="1" si="33"/>
        <v>45539</v>
      </c>
      <c r="T136" s="55">
        <f t="shared" ca="1" si="27"/>
        <v>-5.0657832690006908</v>
      </c>
      <c r="U136" s="55">
        <f t="shared" ca="1" si="28"/>
        <v>333.89118578008197</v>
      </c>
      <c r="V136" s="55">
        <f t="shared" ca="1" si="29"/>
        <v>0</v>
      </c>
      <c r="W136" s="55">
        <f t="shared" ca="1" si="34"/>
        <v>-82.523403173570742</v>
      </c>
      <c r="X136" s="55">
        <f t="shared" ca="1" si="35"/>
        <v>79.483641834919794</v>
      </c>
      <c r="Y136" s="55">
        <f t="shared" ca="1" si="36"/>
        <v>-6.2171276181567166</v>
      </c>
      <c r="Z136">
        <f t="shared" ca="1" si="30"/>
        <v>120</v>
      </c>
      <c r="AA136">
        <f t="shared" ca="1" si="37"/>
        <v>237.04067679165297</v>
      </c>
      <c r="AB136">
        <f t="shared" ca="1" si="31"/>
        <v>0</v>
      </c>
      <c r="AC136">
        <f t="shared" ca="1" si="32"/>
        <v>0</v>
      </c>
      <c r="AD136" s="83">
        <f ca="1"/>
        <v>45680</v>
      </c>
      <c r="AE136" s="55">
        <f t="shared" ca="1" si="41"/>
        <v>45680</v>
      </c>
      <c r="AF136" s="55">
        <f t="shared" ca="1" si="42"/>
        <v>-6.172767313921792</v>
      </c>
      <c r="AG136" s="55">
        <f t="shared" ca="1" si="43"/>
        <v>107.42410653036765</v>
      </c>
      <c r="AH136" s="55">
        <f t="shared" ca="1" si="44"/>
        <v>0</v>
      </c>
      <c r="AI136" s="55">
        <f t="shared" ca="1" si="38"/>
        <v>-0.60436814320071486</v>
      </c>
      <c r="AJ136" s="55">
        <f t="shared" ca="1" si="39"/>
        <v>99.873893019110668</v>
      </c>
      <c r="AK136" s="55">
        <f t="shared" ca="1" si="40"/>
        <v>-8.707099745053851</v>
      </c>
    </row>
    <row r="137" spans="18:37">
      <c r="R137" s="83">
        <f ca="1"/>
        <v>45540</v>
      </c>
      <c r="S137" s="55">
        <f t="shared" ca="1" si="33"/>
        <v>45540</v>
      </c>
      <c r="T137" s="55">
        <f t="shared" ca="1" si="27"/>
        <v>-4.5621277400678792</v>
      </c>
      <c r="U137" s="55">
        <f t="shared" ca="1" si="28"/>
        <v>334.08929400317396</v>
      </c>
      <c r="V137" s="55">
        <f t="shared" ca="1" si="29"/>
        <v>0</v>
      </c>
      <c r="W137" s="55">
        <f t="shared" ca="1" si="34"/>
        <v>-82.523403173570742</v>
      </c>
      <c r="X137" s="55">
        <f t="shared" ca="1" si="35"/>
        <v>80.174620761290797</v>
      </c>
      <c r="Y137" s="55">
        <f t="shared" ca="1" si="36"/>
        <v>-6.2063427925029142</v>
      </c>
      <c r="Z137">
        <f t="shared" ca="1" si="30"/>
        <v>120</v>
      </c>
      <c r="AA137">
        <f t="shared" ca="1" si="37"/>
        <v>241.50067679165298</v>
      </c>
      <c r="AB137">
        <f t="shared" ca="1" si="31"/>
        <v>0</v>
      </c>
      <c r="AC137">
        <f t="shared" ca="1" si="32"/>
        <v>0</v>
      </c>
      <c r="AD137" s="83">
        <f ca="1"/>
        <v>45681</v>
      </c>
      <c r="AE137" s="55">
        <f t="shared" ca="1" si="41"/>
        <v>45681</v>
      </c>
      <c r="AF137" s="55">
        <f t="shared" ca="1" si="42"/>
        <v>-8.4847973153786942</v>
      </c>
      <c r="AG137" s="55">
        <f t="shared" ca="1" si="43"/>
        <v>110.40125333430468</v>
      </c>
      <c r="AH137" s="55">
        <f t="shared" ca="1" si="44"/>
        <v>0</v>
      </c>
      <c r="AI137" s="55">
        <f t="shared" ca="1" si="38"/>
        <v>-0.60436814320071486</v>
      </c>
      <c r="AJ137" s="55">
        <f t="shared" ca="1" si="39"/>
        <v>100.4885223889699</v>
      </c>
      <c r="AK137" s="55">
        <f t="shared" ca="1" si="40"/>
        <v>-8.6566123124329568</v>
      </c>
    </row>
    <row r="138" spans="18:37">
      <c r="R138" s="83">
        <f ca="1"/>
        <v>45541</v>
      </c>
      <c r="S138" s="55">
        <f t="shared" ca="1" si="33"/>
        <v>45541</v>
      </c>
      <c r="T138" s="55">
        <f t="shared" ca="1" si="27"/>
        <v>-4.0208599792103596</v>
      </c>
      <c r="U138" s="55">
        <f t="shared" ca="1" si="28"/>
        <v>334.28016161803799</v>
      </c>
      <c r="V138" s="55">
        <f t="shared" ca="1" si="29"/>
        <v>0</v>
      </c>
      <c r="W138" s="55">
        <f t="shared" ca="1" si="34"/>
        <v>-82.523403173570742</v>
      </c>
      <c r="X138" s="55">
        <f t="shared" ca="1" si="35"/>
        <v>80.895545524665721</v>
      </c>
      <c r="Y138" s="55">
        <f t="shared" ca="1" si="36"/>
        <v>-6.1951321801562891</v>
      </c>
      <c r="Z138">
        <f t="shared" ca="1" si="30"/>
        <v>118.9217391304348</v>
      </c>
      <c r="AA138">
        <f t="shared" ca="1" si="37"/>
        <v>241.50067679165298</v>
      </c>
      <c r="AB138">
        <f t="shared" ca="1" si="31"/>
        <v>0</v>
      </c>
      <c r="AC138">
        <f t="shared" ca="1" si="32"/>
        <v>0</v>
      </c>
      <c r="AD138" s="83">
        <f ca="1"/>
        <v>45682</v>
      </c>
      <c r="AE138" s="55">
        <f t="shared" ca="1" si="41"/>
        <v>45682</v>
      </c>
      <c r="AF138" s="55">
        <f t="shared" ca="1" si="42"/>
        <v>-10.841176117172264</v>
      </c>
      <c r="AG138" s="55">
        <f t="shared" ca="1" si="43"/>
        <v>113.40134321871768</v>
      </c>
      <c r="AH138" s="55">
        <f t="shared" ca="1" si="44"/>
        <v>0</v>
      </c>
      <c r="AI138" s="55">
        <f t="shared" ca="1" si="38"/>
        <v>-0.60436814320071486</v>
      </c>
      <c r="AJ138" s="55">
        <f t="shared" ca="1" si="39"/>
        <v>101.08597379920644</v>
      </c>
      <c r="AK138" s="55">
        <f t="shared" ca="1" si="40"/>
        <v>-8.6103526400500723</v>
      </c>
    </row>
    <row r="139" spans="18:37">
      <c r="R139" s="83">
        <f ca="1"/>
        <v>45542</v>
      </c>
      <c r="S139" s="55">
        <f t="shared" ca="1" si="33"/>
        <v>45542</v>
      </c>
      <c r="T139" s="55">
        <f t="shared" ca="1" si="27"/>
        <v>-3.4656184946339654</v>
      </c>
      <c r="U139" s="55">
        <f t="shared" ca="1" si="28"/>
        <v>334.44396285723599</v>
      </c>
      <c r="V139" s="55">
        <f t="shared" ca="1" si="29"/>
        <v>0</v>
      </c>
      <c r="W139" s="55">
        <f t="shared" ca="1" si="34"/>
        <v>-82.523403173570742</v>
      </c>
      <c r="X139" s="55">
        <f t="shared" ca="1" si="35"/>
        <v>81.603440411337445</v>
      </c>
      <c r="Y139" s="55">
        <f t="shared" ca="1" si="36"/>
        <v>-6.1839843430536288</v>
      </c>
      <c r="Z139">
        <f t="shared" ca="1" si="30"/>
        <v>117.21198739760555</v>
      </c>
      <c r="AA139">
        <f t="shared" ca="1" si="37"/>
        <v>241.50067679165298</v>
      </c>
      <c r="AB139">
        <f t="shared" ca="1" si="31"/>
        <v>0</v>
      </c>
      <c r="AC139">
        <f t="shared" ca="1" si="32"/>
        <v>0</v>
      </c>
      <c r="AD139" s="83">
        <f ca="1"/>
        <v>45683</v>
      </c>
      <c r="AE139" s="55">
        <f t="shared" ca="1" si="41"/>
        <v>45683</v>
      </c>
      <c r="AF139" s="55">
        <f t="shared" ca="1" si="42"/>
        <v>-13.328902720634572</v>
      </c>
      <c r="AG139" s="55">
        <f t="shared" ca="1" si="43"/>
        <v>116.57734565644915</v>
      </c>
      <c r="AH139" s="55">
        <f t="shared" ca="1" si="44"/>
        <v>0</v>
      </c>
      <c r="AI139" s="55">
        <f t="shared" ca="1" si="38"/>
        <v>-0.60436814320071486</v>
      </c>
      <c r="AJ139" s="55">
        <f t="shared" ca="1" si="39"/>
        <v>101.72623438558109</v>
      </c>
      <c r="AK139" s="55">
        <f t="shared" ca="1" si="40"/>
        <v>-8.5623373921555679</v>
      </c>
    </row>
    <row r="140" spans="18:37">
      <c r="R140" s="83">
        <f ca="1"/>
        <v>45543</v>
      </c>
      <c r="S140" s="55">
        <f t="shared" ca="1" si="33"/>
        <v>45543</v>
      </c>
      <c r="T140" s="55">
        <f t="shared" ca="1" si="27"/>
        <v>-2.9329587842573797</v>
      </c>
      <c r="U140" s="55">
        <f t="shared" ca="1" si="28"/>
        <v>334.5654986258134</v>
      </c>
      <c r="V140" s="55">
        <f t="shared" ca="1" si="29"/>
        <v>0</v>
      </c>
      <c r="W140" s="55">
        <f t="shared" ca="1" si="34"/>
        <v>-82.523403173570742</v>
      </c>
      <c r="X140" s="55">
        <f t="shared" ca="1" si="35"/>
        <v>82.247143920868297</v>
      </c>
      <c r="Y140" s="55">
        <f t="shared" ca="1" si="36"/>
        <v>-6.173492373630479</v>
      </c>
      <c r="Z140">
        <f t="shared" ca="1" si="30"/>
        <v>120</v>
      </c>
      <c r="AA140">
        <f t="shared" ca="1" si="37"/>
        <v>242.46055140622974</v>
      </c>
      <c r="AB140">
        <f t="shared" ca="1" si="31"/>
        <v>0</v>
      </c>
      <c r="AC140">
        <f t="shared" ca="1" si="32"/>
        <v>0</v>
      </c>
      <c r="AD140" s="83">
        <f ca="1"/>
        <v>45684</v>
      </c>
      <c r="AE140" s="55">
        <f t="shared" ca="1" si="41"/>
        <v>45684</v>
      </c>
      <c r="AF140" s="55">
        <f t="shared" ca="1" si="42"/>
        <v>-15.735106468187688</v>
      </c>
      <c r="AG140" s="55">
        <f t="shared" ca="1" si="43"/>
        <v>119.67566876596727</v>
      </c>
      <c r="AH140" s="55">
        <f t="shared" ca="1" si="44"/>
        <v>0</v>
      </c>
      <c r="AI140" s="55">
        <f t="shared" ca="1" si="38"/>
        <v>-0.60436814320071486</v>
      </c>
      <c r="AJ140" s="55">
        <f t="shared" ca="1" si="39"/>
        <v>102.36860077597198</v>
      </c>
      <c r="AK140" s="55">
        <f t="shared" ca="1" si="40"/>
        <v>-8.5125844205814545</v>
      </c>
    </row>
    <row r="141" spans="18:37">
      <c r="R141" s="83">
        <f ca="1"/>
        <v>45544</v>
      </c>
      <c r="S141" s="55">
        <f t="shared" ca="1" si="33"/>
        <v>45544</v>
      </c>
      <c r="T141" s="55">
        <f t="shared" ca="1" si="27"/>
        <v>-2.3682257274856378</v>
      </c>
      <c r="U141" s="55">
        <f t="shared" ca="1" si="28"/>
        <v>334.68665961264719</v>
      </c>
      <c r="V141" s="55">
        <f t="shared" ca="1" si="29"/>
        <v>0</v>
      </c>
      <c r="W141" s="55">
        <f t="shared" ca="1" si="34"/>
        <v>-82.523403173570742</v>
      </c>
      <c r="X141" s="55">
        <f t="shared" ca="1" si="35"/>
        <v>82.922127065473134</v>
      </c>
      <c r="Y141" s="55">
        <f t="shared" ca="1" si="36"/>
        <v>-6.1625814746297847</v>
      </c>
      <c r="Z141">
        <f t="shared" ca="1" si="30"/>
        <v>120</v>
      </c>
      <c r="AA141">
        <f t="shared" ca="1" si="37"/>
        <v>244.23055140622972</v>
      </c>
      <c r="AB141">
        <f t="shared" ca="1" si="31"/>
        <v>0</v>
      </c>
      <c r="AC141">
        <f t="shared" ca="1" si="32"/>
        <v>0</v>
      </c>
      <c r="AD141" s="83">
        <f ca="1"/>
        <v>45685</v>
      </c>
      <c r="AE141" s="55">
        <f t="shared" ca="1" si="41"/>
        <v>45685</v>
      </c>
      <c r="AF141" s="55">
        <f t="shared" ca="1" si="42"/>
        <v>-18.118182216151908</v>
      </c>
      <c r="AG141" s="55">
        <f t="shared" ca="1" si="43"/>
        <v>122.7171446806494</v>
      </c>
      <c r="AH141" s="55">
        <f t="shared" ca="1" si="44"/>
        <v>0</v>
      </c>
      <c r="AI141" s="55">
        <f t="shared" ca="1" si="38"/>
        <v>-0.60436814320071486</v>
      </c>
      <c r="AJ141" s="55">
        <f t="shared" ca="1" si="39"/>
        <v>102.98167465998617</v>
      </c>
      <c r="AK141" s="55">
        <f t="shared" ca="1" si="40"/>
        <v>-8.4672581378777423</v>
      </c>
    </row>
    <row r="142" spans="18:37">
      <c r="R142" s="83">
        <f ca="1"/>
        <v>45545</v>
      </c>
      <c r="S142" s="55">
        <f t="shared" ca="1" si="33"/>
        <v>45545</v>
      </c>
      <c r="T142" s="55">
        <f t="shared" ca="1" si="27"/>
        <v>-1.7647369286054602</v>
      </c>
      <c r="U142" s="55">
        <f t="shared" ca="1" si="28"/>
        <v>334.80656154833349</v>
      </c>
      <c r="V142" s="55">
        <f t="shared" ca="1" si="29"/>
        <v>0</v>
      </c>
      <c r="W142" s="55">
        <f t="shared" ca="1" si="34"/>
        <v>-82.523403173570742</v>
      </c>
      <c r="X142" s="55">
        <f t="shared" ca="1" si="35"/>
        <v>83.634120413398165</v>
      </c>
      <c r="Y142" s="55">
        <f t="shared" ca="1" si="36"/>
        <v>-6.1511840879883399</v>
      </c>
      <c r="Z142">
        <f t="shared" ca="1" si="30"/>
        <v>120</v>
      </c>
      <c r="AA142">
        <f t="shared" ca="1" si="37"/>
        <v>248.99055140622971</v>
      </c>
      <c r="AB142">
        <f t="shared" ca="1" si="31"/>
        <v>0</v>
      </c>
      <c r="AC142">
        <f t="shared" ca="1" si="32"/>
        <v>0</v>
      </c>
      <c r="AD142" s="83">
        <f ca="1"/>
        <v>45686</v>
      </c>
      <c r="AE142" s="55">
        <f t="shared" ca="1" si="41"/>
        <v>45686</v>
      </c>
      <c r="AF142" s="55">
        <f t="shared" ca="1" si="42"/>
        <v>-20.587230335971753</v>
      </c>
      <c r="AG142" s="55">
        <f t="shared" ca="1" si="43"/>
        <v>125.8493878528041</v>
      </c>
      <c r="AH142" s="55">
        <f t="shared" ca="1" si="44"/>
        <v>0</v>
      </c>
      <c r="AI142" s="55">
        <f t="shared" ca="1" si="38"/>
        <v>-0.60436814320071486</v>
      </c>
      <c r="AJ142" s="55">
        <f t="shared" ca="1" si="39"/>
        <v>103.60216061531852</v>
      </c>
      <c r="AK142" s="55">
        <f t="shared" ca="1" si="40"/>
        <v>-8.4245490408752399</v>
      </c>
    </row>
    <row r="143" spans="18:37">
      <c r="R143" s="83">
        <f ca="1"/>
        <v>45546</v>
      </c>
      <c r="S143" s="55">
        <f t="shared" ca="1" si="33"/>
        <v>45546</v>
      </c>
      <c r="T143" s="55">
        <f t="shared" ca="1" si="27"/>
        <v>-1.1574279835548826</v>
      </c>
      <c r="U143" s="55">
        <f t="shared" ca="1" si="28"/>
        <v>334.90962327450853</v>
      </c>
      <c r="V143" s="55">
        <f t="shared" ca="1" si="29"/>
        <v>0</v>
      </c>
      <c r="W143" s="55">
        <f t="shared" ca="1" si="34"/>
        <v>-82.523403173570742</v>
      </c>
      <c r="X143" s="55">
        <f t="shared" ca="1" si="35"/>
        <v>84.333186632686491</v>
      </c>
      <c r="Y143" s="55">
        <f t="shared" ca="1" si="36"/>
        <v>-6.1398796360510497</v>
      </c>
      <c r="Z143">
        <f t="shared" ca="1" si="30"/>
        <v>120</v>
      </c>
      <c r="AA143">
        <f t="shared" ca="1" si="37"/>
        <v>249.09055140622971</v>
      </c>
      <c r="AB143">
        <f t="shared" ca="1" si="31"/>
        <v>0</v>
      </c>
      <c r="AC143">
        <f t="shared" ca="1" si="32"/>
        <v>0</v>
      </c>
      <c r="AD143" s="83">
        <f ca="1"/>
        <v>45687</v>
      </c>
      <c r="AE143" s="55">
        <f t="shared" ca="1" si="41"/>
        <v>45687</v>
      </c>
      <c r="AF143" s="55">
        <f t="shared" ca="1" si="42"/>
        <v>-23.053610685939482</v>
      </c>
      <c r="AG143" s="55">
        <f t="shared" ca="1" si="43"/>
        <v>128.97520042769304</v>
      </c>
      <c r="AH143" s="55">
        <f t="shared" ca="1" si="44"/>
        <v>0</v>
      </c>
      <c r="AI143" s="55">
        <f t="shared" ca="1" si="38"/>
        <v>-0.60436814320071486</v>
      </c>
      <c r="AJ143" s="55">
        <f t="shared" ca="1" si="39"/>
        <v>104.22041719663355</v>
      </c>
      <c r="AK143" s="55">
        <f t="shared" ca="1" si="40"/>
        <v>-8.3833733972690538</v>
      </c>
    </row>
    <row r="144" spans="18:37">
      <c r="R144" s="83">
        <f ca="1"/>
        <v>45547</v>
      </c>
      <c r="S144" s="55">
        <f t="shared" ca="1" si="33"/>
        <v>45547</v>
      </c>
      <c r="T144" s="55">
        <f t="shared" ca="1" si="27"/>
        <v>-0.49706565945872427</v>
      </c>
      <c r="U144" s="55">
        <f t="shared" ca="1" si="28"/>
        <v>335.01362519854268</v>
      </c>
      <c r="V144" s="55">
        <f t="shared" ca="1" si="29"/>
        <v>0</v>
      </c>
      <c r="W144" s="55">
        <f t="shared" ca="1" si="34"/>
        <v>-82.523403173570742</v>
      </c>
      <c r="X144" s="55">
        <f t="shared" ca="1" si="35"/>
        <v>85.085572869280426</v>
      </c>
      <c r="Y144" s="55">
        <f t="shared" ca="1" si="36"/>
        <v>-6.1279016245146698</v>
      </c>
      <c r="Z144">
        <f t="shared" ca="1" si="30"/>
        <v>119.33913043478262</v>
      </c>
      <c r="AA144">
        <f t="shared" ca="1" si="37"/>
        <v>249.09055140622971</v>
      </c>
      <c r="AB144">
        <f t="shared" ca="1" si="31"/>
        <v>0</v>
      </c>
      <c r="AC144">
        <f t="shared" ca="1" si="32"/>
        <v>0</v>
      </c>
      <c r="AD144" s="83">
        <f ca="1"/>
        <v>45688</v>
      </c>
      <c r="AE144" s="55">
        <f t="shared" ca="1" si="41"/>
        <v>45688</v>
      </c>
      <c r="AF144" s="55">
        <f t="shared" ca="1" si="42"/>
        <v>-25.473664937069003</v>
      </c>
      <c r="AG144" s="55">
        <f t="shared" ca="1" si="43"/>
        <v>132.01328089011312</v>
      </c>
      <c r="AH144" s="55">
        <f t="shared" ca="1" si="44"/>
        <v>0</v>
      </c>
      <c r="AI144" s="55">
        <f t="shared" ca="1" si="38"/>
        <v>-0.60436814320071486</v>
      </c>
      <c r="AJ144" s="55">
        <f t="shared" ca="1" si="39"/>
        <v>104.80260004317873</v>
      </c>
      <c r="AK144" s="55">
        <f t="shared" ca="1" si="40"/>
        <v>-8.3475300325236699</v>
      </c>
    </row>
    <row r="145" spans="18:37">
      <c r="R145" s="83">
        <f ca="1"/>
        <v>45548</v>
      </c>
      <c r="S145" s="55">
        <f t="shared" ca="1" si="33"/>
        <v>45548</v>
      </c>
      <c r="T145" s="55">
        <f t="shared" ca="1" si="27"/>
        <v>0.16886058903653905</v>
      </c>
      <c r="U145" s="55">
        <f t="shared" ca="1" si="28"/>
        <v>335.10316825031231</v>
      </c>
      <c r="V145" s="55">
        <f t="shared" ca="1" si="29"/>
        <v>0</v>
      </c>
      <c r="W145" s="55">
        <f t="shared" ca="1" si="34"/>
        <v>-82.523774307226546</v>
      </c>
      <c r="X145" s="55">
        <f t="shared" ca="1" si="35"/>
        <v>85.829486499152097</v>
      </c>
      <c r="Y145" s="55">
        <f t="shared" ca="1" si="36"/>
        <v>-6.1159748204656452</v>
      </c>
      <c r="Z145">
        <f t="shared" ca="1" si="30"/>
        <v>120</v>
      </c>
      <c r="AA145">
        <f t="shared" ca="1" si="37"/>
        <v>249.48963836275146</v>
      </c>
      <c r="AB145">
        <f t="shared" ca="1" si="31"/>
        <v>0</v>
      </c>
      <c r="AC145">
        <f t="shared" ca="1" si="32"/>
        <v>0</v>
      </c>
      <c r="AD145" s="83">
        <f ca="1"/>
        <v>45689</v>
      </c>
      <c r="AE145" s="55">
        <f t="shared" ca="1" si="41"/>
        <v>45689</v>
      </c>
      <c r="AF145" s="55">
        <f t="shared" ca="1" si="42"/>
        <v>-27.821220579096533</v>
      </c>
      <c r="AG145" s="55">
        <f t="shared" ca="1" si="43"/>
        <v>135.01679780234389</v>
      </c>
      <c r="AH145" s="55">
        <f t="shared" ca="1" si="44"/>
        <v>0</v>
      </c>
      <c r="AI145" s="55">
        <f t="shared" ca="1" si="38"/>
        <v>-0.60436814320071486</v>
      </c>
      <c r="AJ145" s="55">
        <f t="shared" ca="1" si="39"/>
        <v>105.41704556191503</v>
      </c>
      <c r="AK145" s="55">
        <f t="shared" ca="1" si="40"/>
        <v>-8.306014281056747</v>
      </c>
    </row>
    <row r="146" spans="18:37">
      <c r="R146" s="83">
        <f ca="1"/>
        <v>45549</v>
      </c>
      <c r="S146" s="55">
        <f t="shared" ca="1" si="33"/>
        <v>45549</v>
      </c>
      <c r="T146" s="55">
        <f t="shared" ref="T146:T209" ca="1" si="45">VLOOKUP(S146,ModelOutputs,2,FALSE)</f>
        <v>0.8621553826240318</v>
      </c>
      <c r="U146" s="55">
        <f t="shared" ref="U146:U209" ca="1" si="46">VLOOKUP(S146,ModelOutputs,7,FALSE)</f>
        <v>335.18513014863521</v>
      </c>
      <c r="V146" s="55">
        <f t="shared" ref="V146:V209" ca="1" si="47">VLOOKUP(S146,ModelOutputs,6,FALSE)</f>
        <v>0</v>
      </c>
      <c r="W146" s="55">
        <f t="shared" ca="1" si="34"/>
        <v>-82.523774307226546</v>
      </c>
      <c r="X146" s="55">
        <f t="shared" ca="1" si="35"/>
        <v>86.592548499678486</v>
      </c>
      <c r="Y146" s="55">
        <f t="shared" ca="1" si="36"/>
        <v>-6.1037801290816427</v>
      </c>
      <c r="Z146">
        <f t="shared" ref="Z146:Z209" ca="1" si="48">VLOOKUP(S146,ModelOutputs,10,FALSE)*AWC</f>
        <v>119.13043478260869</v>
      </c>
      <c r="AA146">
        <f t="shared" ca="1" si="37"/>
        <v>249.48963836275146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</v>
      </c>
      <c r="AD146" s="83">
        <f ca="1"/>
        <v>45690</v>
      </c>
      <c r="AE146" s="55">
        <f t="shared" ca="1" si="41"/>
        <v>45690</v>
      </c>
      <c r="AF146" s="55">
        <f t="shared" ca="1" si="42"/>
        <v>-30.075458618945532</v>
      </c>
      <c r="AG146" s="55">
        <f t="shared" ca="1" si="43"/>
        <v>137.9563466314697</v>
      </c>
      <c r="AH146" s="55">
        <f t="shared" ca="1" si="44"/>
        <v>0</v>
      </c>
      <c r="AI146" s="55">
        <f t="shared" ca="1" si="38"/>
        <v>-0.60436814320071486</v>
      </c>
      <c r="AJ146" s="55">
        <f t="shared" ca="1" si="39"/>
        <v>106.05639778210309</v>
      </c>
      <c r="AK146" s="55">
        <f t="shared" ca="1" si="40"/>
        <v>-8.2600557119679987</v>
      </c>
    </row>
    <row r="147" spans="18:37">
      <c r="R147" s="83">
        <f ca="1"/>
        <v>45550</v>
      </c>
      <c r="S147" s="55">
        <f t="shared" ref="S147:S210" ca="1" si="51">IF(R147&gt;1,R147,"")</f>
        <v>45550</v>
      </c>
      <c r="T147" s="55">
        <f t="shared" ca="1" si="45"/>
        <v>1.5589671222842578</v>
      </c>
      <c r="U147" s="55">
        <f t="shared" ca="1" si="46"/>
        <v>335.255917864786</v>
      </c>
      <c r="V147" s="55">
        <f t="shared" ca="1" si="47"/>
        <v>0</v>
      </c>
      <c r="W147" s="55">
        <f t="shared" ref="W147:W210" ca="1" si="52">-VLOOKUP(S147,ModelOutputs,9,FALSE)+W146</f>
        <v>-82.52569487220498</v>
      </c>
      <c r="X147" s="55">
        <f t="shared" ref="X147:X210" ca="1" si="53">VLOOKUP(S147,ModelOutputs,5,FALSE)+X146</f>
        <v>87.349904995213961</v>
      </c>
      <c r="Y147" s="55">
        <f t="shared" ref="Y147:Y210" ca="1" si="54">VLOOKUP(S147,ModelOutputs,4,FALSE)+Y146</f>
        <v>-6.0916166038276707</v>
      </c>
      <c r="Z147">
        <f t="shared" ca="1" si="48"/>
        <v>120</v>
      </c>
      <c r="AA147">
        <f t="shared" ref="AA147:AA210" ca="1" si="55">VLOOKUP(S147,ModelOutputs,11,FALSE)+AA146</f>
        <v>249.71333401492535</v>
      </c>
      <c r="AB147">
        <f t="shared" ca="1" si="49"/>
        <v>0</v>
      </c>
      <c r="AC147">
        <f t="shared" ca="1" si="50"/>
        <v>0</v>
      </c>
      <c r="AD147" s="83">
        <f ca="1"/>
        <v>45691</v>
      </c>
      <c r="AE147" s="55">
        <f t="shared" ca="1" si="41"/>
        <v>45691</v>
      </c>
      <c r="AF147" s="55">
        <f t="shared" ca="1" si="42"/>
        <v>-32.344067026403586</v>
      </c>
      <c r="AG147" s="55">
        <f t="shared" ca="1" si="43"/>
        <v>140.89721612382763</v>
      </c>
      <c r="AH147" s="55">
        <f t="shared" ca="1" si="44"/>
        <v>0</v>
      </c>
      <c r="AI147" s="55">
        <f t="shared" ref="AI147:AI210" ca="1" si="56">-VLOOKUP(AE147,ModelOutputs,9,FALSE)+AI146</f>
        <v>-0.60436814320071486</v>
      </c>
      <c r="AJ147" s="55">
        <f t="shared" ref="AJ147:AJ210" ca="1" si="57">VLOOKUP(AE147,ModelOutputs,5,FALSE)+AJ146</f>
        <v>106.68611702924046</v>
      </c>
      <c r="AK147" s="55">
        <f t="shared" ref="AK147:AK210" ca="1" si="58">VLOOKUP(AE147,ModelOutputs,4,FALSE)+AK146</f>
        <v>-8.2175138742054976</v>
      </c>
    </row>
    <row r="148" spans="18:37">
      <c r="R148" s="83">
        <f ca="1"/>
        <v>45551</v>
      </c>
      <c r="S148" s="55">
        <f t="shared" ca="1" si="51"/>
        <v>45551</v>
      </c>
      <c r="T148" s="55">
        <f t="shared" ca="1" si="45"/>
        <v>2.2938689701196129</v>
      </c>
      <c r="U148" s="55">
        <f t="shared" ca="1" si="46"/>
        <v>335.3262736337428</v>
      </c>
      <c r="V148" s="55">
        <f t="shared" ca="1" si="47"/>
        <v>0</v>
      </c>
      <c r="W148" s="55">
        <f t="shared" ca="1" si="52"/>
        <v>-82.558035100235884</v>
      </c>
      <c r="X148" s="55">
        <f t="shared" ca="1" si="53"/>
        <v>88.174505429512237</v>
      </c>
      <c r="Y148" s="55">
        <f t="shared" ca="1" si="54"/>
        <v>-6.0786191933028846</v>
      </c>
      <c r="Z148">
        <f t="shared" ca="1" si="48"/>
        <v>120</v>
      </c>
      <c r="AA148">
        <f t="shared" ca="1" si="55"/>
        <v>252.27333401492535</v>
      </c>
      <c r="AB148">
        <f t="shared" ca="1" si="49"/>
        <v>0</v>
      </c>
      <c r="AC148">
        <f t="shared" ca="1" si="50"/>
        <v>0</v>
      </c>
      <c r="AD148" s="83">
        <f ca="1"/>
        <v>45692</v>
      </c>
      <c r="AE148" s="55">
        <f t="shared" ca="1" si="41"/>
        <v>45692</v>
      </c>
      <c r="AF148" s="55">
        <f t="shared" ca="1" si="42"/>
        <v>-34.492777385059881</v>
      </c>
      <c r="AG148" s="55">
        <f t="shared" ca="1" si="43"/>
        <v>143.73000642730744</v>
      </c>
      <c r="AH148" s="55">
        <f t="shared" ca="1" si="44"/>
        <v>0</v>
      </c>
      <c r="AI148" s="55">
        <f t="shared" ca="1" si="56"/>
        <v>-0.60436814320071486</v>
      </c>
      <c r="AJ148" s="55">
        <f t="shared" ca="1" si="57"/>
        <v>107.32493263560657</v>
      </c>
      <c r="AK148" s="55">
        <f t="shared" ca="1" si="58"/>
        <v>-8.1722495357480973</v>
      </c>
    </row>
    <row r="149" spans="18:37">
      <c r="R149" s="83">
        <f ca="1"/>
        <v>45552</v>
      </c>
      <c r="S149" s="55">
        <f t="shared" ca="1" si="51"/>
        <v>45552</v>
      </c>
      <c r="T149" s="55">
        <f t="shared" ca="1" si="45"/>
        <v>2.9825686892281578</v>
      </c>
      <c r="U149" s="55">
        <f t="shared" ca="1" si="46"/>
        <v>335.3799397676292</v>
      </c>
      <c r="V149" s="55">
        <f t="shared" ca="1" si="47"/>
        <v>0</v>
      </c>
      <c r="W149" s="55">
        <f t="shared" ca="1" si="52"/>
        <v>-82.589572522201976</v>
      </c>
      <c r="X149" s="55">
        <f t="shared" ca="1" si="53"/>
        <v>88.936138531377338</v>
      </c>
      <c r="Y149" s="55">
        <f t="shared" ca="1" si="54"/>
        <v>-6.0663490202069514</v>
      </c>
      <c r="Z149">
        <f t="shared" ca="1" si="48"/>
        <v>120</v>
      </c>
      <c r="AA149">
        <f t="shared" ca="1" si="55"/>
        <v>254.19333401492537</v>
      </c>
      <c r="AB149">
        <f t="shared" ca="1" si="49"/>
        <v>0</v>
      </c>
      <c r="AC149">
        <f t="shared" ca="1" si="50"/>
        <v>0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-36.554558307155027</v>
      </c>
      <c r="AG149" s="55">
        <f t="shared" ref="AG149:AG212" ca="1" si="61">VLOOKUP(AE149,ModelOutputs,7,FALSE)</f>
        <v>146.44544551387483</v>
      </c>
      <c r="AH149" s="55">
        <f t="shared" ref="AH149:AH212" ca="1" si="62">VLOOKUP(AE149,ModelOutputs,6,FALSE)</f>
        <v>0</v>
      </c>
      <c r="AI149" s="55">
        <f t="shared" ca="1" si="56"/>
        <v>-0.60436814320071486</v>
      </c>
      <c r="AJ149" s="55">
        <f t="shared" ca="1" si="57"/>
        <v>107.93621215034275</v>
      </c>
      <c r="AK149" s="55">
        <f t="shared" ca="1" si="58"/>
        <v>-8.1298708860120392</v>
      </c>
    </row>
    <row r="150" spans="18:37">
      <c r="R150" s="83">
        <f ca="1"/>
        <v>45553</v>
      </c>
      <c r="S150" s="55">
        <f t="shared" ca="1" si="51"/>
        <v>45553</v>
      </c>
      <c r="T150" s="55">
        <f t="shared" ca="1" si="45"/>
        <v>3.5238431272349318</v>
      </c>
      <c r="U150" s="55">
        <f t="shared" ca="1" si="46"/>
        <v>335.42093264241043</v>
      </c>
      <c r="V150" s="55">
        <f t="shared" ca="1" si="47"/>
        <v>0</v>
      </c>
      <c r="W150" s="55">
        <f t="shared" ca="1" si="52"/>
        <v>-82.721343827084468</v>
      </c>
      <c r="X150" s="55">
        <f t="shared" ca="1" si="53"/>
        <v>89.638592085101948</v>
      </c>
      <c r="Y150" s="55">
        <f t="shared" ca="1" si="54"/>
        <v>-6.0547639562610653</v>
      </c>
      <c r="Z150">
        <f t="shared" ca="1" si="48"/>
        <v>120</v>
      </c>
      <c r="AA150">
        <f t="shared" ca="1" si="55"/>
        <v>260.98333401492539</v>
      </c>
      <c r="AB150">
        <f t="shared" ca="1" si="49"/>
        <v>0</v>
      </c>
      <c r="AC150">
        <f t="shared" ca="1" si="50"/>
        <v>0</v>
      </c>
      <c r="AD150" s="83">
        <f ca="1"/>
        <v>45694</v>
      </c>
      <c r="AE150" s="55">
        <f t="shared" ca="1" si="59"/>
        <v>45694</v>
      </c>
      <c r="AF150" s="55">
        <f t="shared" ca="1" si="60"/>
        <v>-38.536080298682826</v>
      </c>
      <c r="AG150" s="55">
        <f t="shared" ca="1" si="61"/>
        <v>149.02375131744591</v>
      </c>
      <c r="AH150" s="55">
        <f t="shared" ca="1" si="62"/>
        <v>0</v>
      </c>
      <c r="AI150" s="55">
        <f t="shared" ca="1" si="56"/>
        <v>-0.60436814320071486</v>
      </c>
      <c r="AJ150" s="55">
        <f t="shared" ca="1" si="57"/>
        <v>108.49658924645125</v>
      </c>
      <c r="AK150" s="55">
        <f t="shared" ca="1" si="58"/>
        <v>-8.0934641700772563</v>
      </c>
    </row>
    <row r="151" spans="18:37">
      <c r="R151" s="83">
        <f ca="1"/>
        <v>45554</v>
      </c>
      <c r="S151" s="55">
        <f t="shared" ca="1" si="51"/>
        <v>45554</v>
      </c>
      <c r="T151" s="55">
        <f t="shared" ca="1" si="45"/>
        <v>4.1543048760025636</v>
      </c>
      <c r="U151" s="55">
        <f t="shared" ca="1" si="46"/>
        <v>335.4567280870923</v>
      </c>
      <c r="V151" s="55">
        <f t="shared" ca="1" si="47"/>
        <v>0</v>
      </c>
      <c r="W151" s="55">
        <f t="shared" ca="1" si="52"/>
        <v>-82.761610480723164</v>
      </c>
      <c r="X151" s="55">
        <f t="shared" ca="1" si="53"/>
        <v>90.333607195827611</v>
      </c>
      <c r="Y151" s="55">
        <f t="shared" ca="1" si="54"/>
        <v>-6.0432552198985237</v>
      </c>
      <c r="Z151">
        <f t="shared" ca="1" si="48"/>
        <v>120</v>
      </c>
      <c r="AA151">
        <f t="shared" ca="1" si="55"/>
        <v>262.74333401492538</v>
      </c>
      <c r="AB151">
        <f t="shared" ca="1" si="49"/>
        <v>0</v>
      </c>
      <c r="AC151">
        <f t="shared" ca="1" si="50"/>
        <v>0</v>
      </c>
      <c r="AD151" s="83">
        <f ca="1"/>
        <v>45695</v>
      </c>
      <c r="AE151" s="55">
        <f t="shared" ca="1" si="59"/>
        <v>45695</v>
      </c>
      <c r="AF151" s="55">
        <f t="shared" ca="1" si="60"/>
        <v>-40.427920026913384</v>
      </c>
      <c r="AG151" s="55">
        <f t="shared" ca="1" si="61"/>
        <v>151.50492338798551</v>
      </c>
      <c r="AH151" s="55">
        <f t="shared" ca="1" si="62"/>
        <v>0</v>
      </c>
      <c r="AI151" s="55">
        <f t="shared" ca="1" si="56"/>
        <v>-0.60436814320071486</v>
      </c>
      <c r="AJ151" s="55">
        <f t="shared" ca="1" si="57"/>
        <v>109.04958762327696</v>
      </c>
      <c r="AK151" s="55">
        <f t="shared" ca="1" si="58"/>
        <v>-8.057130204593923</v>
      </c>
    </row>
    <row r="152" spans="18:37">
      <c r="R152" s="83">
        <f ca="1"/>
        <v>45555</v>
      </c>
      <c r="S152" s="55">
        <f t="shared" ca="1" si="51"/>
        <v>45555</v>
      </c>
      <c r="T152" s="55">
        <f t="shared" ca="1" si="45"/>
        <v>4.7957280184307782</v>
      </c>
      <c r="U152" s="55">
        <f t="shared" ca="1" si="46"/>
        <v>335.48562285224523</v>
      </c>
      <c r="V152" s="55">
        <f t="shared" ca="1" si="47"/>
        <v>0</v>
      </c>
      <c r="W152" s="55">
        <f t="shared" ca="1" si="52"/>
        <v>-82.761610480723164</v>
      </c>
      <c r="X152" s="55">
        <f t="shared" ca="1" si="53"/>
        <v>90.99283218713461</v>
      </c>
      <c r="Y152" s="55">
        <f t="shared" ca="1" si="54"/>
        <v>-6.0321623036243741</v>
      </c>
      <c r="Z152">
        <f t="shared" ca="1" si="48"/>
        <v>119.4086956521739</v>
      </c>
      <c r="AA152">
        <f t="shared" ca="1" si="55"/>
        <v>262.74333401492538</v>
      </c>
      <c r="AB152">
        <f t="shared" ca="1" si="49"/>
        <v>0</v>
      </c>
      <c r="AC152">
        <f t="shared" ca="1" si="50"/>
        <v>0</v>
      </c>
      <c r="AD152" s="83">
        <f ca="1"/>
        <v>45696</v>
      </c>
      <c r="AE152" s="55">
        <f t="shared" ca="1" si="59"/>
        <v>45696</v>
      </c>
      <c r="AF152" s="55">
        <f t="shared" ca="1" si="60"/>
        <v>-42.309780106382249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-0.60436814320071486</v>
      </c>
      <c r="AJ152" s="55">
        <f t="shared" ca="1" si="57"/>
        <v>109.62520455149017</v>
      </c>
      <c r="AK152" s="55">
        <f t="shared" ca="1" si="58"/>
        <v>-8.0195306002615183</v>
      </c>
    </row>
    <row r="153" spans="18:37">
      <c r="R153" s="83">
        <f ca="1"/>
        <v>45556</v>
      </c>
      <c r="S153" s="55">
        <f t="shared" ca="1" si="51"/>
        <v>45556</v>
      </c>
      <c r="T153" s="55">
        <f t="shared" ca="1" si="45"/>
        <v>5.4204893776608243</v>
      </c>
      <c r="U153" s="55">
        <f t="shared" ca="1" si="46"/>
        <v>335.51327224187861</v>
      </c>
      <c r="V153" s="55">
        <f t="shared" ca="1" si="47"/>
        <v>0</v>
      </c>
      <c r="W153" s="55">
        <f t="shared" ca="1" si="52"/>
        <v>-82.800160796243645</v>
      </c>
      <c r="X153" s="55">
        <f t="shared" ca="1" si="53"/>
        <v>91.672456179553137</v>
      </c>
      <c r="Y153" s="55">
        <f t="shared" ca="1" si="54"/>
        <v>-6.0208252316589892</v>
      </c>
      <c r="Z153">
        <f t="shared" ca="1" si="48"/>
        <v>120</v>
      </c>
      <c r="AA153">
        <f t="shared" ca="1" si="55"/>
        <v>264.03471662362102</v>
      </c>
      <c r="AB153">
        <f t="shared" ca="1" si="49"/>
        <v>0</v>
      </c>
      <c r="AC153">
        <f t="shared" ca="1" si="50"/>
        <v>0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45557</v>
      </c>
      <c r="S154" s="55">
        <f t="shared" ca="1" si="51"/>
        <v>45557</v>
      </c>
      <c r="T154" s="55">
        <f t="shared" ca="1" si="45"/>
        <v>6.1381870965907313</v>
      </c>
      <c r="U154" s="55">
        <f t="shared" ca="1" si="46"/>
        <v>335.54166258576294</v>
      </c>
      <c r="V154" s="55">
        <f t="shared" ca="1" si="47"/>
        <v>0</v>
      </c>
      <c r="W154" s="55">
        <f t="shared" ca="1" si="52"/>
        <v>-82.800160796243645</v>
      </c>
      <c r="X154" s="55">
        <f t="shared" ca="1" si="53"/>
        <v>92.406561354371235</v>
      </c>
      <c r="Y154" s="55">
        <f t="shared" ca="1" si="54"/>
        <v>-6.0088423436628542</v>
      </c>
      <c r="Z154">
        <f t="shared" ca="1" si="48"/>
        <v>119.40869565217393</v>
      </c>
      <c r="AA154">
        <f t="shared" ca="1" si="55"/>
        <v>264.03471662362102</v>
      </c>
      <c r="AB154">
        <f t="shared" ca="1" si="49"/>
        <v>0</v>
      </c>
      <c r="AC154">
        <f t="shared" ca="1" si="50"/>
        <v>0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45558</v>
      </c>
      <c r="S155" s="55">
        <f t="shared" ca="1" si="51"/>
        <v>45558</v>
      </c>
      <c r="T155" s="55">
        <f t="shared" ca="1" si="45"/>
        <v>6.7753704086959914</v>
      </c>
      <c r="U155" s="55">
        <f t="shared" ca="1" si="46"/>
        <v>335.56938078864709</v>
      </c>
      <c r="V155" s="55">
        <f t="shared" ca="1" si="47"/>
        <v>0</v>
      </c>
      <c r="W155" s="55">
        <f t="shared" ca="1" si="52"/>
        <v>-82.931067407712973</v>
      </c>
      <c r="X155" s="55">
        <f t="shared" ca="1" si="53"/>
        <v>93.189804792894734</v>
      </c>
      <c r="Y155" s="55">
        <f t="shared" ca="1" si="54"/>
        <v>-5.9962776557276118</v>
      </c>
      <c r="Z155">
        <f t="shared" ca="1" si="48"/>
        <v>120</v>
      </c>
      <c r="AA155">
        <f t="shared" ca="1" si="55"/>
        <v>267.54299488449061</v>
      </c>
      <c r="AB155">
        <f t="shared" ca="1" si="49"/>
        <v>0</v>
      </c>
      <c r="AC155">
        <f t="shared" ca="1" si="50"/>
        <v>0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45559</v>
      </c>
      <c r="S156" s="55">
        <f t="shared" ca="1" si="51"/>
        <v>45559</v>
      </c>
      <c r="T156" s="55">
        <f t="shared" ca="1" si="45"/>
        <v>7.5798335540466768</v>
      </c>
      <c r="U156" s="55">
        <f t="shared" ca="1" si="46"/>
        <v>335.59499661193689</v>
      </c>
      <c r="V156" s="55">
        <f t="shared" ca="1" si="47"/>
        <v>0</v>
      </c>
      <c r="W156" s="55">
        <f t="shared" ca="1" si="52"/>
        <v>-82.931067407712973</v>
      </c>
      <c r="X156" s="55">
        <f t="shared" ca="1" si="53"/>
        <v>94.00692253095589</v>
      </c>
      <c r="Y156" s="55">
        <f t="shared" ca="1" si="54"/>
        <v>-5.9833164251482875</v>
      </c>
      <c r="Z156">
        <f t="shared" ca="1" si="48"/>
        <v>118.95652173913041</v>
      </c>
      <c r="AA156">
        <f t="shared" ca="1" si="55"/>
        <v>267.54299488449061</v>
      </c>
      <c r="AB156">
        <f t="shared" ca="1" si="49"/>
        <v>0</v>
      </c>
      <c r="AC156">
        <f t="shared" ca="1" si="50"/>
        <v>0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45560</v>
      </c>
      <c r="S157" s="55">
        <f t="shared" ca="1" si="51"/>
        <v>45560</v>
      </c>
      <c r="T157" s="55">
        <f t="shared" ca="1" si="45"/>
        <v>8.3577421079085461</v>
      </c>
      <c r="U157" s="55">
        <f t="shared" ca="1" si="46"/>
        <v>335.61581600132621</v>
      </c>
      <c r="V157" s="55">
        <f t="shared" ca="1" si="47"/>
        <v>0</v>
      </c>
      <c r="W157" s="55">
        <f t="shared" ca="1" si="52"/>
        <v>-82.931067407712973</v>
      </c>
      <c r="X157" s="55">
        <f t="shared" ca="1" si="53"/>
        <v>94.793076022466352</v>
      </c>
      <c r="Y157" s="55">
        <f t="shared" ca="1" si="54"/>
        <v>-5.9707419734075557</v>
      </c>
      <c r="Z157">
        <f t="shared" ca="1" si="48"/>
        <v>116.97300567107749</v>
      </c>
      <c r="AA157">
        <f t="shared" ca="1" si="55"/>
        <v>267.54299488449061</v>
      </c>
      <c r="AB157">
        <f t="shared" ca="1" si="49"/>
        <v>0</v>
      </c>
      <c r="AC157">
        <f t="shared" ca="1" si="50"/>
        <v>0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45561</v>
      </c>
      <c r="S158" s="55">
        <f t="shared" ca="1" si="51"/>
        <v>45561</v>
      </c>
      <c r="T158" s="55">
        <f t="shared" ca="1" si="45"/>
        <v>9.1590760031474616</v>
      </c>
      <c r="U158" s="55">
        <f t="shared" ca="1" si="46"/>
        <v>335.63478260869556</v>
      </c>
      <c r="V158" s="55">
        <f t="shared" ca="1" si="47"/>
        <v>0</v>
      </c>
      <c r="W158" s="55">
        <f t="shared" ca="1" si="52"/>
        <v>-82.931067407712973</v>
      </c>
      <c r="X158" s="55">
        <f t="shared" ca="1" si="53"/>
        <v>95.600504159184823</v>
      </c>
      <c r="Y158" s="55">
        <f t="shared" ca="1" si="54"/>
        <v>-5.9578696075177584</v>
      </c>
      <c r="Z158">
        <f t="shared" ca="1" si="48"/>
        <v>114.64570329580009</v>
      </c>
      <c r="AA158">
        <f t="shared" ca="1" si="55"/>
        <v>267.54299488449061</v>
      </c>
      <c r="AB158">
        <f t="shared" ca="1" si="49"/>
        <v>0</v>
      </c>
      <c r="AC158">
        <f t="shared" ca="1" si="50"/>
        <v>0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68:H71 C64:E67 F65:H66 F8:H15 C57:H63 C53:H53 C52:D52 F52:H52 C46:H51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284</v>
      </c>
    </row>
    <row r="2" spans="1:43">
      <c r="H2" t="s">
        <v>282</v>
      </c>
      <c r="I2">
        <f ca="1"/>
        <v>50</v>
      </c>
      <c r="J2">
        <f ca="1"/>
        <v>0</v>
      </c>
      <c r="K2">
        <f ca="1"/>
        <v>3</v>
      </c>
      <c r="L2">
        <f ca="1"/>
        <v>95</v>
      </c>
      <c r="M2">
        <f ca="1"/>
        <v>0</v>
      </c>
      <c r="N2">
        <f ca="1"/>
        <v>346</v>
      </c>
      <c r="O2">
        <f ca="1"/>
        <v>0</v>
      </c>
      <c r="P2">
        <f ca="1"/>
        <v>487</v>
      </c>
      <c r="Q2">
        <f ca="1">SUM(I2:O2)</f>
        <v>494</v>
      </c>
      <c r="R2">
        <f ca="1">Q2-P2</f>
        <v>7</v>
      </c>
    </row>
    <row r="3" spans="1:43">
      <c r="H3" t="s">
        <v>283</v>
      </c>
      <c r="I3">
        <f ca="1"/>
        <v>9</v>
      </c>
      <c r="J3">
        <f ca="1"/>
        <v>302</v>
      </c>
      <c r="K3">
        <f ca="1"/>
        <v>33</v>
      </c>
      <c r="L3">
        <f ca="1"/>
        <v>0</v>
      </c>
      <c r="M3">
        <f ca="1"/>
        <v>6</v>
      </c>
      <c r="N3">
        <f ca="1"/>
        <v>0</v>
      </c>
      <c r="O3">
        <f ca="1"/>
        <v>142</v>
      </c>
      <c r="P3">
        <f ca="1"/>
        <v>428</v>
      </c>
      <c r="Q3">
        <f ca="1">SUM(I3:O3)</f>
        <v>492</v>
      </c>
    </row>
    <row r="4" spans="1:43" ht="15" thickBot="1"/>
    <row r="5" spans="1:43" ht="26.4" thickBot="1">
      <c r="A5" s="138" t="s">
        <v>111</v>
      </c>
      <c r="B5" s="139"/>
      <c r="I5" s="30" t="s">
        <v>110</v>
      </c>
      <c r="J5" s="22"/>
      <c r="K5" s="21" t="s">
        <v>180</v>
      </c>
      <c r="L5" s="22"/>
      <c r="M5" s="21" t="s">
        <v>177</v>
      </c>
      <c r="N5" s="21" t="s">
        <v>178</v>
      </c>
      <c r="O5" s="21" t="s">
        <v>13</v>
      </c>
      <c r="P5" s="21" t="s">
        <v>177</v>
      </c>
      <c r="Q5" s="21" t="s">
        <v>179</v>
      </c>
      <c r="R5" s="23" t="s">
        <v>174</v>
      </c>
      <c r="S5" s="97"/>
      <c r="T5" s="97"/>
      <c r="U5" s="97"/>
      <c r="V5" s="97"/>
      <c r="W5" s="97" t="s">
        <v>176</v>
      </c>
      <c r="X5" s="97" t="s">
        <v>175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247</v>
      </c>
      <c r="B6" s="13" t="str">
        <f>Location</f>
        <v>levin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3</v>
      </c>
      <c r="AJ6">
        <f ca="1"/>
        <v>95</v>
      </c>
      <c r="AK6">
        <f ca="1"/>
        <v>0</v>
      </c>
      <c r="AL6">
        <f ca="1"/>
        <v>346</v>
      </c>
      <c r="AM6">
        <f ca="1"/>
        <v>0</v>
      </c>
      <c r="AN6">
        <f ca="1"/>
        <v>487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226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45422</v>
      </c>
      <c r="K7" s="3">
        <v>50</v>
      </c>
      <c r="L7" s="3"/>
      <c r="M7" s="3">
        <f ca="1">SUMIF($I$12:$I$1005,TRUE,M12:M1005)</f>
        <v>-5.9578696075177584</v>
      </c>
      <c r="N7" s="3">
        <f ca="1">SUMIF($I$12:$I$1005,TRUE,N12:N1005)</f>
        <v>94.725314700891204</v>
      </c>
      <c r="O7" s="3">
        <f ca="1">SUMIF($I$12:$I$1005,TRUE,O12:O1005)</f>
        <v>345.76792527372959</v>
      </c>
      <c r="P7" s="3">
        <f ca="1">VLOOKUP(B36,ModelOutputs,P9,FALSE)-Q7</f>
        <v>0.25128695973703774</v>
      </c>
      <c r="Q7">
        <f ca="1">VLOOKUP(B36,ModelOutputs,Q9,FALSE)</f>
        <v>2.2864351940908523</v>
      </c>
      <c r="R7" s="13"/>
      <c r="W7" s="3">
        <f ca="1">MAX(0,X8-X7)</f>
        <v>0</v>
      </c>
      <c r="X7" s="3">
        <f ca="1">SUM(K7:R7)</f>
        <v>487.07309252093097</v>
      </c>
      <c r="AA7" s="3"/>
      <c r="AG7">
        <f ca="1"/>
        <v>9</v>
      </c>
      <c r="AH7">
        <f ca="1"/>
        <v>302</v>
      </c>
      <c r="AI7">
        <f ca="1"/>
        <v>33</v>
      </c>
      <c r="AJ7">
        <f ca="1"/>
        <v>0</v>
      </c>
      <c r="AK7">
        <f ca="1"/>
        <v>6</v>
      </c>
      <c r="AL7">
        <f ca="1"/>
        <v>0</v>
      </c>
      <c r="AM7">
        <f ca="1"/>
        <v>142</v>
      </c>
      <c r="AN7">
        <f ca="1"/>
        <v>428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208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45561</v>
      </c>
      <c r="K8" s="24">
        <f ca="1">VLOOKUP(J8,ModelOutputs,2,FALSE)</f>
        <v>9.1590760031474616</v>
      </c>
      <c r="L8" s="27"/>
      <c r="M8" s="25"/>
      <c r="N8" s="25"/>
      <c r="O8" s="25"/>
      <c r="P8" s="24">
        <f ca="1">(VLOOKUP($J$8,ModelOutputs,P9,FALSE)-VLOOKUP($J$7+1,ModelOutputs,P9,FALSE))-Q8</f>
        <v>33.234782608695639</v>
      </c>
      <c r="Q8" s="26">
        <f ca="1">VLOOKUP($J$8,ModelOutputs,Q9,FALSE)-VLOOKUP($J$7+1,ModelOutputs,Q9,FALSE)</f>
        <v>302.39999999999992</v>
      </c>
      <c r="R8" s="27">
        <f ca="1">SUMIF($I$12:$I$1005,TRUE,R12:R1005)</f>
        <v>82.931067407712973</v>
      </c>
      <c r="S8" s="3"/>
      <c r="T8" s="3"/>
      <c r="U8" s="3"/>
      <c r="V8" s="3"/>
      <c r="W8" s="3">
        <f ca="1">MAX(0,X7-X8)</f>
        <v>59.348166501374976</v>
      </c>
      <c r="X8" s="3">
        <f ca="1">SUM(K8:R8)</f>
        <v>427.72492601955599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236</v>
      </c>
      <c r="B9" s="13" t="str">
        <f>SoilCategory</f>
        <v>Sedimentary</v>
      </c>
      <c r="D9" s="37">
        <f>IF(ConceptDemo!C29="","",ConceptDemo!C29)</f>
        <v>45444</v>
      </c>
      <c r="E9" s="38">
        <f>IF(ConceptDemo!D29="","",ConceptDemo!D29)</f>
        <v>100</v>
      </c>
      <c r="L9">
        <f ca="1">SUMIF(H11:H1004,FALSE,L11:L1004)</f>
        <v>152.48912852492705</v>
      </c>
      <c r="M9">
        <f ca="1">SUMIF(H11:H1004,TRUE,M11:M1004)</f>
        <v>-5.9707419734075557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207</v>
      </c>
      <c r="B10" s="13">
        <f>HWEON</f>
        <v>55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173</v>
      </c>
      <c r="I10" t="s">
        <v>109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143</v>
      </c>
      <c r="Y10" t="s">
        <v>144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45421</v>
      </c>
      <c r="K11">
        <f ca="1"/>
        <v>0</v>
      </c>
      <c r="L11">
        <f ca="1"/>
        <v>4.0414083192676031</v>
      </c>
      <c r="M11">
        <f ca="1"/>
        <v>0</v>
      </c>
      <c r="N11" s="4">
        <f ca="1"/>
        <v>0.87518945829361017</v>
      </c>
      <c r="O11">
        <f ca="1"/>
        <v>0</v>
      </c>
      <c r="P11">
        <f ca="1"/>
        <v>108.00000000000001</v>
      </c>
      <c r="Q11">
        <f ca="1"/>
        <v>98.800000000000011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0.99993345063478134</v>
      </c>
      <c r="X11" s="2">
        <f t="shared" ref="X11:X74" ca="1" si="1">IFERROR(J11,$X$9)</f>
        <v>45421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227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45422</v>
      </c>
      <c r="K12">
        <f ca="1"/>
        <v>50.551232739697447</v>
      </c>
      <c r="L12">
        <f ca="1"/>
        <v>0</v>
      </c>
      <c r="M12">
        <f ca="1"/>
        <v>-0.31901487835339837</v>
      </c>
      <c r="N12" s="4">
        <f ca="1"/>
        <v>0.87024761805084383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0.93982608695652192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45422</v>
      </c>
      <c r="Y12">
        <f t="shared" ca="1" si="2"/>
        <v>0</v>
      </c>
      <c r="Z12" s="3"/>
      <c r="AA12" s="63">
        <f ca="1">K11+M12+N12+O12</f>
        <v>0.55123273969744546</v>
      </c>
      <c r="AB12" s="63">
        <f ca="1">K12+L12+R12</f>
        <v>50.551232739697447</v>
      </c>
      <c r="AC12" s="3">
        <f ca="1">AB12-AA12</f>
        <v>50</v>
      </c>
      <c r="AE12" s="3"/>
    </row>
    <row r="13" spans="1:43">
      <c r="A13" s="12" t="s">
        <v>200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45423</v>
      </c>
      <c r="K13">
        <f ca="1"/>
        <v>50.929493728987389</v>
      </c>
      <c r="L13">
        <f ca="1"/>
        <v>0</v>
      </c>
      <c r="M13">
        <f ca="1"/>
        <v>-0.31562929759322578</v>
      </c>
      <c r="N13" s="4">
        <f ca="1"/>
        <v>0.9306057471470609</v>
      </c>
      <c r="O13">
        <f ca="1"/>
        <v>0</v>
      </c>
      <c r="P13">
        <f ca="1"/>
        <v>0</v>
      </c>
      <c r="Q13">
        <f ca="1"/>
        <v>0</v>
      </c>
      <c r="R13">
        <f ca="1"/>
        <v>0.23671546026389592</v>
      </c>
      <c r="S13">
        <f ca="1"/>
        <v>1</v>
      </c>
      <c r="T13">
        <f ca="1"/>
        <v>0.84396173913044947</v>
      </c>
      <c r="U13">
        <f ca="1"/>
        <v>0</v>
      </c>
      <c r="V13">
        <f ca="1"/>
        <v>0</v>
      </c>
      <c r="X13" s="2">
        <f t="shared" ca="1" si="1"/>
        <v>45423</v>
      </c>
      <c r="Y13">
        <f t="shared" ca="1" si="2"/>
        <v>0</v>
      </c>
      <c r="AA13" s="63">
        <f t="shared" ref="AA13:AA76" ca="1" si="4">K12+M13+N13+O13</f>
        <v>51.166209189251283</v>
      </c>
      <c r="AB13" s="63">
        <f t="shared" ref="AB13:AB76" ca="1" si="5">K13+L13+R13</f>
        <v>51.166209189251283</v>
      </c>
      <c r="AC13" s="3">
        <f t="shared" ref="AC13:AC76" ca="1" si="6">AB13-AA13</f>
        <v>0</v>
      </c>
    </row>
    <row r="14" spans="1:43" ht="15" thickBot="1">
      <c r="A14" s="12" t="s">
        <v>201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45424</v>
      </c>
      <c r="K14">
        <f ca="1"/>
        <v>50.453524691118524</v>
      </c>
      <c r="L14">
        <f ca="1"/>
        <v>0</v>
      </c>
      <c r="M14">
        <f ca="1"/>
        <v>-0.28837801057378343</v>
      </c>
      <c r="N14" s="4">
        <f ca="1"/>
        <v>0.8766127384361353</v>
      </c>
      <c r="O14">
        <f ca="1"/>
        <v>0</v>
      </c>
      <c r="P14">
        <f ca="1"/>
        <v>0</v>
      </c>
      <c r="Q14">
        <f ca="1"/>
        <v>0</v>
      </c>
      <c r="R14">
        <f ca="1"/>
        <v>1.0642037657312156</v>
      </c>
      <c r="S14">
        <f ca="1"/>
        <v>1</v>
      </c>
      <c r="T14">
        <f ca="1"/>
        <v>3.8299999999999983</v>
      </c>
      <c r="U14">
        <f ca="1"/>
        <v>0</v>
      </c>
      <c r="V14">
        <f ca="1"/>
        <v>0</v>
      </c>
      <c r="X14" s="2">
        <f t="shared" ca="1" si="1"/>
        <v>45424</v>
      </c>
      <c r="Y14">
        <f t="shared" ca="1" si="2"/>
        <v>0</v>
      </c>
      <c r="AA14" s="63">
        <f t="shared" ca="1" si="4"/>
        <v>51.517728456849738</v>
      </c>
      <c r="AB14" s="63">
        <f t="shared" ca="1" si="5"/>
        <v>51.517728456849738</v>
      </c>
      <c r="AC14" s="3">
        <f t="shared" ca="1" si="6"/>
        <v>0</v>
      </c>
    </row>
    <row r="15" spans="1:43" ht="15" thickBot="1">
      <c r="A15" s="12" t="s">
        <v>188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45425</v>
      </c>
      <c r="K15">
        <f ca="1"/>
        <v>50.045980774825338</v>
      </c>
      <c r="L15">
        <f ca="1"/>
        <v>0</v>
      </c>
      <c r="M15">
        <f ca="1"/>
        <v>-0.27849094834345034</v>
      </c>
      <c r="N15" s="4">
        <f ca="1"/>
        <v>0.88521224242005803</v>
      </c>
      <c r="O15">
        <f ca="1"/>
        <v>0</v>
      </c>
      <c r="P15">
        <f ca="1"/>
        <v>0</v>
      </c>
      <c r="Q15">
        <f ca="1"/>
        <v>0</v>
      </c>
      <c r="R15">
        <f ca="1"/>
        <v>1.0142652103697953</v>
      </c>
      <c r="S15">
        <f ca="1"/>
        <v>1</v>
      </c>
      <c r="T15">
        <f ca="1"/>
        <v>3.6800000000000068</v>
      </c>
      <c r="U15">
        <f ca="1"/>
        <v>0</v>
      </c>
      <c r="V15">
        <f ca="1"/>
        <v>0</v>
      </c>
      <c r="X15" s="2">
        <f t="shared" ca="1" si="1"/>
        <v>45425</v>
      </c>
      <c r="Y15">
        <f t="shared" ca="1" si="2"/>
        <v>0</v>
      </c>
      <c r="AA15" s="63">
        <f t="shared" ca="1" si="4"/>
        <v>51.060245985195131</v>
      </c>
      <c r="AB15" s="63">
        <f t="shared" ca="1" si="5"/>
        <v>51.060245985195131</v>
      </c>
      <c r="AC15" s="3">
        <f t="shared" ca="1" si="6"/>
        <v>0</v>
      </c>
    </row>
    <row r="16" spans="1:43">
      <c r="A16" s="5" t="s">
        <v>140</v>
      </c>
      <c r="B16" s="31" t="str">
        <f>PriorCropNameFull</f>
        <v>Barley Fodder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45426</v>
      </c>
      <c r="K16">
        <f ca="1"/>
        <v>48.653987898916718</v>
      </c>
      <c r="L16">
        <f ca="1"/>
        <v>0</v>
      </c>
      <c r="M16">
        <f ca="1"/>
        <v>-0.2754380329368431</v>
      </c>
      <c r="N16" s="4">
        <f ca="1"/>
        <v>0.92254084117440827</v>
      </c>
      <c r="O16">
        <f ca="1"/>
        <v>0</v>
      </c>
      <c r="P16">
        <f ca="1"/>
        <v>0</v>
      </c>
      <c r="Q16">
        <f ca="1"/>
        <v>0</v>
      </c>
      <c r="R16">
        <f ca="1"/>
        <v>2.0390956841461931</v>
      </c>
      <c r="S16">
        <f ca="1"/>
        <v>1</v>
      </c>
      <c r="T16">
        <f ca="1"/>
        <v>7.6099999999999994</v>
      </c>
      <c r="U16">
        <f ca="1"/>
        <v>0</v>
      </c>
      <c r="V16">
        <f ca="1"/>
        <v>0</v>
      </c>
      <c r="X16" s="2">
        <f t="shared" ca="1" si="1"/>
        <v>45426</v>
      </c>
      <c r="Y16">
        <f t="shared" ca="1" si="2"/>
        <v>0</v>
      </c>
      <c r="AA16" s="63">
        <f t="shared" ca="1" si="4"/>
        <v>50.693083583062908</v>
      </c>
      <c r="AB16" s="63">
        <f t="shared" ca="1" si="5"/>
        <v>50.693083583062908</v>
      </c>
      <c r="AC16" s="3">
        <f t="shared" ca="1" si="6"/>
        <v>0</v>
      </c>
    </row>
    <row r="17" spans="1:29" ht="15" thickBot="1">
      <c r="A17" s="6" t="s">
        <v>237</v>
      </c>
      <c r="B17" s="32">
        <f>PriorYield</f>
        <v>8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45427</v>
      </c>
      <c r="K17">
        <f ca="1"/>
        <v>48.310324099328575</v>
      </c>
      <c r="L17">
        <f ca="1"/>
        <v>0</v>
      </c>
      <c r="M17">
        <f ca="1"/>
        <v>-0.25293217037340954</v>
      </c>
      <c r="N17" s="4">
        <f ca="1"/>
        <v>0.87505476299706531</v>
      </c>
      <c r="O17">
        <f ca="1"/>
        <v>0</v>
      </c>
      <c r="P17">
        <f ca="1"/>
        <v>0</v>
      </c>
      <c r="Q17">
        <f ca="1"/>
        <v>0</v>
      </c>
      <c r="R17">
        <f ca="1"/>
        <v>0.96578639221179741</v>
      </c>
      <c r="S17">
        <f ca="1"/>
        <v>1</v>
      </c>
      <c r="T17">
        <f ca="1"/>
        <v>3.6300000000000097</v>
      </c>
      <c r="U17">
        <f ca="1"/>
        <v>0</v>
      </c>
      <c r="V17">
        <f ca="1"/>
        <v>0</v>
      </c>
      <c r="X17" s="2">
        <f t="shared" ca="1" si="1"/>
        <v>45427</v>
      </c>
      <c r="Y17">
        <f t="shared" ca="1" si="2"/>
        <v>0</v>
      </c>
      <c r="AA17" s="63">
        <f t="shared" ca="1" si="4"/>
        <v>49.276110491540372</v>
      </c>
      <c r="AB17" s="63">
        <f t="shared" ca="1" si="5"/>
        <v>49.276110491540372</v>
      </c>
      <c r="AC17" s="3">
        <f t="shared" ca="1" si="6"/>
        <v>0</v>
      </c>
    </row>
    <row r="18" spans="1:29">
      <c r="A18" s="6" t="s">
        <v>230</v>
      </c>
      <c r="B18" s="32">
        <f>PriorPopulation</f>
        <v>1</v>
      </c>
      <c r="D18" s="18">
        <f>IF(ConceptDemo!C38="","",ConceptDemo!C38)</f>
        <v>45458</v>
      </c>
      <c r="E18" s="17">
        <f>IF(ConceptDemo!D38="","",ConceptDemo!D38)</f>
        <v>50</v>
      </c>
      <c r="H18" t="b">
        <f t="shared" ca="1" si="3"/>
        <v>1</v>
      </c>
      <c r="I18" t="b">
        <f t="shared" ca="1" si="0"/>
        <v>1</v>
      </c>
      <c r="J18" s="2">
        <f ca="1"/>
        <v>45428</v>
      </c>
      <c r="K18">
        <f ca="1"/>
        <v>48.264437222741918</v>
      </c>
      <c r="L18">
        <f ca="1"/>
        <v>0</v>
      </c>
      <c r="M18">
        <f ca="1"/>
        <v>-0.23215241318330193</v>
      </c>
      <c r="N18" s="4">
        <f ca="1"/>
        <v>0.82685353092399017</v>
      </c>
      <c r="O18">
        <f ca="1"/>
        <v>0</v>
      </c>
      <c r="P18">
        <f ca="1"/>
        <v>0</v>
      </c>
      <c r="Q18">
        <f ca="1"/>
        <v>0</v>
      </c>
      <c r="R18">
        <f ca="1"/>
        <v>0.64058799432734759</v>
      </c>
      <c r="S18">
        <f ca="1"/>
        <v>1</v>
      </c>
      <c r="T18">
        <f ca="1"/>
        <v>2.4099999999999966</v>
      </c>
      <c r="U18">
        <f ca="1"/>
        <v>0</v>
      </c>
      <c r="V18">
        <f ca="1"/>
        <v>0</v>
      </c>
      <c r="X18" s="2">
        <f t="shared" ca="1" si="1"/>
        <v>45428</v>
      </c>
      <c r="Y18">
        <f t="shared" ca="1" si="2"/>
        <v>0</v>
      </c>
      <c r="AA18" s="63">
        <f t="shared" ca="1" si="4"/>
        <v>48.905025217069266</v>
      </c>
      <c r="AB18" s="63">
        <f t="shared" ca="1" si="5"/>
        <v>48.905025217069266</v>
      </c>
      <c r="AC18" s="3">
        <f t="shared" ca="1" si="6"/>
        <v>0</v>
      </c>
    </row>
    <row r="19" spans="1:29">
      <c r="A19" s="6" t="s">
        <v>231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45429</v>
      </c>
      <c r="K19">
        <f ca="1"/>
        <v>48.486316875762007</v>
      </c>
      <c r="L19">
        <f ca="1"/>
        <v>0</v>
      </c>
      <c r="M19">
        <f ca="1"/>
        <v>-0.21327205781482528</v>
      </c>
      <c r="N19" s="4">
        <f ca="1"/>
        <v>0.77961537072619613</v>
      </c>
      <c r="O19">
        <f ca="1"/>
        <v>0</v>
      </c>
      <c r="P19">
        <f ca="1"/>
        <v>0</v>
      </c>
      <c r="Q19">
        <f ca="1"/>
        <v>0</v>
      </c>
      <c r="R19">
        <f ca="1"/>
        <v>0.3444636598912848</v>
      </c>
      <c r="S19">
        <f ca="1"/>
        <v>1</v>
      </c>
      <c r="T19">
        <f ca="1"/>
        <v>1.2900000000000063</v>
      </c>
      <c r="U19">
        <f ca="1"/>
        <v>0</v>
      </c>
      <c r="V19">
        <f ca="1"/>
        <v>0</v>
      </c>
      <c r="X19" s="2">
        <f t="shared" ca="1" si="1"/>
        <v>45429</v>
      </c>
      <c r="Y19">
        <f t="shared" ca="1" si="2"/>
        <v>0</v>
      </c>
      <c r="AA19" s="63">
        <f t="shared" ca="1" si="4"/>
        <v>48.83078053565329</v>
      </c>
      <c r="AB19" s="63">
        <f t="shared" ca="1" si="5"/>
        <v>48.83078053565329</v>
      </c>
      <c r="AC19" s="3">
        <f t="shared" ca="1" si="6"/>
        <v>0</v>
      </c>
    </row>
    <row r="20" spans="1:29">
      <c r="A20" s="6" t="s">
        <v>113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45430</v>
      </c>
      <c r="K20">
        <f ca="1"/>
        <v>48.796512543118034</v>
      </c>
      <c r="L20">
        <f ca="1"/>
        <v>0</v>
      </c>
      <c r="M20">
        <f ca="1"/>
        <v>-0.20917542317709614</v>
      </c>
      <c r="N20" s="4">
        <f ca="1"/>
        <v>0.80154222828245403</v>
      </c>
      <c r="O20">
        <f ca="1"/>
        <v>0</v>
      </c>
      <c r="P20">
        <f ca="1"/>
        <v>0</v>
      </c>
      <c r="Q20">
        <f ca="1"/>
        <v>0</v>
      </c>
      <c r="R20">
        <f ca="1"/>
        <v>0.282171137749334</v>
      </c>
      <c r="S20">
        <f ca="1"/>
        <v>1</v>
      </c>
      <c r="T20">
        <f ca="1"/>
        <v>1.0499999999999972</v>
      </c>
      <c r="U20">
        <f ca="1"/>
        <v>0</v>
      </c>
      <c r="V20">
        <f ca="1"/>
        <v>0</v>
      </c>
      <c r="X20" s="2">
        <f t="shared" ca="1" si="1"/>
        <v>45430</v>
      </c>
      <c r="Y20">
        <f t="shared" ca="1" si="2"/>
        <v>0</v>
      </c>
      <c r="AA20" s="63">
        <f t="shared" ca="1" si="4"/>
        <v>49.078683680867371</v>
      </c>
      <c r="AB20" s="63">
        <f t="shared" ca="1" si="5"/>
        <v>49.078683680867371</v>
      </c>
      <c r="AC20" s="3">
        <f t="shared" ca="1" si="6"/>
        <v>0</v>
      </c>
    </row>
    <row r="21" spans="1:29">
      <c r="A21" s="6" t="s">
        <v>114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45431</v>
      </c>
      <c r="K21">
        <f ca="1"/>
        <v>49.388869214228279</v>
      </c>
      <c r="L21">
        <f ca="1"/>
        <v>0</v>
      </c>
      <c r="M21">
        <f ca="1"/>
        <v>-0.19890567729134645</v>
      </c>
      <c r="N21" s="4">
        <f ca="1"/>
        <v>0.7912623484015936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0.98623188405797102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45431</v>
      </c>
      <c r="Y21">
        <f t="shared" ca="1" si="2"/>
        <v>0</v>
      </c>
      <c r="AA21" s="63">
        <f t="shared" ca="1" si="4"/>
        <v>49.388869214228286</v>
      </c>
      <c r="AB21" s="63">
        <f t="shared" ca="1" si="5"/>
        <v>49.388869214228279</v>
      </c>
      <c r="AC21" s="3">
        <f t="shared" ca="1" si="6"/>
        <v>0</v>
      </c>
    </row>
    <row r="22" spans="1:29">
      <c r="A22" s="6" t="s">
        <v>115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45432</v>
      </c>
      <c r="K22">
        <f ca="1"/>
        <v>49.978902167414944</v>
      </c>
      <c r="L22">
        <f ca="1"/>
        <v>0</v>
      </c>
      <c r="M22">
        <f ca="1"/>
        <v>-0.18904265052975688</v>
      </c>
      <c r="N22" s="4">
        <f ca="1"/>
        <v>0.78034014027493936</v>
      </c>
      <c r="O22">
        <f ca="1"/>
        <v>0</v>
      </c>
      <c r="P22">
        <f ca="1"/>
        <v>0</v>
      </c>
      <c r="Q22">
        <f ca="1"/>
        <v>0</v>
      </c>
      <c r="R22">
        <f ca="1"/>
        <v>1.2645365585127885E-3</v>
      </c>
      <c r="S22">
        <f ca="1"/>
        <v>1</v>
      </c>
      <c r="T22">
        <f ca="1"/>
        <v>4.5942028985450634E-3</v>
      </c>
      <c r="U22">
        <f ca="1"/>
        <v>0</v>
      </c>
      <c r="V22">
        <f ca="1"/>
        <v>0</v>
      </c>
      <c r="X22" s="2">
        <f t="shared" ca="1" si="1"/>
        <v>45432</v>
      </c>
      <c r="Y22">
        <f t="shared" ca="1" si="2"/>
        <v>0</v>
      </c>
      <c r="AA22" s="63">
        <f t="shared" ca="1" si="4"/>
        <v>49.98016670397346</v>
      </c>
      <c r="AB22" s="63">
        <f t="shared" ca="1" si="5"/>
        <v>49.98016670397346</v>
      </c>
      <c r="AC22" s="3">
        <f t="shared" ca="1" si="6"/>
        <v>0</v>
      </c>
    </row>
    <row r="23" spans="1:29" ht="15" thickBot="1">
      <c r="A23" s="6" t="s">
        <v>116</v>
      </c>
      <c r="B23" s="34">
        <f ca="1">PriorEstablishDate</f>
        <v>45376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45433</v>
      </c>
      <c r="K23">
        <f ca="1"/>
        <v>49.993484263594901</v>
      </c>
      <c r="L23">
        <f ca="1"/>
        <v>0</v>
      </c>
      <c r="M23">
        <f ca="1"/>
        <v>-0.1646124142347043</v>
      </c>
      <c r="N23" s="4">
        <f ca="1"/>
        <v>0.68028862225092768</v>
      </c>
      <c r="O23">
        <f ca="1"/>
        <v>0</v>
      </c>
      <c r="P23">
        <f ca="1"/>
        <v>0</v>
      </c>
      <c r="Q23">
        <f ca="1"/>
        <v>0</v>
      </c>
      <c r="R23">
        <f ca="1"/>
        <v>0.50109411183626629</v>
      </c>
      <c r="S23">
        <f ca="1"/>
        <v>1</v>
      </c>
      <c r="T23">
        <f ca="1"/>
        <v>1.8200000000000074</v>
      </c>
      <c r="U23">
        <f ca="1"/>
        <v>0</v>
      </c>
      <c r="V23">
        <f ca="1"/>
        <v>0</v>
      </c>
      <c r="X23" s="2">
        <f t="shared" ca="1" si="1"/>
        <v>45433</v>
      </c>
      <c r="Y23">
        <f t="shared" ca="1" si="2"/>
        <v>0</v>
      </c>
      <c r="AA23" s="63">
        <f t="shared" ca="1" si="4"/>
        <v>50.494578375431168</v>
      </c>
      <c r="AB23" s="63">
        <f t="shared" ca="1" si="5"/>
        <v>50.494578375431168</v>
      </c>
      <c r="AC23" s="3">
        <f t="shared" ca="1" si="6"/>
        <v>0</v>
      </c>
    </row>
    <row r="24" spans="1:29">
      <c r="A24" s="6" t="s">
        <v>117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45434</v>
      </c>
      <c r="K24">
        <f ca="1"/>
        <v>50.037607263557</v>
      </c>
      <c r="L24">
        <f ca="1"/>
        <v>0</v>
      </c>
      <c r="M24">
        <f ca="1"/>
        <v>-0.1649309696994643</v>
      </c>
      <c r="N24" s="4">
        <f ca="1"/>
        <v>0.71885741757866928</v>
      </c>
      <c r="O24">
        <f ca="1"/>
        <v>0</v>
      </c>
      <c r="P24">
        <f ca="1"/>
        <v>0</v>
      </c>
      <c r="Q24">
        <f ca="1"/>
        <v>0</v>
      </c>
      <c r="R24">
        <f ca="1"/>
        <v>0.5098034479171083</v>
      </c>
      <c r="S24">
        <f ca="1"/>
        <v>1</v>
      </c>
      <c r="T24">
        <f ca="1"/>
        <v>1.8499999999999943</v>
      </c>
      <c r="U24">
        <f ca="1"/>
        <v>0</v>
      </c>
      <c r="V24">
        <f ca="1"/>
        <v>0</v>
      </c>
      <c r="X24" s="2">
        <f t="shared" ca="1" si="1"/>
        <v>45434</v>
      </c>
      <c r="Y24">
        <f t="shared" ca="1" si="2"/>
        <v>0</v>
      </c>
      <c r="AA24" s="63">
        <f t="shared" ca="1" si="4"/>
        <v>50.547410711474107</v>
      </c>
      <c r="AB24" s="63">
        <f t="shared" ca="1" si="5"/>
        <v>50.547410711474107</v>
      </c>
      <c r="AC24" s="3">
        <f t="shared" ca="1" si="6"/>
        <v>0</v>
      </c>
    </row>
    <row r="25" spans="1:29">
      <c r="A25" s="6" t="s">
        <v>118</v>
      </c>
      <c r="B25" s="34">
        <f ca="1">PriorHarvestDate</f>
        <v>45421</v>
      </c>
      <c r="H25" t="b">
        <f t="shared" ca="1" si="3"/>
        <v>1</v>
      </c>
      <c r="I25" t="b">
        <f t="shared" ca="1" si="0"/>
        <v>1</v>
      </c>
      <c r="J25" s="2">
        <f ca="1"/>
        <v>45435</v>
      </c>
      <c r="K25">
        <f ca="1"/>
        <v>49.345414159002338</v>
      </c>
      <c r="L25">
        <f ca="1"/>
        <v>0</v>
      </c>
      <c r="M25">
        <f ca="1"/>
        <v>-0.16130519878021898</v>
      </c>
      <c r="N25" s="4">
        <f ca="1"/>
        <v>0.73550136078731698</v>
      </c>
      <c r="O25">
        <f ca="1"/>
        <v>0</v>
      </c>
      <c r="P25">
        <f ca="1"/>
        <v>0</v>
      </c>
      <c r="Q25">
        <f ca="1"/>
        <v>0</v>
      </c>
      <c r="R25">
        <f ca="1"/>
        <v>1.2663892665617615</v>
      </c>
      <c r="S25">
        <f ca="1"/>
        <v>1</v>
      </c>
      <c r="T25">
        <f ca="1"/>
        <v>4.6600000000000108</v>
      </c>
      <c r="U25">
        <f ca="1"/>
        <v>0</v>
      </c>
      <c r="V25">
        <f ca="1"/>
        <v>0</v>
      </c>
      <c r="X25" s="2">
        <f t="shared" ca="1" si="1"/>
        <v>45435</v>
      </c>
      <c r="Y25">
        <f t="shared" ca="1" si="2"/>
        <v>0</v>
      </c>
      <c r="AA25" s="63">
        <f t="shared" ca="1" si="4"/>
        <v>50.611803425564098</v>
      </c>
      <c r="AB25" s="63">
        <f t="shared" ca="1" si="5"/>
        <v>50.611803425564098</v>
      </c>
      <c r="AC25" s="3">
        <f t="shared" ca="1" si="6"/>
        <v>0</v>
      </c>
    </row>
    <row r="26" spans="1:29">
      <c r="A26" s="6" t="s">
        <v>119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45436</v>
      </c>
      <c r="K26">
        <f ca="1"/>
        <v>49.321325188130849</v>
      </c>
      <c r="L26">
        <f ca="1"/>
        <v>0</v>
      </c>
      <c r="M26">
        <f ca="1"/>
        <v>-0.15287191126311317</v>
      </c>
      <c r="N26" s="4">
        <f ca="1"/>
        <v>0.72092476337492706</v>
      </c>
      <c r="O26">
        <f ca="1"/>
        <v>0</v>
      </c>
      <c r="P26">
        <f ca="1"/>
        <v>2.53772215382789</v>
      </c>
      <c r="Q26">
        <f ca="1"/>
        <v>2.2864351940908523</v>
      </c>
      <c r="R26">
        <f ca="1"/>
        <v>0.59214182298330043</v>
      </c>
      <c r="S26">
        <f ca="1"/>
        <v>1</v>
      </c>
      <c r="T26">
        <f ca="1"/>
        <v>2.1800000000000068</v>
      </c>
      <c r="U26">
        <f ca="1"/>
        <v>0</v>
      </c>
      <c r="V26">
        <f ca="1"/>
        <v>9.6360663176434016E-3</v>
      </c>
      <c r="X26" s="2">
        <f t="shared" ca="1" si="1"/>
        <v>45436</v>
      </c>
      <c r="Y26">
        <f t="shared" ca="1" si="2"/>
        <v>0</v>
      </c>
      <c r="AA26" s="63">
        <f t="shared" ca="1" si="4"/>
        <v>49.91346701111415</v>
      </c>
      <c r="AB26" s="63">
        <f t="shared" ca="1" si="5"/>
        <v>49.91346701111415</v>
      </c>
      <c r="AC26" s="3">
        <f t="shared" ca="1" si="6"/>
        <v>0</v>
      </c>
    </row>
    <row r="27" spans="1:29">
      <c r="A27" s="6" t="s">
        <v>163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45437</v>
      </c>
      <c r="K27">
        <f ca="1"/>
        <v>48.207731551262803</v>
      </c>
      <c r="L27">
        <f ca="1"/>
        <v>0.35266716874957016</v>
      </c>
      <c r="M27">
        <f ca="1"/>
        <v>-0.15116349474722046</v>
      </c>
      <c r="N27" s="4">
        <f ca="1"/>
        <v>0.7495553238191357</v>
      </c>
      <c r="O27">
        <f ca="1"/>
        <v>0</v>
      </c>
      <c r="P27">
        <f ca="1"/>
        <v>2.8903893225774602</v>
      </c>
      <c r="Q27">
        <f ca="1"/>
        <v>2.6041810218652195</v>
      </c>
      <c r="R27">
        <f ca="1"/>
        <v>1.3593182971903912</v>
      </c>
      <c r="S27">
        <f ca="1"/>
        <v>1</v>
      </c>
      <c r="T27">
        <f ca="1"/>
        <v>5.1200000000000045</v>
      </c>
      <c r="U27">
        <f ca="1"/>
        <v>0</v>
      </c>
      <c r="V27">
        <f ca="1"/>
        <v>1.4216832801880543E-2</v>
      </c>
      <c r="X27" s="2">
        <f t="shared" ca="1" si="1"/>
        <v>45437</v>
      </c>
      <c r="Y27">
        <f t="shared" ca="1" si="2"/>
        <v>0</v>
      </c>
      <c r="AA27" s="63">
        <f t="shared" ca="1" si="4"/>
        <v>49.919717017202764</v>
      </c>
      <c r="AB27" s="63">
        <f t="shared" ca="1" si="5"/>
        <v>49.919717017202764</v>
      </c>
      <c r="AC27" s="3">
        <f t="shared" ca="1" si="6"/>
        <v>0</v>
      </c>
    </row>
    <row r="28" spans="1:29" ht="15" thickBot="1">
      <c r="A28" s="6" t="s">
        <v>166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45438</v>
      </c>
      <c r="K28">
        <f ca="1"/>
        <v>47.964713300158593</v>
      </c>
      <c r="L28">
        <f ca="1"/>
        <v>0.35925670280476751</v>
      </c>
      <c r="M28">
        <f ca="1"/>
        <v>-0.13927233979949438</v>
      </c>
      <c r="N28" s="4">
        <f ca="1"/>
        <v>0.70721326544850838</v>
      </c>
      <c r="O28">
        <f ca="1"/>
        <v>0</v>
      </c>
      <c r="P28">
        <f ca="1"/>
        <v>3.2496460253822277</v>
      </c>
      <c r="Q28">
        <f ca="1"/>
        <v>2.9278638835870345</v>
      </c>
      <c r="R28">
        <f ca="1"/>
        <v>0.45170247394844837</v>
      </c>
      <c r="S28">
        <f ca="1"/>
        <v>1</v>
      </c>
      <c r="T28">
        <f ca="1"/>
        <v>1.7099999999999937</v>
      </c>
      <c r="U28">
        <f ca="1"/>
        <v>0</v>
      </c>
      <c r="V28">
        <f ca="1"/>
        <v>2.0147822467962581E-2</v>
      </c>
      <c r="X28" s="2">
        <f t="shared" ca="1" si="1"/>
        <v>45438</v>
      </c>
      <c r="Y28">
        <f t="shared" ca="1" si="2"/>
        <v>0</v>
      </c>
      <c r="AA28" s="63">
        <f t="shared" ca="1" si="4"/>
        <v>48.775672476911815</v>
      </c>
      <c r="AB28" s="63">
        <f t="shared" ca="1" si="5"/>
        <v>48.775672476911815</v>
      </c>
      <c r="AC28" s="3">
        <f t="shared" ca="1" si="6"/>
        <v>0</v>
      </c>
    </row>
    <row r="29" spans="1:29" ht="15" thickBot="1">
      <c r="A29" s="8" t="s">
        <v>141</v>
      </c>
      <c r="B29" s="11" t="str">
        <f>CurrentCropNameFull</f>
        <v>GroundStore Potato Short (Group1)</v>
      </c>
      <c r="H29" t="b">
        <f t="shared" ca="1" si="3"/>
        <v>1</v>
      </c>
      <c r="I29" t="b">
        <f t="shared" ca="1" si="0"/>
        <v>1</v>
      </c>
      <c r="J29" s="2">
        <f ca="1"/>
        <v>45439</v>
      </c>
      <c r="K29">
        <f ca="1"/>
        <v>47.675045515911926</v>
      </c>
      <c r="L29">
        <f ca="1"/>
        <v>0.38124372288316044</v>
      </c>
      <c r="M29">
        <f ca="1"/>
        <v>-0.13132283856245586</v>
      </c>
      <c r="N29" s="4">
        <f ca="1"/>
        <v>0.68762682957579846</v>
      </c>
      <c r="O29">
        <f ca="1"/>
        <v>0</v>
      </c>
      <c r="P29">
        <f ca="1"/>
        <v>3.6308897482653881</v>
      </c>
      <c r="Q29">
        <f ca="1"/>
        <v>3.2713565958256163</v>
      </c>
      <c r="R29">
        <f ca="1"/>
        <v>0.46472805237684855</v>
      </c>
      <c r="S29">
        <f ca="1"/>
        <v>1</v>
      </c>
      <c r="T29">
        <f ca="1"/>
        <v>1.7700000000000102</v>
      </c>
      <c r="U29">
        <f ca="1"/>
        <v>0</v>
      </c>
      <c r="V29">
        <f ca="1"/>
        <v>2.7975039775895962E-2</v>
      </c>
      <c r="X29" s="2">
        <f t="shared" ca="1" si="1"/>
        <v>45439</v>
      </c>
      <c r="Y29">
        <f t="shared" ca="1" si="2"/>
        <v>0</v>
      </c>
      <c r="AA29" s="63">
        <f t="shared" ca="1" si="4"/>
        <v>48.521017291171937</v>
      </c>
      <c r="AB29" s="63">
        <f t="shared" ca="1" si="5"/>
        <v>48.521017291171937</v>
      </c>
      <c r="AC29" s="3">
        <f t="shared" ca="1" si="6"/>
        <v>0</v>
      </c>
    </row>
    <row r="30" spans="1:29">
      <c r="A30" s="9" t="s">
        <v>238</v>
      </c>
      <c r="B30" s="11">
        <f>CurrentYield</f>
        <v>80</v>
      </c>
      <c r="H30" t="b">
        <f t="shared" ca="1" si="3"/>
        <v>1</v>
      </c>
      <c r="I30" t="b">
        <f t="shared" ca="1" si="0"/>
        <v>1</v>
      </c>
      <c r="J30" s="2">
        <f ca="1"/>
        <v>45440</v>
      </c>
      <c r="K30">
        <f ca="1"/>
        <v>47.24048703524398</v>
      </c>
      <c r="L30">
        <f ca="1"/>
        <v>0.46989707522369972</v>
      </c>
      <c r="M30">
        <f ca="1"/>
        <v>-0.13090416530497473</v>
      </c>
      <c r="N30" s="4">
        <f ca="1"/>
        <v>0.72299586213697042</v>
      </c>
      <c r="O30">
        <f ca="1"/>
        <v>0</v>
      </c>
      <c r="P30">
        <f ca="1"/>
        <v>4.1007868234890879</v>
      </c>
      <c r="Q30">
        <f ca="1"/>
        <v>3.6947241456463162</v>
      </c>
      <c r="R30">
        <f ca="1"/>
        <v>0.55675310227624153</v>
      </c>
      <c r="S30">
        <f ca="1"/>
        <v>1</v>
      </c>
      <c r="T30">
        <f ca="1"/>
        <v>2.1400000000000148</v>
      </c>
      <c r="U30">
        <f ca="1"/>
        <v>0</v>
      </c>
      <c r="V30">
        <f ca="1"/>
        <v>3.9974507900826017E-2</v>
      </c>
      <c r="X30" s="2">
        <f t="shared" ca="1" si="1"/>
        <v>45440</v>
      </c>
      <c r="Y30">
        <f t="shared" ca="1" si="2"/>
        <v>0</v>
      </c>
      <c r="AA30" s="63">
        <f t="shared" ca="1" si="4"/>
        <v>48.267137212743918</v>
      </c>
      <c r="AB30" s="63">
        <f t="shared" ca="1" si="5"/>
        <v>48.267137212743918</v>
      </c>
      <c r="AC30" s="3">
        <f t="shared" ca="1" si="6"/>
        <v>0</v>
      </c>
    </row>
    <row r="31" spans="1:29">
      <c r="A31" s="9" t="s">
        <v>232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45441</v>
      </c>
      <c r="K31">
        <f ca="1"/>
        <v>47.127191408263293</v>
      </c>
      <c r="L31">
        <f ca="1"/>
        <v>0.42064109560684493</v>
      </c>
      <c r="M31">
        <f ca="1"/>
        <v>-0.11636690730276955</v>
      </c>
      <c r="N31" s="4">
        <f ca="1"/>
        <v>0.64691768248284565</v>
      </c>
      <c r="O31">
        <f ca="1"/>
        <v>0</v>
      </c>
      <c r="P31">
        <f ca="1"/>
        <v>4.5214279190959328</v>
      </c>
      <c r="Q31">
        <f ca="1"/>
        <v>4.07371307618219</v>
      </c>
      <c r="R31">
        <f ca="1"/>
        <v>0.22320530655391566</v>
      </c>
      <c r="S31">
        <f ca="1"/>
        <v>1</v>
      </c>
      <c r="T31">
        <f ca="1"/>
        <v>0.85999999999998522</v>
      </c>
      <c r="U31">
        <f ca="1"/>
        <v>0</v>
      </c>
      <c r="V31">
        <f ca="1"/>
        <v>5.305240615613268E-2</v>
      </c>
      <c r="X31" s="2">
        <f t="shared" ca="1" si="1"/>
        <v>45441</v>
      </c>
      <c r="Y31">
        <f t="shared" ca="1" si="2"/>
        <v>0</v>
      </c>
      <c r="AA31" s="63">
        <f t="shared" ca="1" si="4"/>
        <v>47.771037810424055</v>
      </c>
      <c r="AB31" s="63">
        <f t="shared" ca="1" si="5"/>
        <v>47.771037810424055</v>
      </c>
      <c r="AC31" s="3">
        <f t="shared" ca="1" si="6"/>
        <v>0</v>
      </c>
    </row>
    <row r="32" spans="1:29">
      <c r="A32" s="9" t="s">
        <v>233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45442</v>
      </c>
      <c r="K32">
        <f ca="1"/>
        <v>46.278507661798074</v>
      </c>
      <c r="L32">
        <f ca="1"/>
        <v>0.46939824622241932</v>
      </c>
      <c r="M32">
        <f ca="1"/>
        <v>-0.11255198882273465</v>
      </c>
      <c r="N32" s="4">
        <f ca="1"/>
        <v>0.65078820570080542</v>
      </c>
      <c r="O32">
        <f ca="1"/>
        <v>0</v>
      </c>
      <c r="P32">
        <f ca="1"/>
        <v>4.9908261653183521</v>
      </c>
      <c r="Q32">
        <f ca="1"/>
        <v>4.4966311913858483</v>
      </c>
      <c r="R32">
        <f ca="1"/>
        <v>0.91752171712086827</v>
      </c>
      <c r="S32">
        <f ca="1"/>
        <v>1</v>
      </c>
      <c r="T32">
        <f ca="1"/>
        <v>3.6000000000000085</v>
      </c>
      <c r="U32">
        <f ca="1"/>
        <v>0</v>
      </c>
      <c r="V32">
        <f ca="1"/>
        <v>7.0345885409351855E-2</v>
      </c>
      <c r="X32" s="2">
        <f t="shared" ca="1" si="1"/>
        <v>45442</v>
      </c>
      <c r="Y32">
        <f t="shared" ca="1" si="2"/>
        <v>0</v>
      </c>
      <c r="AA32" s="63">
        <f t="shared" ca="1" si="4"/>
        <v>47.665427625141362</v>
      </c>
      <c r="AB32" s="63">
        <f t="shared" ca="1" si="5"/>
        <v>47.665427625141362</v>
      </c>
      <c r="AC32" s="3">
        <f t="shared" ca="1" si="6"/>
        <v>0</v>
      </c>
    </row>
    <row r="33" spans="1:29">
      <c r="A33" s="9" t="s">
        <v>120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45443</v>
      </c>
      <c r="K33">
        <f ca="1"/>
        <v>45.950910160402643</v>
      </c>
      <c r="L33">
        <f ca="1"/>
        <v>0.5496128385856025</v>
      </c>
      <c r="M33">
        <f ca="1"/>
        <v>-0.11045693558169489</v>
      </c>
      <c r="N33" s="4">
        <f ca="1"/>
        <v>0.66904604081632513</v>
      </c>
      <c r="O33">
        <f ca="1"/>
        <v>0</v>
      </c>
      <c r="P33">
        <f ca="1"/>
        <v>5.5404390039039546</v>
      </c>
      <c r="Q33">
        <f ca="1"/>
        <v>4.9918209959004072</v>
      </c>
      <c r="R33">
        <f ca="1"/>
        <v>0.3365737680444596</v>
      </c>
      <c r="S33">
        <f ca="1"/>
        <v>1</v>
      </c>
      <c r="T33">
        <f ca="1"/>
        <v>1.3300000000000125</v>
      </c>
      <c r="U33">
        <f ca="1"/>
        <v>0</v>
      </c>
      <c r="V33">
        <f ca="1"/>
        <v>9.4235502619654674E-2</v>
      </c>
      <c r="X33" s="2">
        <f t="shared" ca="1" si="1"/>
        <v>45443</v>
      </c>
      <c r="Y33">
        <f t="shared" ca="1" si="2"/>
        <v>0</v>
      </c>
      <c r="AA33" s="63">
        <f t="shared" ca="1" si="4"/>
        <v>46.837096767032705</v>
      </c>
      <c r="AB33" s="63">
        <f t="shared" ca="1" si="5"/>
        <v>46.837096767032705</v>
      </c>
      <c r="AC33" s="3">
        <f t="shared" ca="1" si="6"/>
        <v>0</v>
      </c>
    </row>
    <row r="34" spans="1:29">
      <c r="A34" s="9" t="s">
        <v>121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45444</v>
      </c>
      <c r="K34">
        <f ca="1"/>
        <v>144.51193449183023</v>
      </c>
      <c r="L34">
        <f ca="1"/>
        <v>0.60901345829566544</v>
      </c>
      <c r="M34">
        <f ca="1"/>
        <v>-0.10624830272980113</v>
      </c>
      <c r="N34" s="4">
        <f ca="1"/>
        <v>0.66904604081632513</v>
      </c>
      <c r="O34">
        <f ca="1"/>
        <v>100</v>
      </c>
      <c r="P34">
        <f ca="1"/>
        <v>6.1494524621996201</v>
      </c>
      <c r="Q34">
        <f ca="1"/>
        <v>5.5405295306869276</v>
      </c>
      <c r="R34">
        <f ca="1"/>
        <v>1.3927599483632913</v>
      </c>
      <c r="S34">
        <f ca="1"/>
        <v>1</v>
      </c>
      <c r="T34">
        <f ca="1"/>
        <v>1.75</v>
      </c>
      <c r="U34">
        <f ca="1"/>
        <v>0</v>
      </c>
      <c r="V34">
        <f ca="1"/>
        <v>0.12514595439148771</v>
      </c>
      <c r="X34" s="2">
        <f t="shared" ca="1" si="1"/>
        <v>45444</v>
      </c>
      <c r="Y34">
        <f t="shared" ca="1" si="2"/>
        <v>100</v>
      </c>
      <c r="AA34" s="63">
        <f t="shared" ca="1" si="4"/>
        <v>146.51370789848917</v>
      </c>
      <c r="AB34" s="63">
        <f t="shared" ca="1" si="5"/>
        <v>146.51370789848917</v>
      </c>
      <c r="AC34" s="3">
        <f t="shared" ca="1" si="6"/>
        <v>0</v>
      </c>
    </row>
    <row r="35" spans="1:29">
      <c r="A35" s="9" t="s">
        <v>122</v>
      </c>
      <c r="B35" s="10">
        <f>CurrentMoistureContent</f>
        <v>79</v>
      </c>
      <c r="H35" t="b">
        <f t="shared" ca="1" si="3"/>
        <v>1</v>
      </c>
      <c r="I35" t="b">
        <f t="shared" ca="1" si="0"/>
        <v>1</v>
      </c>
      <c r="J35" s="2">
        <f ca="1"/>
        <v>45445</v>
      </c>
      <c r="K35">
        <f ca="1"/>
        <v>143.77120266614929</v>
      </c>
      <c r="L35">
        <f ca="1"/>
        <v>0.6603971556956445</v>
      </c>
      <c r="M35">
        <f ca="1"/>
        <v>-0.10147847818107181</v>
      </c>
      <c r="N35" s="4">
        <f ca="1"/>
        <v>0.6624883905238893</v>
      </c>
      <c r="O35">
        <f ca="1"/>
        <v>0</v>
      </c>
      <c r="P35">
        <f ca="1"/>
        <v>6.8098496178952646</v>
      </c>
      <c r="Q35">
        <f ca="1"/>
        <v>6.1355337144910553</v>
      </c>
      <c r="R35">
        <f ca="1"/>
        <v>0.64134458232812852</v>
      </c>
      <c r="S35">
        <f ca="1"/>
        <v>1</v>
      </c>
      <c r="T35">
        <f ca="1"/>
        <v>0.81000000000000227</v>
      </c>
      <c r="U35">
        <f ca="1"/>
        <v>0</v>
      </c>
      <c r="V35">
        <f ca="1"/>
        <v>0.16348290447402231</v>
      </c>
      <c r="X35" s="2">
        <f t="shared" ca="1" si="1"/>
        <v>45445</v>
      </c>
      <c r="Y35">
        <f t="shared" ca="1" si="2"/>
        <v>0</v>
      </c>
      <c r="AA35" s="63">
        <f t="shared" ca="1" si="4"/>
        <v>145.07294440417306</v>
      </c>
      <c r="AB35" s="63">
        <f t="shared" ca="1" si="5"/>
        <v>145.07294440417306</v>
      </c>
      <c r="AC35" s="3">
        <f t="shared" ca="1" si="6"/>
        <v>0</v>
      </c>
    </row>
    <row r="36" spans="1:29">
      <c r="A36" s="9" t="s">
        <v>123</v>
      </c>
      <c r="B36" s="36">
        <f ca="1">CurrentEstablishDate</f>
        <v>45436</v>
      </c>
      <c r="H36" t="b">
        <f t="shared" ca="1" si="3"/>
        <v>1</v>
      </c>
      <c r="I36" t="b">
        <f t="shared" ca="1" si="0"/>
        <v>1</v>
      </c>
      <c r="J36" s="2">
        <f ca="1"/>
        <v>45446</v>
      </c>
      <c r="K36">
        <f ca="1"/>
        <v>142.3361088156278</v>
      </c>
      <c r="L36">
        <f ca="1"/>
        <v>0.89572701368711005</v>
      </c>
      <c r="M36">
        <f ca="1"/>
        <v>-0.10479331679965753</v>
      </c>
      <c r="N36" s="4">
        <f ca="1"/>
        <v>0.73340770911614794</v>
      </c>
      <c r="O36">
        <f ca="1"/>
        <v>0</v>
      </c>
      <c r="P36">
        <f ca="1"/>
        <v>7.7055766315823746</v>
      </c>
      <c r="Q36">
        <f ca="1"/>
        <v>6.9425652349839018</v>
      </c>
      <c r="R36">
        <f ca="1"/>
        <v>1.1679812291508542</v>
      </c>
      <c r="S36">
        <f ca="1"/>
        <v>1</v>
      </c>
      <c r="T36">
        <f ca="1"/>
        <v>1.4900000000000091</v>
      </c>
      <c r="U36">
        <f ca="1"/>
        <v>0</v>
      </c>
      <c r="V36">
        <f ca="1"/>
        <v>0.22207146195424543</v>
      </c>
      <c r="X36" s="2">
        <f t="shared" ca="1" si="1"/>
        <v>45446</v>
      </c>
      <c r="Y36">
        <f t="shared" ca="1" si="2"/>
        <v>0</v>
      </c>
      <c r="AA36" s="63">
        <f t="shared" ca="1" si="4"/>
        <v>144.39981705846577</v>
      </c>
      <c r="AB36" s="63">
        <f t="shared" ca="1" si="5"/>
        <v>144.39981705846577</v>
      </c>
      <c r="AC36" s="3">
        <f t="shared" ca="1" si="6"/>
        <v>0</v>
      </c>
    </row>
    <row r="37" spans="1:29">
      <c r="A37" s="9" t="s">
        <v>124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45447</v>
      </c>
      <c r="K37">
        <f ca="1"/>
        <v>139.46226438476117</v>
      </c>
      <c r="L37">
        <f ca="1"/>
        <v>0.96369097712896767</v>
      </c>
      <c r="M37">
        <f ca="1"/>
        <v>-9.8679095046560583E-2</v>
      </c>
      <c r="N37" s="4">
        <f ca="1"/>
        <v>0.7154201765817686</v>
      </c>
      <c r="O37">
        <f ca="1"/>
        <v>0</v>
      </c>
      <c r="P37">
        <f ca="1"/>
        <v>8.6692676087113423</v>
      </c>
      <c r="Q37">
        <f ca="1"/>
        <v>7.8108308814069556</v>
      </c>
      <c r="R37">
        <f ca="1"/>
        <v>2.5268945352728802</v>
      </c>
      <c r="S37">
        <f ca="1"/>
        <v>1</v>
      </c>
      <c r="T37">
        <f ca="1"/>
        <v>3.2900000000000063</v>
      </c>
      <c r="U37">
        <f ca="1"/>
        <v>0</v>
      </c>
      <c r="V37">
        <f ca="1"/>
        <v>0.29084380200534332</v>
      </c>
      <c r="X37" s="2">
        <f t="shared" ca="1" si="1"/>
        <v>45447</v>
      </c>
      <c r="Y37">
        <f t="shared" ca="1" si="2"/>
        <v>0</v>
      </c>
      <c r="AA37" s="63">
        <f t="shared" ca="1" si="4"/>
        <v>142.95284989716302</v>
      </c>
      <c r="AB37" s="63">
        <f t="shared" ca="1" si="5"/>
        <v>142.95284989716302</v>
      </c>
      <c r="AC37" s="3">
        <f t="shared" ca="1" si="6"/>
        <v>0</v>
      </c>
    </row>
    <row r="38" spans="1:29">
      <c r="A38" s="9" t="s">
        <v>125</v>
      </c>
      <c r="B38" s="36">
        <f>CurrentHarvestDate</f>
        <v>45561</v>
      </c>
      <c r="H38" t="b">
        <f t="shared" ca="1" si="3"/>
        <v>1</v>
      </c>
      <c r="I38" t="b">
        <f t="shared" ca="1" si="0"/>
        <v>1</v>
      </c>
      <c r="J38" s="2">
        <f ca="1"/>
        <v>45448</v>
      </c>
      <c r="K38">
        <f ca="1"/>
        <v>135.75334141364289</v>
      </c>
      <c r="L38">
        <f ca="1"/>
        <v>1.0545422323976599</v>
      </c>
      <c r="M38">
        <f ca="1"/>
        <v>-9.378238198755362E-2</v>
      </c>
      <c r="N38" s="4">
        <f ca="1"/>
        <v>0.70653205995527057</v>
      </c>
      <c r="O38">
        <f ca="1"/>
        <v>0</v>
      </c>
      <c r="P38">
        <f ca="1"/>
        <v>9.7238098411090022</v>
      </c>
      <c r="Q38">
        <f ca="1"/>
        <v>8.7609516305095259</v>
      </c>
      <c r="R38">
        <f ca="1"/>
        <v>3.2671304166883317</v>
      </c>
      <c r="S38">
        <f ca="1"/>
        <v>1</v>
      </c>
      <c r="T38">
        <f ca="1"/>
        <v>4.3699999999999903</v>
      </c>
      <c r="U38">
        <f ca="1"/>
        <v>0</v>
      </c>
      <c r="V38">
        <f ca="1"/>
        <v>0.36883404789930535</v>
      </c>
      <c r="X38" s="2">
        <f t="shared" ca="1" si="1"/>
        <v>45448</v>
      </c>
      <c r="Y38">
        <f t="shared" ca="1" si="2"/>
        <v>0</v>
      </c>
      <c r="AA38" s="63">
        <f t="shared" ca="1" si="4"/>
        <v>140.07501406272888</v>
      </c>
      <c r="AB38" s="63">
        <f t="shared" ca="1" si="5"/>
        <v>140.07501406272888</v>
      </c>
      <c r="AC38" s="3">
        <f t="shared" ca="1" si="6"/>
        <v>0</v>
      </c>
    </row>
    <row r="39" spans="1:29">
      <c r="A39" s="9" t="s">
        <v>126</v>
      </c>
      <c r="B39" s="10" t="str">
        <f>CurrentHarvestStage</f>
        <v>Late</v>
      </c>
      <c r="H39" t="b">
        <f t="shared" ca="1" si="3"/>
        <v>1</v>
      </c>
      <c r="I39" t="b">
        <f t="shared" ca="1" si="0"/>
        <v>1</v>
      </c>
      <c r="J39" s="2">
        <f ca="1"/>
        <v>45449</v>
      </c>
      <c r="K39">
        <f ca="1"/>
        <v>134.13645168556405</v>
      </c>
      <c r="L39">
        <f ca="1"/>
        <v>1.1561737515213171</v>
      </c>
      <c r="M39">
        <f ca="1"/>
        <v>-8.9311225626349078E-2</v>
      </c>
      <c r="N39" s="4">
        <f ca="1"/>
        <v>0.69974285600719321</v>
      </c>
      <c r="O39">
        <f ca="1"/>
        <v>0</v>
      </c>
      <c r="P39">
        <f ca="1"/>
        <v>10.879983592630319</v>
      </c>
      <c r="Q39">
        <f ca="1"/>
        <v>9.8026402771467964</v>
      </c>
      <c r="R39">
        <f ca="1"/>
        <v>1.0711476069383468</v>
      </c>
      <c r="S39">
        <f ca="1"/>
        <v>1</v>
      </c>
      <c r="T39">
        <f ca="1"/>
        <v>1.4500000000000028</v>
      </c>
      <c r="U39">
        <f ca="1"/>
        <v>0</v>
      </c>
      <c r="V39">
        <f ca="1"/>
        <v>0.45276063747484402</v>
      </c>
      <c r="X39" s="2">
        <f t="shared" ca="1" si="1"/>
        <v>45449</v>
      </c>
      <c r="Y39">
        <f t="shared" ca="1" si="2"/>
        <v>0</v>
      </c>
      <c r="AA39" s="63">
        <f t="shared" ca="1" si="4"/>
        <v>136.36377304402373</v>
      </c>
      <c r="AB39" s="63">
        <f t="shared" ca="1" si="5"/>
        <v>136.36377304402373</v>
      </c>
      <c r="AC39" s="3">
        <f t="shared" ca="1" si="6"/>
        <v>0</v>
      </c>
    </row>
    <row r="40" spans="1:29">
      <c r="A40" s="9" t="s">
        <v>164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45450</v>
      </c>
      <c r="K40">
        <f ca="1"/>
        <v>133.14774778767378</v>
      </c>
      <c r="L40">
        <f ca="1"/>
        <v>1.0737808444948076</v>
      </c>
      <c r="M40">
        <f ca="1"/>
        <v>-8.0713414993629051E-2</v>
      </c>
      <c r="N40" s="4">
        <f ca="1"/>
        <v>0.64242070512796057</v>
      </c>
      <c r="O40">
        <f ca="1"/>
        <v>0</v>
      </c>
      <c r="P40">
        <f ca="1"/>
        <v>11.953764437125127</v>
      </c>
      <c r="Q40">
        <f ca="1"/>
        <v>10.770094617997392</v>
      </c>
      <c r="R40">
        <f ca="1"/>
        <v>0.47663034352979289</v>
      </c>
      <c r="S40">
        <f ca="1"/>
        <v>1</v>
      </c>
      <c r="T40">
        <f ca="1"/>
        <v>0.65000000000000568</v>
      </c>
      <c r="U40">
        <f ca="1"/>
        <v>0</v>
      </c>
      <c r="V40">
        <f ca="1"/>
        <v>0.5256709002336033</v>
      </c>
      <c r="X40" s="2">
        <f t="shared" ca="1" si="1"/>
        <v>45450</v>
      </c>
      <c r="Y40">
        <f t="shared" ca="1" si="2"/>
        <v>0</v>
      </c>
      <c r="AA40" s="63">
        <f t="shared" ca="1" si="4"/>
        <v>134.69815897569839</v>
      </c>
      <c r="AB40" s="63">
        <f t="shared" ca="1" si="5"/>
        <v>134.69815897569839</v>
      </c>
      <c r="AC40" s="3">
        <f t="shared" ca="1" si="6"/>
        <v>0</v>
      </c>
    </row>
    <row r="41" spans="1:29" ht="15" thickBot="1">
      <c r="A41" s="9" t="s">
        <v>167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45451</v>
      </c>
      <c r="K41">
        <f ca="1"/>
        <v>132.12146332601407</v>
      </c>
      <c r="L41">
        <f ca="1"/>
        <v>1.148719411843274</v>
      </c>
      <c r="M41">
        <f ca="1"/>
        <v>-7.7020993406605065E-2</v>
      </c>
      <c r="N41">
        <f ca="1"/>
        <v>0.63603121371087012</v>
      </c>
      <c r="O41">
        <f ca="1"/>
        <v>0</v>
      </c>
      <c r="P41">
        <f ca="1"/>
        <v>13.102483848968401</v>
      </c>
      <c r="Q41">
        <f ca="1"/>
        <v>11.805067058700583</v>
      </c>
      <c r="R41">
        <f ca="1"/>
        <v>0.43657527012073788</v>
      </c>
      <c r="S41">
        <f ca="1"/>
        <v>1</v>
      </c>
      <c r="T41">
        <f ca="1"/>
        <v>0.59999999999999432</v>
      </c>
      <c r="U41">
        <f ca="1"/>
        <v>0</v>
      </c>
      <c r="V41">
        <f ca="1"/>
        <v>0.59597031912771059</v>
      </c>
      <c r="X41" s="2">
        <f t="shared" ca="1" si="1"/>
        <v>45451</v>
      </c>
      <c r="Y41">
        <f t="shared" ca="1" si="2"/>
        <v>0</v>
      </c>
      <c r="AA41" s="63">
        <f t="shared" ca="1" si="4"/>
        <v>133.70675800797807</v>
      </c>
      <c r="AB41" s="63">
        <f t="shared" ca="1" si="5"/>
        <v>133.70675800797807</v>
      </c>
      <c r="AC41" s="3">
        <f t="shared" ca="1" si="6"/>
        <v>0</v>
      </c>
    </row>
    <row r="42" spans="1:29">
      <c r="A42" s="5" t="s">
        <v>142</v>
      </c>
      <c r="B42" s="31" t="str">
        <f>FollowingCropFullName</f>
        <v>Oat Fodder General</v>
      </c>
      <c r="H42" t="b">
        <f t="shared" ca="1" si="3"/>
        <v>1</v>
      </c>
      <c r="I42" t="b">
        <f t="shared" ca="1" si="0"/>
        <v>1</v>
      </c>
      <c r="J42" s="2">
        <f ca="1"/>
        <v>45452</v>
      </c>
      <c r="K42">
        <f ca="1"/>
        <v>128.22466440043516</v>
      </c>
      <c r="L42">
        <f ca="1"/>
        <v>1.6712133969365723</v>
      </c>
      <c r="M42">
        <f ca="1"/>
        <v>-8.1421368596425125E-2</v>
      </c>
      <c r="N42">
        <f ca="1"/>
        <v>0.72992665099342668</v>
      </c>
      <c r="O42">
        <f ca="1"/>
        <v>0</v>
      </c>
      <c r="P42">
        <f ca="1"/>
        <v>14.773697245904973</v>
      </c>
      <c r="Q42">
        <f ca="1"/>
        <v>13.310795777594469</v>
      </c>
      <c r="R42">
        <f ca="1"/>
        <v>2.8740908110393248</v>
      </c>
      <c r="S42">
        <f ca="1"/>
        <v>1</v>
      </c>
      <c r="T42">
        <f ca="1"/>
        <v>4.0700000000000074</v>
      </c>
      <c r="U42">
        <f ca="1"/>
        <v>0</v>
      </c>
      <c r="V42">
        <f ca="1"/>
        <v>0.68231293152986272</v>
      </c>
      <c r="X42" s="2">
        <f t="shared" ca="1" si="1"/>
        <v>45452</v>
      </c>
      <c r="Y42">
        <f t="shared" ca="1" si="2"/>
        <v>0</v>
      </c>
      <c r="AA42" s="63">
        <f t="shared" ca="1" si="4"/>
        <v>132.76996860841106</v>
      </c>
      <c r="AB42" s="63">
        <f t="shared" ca="1" si="5"/>
        <v>132.76996860841106</v>
      </c>
      <c r="AC42" s="3">
        <f t="shared" ca="1" si="6"/>
        <v>0</v>
      </c>
    </row>
    <row r="43" spans="1:29">
      <c r="A43" s="6" t="s">
        <v>239</v>
      </c>
      <c r="B43" s="32">
        <f>FollowingYIeld</f>
        <v>10</v>
      </c>
      <c r="H43" t="b">
        <f t="shared" ca="1" si="3"/>
        <v>1</v>
      </c>
      <c r="I43" t="b">
        <f t="shared" ca="1" si="0"/>
        <v>1</v>
      </c>
      <c r="J43" s="2">
        <f ca="1"/>
        <v>45453</v>
      </c>
      <c r="K43">
        <f ca="1"/>
        <v>122.69240215149001</v>
      </c>
      <c r="L43">
        <f ca="1"/>
        <v>1.8733775174010141</v>
      </c>
      <c r="M43">
        <f ca="1"/>
        <v>-7.7862690130710455E-2</v>
      </c>
      <c r="N43">
        <f ca="1"/>
        <v>0.72992665099342668</v>
      </c>
      <c r="O43">
        <f ca="1"/>
        <v>0</v>
      </c>
      <c r="P43">
        <f ca="1"/>
        <v>16.647074763305987</v>
      </c>
      <c r="Q43">
        <f ca="1"/>
        <v>14.998670189355122</v>
      </c>
      <c r="R43">
        <f ca="1"/>
        <v>4.3109486924068525</v>
      </c>
      <c r="S43">
        <f ca="1"/>
        <v>1</v>
      </c>
      <c r="T43">
        <f ca="1"/>
        <v>6.3800000000000097</v>
      </c>
      <c r="U43">
        <f ca="1"/>
        <v>0</v>
      </c>
      <c r="V43">
        <f ca="1"/>
        <v>0.75770545172396464</v>
      </c>
      <c r="X43" s="2">
        <f t="shared" ca="1" si="1"/>
        <v>45453</v>
      </c>
      <c r="Y43">
        <f t="shared" ca="1" si="2"/>
        <v>0</v>
      </c>
      <c r="AA43" s="63">
        <f t="shared" ca="1" si="4"/>
        <v>128.87672836129789</v>
      </c>
      <c r="AB43" s="63">
        <f t="shared" ca="1" si="5"/>
        <v>128.87672836129786</v>
      </c>
      <c r="AC43" s="3">
        <f t="shared" ca="1" si="6"/>
        <v>0</v>
      </c>
    </row>
    <row r="44" spans="1:29">
      <c r="A44" s="6" t="s">
        <v>234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45454</v>
      </c>
      <c r="K44">
        <f ca="1"/>
        <v>120.95688023787102</v>
      </c>
      <c r="L44">
        <f ca="1"/>
        <v>2.4533344032839146</v>
      </c>
      <c r="M44">
        <f ca="1"/>
        <v>-7.9313919770664043E-2</v>
      </c>
      <c r="N44">
        <f ca="1"/>
        <v>0.79712640943559065</v>
      </c>
      <c r="O44">
        <f ca="1"/>
        <v>0</v>
      </c>
      <c r="P44">
        <f ca="1"/>
        <v>19.100409166589902</v>
      </c>
      <c r="Q44">
        <f ca="1"/>
        <v>17.209073764892754</v>
      </c>
      <c r="R44">
        <f ca="1"/>
        <v>0</v>
      </c>
      <c r="S44">
        <f ca="1"/>
        <v>0.99985507246376804</v>
      </c>
      <c r="T44">
        <f ca="1"/>
        <v>0</v>
      </c>
      <c r="U44">
        <f ca="1"/>
        <v>0</v>
      </c>
      <c r="V44">
        <f ca="1"/>
        <v>0.8285975047504982</v>
      </c>
      <c r="X44" s="2">
        <f t="shared" ca="1" si="1"/>
        <v>45454</v>
      </c>
      <c r="Y44">
        <f t="shared" ca="1" si="2"/>
        <v>0</v>
      </c>
      <c r="AA44" s="63">
        <f t="shared" ca="1" si="4"/>
        <v>123.41021464115494</v>
      </c>
      <c r="AB44" s="63">
        <f t="shared" ca="1" si="5"/>
        <v>123.41021464115494</v>
      </c>
      <c r="AC44" s="3">
        <f t="shared" ca="1" si="6"/>
        <v>0</v>
      </c>
    </row>
    <row r="45" spans="1:29">
      <c r="A45" s="6" t="s">
        <v>235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45455</v>
      </c>
      <c r="K45">
        <f ca="1"/>
        <v>116.45424904630242</v>
      </c>
      <c r="L45">
        <f ca="1"/>
        <v>2.2109370699829931</v>
      </c>
      <c r="M45">
        <f ca="1"/>
        <v>-6.8939886573885722E-2</v>
      </c>
      <c r="N45">
        <f ca="1"/>
        <v>0.70177525653905748</v>
      </c>
      <c r="O45">
        <f ca="1"/>
        <v>0</v>
      </c>
      <c r="P45">
        <f ca="1"/>
        <v>21.311346236572895</v>
      </c>
      <c r="Q45">
        <f ca="1"/>
        <v>19.20108235460539</v>
      </c>
      <c r="R45">
        <f ca="1"/>
        <v>2.924529491550766</v>
      </c>
      <c r="S45">
        <f ca="1"/>
        <v>1</v>
      </c>
      <c r="T45">
        <f ca="1"/>
        <v>4.5600138335231719</v>
      </c>
      <c r="U45">
        <f ca="1"/>
        <v>0</v>
      </c>
      <c r="V45">
        <f ca="1"/>
        <v>0.87273158679177665</v>
      </c>
      <c r="X45" s="2">
        <f t="shared" ca="1" si="1"/>
        <v>45455</v>
      </c>
      <c r="Y45">
        <f t="shared" ca="1" si="2"/>
        <v>0</v>
      </c>
      <c r="AA45" s="63">
        <f t="shared" ca="1" si="4"/>
        <v>121.58971560783618</v>
      </c>
      <c r="AB45" s="63">
        <f t="shared" ca="1" si="5"/>
        <v>121.58971560783618</v>
      </c>
      <c r="AC45" s="3">
        <f t="shared" ca="1" si="6"/>
        <v>0</v>
      </c>
    </row>
    <row r="46" spans="1:29">
      <c r="A46" s="6" t="s">
        <v>127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45456</v>
      </c>
      <c r="K46">
        <f ca="1"/>
        <v>114.71856470795005</v>
      </c>
      <c r="L46">
        <f ca="1"/>
        <v>2.279498122682412</v>
      </c>
      <c r="M46">
        <f ca="1"/>
        <v>-6.4322622511174821E-2</v>
      </c>
      <c r="N46">
        <f ca="1"/>
        <v>0.67763258082370947</v>
      </c>
      <c r="O46">
        <f ca="1"/>
        <v>0</v>
      </c>
      <c r="P46">
        <f ca="1"/>
        <v>23.590844359255307</v>
      </c>
      <c r="Q46">
        <f ca="1"/>
        <v>21.254863035324696</v>
      </c>
      <c r="R46">
        <f ca="1"/>
        <v>6.9496173982496912E-2</v>
      </c>
      <c r="S46">
        <f ca="1"/>
        <v>1</v>
      </c>
      <c r="T46">
        <f ca="1"/>
        <v>0.10999999999999943</v>
      </c>
      <c r="U46">
        <f ca="1"/>
        <v>0</v>
      </c>
      <c r="V46">
        <f ca="1"/>
        <v>0.90482413604051837</v>
      </c>
      <c r="X46" s="2">
        <f t="shared" ca="1" si="1"/>
        <v>45456</v>
      </c>
      <c r="Y46">
        <f t="shared" ca="1" si="2"/>
        <v>0</v>
      </c>
      <c r="AA46" s="63">
        <f t="shared" ca="1" si="4"/>
        <v>117.06755900461496</v>
      </c>
      <c r="AB46" s="63">
        <f t="shared" ca="1" si="5"/>
        <v>117.06755900461496</v>
      </c>
      <c r="AC46" s="3">
        <f t="shared" ca="1" si="6"/>
        <v>0</v>
      </c>
    </row>
    <row r="47" spans="1:29">
      <c r="A47" s="6" t="s">
        <v>128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45457</v>
      </c>
      <c r="K47">
        <f ca="1"/>
        <v>112.52255898776794</v>
      </c>
      <c r="L47">
        <f ca="1"/>
        <v>1.946660731843771</v>
      </c>
      <c r="M47">
        <f ca="1"/>
        <v>-5.7109896134753591E-2</v>
      </c>
      <c r="N47">
        <f ca="1"/>
        <v>0.60716430512688691</v>
      </c>
      <c r="O47">
        <f ca="1"/>
        <v>0</v>
      </c>
      <c r="P47">
        <f ca="1"/>
        <v>25.537505091099078</v>
      </c>
      <c r="Q47">
        <f ca="1"/>
        <v>23.008764108193731</v>
      </c>
      <c r="R47">
        <f ca="1"/>
        <v>0.79939939733049425</v>
      </c>
      <c r="S47">
        <f ca="1"/>
        <v>1</v>
      </c>
      <c r="T47">
        <f ca="1"/>
        <v>1.2900000000000063</v>
      </c>
      <c r="U47">
        <f ca="1"/>
        <v>0</v>
      </c>
      <c r="V47">
        <f ca="1"/>
        <v>0.92474595683683669</v>
      </c>
      <c r="X47" s="2">
        <f t="shared" ca="1" si="1"/>
        <v>45457</v>
      </c>
      <c r="Y47">
        <f t="shared" ca="1" si="2"/>
        <v>0</v>
      </c>
      <c r="AA47" s="63">
        <f t="shared" ca="1" si="4"/>
        <v>115.26861911694219</v>
      </c>
      <c r="AB47" s="63">
        <f t="shared" ca="1" si="5"/>
        <v>115.2686191169422</v>
      </c>
      <c r="AC47" s="3">
        <f t="shared" ca="1" si="6"/>
        <v>0</v>
      </c>
    </row>
    <row r="48" spans="1:29">
      <c r="A48" s="6" t="s">
        <v>129</v>
      </c>
      <c r="B48" s="32">
        <f>FollowingMoistureLoss</f>
        <v>0</v>
      </c>
      <c r="H48" t="b">
        <f t="shared" ca="1" si="3"/>
        <v>1</v>
      </c>
      <c r="I48" t="b">
        <f t="shared" ca="1" si="0"/>
        <v>1</v>
      </c>
      <c r="J48" s="2">
        <f ca="1"/>
        <v>45458</v>
      </c>
      <c r="K48">
        <f ca="1"/>
        <v>50.603154198804859</v>
      </c>
      <c r="L48">
        <f ca="1"/>
        <v>2.6909543674159799</v>
      </c>
      <c r="M48">
        <f ca="1"/>
        <v>-5.9031352191203368E-2</v>
      </c>
      <c r="N48">
        <f ca="1"/>
        <v>0.67763258082370947</v>
      </c>
      <c r="O48">
        <f ca="1"/>
        <v>0</v>
      </c>
      <c r="P48">
        <f ca="1"/>
        <v>28.228459458515058</v>
      </c>
      <c r="Q48">
        <f ca="1"/>
        <v>25.433258358705622</v>
      </c>
      <c r="R48">
        <f ca="1"/>
        <v>0.49888514880465906</v>
      </c>
      <c r="S48">
        <f ca="1"/>
        <v>1</v>
      </c>
      <c r="T48">
        <f ca="1"/>
        <v>1.8300000000000125</v>
      </c>
      <c r="U48">
        <f ca="1"/>
        <v>0</v>
      </c>
      <c r="V48">
        <f ca="1"/>
        <v>0.94455560573096098</v>
      </c>
      <c r="X48" s="2">
        <f t="shared" ca="1" si="1"/>
        <v>45458</v>
      </c>
      <c r="Y48">
        <f t="shared" ca="1" si="2"/>
        <v>0</v>
      </c>
      <c r="AA48" s="63">
        <f t="shared" ca="1" si="4"/>
        <v>113.14116021640045</v>
      </c>
      <c r="AB48" s="63">
        <f t="shared" ca="1" si="5"/>
        <v>53.792993715025503</v>
      </c>
      <c r="AC48" s="3">
        <f t="shared" ca="1" si="6"/>
        <v>-59.348166501374948</v>
      </c>
    </row>
    <row r="49" spans="1:29">
      <c r="A49" s="6" t="s">
        <v>130</v>
      </c>
      <c r="B49" s="34">
        <f>FollowingEstablishDate</f>
        <v>45576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45459</v>
      </c>
      <c r="K49">
        <f ca="1"/>
        <v>47.800714445760839</v>
      </c>
      <c r="L49">
        <f ca="1"/>
        <v>3.0060941009359858</v>
      </c>
      <c r="M49">
        <f ca="1"/>
        <v>-5.6797729318065038E-2</v>
      </c>
      <c r="N49">
        <f ca="1"/>
        <v>0.68428507862910293</v>
      </c>
      <c r="O49">
        <f ca="1"/>
        <v>0</v>
      </c>
      <c r="P49">
        <f ca="1"/>
        <v>31.234553559451044</v>
      </c>
      <c r="Q49">
        <f ca="1"/>
        <v>28.141686993716501</v>
      </c>
      <c r="R49">
        <f ca="1"/>
        <v>0.42383300141907926</v>
      </c>
      <c r="S49">
        <f ca="1"/>
        <v>1</v>
      </c>
      <c r="T49">
        <f ca="1"/>
        <v>1.6099999999999994</v>
      </c>
      <c r="U49">
        <f ca="1"/>
        <v>0</v>
      </c>
      <c r="V49">
        <f ca="1"/>
        <v>0.9596271224272892</v>
      </c>
      <c r="X49" s="2">
        <f t="shared" ca="1" si="1"/>
        <v>45459</v>
      </c>
      <c r="Y49">
        <f t="shared" ca="1" si="2"/>
        <v>0</v>
      </c>
      <c r="AA49" s="63">
        <f t="shared" ca="1" si="4"/>
        <v>51.230641548115898</v>
      </c>
      <c r="AB49" s="63">
        <f t="shared" ca="1" si="5"/>
        <v>51.230641548115905</v>
      </c>
      <c r="AC49" s="3">
        <f t="shared" ca="1" si="6"/>
        <v>0</v>
      </c>
    </row>
    <row r="50" spans="1:29">
      <c r="A50" s="6" t="s">
        <v>131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45460</v>
      </c>
      <c r="K50">
        <f ca="1"/>
        <v>43.937579538264202</v>
      </c>
      <c r="L50">
        <f ca="1"/>
        <v>3.3494986084058382</v>
      </c>
      <c r="M50">
        <f ca="1"/>
        <v>-5.4562368375405512E-2</v>
      </c>
      <c r="N50">
        <f ca="1"/>
        <v>0.69030767894500022</v>
      </c>
      <c r="O50">
        <f ca="1"/>
        <v>0</v>
      </c>
      <c r="P50">
        <f ca="1"/>
        <v>34.584052167856882</v>
      </c>
      <c r="Q50">
        <f ca="1"/>
        <v>31.159515990190968</v>
      </c>
      <c r="R50">
        <f ca="1"/>
        <v>1.1493816096603895</v>
      </c>
      <c r="S50">
        <f ca="1"/>
        <v>1</v>
      </c>
      <c r="T50">
        <f ca="1"/>
        <v>4.75</v>
      </c>
      <c r="U50">
        <f ca="1"/>
        <v>0</v>
      </c>
      <c r="V50">
        <f ca="1"/>
        <v>0.970891105292914</v>
      </c>
      <c r="X50" s="2">
        <f t="shared" ca="1" si="1"/>
        <v>45460</v>
      </c>
      <c r="Y50">
        <f t="shared" ca="1" si="2"/>
        <v>0</v>
      </c>
      <c r="AA50" s="63">
        <f t="shared" ca="1" si="4"/>
        <v>48.436459756330429</v>
      </c>
      <c r="AB50" s="63">
        <f t="shared" ca="1" si="5"/>
        <v>48.436459756330429</v>
      </c>
      <c r="AC50" s="3">
        <f t="shared" ca="1" si="6"/>
        <v>0</v>
      </c>
    </row>
    <row r="51" spans="1:29">
      <c r="A51" s="6" t="s">
        <v>132</v>
      </c>
      <c r="B51" s="34">
        <f>FollowingHarvestDate</f>
        <v>45696</v>
      </c>
      <c r="H51" t="b">
        <f t="shared" ca="1" si="3"/>
        <v>1</v>
      </c>
      <c r="I51" t="b">
        <f t="shared" ca="1" si="0"/>
        <v>1</v>
      </c>
      <c r="J51" s="2">
        <f ca="1"/>
        <v>45461</v>
      </c>
      <c r="K51">
        <f ca="1"/>
        <v>114.5778090428483</v>
      </c>
      <c r="L51">
        <f ca="1"/>
        <v>3.9160866030650112</v>
      </c>
      <c r="M51">
        <f ca="1"/>
        <v>-5.3296303699784886E-2</v>
      </c>
      <c r="N51">
        <f ca="1"/>
        <v>0.71404819608056869</v>
      </c>
      <c r="O51">
        <f ca="1"/>
        <v>80.792839409207119</v>
      </c>
      <c r="P51">
        <f ca="1"/>
        <v>38.500138770921893</v>
      </c>
      <c r="Q51">
        <f ca="1"/>
        <v>34.687829055846933</v>
      </c>
      <c r="R51">
        <f ca="1"/>
        <v>6.8972751939387971</v>
      </c>
      <c r="S51">
        <f ca="1"/>
        <v>1</v>
      </c>
      <c r="T51">
        <f ca="1"/>
        <v>11.159999999999997</v>
      </c>
      <c r="U51">
        <f ca="1"/>
        <v>0</v>
      </c>
      <c r="V51">
        <f ca="1"/>
        <v>0.97953261498127753</v>
      </c>
      <c r="X51" s="2">
        <f t="shared" ca="1" si="1"/>
        <v>45461</v>
      </c>
      <c r="Y51">
        <f t="shared" ca="1" si="2"/>
        <v>80.792839409207119</v>
      </c>
      <c r="AA51" s="63">
        <f t="shared" ca="1" si="4"/>
        <v>125.39117083985211</v>
      </c>
      <c r="AB51" s="63">
        <f t="shared" ca="1" si="5"/>
        <v>125.39117083985211</v>
      </c>
      <c r="AC51" s="3">
        <f t="shared" ca="1" si="6"/>
        <v>0</v>
      </c>
    </row>
    <row r="52" spans="1:29">
      <c r="A52" s="6" t="s">
        <v>133</v>
      </c>
      <c r="B52" s="32" t="str">
        <f>FollowingHarvestStage</f>
        <v>EarlyReproductive</v>
      </c>
      <c r="H52" t="b">
        <f t="shared" ca="1" si="3"/>
        <v>1</v>
      </c>
      <c r="I52" t="b">
        <f t="shared" ca="1" si="0"/>
        <v>1</v>
      </c>
      <c r="J52" s="2">
        <f ca="1"/>
        <v>45462</v>
      </c>
      <c r="K52">
        <f ca="1"/>
        <v>106.19127952894419</v>
      </c>
      <c r="L52">
        <f ca="1"/>
        <v>4.2568905087616216</v>
      </c>
      <c r="M52">
        <f ca="1"/>
        <v>-5.0576127317171427E-2</v>
      </c>
      <c r="N52">
        <f ca="1"/>
        <v>0.71062553014540031</v>
      </c>
      <c r="O52">
        <f ca="1"/>
        <v>0</v>
      </c>
      <c r="P52">
        <f ca="1"/>
        <v>42.757029279683515</v>
      </c>
      <c r="Q52">
        <f ca="1"/>
        <v>38.523199394535318</v>
      </c>
      <c r="R52">
        <f ca="1"/>
        <v>4.7896884079707256</v>
      </c>
      <c r="S52">
        <f ca="1"/>
        <v>1</v>
      </c>
      <c r="T52">
        <f ca="1"/>
        <v>8.1899999999999977</v>
      </c>
      <c r="U52">
        <f ca="1"/>
        <v>0</v>
      </c>
      <c r="V52">
        <f ca="1"/>
        <v>0.98560154416937262</v>
      </c>
      <c r="X52" s="2">
        <f t="shared" ca="1" si="1"/>
        <v>45462</v>
      </c>
      <c r="Y52">
        <f t="shared" ca="1" si="2"/>
        <v>0</v>
      </c>
      <c r="AA52" s="63">
        <f t="shared" ca="1" si="4"/>
        <v>115.23785844567654</v>
      </c>
      <c r="AB52" s="63">
        <f t="shared" ca="1" si="5"/>
        <v>115.23785844567654</v>
      </c>
      <c r="AC52" s="3">
        <f t="shared" ca="1" si="6"/>
        <v>0</v>
      </c>
    </row>
    <row r="53" spans="1:29" ht="15" thickBot="1">
      <c r="A53" s="7" t="s">
        <v>165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45463</v>
      </c>
      <c r="K53">
        <f ca="1"/>
        <v>102.10884385027524</v>
      </c>
      <c r="L53">
        <f ca="1"/>
        <v>4.1448705696382575</v>
      </c>
      <c r="M53">
        <f ca="1"/>
        <v>-4.6247914207042662E-2</v>
      </c>
      <c r="N53">
        <f ca="1"/>
        <v>0.67102136551119118</v>
      </c>
      <c r="O53">
        <f ca="1"/>
        <v>0</v>
      </c>
      <c r="P53">
        <f ca="1"/>
        <v>46.901899849321772</v>
      </c>
      <c r="Q53">
        <f ca="1"/>
        <v>42.257642084046168</v>
      </c>
      <c r="R53">
        <f ca="1"/>
        <v>0.56233856033484919</v>
      </c>
      <c r="S53">
        <f ca="1"/>
        <v>1</v>
      </c>
      <c r="T53">
        <f ca="1"/>
        <v>1</v>
      </c>
      <c r="U53">
        <f ca="1"/>
        <v>0</v>
      </c>
      <c r="V53">
        <f ca="1"/>
        <v>0.98950647171149719</v>
      </c>
      <c r="X53" s="2">
        <f t="shared" ca="1" si="1"/>
        <v>45463</v>
      </c>
      <c r="Y53">
        <f t="shared" ca="1" si="2"/>
        <v>0</v>
      </c>
      <c r="AA53" s="63">
        <f t="shared" ca="1" si="4"/>
        <v>106.81605298024834</v>
      </c>
      <c r="AB53" s="63">
        <f t="shared" ca="1" si="5"/>
        <v>106.81605298024834</v>
      </c>
      <c r="AC53" s="3">
        <f t="shared" ca="1" si="6"/>
        <v>0</v>
      </c>
    </row>
    <row r="54" spans="1:29">
      <c r="A54" s="6" t="s">
        <v>168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45464</v>
      </c>
      <c r="K54">
        <f ca="1"/>
        <v>98.591045257776756</v>
      </c>
      <c r="L54">
        <f ca="1"/>
        <v>3.5047014480133356</v>
      </c>
      <c r="M54">
        <f ca="1"/>
        <v>-4.1016427783912235E-2</v>
      </c>
      <c r="N54">
        <f ca="1"/>
        <v>0.60346237068763786</v>
      </c>
      <c r="O54">
        <f ca="1"/>
        <v>0</v>
      </c>
      <c r="P54">
        <f ca="1"/>
        <v>50.406601297335108</v>
      </c>
      <c r="Q54">
        <f ca="1"/>
        <v>45.415305630243161</v>
      </c>
      <c r="R54">
        <f ca="1"/>
        <v>0.57554308738886983</v>
      </c>
      <c r="S54">
        <f ca="1"/>
        <v>1</v>
      </c>
      <c r="T54">
        <f ca="1"/>
        <v>1.0599999999999881</v>
      </c>
      <c r="U54">
        <f ca="1"/>
        <v>0</v>
      </c>
      <c r="V54">
        <f ca="1"/>
        <v>0.99183145127661732</v>
      </c>
      <c r="X54" s="2">
        <f t="shared" ca="1" si="1"/>
        <v>45464</v>
      </c>
      <c r="Y54">
        <f t="shared" ca="1" si="2"/>
        <v>0</v>
      </c>
      <c r="AA54" s="63">
        <f t="shared" ca="1" si="4"/>
        <v>102.67128979317896</v>
      </c>
      <c r="AB54" s="63">
        <f t="shared" ca="1" si="5"/>
        <v>102.67128979317896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45465</v>
      </c>
      <c r="K55">
        <f ca="1"/>
        <v>94.255743278074519</v>
      </c>
      <c r="L55">
        <f ca="1"/>
        <v>3.7657174241598597</v>
      </c>
      <c r="M55">
        <f ca="1"/>
        <v>-3.9324634483621779E-2</v>
      </c>
      <c r="N55">
        <f ca="1"/>
        <v>0.60654630439072499</v>
      </c>
      <c r="O55">
        <f ca="1"/>
        <v>0</v>
      </c>
      <c r="P55">
        <f ca="1"/>
        <v>54.172318721494968</v>
      </c>
      <c r="Q55">
        <f ca="1"/>
        <v>48.808139174535192</v>
      </c>
      <c r="R55">
        <f ca="1"/>
        <v>1.1368062254494715</v>
      </c>
      <c r="S55">
        <f ca="1"/>
        <v>1</v>
      </c>
      <c r="T55">
        <f ca="1"/>
        <v>2.1899999999999977</v>
      </c>
      <c r="U55">
        <f ca="1"/>
        <v>0</v>
      </c>
      <c r="V55">
        <f ca="1"/>
        <v>0.99366468529388408</v>
      </c>
      <c r="X55" s="2">
        <f t="shared" ca="1" si="1"/>
        <v>45465</v>
      </c>
      <c r="Y55">
        <f t="shared" ca="1" si="2"/>
        <v>0</v>
      </c>
      <c r="AA55" s="63">
        <f t="shared" ca="1" si="4"/>
        <v>99.158266927683854</v>
      </c>
      <c r="AB55" s="63">
        <f t="shared" ca="1" si="5"/>
        <v>99.158266927683854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45466</v>
      </c>
      <c r="K56">
        <f ca="1"/>
        <v>88.148994744750127</v>
      </c>
      <c r="L56">
        <f ca="1"/>
        <v>5.370228553039162</v>
      </c>
      <c r="M56">
        <f ca="1"/>
        <v>-4.1104590881999137E-2</v>
      </c>
      <c r="N56">
        <f ca="1"/>
        <v>0.69299515390972399</v>
      </c>
      <c r="O56">
        <f ca="1"/>
        <v>0</v>
      </c>
      <c r="P56">
        <f ca="1"/>
        <v>59.54254727453413</v>
      </c>
      <c r="Q56">
        <f ca="1"/>
        <v>53.646604073247296</v>
      </c>
      <c r="R56">
        <f ca="1"/>
        <v>1.3884105433129628</v>
      </c>
      <c r="S56">
        <f ca="1"/>
        <v>1</v>
      </c>
      <c r="T56">
        <f ca="1"/>
        <v>2.8599999999999994</v>
      </c>
      <c r="U56">
        <f ca="1"/>
        <v>0</v>
      </c>
      <c r="V56">
        <f ca="1"/>
        <v>0.99548844446555829</v>
      </c>
      <c r="X56" s="2">
        <f t="shared" ca="1" si="1"/>
        <v>45466</v>
      </c>
      <c r="Y56">
        <f t="shared" ca="1" si="2"/>
        <v>0</v>
      </c>
      <c r="AA56" s="63">
        <f t="shared" ca="1" si="4"/>
        <v>94.907633841102239</v>
      </c>
      <c r="AB56" s="63">
        <f t="shared" ca="1" si="5"/>
        <v>94.907633841102253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45467</v>
      </c>
      <c r="K57">
        <f ca="1"/>
        <v>82.941484739651401</v>
      </c>
      <c r="L57">
        <f ca="1"/>
        <v>4.8350227442945055</v>
      </c>
      <c r="M57">
        <f ca="1"/>
        <v>-3.6853426482212903E-2</v>
      </c>
      <c r="N57">
        <f ca="1"/>
        <v>0.63730584318919359</v>
      </c>
      <c r="O57">
        <f ca="1"/>
        <v>0</v>
      </c>
      <c r="P57">
        <f ca="1"/>
        <v>64.377570018828635</v>
      </c>
      <c r="Q57">
        <f ca="1"/>
        <v>58.002859603471279</v>
      </c>
      <c r="R57">
        <f ca="1"/>
        <v>0.97293967751121291</v>
      </c>
      <c r="S57">
        <f ca="1"/>
        <v>1</v>
      </c>
      <c r="T57">
        <f ca="1"/>
        <v>2.1299999999999955</v>
      </c>
      <c r="U57">
        <f ca="1"/>
        <v>0</v>
      </c>
      <c r="V57">
        <f ca="1"/>
        <v>0.99661089212712883</v>
      </c>
      <c r="X57" s="2">
        <f t="shared" ca="1" si="1"/>
        <v>45467</v>
      </c>
      <c r="Y57">
        <f t="shared" ca="1" si="2"/>
        <v>0</v>
      </c>
      <c r="AA57" s="63">
        <f t="shared" ca="1" si="4"/>
        <v>88.749447161457113</v>
      </c>
      <c r="AB57" s="63">
        <f t="shared" ca="1" si="5"/>
        <v>88.749447161457113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45468</v>
      </c>
      <c r="K58">
        <f ca="1"/>
        <v>78.726980246006207</v>
      </c>
      <c r="L58">
        <f ca="1"/>
        <v>4.6852985001192025</v>
      </c>
      <c r="M58">
        <f ca="1"/>
        <v>-3.418036605892194E-2</v>
      </c>
      <c r="N58">
        <f ca="1"/>
        <v>0.6133665917122002</v>
      </c>
      <c r="O58">
        <f ca="1"/>
        <v>0</v>
      </c>
      <c r="P58">
        <f ca="1"/>
        <v>69.062868518947838</v>
      </c>
      <c r="Q58">
        <f ca="1"/>
        <v>62.224216685189127</v>
      </c>
      <c r="R58">
        <f ca="1"/>
        <v>0.10839221917928389</v>
      </c>
      <c r="S58">
        <f ca="1"/>
        <v>1</v>
      </c>
      <c r="T58">
        <f ca="1"/>
        <v>0.25</v>
      </c>
      <c r="U58">
        <f ca="1"/>
        <v>0</v>
      </c>
      <c r="V58">
        <f ca="1"/>
        <v>0.99739261586570338</v>
      </c>
      <c r="X58" s="2">
        <f t="shared" ca="1" si="1"/>
        <v>45468</v>
      </c>
      <c r="Y58">
        <f t="shared" ca="1" si="2"/>
        <v>0</v>
      </c>
      <c r="AA58" s="63">
        <f t="shared" ca="1" si="4"/>
        <v>83.520670965304674</v>
      </c>
      <c r="AB58" s="63">
        <f t="shared" ca="1" si="5"/>
        <v>83.520670965304689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45469</v>
      </c>
      <c r="K59">
        <f ca="1"/>
        <v>73.941954073240993</v>
      </c>
      <c r="L59">
        <f ca="1"/>
        <v>4.4934127643032866</v>
      </c>
      <c r="M59">
        <f ca="1"/>
        <v>-3.1758434134960822E-2</v>
      </c>
      <c r="N59">
        <f ca="1"/>
        <v>0.59122763328126904</v>
      </c>
      <c r="O59">
        <f ca="1"/>
        <v>0</v>
      </c>
      <c r="P59">
        <f ca="1"/>
        <v>73.556281283251124</v>
      </c>
      <c r="Q59">
        <f ca="1"/>
        <v>66.272688686106576</v>
      </c>
      <c r="R59">
        <f ca="1"/>
        <v>0.85108260760823329</v>
      </c>
      <c r="S59">
        <f ca="1"/>
        <v>1</v>
      </c>
      <c r="T59">
        <f ca="1"/>
        <v>2.0900000000000034</v>
      </c>
      <c r="U59">
        <f ca="1"/>
        <v>0</v>
      </c>
      <c r="V59">
        <f ca="1"/>
        <v>0.99794797721052186</v>
      </c>
      <c r="X59" s="2">
        <f t="shared" ca="1" si="1"/>
        <v>45469</v>
      </c>
      <c r="Y59">
        <f t="shared" ca="1" si="2"/>
        <v>0</v>
      </c>
      <c r="AA59" s="63">
        <f t="shared" ca="1" si="4"/>
        <v>79.286449445152513</v>
      </c>
      <c r="AB59" s="63">
        <f t="shared" ca="1" si="5"/>
        <v>79.286449445152513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45470</v>
      </c>
      <c r="K60">
        <f ca="1"/>
        <v>69.717862821559919</v>
      </c>
      <c r="L60">
        <f ca="1"/>
        <v>4.7891926705342911</v>
      </c>
      <c r="M60">
        <f ca="1"/>
        <v>-3.0390012383655574E-2</v>
      </c>
      <c r="N60">
        <f ca="1"/>
        <v>0.59549143123687776</v>
      </c>
      <c r="O60">
        <f ca="1"/>
        <v>0</v>
      </c>
      <c r="P60">
        <f ca="1"/>
        <v>78.345473953785415</v>
      </c>
      <c r="Q60">
        <f ca="1"/>
        <v>70.587652267393167</v>
      </c>
      <c r="R60">
        <f ca="1"/>
        <v>0</v>
      </c>
      <c r="S60">
        <f ca="1"/>
        <v>0.99942028985507236</v>
      </c>
      <c r="T60">
        <f ca="1"/>
        <v>0</v>
      </c>
      <c r="U60">
        <f ca="1"/>
        <v>0</v>
      </c>
      <c r="V60">
        <f ca="1"/>
        <v>0.99839241106282373</v>
      </c>
      <c r="X60" s="2">
        <f t="shared" ca="1" si="1"/>
        <v>45470</v>
      </c>
      <c r="Y60">
        <f t="shared" ca="1" si="2"/>
        <v>0</v>
      </c>
      <c r="AA60" s="63">
        <f t="shared" ca="1" si="4"/>
        <v>74.50705549209421</v>
      </c>
      <c r="AB60" s="63">
        <f t="shared" ca="1" si="5"/>
        <v>74.50705549209421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45471</v>
      </c>
      <c r="K61">
        <f ca="1"/>
        <v>65.157029122762481</v>
      </c>
      <c r="L61">
        <f ca="1"/>
        <v>4.8291077393009232</v>
      </c>
      <c r="M61">
        <f ca="1"/>
        <v>-2.8657365548784952E-2</v>
      </c>
      <c r="N61">
        <f ca="1"/>
        <v>0.58758865987009357</v>
      </c>
      <c r="O61">
        <f ca="1"/>
        <v>0</v>
      </c>
      <c r="P61">
        <f ca="1"/>
        <v>83.174581693086338</v>
      </c>
      <c r="Q61">
        <f ca="1"/>
        <v>74.938578500408582</v>
      </c>
      <c r="R61">
        <f ca="1"/>
        <v>0.29065725381782614</v>
      </c>
      <c r="S61">
        <f ca="1"/>
        <v>1</v>
      </c>
      <c r="T61">
        <f ca="1"/>
        <v>0.81000068455851704</v>
      </c>
      <c r="U61">
        <f ca="1"/>
        <v>0</v>
      </c>
      <c r="V61">
        <f ca="1"/>
        <v>0.99873025434691354</v>
      </c>
      <c r="X61" s="2">
        <f t="shared" ca="1" si="1"/>
        <v>45471</v>
      </c>
      <c r="Y61">
        <f t="shared" ca="1" si="2"/>
        <v>0</v>
      </c>
      <c r="AA61" s="63">
        <f t="shared" ca="1" si="4"/>
        <v>70.276794115881231</v>
      </c>
      <c r="AB61" s="63">
        <f t="shared" ca="1" si="5"/>
        <v>70.276794115881231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45472</v>
      </c>
      <c r="K62">
        <f ca="1"/>
        <v>60.348717740664988</v>
      </c>
      <c r="L62">
        <f ca="1"/>
        <v>4.776529214310429</v>
      </c>
      <c r="M62">
        <f ca="1"/>
        <v>-2.6919041257131404E-2</v>
      </c>
      <c r="N62">
        <f ca="1"/>
        <v>0.57675857343444648</v>
      </c>
      <c r="O62">
        <f ca="1"/>
        <v>0</v>
      </c>
      <c r="P62">
        <f ca="1"/>
        <v>87.951110907396767</v>
      </c>
      <c r="Q62">
        <f ca="1"/>
        <v>79.242132569449979</v>
      </c>
      <c r="R62">
        <f ca="1"/>
        <v>0.58162169996437996</v>
      </c>
      <c r="S62">
        <f ca="1"/>
        <v>1</v>
      </c>
      <c r="T62">
        <f ca="1"/>
        <v>1.75</v>
      </c>
      <c r="U62">
        <f ca="1"/>
        <v>0</v>
      </c>
      <c r="V62">
        <f ca="1"/>
        <v>0.99898561993273927</v>
      </c>
      <c r="X62" s="2">
        <f t="shared" ca="1" si="1"/>
        <v>45472</v>
      </c>
      <c r="Y62">
        <f t="shared" ca="1" si="2"/>
        <v>0</v>
      </c>
      <c r="AA62" s="63">
        <f t="shared" ca="1" si="4"/>
        <v>65.706868654939797</v>
      </c>
      <c r="AB62" s="63">
        <f t="shared" ca="1" si="5"/>
        <v>65.706868654939797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45473</v>
      </c>
      <c r="K63">
        <f ca="1"/>
        <v>55.151809833042215</v>
      </c>
      <c r="L63">
        <f ca="1"/>
        <v>5.3641569557319855</v>
      </c>
      <c r="M63">
        <f ca="1"/>
        <v>-2.6092461074086692E-2</v>
      </c>
      <c r="N63">
        <f ca="1"/>
        <v>0.59427118762176234</v>
      </c>
      <c r="O63">
        <f ca="1"/>
        <v>0</v>
      </c>
      <c r="P63">
        <f ca="1"/>
        <v>93.315267863128753</v>
      </c>
      <c r="Q63">
        <f ca="1"/>
        <v>84.075127084516438</v>
      </c>
      <c r="R63">
        <f ca="1"/>
        <v>0.40092967843846566</v>
      </c>
      <c r="S63">
        <f ca="1"/>
        <v>1</v>
      </c>
      <c r="T63">
        <f ca="1"/>
        <v>1.3200000000000074</v>
      </c>
      <c r="U63">
        <f ca="1"/>
        <v>0</v>
      </c>
      <c r="V63">
        <f ca="1"/>
        <v>0.99920448489079294</v>
      </c>
      <c r="X63" s="2">
        <f t="shared" ca="1" si="1"/>
        <v>45473</v>
      </c>
      <c r="Y63">
        <f t="shared" ca="1" si="2"/>
        <v>0</v>
      </c>
      <c r="AA63" s="63">
        <f t="shared" ca="1" si="4"/>
        <v>60.916896467212666</v>
      </c>
      <c r="AB63" s="63">
        <f t="shared" ca="1" si="5"/>
        <v>60.916896467212666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45474</v>
      </c>
      <c r="K64">
        <f ca="1"/>
        <v>50.997640488592033</v>
      </c>
      <c r="L64">
        <f ca="1"/>
        <v>4.6893843284965158</v>
      </c>
      <c r="M64">
        <f ca="1"/>
        <v>-2.3781837984449439E-2</v>
      </c>
      <c r="N64">
        <f ca="1"/>
        <v>0.55899682203078382</v>
      </c>
      <c r="O64">
        <f ca="1"/>
        <v>0</v>
      </c>
      <c r="P64">
        <f ca="1"/>
        <v>98.004652191625269</v>
      </c>
      <c r="Q64">
        <f ca="1"/>
        <v>88.300165413129193</v>
      </c>
      <c r="R64">
        <f ca="1"/>
        <v>0</v>
      </c>
      <c r="S64">
        <f ca="1"/>
        <v>0.99739130434782597</v>
      </c>
      <c r="T64">
        <f ca="1"/>
        <v>0</v>
      </c>
      <c r="U64">
        <f ca="1"/>
        <v>0</v>
      </c>
      <c r="V64">
        <f ca="1"/>
        <v>0.9993522871291447</v>
      </c>
      <c r="X64" s="2">
        <f t="shared" ca="1" si="1"/>
        <v>45474</v>
      </c>
      <c r="Y64">
        <f t="shared" ca="1" si="2"/>
        <v>0</v>
      </c>
      <c r="AA64" s="63">
        <f t="shared" ca="1" si="4"/>
        <v>55.687024817088549</v>
      </c>
      <c r="AB64" s="63">
        <f t="shared" ca="1" si="5"/>
        <v>55.687024817088549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45475</v>
      </c>
      <c r="K65">
        <f ca="1"/>
        <v>124.58723152987905</v>
      </c>
      <c r="L65">
        <f ca="1"/>
        <v>5.7358795775477063</v>
      </c>
      <c r="M65">
        <f ca="1"/>
        <v>-2.3512969076540102E-2</v>
      </c>
      <c r="N65">
        <f ca="1"/>
        <v>0.59488110778745396</v>
      </c>
      <c r="O65">
        <f ca="1"/>
        <v>80.460864549997893</v>
      </c>
      <c r="P65">
        <f ca="1"/>
        <v>103.74053176917297</v>
      </c>
      <c r="Q65">
        <f ca="1"/>
        <v>93.468074325217884</v>
      </c>
      <c r="R65">
        <f ca="1"/>
        <v>1.7067620698740742</v>
      </c>
      <c r="S65">
        <f ca="1"/>
        <v>1</v>
      </c>
      <c r="T65">
        <f ca="1"/>
        <v>2.5000011785088674</v>
      </c>
      <c r="U65">
        <f ca="1"/>
        <v>0</v>
      </c>
      <c r="V65">
        <f ca="1"/>
        <v>0.99949240254292182</v>
      </c>
      <c r="X65" s="2">
        <f t="shared" ca="1" si="1"/>
        <v>45475</v>
      </c>
      <c r="Y65">
        <f t="shared" ca="1" si="2"/>
        <v>80.460864549997893</v>
      </c>
      <c r="AA65" s="63">
        <f t="shared" ca="1" si="4"/>
        <v>132.02987317730083</v>
      </c>
      <c r="AB65" s="63">
        <f t="shared" ca="1" si="5"/>
        <v>132.02987317730086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45476</v>
      </c>
      <c r="K66">
        <f ca="1"/>
        <v>119.58974914342055</v>
      </c>
      <c r="L66">
        <f ca="1"/>
        <v>5.556531628323583</v>
      </c>
      <c r="M66">
        <f ca="1"/>
        <v>-2.1905572087714376E-2</v>
      </c>
      <c r="N66">
        <f ca="1"/>
        <v>0.58095481395279547</v>
      </c>
      <c r="O66">
        <f ca="1"/>
        <v>0</v>
      </c>
      <c r="P66">
        <f ca="1"/>
        <v>109.29706339749656</v>
      </c>
      <c r="Q66">
        <f ca="1"/>
        <v>98.47439444301105</v>
      </c>
      <c r="R66">
        <f ca="1"/>
        <v>0</v>
      </c>
      <c r="S66">
        <f ca="1"/>
        <v>0.99797101449275361</v>
      </c>
      <c r="T66">
        <f ca="1"/>
        <v>0</v>
      </c>
      <c r="U66">
        <f ca="1"/>
        <v>0</v>
      </c>
      <c r="V66">
        <f ca="1"/>
        <v>0.99959635312235151</v>
      </c>
      <c r="X66" s="2">
        <f t="shared" ca="1" si="1"/>
        <v>45476</v>
      </c>
      <c r="Y66">
        <f t="shared" ca="1" si="2"/>
        <v>0</v>
      </c>
      <c r="AA66" s="63">
        <f t="shared" ca="1" si="4"/>
        <v>125.14628077174413</v>
      </c>
      <c r="AB66" s="63">
        <f t="shared" ca="1" si="5"/>
        <v>125.14628077174413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45477</v>
      </c>
      <c r="K67">
        <f ca="1"/>
        <v>113.2041457179632</v>
      </c>
      <c r="L67">
        <f ca="1"/>
        <v>6.9940548349252509</v>
      </c>
      <c r="M67">
        <f ca="1"/>
        <v>-2.1864174360146649E-2</v>
      </c>
      <c r="N67">
        <f ca="1"/>
        <v>0.63031558382804642</v>
      </c>
      <c r="O67">
        <f ca="1"/>
        <v>0</v>
      </c>
      <c r="P67">
        <f ca="1"/>
        <v>116.29111823242181</v>
      </c>
      <c r="Q67">
        <f ca="1"/>
        <v>104.7758932496684</v>
      </c>
      <c r="R67">
        <f ca="1"/>
        <v>0</v>
      </c>
      <c r="S67">
        <f ca="1"/>
        <v>0.985362327541354</v>
      </c>
      <c r="T67">
        <f ca="1"/>
        <v>0</v>
      </c>
      <c r="U67">
        <f ca="1"/>
        <v>0</v>
      </c>
      <c r="V67">
        <f ca="1"/>
        <v>0.9996949603326688</v>
      </c>
      <c r="X67" s="2">
        <f t="shared" ca="1" si="1"/>
        <v>45477</v>
      </c>
      <c r="Y67">
        <f t="shared" ca="1" si="2"/>
        <v>0</v>
      </c>
      <c r="AA67" s="63">
        <f t="shared" ca="1" si="4"/>
        <v>120.19820055288845</v>
      </c>
      <c r="AB67" s="63">
        <f t="shared" ca="1" si="5"/>
        <v>120.19820055288845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45478</v>
      </c>
      <c r="K68">
        <f ca="1"/>
        <v>106.87443908253974</v>
      </c>
      <c r="L68">
        <f ca="1"/>
        <v>6.733905430253273</v>
      </c>
      <c r="M68">
        <f ca="1"/>
        <v>-2.0196834825897625E-2</v>
      </c>
      <c r="N68">
        <f ca="1"/>
        <v>0.61274453905525339</v>
      </c>
      <c r="O68">
        <f ca="1"/>
        <v>0</v>
      </c>
      <c r="P68">
        <f ca="1"/>
        <v>123.02502366267508</v>
      </c>
      <c r="Q68">
        <f ca="1"/>
        <v>110.84300282121325</v>
      </c>
      <c r="R68">
        <f ca="1"/>
        <v>0.18834890939955068</v>
      </c>
      <c r="S68">
        <f ca="1"/>
        <v>1</v>
      </c>
      <c r="T68">
        <f ca="1"/>
        <v>0.3200035200217286</v>
      </c>
      <c r="U68">
        <f ca="1"/>
        <v>0</v>
      </c>
      <c r="V68">
        <f ca="1"/>
        <v>0.99976533811098134</v>
      </c>
      <c r="X68" s="2">
        <f t="shared" ca="1" si="1"/>
        <v>45478</v>
      </c>
      <c r="Y68">
        <f t="shared" ca="1" si="2"/>
        <v>0</v>
      </c>
      <c r="AA68" s="63">
        <f t="shared" ca="1" si="4"/>
        <v>113.79669342219256</v>
      </c>
      <c r="AB68" s="63">
        <f t="shared" ca="1" si="5"/>
        <v>113.79669342219256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45479</v>
      </c>
      <c r="K69">
        <f ca="1"/>
        <v>97.671997908761554</v>
      </c>
      <c r="L69">
        <f ca="1"/>
        <v>7.8071372788313482</v>
      </c>
      <c r="M69">
        <f ca="1"/>
        <v>-1.9703452617527262E-2</v>
      </c>
      <c r="N69">
        <f ca="1"/>
        <v>0.64691768248284565</v>
      </c>
      <c r="O69">
        <f ca="1"/>
        <v>0</v>
      </c>
      <c r="P69">
        <f ca="1"/>
        <v>130.83216094150643</v>
      </c>
      <c r="Q69">
        <f ca="1"/>
        <v>117.87707209963801</v>
      </c>
      <c r="R69">
        <f ca="1"/>
        <v>2.0225181248121551</v>
      </c>
      <c r="S69">
        <f ca="1"/>
        <v>1</v>
      </c>
      <c r="T69">
        <f ca="1"/>
        <v>3.7600000000000051</v>
      </c>
      <c r="U69">
        <f ca="1"/>
        <v>0</v>
      </c>
      <c r="V69">
        <f ca="1"/>
        <v>0.99982558254247622</v>
      </c>
      <c r="X69" s="2">
        <f t="shared" ca="1" si="1"/>
        <v>45479</v>
      </c>
      <c r="Y69">
        <f t="shared" ca="1" si="2"/>
        <v>0</v>
      </c>
      <c r="AA69" s="63">
        <f t="shared" ca="1" si="4"/>
        <v>107.50165331240505</v>
      </c>
      <c r="AB69" s="63">
        <f t="shared" ca="1" si="5"/>
        <v>107.50165331240505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45480</v>
      </c>
      <c r="K70">
        <f ca="1"/>
        <v>90.855281660165105</v>
      </c>
      <c r="L70">
        <f ca="1"/>
        <v>6.0303893424228932</v>
      </c>
      <c r="M70">
        <f ca="1"/>
        <v>-1.7110567825103118E-2</v>
      </c>
      <c r="N70">
        <f ca="1"/>
        <v>0.57675857343444648</v>
      </c>
      <c r="O70">
        <f ca="1"/>
        <v>0</v>
      </c>
      <c r="P70">
        <f ca="1"/>
        <v>136.86255028392932</v>
      </c>
      <c r="Q70">
        <f ca="1"/>
        <v>123.31032822099399</v>
      </c>
      <c r="R70">
        <f ca="1"/>
        <v>1.3459749117829085</v>
      </c>
      <c r="S70">
        <f ca="1"/>
        <v>1</v>
      </c>
      <c r="T70">
        <f ca="1"/>
        <v>2.6899999999999977</v>
      </c>
      <c r="U70">
        <f ca="1"/>
        <v>0</v>
      </c>
      <c r="V70">
        <f ca="1"/>
        <v>0.9998606913310405</v>
      </c>
      <c r="X70" s="2">
        <f t="shared" ca="1" si="1"/>
        <v>45480</v>
      </c>
      <c r="Y70">
        <f t="shared" ca="1" si="2"/>
        <v>0</v>
      </c>
      <c r="AA70" s="63">
        <f t="shared" ca="1" si="4"/>
        <v>98.231645914370901</v>
      </c>
      <c r="AB70" s="63">
        <f t="shared" ca="1" si="5"/>
        <v>98.231645914370901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45481</v>
      </c>
      <c r="K71">
        <f ca="1"/>
        <v>84.395315474368658</v>
      </c>
      <c r="L71">
        <f ca="1"/>
        <v>5.4700401246290653</v>
      </c>
      <c r="M71">
        <f ca="1"/>
        <v>-1.5684882330500471E-2</v>
      </c>
      <c r="N71">
        <f ca="1"/>
        <v>0.55490408791756807</v>
      </c>
      <c r="O71">
        <f ca="1"/>
        <v>0</v>
      </c>
      <c r="P71">
        <f ca="1"/>
        <v>142.33259040855839</v>
      </c>
      <c r="Q71">
        <f ca="1"/>
        <v>128.23872128213969</v>
      </c>
      <c r="R71">
        <f ca="1"/>
        <v>1.5291452667544334</v>
      </c>
      <c r="S71">
        <f ca="1"/>
        <v>1</v>
      </c>
      <c r="T71">
        <f ca="1"/>
        <v>3.2900000000000063</v>
      </c>
      <c r="U71">
        <f ca="1"/>
        <v>0</v>
      </c>
      <c r="V71">
        <f ca="1"/>
        <v>0.99988608131145362</v>
      </c>
      <c r="X71" s="2">
        <f t="shared" ca="1" si="1"/>
        <v>45481</v>
      </c>
      <c r="Y71">
        <f t="shared" ca="1" si="2"/>
        <v>0</v>
      </c>
      <c r="AA71" s="63">
        <f t="shared" ca="1" si="4"/>
        <v>91.394500865752164</v>
      </c>
      <c r="AB71" s="63">
        <f t="shared" ca="1" si="5"/>
        <v>91.39450086575215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45482</v>
      </c>
      <c r="K72">
        <f ca="1"/>
        <v>78.748658449118849</v>
      </c>
      <c r="L72">
        <f ca="1"/>
        <v>5.6666626558782127</v>
      </c>
      <c r="M72">
        <f ca="1"/>
        <v>-1.4814661250378336E-2</v>
      </c>
      <c r="N72">
        <f ca="1"/>
        <v>0.55958309122524053</v>
      </c>
      <c r="O72">
        <f ca="1"/>
        <v>0</v>
      </c>
      <c r="P72">
        <f ca="1"/>
        <v>147.9992530644366</v>
      </c>
      <c r="Q72">
        <f ca="1"/>
        <v>133.34426717883952</v>
      </c>
      <c r="R72">
        <f ca="1"/>
        <v>0.52476279934644443</v>
      </c>
      <c r="S72">
        <f ca="1"/>
        <v>1</v>
      </c>
      <c r="T72">
        <f ca="1"/>
        <v>1.2099999999999937</v>
      </c>
      <c r="U72">
        <f ca="1"/>
        <v>0</v>
      </c>
      <c r="V72">
        <f ca="1"/>
        <v>0.99990731755227136</v>
      </c>
      <c r="X72" s="2">
        <f t="shared" ca="1" si="1"/>
        <v>45482</v>
      </c>
      <c r="Y72">
        <f t="shared" ca="1" si="2"/>
        <v>0</v>
      </c>
      <c r="AA72" s="63">
        <f t="shared" ca="1" si="4"/>
        <v>84.94008390434351</v>
      </c>
      <c r="AB72" s="63">
        <f t="shared" ca="1" si="5"/>
        <v>84.94008390434351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45483</v>
      </c>
      <c r="K73">
        <f ca="1"/>
        <v>72.495494199893514</v>
      </c>
      <c r="L73">
        <f ca="1"/>
        <v>5.3415423057371072</v>
      </c>
      <c r="M73">
        <f ca="1"/>
        <v>-1.3689948518230466E-2</v>
      </c>
      <c r="N73">
        <f ca="1"/>
        <v>0.54735498794846438</v>
      </c>
      <c r="O73">
        <f ca="1"/>
        <v>0</v>
      </c>
      <c r="P73">
        <f ca="1"/>
        <v>153.34079537017371</v>
      </c>
      <c r="Q73">
        <f ca="1"/>
        <v>138.15688636181045</v>
      </c>
      <c r="R73">
        <f ca="1"/>
        <v>1.4452869829184587</v>
      </c>
      <c r="S73">
        <f ca="1"/>
        <v>1</v>
      </c>
      <c r="T73">
        <f ca="1"/>
        <v>3.6200000000000045</v>
      </c>
      <c r="U73">
        <f ca="1"/>
        <v>0</v>
      </c>
      <c r="V73">
        <f ca="1"/>
        <v>0.99992358023552363</v>
      </c>
      <c r="X73" s="2">
        <f t="shared" ca="1" si="1"/>
        <v>45483</v>
      </c>
      <c r="Y73">
        <f t="shared" ca="1" si="2"/>
        <v>0</v>
      </c>
      <c r="AA73" s="63">
        <f t="shared" ca="1" si="4"/>
        <v>79.282323488549082</v>
      </c>
      <c r="AB73" s="63">
        <f t="shared" ca="1" si="5"/>
        <v>79.282323488549082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45484</v>
      </c>
      <c r="K74">
        <f ca="1"/>
        <v>66.845910624684592</v>
      </c>
      <c r="L74">
        <f ca="1"/>
        <v>5.9754708466308841</v>
      </c>
      <c r="M74">
        <f ca="1"/>
        <v>-1.3108733670970096E-2</v>
      </c>
      <c r="N74">
        <f ca="1"/>
        <v>0.56724088253026428</v>
      </c>
      <c r="O74">
        <f ca="1"/>
        <v>0</v>
      </c>
      <c r="P74">
        <f ca="1"/>
        <v>159.31626621680459</v>
      </c>
      <c r="Q74">
        <f ca="1"/>
        <v>143.54066205387835</v>
      </c>
      <c r="R74">
        <f ca="1"/>
        <v>0.22824487743733052</v>
      </c>
      <c r="S74">
        <f ca="1"/>
        <v>1</v>
      </c>
      <c r="T74">
        <f ca="1"/>
        <v>0.62000000000000455</v>
      </c>
      <c r="U74">
        <f ca="1"/>
        <v>0</v>
      </c>
      <c r="V74">
        <f ca="1"/>
        <v>0.9999383390702723</v>
      </c>
      <c r="X74" s="2">
        <f t="shared" ca="1" si="1"/>
        <v>45484</v>
      </c>
      <c r="Y74">
        <f t="shared" ca="1" si="2"/>
        <v>0</v>
      </c>
      <c r="AA74" s="63">
        <f t="shared" ca="1" si="4"/>
        <v>73.04962634875281</v>
      </c>
      <c r="AB74" s="63">
        <f t="shared" ca="1" si="5"/>
        <v>73.04962634875281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45485</v>
      </c>
      <c r="K75">
        <f ca="1"/>
        <v>60.487111131606831</v>
      </c>
      <c r="L75">
        <f ca="1"/>
        <v>5.4985448884642949</v>
      </c>
      <c r="M75">
        <f ca="1"/>
        <v>-1.1992271420341538E-2</v>
      </c>
      <c r="N75">
        <f ca="1"/>
        <v>0.55083084602490195</v>
      </c>
      <c r="O75">
        <f ca="1"/>
        <v>0</v>
      </c>
      <c r="P75">
        <f ca="1"/>
        <v>164.81481110526889</v>
      </c>
      <c r="Q75">
        <f ca="1"/>
        <v>148.49473731791363</v>
      </c>
      <c r="R75">
        <f ca="1"/>
        <v>1.3990931792180372</v>
      </c>
      <c r="S75">
        <f ca="1"/>
        <v>1</v>
      </c>
      <c r="T75">
        <f ca="1"/>
        <v>4.2000000000000028</v>
      </c>
      <c r="U75">
        <f ca="1"/>
        <v>0</v>
      </c>
      <c r="V75">
        <f ca="1"/>
        <v>0.99994935266417906</v>
      </c>
      <c r="X75" s="2">
        <f t="shared" ref="X75:X138" ca="1" si="8">IFERROR(J75,$X$9)</f>
        <v>45485</v>
      </c>
      <c r="Y75">
        <f t="shared" ref="Y75:Y138" ca="1" si="9">IFERROR(O75,0)</f>
        <v>0</v>
      </c>
      <c r="AA75" s="63">
        <f t="shared" ca="1" si="4"/>
        <v>67.384749199289161</v>
      </c>
      <c r="AB75" s="63">
        <f t="shared" ca="1" si="5"/>
        <v>67.384749199289175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45486</v>
      </c>
      <c r="K76">
        <f ca="1"/>
        <v>54.797797852438499</v>
      </c>
      <c r="L76">
        <f ca="1"/>
        <v>5.2022808740003654</v>
      </c>
      <c r="M76">
        <f ca="1"/>
        <v>-1.1036702622693184E-2</v>
      </c>
      <c r="N76">
        <f ca="1"/>
        <v>0.54101965875664937</v>
      </c>
      <c r="O76">
        <f ca="1"/>
        <v>0</v>
      </c>
      <c r="P76">
        <f ca="1"/>
        <v>170.01709197926925</v>
      </c>
      <c r="Q76">
        <f ca="1"/>
        <v>153.18188483007069</v>
      </c>
      <c r="R76">
        <f ca="1"/>
        <v>1.017015361301925</v>
      </c>
      <c r="S76">
        <f ca="1"/>
        <v>1</v>
      </c>
      <c r="T76">
        <f ca="1"/>
        <v>3.3700000000000045</v>
      </c>
      <c r="U76">
        <f ca="1"/>
        <v>0</v>
      </c>
      <c r="V76">
        <f ca="1"/>
        <v>0.99995794635180979</v>
      </c>
      <c r="X76" s="2">
        <f t="shared" ca="1" si="8"/>
        <v>45486</v>
      </c>
      <c r="Y76">
        <f t="shared" ca="1" si="9"/>
        <v>0</v>
      </c>
      <c r="AA76" s="63">
        <f t="shared" ca="1" si="4"/>
        <v>61.01709408774078</v>
      </c>
      <c r="AB76" s="63">
        <f t="shared" ca="1" si="5"/>
        <v>61.017094087740787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45487</v>
      </c>
      <c r="K77">
        <f ca="1"/>
        <v>132.23671289450328</v>
      </c>
      <c r="L77">
        <f ca="1"/>
        <v>6.8690398569663387</v>
      </c>
      <c r="M77">
        <f ca="1"/>
        <v>-1.0913911826430756E-2</v>
      </c>
      <c r="N77">
        <f ca="1"/>
        <v>0.59671328830249049</v>
      </c>
      <c r="O77">
        <f ca="1"/>
        <v>84.514221314524548</v>
      </c>
      <c r="P77">
        <f ca="1"/>
        <v>176.88613183623559</v>
      </c>
      <c r="Q77">
        <f ca="1"/>
        <v>159.37074772622751</v>
      </c>
      <c r="R77">
        <f ca="1"/>
        <v>0.79206579196949001</v>
      </c>
      <c r="S77">
        <f ca="1"/>
        <v>1</v>
      </c>
      <c r="T77">
        <f ca="1"/>
        <v>1.0899999999999892</v>
      </c>
      <c r="U77">
        <f ca="1"/>
        <v>0</v>
      </c>
      <c r="V77">
        <f ca="1"/>
        <v>0.99996711074850486</v>
      </c>
      <c r="X77" s="2">
        <f t="shared" ca="1" si="8"/>
        <v>45487</v>
      </c>
      <c r="Y77">
        <f t="shared" ca="1" si="9"/>
        <v>84.514221314524548</v>
      </c>
      <c r="AA77" s="63">
        <f t="shared" ref="AA77:AA140" ca="1" si="11">K76+M77+N77+O77</f>
        <v>139.89781854343912</v>
      </c>
      <c r="AB77" s="63">
        <f t="shared" ref="AB77:AB140" ca="1" si="12">K77+L77+R77</f>
        <v>139.89781854343912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45488</v>
      </c>
      <c r="K78">
        <f ca="1"/>
        <v>122.4245680982105</v>
      </c>
      <c r="L78">
        <f ca="1"/>
        <v>6.838915942857227</v>
      </c>
      <c r="M78">
        <f ca="1"/>
        <v>-1.0048613734428891E-2</v>
      </c>
      <c r="N78">
        <f ca="1"/>
        <v>0.59671328830249049</v>
      </c>
      <c r="O78">
        <f ca="1"/>
        <v>0</v>
      </c>
      <c r="P78">
        <f ca="1"/>
        <v>183.72504777909282</v>
      </c>
      <c r="Q78">
        <f ca="1"/>
        <v>165.5324695985733</v>
      </c>
      <c r="R78">
        <f ca="1"/>
        <v>3.5598935280036166</v>
      </c>
      <c r="S78">
        <f ca="1"/>
        <v>1</v>
      </c>
      <c r="T78">
        <f ca="1"/>
        <v>5.2800000000000011</v>
      </c>
      <c r="U78">
        <f ca="1"/>
        <v>0</v>
      </c>
      <c r="V78">
        <f ca="1"/>
        <v>0.99997427807693073</v>
      </c>
      <c r="X78" s="2">
        <f t="shared" ca="1" si="8"/>
        <v>45488</v>
      </c>
      <c r="Y78">
        <f t="shared" ca="1" si="9"/>
        <v>0</v>
      </c>
      <c r="AA78" s="63">
        <f t="shared" ca="1" si="11"/>
        <v>132.82337756907134</v>
      </c>
      <c r="AB78" s="63">
        <f t="shared" ca="1" si="12"/>
        <v>132.82337756907134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45489</v>
      </c>
      <c r="K79">
        <f ca="1"/>
        <v>112.72328516231093</v>
      </c>
      <c r="L79">
        <f ca="1"/>
        <v>8.0619266437858812</v>
      </c>
      <c r="M79">
        <f ca="1"/>
        <v>-9.6676493613312431E-3</v>
      </c>
      <c r="N79">
        <f ca="1"/>
        <v>0.64242070512796057</v>
      </c>
      <c r="O79">
        <f ca="1"/>
        <v>0</v>
      </c>
      <c r="P79">
        <f ca="1"/>
        <v>191.7869744228787</v>
      </c>
      <c r="Q79">
        <f ca="1"/>
        <v>172.79609882714209</v>
      </c>
      <c r="R79">
        <f ca="1"/>
        <v>2.2721093478803174</v>
      </c>
      <c r="S79">
        <f ca="1"/>
        <v>1</v>
      </c>
      <c r="T79">
        <f ca="1"/>
        <v>3.6599999999999966</v>
      </c>
      <c r="U79">
        <f ca="1"/>
        <v>0</v>
      </c>
      <c r="V79">
        <f ca="1"/>
        <v>0.99998079724974953</v>
      </c>
      <c r="X79" s="2">
        <f t="shared" ca="1" si="8"/>
        <v>45489</v>
      </c>
      <c r="Y79">
        <f t="shared" ca="1" si="9"/>
        <v>0</v>
      </c>
      <c r="AA79" s="63">
        <f t="shared" ca="1" si="11"/>
        <v>123.05732115397713</v>
      </c>
      <c r="AB79" s="63">
        <f t="shared" ca="1" si="12"/>
        <v>123.05732115397713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45490</v>
      </c>
      <c r="K80">
        <f ca="1"/>
        <v>106.5860440018259</v>
      </c>
      <c r="L80">
        <f ca="1"/>
        <v>6.6780275998169429</v>
      </c>
      <c r="M80">
        <f ca="1"/>
        <v>-8.3560703452150165E-3</v>
      </c>
      <c r="N80">
        <f ca="1"/>
        <v>0.59610215804894884</v>
      </c>
      <c r="O80">
        <f ca="1"/>
        <v>0</v>
      </c>
      <c r="P80">
        <f ca="1"/>
        <v>198.46500202269564</v>
      </c>
      <c r="Q80">
        <f ca="1"/>
        <v>178.81286362871816</v>
      </c>
      <c r="R80">
        <f ca="1"/>
        <v>4.6959648371817951E-2</v>
      </c>
      <c r="S80">
        <f ca="1"/>
        <v>1</v>
      </c>
      <c r="T80">
        <f ca="1"/>
        <v>7.9999999999998295E-2</v>
      </c>
      <c r="U80">
        <f ca="1"/>
        <v>0</v>
      </c>
      <c r="V80">
        <f ca="1"/>
        <v>0.999984972451332</v>
      </c>
      <c r="X80" s="2">
        <f t="shared" ca="1" si="8"/>
        <v>45490</v>
      </c>
      <c r="Y80">
        <f t="shared" ca="1" si="9"/>
        <v>0</v>
      </c>
      <c r="AA80" s="63">
        <f t="shared" ca="1" si="11"/>
        <v>113.31103125001466</v>
      </c>
      <c r="AB80" s="63">
        <f t="shared" ca="1" si="12"/>
        <v>113.31103125001466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45491</v>
      </c>
      <c r="K81">
        <f ca="1"/>
        <v>100.26166589893538</v>
      </c>
      <c r="L81">
        <f ca="1"/>
        <v>6.8165147790459173</v>
      </c>
      <c r="M81">
        <f ca="1"/>
        <v>-7.6465720393921188E-3</v>
      </c>
      <c r="N81">
        <f ca="1"/>
        <v>0.60469473048323752</v>
      </c>
      <c r="O81">
        <f ca="1"/>
        <v>0</v>
      </c>
      <c r="P81">
        <f ca="1"/>
        <v>205.28151680174156</v>
      </c>
      <c r="Q81">
        <f ca="1"/>
        <v>184.95440251560612</v>
      </c>
      <c r="R81">
        <f ca="1"/>
        <v>0.10491148228844996</v>
      </c>
      <c r="S81">
        <f ca="1"/>
        <v>1</v>
      </c>
      <c r="T81">
        <f ca="1"/>
        <v>0.18999999999999773</v>
      </c>
      <c r="U81">
        <f ca="1"/>
        <v>0</v>
      </c>
      <c r="V81">
        <f ca="1"/>
        <v>0.99998834423965943</v>
      </c>
      <c r="X81" s="2">
        <f t="shared" ca="1" si="8"/>
        <v>45491</v>
      </c>
      <c r="Y81">
        <f t="shared" ca="1" si="9"/>
        <v>0</v>
      </c>
      <c r="AA81" s="63">
        <f t="shared" ca="1" si="11"/>
        <v>107.18309216026974</v>
      </c>
      <c r="AB81" s="63">
        <f t="shared" ca="1" si="12"/>
        <v>107.18309216026974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45492</v>
      </c>
      <c r="K82">
        <f ca="1"/>
        <v>92.440901007511698</v>
      </c>
      <c r="L82">
        <f ca="1"/>
        <v>7.5339504911909501</v>
      </c>
      <c r="M82">
        <f ca="1"/>
        <v>-7.1120536349065233E-3</v>
      </c>
      <c r="N82">
        <f ca="1"/>
        <v>0.6366683242592589</v>
      </c>
      <c r="O82">
        <f ca="1"/>
        <v>0</v>
      </c>
      <c r="P82">
        <f ca="1"/>
        <v>212.81546729293251</v>
      </c>
      <c r="Q82">
        <f ca="1"/>
        <v>191.7423361464071</v>
      </c>
      <c r="R82">
        <f ca="1"/>
        <v>0.91637067085707835</v>
      </c>
      <c r="S82">
        <f ca="1"/>
        <v>1</v>
      </c>
      <c r="T82">
        <f ca="1"/>
        <v>1.8000000000000114</v>
      </c>
      <c r="U82">
        <f ca="1"/>
        <v>0</v>
      </c>
      <c r="V82">
        <f ca="1"/>
        <v>0.99999124838683717</v>
      </c>
      <c r="X82" s="2">
        <f t="shared" ca="1" si="8"/>
        <v>45492</v>
      </c>
      <c r="Y82">
        <f t="shared" ca="1" si="9"/>
        <v>0</v>
      </c>
      <c r="AA82" s="63">
        <f t="shared" ca="1" si="11"/>
        <v>100.89122216955973</v>
      </c>
      <c r="AB82" s="63">
        <f t="shared" ca="1" si="12"/>
        <v>100.89122216955973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45493</v>
      </c>
      <c r="K83">
        <f ca="1"/>
        <v>84.037937812265938</v>
      </c>
      <c r="L83">
        <f ca="1"/>
        <v>7.8742470484002069</v>
      </c>
      <c r="M83">
        <f ca="1"/>
        <v>-6.4537024466311266E-3</v>
      </c>
      <c r="N83">
        <f ca="1"/>
        <v>0.65792250835594379</v>
      </c>
      <c r="O83">
        <f ca="1"/>
        <v>0</v>
      </c>
      <c r="P83">
        <f ca="1"/>
        <v>220.68971434133272</v>
      </c>
      <c r="Q83">
        <f ca="1"/>
        <v>198.83686993974263</v>
      </c>
      <c r="R83">
        <f ca="1"/>
        <v>1.1801849527548636</v>
      </c>
      <c r="S83">
        <f ca="1"/>
        <v>1</v>
      </c>
      <c r="T83">
        <f ca="1"/>
        <v>2.5499999999999972</v>
      </c>
      <c r="U83">
        <f ca="1"/>
        <v>0</v>
      </c>
      <c r="V83">
        <f ca="1"/>
        <v>0.99999356558967334</v>
      </c>
      <c r="X83" s="2">
        <f t="shared" ca="1" si="8"/>
        <v>45493</v>
      </c>
      <c r="Y83">
        <f t="shared" ca="1" si="9"/>
        <v>0</v>
      </c>
      <c r="AA83" s="63">
        <f t="shared" ca="1" si="11"/>
        <v>93.092369813421001</v>
      </c>
      <c r="AB83" s="63">
        <f t="shared" ca="1" si="12"/>
        <v>93.092369813421001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45494</v>
      </c>
      <c r="K84">
        <f ca="1"/>
        <v>75.276360007579115</v>
      </c>
      <c r="L84">
        <f ca="1"/>
        <v>7.9344388814540707</v>
      </c>
      <c r="M84">
        <f ca="1"/>
        <v>-5.7246294632466999E-3</v>
      </c>
      <c r="N84">
        <f ca="1"/>
        <v>0.67102136551119118</v>
      </c>
      <c r="O84">
        <f ca="1"/>
        <v>0</v>
      </c>
      <c r="P84">
        <f ca="1"/>
        <v>228.62415322278679</v>
      </c>
      <c r="Q84">
        <f ca="1"/>
        <v>205.98563533021488</v>
      </c>
      <c r="R84">
        <f ca="1"/>
        <v>1.4924356592807024</v>
      </c>
      <c r="S84">
        <f ca="1"/>
        <v>1</v>
      </c>
      <c r="T84">
        <f ca="1"/>
        <v>3.6000000000000085</v>
      </c>
      <c r="U84">
        <f ca="1"/>
        <v>0</v>
      </c>
      <c r="V84">
        <f ca="1"/>
        <v>0.99999532912899036</v>
      </c>
      <c r="X84" s="2">
        <f t="shared" ca="1" si="8"/>
        <v>45494</v>
      </c>
      <c r="Y84">
        <f t="shared" ca="1" si="9"/>
        <v>0</v>
      </c>
      <c r="AA84" s="63">
        <f t="shared" ca="1" si="11"/>
        <v>84.703234548313887</v>
      </c>
      <c r="AB84" s="63">
        <f t="shared" ca="1" si="12"/>
        <v>84.703234548313887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45495</v>
      </c>
      <c r="K85">
        <f ca="1"/>
        <v>67.531158862804745</v>
      </c>
      <c r="L85">
        <f ca="1"/>
        <v>6.739985759706741</v>
      </c>
      <c r="M85">
        <f ca="1"/>
        <v>-4.7444028275993588E-3</v>
      </c>
      <c r="N85">
        <f ca="1"/>
        <v>0.63221712232418492</v>
      </c>
      <c r="O85">
        <f ca="1"/>
        <v>0</v>
      </c>
      <c r="P85">
        <f ca="1"/>
        <v>235.36413898249353</v>
      </c>
      <c r="Q85">
        <f ca="1"/>
        <v>212.05822315288862</v>
      </c>
      <c r="R85">
        <f ca="1"/>
        <v>1.6326881045642159</v>
      </c>
      <c r="S85">
        <f ca="1"/>
        <v>1</v>
      </c>
      <c r="T85">
        <f ca="1"/>
        <v>4.3900000000000006</v>
      </c>
      <c r="U85">
        <f ca="1"/>
        <v>0</v>
      </c>
      <c r="V85">
        <f ca="1"/>
        <v>0.99999647726023</v>
      </c>
      <c r="X85" s="2">
        <f t="shared" ca="1" si="8"/>
        <v>45495</v>
      </c>
      <c r="Y85">
        <f t="shared" ca="1" si="9"/>
        <v>0</v>
      </c>
      <c r="AA85" s="63">
        <f t="shared" ca="1" si="11"/>
        <v>75.903832727075695</v>
      </c>
      <c r="AB85" s="63">
        <f t="shared" ca="1" si="12"/>
        <v>75.903832727075695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45496</v>
      </c>
      <c r="K86">
        <f ca="1"/>
        <v>61.338834013935809</v>
      </c>
      <c r="L86">
        <f ca="1"/>
        <v>6.4470198880882776</v>
      </c>
      <c r="M86">
        <f ca="1"/>
        <v>-4.0316660895065581E-3</v>
      </c>
      <c r="N86">
        <f ca="1"/>
        <v>0.63031558382804642</v>
      </c>
      <c r="O86">
        <f ca="1"/>
        <v>0</v>
      </c>
      <c r="P86">
        <f ca="1"/>
        <v>241.81115887058181</v>
      </c>
      <c r="Q86">
        <f ca="1"/>
        <v>217.86685478219997</v>
      </c>
      <c r="R86">
        <f ca="1"/>
        <v>0.37158887851920336</v>
      </c>
      <c r="S86">
        <f ca="1"/>
        <v>1</v>
      </c>
      <c r="T86">
        <f ca="1"/>
        <v>1.0999999999999943</v>
      </c>
      <c r="U86">
        <f ca="1"/>
        <v>0</v>
      </c>
      <c r="V86">
        <f ca="1"/>
        <v>0.99999733809337121</v>
      </c>
      <c r="X86" s="2">
        <f t="shared" ca="1" si="8"/>
        <v>45496</v>
      </c>
      <c r="Y86">
        <f t="shared" ca="1" si="9"/>
        <v>0</v>
      </c>
      <c r="AA86" s="63">
        <f t="shared" ca="1" si="11"/>
        <v>68.157442780543292</v>
      </c>
      <c r="AB86" s="63">
        <f t="shared" ca="1" si="12"/>
        <v>68.157442780543292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45497</v>
      </c>
      <c r="K87">
        <f ca="1"/>
        <v>56.397432846231595</v>
      </c>
      <c r="L87">
        <f ca="1"/>
        <v>5.5391462815954355</v>
      </c>
      <c r="M87">
        <f ca="1"/>
        <v>-3.2573891508542729E-3</v>
      </c>
      <c r="N87">
        <f ca="1"/>
        <v>0.60100250304207381</v>
      </c>
      <c r="O87">
        <f ca="1"/>
        <v>0</v>
      </c>
      <c r="P87">
        <f ca="1"/>
        <v>247.35030515217724</v>
      </c>
      <c r="Q87">
        <f ca="1"/>
        <v>222.85751106202693</v>
      </c>
      <c r="R87">
        <f ca="1"/>
        <v>0</v>
      </c>
      <c r="S87">
        <f ca="1"/>
        <v>0.99855072463768124</v>
      </c>
      <c r="T87">
        <f ca="1"/>
        <v>0</v>
      </c>
      <c r="U87">
        <f ca="1"/>
        <v>0</v>
      </c>
      <c r="V87">
        <f ca="1"/>
        <v>0.99999792745743465</v>
      </c>
      <c r="X87" s="2">
        <f t="shared" ca="1" si="8"/>
        <v>45497</v>
      </c>
      <c r="Y87">
        <f t="shared" ca="1" si="9"/>
        <v>0</v>
      </c>
      <c r="AA87" s="63">
        <f t="shared" ca="1" si="11"/>
        <v>61.936579127827031</v>
      </c>
      <c r="AB87" s="63">
        <f t="shared" ca="1" si="12"/>
        <v>61.936579127827031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45498</v>
      </c>
      <c r="K88">
        <f ca="1"/>
        <v>51.886506865888677</v>
      </c>
      <c r="L88">
        <f ca="1"/>
        <v>5.0989284179913739</v>
      </c>
      <c r="M88">
        <f ca="1"/>
        <v>-2.6176935075090668E-3</v>
      </c>
      <c r="N88">
        <f ca="1"/>
        <v>0.59062013115596423</v>
      </c>
      <c r="O88">
        <f ca="1"/>
        <v>0</v>
      </c>
      <c r="P88">
        <f ca="1"/>
        <v>252.44923357016862</v>
      </c>
      <c r="Q88">
        <f ca="1"/>
        <v>227.45154014809535</v>
      </c>
      <c r="R88">
        <f ca="1"/>
        <v>0</v>
      </c>
      <c r="S88">
        <f ca="1"/>
        <v>0.98594202903073358</v>
      </c>
      <c r="T88">
        <f ca="1"/>
        <v>0</v>
      </c>
      <c r="U88">
        <f ca="1"/>
        <v>0</v>
      </c>
      <c r="V88">
        <f ca="1"/>
        <v>0.99999836876841541</v>
      </c>
      <c r="X88" s="2">
        <f t="shared" ca="1" si="8"/>
        <v>45498</v>
      </c>
      <c r="Y88">
        <f t="shared" ca="1" si="9"/>
        <v>0</v>
      </c>
      <c r="AA88" s="63">
        <f t="shared" ca="1" si="11"/>
        <v>56.985435283880051</v>
      </c>
      <c r="AB88" s="63">
        <f t="shared" ca="1" si="12"/>
        <v>56.985435283880051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45499</v>
      </c>
      <c r="K89">
        <f ca="1"/>
        <v>46.887457270913515</v>
      </c>
      <c r="L89">
        <f ca="1"/>
        <v>5.6228315659545558</v>
      </c>
      <c r="M89">
        <f ca="1"/>
        <v>-2.1109538020942509E-3</v>
      </c>
      <c r="N89">
        <f ca="1"/>
        <v>0.62589292478149161</v>
      </c>
      <c r="O89">
        <f ca="1"/>
        <v>0</v>
      </c>
      <c r="P89">
        <f ca="1"/>
        <v>258.07206513612317</v>
      </c>
      <c r="Q89">
        <f ca="1"/>
        <v>232.51759513896624</v>
      </c>
      <c r="R89">
        <f ca="1"/>
        <v>0</v>
      </c>
      <c r="S89">
        <f ca="1"/>
        <v>0.99898550757412696</v>
      </c>
      <c r="T89">
        <f ca="1"/>
        <v>0</v>
      </c>
      <c r="U89">
        <f ca="1"/>
        <v>0</v>
      </c>
      <c r="V89">
        <f ca="1"/>
        <v>0.9999987618774846</v>
      </c>
      <c r="X89" s="2">
        <f t="shared" ca="1" si="8"/>
        <v>45499</v>
      </c>
      <c r="Y89">
        <f t="shared" ca="1" si="9"/>
        <v>0</v>
      </c>
      <c r="AA89" s="63">
        <f t="shared" ca="1" si="11"/>
        <v>52.510288836868071</v>
      </c>
      <c r="AB89" s="63">
        <f t="shared" ca="1" si="12"/>
        <v>52.510288836868071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45500</v>
      </c>
      <c r="K90">
        <f ca="1"/>
        <v>42.549031049112983</v>
      </c>
      <c r="L90">
        <f ca="1"/>
        <v>4.9416404132153957</v>
      </c>
      <c r="M90">
        <f ca="1"/>
        <v>-1.4805390683720887E-3</v>
      </c>
      <c r="N90">
        <f ca="1"/>
        <v>0.60469473048323752</v>
      </c>
      <c r="O90">
        <f ca="1"/>
        <v>0</v>
      </c>
      <c r="P90">
        <f ca="1"/>
        <v>263.01370554933857</v>
      </c>
      <c r="Q90">
        <f ca="1"/>
        <v>236.96991098460532</v>
      </c>
      <c r="R90">
        <f ca="1"/>
        <v>0</v>
      </c>
      <c r="S90">
        <f ca="1"/>
        <v>0.99869565251987724</v>
      </c>
      <c r="T90">
        <f ca="1"/>
        <v>0</v>
      </c>
      <c r="U90">
        <f ca="1"/>
        <v>0</v>
      </c>
      <c r="V90">
        <f ca="1"/>
        <v>0.99999903968271997</v>
      </c>
      <c r="X90" s="2">
        <f t="shared" ca="1" si="8"/>
        <v>45500</v>
      </c>
      <c r="Y90">
        <f t="shared" ca="1" si="9"/>
        <v>0</v>
      </c>
      <c r="AA90" s="63">
        <f t="shared" ca="1" si="11"/>
        <v>47.490671462328379</v>
      </c>
      <c r="AB90" s="63">
        <f t="shared" ca="1" si="12"/>
        <v>47.490671462328379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45501</v>
      </c>
      <c r="K91">
        <f ca="1"/>
        <v>38.071584546872515</v>
      </c>
      <c r="L91">
        <f ca="1"/>
        <v>4.7676990247599065</v>
      </c>
      <c r="M91">
        <f ca="1"/>
        <v>-9.2909289711062826E-4</v>
      </c>
      <c r="N91">
        <f ca="1"/>
        <v>0.60778271070876377</v>
      </c>
      <c r="O91">
        <f ca="1"/>
        <v>0</v>
      </c>
      <c r="P91">
        <f ca="1"/>
        <v>267.78140457409847</v>
      </c>
      <c r="Q91">
        <f ca="1"/>
        <v>241.2655092354228</v>
      </c>
      <c r="R91">
        <f ca="1"/>
        <v>0.31660109529221014</v>
      </c>
      <c r="S91">
        <f ca="1"/>
        <v>1</v>
      </c>
      <c r="T91">
        <f ca="1"/>
        <v>1.510000025033662</v>
      </c>
      <c r="U91">
        <f ca="1"/>
        <v>0</v>
      </c>
      <c r="V91">
        <f ca="1"/>
        <v>0.99999925752297358</v>
      </c>
      <c r="X91" s="2">
        <f t="shared" ca="1" si="8"/>
        <v>45501</v>
      </c>
      <c r="Y91">
        <f t="shared" ca="1" si="9"/>
        <v>0</v>
      </c>
      <c r="AA91" s="63">
        <f t="shared" ca="1" si="11"/>
        <v>43.155884666924635</v>
      </c>
      <c r="AB91" s="63">
        <f t="shared" ca="1" si="12"/>
        <v>43.155884666924635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45502</v>
      </c>
      <c r="K92">
        <f ca="1"/>
        <v>35.006628041931705</v>
      </c>
      <c r="L92">
        <f ca="1"/>
        <v>3.5859424535770472</v>
      </c>
      <c r="M92">
        <f ca="1"/>
        <v>-3.8327903220736204E-4</v>
      </c>
      <c r="N92">
        <f ca="1"/>
        <v>0.55607145024914084</v>
      </c>
      <c r="O92">
        <f ca="1"/>
        <v>0</v>
      </c>
      <c r="P92">
        <f ca="1"/>
        <v>271.36734702767552</v>
      </c>
      <c r="Q92">
        <f ca="1"/>
        <v>244.49636924800365</v>
      </c>
      <c r="R92">
        <f ca="1"/>
        <v>3.4702222580698827E-2</v>
      </c>
      <c r="S92">
        <f ca="1"/>
        <v>1</v>
      </c>
      <c r="T92">
        <f ca="1"/>
        <v>0.18000000000000682</v>
      </c>
      <c r="U92">
        <f ca="1"/>
        <v>0</v>
      </c>
      <c r="V92">
        <f ca="1"/>
        <v>0.99999939363272139</v>
      </c>
      <c r="X92" s="2">
        <f t="shared" ca="1" si="8"/>
        <v>45502</v>
      </c>
      <c r="Y92">
        <f t="shared" ca="1" si="9"/>
        <v>0</v>
      </c>
      <c r="AA92" s="63">
        <f t="shared" ca="1" si="11"/>
        <v>38.627272718089451</v>
      </c>
      <c r="AB92" s="63">
        <f t="shared" ca="1" si="12"/>
        <v>38.627272718089451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45503</v>
      </c>
      <c r="K93">
        <f ca="1"/>
        <v>31.288602999525075</v>
      </c>
      <c r="L93">
        <f ca="1"/>
        <v>4.0410412704761143</v>
      </c>
      <c r="M93">
        <f ca="1"/>
        <v>8.9966842073962994E-5</v>
      </c>
      <c r="N93">
        <f ca="1"/>
        <v>0.59001303175959041</v>
      </c>
      <c r="O93">
        <f ca="1"/>
        <v>0</v>
      </c>
      <c r="P93">
        <f ca="1"/>
        <v>275.40838829815164</v>
      </c>
      <c r="Q93">
        <f ca="1"/>
        <v>248.13726388560343</v>
      </c>
      <c r="R93">
        <f ca="1"/>
        <v>0.26708677053217983</v>
      </c>
      <c r="S93">
        <f ca="1"/>
        <v>1</v>
      </c>
      <c r="T93">
        <f ca="1"/>
        <v>1.5500000000000114</v>
      </c>
      <c r="U93">
        <f ca="1"/>
        <v>0</v>
      </c>
      <c r="V93">
        <f ca="1"/>
        <v>0.99999952244395285</v>
      </c>
      <c r="X93" s="2">
        <f t="shared" ca="1" si="8"/>
        <v>45503</v>
      </c>
      <c r="Y93">
        <f t="shared" ca="1" si="9"/>
        <v>0</v>
      </c>
      <c r="AA93" s="63">
        <f t="shared" ca="1" si="11"/>
        <v>35.596731040533371</v>
      </c>
      <c r="AB93" s="63">
        <f t="shared" ca="1" si="12"/>
        <v>35.596731040533371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45504</v>
      </c>
      <c r="K94">
        <f ca="1"/>
        <v>25.953393839375163</v>
      </c>
      <c r="L94">
        <f ca="1"/>
        <v>5.4086329519609535</v>
      </c>
      <c r="M94">
        <f ca="1"/>
        <v>6.6761288144157049E-4</v>
      </c>
      <c r="N94">
        <f ca="1"/>
        <v>0.69165058796304768</v>
      </c>
      <c r="O94">
        <f ca="1"/>
        <v>0</v>
      </c>
      <c r="P94">
        <f ca="1"/>
        <v>280.81702125011259</v>
      </c>
      <c r="Q94">
        <f ca="1"/>
        <v>253.01033035374672</v>
      </c>
      <c r="R94">
        <f ca="1"/>
        <v>0.6188944090334475</v>
      </c>
      <c r="S94">
        <f ca="1"/>
        <v>1</v>
      </c>
      <c r="T94">
        <f ca="1"/>
        <v>4.3299999999999983</v>
      </c>
      <c r="U94">
        <f ca="1"/>
        <v>0</v>
      </c>
      <c r="V94">
        <f ca="1"/>
        <v>0.99999966010929919</v>
      </c>
      <c r="X94" s="2">
        <f t="shared" ca="1" si="8"/>
        <v>45504</v>
      </c>
      <c r="Y94">
        <f t="shared" ca="1" si="9"/>
        <v>0</v>
      </c>
      <c r="AA94" s="63">
        <f t="shared" ca="1" si="11"/>
        <v>31.980921200369565</v>
      </c>
      <c r="AB94" s="63">
        <f t="shared" ca="1" si="12"/>
        <v>31.980921200369565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45505</v>
      </c>
      <c r="K95">
        <f ca="1"/>
        <v>21.03123192013431</v>
      </c>
      <c r="L95">
        <f ca="1"/>
        <v>5.2458390423538503</v>
      </c>
      <c r="M95">
        <f ca="1"/>
        <v>1.2704936939460509E-3</v>
      </c>
      <c r="N95">
        <f ca="1"/>
        <v>0.70925937656447946</v>
      </c>
      <c r="O95">
        <f ca="1"/>
        <v>0</v>
      </c>
      <c r="P95">
        <f ca="1"/>
        <v>286.06286029246644</v>
      </c>
      <c r="Q95">
        <f ca="1"/>
        <v>257.73672287504047</v>
      </c>
      <c r="R95">
        <f ca="1"/>
        <v>0.38685274714542744</v>
      </c>
      <c r="S95">
        <f ca="1"/>
        <v>1</v>
      </c>
      <c r="T95">
        <f ca="1"/>
        <v>3.3400000000000034</v>
      </c>
      <c r="U95">
        <f ca="1"/>
        <v>0</v>
      </c>
      <c r="V95">
        <f ca="1"/>
        <v>0.99999976206214614</v>
      </c>
      <c r="X95" s="2">
        <f t="shared" ca="1" si="8"/>
        <v>45505</v>
      </c>
      <c r="Y95">
        <f t="shared" ca="1" si="9"/>
        <v>0</v>
      </c>
      <c r="AA95" s="63">
        <f t="shared" ca="1" si="11"/>
        <v>26.66392370963359</v>
      </c>
      <c r="AB95" s="63">
        <f t="shared" ca="1" si="12"/>
        <v>26.663923709633586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45506</v>
      </c>
      <c r="K96">
        <f ca="1"/>
        <v>17.232375308783052</v>
      </c>
      <c r="L96">
        <f ca="1"/>
        <v>4.4107886289205567</v>
      </c>
      <c r="M96">
        <f ca="1"/>
        <v>1.7701590836445291E-3</v>
      </c>
      <c r="N96">
        <f ca="1"/>
        <v>0.67564488465902905</v>
      </c>
      <c r="O96">
        <f ca="1"/>
        <v>0</v>
      </c>
      <c r="P96">
        <f ca="1"/>
        <v>290.473648921387</v>
      </c>
      <c r="Q96">
        <f ca="1"/>
        <v>261.71075223820293</v>
      </c>
      <c r="R96">
        <f ca="1"/>
        <v>6.5483026173375383E-2</v>
      </c>
      <c r="S96">
        <f ca="1"/>
        <v>1</v>
      </c>
      <c r="T96">
        <f ca="1"/>
        <v>0.68999999999999773</v>
      </c>
      <c r="U96">
        <f ca="1"/>
        <v>0</v>
      </c>
      <c r="V96">
        <f ca="1"/>
        <v>0.98628674405542005</v>
      </c>
      <c r="X96" s="2">
        <f t="shared" ca="1" si="8"/>
        <v>45506</v>
      </c>
      <c r="Y96">
        <f t="shared" ca="1" si="9"/>
        <v>0</v>
      </c>
      <c r="AA96" s="63">
        <f t="shared" ca="1" si="11"/>
        <v>21.708646963876983</v>
      </c>
      <c r="AB96" s="63">
        <f t="shared" ca="1" si="12"/>
        <v>21.708646963876983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45507</v>
      </c>
      <c r="K97">
        <f ca="1"/>
        <v>13.412981610870483</v>
      </c>
      <c r="L97">
        <f ca="1"/>
        <v>4.1369938298229272</v>
      </c>
      <c r="M97">
        <f ca="1"/>
        <v>2.2960089052190824E-3</v>
      </c>
      <c r="N97">
        <f ca="1"/>
        <v>0.68095366517974043</v>
      </c>
      <c r="O97">
        <f ca="1"/>
        <v>0</v>
      </c>
      <c r="P97">
        <f ca="1"/>
        <v>294.61064275120992</v>
      </c>
      <c r="Q97">
        <f ca="1"/>
        <v>265.43809814798891</v>
      </c>
      <c r="R97">
        <f ca="1"/>
        <v>0.36564954217459988</v>
      </c>
      <c r="S97">
        <f ca="1"/>
        <v>1</v>
      </c>
      <c r="T97">
        <f ca="1"/>
        <v>4.9500000000000028</v>
      </c>
      <c r="U97">
        <f ca="1"/>
        <v>0</v>
      </c>
      <c r="V97">
        <f ca="1"/>
        <v>0.95176360664237436</v>
      </c>
      <c r="X97" s="2">
        <f t="shared" ca="1" si="8"/>
        <v>45507</v>
      </c>
      <c r="Y97">
        <f t="shared" ca="1" si="9"/>
        <v>0</v>
      </c>
      <c r="AA97" s="63">
        <f t="shared" ca="1" si="11"/>
        <v>17.91562498286801</v>
      </c>
      <c r="AB97" s="63">
        <f t="shared" ca="1" si="12"/>
        <v>17.91562498286801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45508</v>
      </c>
      <c r="K98">
        <f ca="1"/>
        <v>10.457445169586466</v>
      </c>
      <c r="L98">
        <f ca="1"/>
        <v>3.5178184269403232</v>
      </c>
      <c r="M98">
        <f ca="1"/>
        <v>2.7075026901144383E-3</v>
      </c>
      <c r="N98">
        <f ca="1"/>
        <v>0.65402491528048512</v>
      </c>
      <c r="O98">
        <f ca="1"/>
        <v>0</v>
      </c>
      <c r="P98">
        <f ca="1"/>
        <v>298.12846117815025</v>
      </c>
      <c r="Q98">
        <f ca="1"/>
        <v>268.60757982101023</v>
      </c>
      <c r="R98">
        <f ca="1"/>
        <v>9.4450432314294022E-2</v>
      </c>
      <c r="S98">
        <f ca="1"/>
        <v>1</v>
      </c>
      <c r="T98">
        <f ca="1"/>
        <v>1.6400000000000006</v>
      </c>
      <c r="U98">
        <f ca="1"/>
        <v>0</v>
      </c>
      <c r="V98">
        <f ca="1"/>
        <v>0.91997299554966638</v>
      </c>
      <c r="X98" s="2">
        <f t="shared" ca="1" si="8"/>
        <v>45508</v>
      </c>
      <c r="Y98">
        <f t="shared" ca="1" si="9"/>
        <v>0</v>
      </c>
      <c r="AA98" s="63">
        <f t="shared" ca="1" si="11"/>
        <v>14.069714028841084</v>
      </c>
      <c r="AB98" s="63">
        <f t="shared" ca="1" si="12"/>
        <v>14.069714028841084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45509</v>
      </c>
      <c r="K99">
        <f ca="1"/>
        <v>7.6523217771444942</v>
      </c>
      <c r="L99">
        <f ca="1"/>
        <v>3.3240944843326474</v>
      </c>
      <c r="M99">
        <f ca="1"/>
        <v>3.1834080565973366E-3</v>
      </c>
      <c r="N99">
        <f ca="1"/>
        <v>0.66118179759982521</v>
      </c>
      <c r="O99">
        <f ca="1"/>
        <v>0</v>
      </c>
      <c r="P99">
        <f ca="1"/>
        <v>301.45255566248289</v>
      </c>
      <c r="Q99">
        <f ca="1"/>
        <v>271.60252022691606</v>
      </c>
      <c r="R99">
        <f ca="1"/>
        <v>0.14539411376574551</v>
      </c>
      <c r="S99">
        <f ca="1"/>
        <v>1</v>
      </c>
      <c r="T99">
        <f ca="1"/>
        <v>3.4500000000000028</v>
      </c>
      <c r="U99">
        <f ca="1"/>
        <v>0</v>
      </c>
      <c r="V99">
        <f ca="1"/>
        <v>0.88744926763930676</v>
      </c>
      <c r="X99" s="2">
        <f t="shared" ca="1" si="8"/>
        <v>45509</v>
      </c>
      <c r="Y99">
        <f t="shared" ca="1" si="9"/>
        <v>0</v>
      </c>
      <c r="AA99" s="63">
        <f t="shared" ca="1" si="11"/>
        <v>11.121810375242889</v>
      </c>
      <c r="AB99" s="63">
        <f t="shared" ca="1" si="12"/>
        <v>11.121810375242886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45510</v>
      </c>
      <c r="K100">
        <f ca="1"/>
        <v>5.1657934949562136</v>
      </c>
      <c r="L100">
        <f ca="1"/>
        <v>3.1272735526600854</v>
      </c>
      <c r="M100">
        <f ca="1"/>
        <v>3.6510745154592072E-3</v>
      </c>
      <c r="N100">
        <f ca="1"/>
        <v>0.66838842321564695</v>
      </c>
      <c r="O100">
        <f ca="1"/>
        <v>0</v>
      </c>
      <c r="P100">
        <f ca="1"/>
        <v>304.57982921514298</v>
      </c>
      <c r="Q100">
        <f ca="1"/>
        <v>274.42012904258803</v>
      </c>
      <c r="R100">
        <f ca="1"/>
        <v>3.12942272593002E-2</v>
      </c>
      <c r="S100">
        <f ca="1"/>
        <v>1</v>
      </c>
      <c r="T100">
        <f ca="1"/>
        <v>1.1000000000000085</v>
      </c>
      <c r="U100">
        <f ca="1"/>
        <v>0</v>
      </c>
      <c r="V100">
        <f ca="1"/>
        <v>0.8541924229112956</v>
      </c>
      <c r="X100" s="2">
        <f t="shared" ca="1" si="8"/>
        <v>45510</v>
      </c>
      <c r="Y100">
        <f t="shared" ca="1" si="9"/>
        <v>0</v>
      </c>
      <c r="AA100" s="63">
        <f t="shared" ca="1" si="11"/>
        <v>8.3243612748756011</v>
      </c>
      <c r="AB100" s="63">
        <f t="shared" ca="1" si="12"/>
        <v>8.3243612748755993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45511</v>
      </c>
      <c r="K101">
        <f ca="1"/>
        <v>3.1838611109422956</v>
      </c>
      <c r="L101">
        <f ca="1"/>
        <v>2.5759669350770764</v>
      </c>
      <c r="M101">
        <f ca="1"/>
        <v>3.9233314357058902E-3</v>
      </c>
      <c r="N101">
        <f ca="1"/>
        <v>0.63412233162189835</v>
      </c>
      <c r="O101">
        <f ca="1"/>
        <v>0</v>
      </c>
      <c r="P101">
        <f ca="1"/>
        <v>307.15579615022006</v>
      </c>
      <c r="Q101">
        <f ca="1"/>
        <v>276.7410219938871</v>
      </c>
      <c r="R101">
        <f ca="1"/>
        <v>4.4011111994445913E-2</v>
      </c>
      <c r="S101">
        <f ca="1"/>
        <v>1</v>
      </c>
      <c r="T101">
        <f ca="1"/>
        <v>2.5100000000000051</v>
      </c>
      <c r="U101">
        <f ca="1"/>
        <v>0</v>
      </c>
      <c r="V101">
        <f ca="1"/>
        <v>0.82446786830469654</v>
      </c>
      <c r="X101" s="2">
        <f t="shared" ca="1" si="8"/>
        <v>45511</v>
      </c>
      <c r="Y101">
        <f t="shared" ca="1" si="9"/>
        <v>0</v>
      </c>
      <c r="AA101" s="63">
        <f t="shared" ca="1" si="11"/>
        <v>5.803839158013818</v>
      </c>
      <c r="AB101" s="63">
        <f t="shared" ca="1" si="12"/>
        <v>5.803839158013818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45512</v>
      </c>
      <c r="K102">
        <f ca="1"/>
        <v>1.8889061172242525</v>
      </c>
      <c r="L102">
        <f ca="1"/>
        <v>1.8481106463328274</v>
      </c>
      <c r="M102">
        <f ca="1"/>
        <v>3.9951974275602709E-3</v>
      </c>
      <c r="N102">
        <f ca="1"/>
        <v>0.57079801163728261</v>
      </c>
      <c r="O102">
        <f ca="1"/>
        <v>0</v>
      </c>
      <c r="P102">
        <f ca="1"/>
        <v>309.00390679655288</v>
      </c>
      <c r="Q102">
        <f ca="1"/>
        <v>278.40613147719887</v>
      </c>
      <c r="R102">
        <f ca="1"/>
        <v>2.1637556450058666E-2</v>
      </c>
      <c r="S102">
        <f ca="1"/>
        <v>1</v>
      </c>
      <c r="T102">
        <f ca="1"/>
        <v>2.0799999999999983</v>
      </c>
      <c r="U102">
        <f ca="1"/>
        <v>0</v>
      </c>
      <c r="V102">
        <f ca="1"/>
        <v>0.80160795299065268</v>
      </c>
      <c r="X102" s="2">
        <f t="shared" ca="1" si="8"/>
        <v>45512</v>
      </c>
      <c r="Y102">
        <f t="shared" ca="1" si="9"/>
        <v>0</v>
      </c>
      <c r="AA102" s="63">
        <f t="shared" ca="1" si="11"/>
        <v>3.7586543200071385</v>
      </c>
      <c r="AB102" s="63">
        <f t="shared" ca="1" si="12"/>
        <v>3.7586543200071385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45513</v>
      </c>
      <c r="K103">
        <f ca="1"/>
        <v>0.98203939174289989</v>
      </c>
      <c r="L103">
        <f ca="1"/>
        <v>1.4469557697773325</v>
      </c>
      <c r="M103">
        <f ca="1"/>
        <v>4.1335646446363228E-3</v>
      </c>
      <c r="N103">
        <f ca="1"/>
        <v>0.53644222961072929</v>
      </c>
      <c r="O103">
        <f ca="1"/>
        <v>0</v>
      </c>
      <c r="P103">
        <f ca="1"/>
        <v>310.45086256633022</v>
      </c>
      <c r="Q103">
        <f ca="1"/>
        <v>279.70980871046947</v>
      </c>
      <c r="R103">
        <f ca="1"/>
        <v>4.8674995938555291E-4</v>
      </c>
      <c r="S103">
        <f ca="1"/>
        <v>1</v>
      </c>
      <c r="T103">
        <f ca="1"/>
        <v>8.99999999999892E-2</v>
      </c>
      <c r="U103">
        <f ca="1"/>
        <v>0</v>
      </c>
      <c r="V103">
        <f ca="1"/>
        <v>0.78268020969855834</v>
      </c>
      <c r="X103" s="2">
        <f t="shared" ca="1" si="8"/>
        <v>45513</v>
      </c>
      <c r="Y103">
        <f t="shared" ca="1" si="9"/>
        <v>0</v>
      </c>
      <c r="AA103" s="63">
        <f t="shared" ca="1" si="11"/>
        <v>2.429481911479618</v>
      </c>
      <c r="AB103" s="63">
        <f t="shared" ca="1" si="12"/>
        <v>2.429481911479618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45514</v>
      </c>
      <c r="K104">
        <f ca="1"/>
        <v>-0.23979372450376291</v>
      </c>
      <c r="L104">
        <f ca="1"/>
        <v>1.8190023951017338</v>
      </c>
      <c r="M104">
        <f ca="1"/>
        <v>4.7254328184251904E-3</v>
      </c>
      <c r="N104">
        <f ca="1"/>
        <v>0.59244384603664579</v>
      </c>
      <c r="O104">
        <f ca="1"/>
        <v>0</v>
      </c>
      <c r="P104">
        <f ca="1"/>
        <v>312.26986496143195</v>
      </c>
      <c r="Q104">
        <f ca="1"/>
        <v>281.34869226122487</v>
      </c>
      <c r="R104">
        <f ca="1"/>
        <v>0</v>
      </c>
      <c r="S104">
        <f ca="1"/>
        <v>1</v>
      </c>
      <c r="T104">
        <f ca="1"/>
        <v>3.4300000000000068</v>
      </c>
      <c r="U104">
        <f ca="1"/>
        <v>0</v>
      </c>
      <c r="V104">
        <f ca="1"/>
        <v>0.75742100298129122</v>
      </c>
      <c r="X104" s="2">
        <f t="shared" ca="1" si="8"/>
        <v>45514</v>
      </c>
      <c r="Y104">
        <f t="shared" ca="1" si="9"/>
        <v>0</v>
      </c>
      <c r="AA104" s="63">
        <f t="shared" ca="1" si="11"/>
        <v>1.5792086705979709</v>
      </c>
      <c r="AB104" s="63">
        <f t="shared" ca="1" si="12"/>
        <v>1.5792086705979709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45515</v>
      </c>
      <c r="K105">
        <f ca="1"/>
        <v>-1.4909089758259761</v>
      </c>
      <c r="L105">
        <f ca="1"/>
        <v>1.8740307797268088</v>
      </c>
      <c r="M105">
        <f ca="1"/>
        <v>5.1832066369321694E-3</v>
      </c>
      <c r="N105">
        <f ca="1"/>
        <v>0.61773232176766324</v>
      </c>
      <c r="O105">
        <f ca="1"/>
        <v>0</v>
      </c>
      <c r="P105">
        <f ca="1"/>
        <v>314.14389574115876</v>
      </c>
      <c r="Q105">
        <f ca="1"/>
        <v>283.03715524883506</v>
      </c>
      <c r="R105">
        <f ca="1"/>
        <v>0</v>
      </c>
      <c r="S105">
        <f ca="1"/>
        <v>1</v>
      </c>
      <c r="T105">
        <f ca="1"/>
        <v>3.75</v>
      </c>
      <c r="U105">
        <f ca="1"/>
        <v>0</v>
      </c>
      <c r="V105">
        <f ca="1"/>
        <v>0.72942926994368662</v>
      </c>
      <c r="X105" s="2">
        <f t="shared" ca="1" si="8"/>
        <v>45515</v>
      </c>
      <c r="Y105">
        <f t="shared" ca="1" si="9"/>
        <v>0</v>
      </c>
      <c r="AA105" s="63">
        <f t="shared" ca="1" si="11"/>
        <v>0.3831218039008325</v>
      </c>
      <c r="AB105" s="63">
        <f t="shared" ca="1" si="12"/>
        <v>0.38312180390083261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45516</v>
      </c>
      <c r="K106">
        <f ca="1"/>
        <v>-2.7013546325934175</v>
      </c>
      <c r="L106">
        <f ca="1"/>
        <v>1.852728672410592</v>
      </c>
      <c r="M106">
        <f ca="1"/>
        <v>5.6146913838919232E-3</v>
      </c>
      <c r="N106">
        <f ca="1"/>
        <v>0.6366683242592589</v>
      </c>
      <c r="O106">
        <f ca="1"/>
        <v>0</v>
      </c>
      <c r="P106">
        <f ca="1"/>
        <v>315.99662441356935</v>
      </c>
      <c r="Q106">
        <f ca="1"/>
        <v>284.70642547816692</v>
      </c>
      <c r="R106">
        <f ca="1"/>
        <v>0</v>
      </c>
      <c r="S106">
        <f ca="1"/>
        <v>1</v>
      </c>
      <c r="T106">
        <f ca="1"/>
        <v>1.9200000000000017</v>
      </c>
      <c r="U106">
        <f ca="1"/>
        <v>0</v>
      </c>
      <c r="V106">
        <f ca="1"/>
        <v>0.69943812740339606</v>
      </c>
      <c r="X106" s="2">
        <f t="shared" ca="1" si="8"/>
        <v>45516</v>
      </c>
      <c r="Y106">
        <f t="shared" ca="1" si="9"/>
        <v>0</v>
      </c>
      <c r="AA106" s="63">
        <f t="shared" ca="1" si="11"/>
        <v>-0.84862596018282532</v>
      </c>
      <c r="AB106" s="63">
        <f t="shared" ca="1" si="12"/>
        <v>-0.84862596018282543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45517</v>
      </c>
      <c r="K107">
        <f ca="1"/>
        <v>-3.8448973853849679</v>
      </c>
      <c r="L107">
        <f ca="1"/>
        <v>1.8042621992154295</v>
      </c>
      <c r="M107">
        <f ca="1"/>
        <v>6.045958529142581E-3</v>
      </c>
      <c r="N107">
        <f ca="1"/>
        <v>0.65467348789473667</v>
      </c>
      <c r="O107">
        <f ca="1"/>
        <v>0</v>
      </c>
      <c r="P107">
        <f ca="1"/>
        <v>317.80088661278478</v>
      </c>
      <c r="Q107">
        <f ca="1"/>
        <v>286.33202841717713</v>
      </c>
      <c r="R107">
        <f ca="1"/>
        <v>0</v>
      </c>
      <c r="S107">
        <f ca="1"/>
        <v>1</v>
      </c>
      <c r="T107">
        <f ca="1"/>
        <v>5.5600000000000023</v>
      </c>
      <c r="U107">
        <f ca="1"/>
        <v>0</v>
      </c>
      <c r="V107">
        <f ca="1"/>
        <v>0.66758086932726524</v>
      </c>
      <c r="X107" s="2">
        <f t="shared" ca="1" si="8"/>
        <v>45517</v>
      </c>
      <c r="Y107">
        <f t="shared" ca="1" si="9"/>
        <v>0</v>
      </c>
      <c r="AA107" s="63">
        <f t="shared" ca="1" si="11"/>
        <v>-2.0406351861695384</v>
      </c>
      <c r="AB107" s="63">
        <f t="shared" ca="1" si="12"/>
        <v>-2.0406351861695384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45518</v>
      </c>
      <c r="K108">
        <f ca="1"/>
        <v>-4.7415067404574884</v>
      </c>
      <c r="L108">
        <f ca="1"/>
        <v>1.5356657674929011</v>
      </c>
      <c r="M108">
        <f ca="1"/>
        <v>6.204628295531478E-3</v>
      </c>
      <c r="N108">
        <f ca="1"/>
        <v>0.63285178412484966</v>
      </c>
      <c r="O108">
        <f ca="1"/>
        <v>0</v>
      </c>
      <c r="P108">
        <f ca="1"/>
        <v>319.33655238027768</v>
      </c>
      <c r="Q108">
        <f ca="1"/>
        <v>287.71563152434163</v>
      </c>
      <c r="R108">
        <f ca="1"/>
        <v>0</v>
      </c>
      <c r="S108">
        <f ca="1"/>
        <v>1</v>
      </c>
      <c r="T108">
        <f ca="1"/>
        <v>2.0400000000000063</v>
      </c>
      <c r="U108">
        <f ca="1"/>
        <v>0</v>
      </c>
      <c r="V108">
        <f ca="1"/>
        <v>0.63798960868751187</v>
      </c>
      <c r="X108" s="2">
        <f t="shared" ca="1" si="8"/>
        <v>45518</v>
      </c>
      <c r="Y108">
        <f t="shared" ca="1" si="9"/>
        <v>0</v>
      </c>
      <c r="AA108" s="63">
        <f t="shared" ca="1" si="11"/>
        <v>-3.2058409729645869</v>
      </c>
      <c r="AB108" s="63">
        <f t="shared" ca="1" si="12"/>
        <v>-3.2058409729645874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45519</v>
      </c>
      <c r="K109">
        <f ca="1"/>
        <v>-5.5748163873254448</v>
      </c>
      <c r="L109">
        <f ca="1"/>
        <v>1.4894141296389307</v>
      </c>
      <c r="M109">
        <f ca="1"/>
        <v>6.6080906008849638E-3</v>
      </c>
      <c r="N109">
        <f ca="1"/>
        <v>0.64949639217008948</v>
      </c>
      <c r="O109">
        <f ca="1"/>
        <v>0</v>
      </c>
      <c r="P109">
        <f ca="1"/>
        <v>320.82596650991661</v>
      </c>
      <c r="Q109">
        <f ca="1"/>
        <v>289.05756286203587</v>
      </c>
      <c r="R109">
        <f ca="1"/>
        <v>0</v>
      </c>
      <c r="S109">
        <f ca="1"/>
        <v>1</v>
      </c>
      <c r="T109">
        <f ca="1"/>
        <v>0.29999999999998295</v>
      </c>
      <c r="U109">
        <f ca="1"/>
        <v>0</v>
      </c>
      <c r="V109">
        <f ca="1"/>
        <v>0.60666552647876393</v>
      </c>
      <c r="X109" s="2">
        <f t="shared" ca="1" si="8"/>
        <v>45519</v>
      </c>
      <c r="Y109">
        <f t="shared" ca="1" si="9"/>
        <v>0</v>
      </c>
      <c r="AA109" s="63">
        <f t="shared" ca="1" si="11"/>
        <v>-4.0854022576865141</v>
      </c>
      <c r="AB109" s="63">
        <f t="shared" ca="1" si="12"/>
        <v>-4.0854022576865141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45520</v>
      </c>
      <c r="K110">
        <f ca="1"/>
        <v>-6.2615167103730247</v>
      </c>
      <c r="L110">
        <f ca="1"/>
        <v>1.3378952309228112</v>
      </c>
      <c r="M110">
        <f ca="1"/>
        <v>6.8493824063526887E-3</v>
      </c>
      <c r="N110">
        <f ca="1"/>
        <v>0.64434552546887836</v>
      </c>
      <c r="O110">
        <f ca="1"/>
        <v>0</v>
      </c>
      <c r="P110">
        <f ca="1"/>
        <v>322.16386174083942</v>
      </c>
      <c r="Q110">
        <f ca="1"/>
        <v>290.26297880458657</v>
      </c>
      <c r="R110">
        <f ca="1"/>
        <v>0</v>
      </c>
      <c r="S110">
        <f ca="1"/>
        <v>1</v>
      </c>
      <c r="T110">
        <f ca="1"/>
        <v>5.2299999999999898</v>
      </c>
      <c r="U110">
        <f ca="1"/>
        <v>0</v>
      </c>
      <c r="V110">
        <f ca="1"/>
        <v>0.57587462013739876</v>
      </c>
      <c r="X110" s="2">
        <f t="shared" ca="1" si="8"/>
        <v>45520</v>
      </c>
      <c r="Y110">
        <f t="shared" ca="1" si="9"/>
        <v>0</v>
      </c>
      <c r="AA110" s="63">
        <f t="shared" ca="1" si="11"/>
        <v>-4.9236214794502136</v>
      </c>
      <c r="AB110" s="63">
        <f t="shared" ca="1" si="12"/>
        <v>-4.9236214794502136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45521</v>
      </c>
      <c r="K111">
        <f ca="1"/>
        <v>-6.6812158667780688</v>
      </c>
      <c r="L111">
        <f ca="1"/>
        <v>1.0213085745888861</v>
      </c>
      <c r="M111">
        <f ca="1"/>
        <v>6.7283103963884372E-3</v>
      </c>
      <c r="N111">
        <f ca="1"/>
        <v>0.59488110778745396</v>
      </c>
      <c r="O111">
        <f ca="1"/>
        <v>0</v>
      </c>
      <c r="P111">
        <f ca="1"/>
        <v>323.18517031542831</v>
      </c>
      <c r="Q111">
        <f ca="1"/>
        <v>291.18315671509748</v>
      </c>
      <c r="R111">
        <f ca="1"/>
        <v>0</v>
      </c>
      <c r="S111">
        <f ca="1"/>
        <v>1</v>
      </c>
      <c r="T111">
        <f ca="1"/>
        <v>1.9099999999999966</v>
      </c>
      <c r="U111">
        <f ca="1"/>
        <v>0</v>
      </c>
      <c r="V111">
        <f ca="1"/>
        <v>0.55034882548644037</v>
      </c>
      <c r="X111" s="2">
        <f t="shared" ca="1" si="8"/>
        <v>45521</v>
      </c>
      <c r="Y111">
        <f t="shared" ca="1" si="9"/>
        <v>0</v>
      </c>
      <c r="AA111" s="63">
        <f t="shared" ca="1" si="11"/>
        <v>-5.6599072921891826</v>
      </c>
      <c r="AB111" s="63">
        <f t="shared" ca="1" si="12"/>
        <v>-5.6599072921891826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45522</v>
      </c>
      <c r="K112">
        <f ca="1"/>
        <v>-7.1396434047523298</v>
      </c>
      <c r="L112">
        <f ca="1"/>
        <v>1.1011028753024448</v>
      </c>
      <c r="M112">
        <f ca="1"/>
        <v>7.2808258574212914E-3</v>
      </c>
      <c r="N112">
        <f ca="1"/>
        <v>0.63539451147076209</v>
      </c>
      <c r="O112">
        <f ca="1"/>
        <v>0</v>
      </c>
      <c r="P112">
        <f ca="1"/>
        <v>324.28627319073075</v>
      </c>
      <c r="Q112">
        <f ca="1"/>
        <v>292.17522764083247</v>
      </c>
      <c r="R112">
        <f ca="1"/>
        <v>0</v>
      </c>
      <c r="S112">
        <f ca="1"/>
        <v>1</v>
      </c>
      <c r="T112">
        <f ca="1"/>
        <v>0.56999999999999318</v>
      </c>
      <c r="U112">
        <f ca="1"/>
        <v>0</v>
      </c>
      <c r="V112">
        <f ca="1"/>
        <v>0.5204909769129954</v>
      </c>
      <c r="X112" s="2">
        <f t="shared" ca="1" si="8"/>
        <v>45522</v>
      </c>
      <c r="Y112">
        <f t="shared" ca="1" si="9"/>
        <v>0</v>
      </c>
      <c r="AA112" s="63">
        <f t="shared" ca="1" si="11"/>
        <v>-6.0385405294498851</v>
      </c>
      <c r="AB112" s="63">
        <f t="shared" ca="1" si="12"/>
        <v>-6.0385405294498851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45523</v>
      </c>
      <c r="K113">
        <f ca="1"/>
        <v>-7.4710779315602052</v>
      </c>
      <c r="L113">
        <f ca="1"/>
        <v>0.96032670187378244</v>
      </c>
      <c r="M113">
        <f ca="1"/>
        <v>7.4019602506139037E-3</v>
      </c>
      <c r="N113">
        <f ca="1"/>
        <v>0.62149021481529321</v>
      </c>
      <c r="O113">
        <f ca="1"/>
        <v>0</v>
      </c>
      <c r="P113">
        <f ca="1"/>
        <v>325.24659989260454</v>
      </c>
      <c r="Q113">
        <f ca="1"/>
        <v>293.04046214480587</v>
      </c>
      <c r="R113">
        <f ca="1"/>
        <v>0</v>
      </c>
      <c r="S113">
        <f ca="1"/>
        <v>1</v>
      </c>
      <c r="T113">
        <f ca="1"/>
        <v>2.210000000000008</v>
      </c>
      <c r="U113">
        <f ca="1"/>
        <v>0</v>
      </c>
      <c r="V113">
        <f ca="1"/>
        <v>0.49209936197485371</v>
      </c>
      <c r="X113" s="2">
        <f t="shared" ca="1" si="8"/>
        <v>45523</v>
      </c>
      <c r="Y113">
        <f t="shared" ca="1" si="9"/>
        <v>0</v>
      </c>
      <c r="AA113" s="63">
        <f t="shared" ca="1" si="11"/>
        <v>-6.5107512296864227</v>
      </c>
      <c r="AB113" s="63">
        <f t="shared" ca="1" si="12"/>
        <v>-6.5107512296864227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45524</v>
      </c>
      <c r="K114">
        <f ca="1"/>
        <v>-7.792117086302075</v>
      </c>
      <c r="L114">
        <f ca="1"/>
        <v>0.98296308813047517</v>
      </c>
      <c r="M114">
        <f ca="1"/>
        <v>7.8990181081204369E-3</v>
      </c>
      <c r="N114">
        <f ca="1"/>
        <v>0.65402491528048512</v>
      </c>
      <c r="O114">
        <f ca="1"/>
        <v>0</v>
      </c>
      <c r="P114">
        <f ca="1"/>
        <v>326.22956298073501</v>
      </c>
      <c r="Q114">
        <f ca="1"/>
        <v>293.92609156479716</v>
      </c>
      <c r="R114">
        <f ca="1"/>
        <v>0</v>
      </c>
      <c r="S114">
        <f ca="1"/>
        <v>1</v>
      </c>
      <c r="T114">
        <f ca="1"/>
        <v>0.67000000000000171</v>
      </c>
      <c r="U114">
        <f ca="1"/>
        <v>0</v>
      </c>
      <c r="V114">
        <f ca="1"/>
        <v>0.46030875088214573</v>
      </c>
      <c r="X114" s="2">
        <f t="shared" ca="1" si="8"/>
        <v>45524</v>
      </c>
      <c r="Y114">
        <f t="shared" ca="1" si="9"/>
        <v>0</v>
      </c>
      <c r="AA114" s="63">
        <f t="shared" ca="1" si="11"/>
        <v>-6.8091539981715998</v>
      </c>
      <c r="AB114" s="63">
        <f t="shared" ca="1" si="12"/>
        <v>-6.8091539981715998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45525</v>
      </c>
      <c r="K115">
        <f ca="1"/>
        <v>-7.9948955569372178</v>
      </c>
      <c r="L115">
        <f ca="1"/>
        <v>0.84870340043477199</v>
      </c>
      <c r="M115">
        <f ca="1"/>
        <v>7.9811592257748032E-3</v>
      </c>
      <c r="N115">
        <f ca="1"/>
        <v>0.63794377057385421</v>
      </c>
      <c r="O115">
        <f ca="1"/>
        <v>0</v>
      </c>
      <c r="P115">
        <f ca="1"/>
        <v>327.07826638116978</v>
      </c>
      <c r="Q115">
        <f ca="1"/>
        <v>294.69075578194622</v>
      </c>
      <c r="R115">
        <f ca="1"/>
        <v>0</v>
      </c>
      <c r="S115">
        <f ca="1"/>
        <v>1</v>
      </c>
      <c r="T115">
        <f ca="1"/>
        <v>2.7900000000000063</v>
      </c>
      <c r="U115">
        <f ca="1"/>
        <v>0</v>
      </c>
      <c r="V115">
        <f ca="1"/>
        <v>0.43018431437500948</v>
      </c>
      <c r="X115" s="2">
        <f t="shared" ca="1" si="8"/>
        <v>45525</v>
      </c>
      <c r="Y115">
        <f t="shared" ca="1" si="9"/>
        <v>0</v>
      </c>
      <c r="AA115" s="63">
        <f t="shared" ca="1" si="11"/>
        <v>-7.1461921565024458</v>
      </c>
      <c r="AB115" s="63">
        <f t="shared" ca="1" si="12"/>
        <v>-7.1461921565024458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45526</v>
      </c>
      <c r="K116">
        <f ca="1"/>
        <v>-8.1296077867411185</v>
      </c>
      <c r="L116">
        <f ca="1"/>
        <v>0.78471323596642151</v>
      </c>
      <c r="M116">
        <f ca="1"/>
        <v>8.2210896441603509E-3</v>
      </c>
      <c r="N116">
        <f ca="1"/>
        <v>0.64177991651835986</v>
      </c>
      <c r="O116">
        <f ca="1"/>
        <v>0</v>
      </c>
      <c r="P116">
        <f ca="1"/>
        <v>327.8629796171362</v>
      </c>
      <c r="Q116">
        <f ca="1"/>
        <v>295.39776618388328</v>
      </c>
      <c r="R116">
        <f ca="1"/>
        <v>0</v>
      </c>
      <c r="S116">
        <f ca="1"/>
        <v>1</v>
      </c>
      <c r="T116">
        <f ca="1"/>
        <v>4.0000000000006253E-2</v>
      </c>
      <c r="U116">
        <f ca="1"/>
        <v>0</v>
      </c>
      <c r="V116">
        <f ca="1"/>
        <v>0.39965999596733592</v>
      </c>
      <c r="X116" s="2">
        <f t="shared" ca="1" si="8"/>
        <v>45526</v>
      </c>
      <c r="Y116">
        <f t="shared" ca="1" si="9"/>
        <v>0</v>
      </c>
      <c r="AA116" s="63">
        <f t="shared" ca="1" si="11"/>
        <v>-7.3448945507746979</v>
      </c>
      <c r="AB116" s="63">
        <f t="shared" ca="1" si="12"/>
        <v>-7.344894550774697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45527</v>
      </c>
      <c r="K117">
        <f ca="1"/>
        <v>-8.2205041543099089</v>
      </c>
      <c r="L117">
        <f ca="1"/>
        <v>0.76133412019260049</v>
      </c>
      <c r="M117">
        <f ca="1"/>
        <v>8.602864148161693E-3</v>
      </c>
      <c r="N117">
        <f ca="1"/>
        <v>0.6618348884756482</v>
      </c>
      <c r="O117">
        <f ca="1"/>
        <v>0</v>
      </c>
      <c r="P117">
        <f ca="1"/>
        <v>328.62431373732881</v>
      </c>
      <c r="Q117">
        <f ca="1"/>
        <v>296.08371248586315</v>
      </c>
      <c r="R117">
        <f ca="1"/>
        <v>0</v>
      </c>
      <c r="S117">
        <f ca="1"/>
        <v>0.98304347826086935</v>
      </c>
      <c r="T117">
        <f ca="1"/>
        <v>0</v>
      </c>
      <c r="U117">
        <f ca="1"/>
        <v>0</v>
      </c>
      <c r="V117">
        <f ca="1"/>
        <v>0.36706962107355356</v>
      </c>
      <c r="X117" s="2">
        <f t="shared" ca="1" si="8"/>
        <v>45527</v>
      </c>
      <c r="Y117">
        <f t="shared" ca="1" si="9"/>
        <v>0</v>
      </c>
      <c r="AA117" s="63">
        <f t="shared" ca="1" si="11"/>
        <v>-7.4591700341173075</v>
      </c>
      <c r="AB117" s="63">
        <f t="shared" ca="1" si="12"/>
        <v>-7.4591700341173084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45528</v>
      </c>
      <c r="K118">
        <f ca="1"/>
        <v>-8.2275006537535162</v>
      </c>
      <c r="L118">
        <f ca="1"/>
        <v>0.66647828086331629</v>
      </c>
      <c r="M118">
        <f ca="1"/>
        <v>8.6935757189037233E-3</v>
      </c>
      <c r="N118">
        <f ca="1"/>
        <v>0.65078820570080542</v>
      </c>
      <c r="O118">
        <f ca="1"/>
        <v>0</v>
      </c>
      <c r="P118">
        <f ca="1"/>
        <v>329.29079201819212</v>
      </c>
      <c r="Q118">
        <f ca="1"/>
        <v>296.68419563771823</v>
      </c>
      <c r="R118">
        <f ca="1"/>
        <v>0</v>
      </c>
      <c r="S118">
        <f ca="1"/>
        <v>0.99791953521597665</v>
      </c>
      <c r="T118">
        <f ca="1"/>
        <v>0</v>
      </c>
      <c r="U118">
        <f ca="1"/>
        <v>0</v>
      </c>
      <c r="V118">
        <f ca="1"/>
        <v>0.3356122448979596</v>
      </c>
      <c r="X118" s="2">
        <f t="shared" ca="1" si="8"/>
        <v>45528</v>
      </c>
      <c r="Y118">
        <f t="shared" ca="1" si="9"/>
        <v>0</v>
      </c>
      <c r="AA118" s="63">
        <f t="shared" ca="1" si="11"/>
        <v>-7.5610223728902008</v>
      </c>
      <c r="AB118" s="63">
        <f t="shared" ca="1" si="12"/>
        <v>-7.5610223728902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45529</v>
      </c>
      <c r="K119">
        <f ca="1"/>
        <v>-8.2266739483409346</v>
      </c>
      <c r="L119">
        <f ca="1"/>
        <v>0.72617215381779943</v>
      </c>
      <c r="M119">
        <f ca="1"/>
        <v>9.5175880359503751E-3</v>
      </c>
      <c r="N119">
        <f ca="1"/>
        <v>0.71748127119442984</v>
      </c>
      <c r="O119">
        <f ca="1"/>
        <v>0</v>
      </c>
      <c r="P119">
        <f ca="1"/>
        <v>330.01696417200992</v>
      </c>
      <c r="Q119">
        <f ca="1"/>
        <v>297.33846173495562</v>
      </c>
      <c r="R119">
        <f ca="1"/>
        <v>0</v>
      </c>
      <c r="S119">
        <f ca="1"/>
        <v>1</v>
      </c>
      <c r="T119">
        <f ca="1"/>
        <v>1.4386256348741995</v>
      </c>
      <c r="U119">
        <f ca="1"/>
        <v>0</v>
      </c>
      <c r="V119">
        <f ca="1"/>
        <v>0.29749017038007886</v>
      </c>
      <c r="X119" s="2">
        <f t="shared" ca="1" si="8"/>
        <v>45529</v>
      </c>
      <c r="Y119">
        <f t="shared" ca="1" si="9"/>
        <v>0</v>
      </c>
      <c r="AA119" s="63">
        <f t="shared" ca="1" si="11"/>
        <v>-7.5005017945231351</v>
      </c>
      <c r="AB119" s="63">
        <f t="shared" ca="1" si="12"/>
        <v>-7.5005017945231351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45530</v>
      </c>
      <c r="K120">
        <f ca="1"/>
        <v>-8.1464087783677499</v>
      </c>
      <c r="L120">
        <f ca="1"/>
        <v>0.64901440946556477</v>
      </c>
      <c r="M120">
        <f ca="1"/>
        <v>9.7334634866648173E-3</v>
      </c>
      <c r="N120">
        <f ca="1"/>
        <v>0.71954611595208495</v>
      </c>
      <c r="O120">
        <f ca="1"/>
        <v>0</v>
      </c>
      <c r="P120">
        <f ca="1"/>
        <v>330.66597858147549</v>
      </c>
      <c r="Q120">
        <f ca="1"/>
        <v>297.92321029974067</v>
      </c>
      <c r="R120">
        <f ca="1"/>
        <v>0</v>
      </c>
      <c r="S120">
        <f ca="1"/>
        <v>0.9910144927536233</v>
      </c>
      <c r="T120">
        <f ca="1"/>
        <v>0</v>
      </c>
      <c r="U120">
        <f ca="1"/>
        <v>0</v>
      </c>
      <c r="V120">
        <f ca="1"/>
        <v>0.25916815491192979</v>
      </c>
      <c r="X120" s="2">
        <f t="shared" ca="1" si="8"/>
        <v>45530</v>
      </c>
      <c r="Y120">
        <f t="shared" ca="1" si="9"/>
        <v>0</v>
      </c>
      <c r="AA120" s="63">
        <f t="shared" ca="1" si="11"/>
        <v>-7.4973943689021851</v>
      </c>
      <c r="AB120" s="63">
        <f t="shared" ca="1" si="12"/>
        <v>-7.4973943689021851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45531</v>
      </c>
      <c r="K121">
        <f ca="1"/>
        <v>-8.0013872150244243</v>
      </c>
      <c r="L121">
        <f ca="1"/>
        <v>0.60763571738374367</v>
      </c>
      <c r="M121">
        <f ca="1"/>
        <v>1.0149883027794182E-2</v>
      </c>
      <c r="N121">
        <f ca="1"/>
        <v>0.74250739769927476</v>
      </c>
      <c r="O121">
        <f ca="1"/>
        <v>0</v>
      </c>
      <c r="P121">
        <f ca="1"/>
        <v>331.27361429885923</v>
      </c>
      <c r="Q121">
        <f ca="1"/>
        <v>298.47067751844986</v>
      </c>
      <c r="R121">
        <f ca="1"/>
        <v>0</v>
      </c>
      <c r="S121">
        <f ca="1"/>
        <v>0.9949494811898667</v>
      </c>
      <c r="T121">
        <f ca="1"/>
        <v>0</v>
      </c>
      <c r="U121">
        <f ca="1"/>
        <v>0</v>
      </c>
      <c r="V121">
        <f ca="1"/>
        <v>0.21864678899082601</v>
      </c>
      <c r="X121" s="2">
        <f t="shared" ca="1" si="8"/>
        <v>45531</v>
      </c>
      <c r="Y121">
        <f t="shared" ca="1" si="9"/>
        <v>0</v>
      </c>
      <c r="AA121" s="63">
        <f t="shared" ca="1" si="11"/>
        <v>-7.3937514976406815</v>
      </c>
      <c r="AB121" s="63">
        <f t="shared" ca="1" si="12"/>
        <v>-7.3937514976406806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45532</v>
      </c>
      <c r="K122">
        <f ca="1"/>
        <v>-7.7778555324962051</v>
      </c>
      <c r="L122">
        <f ca="1"/>
        <v>0.49433996851587381</v>
      </c>
      <c r="M122">
        <f ca="1"/>
        <v>9.9767643723653876E-3</v>
      </c>
      <c r="N122">
        <f ca="1"/>
        <v>0.70789488667172806</v>
      </c>
      <c r="O122">
        <f ca="1"/>
        <v>0</v>
      </c>
      <c r="P122">
        <f ca="1"/>
        <v>331.7679542673751</v>
      </c>
      <c r="Q122">
        <f ca="1"/>
        <v>298.91606760977874</v>
      </c>
      <c r="R122">
        <f ca="1"/>
        <v>0</v>
      </c>
      <c r="S122">
        <f ca="1"/>
        <v>1</v>
      </c>
      <c r="T122">
        <f ca="1"/>
        <v>1.1677566371072601</v>
      </c>
      <c r="U122">
        <f ca="1"/>
        <v>0</v>
      </c>
      <c r="V122">
        <f ca="1"/>
        <v>0.18145777224086579</v>
      </c>
      <c r="X122" s="2">
        <f t="shared" ca="1" si="8"/>
        <v>45532</v>
      </c>
      <c r="Y122">
        <f t="shared" ca="1" si="9"/>
        <v>0</v>
      </c>
      <c r="AA122" s="63">
        <f t="shared" ca="1" si="11"/>
        <v>-7.2835155639803304</v>
      </c>
      <c r="AB122" s="63">
        <f t="shared" ca="1" si="12"/>
        <v>-7.2835155639803313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45533</v>
      </c>
      <c r="K123">
        <f ca="1"/>
        <v>-7.5023391390490994</v>
      </c>
      <c r="L123">
        <f ca="1"/>
        <v>0.48033075032185479</v>
      </c>
      <c r="M123">
        <f ca="1"/>
        <v>1.0525605675506533E-2</v>
      </c>
      <c r="N123">
        <f ca="1"/>
        <v>0.74532153809345358</v>
      </c>
      <c r="O123">
        <f ca="1"/>
        <v>0</v>
      </c>
      <c r="P123">
        <f ca="1"/>
        <v>332.24828501769696</v>
      </c>
      <c r="Q123">
        <f ca="1"/>
        <v>299.34883568515028</v>
      </c>
      <c r="R123">
        <f ca="1"/>
        <v>0</v>
      </c>
      <c r="S123">
        <f ca="1"/>
        <v>0.9969565217391303</v>
      </c>
      <c r="T123">
        <f ca="1"/>
        <v>0</v>
      </c>
      <c r="U123">
        <f ca="1"/>
        <v>0</v>
      </c>
      <c r="V123">
        <f ca="1"/>
        <v>0.14066981838607051</v>
      </c>
      <c r="X123" s="2">
        <f t="shared" ca="1" si="8"/>
        <v>45533</v>
      </c>
      <c r="Y123">
        <f t="shared" ca="1" si="9"/>
        <v>0</v>
      </c>
      <c r="AA123" s="63">
        <f t="shared" ca="1" si="11"/>
        <v>-7.0220083887272446</v>
      </c>
      <c r="AB123" s="63">
        <f t="shared" ca="1" si="12"/>
        <v>-7.0220083887272446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45534</v>
      </c>
      <c r="K124">
        <f ca="1"/>
        <v>-7.1716000174663099</v>
      </c>
      <c r="L124">
        <f ca="1"/>
        <v>0.39366477383623533</v>
      </c>
      <c r="M124">
        <f ca="1"/>
        <v>1.0355699338456148E-2</v>
      </c>
      <c r="N124">
        <f ca="1"/>
        <v>0.71404819608056869</v>
      </c>
      <c r="O124">
        <f ca="1"/>
        <v>0</v>
      </c>
      <c r="P124">
        <f ca="1"/>
        <v>332.64194979153319</v>
      </c>
      <c r="Q124">
        <f ca="1"/>
        <v>299.70351950749671</v>
      </c>
      <c r="R124">
        <f ca="1"/>
        <v>0</v>
      </c>
      <c r="S124">
        <f ca="1"/>
        <v>0.99586872399495152</v>
      </c>
      <c r="T124">
        <f ca="1"/>
        <v>0</v>
      </c>
      <c r="U124">
        <f ca="1"/>
        <v>0</v>
      </c>
      <c r="V124">
        <f ca="1"/>
        <v>0.10288097878530411</v>
      </c>
      <c r="X124" s="2">
        <f t="shared" ca="1" si="8"/>
        <v>45534</v>
      </c>
      <c r="Y124">
        <f t="shared" ca="1" si="9"/>
        <v>0</v>
      </c>
      <c r="AA124" s="63">
        <f t="shared" ca="1" si="11"/>
        <v>-6.7779352436300746</v>
      </c>
      <c r="AB124" s="63">
        <f t="shared" ca="1" si="12"/>
        <v>-6.7779352436300746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45535</v>
      </c>
      <c r="K125">
        <f ca="1"/>
        <v>-6.8021856927623903</v>
      </c>
      <c r="L125">
        <f ca="1"/>
        <v>0.3176570310862985</v>
      </c>
      <c r="M125">
        <f ca="1"/>
        <v>1.0101753089789334E-2</v>
      </c>
      <c r="N125">
        <f ca="1"/>
        <v>0.67696960270042861</v>
      </c>
      <c r="O125">
        <f ca="1"/>
        <v>0</v>
      </c>
      <c r="P125">
        <f ca="1"/>
        <v>332.95960682261949</v>
      </c>
      <c r="Q125">
        <f ca="1"/>
        <v>299.98972192505869</v>
      </c>
      <c r="R125">
        <f ca="1"/>
        <v>0</v>
      </c>
      <c r="S125">
        <f ca="1"/>
        <v>0.98147633260322542</v>
      </c>
      <c r="T125">
        <f ca="1"/>
        <v>0</v>
      </c>
      <c r="U125">
        <f ca="1"/>
        <v>0</v>
      </c>
      <c r="V125">
        <f ca="1"/>
        <v>6.8757723272795612E-2</v>
      </c>
      <c r="X125" s="2">
        <f t="shared" ca="1" si="8"/>
        <v>45535</v>
      </c>
      <c r="Y125">
        <f t="shared" ca="1" si="9"/>
        <v>0</v>
      </c>
      <c r="AA125" s="63">
        <f t="shared" ca="1" si="11"/>
        <v>-6.4845286616760918</v>
      </c>
      <c r="AB125" s="63">
        <f t="shared" ca="1" si="12"/>
        <v>-6.4845286616760918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45536</v>
      </c>
      <c r="K126">
        <f ca="1"/>
        <v>-6.4064098961576388</v>
      </c>
      <c r="L126">
        <f ca="1"/>
        <v>0.26104340543105309</v>
      </c>
      <c r="M126">
        <f ca="1"/>
        <v>9.9015195529590372E-3</v>
      </c>
      <c r="N126">
        <f ca="1"/>
        <v>0.64691768248284565</v>
      </c>
      <c r="O126">
        <f ca="1"/>
        <v>0</v>
      </c>
      <c r="P126">
        <f ca="1"/>
        <v>333.22065022805054</v>
      </c>
      <c r="Q126">
        <f ca="1"/>
        <v>300.22491663637197</v>
      </c>
      <c r="R126">
        <f ca="1"/>
        <v>0</v>
      </c>
      <c r="S126">
        <f ca="1"/>
        <v>1</v>
      </c>
      <c r="T126">
        <f ca="1"/>
        <v>0.37771366491890035</v>
      </c>
      <c r="U126">
        <f ca="1"/>
        <v>0</v>
      </c>
      <c r="V126">
        <f ca="1"/>
        <v>3.7700228997738949E-2</v>
      </c>
      <c r="X126" s="2">
        <f t="shared" ca="1" si="8"/>
        <v>45536</v>
      </c>
      <c r="Y126">
        <f t="shared" ca="1" si="9"/>
        <v>0</v>
      </c>
      <c r="AA126" s="63">
        <f t="shared" ca="1" si="11"/>
        <v>-6.1453664907265857</v>
      </c>
      <c r="AB126" s="63">
        <f t="shared" ca="1" si="12"/>
        <v>-6.1453664907265857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45537</v>
      </c>
      <c r="K127">
        <f ca="1"/>
        <v>-5.9847701247559</v>
      </c>
      <c r="L127">
        <f ca="1"/>
        <v>0.24116120170413069</v>
      </c>
      <c r="M127">
        <f ca="1"/>
        <v>1.0071972142423391E-2</v>
      </c>
      <c r="N127">
        <f ca="1"/>
        <v>0.65272900096344622</v>
      </c>
      <c r="O127">
        <f ca="1"/>
        <v>0</v>
      </c>
      <c r="P127">
        <f ca="1"/>
        <v>333.46181142975468</v>
      </c>
      <c r="Q127">
        <f ca="1"/>
        <v>300.44219789318487</v>
      </c>
      <c r="R127">
        <f ca="1"/>
        <v>0</v>
      </c>
      <c r="S127">
        <f ca="1"/>
        <v>0.99014492753623196</v>
      </c>
      <c r="T127">
        <f ca="1"/>
        <v>0</v>
      </c>
      <c r="U127">
        <f ca="1"/>
        <v>0</v>
      </c>
      <c r="V127">
        <f ca="1"/>
        <v>6.0429118718765551E-3</v>
      </c>
      <c r="X127" s="2">
        <f t="shared" ca="1" si="8"/>
        <v>45537</v>
      </c>
      <c r="Y127">
        <f t="shared" ca="1" si="9"/>
        <v>0</v>
      </c>
      <c r="AA127" s="63">
        <f t="shared" ca="1" si="11"/>
        <v>-5.7436089230517693</v>
      </c>
      <c r="AB127" s="63">
        <f t="shared" ca="1" si="12"/>
        <v>-5.7436089230517693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45538</v>
      </c>
      <c r="K128">
        <f ca="1"/>
        <v>-5.5332133449208403</v>
      </c>
      <c r="L128">
        <f ca="1"/>
        <v>0.23183925645889758</v>
      </c>
      <c r="M128">
        <f ca="1"/>
        <v>1.0395636803874453E-2</v>
      </c>
      <c r="N128">
        <f ca="1"/>
        <v>0.67300039949008261</v>
      </c>
      <c r="O128">
        <f ca="1"/>
        <v>0</v>
      </c>
      <c r="P128">
        <f ca="1"/>
        <v>333.69365068621357</v>
      </c>
      <c r="Q128">
        <f ca="1"/>
        <v>300.65108027005971</v>
      </c>
      <c r="R128">
        <f ca="1"/>
        <v>0</v>
      </c>
      <c r="S128">
        <f ca="1"/>
        <v>0.99982230623818535</v>
      </c>
      <c r="T128">
        <f ca="1"/>
        <v>0</v>
      </c>
      <c r="U128">
        <f ca="1"/>
        <v>0</v>
      </c>
      <c r="V128">
        <f ca="1"/>
        <v>0</v>
      </c>
      <c r="X128" s="2">
        <f t="shared" ca="1" si="8"/>
        <v>45538</v>
      </c>
      <c r="Y128">
        <f t="shared" ca="1" si="9"/>
        <v>0</v>
      </c>
      <c r="AA128" s="63">
        <f t="shared" ca="1" si="11"/>
        <v>-5.3013740884619427</v>
      </c>
      <c r="AB128" s="63">
        <f t="shared" ca="1" si="12"/>
        <v>-5.3013740884619427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45539</v>
      </c>
      <c r="K129">
        <f ca="1"/>
        <v>-5.0657832690006908</v>
      </c>
      <c r="L129">
        <f ca="1"/>
        <v>0.19753509386839596</v>
      </c>
      <c r="M129">
        <f ca="1"/>
        <v>1.029168189380858E-2</v>
      </c>
      <c r="N129">
        <f ca="1"/>
        <v>0.65467348789473667</v>
      </c>
      <c r="O129">
        <f ca="1"/>
        <v>0</v>
      </c>
      <c r="P129">
        <f ca="1"/>
        <v>333.89118578008197</v>
      </c>
      <c r="Q129">
        <f ca="1"/>
        <v>300.82905530566688</v>
      </c>
      <c r="R129">
        <f ca="1"/>
        <v>0</v>
      </c>
      <c r="S129">
        <f ca="1"/>
        <v>1</v>
      </c>
      <c r="T129">
        <f ca="1"/>
        <v>1.6880056710775193</v>
      </c>
      <c r="U129">
        <f ca="1"/>
        <v>0</v>
      </c>
      <c r="V129">
        <f ca="1"/>
        <v>0</v>
      </c>
      <c r="X129" s="2">
        <f t="shared" ca="1" si="8"/>
        <v>45539</v>
      </c>
      <c r="Y129">
        <f t="shared" ca="1" si="9"/>
        <v>0</v>
      </c>
      <c r="AA129" s="63">
        <f t="shared" ca="1" si="11"/>
        <v>-4.8682481751322948</v>
      </c>
      <c r="AB129" s="63">
        <f t="shared" ca="1" si="12"/>
        <v>-4.8682481751322948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45540</v>
      </c>
      <c r="K130">
        <f ca="1"/>
        <v>-4.5621277400678792</v>
      </c>
      <c r="L130">
        <f ca="1"/>
        <v>0.19810822309199239</v>
      </c>
      <c r="M130">
        <f ca="1"/>
        <v>1.0784825653802343E-2</v>
      </c>
      <c r="N130">
        <f ca="1"/>
        <v>0.690978926371002</v>
      </c>
      <c r="O130">
        <f ca="1"/>
        <v>0</v>
      </c>
      <c r="P130">
        <f ca="1"/>
        <v>334.08929400317396</v>
      </c>
      <c r="Q130">
        <f ca="1"/>
        <v>301.00754671885534</v>
      </c>
      <c r="R130">
        <f ca="1"/>
        <v>0</v>
      </c>
      <c r="S130">
        <f ca="1"/>
        <v>1</v>
      </c>
      <c r="T130">
        <f ca="1"/>
        <v>4.460000000000008</v>
      </c>
      <c r="U130">
        <f ca="1"/>
        <v>0</v>
      </c>
      <c r="V130">
        <f ca="1"/>
        <v>0</v>
      </c>
      <c r="X130" s="2">
        <f t="shared" ca="1" si="8"/>
        <v>45540</v>
      </c>
      <c r="Y130">
        <f t="shared" ca="1" si="9"/>
        <v>0</v>
      </c>
      <c r="AA130" s="63">
        <f t="shared" ca="1" si="11"/>
        <v>-4.3640195169758869</v>
      </c>
      <c r="AB130" s="63">
        <f t="shared" ca="1" si="12"/>
        <v>-4.3640195169758869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45541</v>
      </c>
      <c r="K131">
        <f ca="1"/>
        <v>-4.0208599792103596</v>
      </c>
      <c r="L131">
        <f ca="1"/>
        <v>0.19086761486403248</v>
      </c>
      <c r="M131">
        <f ca="1"/>
        <v>1.1210612346625126E-2</v>
      </c>
      <c r="N131">
        <f ca="1"/>
        <v>0.72092476337492706</v>
      </c>
      <c r="O131">
        <f ca="1"/>
        <v>0</v>
      </c>
      <c r="P131">
        <f ca="1"/>
        <v>334.28016161803799</v>
      </c>
      <c r="Q131">
        <f ca="1"/>
        <v>301.17951449372731</v>
      </c>
      <c r="R131">
        <f ca="1"/>
        <v>0</v>
      </c>
      <c r="S131">
        <f ca="1"/>
        <v>0.9910144927536233</v>
      </c>
      <c r="T131">
        <f ca="1"/>
        <v>0</v>
      </c>
      <c r="U131">
        <f ca="1"/>
        <v>0</v>
      </c>
      <c r="V131">
        <f ca="1"/>
        <v>0</v>
      </c>
      <c r="X131" s="2">
        <f t="shared" ca="1" si="8"/>
        <v>45541</v>
      </c>
      <c r="Y131">
        <f t="shared" ca="1" si="9"/>
        <v>0</v>
      </c>
      <c r="AA131" s="63">
        <f t="shared" ca="1" si="11"/>
        <v>-3.8299923643463272</v>
      </c>
      <c r="AB131" s="63">
        <f t="shared" ca="1" si="12"/>
        <v>-3.8299923643463272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45542</v>
      </c>
      <c r="K132">
        <f ca="1"/>
        <v>-3.4656184946339654</v>
      </c>
      <c r="L132">
        <f ca="1"/>
        <v>0.16380123919799416</v>
      </c>
      <c r="M132">
        <f ca="1"/>
        <v>1.1147837102660318E-2</v>
      </c>
      <c r="N132">
        <f ca="1"/>
        <v>0.70789488667172806</v>
      </c>
      <c r="O132">
        <f ca="1"/>
        <v>0</v>
      </c>
      <c r="P132">
        <f ca="1"/>
        <v>334.44396285723599</v>
      </c>
      <c r="Q132">
        <f ca="1"/>
        <v>301.32709602371204</v>
      </c>
      <c r="R132">
        <f ca="1"/>
        <v>0</v>
      </c>
      <c r="S132">
        <f ca="1"/>
        <v>0.97676656164671294</v>
      </c>
      <c r="T132">
        <f ca="1"/>
        <v>0</v>
      </c>
      <c r="U132">
        <f ca="1"/>
        <v>0</v>
      </c>
      <c r="V132">
        <f ca="1"/>
        <v>0</v>
      </c>
      <c r="X132" s="2">
        <f t="shared" ca="1" si="8"/>
        <v>45542</v>
      </c>
      <c r="Y132">
        <f t="shared" ca="1" si="9"/>
        <v>0</v>
      </c>
      <c r="AA132" s="63">
        <f t="shared" ca="1" si="11"/>
        <v>-3.3018172554359713</v>
      </c>
      <c r="AB132" s="63">
        <f t="shared" ca="1" si="12"/>
        <v>-3.3018172554359713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45543</v>
      </c>
      <c r="K133">
        <f ca="1"/>
        <v>-2.9329587842573797</v>
      </c>
      <c r="L133">
        <f ca="1"/>
        <v>0.12153576857741655</v>
      </c>
      <c r="M133">
        <f ca="1"/>
        <v>1.0491969423149783E-2</v>
      </c>
      <c r="N133">
        <f ca="1"/>
        <v>0.64370350953085254</v>
      </c>
      <c r="O133">
        <f ca="1"/>
        <v>0</v>
      </c>
      <c r="P133">
        <f ca="1"/>
        <v>334.5654986258134</v>
      </c>
      <c r="Q133">
        <f ca="1"/>
        <v>301.43659723849134</v>
      </c>
      <c r="R133">
        <f ca="1"/>
        <v>0</v>
      </c>
      <c r="S133">
        <f ca="1"/>
        <v>1</v>
      </c>
      <c r="T133">
        <f ca="1"/>
        <v>0.95987461457677625</v>
      </c>
      <c r="U133">
        <f ca="1"/>
        <v>0</v>
      </c>
      <c r="V133">
        <f ca="1"/>
        <v>0</v>
      </c>
      <c r="X133" s="2">
        <f t="shared" ca="1" si="8"/>
        <v>45543</v>
      </c>
      <c r="Y133">
        <f t="shared" ca="1" si="9"/>
        <v>0</v>
      </c>
      <c r="AA133" s="63">
        <f t="shared" ca="1" si="11"/>
        <v>-2.8114230156799631</v>
      </c>
      <c r="AB133" s="63">
        <f t="shared" ca="1" si="12"/>
        <v>-2.8114230156799631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45544</v>
      </c>
      <c r="K134">
        <f ca="1"/>
        <v>-2.3682257274856378</v>
      </c>
      <c r="L134">
        <f ca="1"/>
        <v>0.12116098683378596</v>
      </c>
      <c r="M134">
        <f ca="1"/>
        <v>1.0910899000694307E-2</v>
      </c>
      <c r="N134">
        <f ca="1"/>
        <v>0.67498314460483333</v>
      </c>
      <c r="O134">
        <f ca="1"/>
        <v>0</v>
      </c>
      <c r="P134">
        <f ca="1"/>
        <v>334.68665961264719</v>
      </c>
      <c r="Q134">
        <f ca="1"/>
        <v>301.54576078266797</v>
      </c>
      <c r="R134">
        <f ca="1"/>
        <v>0</v>
      </c>
      <c r="S134">
        <f ca="1"/>
        <v>1</v>
      </c>
      <c r="T134">
        <f ca="1"/>
        <v>1.769999999999996</v>
      </c>
      <c r="U134">
        <f ca="1"/>
        <v>0</v>
      </c>
      <c r="V134">
        <f ca="1"/>
        <v>0</v>
      </c>
      <c r="X134" s="2">
        <f t="shared" ca="1" si="8"/>
        <v>45544</v>
      </c>
      <c r="Y134">
        <f t="shared" ca="1" si="9"/>
        <v>0</v>
      </c>
      <c r="AA134" s="63">
        <f t="shared" ca="1" si="11"/>
        <v>-2.2470647406518518</v>
      </c>
      <c r="AB134" s="63">
        <f t="shared" ca="1" si="12"/>
        <v>-2.2470647406518518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45545</v>
      </c>
      <c r="K135">
        <f ca="1"/>
        <v>-1.7647369286054602</v>
      </c>
      <c r="L135">
        <f ca="1"/>
        <v>0.11990193568630048</v>
      </c>
      <c r="M135">
        <f ca="1"/>
        <v>1.139738664144474E-2</v>
      </c>
      <c r="N135">
        <f ca="1"/>
        <v>0.71199334792503333</v>
      </c>
      <c r="O135">
        <f ca="1"/>
        <v>0</v>
      </c>
      <c r="P135">
        <f ca="1"/>
        <v>334.80656154833349</v>
      </c>
      <c r="Q135">
        <f ca="1"/>
        <v>301.65378994779127</v>
      </c>
      <c r="R135">
        <f ca="1"/>
        <v>0</v>
      </c>
      <c r="S135">
        <f ca="1"/>
        <v>1</v>
      </c>
      <c r="T135">
        <f ca="1"/>
        <v>4.7600000000000051</v>
      </c>
      <c r="U135">
        <f ca="1"/>
        <v>0</v>
      </c>
      <c r="V135">
        <f ca="1"/>
        <v>0</v>
      </c>
      <c r="X135" s="2">
        <f t="shared" ca="1" si="8"/>
        <v>45545</v>
      </c>
      <c r="Y135">
        <f t="shared" ca="1" si="9"/>
        <v>0</v>
      </c>
      <c r="AA135" s="63">
        <f t="shared" ca="1" si="11"/>
        <v>-1.6448349929191597</v>
      </c>
      <c r="AB135" s="63">
        <f t="shared" ca="1" si="12"/>
        <v>-1.6448349929191597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45546</v>
      </c>
      <c r="K136">
        <f ca="1"/>
        <v>-1.1574279835548826</v>
      </c>
      <c r="L136">
        <f ca="1"/>
        <v>0.10306172617504217</v>
      </c>
      <c r="M136">
        <f ca="1"/>
        <v>1.1304451937290239E-2</v>
      </c>
      <c r="N136">
        <f ca="1"/>
        <v>0.69906621928832946</v>
      </c>
      <c r="O136">
        <f ca="1"/>
        <v>0</v>
      </c>
      <c r="P136">
        <f ca="1"/>
        <v>334.90962327450853</v>
      </c>
      <c r="Q136">
        <f ca="1"/>
        <v>301.74664643231023</v>
      </c>
      <c r="R136">
        <f ca="1"/>
        <v>0</v>
      </c>
      <c r="S136">
        <f ca="1"/>
        <v>1</v>
      </c>
      <c r="T136">
        <f ca="1"/>
        <v>9.9999999999994316E-2</v>
      </c>
      <c r="U136">
        <f ca="1"/>
        <v>0</v>
      </c>
      <c r="V136">
        <f ca="1"/>
        <v>0</v>
      </c>
      <c r="X136" s="2">
        <f t="shared" ca="1" si="8"/>
        <v>45546</v>
      </c>
      <c r="Y136">
        <f t="shared" ca="1" si="9"/>
        <v>0</v>
      </c>
      <c r="AA136" s="63">
        <f t="shared" ca="1" si="11"/>
        <v>-1.0543662573798405</v>
      </c>
      <c r="AB136" s="63">
        <f t="shared" ca="1" si="12"/>
        <v>-1.0543662573798405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45547</v>
      </c>
      <c r="K137">
        <f ca="1"/>
        <v>-0.49706565945872427</v>
      </c>
      <c r="L137">
        <f ca="1"/>
        <v>0.10400192403415076</v>
      </c>
      <c r="M137">
        <f ca="1"/>
        <v>1.1978011536379896E-2</v>
      </c>
      <c r="N137">
        <f ca="1"/>
        <v>0.75238623659392923</v>
      </c>
      <c r="O137">
        <f ca="1"/>
        <v>0</v>
      </c>
      <c r="P137">
        <f ca="1"/>
        <v>335.01362519854268</v>
      </c>
      <c r="Q137">
        <f ca="1"/>
        <v>301.84035001566201</v>
      </c>
      <c r="R137">
        <f ca="1"/>
        <v>0</v>
      </c>
      <c r="S137">
        <f ca="1"/>
        <v>0.99449275362318845</v>
      </c>
      <c r="T137">
        <f ca="1"/>
        <v>0</v>
      </c>
      <c r="U137">
        <f ca="1"/>
        <v>0</v>
      </c>
      <c r="V137">
        <f ca="1"/>
        <v>0</v>
      </c>
      <c r="X137" s="2">
        <f t="shared" ca="1" si="8"/>
        <v>45547</v>
      </c>
      <c r="Y137">
        <f t="shared" ca="1" si="9"/>
        <v>0</v>
      </c>
      <c r="AA137" s="63">
        <f t="shared" ca="1" si="11"/>
        <v>-0.39306373542457351</v>
      </c>
      <c r="AB137" s="63">
        <f t="shared" ca="1" si="12"/>
        <v>-0.39306373542457351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45548</v>
      </c>
      <c r="K138">
        <f ca="1"/>
        <v>0.16886058903653905</v>
      </c>
      <c r="L138">
        <f ca="1"/>
        <v>8.9543051769624071E-2</v>
      </c>
      <c r="M138">
        <f ca="1"/>
        <v>1.1926804049024575E-2</v>
      </c>
      <c r="N138">
        <f ca="1"/>
        <v>0.74391362987167331</v>
      </c>
      <c r="O138">
        <f ca="1"/>
        <v>0</v>
      </c>
      <c r="P138">
        <f ca="1"/>
        <v>335.10316825031231</v>
      </c>
      <c r="Q138">
        <f ca="1"/>
        <v>301.92102645403543</v>
      </c>
      <c r="R138">
        <f ca="1"/>
        <v>3.7113365581048122E-4</v>
      </c>
      <c r="S138">
        <f ca="1"/>
        <v>1</v>
      </c>
      <c r="T138">
        <f ca="1"/>
        <v>0.39908695652174231</v>
      </c>
      <c r="U138">
        <f ca="1"/>
        <v>0</v>
      </c>
      <c r="V138">
        <f ca="1"/>
        <v>0</v>
      </c>
      <c r="X138" s="2">
        <f t="shared" ca="1" si="8"/>
        <v>45548</v>
      </c>
      <c r="Y138">
        <f t="shared" ca="1" si="9"/>
        <v>0</v>
      </c>
      <c r="AA138" s="63">
        <f t="shared" ca="1" si="11"/>
        <v>0.25877477446197361</v>
      </c>
      <c r="AB138" s="63">
        <f t="shared" ca="1" si="12"/>
        <v>0.25877477446197361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45549</v>
      </c>
      <c r="K139">
        <f ca="1"/>
        <v>0.8621553826240318</v>
      </c>
      <c r="L139">
        <f ca="1"/>
        <v>8.1961898322902016E-2</v>
      </c>
      <c r="M139">
        <f ca="1"/>
        <v>1.2194691384002532E-2</v>
      </c>
      <c r="N139">
        <f ca="1"/>
        <v>0.76306200052639228</v>
      </c>
      <c r="O139">
        <f ca="1"/>
        <v>0</v>
      </c>
      <c r="P139">
        <f ca="1"/>
        <v>335.18513014863521</v>
      </c>
      <c r="Q139">
        <f ca="1"/>
        <v>301.99487242989119</v>
      </c>
      <c r="R139">
        <f ca="1"/>
        <v>0</v>
      </c>
      <c r="S139">
        <f ca="1"/>
        <v>0.99275362318840576</v>
      </c>
      <c r="T139">
        <f ca="1"/>
        <v>0</v>
      </c>
      <c r="U139">
        <f ca="1"/>
        <v>0</v>
      </c>
      <c r="V139">
        <f ca="1"/>
        <v>0</v>
      </c>
      <c r="X139" s="2">
        <f t="shared" ref="X139:X202" ca="1" si="15">IFERROR(J139,$X$9)</f>
        <v>45549</v>
      </c>
      <c r="Y139">
        <f t="shared" ref="Y139:Y202" ca="1" si="16">IFERROR(O139,0)</f>
        <v>0</v>
      </c>
      <c r="AA139" s="63">
        <f t="shared" ca="1" si="11"/>
        <v>0.94411728094693381</v>
      </c>
      <c r="AB139" s="63">
        <f t="shared" ca="1" si="12"/>
        <v>0.94411728094693381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45550</v>
      </c>
      <c r="K140">
        <f ca="1"/>
        <v>1.5589671222842578</v>
      </c>
      <c r="L140">
        <f ca="1"/>
        <v>7.0787716150789493E-2</v>
      </c>
      <c r="M140">
        <f ca="1"/>
        <v>1.2163525253972018E-2</v>
      </c>
      <c r="N140">
        <f ca="1"/>
        <v>0.75735649553547946</v>
      </c>
      <c r="O140">
        <f ca="1"/>
        <v>0</v>
      </c>
      <c r="P140">
        <f ca="1"/>
        <v>335.255917864786</v>
      </c>
      <c r="Q140">
        <f ca="1"/>
        <v>302.05865069863199</v>
      </c>
      <c r="R140">
        <f ca="1"/>
        <v>1.9205649784359159E-3</v>
      </c>
      <c r="S140">
        <f ca="1"/>
        <v>1</v>
      </c>
      <c r="T140">
        <f ca="1"/>
        <v>0.22369565217390175</v>
      </c>
      <c r="U140">
        <f ca="1"/>
        <v>0</v>
      </c>
      <c r="V140">
        <f ca="1"/>
        <v>0</v>
      </c>
      <c r="X140" s="2">
        <f t="shared" ca="1" si="15"/>
        <v>45550</v>
      </c>
      <c r="Y140">
        <f t="shared" ca="1" si="16"/>
        <v>0</v>
      </c>
      <c r="AA140" s="63">
        <f t="shared" ca="1" si="11"/>
        <v>1.6316754034134833</v>
      </c>
      <c r="AB140" s="63">
        <f t="shared" ca="1" si="12"/>
        <v>1.6316754034134833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45551</v>
      </c>
      <c r="K141">
        <f ca="1"/>
        <v>2.2938689701196129</v>
      </c>
      <c r="L141">
        <f ca="1"/>
        <v>7.0355768956801512E-2</v>
      </c>
      <c r="M141">
        <f ca="1"/>
        <v>1.299741052478609E-2</v>
      </c>
      <c r="N141">
        <f ca="1"/>
        <v>0.8246004342982739</v>
      </c>
      <c r="O141">
        <f ca="1"/>
        <v>0</v>
      </c>
      <c r="P141">
        <f ca="1"/>
        <v>335.3262736337428</v>
      </c>
      <c r="Q141">
        <f ca="1"/>
        <v>302.12203979188143</v>
      </c>
      <c r="R141">
        <f ca="1"/>
        <v>3.2340228030903605E-2</v>
      </c>
      <c r="S141">
        <f ca="1"/>
        <v>1</v>
      </c>
      <c r="T141">
        <f ca="1"/>
        <v>2.5599999999999881</v>
      </c>
      <c r="U141">
        <f ca="1"/>
        <v>0</v>
      </c>
      <c r="V141">
        <f ca="1"/>
        <v>0</v>
      </c>
      <c r="X141" s="2">
        <f t="shared" ca="1" si="15"/>
        <v>45551</v>
      </c>
      <c r="Y141">
        <f t="shared" ca="1" si="16"/>
        <v>0</v>
      </c>
      <c r="AA141" s="63">
        <f t="shared" ref="AA141:AA204" ca="1" si="18">K140+M141+N141+O141</f>
        <v>2.3965649671073179</v>
      </c>
      <c r="AB141" s="63">
        <f t="shared" ref="AB141:AB204" ca="1" si="19">K141+L141+R141</f>
        <v>2.3965649671073179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45552</v>
      </c>
      <c r="K142">
        <f ca="1"/>
        <v>2.9825686892281578</v>
      </c>
      <c r="L142">
        <f ca="1"/>
        <v>5.3666133886395073E-2</v>
      </c>
      <c r="M142">
        <f ca="1"/>
        <v>1.2270173095933146E-2</v>
      </c>
      <c r="N142">
        <f ca="1"/>
        <v>0.76163310186510647</v>
      </c>
      <c r="O142">
        <f ca="1"/>
        <v>0</v>
      </c>
      <c r="P142">
        <f ca="1"/>
        <v>335.3799397676292</v>
      </c>
      <c r="Q142">
        <f ca="1"/>
        <v>302.17039186898467</v>
      </c>
      <c r="R142">
        <f ca="1"/>
        <v>3.1537421966099502E-2</v>
      </c>
      <c r="S142">
        <f ca="1"/>
        <v>1</v>
      </c>
      <c r="T142">
        <f ca="1"/>
        <v>1.9200000000000017</v>
      </c>
      <c r="U142">
        <f ca="1"/>
        <v>0</v>
      </c>
      <c r="V142">
        <f ca="1"/>
        <v>0</v>
      </c>
      <c r="X142" s="2">
        <f t="shared" ca="1" si="15"/>
        <v>45552</v>
      </c>
      <c r="Y142">
        <f t="shared" ca="1" si="16"/>
        <v>0</v>
      </c>
      <c r="AA142" s="63">
        <f t="shared" ca="1" si="18"/>
        <v>3.0677722450806524</v>
      </c>
      <c r="AB142" s="63">
        <f t="shared" ca="1" si="19"/>
        <v>3.0677722450806524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45553</v>
      </c>
      <c r="K143">
        <f ca="1"/>
        <v>3.5238431272349318</v>
      </c>
      <c r="L143">
        <f ca="1"/>
        <v>4.0992874781238697E-2</v>
      </c>
      <c r="M143">
        <f ca="1"/>
        <v>1.1585063945886098E-2</v>
      </c>
      <c r="N143">
        <f ca="1"/>
        <v>0.70245355372461293</v>
      </c>
      <c r="O143">
        <f ca="1"/>
        <v>0</v>
      </c>
      <c r="P143">
        <f ca="1"/>
        <v>335.42093264241043</v>
      </c>
      <c r="Q143">
        <f ca="1"/>
        <v>302.20732560164942</v>
      </c>
      <c r="R143">
        <f ca="1"/>
        <v>0.13177130488248665</v>
      </c>
      <c r="S143">
        <f ca="1"/>
        <v>1</v>
      </c>
      <c r="T143">
        <f ca="1"/>
        <v>6.7900000000000063</v>
      </c>
      <c r="U143">
        <f ca="1"/>
        <v>0</v>
      </c>
      <c r="V143">
        <f ca="1"/>
        <v>0</v>
      </c>
      <c r="X143" s="2">
        <f t="shared" ca="1" si="15"/>
        <v>45553</v>
      </c>
      <c r="Y143">
        <f t="shared" ca="1" si="16"/>
        <v>0</v>
      </c>
      <c r="AA143" s="63">
        <f t="shared" ca="1" si="18"/>
        <v>3.6966073068986569</v>
      </c>
      <c r="AB143" s="63">
        <f t="shared" ca="1" si="19"/>
        <v>3.6966073068986569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45554</v>
      </c>
      <c r="K144">
        <f ca="1"/>
        <v>4.1543048760025636</v>
      </c>
      <c r="L144">
        <f ca="1"/>
        <v>3.5795444681866684E-2</v>
      </c>
      <c r="M144">
        <f ca="1"/>
        <v>1.1508736362541683E-2</v>
      </c>
      <c r="N144">
        <f ca="1"/>
        <v>0.69501511072565969</v>
      </c>
      <c r="O144">
        <f ca="1"/>
        <v>0</v>
      </c>
      <c r="P144">
        <f ca="1"/>
        <v>335.4567280870923</v>
      </c>
      <c r="Q144">
        <f ca="1"/>
        <v>302.23957655724962</v>
      </c>
      <c r="R144">
        <f ca="1"/>
        <v>4.0266653638702903E-2</v>
      </c>
      <c r="S144">
        <f ca="1"/>
        <v>1</v>
      </c>
      <c r="T144">
        <f ca="1"/>
        <v>1.7599999999999909</v>
      </c>
      <c r="U144">
        <f ca="1"/>
        <v>0</v>
      </c>
      <c r="V144">
        <f ca="1"/>
        <v>0</v>
      </c>
      <c r="X144" s="2">
        <f t="shared" ca="1" si="15"/>
        <v>45554</v>
      </c>
      <c r="Y144">
        <f t="shared" ca="1" si="16"/>
        <v>0</v>
      </c>
      <c r="AA144" s="63">
        <f t="shared" ca="1" si="18"/>
        <v>4.2303669743231334</v>
      </c>
      <c r="AB144" s="63">
        <f t="shared" ca="1" si="19"/>
        <v>4.2303669743231334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45555</v>
      </c>
      <c r="K145">
        <f ca="1"/>
        <v>4.7957280184307782</v>
      </c>
      <c r="L145">
        <f ca="1"/>
        <v>2.8894765152926993E-2</v>
      </c>
      <c r="M145">
        <f ca="1"/>
        <v>1.1092916274149545E-2</v>
      </c>
      <c r="N145">
        <f ca="1"/>
        <v>0.65922499130699241</v>
      </c>
      <c r="O145">
        <f ca="1"/>
        <v>0</v>
      </c>
      <c r="P145">
        <f ca="1"/>
        <v>335.48562285224523</v>
      </c>
      <c r="Q145">
        <f ca="1"/>
        <v>302.26561014326342</v>
      </c>
      <c r="R145">
        <f ca="1"/>
        <v>0</v>
      </c>
      <c r="S145">
        <f ca="1"/>
        <v>0.99507246376811587</v>
      </c>
      <c r="T145">
        <f ca="1"/>
        <v>0</v>
      </c>
      <c r="U145">
        <f ca="1"/>
        <v>0</v>
      </c>
      <c r="V145">
        <f ca="1"/>
        <v>0</v>
      </c>
      <c r="X145" s="2">
        <f t="shared" ca="1" si="15"/>
        <v>45555</v>
      </c>
      <c r="Y145">
        <f t="shared" ca="1" si="16"/>
        <v>0</v>
      </c>
      <c r="AA145" s="63">
        <f t="shared" ca="1" si="18"/>
        <v>4.8246227835837052</v>
      </c>
      <c r="AB145" s="63">
        <f t="shared" ca="1" si="19"/>
        <v>4.8246227835837052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45556</v>
      </c>
      <c r="K146">
        <f ca="1"/>
        <v>5.4204893776608243</v>
      </c>
      <c r="L146">
        <f ca="1"/>
        <v>2.7649389633381816E-2</v>
      </c>
      <c r="M146">
        <f ca="1"/>
        <v>1.1337071965384915E-2</v>
      </c>
      <c r="N146">
        <f ca="1"/>
        <v>0.67962399241853055</v>
      </c>
      <c r="O146">
        <f ca="1"/>
        <v>0</v>
      </c>
      <c r="P146">
        <f ca="1"/>
        <v>335.51327224187861</v>
      </c>
      <c r="Q146">
        <f ca="1"/>
        <v>302.29052167168169</v>
      </c>
      <c r="R146">
        <f ca="1"/>
        <v>3.8550315520488071E-2</v>
      </c>
      <c r="S146">
        <f ca="1"/>
        <v>1</v>
      </c>
      <c r="T146">
        <f ca="1"/>
        <v>1.2913826086956561</v>
      </c>
      <c r="U146">
        <f ca="1"/>
        <v>0</v>
      </c>
      <c r="V146">
        <f ca="1"/>
        <v>0</v>
      </c>
      <c r="X146" s="2">
        <f t="shared" ca="1" si="15"/>
        <v>45556</v>
      </c>
      <c r="Y146">
        <f t="shared" ca="1" si="16"/>
        <v>0</v>
      </c>
      <c r="AA146" s="63">
        <f t="shared" ca="1" si="18"/>
        <v>5.4866890828146939</v>
      </c>
      <c r="AB146" s="63">
        <f t="shared" ca="1" si="19"/>
        <v>5.4866890828146939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45557</v>
      </c>
      <c r="K147">
        <f ca="1"/>
        <v>6.1381870965907313</v>
      </c>
      <c r="L147">
        <f ca="1"/>
        <v>2.8390343884325375E-2</v>
      </c>
      <c r="M147">
        <f ca="1"/>
        <v>1.1982887996135005E-2</v>
      </c>
      <c r="N147">
        <f ca="1"/>
        <v>0.73410517481809712</v>
      </c>
      <c r="O147">
        <f ca="1"/>
        <v>0</v>
      </c>
      <c r="P147">
        <f ca="1"/>
        <v>335.54166258576294</v>
      </c>
      <c r="Q147">
        <f ca="1"/>
        <v>302.31610078456117</v>
      </c>
      <c r="R147">
        <f ca="1"/>
        <v>0</v>
      </c>
      <c r="S147">
        <f ca="1"/>
        <v>0.99507246376811609</v>
      </c>
      <c r="T147">
        <f ca="1"/>
        <v>0</v>
      </c>
      <c r="U147">
        <f ca="1"/>
        <v>0</v>
      </c>
      <c r="V147">
        <f ca="1"/>
        <v>0</v>
      </c>
      <c r="X147" s="2">
        <f t="shared" ca="1" si="15"/>
        <v>45557</v>
      </c>
      <c r="Y147">
        <f t="shared" ca="1" si="16"/>
        <v>0</v>
      </c>
      <c r="AA147" s="63">
        <f t="shared" ca="1" si="18"/>
        <v>6.1665774404750566</v>
      </c>
      <c r="AB147" s="63">
        <f t="shared" ca="1" si="19"/>
        <v>6.1665774404750566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45558</v>
      </c>
      <c r="K148">
        <f ca="1"/>
        <v>6.7753704086959914</v>
      </c>
      <c r="L148">
        <f ca="1"/>
        <v>2.7718202884159382E-2</v>
      </c>
      <c r="M148">
        <f ca="1"/>
        <v>1.2564687935242347E-2</v>
      </c>
      <c r="N148">
        <f ca="1"/>
        <v>0.78324343852350387</v>
      </c>
      <c r="O148">
        <f ca="1"/>
        <v>0</v>
      </c>
      <c r="P148">
        <f ca="1"/>
        <v>335.56938078864709</v>
      </c>
      <c r="Q148">
        <f ca="1"/>
        <v>302.34107431229575</v>
      </c>
      <c r="R148">
        <f ca="1"/>
        <v>0.13090661146932631</v>
      </c>
      <c r="S148">
        <f ca="1"/>
        <v>1</v>
      </c>
      <c r="T148">
        <f ca="1"/>
        <v>3.5082782608695737</v>
      </c>
      <c r="U148">
        <f ca="1"/>
        <v>0</v>
      </c>
      <c r="V148">
        <f ca="1"/>
        <v>0</v>
      </c>
      <c r="X148" s="2">
        <f t="shared" ca="1" si="15"/>
        <v>45558</v>
      </c>
      <c r="Y148">
        <f t="shared" ca="1" si="16"/>
        <v>0</v>
      </c>
      <c r="AA148" s="63">
        <f t="shared" ca="1" si="18"/>
        <v>6.933995223049477</v>
      </c>
      <c r="AB148" s="63">
        <f t="shared" ca="1" si="19"/>
        <v>6.933995223049477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45559</v>
      </c>
      <c r="K149">
        <f ca="1"/>
        <v>7.5798335540466768</v>
      </c>
      <c r="L149">
        <f ca="1"/>
        <v>2.561582328979739E-2</v>
      </c>
      <c r="M149">
        <f ca="1"/>
        <v>1.2961230579324301E-2</v>
      </c>
      <c r="N149">
        <f ca="1"/>
        <v>0.81711773806115839</v>
      </c>
      <c r="O149">
        <f ca="1"/>
        <v>0</v>
      </c>
      <c r="P149">
        <f ca="1"/>
        <v>335.59499661193689</v>
      </c>
      <c r="Q149">
        <f ca="1"/>
        <v>302.36415363948174</v>
      </c>
      <c r="R149">
        <f ca="1"/>
        <v>0</v>
      </c>
      <c r="S149">
        <f ca="1"/>
        <v>0.99130434782608678</v>
      </c>
      <c r="T149">
        <f ca="1"/>
        <v>0</v>
      </c>
      <c r="U149">
        <f ca="1"/>
        <v>0</v>
      </c>
      <c r="V149">
        <f ca="1"/>
        <v>0</v>
      </c>
      <c r="X149" s="2">
        <f t="shared" ca="1" si="15"/>
        <v>45559</v>
      </c>
      <c r="Y149">
        <f t="shared" ca="1" si="16"/>
        <v>0</v>
      </c>
      <c r="AA149" s="63">
        <f t="shared" ca="1" si="18"/>
        <v>7.6054493773364742</v>
      </c>
      <c r="AB149" s="63">
        <f t="shared" ca="1" si="19"/>
        <v>7.6054493773364742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45560</v>
      </c>
      <c r="K150">
        <f ca="1"/>
        <v>8.3577421079085461</v>
      </c>
      <c r="L150">
        <f ca="1"/>
        <v>2.0819389389316711E-2</v>
      </c>
      <c r="M150">
        <f ca="1"/>
        <v>1.2574451740731796E-2</v>
      </c>
      <c r="N150">
        <f ca="1"/>
        <v>0.78615349151045522</v>
      </c>
      <c r="O150">
        <f ca="1"/>
        <v>0</v>
      </c>
      <c r="P150">
        <f ca="1"/>
        <v>335.61581600132621</v>
      </c>
      <c r="Q150">
        <f ca="1"/>
        <v>302.38291147888805</v>
      </c>
      <c r="R150">
        <f ca="1"/>
        <v>0</v>
      </c>
      <c r="S150">
        <f ca="1"/>
        <v>0.97477504725897912</v>
      </c>
      <c r="T150">
        <f ca="1"/>
        <v>0</v>
      </c>
      <c r="U150">
        <f ca="1"/>
        <v>0</v>
      </c>
      <c r="V150">
        <f ca="1"/>
        <v>0</v>
      </c>
      <c r="X150" s="2">
        <f t="shared" ca="1" si="15"/>
        <v>45560</v>
      </c>
      <c r="Y150">
        <f t="shared" ca="1" si="16"/>
        <v>0</v>
      </c>
      <c r="AA150" s="63">
        <f t="shared" ca="1" si="18"/>
        <v>8.3785614972978646</v>
      </c>
      <c r="AB150" s="63">
        <f t="shared" ca="1" si="19"/>
        <v>8.3785614972978628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1</v>
      </c>
      <c r="J151" s="2">
        <f ca="1"/>
        <v>45561</v>
      </c>
      <c r="K151">
        <f ca="1"/>
        <v>9.1590760031474616</v>
      </c>
      <c r="L151">
        <f ca="1"/>
        <v>1.8966607369350186E-2</v>
      </c>
      <c r="M151">
        <f ca="1"/>
        <v>1.2872365889797344E-2</v>
      </c>
      <c r="N151">
        <f ca="1"/>
        <v>0.80742813671846669</v>
      </c>
      <c r="O151">
        <f ca="1"/>
        <v>0</v>
      </c>
      <c r="P151">
        <f ca="1"/>
        <v>335.63478260869556</v>
      </c>
      <c r="Q151">
        <f ca="1"/>
        <v>302.39999999999992</v>
      </c>
      <c r="R151">
        <f ca="1"/>
        <v>0</v>
      </c>
      <c r="S151">
        <f ca="1"/>
        <v>0.95538086079833406</v>
      </c>
      <c r="T151">
        <f ca="1"/>
        <v>0</v>
      </c>
      <c r="U151">
        <f ca="1"/>
        <v>0</v>
      </c>
      <c r="V151">
        <f ca="1"/>
        <v>0</v>
      </c>
      <c r="X151" s="2">
        <f t="shared" ca="1" si="15"/>
        <v>45561</v>
      </c>
      <c r="Y151">
        <f t="shared" ca="1" si="16"/>
        <v>0</v>
      </c>
      <c r="AA151" s="63">
        <f t="shared" ca="1" si="18"/>
        <v>9.1780426105168118</v>
      </c>
      <c r="AB151" s="63">
        <f t="shared" ca="1" si="19"/>
        <v>9.1780426105168118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45562</v>
      </c>
      <c r="K152">
        <f ca="1"/>
        <v>9.2490942595323435</v>
      </c>
      <c r="L152">
        <f ca="1"/>
        <v>0</v>
      </c>
      <c r="M152">
        <f ca="1"/>
        <v>-0.74176759542902371</v>
      </c>
      <c r="N152">
        <f ca="1"/>
        <v>0.83363579149412448</v>
      </c>
      <c r="O152">
        <f ca="1"/>
        <v>0</v>
      </c>
      <c r="P152">
        <f ca="1"/>
        <v>0</v>
      </c>
      <c r="Q152">
        <f ca="1"/>
        <v>0</v>
      </c>
      <c r="R152">
        <f ca="1"/>
        <v>1.8499396802172442E-3</v>
      </c>
      <c r="S152">
        <f ca="1"/>
        <v>1</v>
      </c>
      <c r="T152">
        <f ca="1"/>
        <v>3.6318161584603104E-2</v>
      </c>
      <c r="U152">
        <f ca="1"/>
        <v>0</v>
      </c>
      <c r="V152">
        <f ca="1"/>
        <v>0</v>
      </c>
      <c r="X152" s="2">
        <f t="shared" ca="1" si="15"/>
        <v>45562</v>
      </c>
      <c r="Y152">
        <f t="shared" ca="1" si="16"/>
        <v>0</v>
      </c>
      <c r="AA152" s="63">
        <f t="shared" ca="1" si="18"/>
        <v>9.2509441992125616</v>
      </c>
      <c r="AB152" s="63">
        <f t="shared" ca="1" si="19"/>
        <v>9.2509441992125616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45563</v>
      </c>
      <c r="K153">
        <f ca="1"/>
        <v>9.3835028048390665</v>
      </c>
      <c r="L153">
        <f ca="1"/>
        <v>0</v>
      </c>
      <c r="M153">
        <f ca="1"/>
        <v>-0.72362147691639223</v>
      </c>
      <c r="N153">
        <f ca="1"/>
        <v>0.85803002222311442</v>
      </c>
      <c r="O153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0.9976811594202899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45563</v>
      </c>
      <c r="Y153">
        <f t="shared" ca="1" si="16"/>
        <v>0</v>
      </c>
      <c r="AA153" s="63">
        <f t="shared" ca="1" si="18"/>
        <v>9.3835028048390665</v>
      </c>
      <c r="AB153" s="63">
        <f t="shared" ca="1" si="19"/>
        <v>9.3835028048390665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45564</v>
      </c>
      <c r="K154">
        <f ca="1"/>
        <v>9.3918251821351557</v>
      </c>
      <c r="L154">
        <f ca="1"/>
        <v>0</v>
      </c>
      <c r="M154">
        <f ca="1"/>
        <v>-0.68376444451011054</v>
      </c>
      <c r="N154">
        <f ca="1"/>
        <v>0.84806718552572091</v>
      </c>
      <c r="O154">
        <f ca="1"/>
        <v>0</v>
      </c>
      <c r="P154">
        <f ca="1"/>
        <v>0</v>
      </c>
      <c r="Q154">
        <f ca="1"/>
        <v>0</v>
      </c>
      <c r="R154">
        <f ca="1"/>
        <v>0.15598036371952106</v>
      </c>
      <c r="S154">
        <f ca="1"/>
        <v>1</v>
      </c>
      <c r="T154">
        <f ca="1"/>
        <v>3.0156811594202964</v>
      </c>
      <c r="U154">
        <f ca="1"/>
        <v>0</v>
      </c>
      <c r="V154">
        <f ca="1"/>
        <v>0</v>
      </c>
      <c r="X154" s="2">
        <f t="shared" ca="1" si="15"/>
        <v>45564</v>
      </c>
      <c r="Y154">
        <f t="shared" ca="1" si="16"/>
        <v>0</v>
      </c>
      <c r="AA154" s="63">
        <f t="shared" ca="1" si="18"/>
        <v>9.5478055458546773</v>
      </c>
      <c r="AB154" s="63">
        <f t="shared" ca="1" si="19"/>
        <v>9.5478055458546773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45565</v>
      </c>
      <c r="K155">
        <f ca="1"/>
        <v>9.5605257532180836</v>
      </c>
      <c r="L155">
        <f ca="1"/>
        <v>0</v>
      </c>
      <c r="M155">
        <f ca="1"/>
        <v>-0.6145428674405764</v>
      </c>
      <c r="N155">
        <f ca="1"/>
        <v>0.78324343852350387</v>
      </c>
      <c r="O155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0.99826086956521731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45565</v>
      </c>
      <c r="Y155">
        <f t="shared" ca="1" si="16"/>
        <v>0</v>
      </c>
      <c r="AA155" s="63">
        <f t="shared" ca="1" si="18"/>
        <v>9.5605257532180836</v>
      </c>
      <c r="AB155" s="63">
        <f t="shared" ca="1" si="19"/>
        <v>9.5605257532180836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45566</v>
      </c>
      <c r="K156">
        <f ca="1"/>
        <v>9.7664260188566061</v>
      </c>
      <c r="L156">
        <f ca="1"/>
        <v>0</v>
      </c>
      <c r="M156">
        <f ca="1"/>
        <v>-0.6021696007451709</v>
      </c>
      <c r="N156">
        <f ca="1"/>
        <v>0.81041961802088636</v>
      </c>
      <c r="O156">
        <f ca="1"/>
        <v>0</v>
      </c>
      <c r="P156">
        <f ca="1"/>
        <v>0</v>
      </c>
      <c r="Q156">
        <f ca="1"/>
        <v>0</v>
      </c>
      <c r="R156">
        <f ca="1"/>
        <v>2.3497516371921339E-3</v>
      </c>
      <c r="S156">
        <f ca="1"/>
        <v>1</v>
      </c>
      <c r="T156">
        <f ca="1"/>
        <v>4.3686956521739262E-2</v>
      </c>
      <c r="U156">
        <f ca="1"/>
        <v>0</v>
      </c>
      <c r="V156">
        <f ca="1"/>
        <v>0</v>
      </c>
      <c r="X156" s="2">
        <f t="shared" ca="1" si="15"/>
        <v>45566</v>
      </c>
      <c r="Y156">
        <f t="shared" ca="1" si="16"/>
        <v>0</v>
      </c>
      <c r="AA156" s="63">
        <f t="shared" ca="1" si="18"/>
        <v>9.7687757704937983</v>
      </c>
      <c r="AB156" s="63">
        <f t="shared" ca="1" si="19"/>
        <v>9.7687757704937983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45567</v>
      </c>
      <c r="K157">
        <f ca="1"/>
        <v>9.9456941433792885</v>
      </c>
      <c r="L157">
        <f ca="1"/>
        <v>0</v>
      </c>
      <c r="M157">
        <f ca="1"/>
        <v>-0.61141869363641277</v>
      </c>
      <c r="N157">
        <f ca="1"/>
        <v>0.88051517453813799</v>
      </c>
      <c r="O157">
        <f ca="1"/>
        <v>0</v>
      </c>
      <c r="P157">
        <f ca="1"/>
        <v>0</v>
      </c>
      <c r="Q157">
        <f ca="1"/>
        <v>0</v>
      </c>
      <c r="R157">
        <f ca="1"/>
        <v>8.9828356379043101E-2</v>
      </c>
      <c r="S157">
        <f ca="1"/>
        <v>1</v>
      </c>
      <c r="T157">
        <f ca="1"/>
        <v>1.6400000000000006</v>
      </c>
      <c r="U157">
        <f ca="1"/>
        <v>0</v>
      </c>
      <c r="V157">
        <f ca="1"/>
        <v>0</v>
      </c>
      <c r="X157" s="2">
        <f t="shared" ca="1" si="15"/>
        <v>45567</v>
      </c>
      <c r="Y157">
        <f t="shared" ca="1" si="16"/>
        <v>0</v>
      </c>
      <c r="AA157" s="63">
        <f t="shared" ca="1" si="18"/>
        <v>10.035522499758331</v>
      </c>
      <c r="AB157" s="63">
        <f t="shared" ca="1" si="19"/>
        <v>10.035522499758331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45568</v>
      </c>
      <c r="K158">
        <f ca="1"/>
        <v>10.207295197100471</v>
      </c>
      <c r="L158">
        <f ca="1"/>
        <v>0</v>
      </c>
      <c r="M158">
        <f ca="1"/>
        <v>-0.54363267003330229</v>
      </c>
      <c r="N158">
        <f ca="1"/>
        <v>0.8052337237544851</v>
      </c>
      <c r="O158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0.98405797101449266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45568</v>
      </c>
      <c r="Y158">
        <f t="shared" ca="1" si="16"/>
        <v>0</v>
      </c>
      <c r="AA158" s="63">
        <f t="shared" ca="1" si="18"/>
        <v>10.207295197100471</v>
      </c>
      <c r="AB158" s="63">
        <f t="shared" ca="1" si="19"/>
        <v>10.207295197100471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45569</v>
      </c>
      <c r="K159">
        <f ca="1"/>
        <v>10.492251716506027</v>
      </c>
      <c r="L159">
        <f ca="1"/>
        <v>0</v>
      </c>
      <c r="M159">
        <f ca="1"/>
        <v>-0.5165857088768977</v>
      </c>
      <c r="N159">
        <f ca="1"/>
        <v>0.80154222828245403</v>
      </c>
      <c r="O159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0.98253959252257905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45569</v>
      </c>
      <c r="Y159">
        <f t="shared" ca="1" si="16"/>
        <v>0</v>
      </c>
      <c r="AA159" s="63">
        <f t="shared" ca="1" si="18"/>
        <v>10.492251716506027</v>
      </c>
      <c r="AB159" s="63">
        <f t="shared" ca="1" si="19"/>
        <v>10.492251716506027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45570</v>
      </c>
      <c r="K160">
        <f ca="1"/>
        <v>10.798567581780803</v>
      </c>
      <c r="L160">
        <f ca="1"/>
        <v>0</v>
      </c>
      <c r="M160">
        <f ca="1"/>
        <v>-0.49007605588050751</v>
      </c>
      <c r="N160">
        <f ca="1"/>
        <v>0.79639192115528268</v>
      </c>
      <c r="O160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0.9673801755203052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45570</v>
      </c>
      <c r="Y160">
        <f t="shared" ca="1" si="16"/>
        <v>0</v>
      </c>
      <c r="AA160" s="63">
        <f t="shared" ca="1" si="18"/>
        <v>10.798567581780803</v>
      </c>
      <c r="AB160" s="63">
        <f t="shared" ca="1" si="19"/>
        <v>10.798567581780803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45571</v>
      </c>
      <c r="K161">
        <f ca="1"/>
        <v>11.134141101315327</v>
      </c>
      <c r="L161">
        <f ca="1"/>
        <v>0</v>
      </c>
      <c r="M161">
        <f ca="1"/>
        <v>-0.47659113688029642</v>
      </c>
      <c r="N161">
        <f ca="1"/>
        <v>0.81216465641481972</v>
      </c>
      <c r="O161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0.95420949962109414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45571</v>
      </c>
      <c r="Y161">
        <f t="shared" ca="1" si="16"/>
        <v>0</v>
      </c>
      <c r="AA161" s="63">
        <f t="shared" ca="1" si="18"/>
        <v>11.134141101315327</v>
      </c>
      <c r="AB161" s="63">
        <f t="shared" ca="1" si="19"/>
        <v>11.134141101315327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45572</v>
      </c>
      <c r="K162">
        <f ca="1"/>
        <v>11.487903499772329</v>
      </c>
      <c r="L162">
        <f ca="1"/>
        <v>0</v>
      </c>
      <c r="M162">
        <f ca="1"/>
        <v>-0.44557001526034057</v>
      </c>
      <c r="N162">
        <f ca="1"/>
        <v>0.79933241371734298</v>
      </c>
      <c r="O162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0.98588634231373051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45572</v>
      </c>
      <c r="Y162">
        <f t="shared" ca="1" si="16"/>
        <v>0</v>
      </c>
      <c r="AA162" s="63">
        <f t="shared" ca="1" si="18"/>
        <v>11.487903499772329</v>
      </c>
      <c r="AB162" s="63">
        <f t="shared" ca="1" si="19"/>
        <v>11.487903499772329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45573</v>
      </c>
      <c r="K163">
        <f ca="1"/>
        <v>11.847990501225242</v>
      </c>
      <c r="L163">
        <f ca="1"/>
        <v>0</v>
      </c>
      <c r="M163">
        <f ca="1"/>
        <v>-0.41446679235573392</v>
      </c>
      <c r="N163">
        <f ca="1"/>
        <v>0.77455379380864642</v>
      </c>
      <c r="O163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0.9849116131228921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45573</v>
      </c>
      <c r="Y163">
        <f t="shared" ca="1" si="16"/>
        <v>0</v>
      </c>
      <c r="AA163" s="63">
        <f t="shared" ca="1" si="18"/>
        <v>11.847990501225242</v>
      </c>
      <c r="AB163" s="63">
        <f t="shared" ca="1" si="19"/>
        <v>11.847990501225242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45574</v>
      </c>
      <c r="K164">
        <f ca="1"/>
        <v>12.21830522027275</v>
      </c>
      <c r="L164">
        <f ca="1"/>
        <v>0</v>
      </c>
      <c r="M164">
        <f ca="1"/>
        <v>-0.38917818827599682</v>
      </c>
      <c r="N164">
        <f ca="1"/>
        <v>0.7594929073235045</v>
      </c>
      <c r="O164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0.99141562985150322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45574</v>
      </c>
      <c r="Y164">
        <f t="shared" ca="1" si="16"/>
        <v>0</v>
      </c>
      <c r="AA164" s="63">
        <f t="shared" ca="1" si="18"/>
        <v>12.21830522027275</v>
      </c>
      <c r="AB164" s="63">
        <f t="shared" ca="1" si="19"/>
        <v>12.21830522027275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45575</v>
      </c>
      <c r="K165">
        <f ca="1"/>
        <v>12.626513258600326</v>
      </c>
      <c r="L165">
        <f ca="1"/>
        <v>0</v>
      </c>
      <c r="M165">
        <f ca="1"/>
        <v>-0.40067215104527953</v>
      </c>
      <c r="N165">
        <f ca="1"/>
        <v>0.84425453070851975</v>
      </c>
      <c r="O165">
        <f ca="1"/>
        <v>0</v>
      </c>
      <c r="P165">
        <f ca="1"/>
        <v>0</v>
      </c>
      <c r="Q165">
        <f ca="1"/>
        <v>0</v>
      </c>
      <c r="R165">
        <f ca="1"/>
        <v>3.5374341335664798E-2</v>
      </c>
      <c r="S165">
        <f ca="1"/>
        <v>1</v>
      </c>
      <c r="T165">
        <f ca="1"/>
        <v>0.50871016661754709</v>
      </c>
      <c r="U165">
        <f ca="1"/>
        <v>0</v>
      </c>
      <c r="V165">
        <f ca="1"/>
        <v>0</v>
      </c>
      <c r="X165" s="2">
        <f t="shared" ca="1" si="15"/>
        <v>45575</v>
      </c>
      <c r="Y165">
        <f t="shared" ca="1" si="16"/>
        <v>0</v>
      </c>
      <c r="AA165" s="63">
        <f t="shared" ca="1" si="18"/>
        <v>12.661887599935991</v>
      </c>
      <c r="AB165" s="63">
        <f t="shared" ca="1" si="19"/>
        <v>12.661887599935991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45576</v>
      </c>
      <c r="K166">
        <f ca="1"/>
        <v>13.095955060747928</v>
      </c>
      <c r="L166">
        <f ca="1"/>
        <v>0</v>
      </c>
      <c r="M166">
        <f ca="1"/>
        <v>-0.38244870470346548</v>
      </c>
      <c r="N166">
        <f ca="1"/>
        <v>0.85189050685106671</v>
      </c>
      <c r="O166">
        <f ca="1"/>
        <v>0</v>
      </c>
      <c r="P166">
        <f ca="1"/>
        <v>1.5298380824423061</v>
      </c>
      <c r="Q166">
        <f ca="1"/>
        <v>1.4155969269352506</v>
      </c>
      <c r="R166">
        <f ca="1"/>
        <v>0</v>
      </c>
      <c r="S166">
        <f ca="1"/>
        <v>0.98855072463768123</v>
      </c>
      <c r="T166">
        <f ca="1"/>
        <v>0</v>
      </c>
      <c r="U166">
        <f ca="1"/>
        <v>0</v>
      </c>
      <c r="V166">
        <f ca="1"/>
        <v>7.3626618597610795E-3</v>
      </c>
      <c r="X166" s="2">
        <f t="shared" ca="1" si="15"/>
        <v>45576</v>
      </c>
      <c r="Y166">
        <f t="shared" ca="1" si="16"/>
        <v>0</v>
      </c>
      <c r="AA166" s="63">
        <f t="shared" ca="1" si="18"/>
        <v>13.095955060747928</v>
      </c>
      <c r="AB166" s="63">
        <f t="shared" ca="1" si="19"/>
        <v>13.095955060747928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45577</v>
      </c>
      <c r="K167">
        <f ca="1"/>
        <v>13.505584567051155</v>
      </c>
      <c r="L167">
        <f ca="1"/>
        <v>5.7370416883085085E-2</v>
      </c>
      <c r="M167">
        <f ca="1"/>
        <v>-0.35161095551034727</v>
      </c>
      <c r="N167">
        <f ca="1"/>
        <v>0.81861087869665961</v>
      </c>
      <c r="O167">
        <f ca="1"/>
        <v>0</v>
      </c>
      <c r="P167">
        <f ca="1"/>
        <v>1.5872084993253912</v>
      </c>
      <c r="Q167">
        <f ca="1"/>
        <v>1.4686831893108325</v>
      </c>
      <c r="R167">
        <f ca="1"/>
        <v>0</v>
      </c>
      <c r="S167">
        <f ca="1"/>
        <v>0.99959302512735682</v>
      </c>
      <c r="T167">
        <f ca="1"/>
        <v>0</v>
      </c>
      <c r="U167">
        <f ca="1"/>
        <v>0</v>
      </c>
      <c r="V167">
        <f ca="1"/>
        <v>8.0719936085081722E-3</v>
      </c>
      <c r="X167" s="2">
        <f t="shared" ca="1" si="15"/>
        <v>45577</v>
      </c>
      <c r="Y167">
        <f t="shared" ca="1" si="16"/>
        <v>0</v>
      </c>
      <c r="AA167" s="63">
        <f t="shared" ca="1" si="18"/>
        <v>13.56295498393424</v>
      </c>
      <c r="AB167" s="63">
        <f t="shared" ca="1" si="19"/>
        <v>13.56295498393424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45578</v>
      </c>
      <c r="K168">
        <f ca="1"/>
        <v>13.85615865709522</v>
      </c>
      <c r="L168">
        <f ca="1"/>
        <v>6.2655992346524414E-2</v>
      </c>
      <c r="M168">
        <f ca="1"/>
        <v>-0.34776487471359729</v>
      </c>
      <c r="N168">
        <f ca="1"/>
        <v>0.86651651131153773</v>
      </c>
      <c r="O168">
        <f ca="1"/>
        <v>0</v>
      </c>
      <c r="P168">
        <f ca="1"/>
        <v>1.6498644916719156</v>
      </c>
      <c r="Q168">
        <f ca="1"/>
        <v>1.526660325086026</v>
      </c>
      <c r="R168">
        <f ca="1"/>
        <v>0.10552155420735225</v>
      </c>
      <c r="S168">
        <f ca="1"/>
        <v>1</v>
      </c>
      <c r="T168">
        <f ca="1"/>
        <v>1.382814184784138</v>
      </c>
      <c r="U168">
        <f ca="1"/>
        <v>0</v>
      </c>
      <c r="V168">
        <f ca="1"/>
        <v>8.8913791576256743E-3</v>
      </c>
      <c r="X168" s="2">
        <f t="shared" ca="1" si="15"/>
        <v>45578</v>
      </c>
      <c r="Y168">
        <f t="shared" ca="1" si="16"/>
        <v>0</v>
      </c>
      <c r="AA168" s="63">
        <f t="shared" ca="1" si="18"/>
        <v>14.024336203649096</v>
      </c>
      <c r="AB168" s="63">
        <f t="shared" ca="1" si="19"/>
        <v>14.024336203649096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45579</v>
      </c>
      <c r="K169">
        <f ca="1"/>
        <v>14.181268945658511</v>
      </c>
      <c r="L169">
        <f ca="1"/>
        <v>6.469390414491305E-2</v>
      </c>
      <c r="M169">
        <f ca="1"/>
        <v>-0.32683167126075574</v>
      </c>
      <c r="N169">
        <f ca="1"/>
        <v>0.86033938928496634</v>
      </c>
      <c r="O169">
        <f ca="1"/>
        <v>0</v>
      </c>
      <c r="P169">
        <f ca="1"/>
        <v>1.7145583958168287</v>
      </c>
      <c r="Q169">
        <f ca="1"/>
        <v>1.5865231909344033</v>
      </c>
      <c r="R169">
        <f ca="1"/>
        <v>0.14370352531600653</v>
      </c>
      <c r="S169">
        <f ca="1"/>
        <v>1</v>
      </c>
      <c r="T169">
        <f ca="1"/>
        <v>1.8400000000000034</v>
      </c>
      <c r="U169">
        <f ca="1"/>
        <v>0</v>
      </c>
      <c r="V169">
        <f ca="1"/>
        <v>9.7871926221974256E-3</v>
      </c>
      <c r="X169" s="2">
        <f t="shared" ca="1" si="15"/>
        <v>45579</v>
      </c>
      <c r="Y169">
        <f t="shared" ca="1" si="16"/>
        <v>0</v>
      </c>
      <c r="AA169" s="63">
        <f t="shared" ca="1" si="18"/>
        <v>14.389666375119431</v>
      </c>
      <c r="AB169" s="63">
        <f t="shared" ca="1" si="19"/>
        <v>14.389666375119431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45580</v>
      </c>
      <c r="K170">
        <f ca="1"/>
        <v>14.646637064201318</v>
      </c>
      <c r="L170">
        <f ca="1"/>
        <v>6.5158300710726813E-2</v>
      </c>
      <c r="M170">
        <f ca="1"/>
        <v>-0.30084478891598465</v>
      </c>
      <c r="N170">
        <f ca="1"/>
        <v>0.83137120816951871</v>
      </c>
      <c r="O170">
        <f ca="1"/>
        <v>0</v>
      </c>
      <c r="P170">
        <f ca="1"/>
        <v>1.7797166965275555</v>
      </c>
      <c r="Q170">
        <f ca="1"/>
        <v>1.6468157743842642</v>
      </c>
      <c r="R170">
        <f ca="1"/>
        <v>0</v>
      </c>
      <c r="S170">
        <f ca="1"/>
        <v>0.98101449275362318</v>
      </c>
      <c r="T170">
        <f ca="1"/>
        <v>0</v>
      </c>
      <c r="U170">
        <f ca="1"/>
        <v>0</v>
      </c>
      <c r="V170">
        <f ca="1"/>
        <v>1.0741378890819093E-2</v>
      </c>
      <c r="X170" s="2">
        <f t="shared" ca="1" si="15"/>
        <v>45580</v>
      </c>
      <c r="Y170">
        <f t="shared" ca="1" si="16"/>
        <v>0</v>
      </c>
      <c r="AA170" s="63">
        <f t="shared" ca="1" si="18"/>
        <v>14.711795364912044</v>
      </c>
      <c r="AB170" s="63">
        <f t="shared" ca="1" si="19"/>
        <v>14.711795364912046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45581</v>
      </c>
      <c r="K171">
        <f ca="1"/>
        <v>15.161797256407826</v>
      </c>
      <c r="L171">
        <f ca="1"/>
        <v>7.1481070953676618E-2</v>
      </c>
      <c r="M171">
        <f ca="1"/>
        <v>-0.29778706268388611</v>
      </c>
      <c r="N171">
        <f ca="1"/>
        <v>0.88442832584407161</v>
      </c>
      <c r="O171">
        <f ca="1"/>
        <v>0</v>
      </c>
      <c r="P171">
        <f ca="1"/>
        <v>1.8511977674812321</v>
      </c>
      <c r="Q171">
        <f ca="1"/>
        <v>1.7129589731563351</v>
      </c>
      <c r="R171">
        <f ca="1"/>
        <v>0</v>
      </c>
      <c r="S171">
        <f ca="1"/>
        <v>0.98318428186884621</v>
      </c>
      <c r="T171">
        <f ca="1"/>
        <v>0</v>
      </c>
      <c r="U171">
        <f ca="1"/>
        <v>0</v>
      </c>
      <c r="V171">
        <f ca="1"/>
        <v>1.1849063063227677E-2</v>
      </c>
      <c r="X171" s="2">
        <f t="shared" ca="1" si="15"/>
        <v>45581</v>
      </c>
      <c r="Y171">
        <f t="shared" ca="1" si="16"/>
        <v>0</v>
      </c>
      <c r="AA171" s="63">
        <f t="shared" ca="1" si="18"/>
        <v>15.233278327361504</v>
      </c>
      <c r="AB171" s="63">
        <f t="shared" ca="1" si="19"/>
        <v>15.233278327361504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45582</v>
      </c>
      <c r="K172">
        <f ca="1"/>
        <v>15.678256731606046</v>
      </c>
      <c r="L172">
        <f ca="1"/>
        <v>7.2868724250704231E-2</v>
      </c>
      <c r="M172">
        <f ca="1"/>
        <v>-0.27564146553683422</v>
      </c>
      <c r="N172">
        <f ca="1"/>
        <v>0.86496966498575589</v>
      </c>
      <c r="O172">
        <f ca="1"/>
        <v>0</v>
      </c>
      <c r="P172">
        <f ca="1"/>
        <v>1.9240664917319363</v>
      </c>
      <c r="Q172">
        <f ca="1"/>
        <v>1.780386201764941</v>
      </c>
      <c r="R172">
        <f ca="1"/>
        <v>0</v>
      </c>
      <c r="S172">
        <f ca="1"/>
        <v>0.99589457001444093</v>
      </c>
      <c r="T172">
        <f ca="1"/>
        <v>0</v>
      </c>
      <c r="U172">
        <f ca="1"/>
        <v>0</v>
      </c>
      <c r="V172">
        <f ca="1"/>
        <v>1.3044846942835499E-2</v>
      </c>
      <c r="X172" s="2">
        <f t="shared" ca="1" si="15"/>
        <v>45582</v>
      </c>
      <c r="Y172">
        <f t="shared" ca="1" si="16"/>
        <v>0</v>
      </c>
      <c r="AA172" s="63">
        <f t="shared" ca="1" si="18"/>
        <v>15.751125455856748</v>
      </c>
      <c r="AB172" s="63">
        <f t="shared" ca="1" si="19"/>
        <v>15.75112545585675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45583</v>
      </c>
      <c r="K173">
        <f ca="1"/>
        <v>16.176858298910329</v>
      </c>
      <c r="L173">
        <f ca="1"/>
        <v>7.2140226690195819E-2</v>
      </c>
      <c r="M173">
        <f ca="1"/>
        <v>-0.24936392423512643</v>
      </c>
      <c r="N173">
        <f ca="1"/>
        <v>0.82010571822960532</v>
      </c>
      <c r="O173">
        <f ca="1"/>
        <v>0</v>
      </c>
      <c r="P173">
        <f ca="1"/>
        <v>1.9962067184221322</v>
      </c>
      <c r="Q173">
        <f ca="1"/>
        <v>1.8471393336048949</v>
      </c>
      <c r="R173">
        <f ca="1"/>
        <v>0</v>
      </c>
      <c r="S173">
        <f ca="1"/>
        <v>0.96867862436732199</v>
      </c>
      <c r="T173">
        <f ca="1"/>
        <v>0</v>
      </c>
      <c r="U173">
        <f ca="1"/>
        <v>0</v>
      </c>
      <c r="V173">
        <f ca="1"/>
        <v>1.4295880985520293E-2</v>
      </c>
      <c r="X173" s="2">
        <f t="shared" ca="1" si="15"/>
        <v>45583</v>
      </c>
      <c r="Y173">
        <f t="shared" ca="1" si="16"/>
        <v>0</v>
      </c>
      <c r="AA173" s="63">
        <f t="shared" ca="1" si="18"/>
        <v>16.248998525600523</v>
      </c>
      <c r="AB173" s="63">
        <f t="shared" ca="1" si="19"/>
        <v>16.248998525600523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45584</v>
      </c>
      <c r="K174">
        <f ca="1"/>
        <v>16.700516658249377</v>
      </c>
      <c r="L174">
        <f ca="1"/>
        <v>7.8082739573569482E-2</v>
      </c>
      <c r="M174">
        <f ca="1"/>
        <v>-0.24340443773707676</v>
      </c>
      <c r="N174">
        <f ca="1"/>
        <v>0.84514553664969538</v>
      </c>
      <c r="O174">
        <f ca="1"/>
        <v>0</v>
      </c>
      <c r="P174">
        <f ca="1"/>
        <v>2.0742894579957016</v>
      </c>
      <c r="Q174">
        <f ca="1"/>
        <v>1.9193912192492697</v>
      </c>
      <c r="R174">
        <f ca="1"/>
        <v>0</v>
      </c>
      <c r="S174">
        <f ca="1"/>
        <v>0.94699088608242321</v>
      </c>
      <c r="T174">
        <f ca="1"/>
        <v>0</v>
      </c>
      <c r="U174">
        <f ca="1"/>
        <v>0</v>
      </c>
      <c r="V174">
        <f ca="1"/>
        <v>1.5726378758705216E-2</v>
      </c>
      <c r="X174" s="2">
        <f t="shared" ca="1" si="15"/>
        <v>45584</v>
      </c>
      <c r="Y174">
        <f t="shared" ca="1" si="16"/>
        <v>0</v>
      </c>
      <c r="AA174" s="63">
        <f t="shared" ca="1" si="18"/>
        <v>16.778599397822948</v>
      </c>
      <c r="AB174" s="63">
        <f t="shared" ca="1" si="19"/>
        <v>16.778599397822948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45585</v>
      </c>
      <c r="K175">
        <f ca="1"/>
        <v>17.201666121745493</v>
      </c>
      <c r="L175">
        <f ca="1"/>
        <v>7.9932825175119238E-2</v>
      </c>
      <c r="M175">
        <f ca="1"/>
        <v>-0.22590086217049432</v>
      </c>
      <c r="N175">
        <f ca="1"/>
        <v>0.80698315084173056</v>
      </c>
      <c r="O175">
        <f ca="1"/>
        <v>0</v>
      </c>
      <c r="P175">
        <f ca="1"/>
        <v>2.1542222831708209</v>
      </c>
      <c r="Q175">
        <f ca="1"/>
        <v>1.9933550347522206</v>
      </c>
      <c r="R175">
        <f ca="1"/>
        <v>0</v>
      </c>
      <c r="S175">
        <f ca="1"/>
        <v>0.92306760996661685</v>
      </c>
      <c r="T175">
        <f ca="1"/>
        <v>0</v>
      </c>
      <c r="U175">
        <f ca="1"/>
        <v>0</v>
      </c>
      <c r="V175">
        <f ca="1"/>
        <v>1.7274139701258927E-2</v>
      </c>
      <c r="X175" s="2">
        <f t="shared" ca="1" si="15"/>
        <v>45585</v>
      </c>
      <c r="Y175">
        <f t="shared" ca="1" si="16"/>
        <v>0</v>
      </c>
      <c r="AA175" s="63">
        <f t="shared" ca="1" si="18"/>
        <v>17.281598946920614</v>
      </c>
      <c r="AB175" s="63">
        <f t="shared" ca="1" si="19"/>
        <v>17.281598946920614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45586</v>
      </c>
      <c r="K176">
        <f ca="1"/>
        <v>17.761040099302328</v>
      </c>
      <c r="L176">
        <f ca="1"/>
        <v>8.5961691697577169E-2</v>
      </c>
      <c r="M176">
        <f ca="1"/>
        <v>-0.21845128631298039</v>
      </c>
      <c r="N176">
        <f ca="1"/>
        <v>0.86378695556739193</v>
      </c>
      <c r="O176">
        <f ca="1"/>
        <v>0</v>
      </c>
      <c r="P176">
        <f ca="1"/>
        <v>2.240183974868398</v>
      </c>
      <c r="Q176">
        <f ca="1"/>
        <v>2.0728975092126412</v>
      </c>
      <c r="R176">
        <f ca="1"/>
        <v>0</v>
      </c>
      <c r="S176">
        <f ca="1"/>
        <v>0.94589494187622458</v>
      </c>
      <c r="T176">
        <f ca="1"/>
        <v>0</v>
      </c>
      <c r="U176">
        <f ca="1"/>
        <v>0</v>
      </c>
      <c r="V176">
        <f ca="1"/>
        <v>1.9033971621452327E-2</v>
      </c>
      <c r="X176" s="2">
        <f t="shared" ca="1" si="15"/>
        <v>45586</v>
      </c>
      <c r="Y176">
        <f t="shared" ca="1" si="16"/>
        <v>0</v>
      </c>
      <c r="AA176" s="63">
        <f t="shared" ca="1" si="18"/>
        <v>17.847001790999904</v>
      </c>
      <c r="AB176" s="63">
        <f t="shared" ca="1" si="19"/>
        <v>17.847001790999904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45587</v>
      </c>
      <c r="K177">
        <f ca="1"/>
        <v>18.296454173047184</v>
      </c>
      <c r="L177">
        <f ca="1"/>
        <v>8.4428691013669788E-2</v>
      </c>
      <c r="M177">
        <f ca="1"/>
        <v>-0.19502774779669707</v>
      </c>
      <c r="N177">
        <f ca="1"/>
        <v>0.81487051255522258</v>
      </c>
      <c r="O177">
        <f ca="1"/>
        <v>0</v>
      </c>
      <c r="P177">
        <f ca="1"/>
        <v>2.3246126658820678</v>
      </c>
      <c r="Q177">
        <f ca="1"/>
        <v>2.1510214603129523</v>
      </c>
      <c r="R177">
        <f ca="1"/>
        <v>0</v>
      </c>
      <c r="S177">
        <f ca="1"/>
        <v>0.94957749144685111</v>
      </c>
      <c r="T177">
        <f ca="1"/>
        <v>0</v>
      </c>
      <c r="U177">
        <f ca="1"/>
        <v>0</v>
      </c>
      <c r="V177">
        <f ca="1"/>
        <v>2.0859728262507954E-2</v>
      </c>
      <c r="X177" s="2">
        <f t="shared" ca="1" si="15"/>
        <v>45587</v>
      </c>
      <c r="Y177">
        <f t="shared" ca="1" si="16"/>
        <v>0</v>
      </c>
      <c r="AA177" s="63">
        <f t="shared" ca="1" si="18"/>
        <v>18.380882864060855</v>
      </c>
      <c r="AB177" s="63">
        <f t="shared" ca="1" si="19"/>
        <v>18.380882864060855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45588</v>
      </c>
      <c r="K178">
        <f ca="1"/>
        <v>18.81457129580804</v>
      </c>
      <c r="L178">
        <f ca="1"/>
        <v>8.7867134495108523E-2</v>
      </c>
      <c r="M178">
        <f ca="1"/>
        <v>-0.1832844472779378</v>
      </c>
      <c r="N178">
        <f ca="1"/>
        <v>0.78926870453390474</v>
      </c>
      <c r="O178">
        <f ca="1"/>
        <v>0</v>
      </c>
      <c r="P178">
        <f ca="1"/>
        <v>2.4124798003771764</v>
      </c>
      <c r="Q178">
        <f ca="1"/>
        <v>2.2323270880113482</v>
      </c>
      <c r="R178">
        <f ca="1"/>
        <v>0</v>
      </c>
      <c r="S178">
        <f ca="1"/>
        <v>0.92124916619546537</v>
      </c>
      <c r="T178">
        <f ca="1"/>
        <v>0</v>
      </c>
      <c r="U178">
        <f ca="1"/>
        <v>0</v>
      </c>
      <c r="V178">
        <f ca="1"/>
        <v>2.2863360539078888E-2</v>
      </c>
      <c r="X178" s="2">
        <f t="shared" ca="1" si="15"/>
        <v>45588</v>
      </c>
      <c r="Y178">
        <f t="shared" ca="1" si="16"/>
        <v>0</v>
      </c>
      <c r="AA178" s="63">
        <f t="shared" ca="1" si="18"/>
        <v>18.90243843030315</v>
      </c>
      <c r="AB178" s="63">
        <f t="shared" ca="1" si="19"/>
        <v>18.90243843030315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45589</v>
      </c>
      <c r="K179">
        <f ca="1"/>
        <v>19.351078784427809</v>
      </c>
      <c r="L179">
        <f ca="1"/>
        <v>9.561789986710334E-2</v>
      </c>
      <c r="M179">
        <f ca="1"/>
        <v>-0.17839344436574223</v>
      </c>
      <c r="N179">
        <f ca="1"/>
        <v>0.81051883285261606</v>
      </c>
      <c r="O179">
        <f ca="1"/>
        <v>0</v>
      </c>
      <c r="P179">
        <f ca="1"/>
        <v>2.5080977002442797</v>
      </c>
      <c r="Q179">
        <f ca="1"/>
        <v>2.3208046901611032</v>
      </c>
      <c r="R179">
        <f ca="1"/>
        <v>0</v>
      </c>
      <c r="S179">
        <f ca="1"/>
        <v>0.90031787820241216</v>
      </c>
      <c r="T179">
        <f ca="1"/>
        <v>0</v>
      </c>
      <c r="U179">
        <f ca="1"/>
        <v>0</v>
      </c>
      <c r="V179">
        <f ca="1"/>
        <v>2.5164889284332553E-2</v>
      </c>
      <c r="X179" s="2">
        <f t="shared" ca="1" si="15"/>
        <v>45589</v>
      </c>
      <c r="Y179">
        <f t="shared" ca="1" si="16"/>
        <v>0</v>
      </c>
      <c r="AA179" s="63">
        <f t="shared" ca="1" si="18"/>
        <v>19.446696684294913</v>
      </c>
      <c r="AB179" s="63">
        <f t="shared" ca="1" si="19"/>
        <v>19.446696684294913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45590</v>
      </c>
      <c r="K180">
        <f ca="1"/>
        <v>19.960304556100667</v>
      </c>
      <c r="L180">
        <f ca="1"/>
        <v>0.10653891577171271</v>
      </c>
      <c r="M180">
        <f ca="1"/>
        <v>-0.17653852129794956</v>
      </c>
      <c r="N180">
        <f ca="1"/>
        <v>0.89230320874251756</v>
      </c>
      <c r="O180">
        <f ca="1"/>
        <v>0</v>
      </c>
      <c r="P180">
        <f ca="1"/>
        <v>2.6146366160159924</v>
      </c>
      <c r="Q180">
        <f ca="1"/>
        <v>2.4193877778070059</v>
      </c>
      <c r="R180">
        <f ca="1"/>
        <v>0</v>
      </c>
      <c r="S180">
        <f ca="1"/>
        <v>0.9132452385343981</v>
      </c>
      <c r="T180">
        <f ca="1"/>
        <v>0</v>
      </c>
      <c r="U180">
        <f ca="1"/>
        <v>0</v>
      </c>
      <c r="V180">
        <f ca="1"/>
        <v>2.7879383734529601E-2</v>
      </c>
      <c r="X180" s="2">
        <f t="shared" ca="1" si="15"/>
        <v>45590</v>
      </c>
      <c r="Y180">
        <f t="shared" ca="1" si="16"/>
        <v>0</v>
      </c>
      <c r="AA180" s="63">
        <f t="shared" ca="1" si="18"/>
        <v>20.066843471872378</v>
      </c>
      <c r="AB180" s="63">
        <f t="shared" ca="1" si="19"/>
        <v>20.066843471872378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45591</v>
      </c>
      <c r="K181">
        <f ca="1"/>
        <v>20.628034167413436</v>
      </c>
      <c r="L181">
        <f ca="1"/>
        <v>0.11207763806031545</v>
      </c>
      <c r="M181">
        <f ca="1"/>
        <v>-0.16468432743990746</v>
      </c>
      <c r="N181">
        <f ca="1"/>
        <v>0.94449157681299178</v>
      </c>
      <c r="O181">
        <f ca="1"/>
        <v>0</v>
      </c>
      <c r="P181">
        <f ca="1"/>
        <v>2.7267142540763079</v>
      </c>
      <c r="Q181">
        <f ca="1"/>
        <v>2.5230959818563239</v>
      </c>
      <c r="R181">
        <f ca="1"/>
        <v>0</v>
      </c>
      <c r="S181">
        <f ca="1"/>
        <v>0.94956378746334225</v>
      </c>
      <c r="T181">
        <f ca="1"/>
        <v>0</v>
      </c>
      <c r="U181">
        <f ca="1"/>
        <v>0</v>
      </c>
      <c r="V181">
        <f ca="1"/>
        <v>3.0907152589005712E-2</v>
      </c>
      <c r="X181" s="2">
        <f t="shared" ca="1" si="15"/>
        <v>45591</v>
      </c>
      <c r="Y181">
        <f t="shared" ca="1" si="16"/>
        <v>0</v>
      </c>
      <c r="AA181" s="63">
        <f t="shared" ca="1" si="18"/>
        <v>20.740111805473752</v>
      </c>
      <c r="AB181" s="63">
        <f t="shared" ca="1" si="19"/>
        <v>20.740111805473752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45592</v>
      </c>
      <c r="K182">
        <f ca="1"/>
        <v>21.287448335795283</v>
      </c>
      <c r="L182">
        <f ca="1"/>
        <v>0.11278954681571962</v>
      </c>
      <c r="M182">
        <f ca="1"/>
        <v>-0.14712323007988815</v>
      </c>
      <c r="N182">
        <f ca="1"/>
        <v>0.91932694527745284</v>
      </c>
      <c r="O182">
        <f ca="1"/>
        <v>0</v>
      </c>
      <c r="P182">
        <f ca="1"/>
        <v>2.8395038008920275</v>
      </c>
      <c r="Q182">
        <f ca="1"/>
        <v>2.6274629326435965</v>
      </c>
      <c r="R182">
        <f ca="1"/>
        <v>0</v>
      </c>
      <c r="S182">
        <f ca="1"/>
        <v>0.99558819015062017</v>
      </c>
      <c r="T182">
        <f ca="1"/>
        <v>0</v>
      </c>
      <c r="U182">
        <f ca="1"/>
        <v>0</v>
      </c>
      <c r="V182">
        <f ca="1"/>
        <v>3.413355082785028E-2</v>
      </c>
      <c r="X182" s="2">
        <f t="shared" ca="1" si="15"/>
        <v>45592</v>
      </c>
      <c r="Y182">
        <f t="shared" ca="1" si="16"/>
        <v>0</v>
      </c>
      <c r="AA182" s="63">
        <f t="shared" ca="1" si="18"/>
        <v>21.400237882611002</v>
      </c>
      <c r="AB182" s="63">
        <f t="shared" ca="1" si="19"/>
        <v>21.400237882611002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45593</v>
      </c>
      <c r="K183">
        <f ca="1"/>
        <v>21.917590087760225</v>
      </c>
      <c r="L183">
        <f ca="1"/>
        <v>0.12212119649612951</v>
      </c>
      <c r="M183">
        <f ca="1"/>
        <v>-0.1404480555348222</v>
      </c>
      <c r="N183">
        <f ca="1"/>
        <v>0.96247131492161553</v>
      </c>
      <c r="O183">
        <f ca="1"/>
        <v>0</v>
      </c>
      <c r="P183">
        <f ca="1"/>
        <v>2.961624997388157</v>
      </c>
      <c r="Q183">
        <f ca="1"/>
        <v>2.7404646891416391</v>
      </c>
      <c r="R183">
        <f ca="1"/>
        <v>6.9760310925717731E-2</v>
      </c>
      <c r="S183">
        <f ca="1"/>
        <v>1</v>
      </c>
      <c r="T183">
        <f ca="1"/>
        <v>0.57793780133972916</v>
      </c>
      <c r="U183">
        <f ca="1"/>
        <v>0</v>
      </c>
      <c r="V183">
        <f ca="1"/>
        <v>3.7830802590024429E-2</v>
      </c>
      <c r="X183" s="2">
        <f t="shared" ca="1" si="15"/>
        <v>45593</v>
      </c>
      <c r="Y183">
        <f t="shared" ca="1" si="16"/>
        <v>0</v>
      </c>
      <c r="AA183" s="63">
        <f t="shared" ca="1" si="18"/>
        <v>22.109471595182075</v>
      </c>
      <c r="AB183" s="63">
        <f t="shared" ca="1" si="19"/>
        <v>22.109471595182075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45594</v>
      </c>
      <c r="K184">
        <f ca="1"/>
        <v>22.565710852425948</v>
      </c>
      <c r="L184">
        <f ca="1"/>
        <v>0.11883866080051719</v>
      </c>
      <c r="M184">
        <f ca="1"/>
        <v>-0.12108614006805496</v>
      </c>
      <c r="N184">
        <f ca="1"/>
        <v>0.88804556553429637</v>
      </c>
      <c r="O184">
        <f ca="1"/>
        <v>0</v>
      </c>
      <c r="P184">
        <f ca="1"/>
        <v>3.0804636581886742</v>
      </c>
      <c r="Q184">
        <f ca="1"/>
        <v>2.8504290343628966</v>
      </c>
      <c r="R184">
        <f ca="1"/>
        <v>0</v>
      </c>
      <c r="S184">
        <f ca="1"/>
        <v>0.95956521739130451</v>
      </c>
      <c r="T184">
        <f ca="1"/>
        <v>0</v>
      </c>
      <c r="U184">
        <f ca="1"/>
        <v>0</v>
      </c>
      <c r="V184">
        <f ca="1"/>
        <v>4.1632807682356159E-2</v>
      </c>
      <c r="X184" s="2">
        <f t="shared" ca="1" si="15"/>
        <v>45594</v>
      </c>
      <c r="Y184">
        <f t="shared" ca="1" si="16"/>
        <v>0</v>
      </c>
      <c r="AA184" s="63">
        <f t="shared" ca="1" si="18"/>
        <v>22.684549513226465</v>
      </c>
      <c r="AB184" s="63">
        <f t="shared" ca="1" si="19"/>
        <v>22.684549513226465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45595</v>
      </c>
      <c r="K185">
        <f ca="1"/>
        <v>23.194048518432233</v>
      </c>
      <c r="L185">
        <f ca="1"/>
        <v>0.11938953548680553</v>
      </c>
      <c r="M185">
        <f ca="1"/>
        <v>-0.10799729917440359</v>
      </c>
      <c r="N185">
        <f ca="1"/>
        <v>0.85572450066749473</v>
      </c>
      <c r="O185">
        <f ca="1"/>
        <v>0</v>
      </c>
      <c r="P185">
        <f ca="1"/>
        <v>3.1998531936754797</v>
      </c>
      <c r="Q185">
        <f ca="1"/>
        <v>2.9609031175243881</v>
      </c>
      <c r="R185">
        <f ca="1"/>
        <v>0</v>
      </c>
      <c r="S185">
        <f ca="1"/>
        <v>0.96554655254597344</v>
      </c>
      <c r="T185">
        <f ca="1"/>
        <v>0</v>
      </c>
      <c r="U185">
        <f ca="1"/>
        <v>0</v>
      </c>
      <c r="V185">
        <f ca="1"/>
        <v>4.5655342375189631E-2</v>
      </c>
      <c r="X185" s="2">
        <f t="shared" ca="1" si="15"/>
        <v>45595</v>
      </c>
      <c r="Y185">
        <f t="shared" ca="1" si="16"/>
        <v>0</v>
      </c>
      <c r="AA185" s="63">
        <f t="shared" ca="1" si="18"/>
        <v>23.31343805391904</v>
      </c>
      <c r="AB185" s="63">
        <f t="shared" ca="1" si="19"/>
        <v>23.31343805391904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45596</v>
      </c>
      <c r="K186">
        <f ca="1"/>
        <v>23.818416411419456</v>
      </c>
      <c r="L186">
        <f ca="1"/>
        <v>0.12254522910136334</v>
      </c>
      <c r="M186">
        <f ca="1"/>
        <v>-9.8103086551596164E-2</v>
      </c>
      <c r="N186">
        <f ca="1"/>
        <v>0.84501620864018312</v>
      </c>
      <c r="O186">
        <f ca="1"/>
        <v>0</v>
      </c>
      <c r="P186">
        <f ca="1"/>
        <v>3.3223984227768431</v>
      </c>
      <c r="Q186">
        <f ca="1"/>
        <v>3.0742972418551955</v>
      </c>
      <c r="R186">
        <f ca="1"/>
        <v>0</v>
      </c>
      <c r="S186">
        <f ca="1"/>
        <v>0.96093011622993174</v>
      </c>
      <c r="T186">
        <f ca="1"/>
        <v>0</v>
      </c>
      <c r="U186">
        <f ca="1"/>
        <v>0</v>
      </c>
      <c r="V186">
        <f ca="1"/>
        <v>4.9995398737433541E-2</v>
      </c>
      <c r="X186" s="2">
        <f t="shared" ca="1" si="15"/>
        <v>45596</v>
      </c>
      <c r="Y186">
        <f t="shared" ca="1" si="16"/>
        <v>0</v>
      </c>
      <c r="AA186" s="63">
        <f t="shared" ca="1" si="18"/>
        <v>23.940961640520818</v>
      </c>
      <c r="AB186" s="63">
        <f t="shared" ca="1" si="19"/>
        <v>23.940961640520818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45597</v>
      </c>
      <c r="K187">
        <f ca="1"/>
        <v>24.470598531180219</v>
      </c>
      <c r="L187">
        <f ca="1"/>
        <v>0.13578876572683019</v>
      </c>
      <c r="M187">
        <f ca="1"/>
        <v>-9.4730723863886368E-2</v>
      </c>
      <c r="N187">
        <f ca="1"/>
        <v>0.88270160935147723</v>
      </c>
      <c r="O187">
        <f ca="1"/>
        <v>0</v>
      </c>
      <c r="P187">
        <f ca="1"/>
        <v>3.4581871885036732</v>
      </c>
      <c r="Q187">
        <f ca="1"/>
        <v>3.1999459374141126</v>
      </c>
      <c r="R187">
        <f ca="1"/>
        <v>0</v>
      </c>
      <c r="S187">
        <f ca="1"/>
        <v>0.93642600519712782</v>
      </c>
      <c r="T187">
        <f ca="1"/>
        <v>0</v>
      </c>
      <c r="U187">
        <f ca="1"/>
        <v>0</v>
      </c>
      <c r="V187">
        <f ca="1"/>
        <v>5.5053397599177011E-2</v>
      </c>
      <c r="X187" s="2">
        <f t="shared" ca="1" si="15"/>
        <v>45597</v>
      </c>
      <c r="Y187">
        <f t="shared" ca="1" si="16"/>
        <v>0</v>
      </c>
      <c r="AA187" s="63">
        <f t="shared" ca="1" si="18"/>
        <v>24.606387296907048</v>
      </c>
      <c r="AB187" s="63">
        <f t="shared" ca="1" si="19"/>
        <v>24.606387296907048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45598</v>
      </c>
      <c r="K188">
        <f ca="1"/>
        <v>25.221307323026004</v>
      </c>
      <c r="L188">
        <f ca="1"/>
        <v>0.1525188999629119</v>
      </c>
      <c r="M188">
        <f ca="1"/>
        <v>-9.1767398091683106E-2</v>
      </c>
      <c r="N188">
        <f ca="1"/>
        <v>0.99499508990038266</v>
      </c>
      <c r="O188">
        <f ca="1"/>
        <v>0</v>
      </c>
      <c r="P188">
        <f ca="1"/>
        <v>3.6107060884665851</v>
      </c>
      <c r="Q188">
        <f ca="1"/>
        <v>3.3410754390031716</v>
      </c>
      <c r="R188">
        <f ca="1"/>
        <v>0</v>
      </c>
      <c r="S188">
        <f ca="1"/>
        <v>0.97506942653901751</v>
      </c>
      <c r="T188">
        <f ca="1"/>
        <v>0</v>
      </c>
      <c r="U188">
        <f ca="1"/>
        <v>0</v>
      </c>
      <c r="V188">
        <f ca="1"/>
        <v>6.1044415057669929E-2</v>
      </c>
      <c r="X188" s="2">
        <f t="shared" ca="1" si="15"/>
        <v>45598</v>
      </c>
      <c r="Y188">
        <f t="shared" ca="1" si="16"/>
        <v>0</v>
      </c>
      <c r="AA188" s="63">
        <f t="shared" ca="1" si="18"/>
        <v>25.373826222988917</v>
      </c>
      <c r="AB188" s="63">
        <f t="shared" ca="1" si="19"/>
        <v>25.373826222988917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45599</v>
      </c>
      <c r="K189">
        <f ca="1"/>
        <v>25.943988918652934</v>
      </c>
      <c r="L189">
        <f ca="1"/>
        <v>0.15380904913601556</v>
      </c>
      <c r="M189">
        <f ca="1"/>
        <v>-7.9390554441161498E-2</v>
      </c>
      <c r="N189">
        <f ca="1"/>
        <v>0.95588119920410863</v>
      </c>
      <c r="O189">
        <f ca="1"/>
        <v>0</v>
      </c>
      <c r="P189">
        <f ca="1"/>
        <v>3.7645151376026007</v>
      </c>
      <c r="Q189">
        <f ca="1"/>
        <v>3.4833987474569517</v>
      </c>
      <c r="R189">
        <f ca="1"/>
        <v>0</v>
      </c>
      <c r="S189">
        <f ca="1"/>
        <v>0.96338398737678188</v>
      </c>
      <c r="T189">
        <f ca="1"/>
        <v>0</v>
      </c>
      <c r="U189">
        <f ca="1"/>
        <v>0</v>
      </c>
      <c r="V189">
        <f ca="1"/>
        <v>6.7414564429891341E-2</v>
      </c>
      <c r="X189" s="2">
        <f t="shared" ca="1" si="15"/>
        <v>45599</v>
      </c>
      <c r="Y189">
        <f t="shared" ca="1" si="16"/>
        <v>0</v>
      </c>
      <c r="AA189" s="63">
        <f t="shared" ca="1" si="18"/>
        <v>26.097797967788949</v>
      </c>
      <c r="AB189" s="63">
        <f t="shared" ca="1" si="19"/>
        <v>26.097797967788949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45600</v>
      </c>
      <c r="K190">
        <f ca="1"/>
        <v>26.600903212402187</v>
      </c>
      <c r="L190">
        <f ca="1"/>
        <v>0.15364930659064191</v>
      </c>
      <c r="M190">
        <f ca="1"/>
        <v>-6.8033183649301776E-2</v>
      </c>
      <c r="N190">
        <f ca="1"/>
        <v>0.87859678398919394</v>
      </c>
      <c r="O190">
        <f ca="1"/>
        <v>0</v>
      </c>
      <c r="P190">
        <f ca="1"/>
        <v>3.9181644441932426</v>
      </c>
      <c r="Q190">
        <f ca="1"/>
        <v>3.6255742421917994</v>
      </c>
      <c r="R190">
        <f ca="1"/>
        <v>0</v>
      </c>
      <c r="S190">
        <f ca="1"/>
        <v>0.93201598886906023</v>
      </c>
      <c r="T190">
        <f ca="1"/>
        <v>0</v>
      </c>
      <c r="U190">
        <f ca="1"/>
        <v>0</v>
      </c>
      <c r="V190">
        <f ca="1"/>
        <v>7.4102638080543681E-2</v>
      </c>
      <c r="X190" s="2">
        <f t="shared" ca="1" si="15"/>
        <v>45600</v>
      </c>
      <c r="Y190">
        <f t="shared" ca="1" si="16"/>
        <v>0</v>
      </c>
      <c r="AA190" s="63">
        <f t="shared" ca="1" si="18"/>
        <v>26.754552518992828</v>
      </c>
      <c r="AB190" s="63">
        <f t="shared" ca="1" si="19"/>
        <v>26.754552518992828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45601</v>
      </c>
      <c r="K191">
        <f ca="1"/>
        <v>27.208541127043283</v>
      </c>
      <c r="L191">
        <f ca="1"/>
        <v>0.15772301037230685</v>
      </c>
      <c r="M191">
        <f ca="1"/>
        <v>-5.9586834991730342E-2</v>
      </c>
      <c r="N191">
        <f ca="1"/>
        <v>0.8249477600051357</v>
      </c>
      <c r="O191">
        <f ca="1"/>
        <v>0</v>
      </c>
      <c r="P191">
        <f ca="1"/>
        <v>4.0758874545655495</v>
      </c>
      <c r="Q191">
        <f ca="1"/>
        <v>3.7715192355557847</v>
      </c>
      <c r="R191">
        <f ca="1"/>
        <v>0</v>
      </c>
      <c r="S191">
        <f ca="1"/>
        <v>0.89398856827569295</v>
      </c>
      <c r="T191">
        <f ca="1"/>
        <v>0</v>
      </c>
      <c r="U191">
        <f ca="1"/>
        <v>0</v>
      </c>
      <c r="V191">
        <f ca="1"/>
        <v>8.1299230336511125E-2</v>
      </c>
      <c r="X191" s="2">
        <f t="shared" ca="1" si="15"/>
        <v>45601</v>
      </c>
      <c r="Y191">
        <f t="shared" ca="1" si="16"/>
        <v>0</v>
      </c>
      <c r="AA191" s="63">
        <f t="shared" ca="1" si="18"/>
        <v>27.366264137415591</v>
      </c>
      <c r="AB191" s="63">
        <f t="shared" ca="1" si="19"/>
        <v>27.366264137415591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45602</v>
      </c>
      <c r="K192">
        <f ca="1"/>
        <v>27.821028878526157</v>
      </c>
      <c r="L192">
        <f ca="1"/>
        <v>0.16738055859279299</v>
      </c>
      <c r="M192">
        <f ca="1"/>
        <v>-5.3260694334163361E-2</v>
      </c>
      <c r="N192">
        <f ca="1"/>
        <v>0.83312900440982951</v>
      </c>
      <c r="O192">
        <f ca="1"/>
        <v>0</v>
      </c>
      <c r="P192">
        <f ca="1"/>
        <v>4.2432680131583425</v>
      </c>
      <c r="Q192">
        <f ca="1"/>
        <v>3.926400596591324</v>
      </c>
      <c r="R192">
        <f ca="1"/>
        <v>0</v>
      </c>
      <c r="S192">
        <f ca="1"/>
        <v>0.88313566679076405</v>
      </c>
      <c r="T192">
        <f ca="1"/>
        <v>0</v>
      </c>
      <c r="U192">
        <f ca="1"/>
        <v>0</v>
      </c>
      <c r="V192">
        <f ca="1"/>
        <v>8.9295098577831536E-2</v>
      </c>
      <c r="X192" s="2">
        <f t="shared" ca="1" si="15"/>
        <v>45602</v>
      </c>
      <c r="Y192">
        <f t="shared" ca="1" si="16"/>
        <v>0</v>
      </c>
      <c r="AA192" s="63">
        <f t="shared" ca="1" si="18"/>
        <v>27.98840943711895</v>
      </c>
      <c r="AB192" s="63">
        <f t="shared" ca="1" si="19"/>
        <v>27.98840943711895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45603</v>
      </c>
      <c r="K193">
        <f ca="1"/>
        <v>28.461328136764973</v>
      </c>
      <c r="L193">
        <f ca="1"/>
        <v>0.18007168105010418</v>
      </c>
      <c r="M193">
        <f ca="1"/>
        <v>-4.7445105529277498E-2</v>
      </c>
      <c r="N193">
        <f ca="1"/>
        <v>0.86781604481819841</v>
      </c>
      <c r="O193">
        <f ca="1"/>
        <v>0</v>
      </c>
      <c r="P193">
        <f ca="1"/>
        <v>4.4233396942084466</v>
      </c>
      <c r="Q193">
        <f ca="1"/>
        <v>4.0930253663941798</v>
      </c>
      <c r="R193">
        <f ca="1"/>
        <v>0</v>
      </c>
      <c r="S193">
        <f ca="1"/>
        <v>0.88453665431154194</v>
      </c>
      <c r="T193">
        <f ca="1"/>
        <v>0</v>
      </c>
      <c r="U193">
        <f ca="1"/>
        <v>0</v>
      </c>
      <c r="V193">
        <f ca="1"/>
        <v>9.8297862854417759E-2</v>
      </c>
      <c r="X193" s="2">
        <f t="shared" ca="1" si="15"/>
        <v>45603</v>
      </c>
      <c r="Y193">
        <f t="shared" ca="1" si="16"/>
        <v>0</v>
      </c>
      <c r="AA193" s="63">
        <f t="shared" ca="1" si="18"/>
        <v>28.641399817815078</v>
      </c>
      <c r="AB193" s="63">
        <f t="shared" ca="1" si="19"/>
        <v>28.641399817815078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45604</v>
      </c>
      <c r="K194">
        <f ca="1"/>
        <v>29.122738723673081</v>
      </c>
      <c r="L194">
        <f ca="1"/>
        <v>0.19155340124044518</v>
      </c>
      <c r="M194">
        <f ca="1"/>
        <v>-4.0944801003902853E-2</v>
      </c>
      <c r="N194">
        <f ca="1"/>
        <v>0.89390878915245442</v>
      </c>
      <c r="O194">
        <f ca="1"/>
        <v>0</v>
      </c>
      <c r="P194">
        <f ca="1"/>
        <v>4.6148930954488918</v>
      </c>
      <c r="Q194">
        <f ca="1"/>
        <v>4.2702744552043317</v>
      </c>
      <c r="R194">
        <f ca="1"/>
        <v>0</v>
      </c>
      <c r="S194">
        <f ca="1"/>
        <v>0.88830126458700598</v>
      </c>
      <c r="T194">
        <f ca="1"/>
        <v>0</v>
      </c>
      <c r="U194">
        <f ca="1"/>
        <v>0</v>
      </c>
      <c r="V194">
        <f ca="1"/>
        <v>0.10831439955675171</v>
      </c>
      <c r="X194" s="2">
        <f t="shared" ca="1" si="15"/>
        <v>45604</v>
      </c>
      <c r="Y194">
        <f t="shared" ca="1" si="16"/>
        <v>0</v>
      </c>
      <c r="AA194" s="63">
        <f t="shared" ca="1" si="18"/>
        <v>29.314292124913525</v>
      </c>
      <c r="AB194" s="63">
        <f t="shared" ca="1" si="19"/>
        <v>29.314292124913525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45605</v>
      </c>
      <c r="K195">
        <f ca="1"/>
        <v>29.748921398814115</v>
      </c>
      <c r="L195">
        <f ca="1"/>
        <v>0.19261513892102755</v>
      </c>
      <c r="M195">
        <f ca="1"/>
        <v>-3.2773106557822729E-2</v>
      </c>
      <c r="N195">
        <f ca="1"/>
        <v>0.85157092061988415</v>
      </c>
      <c r="O195">
        <f ca="1"/>
        <v>0</v>
      </c>
      <c r="P195">
        <f ca="1"/>
        <v>4.8075082343699194</v>
      </c>
      <c r="Q195">
        <f ca="1"/>
        <v>4.4485059960890494</v>
      </c>
      <c r="R195">
        <f ca="1"/>
        <v>0</v>
      </c>
      <c r="S195">
        <f ca="1"/>
        <v>0.88325508771677474</v>
      </c>
      <c r="T195">
        <f ca="1"/>
        <v>0</v>
      </c>
      <c r="U195">
        <f ca="1"/>
        <v>0</v>
      </c>
      <c r="V195">
        <f ca="1"/>
        <v>0.11882405188789698</v>
      </c>
      <c r="X195" s="2">
        <f t="shared" ca="1" si="15"/>
        <v>45605</v>
      </c>
      <c r="Y195">
        <f t="shared" ca="1" si="16"/>
        <v>0</v>
      </c>
      <c r="AA195" s="63">
        <f t="shared" ca="1" si="18"/>
        <v>29.941536537735143</v>
      </c>
      <c r="AB195" s="63">
        <f t="shared" ca="1" si="19"/>
        <v>29.941536537735143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45606</v>
      </c>
      <c r="K196">
        <f ca="1"/>
        <v>30.408937183515352</v>
      </c>
      <c r="L196">
        <f ca="1"/>
        <v>0.20390935434715107</v>
      </c>
      <c r="M196">
        <f ca="1"/>
        <v>-2.6797087332997904E-2</v>
      </c>
      <c r="N196">
        <f ca="1"/>
        <v>0.89072222638138632</v>
      </c>
      <c r="O196">
        <f ca="1"/>
        <v>0</v>
      </c>
      <c r="P196">
        <f ca="1"/>
        <v>5.0114175887170704</v>
      </c>
      <c r="Q196">
        <f ca="1"/>
        <v>4.6371883531959899</v>
      </c>
      <c r="R196">
        <f ca="1"/>
        <v>0</v>
      </c>
      <c r="S196">
        <f ca="1"/>
        <v>0.90299972989977784</v>
      </c>
      <c r="T196">
        <f ca="1"/>
        <v>0</v>
      </c>
      <c r="U196">
        <f ca="1"/>
        <v>0</v>
      </c>
      <c r="V196">
        <f ca="1"/>
        <v>0.13040372205931719</v>
      </c>
      <c r="X196" s="2">
        <f t="shared" ca="1" si="15"/>
        <v>45606</v>
      </c>
      <c r="Y196">
        <f t="shared" ca="1" si="16"/>
        <v>0</v>
      </c>
      <c r="AA196" s="63">
        <f t="shared" ca="1" si="18"/>
        <v>30.612846537862502</v>
      </c>
      <c r="AB196" s="63">
        <f t="shared" ca="1" si="19"/>
        <v>30.612846537862502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45607</v>
      </c>
      <c r="K197">
        <f ca="1"/>
        <v>31.024346167522339</v>
      </c>
      <c r="L197">
        <f ca="1"/>
        <v>0.19927004201615972</v>
      </c>
      <c r="M197">
        <f ca="1"/>
        <v>-1.9573204059987859E-2</v>
      </c>
      <c r="N197">
        <f ca="1"/>
        <v>0.83425223008313254</v>
      </c>
      <c r="O197">
        <f ca="1"/>
        <v>0</v>
      </c>
      <c r="P197">
        <f ca="1"/>
        <v>5.2106876307332302</v>
      </c>
      <c r="Q197">
        <f ca="1"/>
        <v>4.821577840126527</v>
      </c>
      <c r="R197">
        <f ca="1"/>
        <v>0</v>
      </c>
      <c r="S197">
        <f ca="1"/>
        <v>0.909093691665536</v>
      </c>
      <c r="T197">
        <f ca="1"/>
        <v>0</v>
      </c>
      <c r="U197">
        <f ca="1"/>
        <v>0</v>
      </c>
      <c r="V197">
        <f ca="1"/>
        <v>0.14214428636235765</v>
      </c>
      <c r="X197" s="2">
        <f t="shared" ca="1" si="15"/>
        <v>45607</v>
      </c>
      <c r="Y197">
        <f t="shared" ca="1" si="16"/>
        <v>0</v>
      </c>
      <c r="AA197" s="63">
        <f t="shared" ca="1" si="18"/>
        <v>31.223616209538498</v>
      </c>
      <c r="AB197" s="63">
        <f t="shared" ca="1" si="19"/>
        <v>31.223616209538498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45608</v>
      </c>
      <c r="K198">
        <f ca="1"/>
        <v>31.582597984931677</v>
      </c>
      <c r="L198">
        <f ca="1"/>
        <v>0.19876240763953845</v>
      </c>
      <c r="M198">
        <f ca="1"/>
        <v>-1.3895681055828391E-2</v>
      </c>
      <c r="N198">
        <f ca="1"/>
        <v>0.77090990610470533</v>
      </c>
      <c r="O198">
        <f ca="1"/>
        <v>0</v>
      </c>
      <c r="P198">
        <f ca="1"/>
        <v>5.4094500383727686</v>
      </c>
      <c r="Q198">
        <f ca="1"/>
        <v>5.005497600442335</v>
      </c>
      <c r="R198">
        <f ca="1"/>
        <v>0</v>
      </c>
      <c r="S198">
        <f ca="1"/>
        <v>0.88273734813290361</v>
      </c>
      <c r="T198">
        <f ca="1"/>
        <v>0</v>
      </c>
      <c r="U198">
        <f ca="1"/>
        <v>0</v>
      </c>
      <c r="V198">
        <f ca="1"/>
        <v>0.15424467592855451</v>
      </c>
      <c r="X198" s="2">
        <f t="shared" ca="1" si="15"/>
        <v>45608</v>
      </c>
      <c r="Y198">
        <f t="shared" ca="1" si="16"/>
        <v>0</v>
      </c>
      <c r="AA198" s="63">
        <f t="shared" ca="1" si="18"/>
        <v>31.781360392571216</v>
      </c>
      <c r="AB198" s="63">
        <f t="shared" ca="1" si="19"/>
        <v>31.781360392571216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45609</v>
      </c>
      <c r="K199">
        <f ca="1"/>
        <v>32.116451885942169</v>
      </c>
      <c r="L199">
        <f ca="1"/>
        <v>0.20681513904029547</v>
      </c>
      <c r="M199">
        <f ca="1"/>
        <v>-9.242203325914744E-3</v>
      </c>
      <c r="N199">
        <f ca="1"/>
        <v>0.74991124337670034</v>
      </c>
      <c r="O199">
        <f ca="1"/>
        <v>0</v>
      </c>
      <c r="P199">
        <f ca="1"/>
        <v>5.6162651774130641</v>
      </c>
      <c r="Q199">
        <f ca="1"/>
        <v>5.1968687518270231</v>
      </c>
      <c r="R199">
        <f ca="1"/>
        <v>0</v>
      </c>
      <c r="S199">
        <f ca="1"/>
        <v>0.85835150215059752</v>
      </c>
      <c r="T199">
        <f ca="1"/>
        <v>0</v>
      </c>
      <c r="U199">
        <f ca="1"/>
        <v>0</v>
      </c>
      <c r="V199">
        <f ca="1"/>
        <v>0.16721696736081573</v>
      </c>
      <c r="X199" s="2">
        <f t="shared" ca="1" si="15"/>
        <v>45609</v>
      </c>
      <c r="Y199">
        <f t="shared" ca="1" si="16"/>
        <v>0</v>
      </c>
      <c r="AA199" s="63">
        <f t="shared" ca="1" si="18"/>
        <v>32.323267024982464</v>
      </c>
      <c r="AB199" s="63">
        <f t="shared" ca="1" si="19"/>
        <v>32.323267024982464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45610</v>
      </c>
      <c r="K200">
        <f ca="1"/>
        <v>32.677962936517844</v>
      </c>
      <c r="L200">
        <f ca="1"/>
        <v>0.22962124753646673</v>
      </c>
      <c r="M200">
        <f ca="1"/>
        <v>-4.9237302257658655E-3</v>
      </c>
      <c r="N200">
        <f ca="1"/>
        <v>0.79605602833790345</v>
      </c>
      <c r="O200">
        <f ca="1"/>
        <v>0</v>
      </c>
      <c r="P200">
        <f ca="1"/>
        <v>5.8458864249495308</v>
      </c>
      <c r="Q200">
        <f ca="1"/>
        <v>5.4093429581513517</v>
      </c>
      <c r="R200">
        <f ca="1"/>
        <v>0</v>
      </c>
      <c r="S200">
        <f ca="1"/>
        <v>0.84491349540727034</v>
      </c>
      <c r="T200">
        <f ca="1"/>
        <v>0</v>
      </c>
      <c r="U200">
        <f ca="1"/>
        <v>0</v>
      </c>
      <c r="V200">
        <f ca="1"/>
        <v>0.18203453393638491</v>
      </c>
      <c r="X200" s="2">
        <f t="shared" ca="1" si="15"/>
        <v>45610</v>
      </c>
      <c r="Y200">
        <f t="shared" ca="1" si="16"/>
        <v>0</v>
      </c>
      <c r="AA200" s="63">
        <f t="shared" ca="1" si="18"/>
        <v>32.907584184054301</v>
      </c>
      <c r="AB200" s="63">
        <f t="shared" ca="1" si="19"/>
        <v>32.907584184054308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45611</v>
      </c>
      <c r="K201">
        <f ca="1"/>
        <v>33.34265237524059</v>
      </c>
      <c r="L201">
        <f ca="1"/>
        <v>0.26211529038099357</v>
      </c>
      <c r="M201">
        <f ca="1"/>
        <v>8.4278455702246902E-5</v>
      </c>
      <c r="N201">
        <f ca="1"/>
        <v>0.92672045064803943</v>
      </c>
      <c r="O201">
        <f ca="1"/>
        <v>0</v>
      </c>
      <c r="P201">
        <f ca="1"/>
        <v>6.1080017153305244</v>
      </c>
      <c r="Q201">
        <f ca="1"/>
        <v>5.6518847041207776</v>
      </c>
      <c r="R201">
        <f ca="1"/>
        <v>0</v>
      </c>
      <c r="S201">
        <f ca="1"/>
        <v>0.87753520990661438</v>
      </c>
      <c r="T201">
        <f ca="1"/>
        <v>0</v>
      </c>
      <c r="U201">
        <f ca="1"/>
        <v>0</v>
      </c>
      <c r="V201">
        <f ca="1"/>
        <v>0.1994223416108086</v>
      </c>
      <c r="X201" s="2">
        <f t="shared" ca="1" si="15"/>
        <v>45611</v>
      </c>
      <c r="Y201">
        <f t="shared" ca="1" si="16"/>
        <v>0</v>
      </c>
      <c r="AA201" s="63">
        <f t="shared" ca="1" si="18"/>
        <v>33.604767665621587</v>
      </c>
      <c r="AB201" s="63">
        <f t="shared" ca="1" si="19"/>
        <v>33.60476766562158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45612</v>
      </c>
      <c r="K202">
        <f ca="1"/>
        <v>34.062032052324298</v>
      </c>
      <c r="L202">
        <f ca="1"/>
        <v>0.27730690985976025</v>
      </c>
      <c r="M202">
        <f ca="1"/>
        <v>5.5941676784563299E-3</v>
      </c>
      <c r="N202">
        <f ca="1"/>
        <v>0.99109241926500846</v>
      </c>
      <c r="O202">
        <f ca="1"/>
        <v>0</v>
      </c>
      <c r="P202">
        <f ca="1"/>
        <v>6.3853086251902846</v>
      </c>
      <c r="Q202">
        <f ca="1"/>
        <v>5.9084836304520492</v>
      </c>
      <c r="R202">
        <f ca="1"/>
        <v>0</v>
      </c>
      <c r="S202">
        <f ca="1"/>
        <v>0.91730033644403541</v>
      </c>
      <c r="T202">
        <f ca="1"/>
        <v>0</v>
      </c>
      <c r="U202">
        <f ca="1"/>
        <v>0</v>
      </c>
      <c r="V202">
        <f ca="1"/>
        <v>0.21828899774449181</v>
      </c>
      <c r="X202" s="2">
        <f t="shared" ca="1" si="15"/>
        <v>45612</v>
      </c>
      <c r="Y202">
        <f t="shared" ca="1" si="16"/>
        <v>0</v>
      </c>
      <c r="AA202" s="63">
        <f t="shared" ca="1" si="18"/>
        <v>34.339338962184051</v>
      </c>
      <c r="AB202" s="63">
        <f t="shared" ca="1" si="19"/>
        <v>34.339338962184058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45613</v>
      </c>
      <c r="K203">
        <f ca="1"/>
        <v>34.796221116278218</v>
      </c>
      <c r="L203">
        <f ca="1"/>
        <v>0.27961915700618345</v>
      </c>
      <c r="M203">
        <f ca="1"/>
        <v>1.0367421924268427E-2</v>
      </c>
      <c r="N203">
        <f ca="1"/>
        <v>1.0034407990358307</v>
      </c>
      <c r="O203">
        <f ca="1"/>
        <v>0</v>
      </c>
      <c r="P203">
        <f ca="1"/>
        <v>6.6649277821964681</v>
      </c>
      <c r="Q203">
        <f ca="1"/>
        <v>6.1672221361233559</v>
      </c>
      <c r="R203">
        <f ca="1"/>
        <v>0</v>
      </c>
      <c r="S203">
        <f ca="1"/>
        <v>0.96101255196112312</v>
      </c>
      <c r="T203">
        <f ca="1"/>
        <v>0</v>
      </c>
      <c r="U203">
        <f ca="1"/>
        <v>0</v>
      </c>
      <c r="V203">
        <f ca="1"/>
        <v>0.23771596492017491</v>
      </c>
      <c r="X203" s="2">
        <f t="shared" ref="X203:X266" ca="1" si="22">IFERROR(J203,$X$9)</f>
        <v>45613</v>
      </c>
      <c r="Y203">
        <f t="shared" ref="Y203:Y266" ca="1" si="23">IFERROR(O203,0)</f>
        <v>0</v>
      </c>
      <c r="AA203" s="63">
        <f t="shared" ca="1" si="18"/>
        <v>35.075840273284399</v>
      </c>
      <c r="AB203" s="63">
        <f t="shared" ca="1" si="19"/>
        <v>35.075840273284399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45614</v>
      </c>
      <c r="K204">
        <f ca="1"/>
        <v>35.448083753347262</v>
      </c>
      <c r="L204">
        <f ca="1"/>
        <v>0.28097141252276359</v>
      </c>
      <c r="M204">
        <f ca="1"/>
        <v>1.4369252166574142E-2</v>
      </c>
      <c r="N204">
        <f ca="1"/>
        <v>0.9184647974252268</v>
      </c>
      <c r="O204">
        <f ca="1"/>
        <v>0</v>
      </c>
      <c r="P204">
        <f ca="1"/>
        <v>6.9458991947192317</v>
      </c>
      <c r="Q204">
        <f ca="1"/>
        <v>6.4272119171914976</v>
      </c>
      <c r="R204">
        <f ca="1"/>
        <v>0</v>
      </c>
      <c r="S204">
        <f ca="1"/>
        <v>0.92455176617055601</v>
      </c>
      <c r="T204">
        <f ca="1"/>
        <v>0</v>
      </c>
      <c r="U204">
        <f ca="1"/>
        <v>0</v>
      </c>
      <c r="V204">
        <f ca="1"/>
        <v>0.25755463408691304</v>
      </c>
      <c r="X204" s="2">
        <f t="shared" ca="1" si="22"/>
        <v>45614</v>
      </c>
      <c r="Y204">
        <f t="shared" ca="1" si="23"/>
        <v>0</v>
      </c>
      <c r="AA204" s="63">
        <f t="shared" ca="1" si="18"/>
        <v>35.729055165870022</v>
      </c>
      <c r="AB204" s="63">
        <f t="shared" ca="1" si="19"/>
        <v>35.729055165870022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45615</v>
      </c>
      <c r="K205">
        <f ca="1"/>
        <v>36.091131882902296</v>
      </c>
      <c r="L205">
        <f ca="1"/>
        <v>0.2962668997356035</v>
      </c>
      <c r="M205">
        <f ca="1"/>
        <v>1.866729115327459E-2</v>
      </c>
      <c r="N205">
        <f ca="1"/>
        <v>0.92064773813736733</v>
      </c>
      <c r="O205">
        <f ca="1"/>
        <v>0</v>
      </c>
      <c r="P205">
        <f ca="1"/>
        <v>7.2421660944548352</v>
      </c>
      <c r="Q205">
        <f ca="1"/>
        <v>6.7013549899987916</v>
      </c>
      <c r="R205">
        <f ca="1"/>
        <v>0</v>
      </c>
      <c r="S205">
        <f ca="1"/>
        <v>0.91422432808627363</v>
      </c>
      <c r="T205">
        <f ca="1"/>
        <v>0</v>
      </c>
      <c r="U205">
        <f ca="1"/>
        <v>0</v>
      </c>
      <c r="V205">
        <f ca="1"/>
        <v>0.27872062062656366</v>
      </c>
      <c r="X205" s="2">
        <f t="shared" ca="1" si="22"/>
        <v>45615</v>
      </c>
      <c r="Y205">
        <f t="shared" ca="1" si="23"/>
        <v>0</v>
      </c>
      <c r="AA205" s="63">
        <f ca="1">K204+M205+N205+O205</f>
        <v>36.387398782637909</v>
      </c>
      <c r="AB205" s="63">
        <f ca="1">K205+L205+R205</f>
        <v>36.387398782637902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45616</v>
      </c>
      <c r="K206">
        <f ca="1"/>
        <v>36.703573186229278</v>
      </c>
      <c r="L206">
        <f ca="1"/>
        <v>0.31023913820092996</v>
      </c>
      <c r="M206">
        <f ca="1"/>
        <v>2.2709711854734138E-2</v>
      </c>
      <c r="N206">
        <f ca="1"/>
        <v>0.89997072967317659</v>
      </c>
      <c r="O206">
        <f ca="1"/>
        <v>0</v>
      </c>
      <c r="P206">
        <f ca="1"/>
        <v>7.5524052326557651</v>
      </c>
      <c r="Q206">
        <f ca="1"/>
        <v>6.9884269198275755</v>
      </c>
      <c r="R206">
        <f ca="1"/>
        <v>0</v>
      </c>
      <c r="S206">
        <f ca="1"/>
        <v>0.89093517523931209</v>
      </c>
      <c r="T206">
        <f ca="1"/>
        <v>0</v>
      </c>
      <c r="U206">
        <f ca="1"/>
        <v>0</v>
      </c>
      <c r="V206">
        <f ca="1"/>
        <v>0.30104965020391394</v>
      </c>
      <c r="X206" s="2">
        <f t="shared" ca="1" si="22"/>
        <v>45616</v>
      </c>
      <c r="Y206">
        <f t="shared" ca="1" si="23"/>
        <v>0</v>
      </c>
      <c r="AA206" s="63">
        <f ca="1">K205+M206+N206+O206</f>
        <v>37.013812324430212</v>
      </c>
      <c r="AB206" s="63">
        <f ca="1">K206+L206+R206</f>
        <v>37.013812324430205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45617</v>
      </c>
      <c r="K207">
        <f ca="1"/>
        <v>37.282830146903947</v>
      </c>
      <c r="L207">
        <f ca="1"/>
        <v>0.3251264928338351</v>
      </c>
      <c r="M207">
        <f ca="1"/>
        <v>2.6605104040189786E-2</v>
      </c>
      <c r="N207">
        <f ca="1"/>
        <v>0.87777834946831668</v>
      </c>
      <c r="O207">
        <f ca="1"/>
        <v>0</v>
      </c>
      <c r="P207">
        <f ca="1"/>
        <v>7.8775317254896002</v>
      </c>
      <c r="Q207">
        <f ca="1"/>
        <v>7.2892744862484937</v>
      </c>
      <c r="R207">
        <f ca="1"/>
        <v>0</v>
      </c>
      <c r="S207">
        <f ca="1"/>
        <v>0.86539836161272232</v>
      </c>
      <c r="T207">
        <f ca="1"/>
        <v>0</v>
      </c>
      <c r="U207">
        <f ca="1"/>
        <v>0</v>
      </c>
      <c r="V207">
        <f ca="1"/>
        <v>0.32451380753853321</v>
      </c>
      <c r="X207" s="2">
        <f t="shared" ca="1" si="22"/>
        <v>45617</v>
      </c>
      <c r="Y207">
        <f t="shared" ca="1" si="23"/>
        <v>0</v>
      </c>
      <c r="AA207" s="63">
        <f ca="1">K206+M207+N207+O207</f>
        <v>37.607956639737779</v>
      </c>
      <c r="AB207" s="63">
        <f ca="1">K207+L207+R207</f>
        <v>37.607956639737779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45618</v>
      </c>
      <c r="K208">
        <f ca="1"/>
        <v>37.827659530112108</v>
      </c>
      <c r="L208">
        <f ca="1"/>
        <v>0.3526154518189486</v>
      </c>
      <c r="M208">
        <f ca="1"/>
        <v>3.1454578776738629E-2</v>
      </c>
      <c r="N208">
        <f ca="1"/>
        <v>0.86599025625036763</v>
      </c>
      <c r="O208">
        <f ca="1"/>
        <v>0</v>
      </c>
      <c r="P208">
        <f ca="1"/>
        <v>8.2301471773085488</v>
      </c>
      <c r="Q208">
        <f ca="1"/>
        <v>7.6155582647173263</v>
      </c>
      <c r="R208">
        <f ca="1"/>
        <v>0</v>
      </c>
      <c r="S208">
        <f ca="1"/>
        <v>0.81714317119137347</v>
      </c>
      <c r="T208">
        <f ca="1"/>
        <v>0</v>
      </c>
      <c r="U208">
        <f ca="1"/>
        <v>0</v>
      </c>
      <c r="V208">
        <f ca="1"/>
        <v>0.34990141667704688</v>
      </c>
      <c r="X208" s="2">
        <f t="shared" ca="1" si="22"/>
        <v>45618</v>
      </c>
      <c r="Y208">
        <f t="shared" ca="1" si="23"/>
        <v>0</v>
      </c>
      <c r="AA208" s="63">
        <f t="shared" ref="AA208:AA271" ca="1" si="25">K207+M208+N208+O208</f>
        <v>38.180274981931056</v>
      </c>
      <c r="AB208" s="63">
        <f t="shared" ref="AB208:AB271" ca="1" si="26">K208+L208+R208</f>
        <v>38.180274981931056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45619</v>
      </c>
      <c r="K209">
        <f ca="1"/>
        <v>38.343182968603784</v>
      </c>
      <c r="L209">
        <f ca="1"/>
        <v>0.3680121273242456</v>
      </c>
      <c r="M209">
        <f ca="1"/>
        <v>3.5074744528333923E-2</v>
      </c>
      <c r="N209">
        <f ca="1"/>
        <v>0.84846082128758915</v>
      </c>
      <c r="O209">
        <f ca="1"/>
        <v>0</v>
      </c>
      <c r="P209">
        <f ca="1"/>
        <v>8.5981593046327944</v>
      </c>
      <c r="Q209">
        <f ca="1"/>
        <v>7.9560889669491761</v>
      </c>
      <c r="R209">
        <f ca="1"/>
        <v>0</v>
      </c>
      <c r="S209">
        <f ca="1"/>
        <v>0.80078068788771473</v>
      </c>
      <c r="T209">
        <f ca="1"/>
        <v>0</v>
      </c>
      <c r="U209">
        <f ca="1"/>
        <v>0</v>
      </c>
      <c r="V209">
        <f ca="1"/>
        <v>0.37618704513216999</v>
      </c>
      <c r="X209" s="2">
        <f t="shared" ca="1" si="22"/>
        <v>45619</v>
      </c>
      <c r="Y209">
        <f t="shared" ca="1" si="23"/>
        <v>0</v>
      </c>
      <c r="AA209" s="63">
        <f t="shared" ca="1" si="25"/>
        <v>38.711195095928034</v>
      </c>
      <c r="AB209" s="63">
        <f t="shared" ca="1" si="26"/>
        <v>38.711195095928034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45620</v>
      </c>
      <c r="K210">
        <f ca="1"/>
        <v>38.876843315212383</v>
      </c>
      <c r="L210">
        <f ca="1"/>
        <v>0.40829264481012295</v>
      </c>
      <c r="M210">
        <f ca="1"/>
        <v>4.1116972847390798E-2</v>
      </c>
      <c r="N210">
        <f ca="1"/>
        <v>0.90083601857133599</v>
      </c>
      <c r="O210">
        <f ca="1"/>
        <v>0</v>
      </c>
      <c r="P210">
        <f ca="1"/>
        <v>9.0064519494429174</v>
      </c>
      <c r="Q210">
        <f ca="1"/>
        <v>8.3338922259455561</v>
      </c>
      <c r="R210">
        <f ca="1"/>
        <v>0</v>
      </c>
      <c r="S210">
        <f ca="1"/>
        <v>0.78828292186378313</v>
      </c>
      <c r="T210">
        <f ca="1"/>
        <v>0</v>
      </c>
      <c r="U210">
        <f ca="1"/>
        <v>0</v>
      </c>
      <c r="V210">
        <f ca="1"/>
        <v>0.40493385535970033</v>
      </c>
      <c r="X210" s="2">
        <f t="shared" ca="1" si="22"/>
        <v>45620</v>
      </c>
      <c r="Y210">
        <f t="shared" ca="1" si="23"/>
        <v>0</v>
      </c>
      <c r="AA210" s="63">
        <f t="shared" ca="1" si="25"/>
        <v>39.285135960022508</v>
      </c>
      <c r="AB210" s="63">
        <f t="shared" ca="1" si="26"/>
        <v>39.285135960022508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45621</v>
      </c>
      <c r="K211">
        <f ca="1"/>
        <v>39.455360691681406</v>
      </c>
      <c r="L211">
        <f ca="1"/>
        <v>0.43068028708421835</v>
      </c>
      <c r="M211">
        <f ca="1"/>
        <v>4.5134300937217375E-2</v>
      </c>
      <c r="N211">
        <f ca="1"/>
        <v>0.96406336261602266</v>
      </c>
      <c r="O211">
        <f ca="1"/>
        <v>0</v>
      </c>
      <c r="P211">
        <f ca="1"/>
        <v>9.4371322365271357</v>
      </c>
      <c r="Q211">
        <f ca="1"/>
        <v>8.7324113227605</v>
      </c>
      <c r="R211">
        <f ca="1"/>
        <v>0</v>
      </c>
      <c r="S211">
        <f ca="1"/>
        <v>0.83178186953952538</v>
      </c>
      <c r="T211">
        <f ca="1"/>
        <v>0</v>
      </c>
      <c r="U211">
        <f ca="1"/>
        <v>0</v>
      </c>
      <c r="V211">
        <f ca="1"/>
        <v>0.43461072347734298</v>
      </c>
      <c r="X211" s="2">
        <f t="shared" ca="1" si="22"/>
        <v>45621</v>
      </c>
      <c r="Y211">
        <f t="shared" ca="1" si="23"/>
        <v>0</v>
      </c>
      <c r="AA211" s="63">
        <f t="shared" ca="1" si="25"/>
        <v>39.886040978765628</v>
      </c>
      <c r="AB211" s="63">
        <f t="shared" ca="1" si="26"/>
        <v>39.886040978765621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45622</v>
      </c>
      <c r="K212">
        <f ca="1"/>
        <v>40.008896169137927</v>
      </c>
      <c r="L212">
        <f ca="1"/>
        <v>0.45983969702116845</v>
      </c>
      <c r="M212">
        <f ca="1"/>
        <v>4.9668414446028208E-2</v>
      </c>
      <c r="N212">
        <f ca="1"/>
        <v>0.96370676003165379</v>
      </c>
      <c r="O212">
        <f ca="1"/>
        <v>0</v>
      </c>
      <c r="P212">
        <f ca="1"/>
        <v>9.8969719335483042</v>
      </c>
      <c r="Q212">
        <f ca="1"/>
        <v>9.157912341108009</v>
      </c>
      <c r="R212">
        <f ca="1"/>
        <v>0</v>
      </c>
      <c r="S212">
        <f ca="1"/>
        <v>0.81115693537475397</v>
      </c>
      <c r="T212">
        <f ca="1"/>
        <v>0</v>
      </c>
      <c r="U212">
        <f ca="1"/>
        <v>0</v>
      </c>
      <c r="V212">
        <f ca="1"/>
        <v>0.46539121044411585</v>
      </c>
      <c r="X212" s="2">
        <f t="shared" ca="1" si="22"/>
        <v>45622</v>
      </c>
      <c r="Y212">
        <f t="shared" ca="1" si="23"/>
        <v>0</v>
      </c>
      <c r="AA212" s="63">
        <f t="shared" ca="1" si="25"/>
        <v>40.468735866159093</v>
      </c>
      <c r="AB212" s="63">
        <f t="shared" ca="1" si="26"/>
        <v>40.468735866159093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45623</v>
      </c>
      <c r="K213">
        <f ca="1"/>
        <v>40.62101940855576</v>
      </c>
      <c r="L213">
        <f ca="1"/>
        <v>0.47479621729799071</v>
      </c>
      <c r="M213">
        <f ca="1"/>
        <v>5.2148166878403401E-2</v>
      </c>
      <c r="N213">
        <f ca="1"/>
        <v>1.0347712898374242</v>
      </c>
      <c r="O213">
        <f ca="1"/>
        <v>0</v>
      </c>
      <c r="P213">
        <f ca="1"/>
        <v>10.371768150846295</v>
      </c>
      <c r="Q213">
        <f ca="1"/>
        <v>9.5972529967246558</v>
      </c>
      <c r="R213">
        <f ca="1"/>
        <v>0</v>
      </c>
      <c r="S213">
        <f ca="1"/>
        <v>0.87936652666752979</v>
      </c>
      <c r="T213">
        <f ca="1"/>
        <v>0</v>
      </c>
      <c r="U213">
        <f ca="1"/>
        <v>0</v>
      </c>
      <c r="V213">
        <f ca="1"/>
        <v>0.49603638795959154</v>
      </c>
      <c r="X213" s="2">
        <f t="shared" ca="1" si="22"/>
        <v>45623</v>
      </c>
      <c r="Y213">
        <f t="shared" ca="1" si="23"/>
        <v>0</v>
      </c>
      <c r="AA213" s="63">
        <f t="shared" ca="1" si="25"/>
        <v>41.095815625853753</v>
      </c>
      <c r="AB213" s="63">
        <f t="shared" ca="1" si="26"/>
        <v>41.095815625853753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45624</v>
      </c>
      <c r="K214">
        <f ca="1"/>
        <v>41.103327667429035</v>
      </c>
      <c r="L214">
        <f ca="1"/>
        <v>0.46360020234422983</v>
      </c>
      <c r="M214">
        <f ca="1"/>
        <v>5.1159746830592212E-2</v>
      </c>
      <c r="N214">
        <f ca="1"/>
        <v>0.89474871438691683</v>
      </c>
      <c r="O214">
        <f ca="1"/>
        <v>0</v>
      </c>
      <c r="P214">
        <f ca="1"/>
        <v>10.835368353190525</v>
      </c>
      <c r="Q214">
        <f ca="1"/>
        <v>10.026233703439285</v>
      </c>
      <c r="R214">
        <f ca="1"/>
        <v>0</v>
      </c>
      <c r="S214">
        <f ca="1"/>
        <v>0.83210682634014987</v>
      </c>
      <c r="T214">
        <f ca="1"/>
        <v>0</v>
      </c>
      <c r="U214">
        <f ca="1"/>
        <v>0</v>
      </c>
      <c r="V214">
        <f ca="1"/>
        <v>0.52472979349644455</v>
      </c>
      <c r="X214" s="2">
        <f t="shared" ca="1" si="22"/>
        <v>45624</v>
      </c>
      <c r="Y214">
        <f t="shared" ca="1" si="23"/>
        <v>0</v>
      </c>
      <c r="AA214" s="63">
        <f t="shared" ca="1" si="25"/>
        <v>41.566927869773266</v>
      </c>
      <c r="AB214" s="63">
        <f t="shared" ca="1" si="26"/>
        <v>41.566927869773266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45625</v>
      </c>
      <c r="K215">
        <f ca="1"/>
        <v>41.65213458766673</v>
      </c>
      <c r="L215">
        <f ca="1"/>
        <v>0.51902809925204707</v>
      </c>
      <c r="M215">
        <f ca="1"/>
        <v>5.7808794891172965E-2</v>
      </c>
      <c r="N215">
        <f ca="1"/>
        <v>1.0100262245985654</v>
      </c>
      <c r="O215">
        <f ca="1"/>
        <v>0</v>
      </c>
      <c r="P215">
        <f ca="1"/>
        <v>11.354396452442572</v>
      </c>
      <c r="Q215">
        <f ca="1"/>
        <v>10.506503210864068</v>
      </c>
      <c r="R215">
        <f ca="1"/>
        <v>0</v>
      </c>
      <c r="S215">
        <f ca="1"/>
        <v>0.85734543924577455</v>
      </c>
      <c r="T215">
        <f ca="1"/>
        <v>0</v>
      </c>
      <c r="U215">
        <f ca="1"/>
        <v>0</v>
      </c>
      <c r="V215">
        <f ca="1"/>
        <v>0.55531865074246456</v>
      </c>
      <c r="X215" s="2">
        <f t="shared" ca="1" si="22"/>
        <v>45625</v>
      </c>
      <c r="Y215">
        <f t="shared" ca="1" si="23"/>
        <v>0</v>
      </c>
      <c r="AA215" s="63">
        <f t="shared" ca="1" si="25"/>
        <v>42.171162686918777</v>
      </c>
      <c r="AB215" s="63">
        <f t="shared" ca="1" si="26"/>
        <v>42.171162686918777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45626</v>
      </c>
      <c r="K216">
        <f ca="1"/>
        <v>42.238497502774592</v>
      </c>
      <c r="L216">
        <f ca="1"/>
        <v>0.53456703851771792</v>
      </c>
      <c r="M216">
        <f ca="1"/>
        <v>5.9356057150104391E-2</v>
      </c>
      <c r="N216">
        <f ca="1"/>
        <v>1.0615738964754708</v>
      </c>
      <c r="O216">
        <f ca="1"/>
        <v>0</v>
      </c>
      <c r="P216">
        <f ca="1"/>
        <v>11.88896349096029</v>
      </c>
      <c r="Q216">
        <f ca="1"/>
        <v>11.001151282219748</v>
      </c>
      <c r="R216">
        <f ca="1"/>
        <v>0</v>
      </c>
      <c r="S216">
        <f ca="1"/>
        <v>0.91085810758829744</v>
      </c>
      <c r="T216">
        <f ca="1"/>
        <v>0</v>
      </c>
      <c r="U216">
        <f ca="1"/>
        <v>0</v>
      </c>
      <c r="V216">
        <f ca="1"/>
        <v>0.58506734543386152</v>
      </c>
      <c r="X216" s="2">
        <f t="shared" ca="1" si="22"/>
        <v>45626</v>
      </c>
      <c r="Y216">
        <f t="shared" ca="1" si="23"/>
        <v>0</v>
      </c>
      <c r="AA216" s="63">
        <f t="shared" ca="1" si="25"/>
        <v>42.773064541292307</v>
      </c>
      <c r="AB216" s="63">
        <f t="shared" ca="1" si="26"/>
        <v>42.773064541292314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45627</v>
      </c>
      <c r="K217">
        <f ca="1"/>
        <v>42.765964535981382</v>
      </c>
      <c r="L217">
        <f ca="1"/>
        <v>0.56756916973196603</v>
      </c>
      <c r="M217">
        <f ca="1"/>
        <v>6.2738810857389637E-2</v>
      </c>
      <c r="N217">
        <f ca="1"/>
        <v>1.0322973920813654</v>
      </c>
      <c r="O217">
        <f ca="1"/>
        <v>0</v>
      </c>
      <c r="P217">
        <f ca="1"/>
        <v>12.456532660692256</v>
      </c>
      <c r="Q217">
        <f ca="1"/>
        <v>11.526337039926275</v>
      </c>
      <c r="R217">
        <f ca="1"/>
        <v>0</v>
      </c>
      <c r="S217">
        <f ca="1"/>
        <v>0.87248976205341044</v>
      </c>
      <c r="T217">
        <f ca="1"/>
        <v>0</v>
      </c>
      <c r="U217">
        <f ca="1"/>
        <v>0</v>
      </c>
      <c r="V217">
        <f ca="1"/>
        <v>0.61467917545947859</v>
      </c>
      <c r="X217" s="2">
        <f t="shared" ca="1" si="22"/>
        <v>45627</v>
      </c>
      <c r="Y217">
        <f t="shared" ca="1" si="23"/>
        <v>0</v>
      </c>
      <c r="AA217" s="63">
        <f t="shared" ca="1" si="25"/>
        <v>43.33353370571335</v>
      </c>
      <c r="AB217" s="63">
        <f t="shared" ca="1" si="26"/>
        <v>43.33353370571335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45628</v>
      </c>
      <c r="K218">
        <f ca="1"/>
        <v>43.248041406135151</v>
      </c>
      <c r="L218">
        <f ca="1"/>
        <v>0.5895890100621628</v>
      </c>
      <c r="M218">
        <f ca="1"/>
        <v>6.4456733630798624E-2</v>
      </c>
      <c r="N218">
        <f ca="1"/>
        <v>1.0072091465851318</v>
      </c>
      <c r="O218">
        <f ca="1"/>
        <v>0</v>
      </c>
      <c r="P218">
        <f ca="1"/>
        <v>13.046121670754419</v>
      </c>
      <c r="Q218">
        <f ca="1"/>
        <v>12.071898299237043</v>
      </c>
      <c r="R218">
        <f ca="1"/>
        <v>0</v>
      </c>
      <c r="S218">
        <f ca="1"/>
        <v>0.85890743206587195</v>
      </c>
      <c r="T218">
        <f ca="1"/>
        <v>0</v>
      </c>
      <c r="U218">
        <f ca="1"/>
        <v>0</v>
      </c>
      <c r="V218">
        <f ca="1"/>
        <v>0.64330774784192846</v>
      </c>
      <c r="X218" s="2">
        <f t="shared" ca="1" si="22"/>
        <v>45628</v>
      </c>
      <c r="Y218">
        <f t="shared" ca="1" si="23"/>
        <v>0</v>
      </c>
      <c r="AA218" s="63">
        <f t="shared" ca="1" si="25"/>
        <v>43.837630416197314</v>
      </c>
      <c r="AB218" s="63">
        <f t="shared" ca="1" si="26"/>
        <v>43.837630416197314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45629</v>
      </c>
      <c r="K219">
        <f ca="1"/>
        <v>43.718876195319112</v>
      </c>
      <c r="L219">
        <f ca="1"/>
        <v>0.63643155376056804</v>
      </c>
      <c r="M219">
        <f ca="1"/>
        <v>6.8892662171109009E-2</v>
      </c>
      <c r="N219">
        <f ca="1"/>
        <v>1.0383736807734147</v>
      </c>
      <c r="O219">
        <f ca="1"/>
        <v>0</v>
      </c>
      <c r="P219">
        <f ca="1"/>
        <v>13.682553224514987</v>
      </c>
      <c r="Q219">
        <f ca="1"/>
        <v>12.660804120086919</v>
      </c>
      <c r="R219">
        <f ca="1"/>
        <v>0</v>
      </c>
      <c r="S219">
        <f ca="1"/>
        <v>0.84988325510112828</v>
      </c>
      <c r="T219">
        <f ca="1"/>
        <v>0</v>
      </c>
      <c r="U219">
        <f ca="1"/>
        <v>0</v>
      </c>
      <c r="V219">
        <f ca="1"/>
        <v>0.67184147975092379</v>
      </c>
      <c r="X219" s="2">
        <f t="shared" ca="1" si="22"/>
        <v>45629</v>
      </c>
      <c r="Y219">
        <f t="shared" ca="1" si="23"/>
        <v>0</v>
      </c>
      <c r="AA219" s="63">
        <f t="shared" ca="1" si="25"/>
        <v>44.355307749079678</v>
      </c>
      <c r="AB219" s="63">
        <f t="shared" ca="1" si="26"/>
        <v>44.355307749079678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45630</v>
      </c>
      <c r="K220">
        <f ca="1"/>
        <v>44.115421563198133</v>
      </c>
      <c r="L220">
        <f ca="1"/>
        <v>0.65917815350078968</v>
      </c>
      <c r="M220">
        <f ca="1"/>
        <v>7.0021356124577494E-2</v>
      </c>
      <c r="N220">
        <f ca="1"/>
        <v>0.98570216525523302</v>
      </c>
      <c r="O220">
        <f ca="1"/>
        <v>0</v>
      </c>
      <c r="P220">
        <f ca="1"/>
        <v>14.341731378015776</v>
      </c>
      <c r="Q220">
        <f ca="1"/>
        <v>13.270757930956155</v>
      </c>
      <c r="R220">
        <f ca="1"/>
        <v>0</v>
      </c>
      <c r="S220">
        <f ca="1"/>
        <v>0.81876393497727307</v>
      </c>
      <c r="T220">
        <f ca="1"/>
        <v>0</v>
      </c>
      <c r="U220">
        <f ca="1"/>
        <v>0</v>
      </c>
      <c r="V220">
        <f ca="1"/>
        <v>0.69891892399139444</v>
      </c>
      <c r="X220" s="2">
        <f t="shared" ca="1" si="22"/>
        <v>45630</v>
      </c>
      <c r="Y220">
        <f t="shared" ca="1" si="23"/>
        <v>0</v>
      </c>
      <c r="AA220" s="63">
        <f t="shared" ca="1" si="25"/>
        <v>44.774599716698923</v>
      </c>
      <c r="AB220" s="63">
        <f t="shared" ca="1" si="26"/>
        <v>44.774599716698923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45631</v>
      </c>
      <c r="K221">
        <f ca="1"/>
        <v>44.482423105989703</v>
      </c>
      <c r="L221">
        <f ca="1"/>
        <v>0.6890498388895967</v>
      </c>
      <c r="M221">
        <f ca="1"/>
        <v>7.1725042394241711E-2</v>
      </c>
      <c r="N221">
        <f ca="1"/>
        <v>0.98432633928692215</v>
      </c>
      <c r="O221">
        <f ca="1"/>
        <v>0</v>
      </c>
      <c r="P221">
        <f ca="1"/>
        <v>15.030781216905373</v>
      </c>
      <c r="Q221">
        <f ca="1"/>
        <v>13.908352749409193</v>
      </c>
      <c r="R221">
        <f ca="1"/>
        <v>0</v>
      </c>
      <c r="S221">
        <f ca="1"/>
        <v>0.81707841646794965</v>
      </c>
      <c r="T221">
        <f ca="1"/>
        <v>0</v>
      </c>
      <c r="U221">
        <f ca="1"/>
        <v>0</v>
      </c>
      <c r="V221">
        <f ca="1"/>
        <v>0.72469296612874146</v>
      </c>
      <c r="X221" s="2">
        <f t="shared" ca="1" si="22"/>
        <v>45631</v>
      </c>
      <c r="Y221">
        <f t="shared" ca="1" si="23"/>
        <v>0</v>
      </c>
      <c r="AA221" s="63">
        <f t="shared" ca="1" si="25"/>
        <v>45.171472944879298</v>
      </c>
      <c r="AB221" s="63">
        <f t="shared" ca="1" si="26"/>
        <v>45.171472944879298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45632</v>
      </c>
      <c r="K222">
        <f ca="1"/>
        <v>44.796299270436762</v>
      </c>
      <c r="L222">
        <f ca="1"/>
        <v>0.69416159846809222</v>
      </c>
      <c r="M222">
        <f ca="1"/>
        <v>7.0350799482127968E-2</v>
      </c>
      <c r="N222">
        <f ca="1"/>
        <v>0.93768696343302271</v>
      </c>
      <c r="O222">
        <f ca="1"/>
        <v>0</v>
      </c>
      <c r="P222">
        <f ca="1"/>
        <v>15.724942815373465</v>
      </c>
      <c r="Q222">
        <f ca="1"/>
        <v>14.550677605134538</v>
      </c>
      <c r="R222">
        <f ca="1"/>
        <v>0</v>
      </c>
      <c r="S222">
        <f ca="1"/>
        <v>0.81472339134854765</v>
      </c>
      <c r="T222">
        <f ca="1"/>
        <v>0</v>
      </c>
      <c r="U222">
        <f ca="1"/>
        <v>0</v>
      </c>
      <c r="V222">
        <f ca="1"/>
        <v>0.74823317247179388</v>
      </c>
      <c r="X222" s="2">
        <f t="shared" ca="1" si="22"/>
        <v>45632</v>
      </c>
      <c r="Y222">
        <f t="shared" ca="1" si="23"/>
        <v>0</v>
      </c>
      <c r="AA222" s="63">
        <f t="shared" ca="1" si="25"/>
        <v>45.490460868904854</v>
      </c>
      <c r="AB222" s="63">
        <f t="shared" ca="1" si="26"/>
        <v>45.490460868904854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45633</v>
      </c>
      <c r="K223">
        <f ca="1"/>
        <v>45.118800179430558</v>
      </c>
      <c r="L223">
        <f ca="1"/>
        <v>0.69482870511670392</v>
      </c>
      <c r="M223">
        <f ca="1"/>
        <v>6.8550098679288851E-2</v>
      </c>
      <c r="N223">
        <f ca="1"/>
        <v>0.94877951543121486</v>
      </c>
      <c r="O223">
        <f ca="1"/>
        <v>0</v>
      </c>
      <c r="P223">
        <f ca="1"/>
        <v>16.419771520490169</v>
      </c>
      <c r="Q223">
        <f ca="1"/>
        <v>15.193619751102917</v>
      </c>
      <c r="R223">
        <f ca="1"/>
        <v>0</v>
      </c>
      <c r="S223">
        <f ca="1"/>
        <v>0.86290083077132884</v>
      </c>
      <c r="T223">
        <f ca="1"/>
        <v>0</v>
      </c>
      <c r="U223">
        <f ca="1"/>
        <v>0</v>
      </c>
      <c r="V223">
        <f ca="1"/>
        <v>0.76955915083449511</v>
      </c>
      <c r="X223" s="2">
        <f t="shared" ca="1" si="22"/>
        <v>45633</v>
      </c>
      <c r="Y223">
        <f t="shared" ca="1" si="23"/>
        <v>0</v>
      </c>
      <c r="AA223" s="63">
        <f t="shared" ca="1" si="25"/>
        <v>45.813628884547263</v>
      </c>
      <c r="AB223" s="63">
        <f t="shared" ca="1" si="26"/>
        <v>45.813628884547263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45634</v>
      </c>
      <c r="K224">
        <f ca="1"/>
        <v>45.40402127626367</v>
      </c>
      <c r="L224">
        <f ca="1"/>
        <v>0.75438690411586151</v>
      </c>
      <c r="M224">
        <f ca="1"/>
        <v>7.2793111591501258E-2</v>
      </c>
      <c r="N224">
        <f ca="1"/>
        <v>0.96681488935747328</v>
      </c>
      <c r="O224">
        <f ca="1"/>
        <v>0</v>
      </c>
      <c r="P224">
        <f ca="1"/>
        <v>17.174158424606031</v>
      </c>
      <c r="Q224">
        <f ca="1"/>
        <v>15.891672568223111</v>
      </c>
      <c r="R224">
        <f ca="1"/>
        <v>0</v>
      </c>
      <c r="S224">
        <f ca="1"/>
        <v>0.83647481691069747</v>
      </c>
      <c r="T224">
        <f ca="1"/>
        <v>0</v>
      </c>
      <c r="U224">
        <f ca="1"/>
        <v>0</v>
      </c>
      <c r="V224">
        <f ca="1"/>
        <v>0.79041074234204922</v>
      </c>
      <c r="X224" s="2">
        <f t="shared" ca="1" si="22"/>
        <v>45634</v>
      </c>
      <c r="Y224">
        <f t="shared" ca="1" si="23"/>
        <v>0</v>
      </c>
      <c r="AA224" s="63">
        <f t="shared" ca="1" si="25"/>
        <v>46.158408180379531</v>
      </c>
      <c r="AB224" s="63">
        <f t="shared" ca="1" si="26"/>
        <v>46.158408180379531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45635</v>
      </c>
      <c r="K225">
        <f ca="1"/>
        <v>45.756179457078332</v>
      </c>
      <c r="L225">
        <f ca="1"/>
        <v>0.82686905826581025</v>
      </c>
      <c r="M225">
        <f ca="1"/>
        <v>7.8064324800259044E-2</v>
      </c>
      <c r="N225">
        <f ca="1"/>
        <v>1.100962914280214</v>
      </c>
      <c r="O225">
        <f ca="1"/>
        <v>0</v>
      </c>
      <c r="P225">
        <f ca="1"/>
        <v>18.001027482871841</v>
      </c>
      <c r="Q225">
        <f ca="1"/>
        <v>16.656794911098945</v>
      </c>
      <c r="R225">
        <f ca="1"/>
        <v>0</v>
      </c>
      <c r="S225">
        <f ca="1"/>
        <v>0.88761538009197505</v>
      </c>
      <c r="T225">
        <f ca="1"/>
        <v>0</v>
      </c>
      <c r="U225">
        <f ca="1"/>
        <v>0</v>
      </c>
      <c r="V225">
        <f ca="1"/>
        <v>0.81079317102113335</v>
      </c>
      <c r="X225" s="2">
        <f t="shared" ca="1" si="22"/>
        <v>45635</v>
      </c>
      <c r="Y225">
        <f t="shared" ca="1" si="23"/>
        <v>0</v>
      </c>
      <c r="AA225" s="63">
        <f t="shared" ca="1" si="25"/>
        <v>46.583048515344146</v>
      </c>
      <c r="AB225" s="63">
        <f t="shared" ca="1" si="26"/>
        <v>46.583048515344146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45636</v>
      </c>
      <c r="K226">
        <f ca="1"/>
        <v>46.085166078987598</v>
      </c>
      <c r="L226">
        <f ca="1"/>
        <v>0.9057223086482864</v>
      </c>
      <c r="M226">
        <f ca="1"/>
        <v>8.3612432852191887E-2</v>
      </c>
      <c r="N226">
        <f ca="1"/>
        <v>1.1510964977053604</v>
      </c>
      <c r="O226">
        <f ca="1"/>
        <v>0</v>
      </c>
      <c r="P226">
        <f ca="1"/>
        <v>18.906749791520127</v>
      </c>
      <c r="Q226">
        <f ca="1"/>
        <v>17.494882112283236</v>
      </c>
      <c r="R226">
        <f ca="1"/>
        <v>0</v>
      </c>
      <c r="S226">
        <f ca="1"/>
        <v>0.87339049819475167</v>
      </c>
      <c r="T226">
        <f ca="1"/>
        <v>0</v>
      </c>
      <c r="U226">
        <f ca="1"/>
        <v>0</v>
      </c>
      <c r="V226">
        <f ca="1"/>
        <v>0.83049383702881019</v>
      </c>
      <c r="X226" s="2">
        <f t="shared" ca="1" si="22"/>
        <v>45636</v>
      </c>
      <c r="Y226">
        <f t="shared" ca="1" si="23"/>
        <v>0</v>
      </c>
      <c r="AA226" s="63">
        <f t="shared" ca="1" si="25"/>
        <v>46.990888387635884</v>
      </c>
      <c r="AB226" s="63">
        <f t="shared" ca="1" si="26"/>
        <v>46.990888387635884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45637</v>
      </c>
      <c r="K227">
        <f ca="1"/>
        <v>46.332536314790396</v>
      </c>
      <c r="L227">
        <f ca="1"/>
        <v>0.91757332081520815</v>
      </c>
      <c r="M227">
        <f ca="1"/>
        <v>8.1463566416772437E-2</v>
      </c>
      <c r="N227">
        <f ca="1"/>
        <v>1.0834799902012358</v>
      </c>
      <c r="O227">
        <f ca="1"/>
        <v>0</v>
      </c>
      <c r="P227">
        <f ca="1"/>
        <v>19.824323112335335</v>
      </c>
      <c r="Q227">
        <f ca="1"/>
        <v>18.343935347453151</v>
      </c>
      <c r="R227">
        <f ca="1"/>
        <v>0</v>
      </c>
      <c r="S227">
        <f ca="1"/>
        <v>0.85801772095075279</v>
      </c>
      <c r="T227">
        <f ca="1"/>
        <v>0</v>
      </c>
      <c r="U227">
        <f ca="1"/>
        <v>0</v>
      </c>
      <c r="V227">
        <f ca="1"/>
        <v>0.84800515413253874</v>
      </c>
      <c r="X227" s="2">
        <f t="shared" ca="1" si="22"/>
        <v>45637</v>
      </c>
      <c r="Y227">
        <f t="shared" ca="1" si="23"/>
        <v>0</v>
      </c>
      <c r="AA227" s="63">
        <f t="shared" ca="1" si="25"/>
        <v>47.250109635605604</v>
      </c>
      <c r="AB227" s="63">
        <f t="shared" ca="1" si="26"/>
        <v>47.250109635605604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45638</v>
      </c>
      <c r="K228">
        <f ca="1"/>
        <v>46.49107699704178</v>
      </c>
      <c r="L228">
        <f ca="1"/>
        <v>0.9506011825899563</v>
      </c>
      <c r="M228">
        <f ca="1"/>
        <v>8.1497021673115455E-2</v>
      </c>
      <c r="N228">
        <f ca="1"/>
        <v>1.0276448431682261</v>
      </c>
      <c r="O228">
        <f ca="1"/>
        <v>0</v>
      </c>
      <c r="P228">
        <f ca="1"/>
        <v>20.774924294925292</v>
      </c>
      <c r="Q228">
        <f ca="1"/>
        <v>19.223550078096451</v>
      </c>
      <c r="R228">
        <f ca="1"/>
        <v>0</v>
      </c>
      <c r="S228">
        <f ca="1"/>
        <v>0.8242496472006885</v>
      </c>
      <c r="T228">
        <f ca="1"/>
        <v>0</v>
      </c>
      <c r="U228">
        <f ca="1"/>
        <v>0</v>
      </c>
      <c r="V228">
        <f ca="1"/>
        <v>0.86389586907324745</v>
      </c>
      <c r="X228" s="2">
        <f t="shared" ca="1" si="22"/>
        <v>45638</v>
      </c>
      <c r="Y228">
        <f t="shared" ca="1" si="23"/>
        <v>0</v>
      </c>
      <c r="AA228" s="63">
        <f t="shared" ca="1" si="25"/>
        <v>47.441678179631737</v>
      </c>
      <c r="AB228" s="63">
        <f t="shared" ca="1" si="26"/>
        <v>47.441678179631737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45639</v>
      </c>
      <c r="K229">
        <f ca="1"/>
        <v>46.553133553934273</v>
      </c>
      <c r="L229">
        <f ca="1"/>
        <v>0.94989707128910439</v>
      </c>
      <c r="M229">
        <f ca="1"/>
        <v>7.8235908000486631E-2</v>
      </c>
      <c r="N229">
        <f ca="1"/>
        <v>0.93371772018110932</v>
      </c>
      <c r="O229">
        <f ca="1"/>
        <v>0</v>
      </c>
      <c r="P229">
        <f ca="1"/>
        <v>21.724821366214396</v>
      </c>
      <c r="Q229">
        <f ca="1"/>
        <v>20.102513277178904</v>
      </c>
      <c r="R229">
        <f ca="1"/>
        <v>0</v>
      </c>
      <c r="S229">
        <f ca="1"/>
        <v>0.79239206491004599</v>
      </c>
      <c r="T229">
        <f ca="1"/>
        <v>0</v>
      </c>
      <c r="U229">
        <f ca="1"/>
        <v>0</v>
      </c>
      <c r="V229">
        <f ca="1"/>
        <v>0.87779907231115917</v>
      </c>
      <c r="X229" s="2">
        <f t="shared" ca="1" si="22"/>
        <v>45639</v>
      </c>
      <c r="Y229">
        <f t="shared" ca="1" si="23"/>
        <v>0</v>
      </c>
      <c r="AA229" s="63">
        <f t="shared" ca="1" si="25"/>
        <v>47.503030625223374</v>
      </c>
      <c r="AB229" s="63">
        <f t="shared" ca="1" si="26"/>
        <v>47.503030625223374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45640</v>
      </c>
      <c r="K230">
        <f ca="1"/>
        <v>46.583403065735041</v>
      </c>
      <c r="L230">
        <f ca="1"/>
        <v>0.96099859670191279</v>
      </c>
      <c r="M230">
        <f ca="1"/>
        <v>7.6298787401555046E-2</v>
      </c>
      <c r="N230">
        <f ca="1"/>
        <v>0.91496932110112239</v>
      </c>
      <c r="O230">
        <f ca="1"/>
        <v>0</v>
      </c>
      <c r="P230">
        <f ca="1"/>
        <v>22.685819962916309</v>
      </c>
      <c r="Q230">
        <f ca="1"/>
        <v>20.991748991659573</v>
      </c>
      <c r="R230">
        <f ca="1"/>
        <v>0</v>
      </c>
      <c r="S230">
        <f ca="1"/>
        <v>0.80393198432336233</v>
      </c>
      <c r="T230">
        <f ca="1"/>
        <v>0</v>
      </c>
      <c r="U230">
        <f ca="1"/>
        <v>0</v>
      </c>
      <c r="V230">
        <f ca="1"/>
        <v>0.89013373269748042</v>
      </c>
      <c r="X230" s="2">
        <f t="shared" ca="1" si="22"/>
        <v>45640</v>
      </c>
      <c r="Y230">
        <f t="shared" ca="1" si="23"/>
        <v>0</v>
      </c>
      <c r="AA230" s="63">
        <f t="shared" ca="1" si="25"/>
        <v>47.544401662436954</v>
      </c>
      <c r="AB230" s="63">
        <f t="shared" ca="1" si="26"/>
        <v>47.544401662436954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45641</v>
      </c>
      <c r="K231">
        <f ca="1"/>
        <v>46.549765944991336</v>
      </c>
      <c r="L231">
        <f ca="1"/>
        <v>1.0644058696024281</v>
      </c>
      <c r="M231">
        <f ca="1"/>
        <v>8.2243056830748174E-2</v>
      </c>
      <c r="N231">
        <f ca="1"/>
        <v>0.94852569202797876</v>
      </c>
      <c r="O231">
        <f ca="1"/>
        <v>0</v>
      </c>
      <c r="P231">
        <f ca="1"/>
        <v>23.750225832518737</v>
      </c>
      <c r="Q231">
        <f ca="1"/>
        <v>21.976670007363118</v>
      </c>
      <c r="R231">
        <f ca="1"/>
        <v>0</v>
      </c>
      <c r="S231">
        <f ca="1"/>
        <v>0.76940978841550356</v>
      </c>
      <c r="T231">
        <f ca="1"/>
        <v>0</v>
      </c>
      <c r="U231">
        <f ca="1"/>
        <v>0</v>
      </c>
      <c r="V231">
        <f ca="1"/>
        <v>0.90205409266905201</v>
      </c>
      <c r="X231" s="2">
        <f t="shared" ca="1" si="22"/>
        <v>45641</v>
      </c>
      <c r="Y231">
        <f t="shared" ca="1" si="23"/>
        <v>0</v>
      </c>
      <c r="AA231" s="63">
        <f t="shared" ca="1" si="25"/>
        <v>47.614171814593767</v>
      </c>
      <c r="AB231" s="63">
        <f t="shared" ca="1" si="26"/>
        <v>47.61417181459376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45642</v>
      </c>
      <c r="K232">
        <f ca="1"/>
        <v>46.481953036210129</v>
      </c>
      <c r="L232">
        <f ca="1"/>
        <v>1.1080560489891234</v>
      </c>
      <c r="M232">
        <f ca="1"/>
        <v>8.2513732821752228E-2</v>
      </c>
      <c r="N232">
        <f ca="1"/>
        <v>0.95772940738616674</v>
      </c>
      <c r="O232">
        <f ca="1"/>
        <v>0</v>
      </c>
      <c r="P232">
        <f ca="1"/>
        <v>24.85828188150786</v>
      </c>
      <c r="Q232">
        <f ca="1"/>
        <v>23.001981611135516</v>
      </c>
      <c r="R232">
        <f ca="1"/>
        <v>0</v>
      </c>
      <c r="S232">
        <f ca="1"/>
        <v>0.77677516597275775</v>
      </c>
      <c r="T232">
        <f ca="1"/>
        <v>0</v>
      </c>
      <c r="U232">
        <f ca="1"/>
        <v>0</v>
      </c>
      <c r="V232">
        <f ca="1"/>
        <v>0.91280779606733664</v>
      </c>
      <c r="X232" s="2">
        <f t="shared" ca="1" si="22"/>
        <v>45642</v>
      </c>
      <c r="Y232">
        <f t="shared" ca="1" si="23"/>
        <v>0</v>
      </c>
      <c r="AA232" s="63">
        <f t="shared" ca="1" si="25"/>
        <v>47.590009085199256</v>
      </c>
      <c r="AB232" s="63">
        <f t="shared" ca="1" si="26"/>
        <v>47.590009085199256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45643</v>
      </c>
      <c r="K233">
        <f ca="1"/>
        <v>46.333115375914765</v>
      </c>
      <c r="L233">
        <f ca="1"/>
        <v>1.1823606651095702</v>
      </c>
      <c r="M233">
        <f ca="1"/>
        <v>8.5136323100940103E-2</v>
      </c>
      <c r="N233">
        <f ca="1"/>
        <v>0.94838668171326623</v>
      </c>
      <c r="O233">
        <f ca="1"/>
        <v>0</v>
      </c>
      <c r="P233">
        <f ca="1"/>
        <v>26.04064254661743</v>
      </c>
      <c r="Q233">
        <f ca="1"/>
        <v>24.0960491096947</v>
      </c>
      <c r="R233">
        <f ca="1"/>
        <v>0</v>
      </c>
      <c r="S233">
        <f ca="1"/>
        <v>0.74447189952672022</v>
      </c>
      <c r="T233">
        <f ca="1"/>
        <v>0</v>
      </c>
      <c r="U233">
        <f ca="1"/>
        <v>0</v>
      </c>
      <c r="V233">
        <f ca="1"/>
        <v>0.92271148396194336</v>
      </c>
      <c r="X233" s="2">
        <f t="shared" ca="1" si="22"/>
        <v>45643</v>
      </c>
      <c r="Y233">
        <f t="shared" ca="1" si="23"/>
        <v>0</v>
      </c>
      <c r="AA233" s="63">
        <f t="shared" ca="1" si="25"/>
        <v>47.515476041024336</v>
      </c>
      <c r="AB233" s="63">
        <f t="shared" ca="1" si="26"/>
        <v>47.515476041024336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45644</v>
      </c>
      <c r="K234">
        <f ca="1"/>
        <v>46.201289689457134</v>
      </c>
      <c r="L234">
        <f ca="1"/>
        <v>1.1971651230488973</v>
      </c>
      <c r="M234">
        <f ca="1"/>
        <v>8.2555315225057768E-2</v>
      </c>
      <c r="N234">
        <f ca="1"/>
        <v>0.98278412136621163</v>
      </c>
      <c r="O234">
        <f ca="1"/>
        <v>0</v>
      </c>
      <c r="P234">
        <f ca="1"/>
        <v>27.237807669666328</v>
      </c>
      <c r="Q234">
        <f ca="1"/>
        <v>25.203815538489948</v>
      </c>
      <c r="R234">
        <f ca="1"/>
        <v>0</v>
      </c>
      <c r="S234">
        <f ca="1"/>
        <v>0.79893152453454686</v>
      </c>
      <c r="T234">
        <f ca="1"/>
        <v>0</v>
      </c>
      <c r="U234">
        <f ca="1"/>
        <v>0</v>
      </c>
      <c r="V234">
        <f ca="1"/>
        <v>0.93135018071734943</v>
      </c>
      <c r="X234" s="2">
        <f t="shared" ca="1" si="22"/>
        <v>45644</v>
      </c>
      <c r="Y234">
        <f t="shared" ca="1" si="23"/>
        <v>0</v>
      </c>
      <c r="AA234" s="63">
        <f t="shared" ca="1" si="25"/>
        <v>47.398454812506031</v>
      </c>
      <c r="AB234" s="63">
        <f t="shared" ca="1" si="26"/>
        <v>47.398454812506031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45645</v>
      </c>
      <c r="K235">
        <f ca="1"/>
        <v>46.029633192554854</v>
      </c>
      <c r="L235">
        <f ca="1"/>
        <v>1.1858137687692398</v>
      </c>
      <c r="M235">
        <f ca="1"/>
        <v>7.8273305523673287E-2</v>
      </c>
      <c r="N235">
        <f ca="1"/>
        <v>0.93588396634328441</v>
      </c>
      <c r="O235">
        <f ca="1"/>
        <v>0</v>
      </c>
      <c r="P235">
        <f ca="1"/>
        <v>28.423621438435568</v>
      </c>
      <c r="Q235">
        <f ca="1"/>
        <v>26.301078279071877</v>
      </c>
      <c r="R235">
        <f ca="1"/>
        <v>0</v>
      </c>
      <c r="S235">
        <f ca="1"/>
        <v>0.80829292900452043</v>
      </c>
      <c r="T235">
        <f ca="1"/>
        <v>0</v>
      </c>
      <c r="U235">
        <f ca="1"/>
        <v>0</v>
      </c>
      <c r="V235">
        <f ca="1"/>
        <v>0.93874959752263698</v>
      </c>
      <c r="X235" s="2">
        <f t="shared" ca="1" si="22"/>
        <v>45645</v>
      </c>
      <c r="Y235">
        <f t="shared" ca="1" si="23"/>
        <v>0</v>
      </c>
      <c r="AA235" s="63">
        <f t="shared" ca="1" si="25"/>
        <v>47.215446961324091</v>
      </c>
      <c r="AB235" s="63">
        <f t="shared" ca="1" si="26"/>
        <v>47.215446961324091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45646</v>
      </c>
      <c r="K236">
        <f ca="1"/>
        <v>45.76654663303249</v>
      </c>
      <c r="L236">
        <f ca="1"/>
        <v>1.2389101950642036</v>
      </c>
      <c r="M236">
        <f ca="1"/>
        <v>7.8869262838416887E-2</v>
      </c>
      <c r="N236">
        <f ca="1"/>
        <v>0.89695437270341738</v>
      </c>
      <c r="O236">
        <f ca="1"/>
        <v>0</v>
      </c>
      <c r="P236">
        <f ca="1"/>
        <v>29.662531633499771</v>
      </c>
      <c r="Q236">
        <f ca="1"/>
        <v>27.447472453076088</v>
      </c>
      <c r="R236">
        <f ca="1"/>
        <v>0</v>
      </c>
      <c r="S236">
        <f ca="1"/>
        <v>0.76841744746185914</v>
      </c>
      <c r="T236">
        <f ca="1"/>
        <v>0</v>
      </c>
      <c r="U236">
        <f ca="1"/>
        <v>0</v>
      </c>
      <c r="V236">
        <f ca="1"/>
        <v>0.94544554270105396</v>
      </c>
      <c r="X236" s="2">
        <f t="shared" ca="1" si="22"/>
        <v>45646</v>
      </c>
      <c r="Y236">
        <f t="shared" ca="1" si="23"/>
        <v>0</v>
      </c>
      <c r="AA236" s="63">
        <f t="shared" ca="1" si="25"/>
        <v>47.00545682809669</v>
      </c>
      <c r="AB236" s="63">
        <f t="shared" ca="1" si="26"/>
        <v>47.005456828096698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45647</v>
      </c>
      <c r="K237">
        <f ca="1"/>
        <v>45.410199080243828</v>
      </c>
      <c r="L237">
        <f ca="1"/>
        <v>1.2898794309282771</v>
      </c>
      <c r="M237">
        <f ca="1"/>
        <v>7.9132416356873847E-2</v>
      </c>
      <c r="N237">
        <f ca="1"/>
        <v>0.8543994617827384</v>
      </c>
      <c r="O237">
        <f ca="1"/>
        <v>0</v>
      </c>
      <c r="P237">
        <f ca="1"/>
        <v>30.952411064428048</v>
      </c>
      <c r="Q237">
        <f ca="1"/>
        <v>28.64102971870777</v>
      </c>
      <c r="R237">
        <f ca="1"/>
        <v>0</v>
      </c>
      <c r="S237">
        <f ca="1"/>
        <v>0.72727443169952288</v>
      </c>
      <c r="T237">
        <f ca="1"/>
        <v>0</v>
      </c>
      <c r="U237">
        <f ca="1"/>
        <v>0</v>
      </c>
      <c r="V237">
        <f ca="1"/>
        <v>0.95147204610970793</v>
      </c>
      <c r="X237" s="2">
        <f t="shared" ca="1" si="22"/>
        <v>45647</v>
      </c>
      <c r="Y237">
        <f t="shared" ca="1" si="23"/>
        <v>0</v>
      </c>
      <c r="AA237" s="63">
        <f t="shared" ca="1" si="25"/>
        <v>46.700078511172102</v>
      </c>
      <c r="AB237" s="63">
        <f t="shared" ca="1" si="26"/>
        <v>46.700078511172109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45648</v>
      </c>
      <c r="K238">
        <f ca="1"/>
        <v>44.949198075324496</v>
      </c>
      <c r="L238">
        <f ca="1"/>
        <v>1.3929190179120141</v>
      </c>
      <c r="M238">
        <f ca="1"/>
        <v>8.2700993565975267E-2</v>
      </c>
      <c r="N238">
        <f ca="1"/>
        <v>0.84921701942671246</v>
      </c>
      <c r="O238">
        <f ca="1"/>
        <v>0</v>
      </c>
      <c r="P238">
        <f ca="1"/>
        <v>32.345330082340062</v>
      </c>
      <c r="Q238">
        <f ca="1"/>
        <v>29.929932056710769</v>
      </c>
      <c r="R238">
        <f ca="1"/>
        <v>0</v>
      </c>
      <c r="S238">
        <f ca="1"/>
        <v>0.68278491103142613</v>
      </c>
      <c r="T238">
        <f ca="1"/>
        <v>0</v>
      </c>
      <c r="U238">
        <f ca="1"/>
        <v>0</v>
      </c>
      <c r="V238">
        <f ca="1"/>
        <v>0.95707402754218551</v>
      </c>
      <c r="X238" s="2">
        <f t="shared" ca="1" si="22"/>
        <v>45648</v>
      </c>
      <c r="Y238">
        <f t="shared" ca="1" si="23"/>
        <v>0</v>
      </c>
      <c r="AA238" s="63">
        <f t="shared" ca="1" si="25"/>
        <v>46.342117093236517</v>
      </c>
      <c r="AB238" s="63">
        <f t="shared" ca="1" si="26"/>
        <v>46.34211709323651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45649</v>
      </c>
      <c r="K239">
        <f ca="1"/>
        <v>44.445183816200398</v>
      </c>
      <c r="L239">
        <f ca="1"/>
        <v>1.4496459968609372</v>
      </c>
      <c r="M239">
        <f ca="1"/>
        <v>8.278462176178536E-2</v>
      </c>
      <c r="N239">
        <f ca="1"/>
        <v>0.86284711597505692</v>
      </c>
      <c r="O239">
        <f ca="1"/>
        <v>0</v>
      </c>
      <c r="P239">
        <f ca="1"/>
        <v>33.794976079201</v>
      </c>
      <c r="Q239">
        <f ca="1"/>
        <v>31.271325268091836</v>
      </c>
      <c r="R239">
        <f ca="1"/>
        <v>0</v>
      </c>
      <c r="S239">
        <f ca="1"/>
        <v>0.69124046591656629</v>
      </c>
      <c r="T239">
        <f ca="1"/>
        <v>0</v>
      </c>
      <c r="U239">
        <f ca="1"/>
        <v>0</v>
      </c>
      <c r="V239">
        <f ca="1"/>
        <v>0.96207185004897777</v>
      </c>
      <c r="X239" s="2">
        <f t="shared" ca="1" si="22"/>
        <v>45649</v>
      </c>
      <c r="Y239">
        <f t="shared" ca="1" si="23"/>
        <v>0</v>
      </c>
      <c r="AA239" s="63">
        <f t="shared" ca="1" si="25"/>
        <v>45.894829813061335</v>
      </c>
      <c r="AB239" s="63">
        <f t="shared" ca="1" si="26"/>
        <v>45.894829813061335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45650</v>
      </c>
      <c r="K240">
        <f ca="1"/>
        <v>43.896359657460799</v>
      </c>
      <c r="L240">
        <f ca="1"/>
        <v>1.549525474313576</v>
      </c>
      <c r="M240">
        <f ca="1"/>
        <v>8.5483680214320401E-2</v>
      </c>
      <c r="N240">
        <f ca="1"/>
        <v>0.91521763535965717</v>
      </c>
      <c r="O240">
        <f ca="1"/>
        <v>0</v>
      </c>
      <c r="P240">
        <f ca="1"/>
        <v>35.344501553514576</v>
      </c>
      <c r="Q240">
        <f ca="1"/>
        <v>32.705139424518357</v>
      </c>
      <c r="R240">
        <f ca="1"/>
        <v>0</v>
      </c>
      <c r="S240">
        <f ca="1"/>
        <v>0.7053293393597424</v>
      </c>
      <c r="T240">
        <f ca="1"/>
        <v>0</v>
      </c>
      <c r="U240">
        <f ca="1"/>
        <v>0</v>
      </c>
      <c r="V240">
        <f ca="1"/>
        <v>0.96663653497455859</v>
      </c>
      <c r="X240" s="2">
        <f t="shared" ca="1" si="22"/>
        <v>45650</v>
      </c>
      <c r="Y240">
        <f t="shared" ca="1" si="23"/>
        <v>0</v>
      </c>
      <c r="AA240" s="63">
        <f t="shared" ca="1" si="25"/>
        <v>45.445885131774382</v>
      </c>
      <c r="AB240" s="63">
        <f t="shared" ca="1" si="26"/>
        <v>45.445885131774375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45651</v>
      </c>
      <c r="K241">
        <f ca="1"/>
        <v>43.218974384367549</v>
      </c>
      <c r="L241">
        <f ca="1"/>
        <v>1.655369768967681</v>
      </c>
      <c r="M241">
        <f ca="1"/>
        <v>8.8191930937945529E-2</v>
      </c>
      <c r="N241">
        <f ca="1"/>
        <v>0.88979256493648295</v>
      </c>
      <c r="O241">
        <f ca="1"/>
        <v>0</v>
      </c>
      <c r="P241">
        <f ca="1"/>
        <v>36.999871322482257</v>
      </c>
      <c r="Q241">
        <f ca="1"/>
        <v>34.236893918530662</v>
      </c>
      <c r="R241">
        <f ca="1"/>
        <v>0</v>
      </c>
      <c r="S241">
        <f ca="1"/>
        <v>0.65439415796986244</v>
      </c>
      <c r="T241">
        <f ca="1"/>
        <v>0</v>
      </c>
      <c r="U241">
        <f ca="1"/>
        <v>0</v>
      </c>
      <c r="V241">
        <f ca="1"/>
        <v>0.97078152871161361</v>
      </c>
      <c r="X241" s="2">
        <f t="shared" ca="1" si="22"/>
        <v>45651</v>
      </c>
      <c r="Y241">
        <f t="shared" ca="1" si="23"/>
        <v>0</v>
      </c>
      <c r="AA241" s="63">
        <f t="shared" ca="1" si="25"/>
        <v>44.87434415333523</v>
      </c>
      <c r="AB241" s="63">
        <f t="shared" ca="1" si="26"/>
        <v>44.87434415333523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45652</v>
      </c>
      <c r="K242">
        <f ca="1"/>
        <v>42.439760078762312</v>
      </c>
      <c r="L242">
        <f ca="1"/>
        <v>1.679602301142701</v>
      </c>
      <c r="M242">
        <f ca="1"/>
        <v>8.5420089563395862E-2</v>
      </c>
      <c r="N242">
        <f ca="1"/>
        <v>0.81496790597406199</v>
      </c>
      <c r="O242">
        <f ca="1"/>
        <v>0</v>
      </c>
      <c r="P242">
        <f ca="1"/>
        <v>38.679473623624958</v>
      </c>
      <c r="Q242">
        <f ca="1"/>
        <v>35.791071372510103</v>
      </c>
      <c r="R242">
        <f ca="1"/>
        <v>0</v>
      </c>
      <c r="S242">
        <f ca="1"/>
        <v>0.61017292647969013</v>
      </c>
      <c r="T242">
        <f ca="1"/>
        <v>0</v>
      </c>
      <c r="U242">
        <f ca="1"/>
        <v>0</v>
      </c>
      <c r="V242">
        <f ca="1"/>
        <v>0.97435271764860254</v>
      </c>
      <c r="X242" s="2">
        <f t="shared" ca="1" si="22"/>
        <v>45652</v>
      </c>
      <c r="Y242">
        <f t="shared" ca="1" si="23"/>
        <v>0</v>
      </c>
      <c r="AA242" s="63">
        <f t="shared" ca="1" si="25"/>
        <v>44.119362379905006</v>
      </c>
      <c r="AB242" s="63">
        <f t="shared" ca="1" si="26"/>
        <v>44.119362379905013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45653</v>
      </c>
      <c r="K243">
        <f ca="1"/>
        <v>41.585006757407243</v>
      </c>
      <c r="L243">
        <f ca="1"/>
        <v>1.685586051674953</v>
      </c>
      <c r="M243">
        <f ca="1"/>
        <v>8.1840642744367642E-2</v>
      </c>
      <c r="N243">
        <f ca="1"/>
        <v>0.74899208757551372</v>
      </c>
      <c r="O243">
        <f ca="1"/>
        <v>0</v>
      </c>
      <c r="P243">
        <f ca="1"/>
        <v>40.365059675299911</v>
      </c>
      <c r="Q243">
        <f ca="1"/>
        <v>37.35078573850803</v>
      </c>
      <c r="R243">
        <f ca="1"/>
        <v>0</v>
      </c>
      <c r="S243">
        <f ca="1"/>
        <v>0.57747847085494597</v>
      </c>
      <c r="T243">
        <f ca="1"/>
        <v>0</v>
      </c>
      <c r="U243">
        <f ca="1"/>
        <v>0</v>
      </c>
      <c r="V243">
        <f ca="1"/>
        <v>0.97740828142431657</v>
      </c>
      <c r="X243" s="2">
        <f t="shared" ca="1" si="22"/>
        <v>45653</v>
      </c>
      <c r="Y243">
        <f t="shared" ca="1" si="23"/>
        <v>0</v>
      </c>
      <c r="AA243" s="63">
        <f t="shared" ca="1" si="25"/>
        <v>43.270592809082196</v>
      </c>
      <c r="AB243" s="63">
        <f t="shared" ca="1" si="26"/>
        <v>43.270592809082196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45654</v>
      </c>
      <c r="K244">
        <f ca="1"/>
        <v>40.679392840107063</v>
      </c>
      <c r="L244">
        <f ca="1"/>
        <v>1.7513524732355776</v>
      </c>
      <c r="M244">
        <f ca="1"/>
        <v>8.18135724222806E-2</v>
      </c>
      <c r="N244">
        <f ca="1"/>
        <v>0.76392498351312432</v>
      </c>
      <c r="O244">
        <f ca="1"/>
        <v>0</v>
      </c>
      <c r="P244">
        <f ca="1"/>
        <v>42.116412148535488</v>
      </c>
      <c r="Q244">
        <f ca="1"/>
        <v>38.971355397183814</v>
      </c>
      <c r="R244">
        <f ca="1"/>
        <v>0</v>
      </c>
      <c r="S244">
        <f ca="1"/>
        <v>0.58705322457713671</v>
      </c>
      <c r="T244">
        <f ca="1"/>
        <v>0</v>
      </c>
      <c r="U244">
        <f ca="1"/>
        <v>0</v>
      </c>
      <c r="V244">
        <f ca="1"/>
        <v>0.9801206486605768</v>
      </c>
      <c r="X244" s="2">
        <f t="shared" ca="1" si="22"/>
        <v>45654</v>
      </c>
      <c r="Y244">
        <f t="shared" ca="1" si="23"/>
        <v>0</v>
      </c>
      <c r="AA244" s="63">
        <f t="shared" ca="1" si="25"/>
        <v>42.430745313342641</v>
      </c>
      <c r="AB244" s="63">
        <f t="shared" ca="1" si="26"/>
        <v>42.430745313342641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45655</v>
      </c>
      <c r="K245">
        <f ca="1"/>
        <v>39.723740517973702</v>
      </c>
      <c r="L245">
        <f ca="1"/>
        <v>1.8033883413763263</v>
      </c>
      <c r="M245">
        <f ca="1"/>
        <v>8.0951118158679947E-2</v>
      </c>
      <c r="N245">
        <f ca="1"/>
        <v>0.76678490108428354</v>
      </c>
      <c r="O245">
        <f ca="1"/>
        <v>0</v>
      </c>
      <c r="P245">
        <f ca="1"/>
        <v>43.919800489911815</v>
      </c>
      <c r="Q245">
        <f ca="1"/>
        <v>40.640075128652164</v>
      </c>
      <c r="R245">
        <f ca="1"/>
        <v>0</v>
      </c>
      <c r="S245">
        <f ca="1"/>
        <v>0.59276207793097224</v>
      </c>
      <c r="T245">
        <f ca="1"/>
        <v>0</v>
      </c>
      <c r="U245">
        <f ca="1"/>
        <v>0</v>
      </c>
      <c r="V245">
        <f ca="1"/>
        <v>0.98250662876420602</v>
      </c>
      <c r="X245" s="2">
        <f t="shared" ca="1" si="22"/>
        <v>45655</v>
      </c>
      <c r="Y245">
        <f t="shared" ca="1" si="23"/>
        <v>0</v>
      </c>
      <c r="AA245" s="63">
        <f t="shared" ca="1" si="25"/>
        <v>41.527128859350029</v>
      </c>
      <c r="AB245" s="63">
        <f t="shared" ca="1" si="26"/>
        <v>41.527128859350029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45656</v>
      </c>
      <c r="K246">
        <f ca="1"/>
        <v>38.741252896889243</v>
      </c>
      <c r="L246">
        <f ca="1"/>
        <v>1.8208545741813111</v>
      </c>
      <c r="M246">
        <f ca="1"/>
        <v>7.8362616272599439E-2</v>
      </c>
      <c r="N246">
        <f ca="1"/>
        <v>0.76000433682425583</v>
      </c>
      <c r="O246">
        <f ca="1"/>
        <v>0</v>
      </c>
      <c r="P246">
        <f ca="1"/>
        <v>45.740655064093126</v>
      </c>
      <c r="Q246">
        <f ca="1"/>
        <v>42.324956796319938</v>
      </c>
      <c r="R246">
        <f ca="1"/>
        <v>0</v>
      </c>
      <c r="S246">
        <f ca="1"/>
        <v>0.60715793270006901</v>
      </c>
      <c r="T246">
        <f ca="1"/>
        <v>0</v>
      </c>
      <c r="U246">
        <f ca="1"/>
        <v>0</v>
      </c>
      <c r="V246">
        <f ca="1"/>
        <v>0.98456899259042963</v>
      </c>
      <c r="X246" s="2">
        <f t="shared" ca="1" si="22"/>
        <v>45656</v>
      </c>
      <c r="Y246">
        <f t="shared" ca="1" si="23"/>
        <v>0</v>
      </c>
      <c r="AA246" s="63">
        <f t="shared" ca="1" si="25"/>
        <v>40.562107471070554</v>
      </c>
      <c r="AB246" s="63">
        <f t="shared" ca="1" si="26"/>
        <v>40.562107471070554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45657</v>
      </c>
      <c r="K247">
        <f ca="1"/>
        <v>37.710443600206418</v>
      </c>
      <c r="L247">
        <f ca="1"/>
        <v>1.7380779103767168</v>
      </c>
      <c r="M247">
        <f ca="1"/>
        <v>7.1512993957377091E-2</v>
      </c>
      <c r="N247">
        <f ca="1"/>
        <v>0.63575561973651507</v>
      </c>
      <c r="O247">
        <f ca="1"/>
        <v>0</v>
      </c>
      <c r="P247">
        <f ca="1"/>
        <v>47.478732974469843</v>
      </c>
      <c r="Q247">
        <f ca="1"/>
        <v>43.933243174428263</v>
      </c>
      <c r="R247">
        <f ca="1"/>
        <v>0</v>
      </c>
      <c r="S247">
        <f ca="1"/>
        <v>0.54581013132923228</v>
      </c>
      <c r="T247">
        <f ca="1"/>
        <v>0</v>
      </c>
      <c r="U247">
        <f ca="1"/>
        <v>0</v>
      </c>
      <c r="V247">
        <f ca="1"/>
        <v>0.98626690661636351</v>
      </c>
      <c r="X247" s="2">
        <f t="shared" ca="1" si="22"/>
        <v>45657</v>
      </c>
      <c r="Y247">
        <f t="shared" ca="1" si="23"/>
        <v>0</v>
      </c>
      <c r="AA247" s="63">
        <f t="shared" ca="1" si="25"/>
        <v>39.448521510583134</v>
      </c>
      <c r="AB247" s="63">
        <f t="shared" ca="1" si="26"/>
        <v>39.448521510583134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45658</v>
      </c>
      <c r="K248">
        <f ca="1"/>
        <v>36.477871706669383</v>
      </c>
      <c r="L248">
        <f ca="1"/>
        <v>2.0700239682021646</v>
      </c>
      <c r="M248">
        <f ca="1"/>
        <v>8.3924480909884025E-2</v>
      </c>
      <c r="N248">
        <f ca="1"/>
        <v>0.75352759375524681</v>
      </c>
      <c r="O248">
        <f ca="1"/>
        <v>0</v>
      </c>
      <c r="P248">
        <f ca="1"/>
        <v>49.548756942672007</v>
      </c>
      <c r="Q248">
        <f ca="1"/>
        <v>45.848687430719231</v>
      </c>
      <c r="R248">
        <f ca="1"/>
        <v>0</v>
      </c>
      <c r="S248">
        <f ca="1"/>
        <v>0.5301563557000597</v>
      </c>
      <c r="T248">
        <f ca="1"/>
        <v>0</v>
      </c>
      <c r="U248">
        <f ca="1"/>
        <v>0</v>
      </c>
      <c r="V248">
        <f ca="1"/>
        <v>0.98800243375417574</v>
      </c>
      <c r="X248" s="2">
        <f t="shared" ca="1" si="22"/>
        <v>45658</v>
      </c>
      <c r="Y248">
        <f t="shared" ca="1" si="23"/>
        <v>0</v>
      </c>
      <c r="AA248" s="63">
        <f t="shared" ca="1" si="25"/>
        <v>38.547895674871548</v>
      </c>
      <c r="AB248" s="63">
        <f t="shared" ca="1" si="26"/>
        <v>38.547895674871548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45659</v>
      </c>
      <c r="K249">
        <f ca="1"/>
        <v>35.139691588740597</v>
      </c>
      <c r="L249">
        <f ca="1"/>
        <v>2.198538530919798</v>
      </c>
      <c r="M249">
        <f ca="1"/>
        <v>8.6278186436162585E-2</v>
      </c>
      <c r="N249">
        <f ca="1"/>
        <v>0.77408022655485087</v>
      </c>
      <c r="O249">
        <f ca="1"/>
        <v>0</v>
      </c>
      <c r="P249">
        <f ca="1"/>
        <v>51.747295473591805</v>
      </c>
      <c r="Q249">
        <f ca="1"/>
        <v>47.883049383031377</v>
      </c>
      <c r="R249">
        <f ca="1"/>
        <v>0</v>
      </c>
      <c r="S249">
        <f ca="1"/>
        <v>0.51993760894753327</v>
      </c>
      <c r="T249">
        <f ca="1"/>
        <v>0</v>
      </c>
      <c r="U249">
        <f ca="1"/>
        <v>0</v>
      </c>
      <c r="V249">
        <f ca="1"/>
        <v>0.9895636655318879</v>
      </c>
      <c r="X249" s="2">
        <f t="shared" ca="1" si="22"/>
        <v>45659</v>
      </c>
      <c r="Y249">
        <f t="shared" ca="1" si="23"/>
        <v>0</v>
      </c>
      <c r="AA249" s="63">
        <f t="shared" ca="1" si="25"/>
        <v>37.338230119660395</v>
      </c>
      <c r="AB249" s="63">
        <f t="shared" ca="1" si="26"/>
        <v>37.338230119660395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45660</v>
      </c>
      <c r="K250">
        <f ca="1"/>
        <v>33.779290255690135</v>
      </c>
      <c r="L250">
        <f ca="1"/>
        <v>2.270164671878689</v>
      </c>
      <c r="M250">
        <f ca="1"/>
        <v>8.5615922738675465E-2</v>
      </c>
      <c r="N250">
        <f ca="1"/>
        <v>0.82414741608955266</v>
      </c>
      <c r="O250">
        <f ca="1"/>
        <v>0</v>
      </c>
      <c r="P250">
        <f ca="1"/>
        <v>54.017460145470494</v>
      </c>
      <c r="Q250">
        <f ca="1"/>
        <v>49.983688770971078</v>
      </c>
      <c r="R250">
        <f ca="1"/>
        <v>0</v>
      </c>
      <c r="S250">
        <f ca="1"/>
        <v>0.56494369516018617</v>
      </c>
      <c r="T250">
        <f ca="1"/>
        <v>0</v>
      </c>
      <c r="U250">
        <f ca="1"/>
        <v>0</v>
      </c>
      <c r="V250">
        <f ca="1"/>
        <v>0.99092635085473013</v>
      </c>
      <c r="X250" s="2">
        <f t="shared" ca="1" si="22"/>
        <v>45660</v>
      </c>
      <c r="Y250">
        <f t="shared" ca="1" si="23"/>
        <v>0</v>
      </c>
      <c r="AA250" s="63">
        <f t="shared" ca="1" si="25"/>
        <v>36.049454927568824</v>
      </c>
      <c r="AB250" s="63">
        <f t="shared" ca="1" si="26"/>
        <v>36.049454927568824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45661</v>
      </c>
      <c r="K251">
        <f ca="1"/>
        <v>32.418378099163874</v>
      </c>
      <c r="L251">
        <f ca="1"/>
        <v>2.1456940350389502</v>
      </c>
      <c r="M251">
        <f ca="1"/>
        <v>7.6413665385338447E-2</v>
      </c>
      <c r="N251">
        <f ca="1"/>
        <v>0.70836821312735265</v>
      </c>
      <c r="O251">
        <f ca="1"/>
        <v>0</v>
      </c>
      <c r="P251">
        <f ca="1"/>
        <v>56.163154180509444</v>
      </c>
      <c r="Q251">
        <f ca="1"/>
        <v>51.969152407289577</v>
      </c>
      <c r="R251">
        <f ca="1"/>
        <v>0</v>
      </c>
      <c r="S251">
        <f ca="1"/>
        <v>0.53611402213363146</v>
      </c>
      <c r="T251">
        <f ca="1"/>
        <v>0</v>
      </c>
      <c r="U251">
        <f ca="1"/>
        <v>0</v>
      </c>
      <c r="V251">
        <f ca="1"/>
        <v>0.99202292630509703</v>
      </c>
      <c r="X251" s="2">
        <f t="shared" ca="1" si="22"/>
        <v>45661</v>
      </c>
      <c r="Y251">
        <f t="shared" ca="1" si="23"/>
        <v>0</v>
      </c>
      <c r="AA251" s="63">
        <f t="shared" ca="1" si="25"/>
        <v>34.564072134202824</v>
      </c>
      <c r="AB251" s="63">
        <f t="shared" ca="1" si="26"/>
        <v>34.564072134202824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45662</v>
      </c>
      <c r="K252">
        <f ca="1"/>
        <v>31.033474027492467</v>
      </c>
      <c r="L252">
        <f ca="1"/>
        <v>2.1249667240713919</v>
      </c>
      <c r="M252">
        <f ca="1"/>
        <v>7.2666502126512711E-2</v>
      </c>
      <c r="N252">
        <f ca="1"/>
        <v>0.66739615027347721</v>
      </c>
      <c r="O252">
        <f ca="1"/>
        <v>0</v>
      </c>
      <c r="P252">
        <f ca="1"/>
        <v>58.288120904580836</v>
      </c>
      <c r="Q252">
        <f ca="1"/>
        <v>53.935436551316677</v>
      </c>
      <c r="R252">
        <f ca="1"/>
        <v>0</v>
      </c>
      <c r="S252">
        <f ca="1"/>
        <v>0.52546666313629364</v>
      </c>
      <c r="T252">
        <f ca="1"/>
        <v>0</v>
      </c>
      <c r="U252">
        <f ca="1"/>
        <v>0</v>
      </c>
      <c r="V252">
        <f ca="1"/>
        <v>0.99295698691718537</v>
      </c>
      <c r="X252" s="2">
        <f t="shared" ca="1" si="22"/>
        <v>45662</v>
      </c>
      <c r="Y252">
        <f t="shared" ca="1" si="23"/>
        <v>0</v>
      </c>
      <c r="AA252" s="63">
        <f t="shared" ca="1" si="25"/>
        <v>33.158440751563859</v>
      </c>
      <c r="AB252" s="63">
        <f t="shared" ca="1" si="26"/>
        <v>33.158440751563859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45663</v>
      </c>
      <c r="K253">
        <f ca="1"/>
        <v>29.460003944098275</v>
      </c>
      <c r="L253">
        <f ca="1"/>
        <v>2.338007679760473</v>
      </c>
      <c r="M253">
        <f ca="1"/>
        <v>7.491316354264832E-2</v>
      </c>
      <c r="N253">
        <f ca="1"/>
        <v>0.68962443282363606</v>
      </c>
      <c r="O253">
        <f ca="1"/>
        <v>0</v>
      </c>
      <c r="P253">
        <f ca="1"/>
        <v>60.626128584341309</v>
      </c>
      <c r="Q253">
        <f ca="1"/>
        <v>56.098852748497642</v>
      </c>
      <c r="R253">
        <f ca="1"/>
        <v>0</v>
      </c>
      <c r="S253">
        <f ca="1"/>
        <v>0.47896045929164355</v>
      </c>
      <c r="T253">
        <f ca="1"/>
        <v>0</v>
      </c>
      <c r="U253">
        <f ca="1"/>
        <v>0</v>
      </c>
      <c r="V253">
        <f ca="1"/>
        <v>0.99383923453234435</v>
      </c>
      <c r="X253" s="2">
        <f t="shared" ca="1" si="22"/>
        <v>45663</v>
      </c>
      <c r="Y253">
        <f t="shared" ca="1" si="23"/>
        <v>0</v>
      </c>
      <c r="AA253" s="63">
        <f t="shared" ca="1" si="25"/>
        <v>31.798011623858748</v>
      </c>
      <c r="AB253" s="63">
        <f t="shared" ca="1" si="26"/>
        <v>31.798011623858748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45664</v>
      </c>
      <c r="K254">
        <f ca="1"/>
        <v>27.871523532004019</v>
      </c>
      <c r="L254">
        <f ca="1"/>
        <v>2.3086818106999658</v>
      </c>
      <c r="M254">
        <f ca="1"/>
        <v>6.9805024221398781E-2</v>
      </c>
      <c r="N254">
        <f ca="1"/>
        <v>0.65039637438431119</v>
      </c>
      <c r="O254">
        <f ca="1"/>
        <v>0</v>
      </c>
      <c r="P254">
        <f ca="1"/>
        <v>62.934810395041275</v>
      </c>
      <c r="Q254">
        <f ca="1"/>
        <v>58.235132995411561</v>
      </c>
      <c r="R254">
        <f ca="1"/>
        <v>0</v>
      </c>
      <c r="S254">
        <f ca="1"/>
        <v>0.47121934510214697</v>
      </c>
      <c r="T254">
        <f ca="1"/>
        <v>0</v>
      </c>
      <c r="U254">
        <f ca="1"/>
        <v>0</v>
      </c>
      <c r="V254">
        <f ca="1"/>
        <v>0.99458570342780594</v>
      </c>
      <c r="X254" s="2">
        <f t="shared" ca="1" si="22"/>
        <v>45664</v>
      </c>
      <c r="Y254">
        <f t="shared" ca="1" si="23"/>
        <v>0</v>
      </c>
      <c r="AA254" s="63">
        <f t="shared" ca="1" si="25"/>
        <v>30.180205342703985</v>
      </c>
      <c r="AB254" s="63">
        <f t="shared" ca="1" si="26"/>
        <v>30.180205342703985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45665</v>
      </c>
      <c r="K255">
        <f ca="1"/>
        <v>26.181068738308621</v>
      </c>
      <c r="L255">
        <f ca="1"/>
        <v>2.4209521386606028</v>
      </c>
      <c r="M255">
        <f ca="1"/>
        <v>6.9226972233117579E-2</v>
      </c>
      <c r="N255">
        <f ca="1"/>
        <v>0.66127037273208733</v>
      </c>
      <c r="O255">
        <f ca="1"/>
        <v>0</v>
      </c>
      <c r="P255">
        <f ca="1"/>
        <v>65.355762533701878</v>
      </c>
      <c r="Q255">
        <f ca="1"/>
        <v>60.475299747094269</v>
      </c>
      <c r="R255">
        <f ca="1"/>
        <v>0</v>
      </c>
      <c r="S255">
        <f ca="1"/>
        <v>0.45845219785054414</v>
      </c>
      <c r="T255">
        <f ca="1"/>
        <v>0</v>
      </c>
      <c r="U255">
        <f ca="1"/>
        <v>0</v>
      </c>
      <c r="V255">
        <f ca="1"/>
        <v>0.99525769370098893</v>
      </c>
      <c r="X255" s="2">
        <f t="shared" ca="1" si="22"/>
        <v>45665</v>
      </c>
      <c r="Y255">
        <f t="shared" ca="1" si="23"/>
        <v>0</v>
      </c>
      <c r="AA255" s="63">
        <f t="shared" ca="1" si="25"/>
        <v>28.602020876969224</v>
      </c>
      <c r="AB255" s="63">
        <f t="shared" ca="1" si="26"/>
        <v>28.602020876969224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45666</v>
      </c>
      <c r="K256">
        <f ca="1"/>
        <v>24.433861344142137</v>
      </c>
      <c r="L256">
        <f ca="1"/>
        <v>2.4150814331136701</v>
      </c>
      <c r="M256">
        <f ca="1"/>
        <v>6.0552784680835359E-2</v>
      </c>
      <c r="N256">
        <f ca="1"/>
        <v>0.60732125426634809</v>
      </c>
      <c r="O256">
        <f ca="1"/>
        <v>0</v>
      </c>
      <c r="P256">
        <f ca="1"/>
        <v>67.770843966815548</v>
      </c>
      <c r="Q256">
        <f ca="1"/>
        <v>62.710034190072825</v>
      </c>
      <c r="R256">
        <f ca="1"/>
        <v>0</v>
      </c>
      <c r="S256">
        <f ca="1"/>
        <v>0.41683992298635109</v>
      </c>
      <c r="T256">
        <f ca="1"/>
        <v>0</v>
      </c>
      <c r="U256">
        <f ca="1"/>
        <v>0</v>
      </c>
      <c r="V256">
        <f ca="1"/>
        <v>0.99583364981323674</v>
      </c>
      <c r="X256" s="2">
        <f t="shared" ca="1" si="22"/>
        <v>45666</v>
      </c>
      <c r="Y256">
        <f t="shared" ca="1" si="23"/>
        <v>0</v>
      </c>
      <c r="AA256" s="63">
        <f t="shared" ca="1" si="25"/>
        <v>26.848942777255804</v>
      </c>
      <c r="AB256" s="63">
        <f t="shared" ca="1" si="26"/>
        <v>26.848942777255807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45667</v>
      </c>
      <c r="K257">
        <f ca="1"/>
        <v>22.55557588056811</v>
      </c>
      <c r="L257">
        <f ca="1"/>
        <v>2.5485947663044612</v>
      </c>
      <c r="M257">
        <f ca="1"/>
        <v>5.808229641401752E-2</v>
      </c>
      <c r="N257">
        <f ca="1"/>
        <v>0.61222700631641835</v>
      </c>
      <c r="O257">
        <f ca="1"/>
        <v>0</v>
      </c>
      <c r="P257">
        <f ca="1"/>
        <v>70.319438733120009</v>
      </c>
      <c r="Q257">
        <f ca="1"/>
        <v>65.068311814737669</v>
      </c>
      <c r="R257">
        <f ca="1"/>
        <v>0</v>
      </c>
      <c r="S257">
        <f ca="1"/>
        <v>0.38783294606867852</v>
      </c>
      <c r="T257">
        <f ca="1"/>
        <v>0</v>
      </c>
      <c r="U257">
        <f ca="1"/>
        <v>0</v>
      </c>
      <c r="V257">
        <f ca="1"/>
        <v>0.99635604023885094</v>
      </c>
      <c r="X257" s="2">
        <f t="shared" ca="1" si="22"/>
        <v>45667</v>
      </c>
      <c r="Y257">
        <f t="shared" ca="1" si="23"/>
        <v>0</v>
      </c>
      <c r="AA257" s="63">
        <f t="shared" ca="1" si="25"/>
        <v>25.104170646872575</v>
      </c>
      <c r="AB257" s="63">
        <f t="shared" ca="1" si="26"/>
        <v>25.104170646872571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45668</v>
      </c>
      <c r="K258">
        <f ca="1"/>
        <v>20.591515783027329</v>
      </c>
      <c r="L258">
        <f ca="1"/>
        <v>2.6059856947911442</v>
      </c>
      <c r="M258">
        <f ca="1"/>
        <v>5.2668524207749812E-2</v>
      </c>
      <c r="N258">
        <f ca="1"/>
        <v>0.58925707304261266</v>
      </c>
      <c r="O258">
        <f ca="1"/>
        <v>0</v>
      </c>
      <c r="P258">
        <f ca="1"/>
        <v>72.925424427911153</v>
      </c>
      <c r="Q258">
        <f ca="1"/>
        <v>67.479694681671035</v>
      </c>
      <c r="R258">
        <f ca="1"/>
        <v>0</v>
      </c>
      <c r="S258">
        <f ca="1"/>
        <v>0.35375884649889278</v>
      </c>
      <c r="T258">
        <f ca="1"/>
        <v>0</v>
      </c>
      <c r="U258">
        <f ca="1"/>
        <v>0</v>
      </c>
      <c r="V258">
        <f ca="1"/>
        <v>0.99681435481707736</v>
      </c>
      <c r="X258" s="2">
        <f t="shared" ca="1" si="22"/>
        <v>45668</v>
      </c>
      <c r="Y258">
        <f t="shared" ca="1" si="23"/>
        <v>0</v>
      </c>
      <c r="AA258" s="63">
        <f t="shared" ca="1" si="25"/>
        <v>23.197501477818474</v>
      </c>
      <c r="AB258" s="63">
        <f t="shared" ca="1" si="26"/>
        <v>23.197501477818474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45669</v>
      </c>
      <c r="K259">
        <f ca="1"/>
        <v>18.505891542340308</v>
      </c>
      <c r="L259">
        <f ca="1"/>
        <v>2.7342050166276408</v>
      </c>
      <c r="M259">
        <f ca="1"/>
        <v>5.0879509007325296E-2</v>
      </c>
      <c r="N259">
        <f ca="1"/>
        <v>0.59770126693329428</v>
      </c>
      <c r="O259">
        <f ca="1"/>
        <v>0</v>
      </c>
      <c r="P259">
        <f ca="1"/>
        <v>75.659629444538794</v>
      </c>
      <c r="Q259">
        <f ca="1"/>
        <v>70.009722050953116</v>
      </c>
      <c r="R259">
        <f ca="1"/>
        <v>0</v>
      </c>
      <c r="S259">
        <f ca="1"/>
        <v>0.3323870389789591</v>
      </c>
      <c r="T259">
        <f ca="1"/>
        <v>0</v>
      </c>
      <c r="U259">
        <f ca="1"/>
        <v>0</v>
      </c>
      <c r="V259">
        <f ca="1"/>
        <v>0.99722641130030387</v>
      </c>
      <c r="X259" s="2">
        <f t="shared" ca="1" si="22"/>
        <v>45669</v>
      </c>
      <c r="Y259">
        <f t="shared" ca="1" si="23"/>
        <v>0</v>
      </c>
      <c r="AA259" s="63">
        <f t="shared" ca="1" si="25"/>
        <v>21.240096558967952</v>
      </c>
      <c r="AB259" s="63">
        <f t="shared" ca="1" si="26"/>
        <v>21.240096558967949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45670</v>
      </c>
      <c r="K260">
        <f ca="1"/>
        <v>16.412951335301308</v>
      </c>
      <c r="L260">
        <f ca="1"/>
        <v>2.7357706761233089</v>
      </c>
      <c r="M260">
        <f ca="1"/>
        <v>5.0962136209985687E-2</v>
      </c>
      <c r="N260">
        <f ca="1"/>
        <v>0.59186833287432461</v>
      </c>
      <c r="O260">
        <f ca="1"/>
        <v>0</v>
      </c>
      <c r="P260">
        <f ca="1"/>
        <v>78.395400120662103</v>
      </c>
      <c r="Q260">
        <f ca="1"/>
        <v>72.541198163599674</v>
      </c>
      <c r="R260">
        <f ca="1"/>
        <v>0</v>
      </c>
      <c r="S260">
        <f ca="1"/>
        <v>0.34301486017757571</v>
      </c>
      <c r="T260">
        <f ca="1"/>
        <v>0</v>
      </c>
      <c r="U260">
        <f ca="1"/>
        <v>0</v>
      </c>
      <c r="V260">
        <f ca="1"/>
        <v>0.99757976959427619</v>
      </c>
      <c r="X260" s="2">
        <f t="shared" ca="1" si="22"/>
        <v>45670</v>
      </c>
      <c r="Y260">
        <f t="shared" ca="1" si="23"/>
        <v>0</v>
      </c>
      <c r="AA260" s="63">
        <f t="shared" ca="1" si="25"/>
        <v>19.148722011424617</v>
      </c>
      <c r="AB260" s="63">
        <f t="shared" ca="1" si="26"/>
        <v>19.148722011424617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45671</v>
      </c>
      <c r="K261">
        <f ca="1"/>
        <v>14.347762419178586</v>
      </c>
      <c r="L261">
        <f ca="1"/>
        <v>2.685142576292904</v>
      </c>
      <c r="M261">
        <f ca="1"/>
        <v>4.9484595909431661E-2</v>
      </c>
      <c r="N261">
        <f ca="1"/>
        <v>0.57046906426075239</v>
      </c>
      <c r="O261">
        <f ca="1"/>
        <v>0</v>
      </c>
      <c r="P261">
        <f ca="1"/>
        <v>81.080542696955007</v>
      </c>
      <c r="Q261">
        <f ca="1"/>
        <v>75.025826846208375</v>
      </c>
      <c r="R261">
        <f ca="1"/>
        <v>0</v>
      </c>
      <c r="S261">
        <f ca="1"/>
        <v>0.35040620606914447</v>
      </c>
      <c r="T261">
        <f ca="1"/>
        <v>0</v>
      </c>
      <c r="U261">
        <f ca="1"/>
        <v>0</v>
      </c>
      <c r="V261">
        <f ca="1"/>
        <v>0.99787852071745597</v>
      </c>
      <c r="X261" s="2">
        <f t="shared" ca="1" si="22"/>
        <v>45671</v>
      </c>
      <c r="Y261">
        <f t="shared" ca="1" si="23"/>
        <v>0</v>
      </c>
      <c r="AA261" s="63">
        <f t="shared" ca="1" si="25"/>
        <v>17.032904995471494</v>
      </c>
      <c r="AB261" s="63">
        <f t="shared" ca="1" si="26"/>
        <v>17.03290499547149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45672</v>
      </c>
      <c r="K262">
        <f ca="1"/>
        <v>12.219888032221071</v>
      </c>
      <c r="L262">
        <f ca="1"/>
        <v>2.7607562253299847</v>
      </c>
      <c r="M262">
        <f ca="1"/>
        <v>5.0177693504052101E-2</v>
      </c>
      <c r="N262">
        <f ca="1"/>
        <v>0.58270414486841815</v>
      </c>
      <c r="O262">
        <f ca="1"/>
        <v>0</v>
      </c>
      <c r="P262">
        <f ca="1"/>
        <v>83.841298922284992</v>
      </c>
      <c r="Q262">
        <f ca="1"/>
        <v>77.580422704062414</v>
      </c>
      <c r="R262">
        <f ca="1"/>
        <v>0</v>
      </c>
      <c r="S262">
        <f ca="1"/>
        <v>0.35271720588710381</v>
      </c>
      <c r="T262">
        <f ca="1"/>
        <v>0</v>
      </c>
      <c r="U262">
        <f ca="1"/>
        <v>0</v>
      </c>
      <c r="V262">
        <f ca="1"/>
        <v>0.99814386396041543</v>
      </c>
      <c r="X262" s="2">
        <f t="shared" ca="1" si="22"/>
        <v>45672</v>
      </c>
      <c r="Y262">
        <f t="shared" ca="1" si="23"/>
        <v>0</v>
      </c>
      <c r="AA262" s="63">
        <f t="shared" ca="1" si="25"/>
        <v>14.980644257551056</v>
      </c>
      <c r="AB262" s="63">
        <f t="shared" ca="1" si="26"/>
        <v>14.980644257551056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45673</v>
      </c>
      <c r="K263">
        <f ca="1"/>
        <v>9.9788837181316516</v>
      </c>
      <c r="L263">
        <f ca="1"/>
        <v>2.8683971469118745</v>
      </c>
      <c r="M263">
        <f ca="1"/>
        <v>4.6725871257763174E-2</v>
      </c>
      <c r="N263">
        <f ca="1"/>
        <v>0.58066696156469144</v>
      </c>
      <c r="O263">
        <f ca="1"/>
        <v>0</v>
      </c>
      <c r="P263">
        <f ca="1"/>
        <v>86.709696069196866</v>
      </c>
      <c r="Q263">
        <f ca="1"/>
        <v>80.234621362730863</v>
      </c>
      <c r="R263">
        <f ca="1"/>
        <v>0</v>
      </c>
      <c r="S263">
        <f ca="1"/>
        <v>0.32132518936331367</v>
      </c>
      <c r="T263">
        <f ca="1"/>
        <v>0</v>
      </c>
      <c r="U263">
        <f ca="1"/>
        <v>0</v>
      </c>
      <c r="V263">
        <f ca="1"/>
        <v>0.99838163919187728</v>
      </c>
      <c r="X263" s="2">
        <f t="shared" ca="1" si="22"/>
        <v>45673</v>
      </c>
      <c r="Y263">
        <f t="shared" ca="1" si="23"/>
        <v>0</v>
      </c>
      <c r="AA263" s="63">
        <f t="shared" ca="1" si="25"/>
        <v>12.847280865043526</v>
      </c>
      <c r="AB263" s="63">
        <f t="shared" ca="1" si="26"/>
        <v>12.847280865043526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45674</v>
      </c>
      <c r="K264">
        <f ca="1"/>
        <v>7.6644931329746395</v>
      </c>
      <c r="L264">
        <f ca="1"/>
        <v>2.9506642098812819</v>
      </c>
      <c r="M264">
        <f ca="1"/>
        <v>4.6424873681287337E-2</v>
      </c>
      <c r="N264">
        <f ca="1"/>
        <v>0.58984875104298262</v>
      </c>
      <c r="O264">
        <f ca="1"/>
        <v>0</v>
      </c>
      <c r="P264">
        <f ca="1"/>
        <v>89.660360279078148</v>
      </c>
      <c r="Q264">
        <f ca="1"/>
        <v>82.964943764731402</v>
      </c>
      <c r="R264">
        <f ca="1"/>
        <v>0</v>
      </c>
      <c r="S264">
        <f ca="1"/>
        <v>0.31554122630110187</v>
      </c>
      <c r="T264">
        <f ca="1"/>
        <v>0</v>
      </c>
      <c r="U264">
        <f ca="1"/>
        <v>0</v>
      </c>
      <c r="V264">
        <f ca="1"/>
        <v>0.99859222441822504</v>
      </c>
      <c r="X264" s="2">
        <f t="shared" ca="1" si="22"/>
        <v>45674</v>
      </c>
      <c r="Y264">
        <f t="shared" ca="1" si="23"/>
        <v>0</v>
      </c>
      <c r="AA264" s="63">
        <f t="shared" ca="1" si="25"/>
        <v>10.615157342855921</v>
      </c>
      <c r="AB264" s="63">
        <f t="shared" ca="1" si="26"/>
        <v>10.615157342855921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45675</v>
      </c>
      <c r="K265">
        <f ca="1"/>
        <v>5.3804940685049818</v>
      </c>
      <c r="L265">
        <f ca="1"/>
        <v>2.9288382518525395</v>
      </c>
      <c r="M265">
        <f ca="1"/>
        <v>4.9048130602850293E-2</v>
      </c>
      <c r="N265">
        <f ca="1"/>
        <v>0.59579105678003219</v>
      </c>
      <c r="O265">
        <f ca="1"/>
        <v>0</v>
      </c>
      <c r="P265">
        <f ca="1"/>
        <v>92.589198530930688</v>
      </c>
      <c r="Q265">
        <f ca="1"/>
        <v>85.675070069205333</v>
      </c>
      <c r="R265">
        <f ca="1"/>
        <v>0</v>
      </c>
      <c r="S265">
        <f ca="1"/>
        <v>0.34411013787303985</v>
      </c>
      <c r="T265">
        <f ca="1"/>
        <v>0</v>
      </c>
      <c r="U265">
        <f ca="1"/>
        <v>0</v>
      </c>
      <c r="V265">
        <f ca="1"/>
        <v>0.99877244691817479</v>
      </c>
      <c r="X265" s="2">
        <f t="shared" ca="1" si="22"/>
        <v>45675</v>
      </c>
      <c r="Y265">
        <f t="shared" ca="1" si="23"/>
        <v>0</v>
      </c>
      <c r="AA265" s="63">
        <f t="shared" ca="1" si="25"/>
        <v>8.3093323203575213</v>
      </c>
      <c r="AB265" s="63">
        <f t="shared" ca="1" si="26"/>
        <v>8.3093323203575213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45676</v>
      </c>
      <c r="K266">
        <f ca="1"/>
        <v>3.0141173128261771</v>
      </c>
      <c r="L266">
        <f ca="1"/>
        <v>3.0370109753914249</v>
      </c>
      <c r="M266">
        <f ca="1"/>
        <v>5.0569599483742067E-2</v>
      </c>
      <c r="N266">
        <f ca="1"/>
        <v>0.62006462022887832</v>
      </c>
      <c r="O266">
        <f ca="1"/>
        <v>0</v>
      </c>
      <c r="P266">
        <f ca="1"/>
        <v>95.626209506322112</v>
      </c>
      <c r="Q266">
        <f ca="1"/>
        <v>88.485291263966886</v>
      </c>
      <c r="R266">
        <f ca="1"/>
        <v>0</v>
      </c>
      <c r="S266">
        <f ca="1"/>
        <v>0.3461991136207011</v>
      </c>
      <c r="T266">
        <f ca="1"/>
        <v>0</v>
      </c>
      <c r="U266">
        <f ca="1"/>
        <v>0</v>
      </c>
      <c r="V266">
        <f ca="1"/>
        <v>0.99893369977991953</v>
      </c>
      <c r="X266" s="2">
        <f t="shared" ca="1" si="22"/>
        <v>45676</v>
      </c>
      <c r="Y266">
        <f t="shared" ca="1" si="23"/>
        <v>0</v>
      </c>
      <c r="AA266" s="63">
        <f t="shared" ca="1" si="25"/>
        <v>6.0511282882176021</v>
      </c>
      <c r="AB266" s="63">
        <f t="shared" ca="1" si="26"/>
        <v>6.0511282882176021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45677</v>
      </c>
      <c r="K267">
        <f ca="1"/>
        <v>0.67428391531083021</v>
      </c>
      <c r="L267">
        <f ca="1"/>
        <v>3.0062521613832729</v>
      </c>
      <c r="M267">
        <f ca="1"/>
        <v>5.0864968215787343E-2</v>
      </c>
      <c r="N267">
        <f ca="1"/>
        <v>0.61555379565213875</v>
      </c>
      <c r="O267">
        <f ca="1"/>
        <v>0</v>
      </c>
      <c r="P267">
        <f ca="1"/>
        <v>98.632461667705385</v>
      </c>
      <c r="Q267">
        <f ca="1"/>
        <v>91.267050569142967</v>
      </c>
      <c r="R267">
        <f ca="1"/>
        <v>0</v>
      </c>
      <c r="S267">
        <f ca="1"/>
        <v>0.35981929485253633</v>
      </c>
      <c r="T267">
        <f ca="1"/>
        <v>0</v>
      </c>
      <c r="U267">
        <f ca="1"/>
        <v>0</v>
      </c>
      <c r="V267">
        <f ca="1"/>
        <v>0.99907152434566149</v>
      </c>
      <c r="X267" s="2">
        <f t="shared" ref="X267:X330" ca="1" si="29">IFERROR(J267,$X$9)</f>
        <v>45677</v>
      </c>
      <c r="Y267">
        <f t="shared" ref="Y267:Y330" ca="1" si="30">IFERROR(O267,0)</f>
        <v>0</v>
      </c>
      <c r="AA267" s="63">
        <f t="shared" ca="1" si="25"/>
        <v>3.6805360766941031</v>
      </c>
      <c r="AB267" s="63">
        <f t="shared" ca="1" si="26"/>
        <v>3.6805360766941031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45678</v>
      </c>
      <c r="K268">
        <f ca="1"/>
        <v>-1.6313015644559052</v>
      </c>
      <c r="L268">
        <f ca="1"/>
        <v>2.9483078225201922</v>
      </c>
      <c r="M268">
        <f ca="1"/>
        <v>4.861750337940407E-2</v>
      </c>
      <c r="N268">
        <f ca="1"/>
        <v>0.59410483937405267</v>
      </c>
      <c r="O268">
        <f ca="1"/>
        <v>0</v>
      </c>
      <c r="P268">
        <f ca="1"/>
        <v>101.58076949022558</v>
      </c>
      <c r="Q268">
        <f ca="1"/>
        <v>93.995192547773669</v>
      </c>
      <c r="R268">
        <f ca="1"/>
        <v>0</v>
      </c>
      <c r="S268">
        <f ca="1"/>
        <v>0.35860347550490229</v>
      </c>
      <c r="T268">
        <f ca="1"/>
        <v>0</v>
      </c>
      <c r="U268">
        <f ca="1"/>
        <v>0</v>
      </c>
      <c r="V268">
        <f ca="1"/>
        <v>0.99918876622413444</v>
      </c>
      <c r="X268" s="2">
        <f t="shared" ca="1" si="29"/>
        <v>45678</v>
      </c>
      <c r="Y268">
        <f t="shared" ca="1" si="30"/>
        <v>0</v>
      </c>
      <c r="AA268" s="63">
        <f t="shared" ca="1" si="25"/>
        <v>1.3170062580642869</v>
      </c>
      <c r="AB268" s="63">
        <f t="shared" ca="1" si="26"/>
        <v>1.3170062580642869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45679</v>
      </c>
      <c r="K269">
        <f ca="1"/>
        <v>-3.9082785942057772</v>
      </c>
      <c r="L269">
        <f ca="1"/>
        <v>2.9051932003977043</v>
      </c>
      <c r="M269">
        <f ca="1"/>
        <v>4.7317702506319392E-2</v>
      </c>
      <c r="N269">
        <f ca="1"/>
        <v>0.5808984681415128</v>
      </c>
      <c r="O269">
        <f ca="1"/>
        <v>0</v>
      </c>
      <c r="P269">
        <f ca="1"/>
        <v>104.48596269062328</v>
      </c>
      <c r="Q269">
        <f ca="1"/>
        <v>96.683439502687136</v>
      </c>
      <c r="R269">
        <f ca="1"/>
        <v>0</v>
      </c>
      <c r="S269">
        <f ca="1"/>
        <v>0.36084688320692249</v>
      </c>
      <c r="T269">
        <f ca="1"/>
        <v>0</v>
      </c>
      <c r="U269">
        <f ca="1"/>
        <v>0</v>
      </c>
      <c r="V269">
        <f ca="1"/>
        <v>0.99928942568990609</v>
      </c>
      <c r="X269" s="2">
        <f t="shared" ca="1" si="29"/>
        <v>45679</v>
      </c>
      <c r="Y269">
        <f t="shared" ca="1" si="30"/>
        <v>0</v>
      </c>
      <c r="AA269" s="63">
        <f t="shared" ca="1" si="25"/>
        <v>-1.003085393808073</v>
      </c>
      <c r="AB269" s="63">
        <f t="shared" ca="1" si="26"/>
        <v>-1.0030853938080728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45680</v>
      </c>
      <c r="K270">
        <f ca="1"/>
        <v>-6.172767313921792</v>
      </c>
      <c r="L270">
        <f ca="1"/>
        <v>2.9381438397443702</v>
      </c>
      <c r="M270">
        <f ca="1"/>
        <v>5.3032854478086477E-2</v>
      </c>
      <c r="N270">
        <f ca="1"/>
        <v>0.62062226555026834</v>
      </c>
      <c r="O270">
        <f ca="1"/>
        <v>0</v>
      </c>
      <c r="P270">
        <f ca="1"/>
        <v>107.42410653036765</v>
      </c>
      <c r="Q270">
        <f ca="1"/>
        <v>99.40217649725578</v>
      </c>
      <c r="R270">
        <f ca="1"/>
        <v>0</v>
      </c>
      <c r="S270">
        <f ca="1"/>
        <v>0.40475091321625278</v>
      </c>
      <c r="T270">
        <f ca="1"/>
        <v>0</v>
      </c>
      <c r="U270">
        <f ca="1"/>
        <v>0</v>
      </c>
      <c r="V270">
        <f ca="1"/>
        <v>0.99937831548698464</v>
      </c>
      <c r="X270" s="2">
        <f t="shared" ca="1" si="29"/>
        <v>45680</v>
      </c>
      <c r="Y270">
        <f t="shared" ca="1" si="30"/>
        <v>0</v>
      </c>
      <c r="AA270" s="63">
        <f t="shared" ca="1" si="25"/>
        <v>-3.2346234741774222</v>
      </c>
      <c r="AB270" s="63">
        <f t="shared" ca="1" si="26"/>
        <v>-3.2346234741774218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45681</v>
      </c>
      <c r="K271">
        <f ca="1"/>
        <v>-8.4847973153786942</v>
      </c>
      <c r="L271">
        <f ca="1"/>
        <v>2.9771468039370319</v>
      </c>
      <c r="M271">
        <f ca="1"/>
        <v>5.0487432620894168E-2</v>
      </c>
      <c r="N271">
        <f ca="1"/>
        <v>0.61462936985923511</v>
      </c>
      <c r="O271">
        <f ca="1"/>
        <v>0</v>
      </c>
      <c r="P271">
        <f ca="1"/>
        <v>110.40125333430468</v>
      </c>
      <c r="Q271">
        <f ca="1"/>
        <v>102.15700389700271</v>
      </c>
      <c r="R271">
        <f ca="1"/>
        <v>0</v>
      </c>
      <c r="S271">
        <f ca="1"/>
        <v>0.38426301646941735</v>
      </c>
      <c r="T271">
        <f ca="1"/>
        <v>0</v>
      </c>
      <c r="U271">
        <f ca="1"/>
        <v>0</v>
      </c>
      <c r="V271">
        <f ca="1"/>
        <v>0.99945696327138789</v>
      </c>
      <c r="X271" s="2">
        <f t="shared" ca="1" si="29"/>
        <v>45681</v>
      </c>
      <c r="Y271">
        <f t="shared" ca="1" si="30"/>
        <v>0</v>
      </c>
      <c r="AA271" s="63">
        <f t="shared" ca="1" si="25"/>
        <v>-5.5076505114416623</v>
      </c>
      <c r="AB271" s="63">
        <f t="shared" ca="1" si="26"/>
        <v>-5.5076505114416623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45682</v>
      </c>
      <c r="K272">
        <f ca="1"/>
        <v>-10.841176117172264</v>
      </c>
      <c r="L272">
        <f ca="1"/>
        <v>3.0000898844130006</v>
      </c>
      <c r="M272">
        <f ca="1"/>
        <v>4.6259672382884531E-2</v>
      </c>
      <c r="N272">
        <f ca="1"/>
        <v>0.5974514102365468</v>
      </c>
      <c r="O272">
        <f ca="1"/>
        <v>0</v>
      </c>
      <c r="P272">
        <f ca="1"/>
        <v>113.40134321871768</v>
      </c>
      <c r="Q272">
        <f ca="1"/>
        <v>104.93306109524201</v>
      </c>
      <c r="R272">
        <f ca="1"/>
        <v>0</v>
      </c>
      <c r="S272">
        <f ca="1"/>
        <v>0.35263735819062059</v>
      </c>
      <c r="T272">
        <f ca="1"/>
        <v>0</v>
      </c>
      <c r="U272">
        <f ca="1"/>
        <v>0</v>
      </c>
      <c r="V272">
        <f ca="1"/>
        <v>0.99952617318816794</v>
      </c>
      <c r="X272" s="2">
        <f t="shared" ca="1" si="29"/>
        <v>45682</v>
      </c>
      <c r="Y272">
        <f t="shared" ca="1" si="30"/>
        <v>0</v>
      </c>
      <c r="AA272" s="63">
        <f t="shared" ref="AA272:AA335" ca="1" si="32">K271+M272+N272+O272</f>
        <v>-7.8410862327592632</v>
      </c>
      <c r="AB272" s="63">
        <f t="shared" ref="AB272:AB335" ca="1" si="33">K272+L272+R272</f>
        <v>-7.8410862327592632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45683</v>
      </c>
      <c r="K273">
        <f ca="1"/>
        <v>-13.328902720634572</v>
      </c>
      <c r="L273">
        <f ca="1"/>
        <v>3.1760024377314693</v>
      </c>
      <c r="M273">
        <f ca="1"/>
        <v>4.8015247894504398E-2</v>
      </c>
      <c r="N273">
        <f ca="1"/>
        <v>0.64026058637465655</v>
      </c>
      <c r="O273">
        <f ca="1"/>
        <v>0</v>
      </c>
      <c r="P273">
        <f ca="1"/>
        <v>116.57734565644915</v>
      </c>
      <c r="Q273">
        <f ca="1"/>
        <v>107.87189451976626</v>
      </c>
      <c r="R273">
        <f ca="1"/>
        <v>0</v>
      </c>
      <c r="S273">
        <f ca="1"/>
        <v>0.34345198704618746</v>
      </c>
      <c r="T273">
        <f ca="1"/>
        <v>0</v>
      </c>
      <c r="U273">
        <f ca="1"/>
        <v>0</v>
      </c>
      <c r="V273">
        <f ca="1"/>
        <v>0.99958996261516631</v>
      </c>
      <c r="X273" s="2">
        <f t="shared" ca="1" si="29"/>
        <v>45683</v>
      </c>
      <c r="Y273">
        <f t="shared" ca="1" si="30"/>
        <v>0</v>
      </c>
      <c r="AA273" s="63">
        <f t="shared" ca="1" si="32"/>
        <v>-10.152900282903103</v>
      </c>
      <c r="AB273" s="63">
        <f t="shared" ca="1" si="33"/>
        <v>-10.152900282903103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45684</v>
      </c>
      <c r="K274">
        <f ca="1"/>
        <v>-15.735106468187688</v>
      </c>
      <c r="L274">
        <f ca="1"/>
        <v>3.0983231095181196</v>
      </c>
      <c r="M274">
        <f ca="1"/>
        <v>4.9752971574113403E-2</v>
      </c>
      <c r="N274">
        <f ca="1"/>
        <v>0.64236639039088961</v>
      </c>
      <c r="O274">
        <f ca="1"/>
        <v>0</v>
      </c>
      <c r="P274">
        <f ca="1"/>
        <v>119.67566876596727</v>
      </c>
      <c r="Q274">
        <f ca="1"/>
        <v>110.73884934513205</v>
      </c>
      <c r="R274">
        <f ca="1"/>
        <v>0</v>
      </c>
      <c r="S274">
        <f ca="1"/>
        <v>0.37026038004266326</v>
      </c>
      <c r="T274">
        <f ca="1"/>
        <v>0</v>
      </c>
      <c r="U274">
        <f ca="1"/>
        <v>0</v>
      </c>
      <c r="V274">
        <f ca="1"/>
        <v>0.99964408149055894</v>
      </c>
      <c r="X274" s="2">
        <f t="shared" ca="1" si="29"/>
        <v>45684</v>
      </c>
      <c r="Y274">
        <f t="shared" ca="1" si="30"/>
        <v>0</v>
      </c>
      <c r="AA274" s="63">
        <f t="shared" ca="1" si="32"/>
        <v>-12.636783358669568</v>
      </c>
      <c r="AB274" s="63">
        <f t="shared" ca="1" si="33"/>
        <v>-12.636783358669568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45685</v>
      </c>
      <c r="K275">
        <f ca="1"/>
        <v>-18.118182216151908</v>
      </c>
      <c r="L275">
        <f ca="1"/>
        <v>3.041475914682124</v>
      </c>
      <c r="M275">
        <f ca="1"/>
        <v>4.5326282703712195E-2</v>
      </c>
      <c r="N275">
        <f ca="1"/>
        <v>0.61307388401418927</v>
      </c>
      <c r="O275">
        <f ca="1"/>
        <v>0</v>
      </c>
      <c r="P275">
        <f ca="1"/>
        <v>122.7171446806494</v>
      </c>
      <c r="Q275">
        <f ca="1"/>
        <v>113.55320205839311</v>
      </c>
      <c r="R275">
        <f ca="1"/>
        <v>0</v>
      </c>
      <c r="S275">
        <f ca="1"/>
        <v>0.34728606780017768</v>
      </c>
      <c r="T275">
        <f ca="1"/>
        <v>0</v>
      </c>
      <c r="U275">
        <f ca="1"/>
        <v>0</v>
      </c>
      <c r="V275">
        <f ca="1"/>
        <v>0.99969046909329773</v>
      </c>
      <c r="X275" s="2">
        <f t="shared" ca="1" si="29"/>
        <v>45685</v>
      </c>
      <c r="Y275">
        <f t="shared" ca="1" si="30"/>
        <v>0</v>
      </c>
      <c r="AA275" s="63">
        <f t="shared" ca="1" si="32"/>
        <v>-15.076706301469786</v>
      </c>
      <c r="AB275" s="63">
        <f t="shared" ca="1" si="33"/>
        <v>-15.076706301469784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45686</v>
      </c>
      <c r="K276">
        <f ca="1"/>
        <v>-20.587230335971753</v>
      </c>
      <c r="L276">
        <f ca="1"/>
        <v>3.1322431721547019</v>
      </c>
      <c r="M276">
        <f ca="1"/>
        <v>4.2709097002502361E-2</v>
      </c>
      <c r="N276">
        <f ca="1"/>
        <v>0.62048595533235495</v>
      </c>
      <c r="O276">
        <f ca="1"/>
        <v>0</v>
      </c>
      <c r="P276">
        <f ca="1"/>
        <v>125.8493878528041</v>
      </c>
      <c r="Q276">
        <f ca="1"/>
        <v>116.45154395470509</v>
      </c>
      <c r="R276">
        <f ca="1"/>
        <v>0</v>
      </c>
      <c r="S276">
        <f ca="1"/>
        <v>0.31588475558807255</v>
      </c>
      <c r="T276">
        <f ca="1"/>
        <v>0</v>
      </c>
      <c r="U276">
        <f ca="1"/>
        <v>0</v>
      </c>
      <c r="V276">
        <f ca="1"/>
        <v>0.99973218686376342</v>
      </c>
      <c r="X276" s="2">
        <f t="shared" ca="1" si="29"/>
        <v>45686</v>
      </c>
      <c r="Y276">
        <f t="shared" ca="1" si="30"/>
        <v>0</v>
      </c>
      <c r="AA276" s="63">
        <f t="shared" ca="1" si="32"/>
        <v>-17.454987163817052</v>
      </c>
      <c r="AB276" s="63">
        <f t="shared" ca="1" si="33"/>
        <v>-17.454987163817052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45687</v>
      </c>
      <c r="K277">
        <f ca="1"/>
        <v>-23.053610685939482</v>
      </c>
      <c r="L277">
        <f ca="1"/>
        <v>3.1258125748889398</v>
      </c>
      <c r="M277">
        <f ca="1"/>
        <v>4.1175643606186085E-2</v>
      </c>
      <c r="N277">
        <f ca="1"/>
        <v>0.61825658131502192</v>
      </c>
      <c r="O277">
        <f ca="1"/>
        <v>0</v>
      </c>
      <c r="P277">
        <f ca="1"/>
        <v>128.97520042769304</v>
      </c>
      <c r="Q277">
        <f ca="1"/>
        <v>119.34393546068998</v>
      </c>
      <c r="R277">
        <f ca="1"/>
        <v>0</v>
      </c>
      <c r="S277">
        <f ca="1"/>
        <v>0.30530637446308079</v>
      </c>
      <c r="T277">
        <f ca="1"/>
        <v>0</v>
      </c>
      <c r="U277">
        <f ca="1"/>
        <v>0</v>
      </c>
      <c r="V277">
        <f ca="1"/>
        <v>0.99976849566341808</v>
      </c>
      <c r="X277" s="2">
        <f t="shared" ca="1" si="29"/>
        <v>45687</v>
      </c>
      <c r="Y277">
        <f t="shared" ca="1" si="30"/>
        <v>0</v>
      </c>
      <c r="AA277" s="63">
        <f t="shared" ca="1" si="32"/>
        <v>-19.927798111050542</v>
      </c>
      <c r="AB277" s="63">
        <f t="shared" ca="1" si="33"/>
        <v>-19.927798111050542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45688</v>
      </c>
      <c r="K278">
        <f ca="1"/>
        <v>-25.473664937069003</v>
      </c>
      <c r="L278">
        <f ca="1"/>
        <v>3.0380804624200834</v>
      </c>
      <c r="M278">
        <f ca="1"/>
        <v>3.5843364745383965E-2</v>
      </c>
      <c r="N278">
        <f ca="1"/>
        <v>0.58218284654517638</v>
      </c>
      <c r="O278">
        <f ca="1"/>
        <v>0</v>
      </c>
      <c r="P278">
        <f ca="1"/>
        <v>132.01328089011312</v>
      </c>
      <c r="Q278">
        <f ca="1"/>
        <v>122.15514627818909</v>
      </c>
      <c r="R278">
        <f ca="1"/>
        <v>0</v>
      </c>
      <c r="S278">
        <f ca="1"/>
        <v>0.27506212953196979</v>
      </c>
      <c r="T278">
        <f ca="1"/>
        <v>0</v>
      </c>
      <c r="U278">
        <f ca="1"/>
        <v>0</v>
      </c>
      <c r="V278">
        <f ca="1"/>
        <v>0.99979934703731044</v>
      </c>
      <c r="X278" s="2">
        <f t="shared" ca="1" si="29"/>
        <v>45688</v>
      </c>
      <c r="Y278">
        <f t="shared" ca="1" si="30"/>
        <v>0</v>
      </c>
      <c r="AA278" s="63">
        <f t="shared" ca="1" si="32"/>
        <v>-22.435584474648923</v>
      </c>
      <c r="AB278" s="63">
        <f t="shared" ca="1" si="33"/>
        <v>-22.43558447464892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45689</v>
      </c>
      <c r="K279">
        <f ca="1"/>
        <v>-27.821220579096533</v>
      </c>
      <c r="L279">
        <f ca="1"/>
        <v>3.003516912230765</v>
      </c>
      <c r="M279">
        <f ca="1"/>
        <v>4.1515751466922879E-2</v>
      </c>
      <c r="N279">
        <f ca="1"/>
        <v>0.61444551873630937</v>
      </c>
      <c r="O279">
        <f ca="1"/>
        <v>0</v>
      </c>
      <c r="P279">
        <f ca="1"/>
        <v>135.01679780234389</v>
      </c>
      <c r="Q279">
        <f ca="1"/>
        <v>124.93437458983121</v>
      </c>
      <c r="R279">
        <f ca="1"/>
        <v>0</v>
      </c>
      <c r="S279">
        <f ca="1"/>
        <v>0.32190142709306757</v>
      </c>
      <c r="T279">
        <f ca="1"/>
        <v>0</v>
      </c>
      <c r="U279">
        <f ca="1"/>
        <v>0</v>
      </c>
      <c r="V279">
        <f ca="1"/>
        <v>0.99982608772491566</v>
      </c>
      <c r="X279" s="2">
        <f t="shared" ca="1" si="29"/>
        <v>45689</v>
      </c>
      <c r="Y279">
        <f t="shared" ca="1" si="30"/>
        <v>0</v>
      </c>
      <c r="AA279" s="63">
        <f t="shared" ca="1" si="32"/>
        <v>-24.817703666865768</v>
      </c>
      <c r="AB279" s="63">
        <f t="shared" ca="1" si="33"/>
        <v>-24.817703666865768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45690</v>
      </c>
      <c r="K280">
        <f ca="1"/>
        <v>-30.075458618945532</v>
      </c>
      <c r="L280">
        <f ca="1"/>
        <v>2.9395488291258118</v>
      </c>
      <c r="M280">
        <f ca="1"/>
        <v>4.5958569088748291E-2</v>
      </c>
      <c r="N280">
        <f ca="1"/>
        <v>0.63935222018806181</v>
      </c>
      <c r="O280">
        <f ca="1"/>
        <v>0</v>
      </c>
      <c r="P280">
        <f ca="1"/>
        <v>137.9563466314697</v>
      </c>
      <c r="Q280">
        <f ca="1"/>
        <v>127.65441165574309</v>
      </c>
      <c r="R280">
        <f ca="1"/>
        <v>0</v>
      </c>
      <c r="S280">
        <f ca="1"/>
        <v>0.36463644788750937</v>
      </c>
      <c r="T280">
        <f ca="1"/>
        <v>0</v>
      </c>
      <c r="U280">
        <f ca="1"/>
        <v>0</v>
      </c>
      <c r="V280">
        <f ca="1"/>
        <v>0.99984908087870827</v>
      </c>
      <c r="X280" s="2">
        <f t="shared" ca="1" si="29"/>
        <v>45690</v>
      </c>
      <c r="Y280">
        <f t="shared" ca="1" si="30"/>
        <v>0</v>
      </c>
      <c r="AA280" s="63">
        <f t="shared" ca="1" si="32"/>
        <v>-27.135909789819724</v>
      </c>
      <c r="AB280" s="63">
        <f t="shared" ca="1" si="33"/>
        <v>-27.135909789819721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45691</v>
      </c>
      <c r="K281">
        <f ca="1"/>
        <v>-32.344067026403586</v>
      </c>
      <c r="L281">
        <f ca="1"/>
        <v>2.9408694923579333</v>
      </c>
      <c r="M281">
        <f ca="1"/>
        <v>4.2541837762501089E-2</v>
      </c>
      <c r="N281">
        <f ca="1"/>
        <v>0.62971924713737826</v>
      </c>
      <c r="O281">
        <f ca="1"/>
        <v>0</v>
      </c>
      <c r="P281">
        <f ca="1"/>
        <v>140.89721612382763</v>
      </c>
      <c r="Q281">
        <f ca="1"/>
        <v>130.3756707639314</v>
      </c>
      <c r="R281">
        <f ca="1"/>
        <v>0</v>
      </c>
      <c r="S281">
        <f ca="1"/>
        <v>0.33512618942535288</v>
      </c>
      <c r="T281">
        <f ca="1"/>
        <v>0</v>
      </c>
      <c r="U281">
        <f ca="1"/>
        <v>0</v>
      </c>
      <c r="V281">
        <f ca="1"/>
        <v>0.99986931436539916</v>
      </c>
      <c r="X281" s="2">
        <f t="shared" ca="1" si="29"/>
        <v>45691</v>
      </c>
      <c r="Y281">
        <f t="shared" ca="1" si="30"/>
        <v>0</v>
      </c>
      <c r="AA281" s="63">
        <f t="shared" ca="1" si="32"/>
        <v>-29.403197534045656</v>
      </c>
      <c r="AB281" s="63">
        <f t="shared" ca="1" si="33"/>
        <v>-29.403197534045653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45692</v>
      </c>
      <c r="K282">
        <f ca="1"/>
        <v>-34.492777385059881</v>
      </c>
      <c r="L282">
        <f ca="1"/>
        <v>2.8327903034798112</v>
      </c>
      <c r="M282">
        <f ca="1"/>
        <v>4.5264338457400299E-2</v>
      </c>
      <c r="N282">
        <f ca="1"/>
        <v>0.63881560636611256</v>
      </c>
      <c r="O282">
        <f ca="1"/>
        <v>0</v>
      </c>
      <c r="P282">
        <f ca="1"/>
        <v>143.73000642730744</v>
      </c>
      <c r="Q282">
        <f ca="1"/>
        <v>132.99692153176176</v>
      </c>
      <c r="R282">
        <f ca="1"/>
        <v>0</v>
      </c>
      <c r="S282">
        <f ca="1"/>
        <v>0.37117685277151174</v>
      </c>
      <c r="T282">
        <f ca="1"/>
        <v>0</v>
      </c>
      <c r="U282">
        <f ca="1"/>
        <v>0</v>
      </c>
      <c r="V282">
        <f ca="1"/>
        <v>0.99988648909018985</v>
      </c>
      <c r="X282" s="2">
        <f t="shared" ca="1" si="29"/>
        <v>45692</v>
      </c>
      <c r="Y282">
        <f t="shared" ca="1" si="30"/>
        <v>0</v>
      </c>
      <c r="AA282" s="63">
        <f t="shared" ca="1" si="32"/>
        <v>-31.659987081580073</v>
      </c>
      <c r="AB282" s="63">
        <f t="shared" ca="1" si="33"/>
        <v>-31.65998708158007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45693</v>
      </c>
      <c r="K283">
        <f ca="1"/>
        <v>-36.554558307155027</v>
      </c>
      <c r="L283">
        <f ca="1"/>
        <v>2.7154390865673861</v>
      </c>
      <c r="M283">
        <f ca="1"/>
        <v>4.2378649736058094E-2</v>
      </c>
      <c r="N283">
        <f ca="1"/>
        <v>0.61127951473617959</v>
      </c>
      <c r="O283">
        <f ca="1"/>
        <v>0</v>
      </c>
      <c r="P283">
        <f ca="1"/>
        <v>146.44544551387483</v>
      </c>
      <c r="Q283">
        <f ca="1"/>
        <v>135.50958432290366</v>
      </c>
      <c r="R283">
        <f ca="1"/>
        <v>0</v>
      </c>
      <c r="S283">
        <f ca="1"/>
        <v>0.36333251263690935</v>
      </c>
      <c r="T283">
        <f ca="1"/>
        <v>0</v>
      </c>
      <c r="U283">
        <f ca="1"/>
        <v>0</v>
      </c>
      <c r="V283">
        <f ca="1"/>
        <v>0.99990105978473787</v>
      </c>
      <c r="X283" s="2">
        <f t="shared" ca="1" si="29"/>
        <v>45693</v>
      </c>
      <c r="Y283">
        <f t="shared" ca="1" si="30"/>
        <v>0</v>
      </c>
      <c r="AA283" s="63">
        <f t="shared" ca="1" si="32"/>
        <v>-33.839119220587641</v>
      </c>
      <c r="AB283" s="63">
        <f t="shared" ca="1" si="33"/>
        <v>-33.839119220587641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45694</v>
      </c>
      <c r="K284">
        <f ca="1"/>
        <v>-38.536080298682826</v>
      </c>
      <c r="L284">
        <f ca="1"/>
        <v>2.5783058035710837</v>
      </c>
      <c r="M284">
        <f ca="1"/>
        <v>3.6406715934782952E-2</v>
      </c>
      <c r="N284">
        <f ca="1"/>
        <v>0.56037709610850162</v>
      </c>
      <c r="O284">
        <f ca="1"/>
        <v>0</v>
      </c>
      <c r="P284">
        <f ca="1"/>
        <v>149.02375131744591</v>
      </c>
      <c r="Q284">
        <f ca="1"/>
        <v>137.89535430348081</v>
      </c>
      <c r="R284">
        <f ca="1"/>
        <v>0</v>
      </c>
      <c r="S284">
        <f ca="1"/>
        <v>0.32917150016943603</v>
      </c>
      <c r="T284">
        <f ca="1"/>
        <v>0</v>
      </c>
      <c r="U284">
        <f ca="1"/>
        <v>0</v>
      </c>
      <c r="V284">
        <f ca="1"/>
        <v>0.99991336400625319</v>
      </c>
      <c r="X284" s="2">
        <f t="shared" ca="1" si="29"/>
        <v>45694</v>
      </c>
      <c r="Y284">
        <f t="shared" ca="1" si="30"/>
        <v>0</v>
      </c>
      <c r="AA284" s="63">
        <f t="shared" ca="1" si="32"/>
        <v>-35.957774495111742</v>
      </c>
      <c r="AB284" s="63">
        <f t="shared" ca="1" si="33"/>
        <v>-35.957774495111742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45695</v>
      </c>
      <c r="K285">
        <f ca="1"/>
        <v>-40.427920026913384</v>
      </c>
      <c r="L285">
        <f ca="1"/>
        <v>2.4811720705395999</v>
      </c>
      <c r="M285">
        <f ca="1"/>
        <v>3.633396548333323E-2</v>
      </c>
      <c r="N285">
        <f ca="1"/>
        <v>0.55299837682570996</v>
      </c>
      <c r="O285">
        <f ca="1"/>
        <v>0</v>
      </c>
      <c r="P285">
        <f ca="1"/>
        <v>151.50492338798551</v>
      </c>
      <c r="Q285">
        <f ca="1"/>
        <v>140.19124404407751</v>
      </c>
      <c r="R285">
        <f ca="1"/>
        <v>0</v>
      </c>
      <c r="S285">
        <f ca="1"/>
        <v>0.34002105824461237</v>
      </c>
      <c r="T285">
        <f ca="1"/>
        <v>0</v>
      </c>
      <c r="U285">
        <f ca="1"/>
        <v>0</v>
      </c>
      <c r="V285">
        <f ca="1"/>
        <v>0.99992394084511738</v>
      </c>
      <c r="X285" s="2">
        <f t="shared" ca="1" si="29"/>
        <v>45695</v>
      </c>
      <c r="Y285">
        <f t="shared" ca="1" si="30"/>
        <v>0</v>
      </c>
      <c r="AA285" s="63">
        <f t="shared" ca="1" si="32"/>
        <v>-37.946747956373784</v>
      </c>
      <c r="AB285" s="63">
        <f t="shared" ca="1" si="33"/>
        <v>-37.946747956373784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45696</v>
      </c>
      <c r="K286">
        <f ca="1"/>
        <v>-42.309780106382249</v>
      </c>
      <c r="L286">
        <f ca="1"/>
        <v>2.4950766120144863</v>
      </c>
      <c r="M286">
        <f ca="1"/>
        <v>3.7599604332404724E-2</v>
      </c>
      <c r="N286">
        <f ca="1"/>
        <v>0.5756169282132142</v>
      </c>
      <c r="O286">
        <f ca="1"/>
        <v>0</v>
      </c>
      <c r="P286">
        <f ca="1"/>
        <v>154</v>
      </c>
      <c r="Q286">
        <f ca="1"/>
        <v>142.50000000000003</v>
      </c>
      <c r="R286">
        <f ca="1"/>
        <v>0</v>
      </c>
      <c r="S286">
        <f ca="1"/>
        <v>0.34514814101282892</v>
      </c>
      <c r="T286">
        <f ca="1"/>
        <v>0</v>
      </c>
      <c r="U286">
        <f ca="1"/>
        <v>0</v>
      </c>
      <c r="V286">
        <f ca="1"/>
        <v>0.99993345063478134</v>
      </c>
      <c r="X286" s="2">
        <f t="shared" ca="1" si="29"/>
        <v>45696</v>
      </c>
      <c r="Y286">
        <f t="shared" ca="1" si="30"/>
        <v>0</v>
      </c>
      <c r="AA286" s="63">
        <f t="shared" ca="1" si="32"/>
        <v>-39.814703494367762</v>
      </c>
      <c r="AB286" s="63">
        <f t="shared" ca="1" si="33"/>
        <v>-39.814703494367762</v>
      </c>
      <c r="AC286" s="3">
        <f t="shared" ca="1" si="34"/>
        <v>0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A1" workbookViewId="0">
      <selection activeCell="AR12" sqref="AR12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257</v>
      </c>
      <c r="CT1" t="s">
        <v>258</v>
      </c>
      <c r="CU1" t="s">
        <v>259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264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263</v>
      </c>
      <c r="CS2" t="s">
        <v>256</v>
      </c>
      <c r="CT2" t="s">
        <v>256</v>
      </c>
      <c r="CU2" t="s">
        <v>256</v>
      </c>
    </row>
    <row r="3" spans="1:99">
      <c r="AS3" s="12"/>
      <c r="AW3" t="s">
        <v>78</v>
      </c>
      <c r="BA3" t="s">
        <v>260</v>
      </c>
      <c r="BO3" t="s">
        <v>89</v>
      </c>
      <c r="BU3" t="s">
        <v>68</v>
      </c>
      <c r="CQ3" s="13" t="s">
        <v>39</v>
      </c>
      <c r="CR3" t="s">
        <v>262</v>
      </c>
      <c r="CS3" t="s">
        <v>248</v>
      </c>
      <c r="CT3" t="s">
        <v>248</v>
      </c>
      <c r="CU3" t="s">
        <v>248</v>
      </c>
    </row>
    <row r="4" spans="1:99">
      <c r="AS4" s="12"/>
      <c r="BA4" t="s">
        <v>261</v>
      </c>
      <c r="BU4" t="s">
        <v>69</v>
      </c>
      <c r="CQ4" s="13"/>
      <c r="CR4" t="s">
        <v>29</v>
      </c>
      <c r="CS4" t="s">
        <v>249</v>
      </c>
      <c r="CT4" t="s">
        <v>249</v>
      </c>
      <c r="CU4" t="s">
        <v>249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250</v>
      </c>
      <c r="CT5" t="s">
        <v>250</v>
      </c>
      <c r="CU5" t="s">
        <v>250</v>
      </c>
    </row>
    <row r="6" spans="1:99" ht="15" thickBot="1">
      <c r="AI6" t="s">
        <v>217</v>
      </c>
      <c r="AJ6" t="s">
        <v>219</v>
      </c>
      <c r="AM6" s="116" t="s">
        <v>269</v>
      </c>
      <c r="AN6">
        <v>5</v>
      </c>
      <c r="CS6" t="s">
        <v>251</v>
      </c>
      <c r="CT6" t="s">
        <v>251</v>
      </c>
      <c r="CU6" t="s">
        <v>251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222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265</v>
      </c>
      <c r="AF7">
        <v>2</v>
      </c>
      <c r="AH7" t="s">
        <v>212</v>
      </c>
      <c r="AI7">
        <v>0.7</v>
      </c>
      <c r="AJ7">
        <v>0.76</v>
      </c>
      <c r="AM7" s="114" t="s">
        <v>270</v>
      </c>
      <c r="AN7">
        <v>15</v>
      </c>
      <c r="AP7" t="s">
        <v>246</v>
      </c>
      <c r="AR7" t="s">
        <v>277</v>
      </c>
      <c r="CS7" t="s">
        <v>252</v>
      </c>
      <c r="CT7" t="s">
        <v>252</v>
      </c>
      <c r="CU7" t="s">
        <v>252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257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266</v>
      </c>
      <c r="AF8">
        <v>3</v>
      </c>
      <c r="AH8" t="s">
        <v>67</v>
      </c>
      <c r="AI8">
        <v>1.1499999999999999</v>
      </c>
      <c r="AJ8">
        <v>1.22</v>
      </c>
      <c r="AM8" s="114" t="s">
        <v>271</v>
      </c>
      <c r="AN8">
        <v>17</v>
      </c>
      <c r="AP8" t="s">
        <v>229</v>
      </c>
      <c r="AR8" t="s">
        <v>278</v>
      </c>
      <c r="CS8" t="s">
        <v>253</v>
      </c>
      <c r="CT8" t="s">
        <v>253</v>
      </c>
      <c r="CU8" t="s">
        <v>253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258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E9" t="s">
        <v>267</v>
      </c>
      <c r="AH9" t="s">
        <v>213</v>
      </c>
      <c r="AI9">
        <v>1.1499999999999999</v>
      </c>
      <c r="AJ9">
        <v>1.2</v>
      </c>
      <c r="AM9" s="114" t="s">
        <v>272</v>
      </c>
      <c r="AN9">
        <v>20</v>
      </c>
      <c r="AR9" t="s">
        <v>279</v>
      </c>
      <c r="CS9" t="s">
        <v>254</v>
      </c>
      <c r="CT9" t="s">
        <v>254</v>
      </c>
      <c r="CU9" t="s">
        <v>254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259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E10" t="s">
        <v>268</v>
      </c>
      <c r="AH10" t="s">
        <v>214</v>
      </c>
      <c r="AI10">
        <v>0.8</v>
      </c>
      <c r="AJ10">
        <v>0.83</v>
      </c>
      <c r="AM10" s="114" t="s">
        <v>240</v>
      </c>
      <c r="AN10">
        <v>16</v>
      </c>
      <c r="AR10" t="s">
        <v>280</v>
      </c>
      <c r="CS10" t="s">
        <v>255</v>
      </c>
      <c r="CT10" t="s">
        <v>255</v>
      </c>
      <c r="CU10" t="s">
        <v>255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241</v>
      </c>
      <c r="AN11">
        <v>32</v>
      </c>
      <c r="AR11" t="s">
        <v>281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273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274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275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276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242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243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2024-06-13T00:56:26Z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