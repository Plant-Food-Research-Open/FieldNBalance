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AC9E0467-7F5C-4899-ACFC-A87F24EB5A4B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1" l="1"/>
  <c r="B11" i="3" s="1"/>
  <c r="D61" i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10" i="3" a="1"/>
  <c r="AI9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I1" i="3" a="1"/>
  <c r="AG9" i="3" a="1"/>
  <c r="AH10" i="3" a="1"/>
  <c r="AH9" i="3" a="1"/>
  <c r="J10" i="3" a="1"/>
  <c r="AG10" i="3" a="1"/>
  <c r="AH11" i="3" a="1"/>
  <c r="AG11" i="3" a="1"/>
  <c r="AG5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J10" i="3" a="1"/>
  <c r="AO11" i="3" a="1"/>
  <c r="AJ11" i="3" a="1"/>
  <c r="AK10" i="3" a="1"/>
  <c r="AK11" i="3" a="1"/>
  <c r="AM10" i="3" a="1"/>
  <c r="AL9" i="3" a="1"/>
  <c r="AO10" i="3" a="1"/>
  <c r="AN9" i="3" a="1"/>
  <c r="AM11" i="3" a="1"/>
  <c r="AL11" i="3" a="1"/>
  <c r="AJ9" i="3" a="1"/>
  <c r="AO9" i="3" a="1"/>
  <c r="AK9" i="3" a="1"/>
  <c r="AN11" i="3" a="1"/>
  <c r="AN10" i="3" a="1"/>
  <c r="AM9" i="3" a="1"/>
  <c r="AL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<sst xmlns="http://schemas.openxmlformats.org/spreadsheetml/2006/main" count="490" uniqueCount="284">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</sst>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3</c:v>
                </c:pt>
                <c:pt idx="1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266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16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208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2.819115041020674</c:v>
                </c:pt>
                <c:pt idx="16">
                  <c:v>2.9048906145022437</c:v>
                </c:pt>
                <c:pt idx="17">
                  <c:v>2.9883673005953502</c:v>
                </c:pt>
                <c:pt idx="18">
                  <c:v>3.0718367336788348</c:v>
                </c:pt>
                <c:pt idx="19">
                  <c:v>3.1620212773831886</c:v>
                </c:pt>
                <c:pt idx="20">
                  <c:v>3.2449093563449791</c:v>
                </c:pt>
                <c:pt idx="21">
                  <c:v>3.3304874812413705</c:v>
                </c:pt>
                <c:pt idx="22">
                  <c:v>3.4208669745787668</c:v>
                </c:pt>
                <c:pt idx="23">
                  <c:v>3.5136778660707804</c:v>
                </c:pt>
                <c:pt idx="24">
                  <c:v>3.6080187644764909</c:v>
                </c:pt>
                <c:pt idx="25">
                  <c:v>3.7152915008674166</c:v>
                </c:pt>
                <c:pt idx="26">
                  <c:v>3.8230641217553165</c:v>
                </c:pt>
                <c:pt idx="27">
                  <c:v>3.9325654648684227</c:v>
                </c:pt>
                <c:pt idx="28">
                  <c:v>4.0440907046204249</c:v>
                </c:pt>
                <c:pt idx="29">
                  <c:v>4.149088484220643</c:v>
                </c:pt>
                <c:pt idx="30">
                  <c:v>4.2556465655925848</c:v>
                </c:pt>
                <c:pt idx="31">
                  <c:v>4.3813812462783535</c:v>
                </c:pt>
                <c:pt idx="32">
                  <c:v>4.5107894266791853</c:v>
                </c:pt>
                <c:pt idx="33">
                  <c:v>4.6556422198166763</c:v>
                </c:pt>
                <c:pt idx="34">
                  <c:v>4.7878144981972826</c:v>
                </c:pt>
                <c:pt idx="35">
                  <c:v>4.9189677796285549</c:v>
                </c:pt>
                <c:pt idx="36">
                  <c:v>5.0388673578811476</c:v>
                </c:pt>
                <c:pt idx="37">
                  <c:v>5.1768097378896787</c:v>
                </c:pt>
                <c:pt idx="38">
                  <c:v>5.3198961022723816</c:v>
                </c:pt>
                <c:pt idx="39">
                  <c:v>5.4681946095926275</c:v>
                </c:pt>
                <c:pt idx="40">
                  <c:v>5.6258101012773194</c:v>
                </c:pt>
                <c:pt idx="41">
                  <c:v>5.7871333736986896</c:v>
                </c:pt>
                <c:pt idx="42">
                  <c:v>5.9436771529812962</c:v>
                </c:pt>
                <c:pt idx="43">
                  <c:v>6.0872063854834648</c:v>
                </c:pt>
                <c:pt idx="44">
                  <c:v>6.2349767969052756</c:v>
                </c:pt>
                <c:pt idx="45">
                  <c:v>6.4090608033929888</c:v>
                </c:pt>
                <c:pt idx="46">
                  <c:v>6.5730675752101178</c:v>
                </c:pt>
                <c:pt idx="47">
                  <c:v>6.7344023495417975</c:v>
                </c:pt>
                <c:pt idx="48">
                  <c:v>6.8930394107667743</c:v>
                </c:pt>
                <c:pt idx="49">
                  <c:v>7.0566583509416434</c:v>
                </c:pt>
                <c:pt idx="50">
                  <c:v>7.2216010605777932</c:v>
                </c:pt>
                <c:pt idx="51">
                  <c:v>7.3868025499226952</c:v>
                </c:pt>
                <c:pt idx="52">
                  <c:v>7.5615208174070441</c:v>
                </c:pt>
                <c:pt idx="53">
                  <c:v>7.7282051363805309</c:v>
                </c:pt>
                <c:pt idx="54">
                  <c:v>7.9110489955805754</c:v>
                </c:pt>
                <c:pt idx="55">
                  <c:v>8.0932039640560092</c:v>
                </c:pt>
                <c:pt idx="56">
                  <c:v>8.2970053019902412</c:v>
                </c:pt>
                <c:pt idx="57">
                  <c:v>8.4995358881406506</c:v>
                </c:pt>
                <c:pt idx="58">
                  <c:v>8.719335230309909</c:v>
                </c:pt>
                <c:pt idx="59">
                  <c:v>8.9180388393078012</c:v>
                </c:pt>
                <c:pt idx="60">
                  <c:v>9.112263499673368</c:v>
                </c:pt>
                <c:pt idx="61">
                  <c:v>9.3125851624230638</c:v>
                </c:pt>
                <c:pt idx="62">
                  <c:v>9.5119369467214359</c:v>
                </c:pt>
                <c:pt idx="63">
                  <c:v>9.7241627362980019</c:v>
                </c:pt>
                <c:pt idx="64">
                  <c:v>9.9336761804502576</c:v>
                </c:pt>
                <c:pt idx="65">
                  <c:v>10.143048144461442</c:v>
                </c:pt>
                <c:pt idx="66">
                  <c:v>10.382367706804557</c:v>
                </c:pt>
                <c:pt idx="67">
                  <c:v>10.627183515707545</c:v>
                </c:pt>
                <c:pt idx="68">
                  <c:v>10.898502474129845</c:v>
                </c:pt>
                <c:pt idx="69">
                  <c:v>11.154855371591037</c:v>
                </c:pt>
                <c:pt idx="70">
                  <c:v>11.42126101814069</c:v>
                </c:pt>
                <c:pt idx="71">
                  <c:v>11.709493484336878</c:v>
                </c:pt>
                <c:pt idx="72">
                  <c:v>12.015166486884823</c:v>
                </c:pt>
                <c:pt idx="73">
                  <c:v>12.335029546504211</c:v>
                </c:pt>
                <c:pt idx="74">
                  <c:v>12.643273472754254</c:v>
                </c:pt>
                <c:pt idx="75">
                  <c:v>12.957952371842861</c:v>
                </c:pt>
                <c:pt idx="76">
                  <c:v>13.263906243120552</c:v>
                </c:pt>
                <c:pt idx="77">
                  <c:v>13.570813284393434</c:v>
                </c:pt>
                <c:pt idx="78">
                  <c:v>13.905229335152818</c:v>
                </c:pt>
                <c:pt idx="79">
                  <c:v>14.234971806814501</c:v>
                </c:pt>
                <c:pt idx="80">
                  <c:v>14.574142587726804</c:v>
                </c:pt>
                <c:pt idx="81">
                  <c:v>14.887744232571944</c:v>
                </c:pt>
                <c:pt idx="82">
                  <c:v>15.230383300446888</c:v>
                </c:pt>
                <c:pt idx="83">
                  <c:v>15.645060457246078</c:v>
                </c:pt>
                <c:pt idx="84">
                  <c:v>16.081408706916672</c:v>
                </c:pt>
                <c:pt idx="85">
                  <c:v>16.508017278198569</c:v>
                </c:pt>
                <c:pt idx="86">
                  <c:v>16.94896389345967</c:v>
                </c:pt>
                <c:pt idx="87">
                  <c:v>17.382733475558808</c:v>
                </c:pt>
                <c:pt idx="88">
                  <c:v>17.832164194683585</c:v>
                </c:pt>
                <c:pt idx="89">
                  <c:v>18.297862867724788</c:v>
                </c:pt>
                <c:pt idx="90">
                  <c:v>18.749524114059618</c:v>
                </c:pt>
                <c:pt idx="91">
                  <c:v>19.160934311461631</c:v>
                </c:pt>
                <c:pt idx="92">
                  <c:v>19.551242829559754</c:v>
                </c:pt>
                <c:pt idx="93">
                  <c:v>19.997823117556688</c:v>
                </c:pt>
                <c:pt idx="94">
                  <c:v>20.47558860772488</c:v>
                </c:pt>
                <c:pt idx="95">
                  <c:v>20.980269271452503</c:v>
                </c:pt>
                <c:pt idx="96">
                  <c:v>21.512103291313224</c:v>
                </c:pt>
                <c:pt idx="97">
                  <c:v>22.037505570704894</c:v>
                </c:pt>
                <c:pt idx="98">
                  <c:v>22.589969858265501</c:v>
                </c:pt>
                <c:pt idx="99">
                  <c:v>23.150737965160399</c:v>
                </c:pt>
                <c:pt idx="100">
                  <c:v>23.676949929729158</c:v>
                </c:pt>
                <c:pt idx="101">
                  <c:v>24.254382095901704</c:v>
                </c:pt>
                <c:pt idx="102">
                  <c:v>24.831131858442621</c:v>
                </c:pt>
                <c:pt idx="103">
                  <c:v>25.453537891184514</c:v>
                </c:pt>
                <c:pt idx="104">
                  <c:v>26.074003758294712</c:v>
                </c:pt>
                <c:pt idx="105">
                  <c:v>26.712586123501318</c:v>
                </c:pt>
                <c:pt idx="106">
                  <c:v>27.387070628995527</c:v>
                </c:pt>
                <c:pt idx="107">
                  <c:v>28.065335553363251</c:v>
                </c:pt>
                <c:pt idx="108">
                  <c:v>28.831404294898956</c:v>
                </c:pt>
                <c:pt idx="109">
                  <c:v>29.618984032510362</c:v>
                </c:pt>
                <c:pt idx="110">
                  <c:v>30.451458931523749</c:v>
                </c:pt>
                <c:pt idx="111">
                  <c:v>31.266397814453221</c:v>
                </c:pt>
                <c:pt idx="112">
                  <c:v>32.144453206707283</c:v>
                </c:pt>
                <c:pt idx="113">
                  <c:v>33.008125064451619</c:v>
                </c:pt>
                <c:pt idx="114">
                  <c:v>33.846786189187085</c:v>
                </c:pt>
                <c:pt idx="115">
                  <c:v>34.665365442661489</c:v>
                </c:pt>
                <c:pt idx="116">
                  <c:v>35.509748292755397</c:v>
                </c:pt>
                <c:pt idx="117">
                  <c:v>36.400446966234313</c:v>
                </c:pt>
                <c:pt idx="118">
                  <c:v>37.285630966061028</c:v>
                </c:pt>
                <c:pt idx="119">
                  <c:v>38.241582866432388</c:v>
                </c:pt>
                <c:pt idx="120">
                  <c:v>39.261604104108066</c:v>
                </c:pt>
                <c:pt idx="121">
                  <c:v>40.287241327639151</c:v>
                </c:pt>
                <c:pt idx="122">
                  <c:v>41.239461491054008</c:v>
                </c:pt>
                <c:pt idx="123">
                  <c:v>42.260697960806979</c:v>
                </c:pt>
                <c:pt idx="124">
                  <c:v>43.3617791087648</c:v>
                </c:pt>
                <c:pt idx="125">
                  <c:v>44.467734699503097</c:v>
                </c:pt>
                <c:pt idx="126">
                  <c:v>45.682680203098869</c:v>
                </c:pt>
                <c:pt idx="127">
                  <c:v>46.913091783950591</c:v>
                </c:pt>
                <c:pt idx="128">
                  <c:v>48.203241830826315</c:v>
                </c:pt>
                <c:pt idx="129">
                  <c:v>49.51462115545192</c:v>
                </c:pt>
                <c:pt idx="130">
                  <c:v>50.967374672203832</c:v>
                </c:pt>
                <c:pt idx="131">
                  <c:v>52.350444840589773</c:v>
                </c:pt>
                <c:pt idx="132">
                  <c:v>53.658332505807536</c:v>
                </c:pt>
                <c:pt idx="133">
                  <c:v>54.979724621092785</c:v>
                </c:pt>
                <c:pt idx="134">
                  <c:v>56.25772249099716</c:v>
                </c:pt>
                <c:pt idx="135">
                  <c:v>57.602011211907389</c:v>
                </c:pt>
                <c:pt idx="136">
                  <c:v>59.082155710051055</c:v>
                </c:pt>
                <c:pt idx="137">
                  <c:v>60.690006945061533</c:v>
                </c:pt>
                <c:pt idx="138">
                  <c:v>62.399473878790531</c:v>
                </c:pt>
                <c:pt idx="139">
                  <c:v>64.086916761589407</c:v>
                </c:pt>
                <c:pt idx="140">
                  <c:v>65.865028346233871</c:v>
                </c:pt>
                <c:pt idx="141">
                  <c:v>67.725512486543153</c:v>
                </c:pt>
                <c:pt idx="142">
                  <c:v>69.677825906451105</c:v>
                </c:pt>
                <c:pt idx="143">
                  <c:v>71.653858765421433</c:v>
                </c:pt>
                <c:pt idx="144">
                  <c:v>73.531985562546978</c:v>
                </c:pt>
                <c:pt idx="145">
                  <c:v>75.509828761624462</c:v>
                </c:pt>
                <c:pt idx="146">
                  <c:v>77.684789783618484</c:v>
                </c:pt>
                <c:pt idx="147">
                  <c:v>79.735664390515083</c:v>
                </c:pt>
                <c:pt idx="148">
                  <c:v>81.818482060953016</c:v>
                </c:pt>
                <c:pt idx="149">
                  <c:v>83.929236179790081</c:v>
                </c:pt>
                <c:pt idx="150">
                  <c:v>86.135193997646994</c:v>
                </c:pt>
                <c:pt idx="151">
                  <c:v>88.334747267177192</c:v>
                </c:pt>
                <c:pt idx="152">
                  <c:v>90.509999319784498</c:v>
                </c:pt>
                <c:pt idx="153">
                  <c:v>92.682686466141249</c:v>
                </c:pt>
                <c:pt idx="154">
                  <c:v>95.118489761801726</c:v>
                </c:pt>
                <c:pt idx="155">
                  <c:v>97.618637525172844</c:v>
                </c:pt>
                <c:pt idx="156">
                  <c:v>100.07371006441602</c:v>
                </c:pt>
                <c:pt idx="157">
                  <c:v>102.70098955400422</c:v>
                </c:pt>
                <c:pt idx="158">
                  <c:v>105.35683613835666</c:v>
                </c:pt>
                <c:pt idx="159">
                  <c:v>107.97558519788814</c:v>
                </c:pt>
                <c:pt idx="160">
                  <c:v>110.78616984848604</c:v>
                </c:pt>
                <c:pt idx="161">
                  <c:v>113.58692100668021</c:v>
                </c:pt>
                <c:pt idx="162">
                  <c:v>116.29820506149683</c:v>
                </c:pt>
                <c:pt idx="163">
                  <c:v>119.16669129322803</c:v>
                </c:pt>
                <c:pt idx="164">
                  <c:v>122.03481961120177</c:v>
                </c:pt>
                <c:pt idx="165">
                  <c:v>125.04537267875813</c:v>
                </c:pt>
                <c:pt idx="166">
                  <c:v>127.93081997520277</c:v>
                </c:pt>
                <c:pt idx="167">
                  <c:v>130.86180376316847</c:v>
                </c:pt>
                <c:pt idx="168">
                  <c:v>133.97148873779912</c:v>
                </c:pt>
                <c:pt idx="169">
                  <c:v>137.34275815784605</c:v>
                </c:pt>
                <c:pt idx="170">
                  <c:v>140.7878915960236</c:v>
                </c:pt>
                <c:pt idx="171">
                  <c:v>144.15507994246121</c:v>
                </c:pt>
                <c:pt idx="172">
                  <c:v>147.69356595403914</c:v>
                </c:pt>
                <c:pt idx="173">
                  <c:v>151.03515223824033</c:v>
                </c:pt>
                <c:pt idx="174">
                  <c:v>154.29610335928047</c:v>
                </c:pt>
                <c:pt idx="175">
                  <c:v>157.54786379457124</c:v>
                </c:pt>
                <c:pt idx="176">
                  <c:v>161.04372494093354</c:v>
                </c:pt>
                <c:pt idx="177">
                  <c:v>164.84276057519014</c:v>
                </c:pt>
                <c:pt idx="178">
                  <c:v>168.54471041653355</c:v>
                </c:pt>
                <c:pt idx="179">
                  <c:v>172.1203983897714</c:v>
                </c:pt>
                <c:pt idx="180">
                  <c:v>175.67054431112746</c:v>
                </c:pt>
                <c:pt idx="181">
                  <c:v>179.31199235314111</c:v>
                </c:pt>
                <c:pt idx="182">
                  <c:v>183.0926980121007</c:v>
                </c:pt>
                <c:pt idx="183">
                  <c:v>186.96782146010531</c:v>
                </c:pt>
                <c:pt idx="184">
                  <c:v>190.72101587594304</c:v>
                </c:pt>
                <c:pt idx="185">
                  <c:v>194.54699682275407</c:v>
                </c:pt>
                <c:pt idx="186">
                  <c:v>198.14825675142268</c:v>
                </c:pt>
                <c:pt idx="187">
                  <c:v>201.61269361478884</c:v>
                </c:pt>
                <c:pt idx="188">
                  <c:v>205.08989912085337</c:v>
                </c:pt>
                <c:pt idx="189">
                  <c:v>208.80703115288114</c:v>
                </c:pt>
                <c:pt idx="190">
                  <c:v>212.87714221875061</c:v>
                </c:pt>
                <c:pt idx="191">
                  <c:v>216.99575119279135</c:v>
                </c:pt>
                <c:pt idx="192">
                  <c:v>220.96709942443192</c:v>
                </c:pt>
                <c:pt idx="193">
                  <c:v>224.78659841301462</c:v>
                </c:pt>
                <c:pt idx="194">
                  <c:v>228.64098387948241</c:v>
                </c:pt>
                <c:pt idx="195">
                  <c:v>232.49984012174727</c:v>
                </c:pt>
                <c:pt idx="196">
                  <c:v>236.36284767458571</c:v>
                </c:pt>
                <c:pt idx="197">
                  <c:v>240.35813021069751</c:v>
                </c:pt>
                <c:pt idx="198">
                  <c:v>244.32815037917612</c:v>
                </c:pt>
                <c:pt idx="199">
                  <c:v>248.51244820052474</c:v>
                </c:pt>
                <c:pt idx="200">
                  <c:v>252.69514056686975</c:v>
                </c:pt>
                <c:pt idx="201">
                  <c:v>256.92092538287051</c:v>
                </c:pt>
                <c:pt idx="202">
                  <c:v>261.04591276200171</c:v>
                </c:pt>
                <c:pt idx="203">
                  <c:v>264.85960094752971</c:v>
                </c:pt>
                <c:pt idx="204">
                  <c:v>268.89946660692584</c:v>
                </c:pt>
                <c:pt idx="205">
                  <c:v>272.82801438084857</c:v>
                </c:pt>
                <c:pt idx="206">
                  <c:v>276.76367197557204</c:v>
                </c:pt>
                <c:pt idx="207">
                  <c:v>280.61786109489731</c:v>
                </c:pt>
                <c:pt idx="208">
                  <c:v>284.53456625151119</c:v>
                </c:pt>
                <c:pt idx="209">
                  <c:v>288.34886401419834</c:v>
                </c:pt>
                <c:pt idx="210">
                  <c:v>292.09676859242524</c:v>
                </c:pt>
                <c:pt idx="211">
                  <c:v>295.647956974404</c:v>
                </c:pt>
                <c:pt idx="212">
                  <c:v>298.99730087669485</c:v>
                </c:pt>
                <c:pt idx="213">
                  <c:v>302.42216411421401</c:v>
                </c:pt>
                <c:pt idx="214">
                  <c:v>305.9463706963773</c:v>
                </c:pt>
                <c:pt idx="215">
                  <c:v>309.55763552409724</c:v>
                </c:pt>
                <c:pt idx="216">
                  <c:v>312.97701810632321</c:v>
                </c:pt>
                <c:pt idx="217">
                  <c:v>316.29102738005446</c:v>
                </c:pt>
                <c:pt idx="218">
                  <c:v>319.39309128469137</c:v>
                </c:pt>
                <c:pt idx="219">
                  <c:v>322.3387557247633</c:v>
                </c:pt>
                <c:pt idx="220">
                  <c:v>325.39693603485335</c:v>
                </c:pt>
                <c:pt idx="221">
                  <c:v>328.37447164861641</c:v>
                </c:pt>
                <c:pt idx="222">
                  <c:v>331.3431075118001</c:v>
                </c:pt>
                <c:pt idx="223">
                  <c:v>334.15153521245026</c:v>
                </c:pt>
                <c:pt idx="224">
                  <c:v>336.75691347331122</c:v>
                </c:pt>
                <c:pt idx="225">
                  <c:v>339.30957658952258</c:v>
                </c:pt>
                <c:pt idx="226">
                  <c:v>341.80096856049147</c:v>
                </c:pt>
                <c:pt idx="227">
                  <c:v>344.31942840412995</c:v>
                </c:pt>
                <c:pt idx="228">
                  <c:v>346.76957835112211</c:v>
                </c:pt>
                <c:pt idx="229">
                  <c:v>349.21529837595443</c:v>
                </c:pt>
                <c:pt idx="230">
                  <c:v>351.65065090123579</c:v>
                </c:pt>
                <c:pt idx="231">
                  <c:v>353.95376964065929</c:v>
                </c:pt>
                <c:pt idx="232">
                  <c:v>356.11255465862934</c:v>
                </c:pt>
                <c:pt idx="233">
                  <c:v>358.2100240885058</c:v>
                </c:pt>
                <c:pt idx="234">
                  <c:v>360.23023149711781</c:v>
                </c:pt>
                <c:pt idx="235">
                  <c:v>362.14046030009052</c:v>
                </c:pt>
                <c:pt idx="236">
                  <c:v>363.85395197222596</c:v>
                </c:pt>
                <c:pt idx="237">
                  <c:v>365.76808023532254</c:v>
                </c:pt>
                <c:pt idx="238">
                  <c:v>367.66515111636568</c:v>
                </c:pt>
                <c:pt idx="239">
                  <c:v>369.49227334163407</c:v>
                </c:pt>
                <c:pt idx="240">
                  <c:v>371.10854718163324</c:v>
                </c:pt>
                <c:pt idx="241">
                  <c:v>372.61341066765851</c:v>
                </c:pt>
                <c:pt idx="242">
                  <c:v>374.16932955273882</c:v>
                </c:pt>
                <c:pt idx="243">
                  <c:v>375.61264214485135</c:v>
                </c:pt>
                <c:pt idx="244">
                  <c:v>377.03608750669383</c:v>
                </c:pt>
                <c:pt idx="245">
                  <c:v>378.37263423776199</c:v>
                </c:pt>
                <c:pt idx="246">
                  <c:v>379.7009537009568</c:v>
                </c:pt>
                <c:pt idx="247">
                  <c:v>380.97989812465022</c:v>
                </c:pt>
                <c:pt idx="248">
                  <c:v>382.24345912414918</c:v>
                </c:pt>
                <c:pt idx="249">
                  <c:v>383.43474908444961</c:v>
                </c:pt>
                <c:pt idx="250">
                  <c:v>384.53928248776026</c:v>
                </c:pt>
                <c:pt idx="251">
                  <c:v>385.61384033007226</c:v>
                </c:pt>
                <c:pt idx="252">
                  <c:v>386.67026799522426</c:v>
                </c:pt>
                <c:pt idx="253">
                  <c:v>387.69858590777386</c:v>
                </c:pt>
                <c:pt idx="254">
                  <c:v>388.66564498273709</c:v>
                </c:pt>
                <c:pt idx="255">
                  <c:v>389.6166678506998</c:v>
                </c:pt>
                <c:pt idx="256">
                  <c:v>390.51038910924723</c:v>
                </c:pt>
                <c:pt idx="257">
                  <c:v>391.34447796505685</c:v>
                </c:pt>
                <c:pt idx="258">
                  <c:v>392.12842593820761</c:v>
                </c:pt>
                <c:pt idx="259">
                  <c:v>392.88578640053845</c:v>
                </c:pt>
                <c:pt idx="260">
                  <c:v>393.61943872553456</c:v>
                </c:pt>
                <c:pt idx="261">
                  <c:v>394.32681972966481</c:v>
                </c:pt>
                <c:pt idx="262">
                  <c:v>395.04325455454762</c:v>
                </c:pt>
                <c:pt idx="263">
                  <c:v>395.71230930294996</c:v>
                </c:pt>
                <c:pt idx="264">
                  <c:v>396.34240580444549</c:v>
                </c:pt>
                <c:pt idx="265">
                  <c:v>396.96555261686802</c:v>
                </c:pt>
                <c:pt idx="266">
                  <c:v>397.56310858522585</c:v>
                </c:pt>
                <c:pt idx="267">
                  <c:v>398.12214608676311</c:v>
                </c:pt>
                <c:pt idx="268">
                  <c:v>398.65509158889239</c:v>
                </c:pt>
                <c:pt idx="269">
                  <c:v>399.15885659683346</c:v>
                </c:pt>
                <c:pt idx="270">
                  <c:v>399.64625579488325</c:v>
                </c:pt>
                <c:pt idx="271">
                  <c:v>400.1009622398438</c:v>
                </c:pt>
                <c:pt idx="272">
                  <c:v>400.52398043435153</c:v>
                </c:pt>
                <c:pt idx="273">
                  <c:v>400.91461318854408</c:v>
                </c:pt>
                <c:pt idx="274">
                  <c:v>401.28090567702793</c:v>
                </c:pt>
                <c:pt idx="275">
                  <c:v>401.64019939743372</c:v>
                </c:pt>
                <c:pt idx="276">
                  <c:v>401.98506679328659</c:v>
                </c:pt>
                <c:pt idx="277">
                  <c:v>402.31726797938416</c:v>
                </c:pt>
                <c:pt idx="278">
                  <c:v>402.63342074094612</c:v>
                </c:pt>
                <c:pt idx="279">
                  <c:v>402.94534482092973</c:v>
                </c:pt>
                <c:pt idx="280">
                  <c:v>403.24939956195345</c:v>
                </c:pt>
                <c:pt idx="281">
                  <c:v>403.53893406590538</c:v>
                </c:pt>
                <c:pt idx="282">
                  <c:v>403.80741375681578</c:v>
                </c:pt>
                <c:pt idx="283">
                  <c:v>404.05938322368615</c:v>
                </c:pt>
                <c:pt idx="284">
                  <c:v>404.30410231105765</c:v>
                </c:pt>
                <c:pt idx="285">
                  <c:v>404.54135634097048</c:v>
                </c:pt>
                <c:pt idx="286">
                  <c:v>404.77204807391394</c:v>
                </c:pt>
                <c:pt idx="287">
                  <c:v>404.99454107438316</c:v>
                </c:pt>
                <c:pt idx="288">
                  <c:v>405.20333600927609</c:v>
                </c:pt>
                <c:pt idx="289">
                  <c:v>405.40150817649112</c:v>
                </c:pt>
                <c:pt idx="290">
                  <c:v>405.5787041748124</c:v>
                </c:pt>
                <c:pt idx="291">
                  <c:v>405.74030417001552</c:v>
                </c:pt>
                <c:pt idx="292">
                  <c:v>405.89969351724307</c:v>
                </c:pt>
                <c:pt idx="293">
                  <c:v>406.04716916303653</c:v>
                </c:pt>
                <c:pt idx="294">
                  <c:v>406.18717236871112</c:v>
                </c:pt>
                <c:pt idx="295">
                  <c:v>406.32633081797076</c:v>
                </c:pt>
                <c:pt idx="296">
                  <c:v>406.45626129256431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100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50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38.822737879479654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38.828820430227395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38.77331575117185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50.852731365529124</c:v>
                </c:pt>
                <c:pt idx="2">
                  <c:v>51.56053273453152</c:v>
                </c:pt>
                <c:pt idx="3">
                  <c:v>51.399106020695584</c:v>
                </c:pt>
                <c:pt idx="4">
                  <c:v>51.317617003074702</c:v>
                </c:pt>
                <c:pt idx="5">
                  <c:v>50.236119267768856</c:v>
                </c:pt>
                <c:pt idx="6">
                  <c:v>50.226347572105055</c:v>
                </c:pt>
                <c:pt idx="7">
                  <c:v>50.515089467530011</c:v>
                </c:pt>
                <c:pt idx="8">
                  <c:v>51.073456470238519</c:v>
                </c:pt>
                <c:pt idx="9">
                  <c:v>51.734017084832161</c:v>
                </c:pt>
                <c:pt idx="10">
                  <c:v>52.694084160754649</c:v>
                </c:pt>
                <c:pt idx="11">
                  <c:v>53.650764358331863</c:v>
                </c:pt>
                <c:pt idx="12">
                  <c:v>53.95917214254019</c:v>
                </c:pt>
                <c:pt idx="13">
                  <c:v>54.307804347031933</c:v>
                </c:pt>
                <c:pt idx="14">
                  <c:v>53.854143112870382</c:v>
                </c:pt>
                <c:pt idx="15">
                  <c:v>54.12133037449459</c:v>
                </c:pt>
                <c:pt idx="16">
                  <c:v>53.484005630138753</c:v>
                </c:pt>
                <c:pt idx="17">
                  <c:v>53.803829518007305</c:v>
                </c:pt>
                <c:pt idx="18">
                  <c:v>54.083071969625287</c:v>
                </c:pt>
                <c:pt idx="19">
                  <c:v>54.288871014492223</c:v>
                </c:pt>
                <c:pt idx="20">
                  <c:v>54.792361879538788</c:v>
                </c:pt>
                <c:pt idx="21">
                  <c:v>54.479086678709152</c:v>
                </c:pt>
                <c:pt idx="22">
                  <c:v>54.862949847810761</c:v>
                </c:pt>
                <c:pt idx="23">
                  <c:v>55.116145995588447</c:v>
                </c:pt>
                <c:pt idx="24">
                  <c:v>55.643528566144369</c:v>
                </c:pt>
                <c:pt idx="25">
                  <c:v>56.033426664884324</c:v>
                </c:pt>
                <c:pt idx="26">
                  <c:v>55.848822872225078</c:v>
                </c:pt>
                <c:pt idx="27">
                  <c:v>55.331666495628291</c:v>
                </c:pt>
                <c:pt idx="28">
                  <c:v>55.690604657159199</c:v>
                </c:pt>
                <c:pt idx="29">
                  <c:v>56.228860962086365</c:v>
                </c:pt>
                <c:pt idx="30">
                  <c:v>56.770572732339048</c:v>
                </c:pt>
                <c:pt idx="31">
                  <c:v>56.331221392689535</c:v>
                </c:pt>
                <c:pt idx="32">
                  <c:v>55.209447315243281</c:v>
                </c:pt>
                <c:pt idx="33">
                  <c:v>56.092003023848449</c:v>
                </c:pt>
                <c:pt idx="34">
                  <c:v>55.476191361127768</c:v>
                </c:pt>
                <c:pt idx="35">
                  <c:v>56.189389362901522</c:v>
                </c:pt>
                <c:pt idx="36">
                  <c:v>56.45976157222487</c:v>
                </c:pt>
                <c:pt idx="37">
                  <c:v>50.07180161764456</c:v>
                </c:pt>
                <c:pt idx="38">
                  <c:v>50.362314875970085</c:v>
                </c:pt>
                <c:pt idx="39">
                  <c:v>49.79637411611936</c:v>
                </c:pt>
                <c:pt idx="40">
                  <c:v>47.622764635345227</c:v>
                </c:pt>
                <c:pt idx="41">
                  <c:v>46.278247693649782</c:v>
                </c:pt>
                <c:pt idx="42">
                  <c:v>46.71862346358391</c:v>
                </c:pt>
                <c:pt idx="43">
                  <c:v>47.071658097300741</c:v>
                </c:pt>
                <c:pt idx="44">
                  <c:v>47.128212136984232</c:v>
                </c:pt>
                <c:pt idx="45">
                  <c:v>47.085179862025832</c:v>
                </c:pt>
                <c:pt idx="46">
                  <c:v>47.171933624288847</c:v>
                </c:pt>
                <c:pt idx="47">
                  <c:v>47.718280974357299</c:v>
                </c:pt>
                <c:pt idx="48">
                  <c:v>47.754927355544709</c:v>
                </c:pt>
                <c:pt idx="49">
                  <c:v>48.338918157822725</c:v>
                </c:pt>
                <c:pt idx="50">
                  <c:v>48.692636348878302</c:v>
                </c:pt>
                <c:pt idx="51">
                  <c:v>48.77837136253649</c:v>
                </c:pt>
                <c:pt idx="52">
                  <c:v>48.98668176626056</c:v>
                </c:pt>
                <c:pt idx="53">
                  <c:v>49.515826023620484</c:v>
                </c:pt>
                <c:pt idx="54">
                  <c:v>49.387629727809234</c:v>
                </c:pt>
                <c:pt idx="55">
                  <c:v>49.922211426564445</c:v>
                </c:pt>
                <c:pt idx="56">
                  <c:v>50.489760241270588</c:v>
                </c:pt>
                <c:pt idx="57">
                  <c:v>50.942433472941595</c:v>
                </c:pt>
                <c:pt idx="58">
                  <c:v>50.463049941144028</c:v>
                </c:pt>
                <c:pt idx="59">
                  <c:v>50.222772792095448</c:v>
                </c:pt>
                <c:pt idx="60">
                  <c:v>49.801480460051927</c:v>
                </c:pt>
                <c:pt idx="61">
                  <c:v>49.946838010843095</c:v>
                </c:pt>
                <c:pt idx="62">
                  <c:v>49.424654436868941</c:v>
                </c:pt>
                <c:pt idx="63">
                  <c:v>49.725683727572175</c:v>
                </c:pt>
                <c:pt idx="64">
                  <c:v>49.044121174365813</c:v>
                </c:pt>
                <c:pt idx="65">
                  <c:v>48.582362909523404</c:v>
                </c:pt>
                <c:pt idx="66">
                  <c:v>48.760455183684201</c:v>
                </c:pt>
                <c:pt idx="67">
                  <c:v>47.832677666545649</c:v>
                </c:pt>
                <c:pt idx="68">
                  <c:v>47.363746880933626</c:v>
                </c:pt>
                <c:pt idx="69">
                  <c:v>47.789175793466924</c:v>
                </c:pt>
                <c:pt idx="70">
                  <c:v>48.182686495659254</c:v>
                </c:pt>
                <c:pt idx="71">
                  <c:v>48.160906509131792</c:v>
                </c:pt>
                <c:pt idx="72">
                  <c:v>47.94717530618982</c:v>
                </c:pt>
                <c:pt idx="73">
                  <c:v>47.463812669241861</c:v>
                </c:pt>
                <c:pt idx="74">
                  <c:v>46.757303733060276</c:v>
                </c:pt>
                <c:pt idx="75">
                  <c:v>46.886539193146348</c:v>
                </c:pt>
                <c:pt idx="76">
                  <c:v>47.274111184423049</c:v>
                </c:pt>
                <c:pt idx="77">
                  <c:v>47.647376510415441</c:v>
                </c:pt>
                <c:pt idx="78">
                  <c:v>48.030054736349726</c:v>
                </c:pt>
                <c:pt idx="79">
                  <c:v>48.392185763624894</c:v>
                </c:pt>
                <c:pt idx="80">
                  <c:v>48.34067271250629</c:v>
                </c:pt>
                <c:pt idx="81">
                  <c:v>48.613950749964474</c:v>
                </c:pt>
                <c:pt idx="82">
                  <c:v>48.527571992925232</c:v>
                </c:pt>
                <c:pt idx="83">
                  <c:v>47.753656806335265</c:v>
                </c:pt>
                <c:pt idx="84">
                  <c:v>47.244864194974689</c:v>
                </c:pt>
                <c:pt idx="85">
                  <c:v>47.396144504604784</c:v>
                </c:pt>
                <c:pt idx="86">
                  <c:v>46.450725082068736</c:v>
                </c:pt>
                <c:pt idx="87">
                  <c:v>46.329300447398012</c:v>
                </c:pt>
                <c:pt idx="88">
                  <c:v>45.747406341049647</c:v>
                </c:pt>
                <c:pt idx="89">
                  <c:v>45.747309748150997</c:v>
                </c:pt>
                <c:pt idx="90">
                  <c:v>45.372583267424751</c:v>
                </c:pt>
                <c:pt idx="91">
                  <c:v>45.079328836328244</c:v>
                </c:pt>
                <c:pt idx="92">
                  <c:v>45.262938634158381</c:v>
                </c:pt>
                <c:pt idx="93">
                  <c:v>44.628408062008631</c:v>
                </c:pt>
                <c:pt idx="94">
                  <c:v>43.924242738600007</c:v>
                </c:pt>
                <c:pt idx="95">
                  <c:v>43.657450005621619</c:v>
                </c:pt>
                <c:pt idx="96">
                  <c:v>42.540274689276231</c:v>
                </c:pt>
                <c:pt idx="97">
                  <c:v>42.232937501491655</c:v>
                </c:pt>
                <c:pt idx="98">
                  <c:v>42.319404221968767</c:v>
                </c:pt>
                <c:pt idx="99">
                  <c:v>41.271864146010927</c:v>
                </c:pt>
                <c:pt idx="100">
                  <c:v>40.962957830433787</c:v>
                </c:pt>
                <c:pt idx="101">
                  <c:v>140.634341152084</c:v>
                </c:pt>
                <c:pt idx="102">
                  <c:v>139.03924614795173</c:v>
                </c:pt>
                <c:pt idx="103">
                  <c:v>138.61242557070955</c:v>
                </c:pt>
                <c:pt idx="104">
                  <c:v>136.58215807026531</c:v>
                </c:pt>
                <c:pt idx="105">
                  <c:v>136.60513433062786</c:v>
                </c:pt>
                <c:pt idx="106">
                  <c:v>136.64221545664802</c:v>
                </c:pt>
                <c:pt idx="107">
                  <c:v>136.66269907985759</c:v>
                </c:pt>
                <c:pt idx="108">
                  <c:v>135.59812572714793</c:v>
                </c:pt>
                <c:pt idx="109">
                  <c:v>135.57902182967695</c:v>
                </c:pt>
                <c:pt idx="110">
                  <c:v>135.53780592921834</c:v>
                </c:pt>
                <c:pt idx="111">
                  <c:v>134.62022931341383</c:v>
                </c:pt>
                <c:pt idx="112">
                  <c:v>134.53386546099063</c:v>
                </c:pt>
                <c:pt idx="113">
                  <c:v>134.4280093935493</c:v>
                </c:pt>
                <c:pt idx="114">
                  <c:v>134.30737999485032</c:v>
                </c:pt>
                <c:pt idx="115">
                  <c:v>133.91844591480017</c:v>
                </c:pt>
                <c:pt idx="116">
                  <c:v>133.76488827592044</c:v>
                </c:pt>
                <c:pt idx="117">
                  <c:v>133.58515779995474</c:v>
                </c:pt>
                <c:pt idx="118">
                  <c:v>132.17327248552741</c:v>
                </c:pt>
                <c:pt idx="119">
                  <c:v>128.78191369287626</c:v>
                </c:pt>
                <c:pt idx="120">
                  <c:v>128.5197786502782</c:v>
                </c:pt>
                <c:pt idx="121">
                  <c:v>128.23756868800433</c:v>
                </c:pt>
                <c:pt idx="122">
                  <c:v>127.32536061191249</c:v>
                </c:pt>
                <c:pt idx="123">
                  <c:v>125.78563980098295</c:v>
                </c:pt>
                <c:pt idx="124">
                  <c:v>171.03015381363184</c:v>
                </c:pt>
                <c:pt idx="125">
                  <c:v>170.56113799327539</c:v>
                </c:pt>
                <c:pt idx="126">
                  <c:v>170.13124898714861</c:v>
                </c:pt>
                <c:pt idx="127">
                  <c:v>169.31191885593742</c:v>
                </c:pt>
                <c:pt idx="128">
                  <c:v>168.81609386219395</c:v>
                </c:pt>
                <c:pt idx="129">
                  <c:v>168.09698691143927</c:v>
                </c:pt>
                <c:pt idx="130">
                  <c:v>165.17149716167208</c:v>
                </c:pt>
                <c:pt idx="131">
                  <c:v>162.85673154464388</c:v>
                </c:pt>
                <c:pt idx="132">
                  <c:v>156.42814199702917</c:v>
                </c:pt>
                <c:pt idx="133">
                  <c:v>154.33135453545822</c:v>
                </c:pt>
                <c:pt idx="134">
                  <c:v>153.73652069839514</c:v>
                </c:pt>
                <c:pt idx="135">
                  <c:v>152.02359466399011</c:v>
                </c:pt>
                <c:pt idx="136">
                  <c:v>151.30212753424635</c:v>
                </c:pt>
                <c:pt idx="137">
                  <c:v>147.6561944426623</c:v>
                </c:pt>
                <c:pt idx="138">
                  <c:v>146.78901828190277</c:v>
                </c:pt>
                <c:pt idx="139">
                  <c:v>145.9114968799135</c:v>
                </c:pt>
                <c:pt idx="140">
                  <c:v>144.96335873551277</c:v>
                </c:pt>
                <c:pt idx="141">
                  <c:v>143.95997904571891</c:v>
                </c:pt>
                <c:pt idx="142">
                  <c:v>142.8889960659717</c:v>
                </c:pt>
                <c:pt idx="143">
                  <c:v>139.57266344042182</c:v>
                </c:pt>
                <c:pt idx="144">
                  <c:v>138.49829490392472</c:v>
                </c:pt>
                <c:pt idx="145">
                  <c:v>137.32102694808518</c:v>
                </c:pt>
                <c:pt idx="146">
                  <c:v>134.83000077489731</c:v>
                </c:pt>
                <c:pt idx="147">
                  <c:v>133.60357677291645</c:v>
                </c:pt>
                <c:pt idx="148">
                  <c:v>132.34092390858302</c:v>
                </c:pt>
                <c:pt idx="149">
                  <c:v>131.04458644811544</c:v>
                </c:pt>
                <c:pt idx="150">
                  <c:v>129.66637380881411</c:v>
                </c:pt>
                <c:pt idx="151">
                  <c:v>128.28324567741817</c:v>
                </c:pt>
                <c:pt idx="152">
                  <c:v>126.89879260077194</c:v>
                </c:pt>
                <c:pt idx="153">
                  <c:v>125.5011867630367</c:v>
                </c:pt>
                <c:pt idx="154">
                  <c:v>123.81326227651574</c:v>
                </c:pt>
                <c:pt idx="155">
                  <c:v>122.18107480878314</c:v>
                </c:pt>
                <c:pt idx="156">
                  <c:v>120.55976564067765</c:v>
                </c:pt>
                <c:pt idx="157">
                  <c:v>117.93096196588226</c:v>
                </c:pt>
                <c:pt idx="158">
                  <c:v>114.98513764077767</c:v>
                </c:pt>
                <c:pt idx="159">
                  <c:v>113.21183466796217</c:v>
                </c:pt>
                <c:pt idx="160">
                  <c:v>111.30002729333611</c:v>
                </c:pt>
                <c:pt idx="161">
                  <c:v>109.37794663450377</c:v>
                </c:pt>
                <c:pt idx="162">
                  <c:v>107.49955720061831</c:v>
                </c:pt>
                <c:pt idx="163">
                  <c:v>105.48633782054479</c:v>
                </c:pt>
                <c:pt idx="164">
                  <c:v>103.43316326138489</c:v>
                </c:pt>
                <c:pt idx="165">
                  <c:v>101.29140419833895</c:v>
                </c:pt>
                <c:pt idx="166">
                  <c:v>99.223247848656541</c:v>
                </c:pt>
                <c:pt idx="167">
                  <c:v>97.081815722959121</c:v>
                </c:pt>
                <c:pt idx="168">
                  <c:v>94.779699114844078</c:v>
                </c:pt>
                <c:pt idx="169">
                  <c:v>92.292269375293273</c:v>
                </c:pt>
                <c:pt idx="170">
                  <c:v>89.778527630283222</c:v>
                </c:pt>
                <c:pt idx="171">
                  <c:v>87.341492137382531</c:v>
                </c:pt>
                <c:pt idx="172">
                  <c:v>84.776382448041474</c:v>
                </c:pt>
                <c:pt idx="173">
                  <c:v>82.316660689417986</c:v>
                </c:pt>
                <c:pt idx="174">
                  <c:v>79.90868056486994</c:v>
                </c:pt>
                <c:pt idx="175">
                  <c:v>77.492682767982458</c:v>
                </c:pt>
                <c:pt idx="176">
                  <c:v>74.86713976895642</c:v>
                </c:pt>
                <c:pt idx="177">
                  <c:v>72.063539640717295</c:v>
                </c:pt>
                <c:pt idx="178">
                  <c:v>69.302877384140501</c:v>
                </c:pt>
                <c:pt idx="179">
                  <c:v>66.587453929499247</c:v>
                </c:pt>
                <c:pt idx="180">
                  <c:v>63.841902438302284</c:v>
                </c:pt>
                <c:pt idx="181">
                  <c:v>61.007845104028434</c:v>
                </c:pt>
                <c:pt idx="182">
                  <c:v>58.062793082733954</c:v>
                </c:pt>
                <c:pt idx="183">
                  <c:v>55.042795010973705</c:v>
                </c:pt>
                <c:pt idx="184">
                  <c:v>52.100120430082427</c:v>
                </c:pt>
                <c:pt idx="185">
                  <c:v>49.117197478080811</c:v>
                </c:pt>
                <c:pt idx="186">
                  <c:v>46.302003193264987</c:v>
                </c:pt>
                <c:pt idx="187">
                  <c:v>43.560313959492596</c:v>
                </c:pt>
                <c:pt idx="188">
                  <c:v>40.781713023664977</c:v>
                </c:pt>
                <c:pt idx="189">
                  <c:v>37.800359394849423</c:v>
                </c:pt>
                <c:pt idx="190">
                  <c:v>73.402769654321617</c:v>
                </c:pt>
                <c:pt idx="191">
                  <c:v>70.188706604027601</c:v>
                </c:pt>
                <c:pt idx="192">
                  <c:v>67.13089479705107</c:v>
                </c:pt>
                <c:pt idx="193">
                  <c:v>64.144710517425565</c:v>
                </c:pt>
                <c:pt idx="194">
                  <c:v>61.122510634991727</c:v>
                </c:pt>
                <c:pt idx="195">
                  <c:v>58.073663361053555</c:v>
                </c:pt>
                <c:pt idx="196">
                  <c:v>54.996603245542509</c:v>
                </c:pt>
                <c:pt idx="197">
                  <c:v>51.770877071631119</c:v>
                </c:pt>
                <c:pt idx="198">
                  <c:v>48.549043118821814</c:v>
                </c:pt>
                <c:pt idx="199">
                  <c:v>45.152881097530638</c:v>
                </c:pt>
                <c:pt idx="200">
                  <c:v>80.636627505779558</c:v>
                </c:pt>
                <c:pt idx="201">
                  <c:v>77.243043477241656</c:v>
                </c:pt>
                <c:pt idx="202">
                  <c:v>74.008108094144987</c:v>
                </c:pt>
                <c:pt idx="203">
                  <c:v>70.959480082280933</c:v>
                </c:pt>
                <c:pt idx="204">
                  <c:v>67.778978099179682</c:v>
                </c:pt>
                <c:pt idx="205">
                  <c:v>64.751834075063641</c:v>
                </c:pt>
                <c:pt idx="206">
                  <c:v>61.689192344221112</c:v>
                </c:pt>
                <c:pt idx="207">
                  <c:v>58.683825581184465</c:v>
                </c:pt>
                <c:pt idx="208">
                  <c:v>55.63884238655875</c:v>
                </c:pt>
                <c:pt idx="209">
                  <c:v>52.648786938568747</c:v>
                </c:pt>
                <c:pt idx="210">
                  <c:v>49.72154427110128</c:v>
                </c:pt>
                <c:pt idx="211">
                  <c:v>46.949635466939853</c:v>
                </c:pt>
                <c:pt idx="212">
                  <c:v>44.387989335664869</c:v>
                </c:pt>
                <c:pt idx="213">
                  <c:v>41.763331161094129</c:v>
                </c:pt>
                <c:pt idx="214">
                  <c:v>39.150143852821316</c:v>
                </c:pt>
                <c:pt idx="215">
                  <c:v>36.489641338406912</c:v>
                </c:pt>
                <c:pt idx="216">
                  <c:v>72.73669753077489</c:v>
                </c:pt>
                <c:pt idx="217">
                  <c:v>70.267452673347805</c:v>
                </c:pt>
                <c:pt idx="218">
                  <c:v>67.931031929761275</c:v>
                </c:pt>
                <c:pt idx="219">
                  <c:v>65.73438215976428</c:v>
                </c:pt>
                <c:pt idx="220">
                  <c:v>63.45083618147595</c:v>
                </c:pt>
                <c:pt idx="221">
                  <c:v>61.254282061475863</c:v>
                </c:pt>
                <c:pt idx="222">
                  <c:v>59.057648910418678</c:v>
                </c:pt>
                <c:pt idx="223">
                  <c:v>57.049162702768065</c:v>
                </c:pt>
                <c:pt idx="224">
                  <c:v>55.205009629477019</c:v>
                </c:pt>
                <c:pt idx="225">
                  <c:v>53.38064656323354</c:v>
                </c:pt>
                <c:pt idx="226">
                  <c:v>51.582085891023574</c:v>
                </c:pt>
                <c:pt idx="227">
                  <c:v>49.75664525613643</c:v>
                </c:pt>
                <c:pt idx="228">
                  <c:v>48.009915871044043</c:v>
                </c:pt>
                <c:pt idx="229">
                  <c:v>46.315290652507933</c:v>
                </c:pt>
                <c:pt idx="230">
                  <c:v>44.614149468871531</c:v>
                </c:pt>
                <c:pt idx="231">
                  <c:v>42.994445542813615</c:v>
                </c:pt>
                <c:pt idx="232">
                  <c:v>41.470454440897711</c:v>
                </c:pt>
                <c:pt idx="233">
                  <c:v>40.025698414940777</c:v>
                </c:pt>
                <c:pt idx="234">
                  <c:v>38.661431739380461</c:v>
                </c:pt>
                <c:pt idx="235">
                  <c:v>37.404860510478152</c:v>
                </c:pt>
                <c:pt idx="236">
                  <c:v>36.245684418251784</c:v>
                </c:pt>
                <c:pt idx="237">
                  <c:v>34.994343446183379</c:v>
                </c:pt>
                <c:pt idx="238">
                  <c:v>33.780702366278639</c:v>
                </c:pt>
                <c:pt idx="239">
                  <c:v>32.685804050507386</c:v>
                </c:pt>
                <c:pt idx="240">
                  <c:v>31.703345009909384</c:v>
                </c:pt>
                <c:pt idx="241">
                  <c:v>30.799448935133725</c:v>
                </c:pt>
                <c:pt idx="242">
                  <c:v>29.868639720233489</c:v>
                </c:pt>
                <c:pt idx="243">
                  <c:v>29.018089380485115</c:v>
                </c:pt>
                <c:pt idx="244">
                  <c:v>28.199606002058282</c:v>
                </c:pt>
                <c:pt idx="245">
                  <c:v>27.421374583045683</c:v>
                </c:pt>
                <c:pt idx="246">
                  <c:v>26.658855594957053</c:v>
                </c:pt>
                <c:pt idx="247">
                  <c:v>25.927028982047304</c:v>
                </c:pt>
                <c:pt idx="248">
                  <c:v>25.220783259945577</c:v>
                </c:pt>
                <c:pt idx="249">
                  <c:v>24.582119831831555</c:v>
                </c:pt>
                <c:pt idx="250">
                  <c:v>24.010446202843823</c:v>
                </c:pt>
                <c:pt idx="251">
                  <c:v>23.480411052827375</c:v>
                </c:pt>
                <c:pt idx="252">
                  <c:v>22.968050369187253</c:v>
                </c:pt>
                <c:pt idx="253">
                  <c:v>22.492842173420236</c:v>
                </c:pt>
                <c:pt idx="254">
                  <c:v>22.08373357717058</c:v>
                </c:pt>
                <c:pt idx="255">
                  <c:v>21.71296772280153</c:v>
                </c:pt>
                <c:pt idx="256">
                  <c:v>21.393866081831412</c:v>
                </c:pt>
                <c:pt idx="257">
                  <c:v>21.113875533654536</c:v>
                </c:pt>
                <c:pt idx="258">
                  <c:v>20.872830803972512</c:v>
                </c:pt>
                <c:pt idx="259">
                  <c:v>20.694636218255038</c:v>
                </c:pt>
                <c:pt idx="260">
                  <c:v>20.53452970423043</c:v>
                </c:pt>
                <c:pt idx="261">
                  <c:v>20.383736239593588</c:v>
                </c:pt>
                <c:pt idx="262">
                  <c:v>20.262752411271272</c:v>
                </c:pt>
                <c:pt idx="263">
                  <c:v>20.192393474031107</c:v>
                </c:pt>
                <c:pt idx="264">
                  <c:v>20.135571625240068</c:v>
                </c:pt>
                <c:pt idx="265">
                  <c:v>20.091461123940789</c:v>
                </c:pt>
                <c:pt idx="266">
                  <c:v>20.070172069354705</c:v>
                </c:pt>
                <c:pt idx="267">
                  <c:v>20.054791015693471</c:v>
                </c:pt>
                <c:pt idx="268">
                  <c:v>20.093562393463465</c:v>
                </c:pt>
                <c:pt idx="269">
                  <c:v>20.185847942772135</c:v>
                </c:pt>
                <c:pt idx="270">
                  <c:v>20.285527360245108</c:v>
                </c:pt>
                <c:pt idx="271">
                  <c:v>20.428658268988912</c:v>
                </c:pt>
                <c:pt idx="272">
                  <c:v>20.581993156858125</c:v>
                </c:pt>
                <c:pt idx="273">
                  <c:v>20.724848895480314</c:v>
                </c:pt>
                <c:pt idx="274">
                  <c:v>20.886705282882183</c:v>
                </c:pt>
                <c:pt idx="275">
                  <c:v>21.080249529170096</c:v>
                </c:pt>
                <c:pt idx="276">
                  <c:v>21.277531031066658</c:v>
                </c:pt>
                <c:pt idx="277">
                  <c:v>21.502225951483354</c:v>
                </c:pt>
                <c:pt idx="278">
                  <c:v>21.774340498291394</c:v>
                </c:pt>
                <c:pt idx="279">
                  <c:v>22.077433145109545</c:v>
                </c:pt>
                <c:pt idx="280">
                  <c:v>22.394325262143163</c:v>
                </c:pt>
                <c:pt idx="281">
                  <c:v>22.717579607209448</c:v>
                </c:pt>
                <c:pt idx="282">
                  <c:v>23.039079076072962</c:v>
                </c:pt>
                <c:pt idx="283">
                  <c:v>23.354177452709926</c:v>
                </c:pt>
                <c:pt idx="284">
                  <c:v>23.704345014346025</c:v>
                </c:pt>
                <c:pt idx="285">
                  <c:v>24.090191764219938</c:v>
                </c:pt>
                <c:pt idx="286">
                  <c:v>24.527434645193772</c:v>
                </c:pt>
                <c:pt idx="287">
                  <c:v>24.979379417093782</c:v>
                </c:pt>
                <c:pt idx="288">
                  <c:v>25.428877327497396</c:v>
                </c:pt>
                <c:pt idx="289">
                  <c:v>25.947954825248992</c:v>
                </c:pt>
                <c:pt idx="290">
                  <c:v>26.4151236174072</c:v>
                </c:pt>
                <c:pt idx="291">
                  <c:v>26.858890801709236</c:v>
                </c:pt>
                <c:pt idx="292">
                  <c:v>27.322507664917307</c:v>
                </c:pt>
                <c:pt idx="293">
                  <c:v>27.765211975025831</c:v>
                </c:pt>
                <c:pt idx="294">
                  <c:v>28.198169863354718</c:v>
                </c:pt>
                <c:pt idx="295">
                  <c:v>28.651368710861824</c:v>
                </c:pt>
                <c:pt idx="296">
                  <c:v>29.106876976577873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45458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-0.23964846975809456</c:v>
                </c:pt>
                <c:pt idx="3">
                  <c:v>-1.3237971495047658</c:v>
                </c:pt>
                <c:pt idx="4">
                  <c:v>-2.3638341874337483</c:v>
                </c:pt>
                <c:pt idx="5">
                  <c:v>-4.4692372265429361</c:v>
                </c:pt>
                <c:pt idx="6">
                  <c:v>-5.4733274271365868</c:v>
                </c:pt>
                <c:pt idx="7">
                  <c:v>-6.1437871218375131</c:v>
                </c:pt>
                <c:pt idx="8">
                  <c:v>-6.5066307212826002</c:v>
                </c:pt>
                <c:pt idx="9">
                  <c:v>-6.805788298338368</c:v>
                </c:pt>
                <c:pt idx="10">
                  <c:v>-6.805788298338368</c:v>
                </c:pt>
                <c:pt idx="11">
                  <c:v>-6.8071457381776028</c:v>
                </c:pt>
                <c:pt idx="12">
                  <c:v>-7.3479886867831237</c:v>
                </c:pt>
                <c:pt idx="13">
                  <c:v>-7.9012986354202734</c:v>
                </c:pt>
                <c:pt idx="14">
                  <c:v>-9.2833988763517397</c:v>
                </c:pt>
                <c:pt idx="15">
                  <c:v>-9.9331685876884279</c:v>
                </c:pt>
                <c:pt idx="16">
                  <c:v>-11.441262520355066</c:v>
                </c:pt>
                <c:pt idx="17">
                  <c:v>-11.947954236598559</c:v>
                </c:pt>
                <c:pt idx="18">
                  <c:v>-12.475146616406818</c:v>
                </c:pt>
                <c:pt idx="19">
                  <c:v>-13.114968499145732</c:v>
                </c:pt>
                <c:pt idx="20">
                  <c:v>-13.374477830482446</c:v>
                </c:pt>
                <c:pt idx="21">
                  <c:v>-14.454584940286422</c:v>
                </c:pt>
                <c:pt idx="22">
                  <c:v>-14.856436170041256</c:v>
                </c:pt>
                <c:pt idx="23">
                  <c:v>-15.387628011882796</c:v>
                </c:pt>
                <c:pt idx="24">
                  <c:v>-15.635846534964815</c:v>
                </c:pt>
                <c:pt idx="25">
                  <c:v>-16.095645465075791</c:v>
                </c:pt>
                <c:pt idx="26">
                  <c:v>-17.107561383262105</c:v>
                </c:pt>
                <c:pt idx="27">
                  <c:v>-18.439210156923561</c:v>
                </c:pt>
                <c:pt idx="28">
                  <c:v>-18.883927883968415</c:v>
                </c:pt>
                <c:pt idx="29">
                  <c:v>-19.085210907992117</c:v>
                </c:pt>
                <c:pt idx="30">
                  <c:v>-19.27280062658593</c:v>
                </c:pt>
                <c:pt idx="31">
                  <c:v>-20.535436380295117</c:v>
                </c:pt>
                <c:pt idx="32">
                  <c:v>-22.475288323354189</c:v>
                </c:pt>
                <c:pt idx="33">
                  <c:v>-22.475288323354189</c:v>
                </c:pt>
                <c:pt idx="34">
                  <c:v>-23.868496646834242</c:v>
                </c:pt>
                <c:pt idx="35">
                  <c:v>-23.902536016042493</c:v>
                </c:pt>
                <c:pt idx="36">
                  <c:v>-24.303645800429514</c:v>
                </c:pt>
                <c:pt idx="37">
                  <c:v>-24.802530949234168</c:v>
                </c:pt>
                <c:pt idx="38">
                  <c:v>-25.249076807801103</c:v>
                </c:pt>
                <c:pt idx="39">
                  <c:v>-26.55172108721553</c:v>
                </c:pt>
                <c:pt idx="40">
                  <c:v>-29.478657612803531</c:v>
                </c:pt>
                <c:pt idx="41">
                  <c:v>-31.566007793559717</c:v>
                </c:pt>
                <c:pt idx="42">
                  <c:v>-31.823298763359166</c:v>
                </c:pt>
                <c:pt idx="43">
                  <c:v>-32.098088094976447</c:v>
                </c:pt>
                <c:pt idx="44">
                  <c:v>-32.666495314402511</c:v>
                </c:pt>
                <c:pt idx="45">
                  <c:v>-33.408121016924973</c:v>
                </c:pt>
                <c:pt idx="46">
                  <c:v>-33.961468307874242</c:v>
                </c:pt>
                <c:pt idx="47">
                  <c:v>-34.027167390375169</c:v>
                </c:pt>
                <c:pt idx="48">
                  <c:v>-34.576833525241454</c:v>
                </c:pt>
                <c:pt idx="49">
                  <c:v>-34.576833525241454</c:v>
                </c:pt>
                <c:pt idx="50">
                  <c:v>-34.794179113116563</c:v>
                </c:pt>
                <c:pt idx="51">
                  <c:v>-35.264289503784482</c:v>
                </c:pt>
                <c:pt idx="52">
                  <c:v>-35.620401381667904</c:v>
                </c:pt>
                <c:pt idx="53">
                  <c:v>-35.620401381667904</c:v>
                </c:pt>
                <c:pt idx="54">
                  <c:v>-36.300950781456343</c:v>
                </c:pt>
                <c:pt idx="55">
                  <c:v>-36.300950781456343</c:v>
                </c:pt>
                <c:pt idx="56">
                  <c:v>-36.300950781456343</c:v>
                </c:pt>
                <c:pt idx="57">
                  <c:v>-36.394339863809506</c:v>
                </c:pt>
                <c:pt idx="58">
                  <c:v>-37.439290671866125</c:v>
                </c:pt>
                <c:pt idx="59">
                  <c:v>-38.183315575461492</c:v>
                </c:pt>
                <c:pt idx="60">
                  <c:v>-39.085660660550722</c:v>
                </c:pt>
                <c:pt idx="61">
                  <c:v>-39.418494807179499</c:v>
                </c:pt>
                <c:pt idx="62">
                  <c:v>-40.403836178822353</c:v>
                </c:pt>
                <c:pt idx="63">
                  <c:v>-40.573624165579105</c:v>
                </c:pt>
                <c:pt idx="64">
                  <c:v>-41.708036011873133</c:v>
                </c:pt>
                <c:pt idx="65">
                  <c:v>-42.609696503785244</c:v>
                </c:pt>
                <c:pt idx="66">
                  <c:v>-42.902400569540056</c:v>
                </c:pt>
                <c:pt idx="67">
                  <c:v>-44.293291648817693</c:v>
                </c:pt>
                <c:pt idx="68">
                  <c:v>-45.247980042469905</c:v>
                </c:pt>
                <c:pt idx="69">
                  <c:v>-45.269034983689053</c:v>
                </c:pt>
                <c:pt idx="70">
                  <c:v>-45.319452229558422</c:v>
                </c:pt>
                <c:pt idx="71">
                  <c:v>-45.796873389735907</c:v>
                </c:pt>
                <c:pt idx="72">
                  <c:v>-46.470218503818487</c:v>
                </c:pt>
                <c:pt idx="73">
                  <c:v>-47.411240181086939</c:v>
                </c:pt>
                <c:pt idx="74">
                  <c:v>-48.541682704094057</c:v>
                </c:pt>
                <c:pt idx="75">
                  <c:v>-48.825719999496016</c:v>
                </c:pt>
                <c:pt idx="76">
                  <c:v>-48.825719999496016</c:v>
                </c:pt>
                <c:pt idx="77">
                  <c:v>-48.825719999496016</c:v>
                </c:pt>
                <c:pt idx="78">
                  <c:v>-48.825719999496016</c:v>
                </c:pt>
                <c:pt idx="79">
                  <c:v>-48.825719999496016</c:v>
                </c:pt>
                <c:pt idx="80">
                  <c:v>-49.231471636222771</c:v>
                </c:pt>
                <c:pt idx="81">
                  <c:v>-49.279662856966219</c:v>
                </c:pt>
                <c:pt idx="82">
                  <c:v>-49.693905464268148</c:v>
                </c:pt>
                <c:pt idx="83">
                  <c:v>-50.832657158603567</c:v>
                </c:pt>
                <c:pt idx="84">
                  <c:v>-51.701688776520406</c:v>
                </c:pt>
                <c:pt idx="85">
                  <c:v>-51.881794125637903</c:v>
                </c:pt>
                <c:pt idx="86">
                  <c:v>-53.148081283309949</c:v>
                </c:pt>
                <c:pt idx="87">
                  <c:v>-53.566522153437752</c:v>
                </c:pt>
                <c:pt idx="88">
                  <c:v>-54.435722873917697</c:v>
                </c:pt>
                <c:pt idx="89">
                  <c:v>-54.712858750363019</c:v>
                </c:pt>
                <c:pt idx="90">
                  <c:v>-55.340052517326349</c:v>
                </c:pt>
                <c:pt idx="91">
                  <c:v>-55.856439495764519</c:v>
                </c:pt>
                <c:pt idx="92">
                  <c:v>-55.878874169696232</c:v>
                </c:pt>
                <c:pt idx="93">
                  <c:v>-56.721898330102348</c:v>
                </c:pt>
                <c:pt idx="94">
                  <c:v>-57.629029430138651</c:v>
                </c:pt>
                <c:pt idx="95">
                  <c:v>-58.090659510198094</c:v>
                </c:pt>
                <c:pt idx="96">
                  <c:v>-59.393255051698134</c:v>
                </c:pt>
                <c:pt idx="97">
                  <c:v>-59.867732923454021</c:v>
                </c:pt>
                <c:pt idx="98">
                  <c:v>-59.937651939125097</c:v>
                </c:pt>
                <c:pt idx="99">
                  <c:v>-61.126401255121934</c:v>
                </c:pt>
                <c:pt idx="100">
                  <c:v>-61.557284078213655</c:v>
                </c:pt>
                <c:pt idx="101">
                  <c:v>-61.998350122518488</c:v>
                </c:pt>
                <c:pt idx="102">
                  <c:v>-63.69059880244675</c:v>
                </c:pt>
                <c:pt idx="103">
                  <c:v>-64.202058564045345</c:v>
                </c:pt>
                <c:pt idx="104">
                  <c:v>-66.300673114568454</c:v>
                </c:pt>
                <c:pt idx="105">
                  <c:v>-66.330765839812301</c:v>
                </c:pt>
                <c:pt idx="106">
                  <c:v>-66.330765839812301</c:v>
                </c:pt>
                <c:pt idx="107">
                  <c:v>-66.330765839812301</c:v>
                </c:pt>
                <c:pt idx="108">
                  <c:v>-67.396874025413453</c:v>
                </c:pt>
                <c:pt idx="109">
                  <c:v>-67.396874025413453</c:v>
                </c:pt>
                <c:pt idx="110">
                  <c:v>-67.396874025413453</c:v>
                </c:pt>
                <c:pt idx="111">
                  <c:v>-68.253270686727291</c:v>
                </c:pt>
                <c:pt idx="112">
                  <c:v>-68.253270686727291</c:v>
                </c:pt>
                <c:pt idx="113">
                  <c:v>-68.253270686727291</c:v>
                </c:pt>
                <c:pt idx="114">
                  <c:v>-68.253270686727291</c:v>
                </c:pt>
                <c:pt idx="115">
                  <c:v>-68.509341845265624</c:v>
                </c:pt>
                <c:pt idx="116">
                  <c:v>-68.509341845265624</c:v>
                </c:pt>
                <c:pt idx="117">
                  <c:v>-68.509341845265624</c:v>
                </c:pt>
                <c:pt idx="118">
                  <c:v>-69.72703880831736</c:v>
                </c:pt>
                <c:pt idx="119">
                  <c:v>-72.890221233341805</c:v>
                </c:pt>
                <c:pt idx="120">
                  <c:v>-72.890221233341805</c:v>
                </c:pt>
                <c:pt idx="121">
                  <c:v>-72.890221233341805</c:v>
                </c:pt>
                <c:pt idx="122">
                  <c:v>-73.526306331299139</c:v>
                </c:pt>
                <c:pt idx="123">
                  <c:v>-74.752442872315669</c:v>
                </c:pt>
                <c:pt idx="124">
                  <c:v>-79.151918248412144</c:v>
                </c:pt>
                <c:pt idx="125">
                  <c:v>-79.245850469335977</c:v>
                </c:pt>
                <c:pt idx="126">
                  <c:v>-79.245850469335977</c:v>
                </c:pt>
                <c:pt idx="127">
                  <c:v>-79.610214569780211</c:v>
                </c:pt>
                <c:pt idx="128">
                  <c:v>-79.610214569780211</c:v>
                </c:pt>
                <c:pt idx="129">
                  <c:v>-79.805547128815917</c:v>
                </c:pt>
                <c:pt idx="130">
                  <c:v>-82.134225859814109</c:v>
                </c:pt>
                <c:pt idx="131">
                  <c:v>-83.856258777712256</c:v>
                </c:pt>
                <c:pt idx="132">
                  <c:v>-89.705764458592469</c:v>
                </c:pt>
                <c:pt idx="133">
                  <c:v>-91.201660254437598</c:v>
                </c:pt>
                <c:pt idx="134">
                  <c:v>-91.201660254437598</c:v>
                </c:pt>
                <c:pt idx="135">
                  <c:v>-92.273778178016187</c:v>
                </c:pt>
                <c:pt idx="136">
                  <c:v>-92.273778178016187</c:v>
                </c:pt>
                <c:pt idx="137">
                  <c:v>-95.120186760730931</c:v>
                </c:pt>
                <c:pt idx="138">
                  <c:v>-95.120186760730931</c:v>
                </c:pt>
                <c:pt idx="139">
                  <c:v>-95.120186760730931</c:v>
                </c:pt>
                <c:pt idx="140">
                  <c:v>-95.120186760730931</c:v>
                </c:pt>
                <c:pt idx="141">
                  <c:v>-95.120186760730931</c:v>
                </c:pt>
                <c:pt idx="142">
                  <c:v>-95.120186760730931</c:v>
                </c:pt>
                <c:pt idx="143">
                  <c:v>-97.330973357253711</c:v>
                </c:pt>
                <c:pt idx="144">
                  <c:v>-97.330973357253711</c:v>
                </c:pt>
                <c:pt idx="145">
                  <c:v>-97.36128570217025</c:v>
                </c:pt>
                <c:pt idx="146">
                  <c:v>-98.579054636705266</c:v>
                </c:pt>
                <c:pt idx="147">
                  <c:v>-98.579054636705266</c:v>
                </c:pt>
                <c:pt idx="148">
                  <c:v>-98.579054636705266</c:v>
                </c:pt>
                <c:pt idx="149">
                  <c:v>-98.579054636705266</c:v>
                </c:pt>
                <c:pt idx="150">
                  <c:v>-98.579054636705266</c:v>
                </c:pt>
                <c:pt idx="151">
                  <c:v>-98.579054636705266</c:v>
                </c:pt>
                <c:pt idx="152">
                  <c:v>-98.579054636705266</c:v>
                </c:pt>
                <c:pt idx="153">
                  <c:v>-98.579054636705266</c:v>
                </c:pt>
                <c:pt idx="154">
                  <c:v>-98.691853477826896</c:v>
                </c:pt>
                <c:pt idx="155">
                  <c:v>-98.691853477826896</c:v>
                </c:pt>
                <c:pt idx="156">
                  <c:v>-98.691853477826896</c:v>
                </c:pt>
                <c:pt idx="157">
                  <c:v>-99.575279989509568</c:v>
                </c:pt>
                <c:pt idx="158">
                  <c:v>-100.74046271760278</c:v>
                </c:pt>
                <c:pt idx="159">
                  <c:v>-100.74046271760278</c:v>
                </c:pt>
                <c:pt idx="160">
                  <c:v>-100.74046271760278</c:v>
                </c:pt>
                <c:pt idx="161">
                  <c:v>-100.74046271760278</c:v>
                </c:pt>
                <c:pt idx="162">
                  <c:v>-100.74046271760278</c:v>
                </c:pt>
                <c:pt idx="163">
                  <c:v>-100.74046271760278</c:v>
                </c:pt>
                <c:pt idx="164">
                  <c:v>-100.74046271760278</c:v>
                </c:pt>
                <c:pt idx="165">
                  <c:v>-100.74046271760278</c:v>
                </c:pt>
                <c:pt idx="166">
                  <c:v>-100.74046271760278</c:v>
                </c:pt>
                <c:pt idx="167">
                  <c:v>-100.74046271760278</c:v>
                </c:pt>
                <c:pt idx="168">
                  <c:v>-100.74046271760278</c:v>
                </c:pt>
                <c:pt idx="169">
                  <c:v>-100.74046271760278</c:v>
                </c:pt>
                <c:pt idx="170">
                  <c:v>-100.74046271760278</c:v>
                </c:pt>
                <c:pt idx="171">
                  <c:v>-100.74046271760278</c:v>
                </c:pt>
                <c:pt idx="172">
                  <c:v>-100.74046271760278</c:v>
                </c:pt>
                <c:pt idx="173">
                  <c:v>-100.74046271760278</c:v>
                </c:pt>
                <c:pt idx="174">
                  <c:v>-100.74046271760278</c:v>
                </c:pt>
                <c:pt idx="175">
                  <c:v>-100.74046271760278</c:v>
                </c:pt>
                <c:pt idx="176">
                  <c:v>-100.74046271760278</c:v>
                </c:pt>
                <c:pt idx="177">
                  <c:v>-100.74046271760278</c:v>
                </c:pt>
                <c:pt idx="178">
                  <c:v>-100.74046271760278</c:v>
                </c:pt>
                <c:pt idx="179">
                  <c:v>-100.74046271760278</c:v>
                </c:pt>
                <c:pt idx="180">
                  <c:v>-100.74046271760278</c:v>
                </c:pt>
                <c:pt idx="181">
                  <c:v>-100.74046271760278</c:v>
                </c:pt>
                <c:pt idx="182">
                  <c:v>-100.74046271760278</c:v>
                </c:pt>
                <c:pt idx="183">
                  <c:v>-100.74046271760278</c:v>
                </c:pt>
                <c:pt idx="184">
                  <c:v>-100.74046271760278</c:v>
                </c:pt>
                <c:pt idx="185">
                  <c:v>-100.74046271760278</c:v>
                </c:pt>
                <c:pt idx="186">
                  <c:v>-100.74046271760278</c:v>
                </c:pt>
                <c:pt idx="187">
                  <c:v>-100.74046271760278</c:v>
                </c:pt>
                <c:pt idx="188">
                  <c:v>-100.74046271760278</c:v>
                </c:pt>
                <c:pt idx="189">
                  <c:v>-100.74046271760278</c:v>
                </c:pt>
                <c:pt idx="190">
                  <c:v>-100.74046271760278</c:v>
                </c:pt>
                <c:pt idx="191">
                  <c:v>-100.74046271760278</c:v>
                </c:pt>
                <c:pt idx="192">
                  <c:v>-100.74046271760278</c:v>
                </c:pt>
                <c:pt idx="193">
                  <c:v>-100.74046271760278</c:v>
                </c:pt>
                <c:pt idx="194">
                  <c:v>-100.74046271760278</c:v>
                </c:pt>
                <c:pt idx="195">
                  <c:v>-100.74046271760278</c:v>
                </c:pt>
                <c:pt idx="196">
                  <c:v>-100.74046271760278</c:v>
                </c:pt>
                <c:pt idx="197">
                  <c:v>-100.74046271760278</c:v>
                </c:pt>
                <c:pt idx="198">
                  <c:v>-100.74046271760278</c:v>
                </c:pt>
                <c:pt idx="199">
                  <c:v>-100.74046271760278</c:v>
                </c:pt>
                <c:pt idx="200">
                  <c:v>-100.74046271760278</c:v>
                </c:pt>
                <c:pt idx="201">
                  <c:v>-100.74046271760278</c:v>
                </c:pt>
                <c:pt idx="202">
                  <c:v>-100.74046271760278</c:v>
                </c:pt>
                <c:pt idx="203">
                  <c:v>-100.74046271760278</c:v>
                </c:pt>
                <c:pt idx="204">
                  <c:v>-100.74046271760278</c:v>
                </c:pt>
                <c:pt idx="205">
                  <c:v>-100.74046271760278</c:v>
                </c:pt>
                <c:pt idx="206">
                  <c:v>-100.74046271760278</c:v>
                </c:pt>
                <c:pt idx="207">
                  <c:v>-100.74046271760278</c:v>
                </c:pt>
                <c:pt idx="208">
                  <c:v>-100.74046271760278</c:v>
                </c:pt>
                <c:pt idx="209">
                  <c:v>-100.74046271760278</c:v>
                </c:pt>
                <c:pt idx="210">
                  <c:v>-100.74046271760278</c:v>
                </c:pt>
                <c:pt idx="211">
                  <c:v>-100.74046271760278</c:v>
                </c:pt>
                <c:pt idx="212">
                  <c:v>-100.74046271760278</c:v>
                </c:pt>
                <c:pt idx="213">
                  <c:v>-100.74046271760278</c:v>
                </c:pt>
                <c:pt idx="214">
                  <c:v>-100.74046271760278</c:v>
                </c:pt>
                <c:pt idx="215">
                  <c:v>-100.74046271760278</c:v>
                </c:pt>
                <c:pt idx="216">
                  <c:v>-100.74046271760278</c:v>
                </c:pt>
                <c:pt idx="217">
                  <c:v>-100.74046271760278</c:v>
                </c:pt>
                <c:pt idx="218">
                  <c:v>-100.74046271760278</c:v>
                </c:pt>
                <c:pt idx="219">
                  <c:v>-100.74046271760278</c:v>
                </c:pt>
                <c:pt idx="220">
                  <c:v>-100.74046271760278</c:v>
                </c:pt>
                <c:pt idx="221">
                  <c:v>-100.74046271760278</c:v>
                </c:pt>
                <c:pt idx="222">
                  <c:v>-100.74046271760278</c:v>
                </c:pt>
                <c:pt idx="223">
                  <c:v>-100.74046271760278</c:v>
                </c:pt>
                <c:pt idx="224">
                  <c:v>-100.74046271760278</c:v>
                </c:pt>
                <c:pt idx="225">
                  <c:v>-100.74046271760278</c:v>
                </c:pt>
                <c:pt idx="226">
                  <c:v>-100.74046271760278</c:v>
                </c:pt>
                <c:pt idx="227">
                  <c:v>-100.74046271760278</c:v>
                </c:pt>
                <c:pt idx="228">
                  <c:v>-100.74046271760278</c:v>
                </c:pt>
                <c:pt idx="229">
                  <c:v>-100.74046271760278</c:v>
                </c:pt>
                <c:pt idx="230">
                  <c:v>-100.74046271760278</c:v>
                </c:pt>
                <c:pt idx="231">
                  <c:v>-100.74046271760278</c:v>
                </c:pt>
                <c:pt idx="232">
                  <c:v>-100.74046271760278</c:v>
                </c:pt>
                <c:pt idx="233">
                  <c:v>-100.74046271760278</c:v>
                </c:pt>
                <c:pt idx="234">
                  <c:v>-100.74046271760278</c:v>
                </c:pt>
                <c:pt idx="235">
                  <c:v>-100.74046271760278</c:v>
                </c:pt>
                <c:pt idx="236">
                  <c:v>-100.74046271760278</c:v>
                </c:pt>
                <c:pt idx="237">
                  <c:v>-100.74046271760278</c:v>
                </c:pt>
                <c:pt idx="238">
                  <c:v>-100.74046271760278</c:v>
                </c:pt>
                <c:pt idx="239">
                  <c:v>-100.74046271760278</c:v>
                </c:pt>
                <c:pt idx="240">
                  <c:v>-100.74046271760278</c:v>
                </c:pt>
                <c:pt idx="241">
                  <c:v>-100.74046271760278</c:v>
                </c:pt>
                <c:pt idx="242">
                  <c:v>-100.74046271760278</c:v>
                </c:pt>
                <c:pt idx="243">
                  <c:v>-100.74046271760278</c:v>
                </c:pt>
                <c:pt idx="244">
                  <c:v>-100.74046271760278</c:v>
                </c:pt>
                <c:pt idx="245">
                  <c:v>-100.74046271760278</c:v>
                </c:pt>
                <c:pt idx="246">
                  <c:v>-100.74046271760278</c:v>
                </c:pt>
                <c:pt idx="247">
                  <c:v>-100.74046271760278</c:v>
                </c:pt>
                <c:pt idx="248">
                  <c:v>-100.74046271760278</c:v>
                </c:pt>
                <c:pt idx="249">
                  <c:v>-100.74046271760278</c:v>
                </c:pt>
                <c:pt idx="250">
                  <c:v>-100.74046271760278</c:v>
                </c:pt>
                <c:pt idx="251">
                  <c:v>-100.74046271760278</c:v>
                </c:pt>
                <c:pt idx="252">
                  <c:v>-100.74046271760278</c:v>
                </c:pt>
                <c:pt idx="253">
                  <c:v>-100.74046271760278</c:v>
                </c:pt>
                <c:pt idx="254">
                  <c:v>-100.74046271760278</c:v>
                </c:pt>
                <c:pt idx="255">
                  <c:v>-100.74046271760278</c:v>
                </c:pt>
                <c:pt idx="256">
                  <c:v>-100.74046271760278</c:v>
                </c:pt>
                <c:pt idx="257">
                  <c:v>-100.74046271760278</c:v>
                </c:pt>
                <c:pt idx="258">
                  <c:v>-100.74046271760278</c:v>
                </c:pt>
                <c:pt idx="259">
                  <c:v>-100.74046271760278</c:v>
                </c:pt>
                <c:pt idx="260">
                  <c:v>-100.74046271760278</c:v>
                </c:pt>
                <c:pt idx="261">
                  <c:v>-100.74046271760278</c:v>
                </c:pt>
                <c:pt idx="262">
                  <c:v>-100.74046271760278</c:v>
                </c:pt>
                <c:pt idx="263">
                  <c:v>-100.74046271760278</c:v>
                </c:pt>
                <c:pt idx="264">
                  <c:v>-100.74046271760278</c:v>
                </c:pt>
                <c:pt idx="265">
                  <c:v>-100.74046271760278</c:v>
                </c:pt>
                <c:pt idx="266">
                  <c:v>-100.74046271760278</c:v>
                </c:pt>
                <c:pt idx="267">
                  <c:v>-100.74046271760278</c:v>
                </c:pt>
                <c:pt idx="268">
                  <c:v>-100.74046271760278</c:v>
                </c:pt>
                <c:pt idx="269">
                  <c:v>-100.74046271760278</c:v>
                </c:pt>
                <c:pt idx="270">
                  <c:v>-100.74046271760278</c:v>
                </c:pt>
                <c:pt idx="271">
                  <c:v>-100.74046271760278</c:v>
                </c:pt>
                <c:pt idx="272">
                  <c:v>-100.74046271760278</c:v>
                </c:pt>
                <c:pt idx="273">
                  <c:v>-100.74046271760278</c:v>
                </c:pt>
                <c:pt idx="274">
                  <c:v>-100.74046271760278</c:v>
                </c:pt>
                <c:pt idx="275">
                  <c:v>-100.74046271760278</c:v>
                </c:pt>
                <c:pt idx="276">
                  <c:v>-100.74046271760278</c:v>
                </c:pt>
                <c:pt idx="277">
                  <c:v>-100.74046271760278</c:v>
                </c:pt>
                <c:pt idx="278">
                  <c:v>-100.74046271760278</c:v>
                </c:pt>
                <c:pt idx="279">
                  <c:v>-100.74046271760278</c:v>
                </c:pt>
                <c:pt idx="280">
                  <c:v>-100.74046271760278</c:v>
                </c:pt>
                <c:pt idx="281">
                  <c:v>-100.74046271760278</c:v>
                </c:pt>
                <c:pt idx="282">
                  <c:v>-100.74046271760278</c:v>
                </c:pt>
                <c:pt idx="283">
                  <c:v>-100.74046271760278</c:v>
                </c:pt>
                <c:pt idx="284">
                  <c:v>-100.74046271760278</c:v>
                </c:pt>
                <c:pt idx="285">
                  <c:v>-100.74046271760278</c:v>
                </c:pt>
                <c:pt idx="286">
                  <c:v>-100.74046271760278</c:v>
                </c:pt>
                <c:pt idx="287">
                  <c:v>-100.74046271760278</c:v>
                </c:pt>
                <c:pt idx="288">
                  <c:v>-100.74046271760278</c:v>
                </c:pt>
                <c:pt idx="289">
                  <c:v>-100.74046271760278</c:v>
                </c:pt>
                <c:pt idx="290">
                  <c:v>-100.74046271760278</c:v>
                </c:pt>
                <c:pt idx="291">
                  <c:v>-100.74046271760278</c:v>
                </c:pt>
                <c:pt idx="292">
                  <c:v>-100.74046271760278</c:v>
                </c:pt>
                <c:pt idx="293">
                  <c:v>-100.74046271760278</c:v>
                </c:pt>
                <c:pt idx="294">
                  <c:v>-100.74046271760278</c:v>
                </c:pt>
                <c:pt idx="295">
                  <c:v>-100.74046271760278</c:v>
                </c:pt>
                <c:pt idx="296">
                  <c:v>-100.74046271760278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0.87518945829361017</c:v>
                </c:pt>
                <c:pt idx="1">
                  <c:v>1.745437076344454</c:v>
                </c:pt>
                <c:pt idx="2">
                  <c:v>2.6760428234915148</c:v>
                </c:pt>
                <c:pt idx="3">
                  <c:v>3.5526555619276499</c:v>
                </c:pt>
                <c:pt idx="4">
                  <c:v>4.4378678043477082</c:v>
                </c:pt>
                <c:pt idx="5">
                  <c:v>5.3604086455221163</c:v>
                </c:pt>
                <c:pt idx="6">
                  <c:v>6.2354634085191813</c:v>
                </c:pt>
                <c:pt idx="7">
                  <c:v>7.0623169394431713</c:v>
                </c:pt>
                <c:pt idx="8">
                  <c:v>7.8419323101693674</c:v>
                </c:pt>
                <c:pt idx="9">
                  <c:v>8.6434745384518212</c:v>
                </c:pt>
                <c:pt idx="10">
                  <c:v>9.4347368868534147</c:v>
                </c:pt>
                <c:pt idx="11">
                  <c:v>10.215077027128354</c:v>
                </c:pt>
                <c:pt idx="12">
                  <c:v>10.895365649379281</c:v>
                </c:pt>
                <c:pt idx="13">
                  <c:v>11.614223066957951</c:v>
                </c:pt>
                <c:pt idx="14">
                  <c:v>12.349724427745269</c:v>
                </c:pt>
                <c:pt idx="15">
                  <c:v>13.070649191120197</c:v>
                </c:pt>
                <c:pt idx="16">
                  <c:v>13.820204514939332</c:v>
                </c:pt>
                <c:pt idx="17">
                  <c:v>14.527417780387841</c:v>
                </c:pt>
                <c:pt idx="18">
                  <c:v>15.215044609963639</c:v>
                </c:pt>
                <c:pt idx="19">
                  <c:v>15.93804047210061</c:v>
                </c:pt>
                <c:pt idx="20">
                  <c:v>16.584958154583457</c:v>
                </c:pt>
                <c:pt idx="21">
                  <c:v>17.235746360284264</c:v>
                </c:pt>
                <c:pt idx="22">
                  <c:v>17.90479240110059</c:v>
                </c:pt>
                <c:pt idx="23">
                  <c:v>18.573838441916916</c:v>
                </c:pt>
                <c:pt idx="24">
                  <c:v>19.236326832440806</c:v>
                </c:pt>
                <c:pt idx="25">
                  <c:v>19.969734541556953</c:v>
                </c:pt>
                <c:pt idx="26">
                  <c:v>20.685154718138723</c:v>
                </c:pt>
                <c:pt idx="27">
                  <c:v>21.391686778093995</c:v>
                </c:pt>
                <c:pt idx="28">
                  <c:v>22.091429634101189</c:v>
                </c:pt>
                <c:pt idx="29">
                  <c:v>22.73385033922915</c:v>
                </c:pt>
                <c:pt idx="30">
                  <c:v>23.369881552940019</c:v>
                </c:pt>
                <c:pt idx="31">
                  <c:v>24.099808203933446</c:v>
                </c:pt>
                <c:pt idx="32">
                  <c:v>24.829734854926873</c:v>
                </c:pt>
                <c:pt idx="33">
                  <c:v>25.626861264362464</c:v>
                </c:pt>
                <c:pt idx="34">
                  <c:v>26.328636520901522</c:v>
                </c:pt>
                <c:pt idx="35">
                  <c:v>27.006269101725231</c:v>
                </c:pt>
                <c:pt idx="36">
                  <c:v>27.613433406852117</c:v>
                </c:pt>
                <c:pt idx="37">
                  <c:v>28.291065987675825</c:v>
                </c:pt>
                <c:pt idx="38">
                  <c:v>28.975351066304928</c:v>
                </c:pt>
                <c:pt idx="39">
                  <c:v>29.665658745249928</c:v>
                </c:pt>
                <c:pt idx="40">
                  <c:v>30.379706941330497</c:v>
                </c:pt>
                <c:pt idx="41">
                  <c:v>31.090332471475897</c:v>
                </c:pt>
                <c:pt idx="42">
                  <c:v>31.761353836987087</c:v>
                </c:pt>
                <c:pt idx="43">
                  <c:v>32.364816207674728</c:v>
                </c:pt>
                <c:pt idx="44">
                  <c:v>32.971362512065454</c:v>
                </c:pt>
                <c:pt idx="45">
                  <c:v>33.664357665975182</c:v>
                </c:pt>
                <c:pt idx="46">
                  <c:v>34.301663509164378</c:v>
                </c:pt>
                <c:pt idx="47">
                  <c:v>34.915030100876578</c:v>
                </c:pt>
                <c:pt idx="48">
                  <c:v>35.506257734157849</c:v>
                </c:pt>
                <c:pt idx="49">
                  <c:v>36.101749165394729</c:v>
                </c:pt>
                <c:pt idx="50">
                  <c:v>36.689337825264822</c:v>
                </c:pt>
                <c:pt idx="51">
                  <c:v>37.266096398699268</c:v>
                </c:pt>
                <c:pt idx="52">
                  <c:v>37.860367586321033</c:v>
                </c:pt>
                <c:pt idx="53">
                  <c:v>38.419364408351818</c:v>
                </c:pt>
                <c:pt idx="54">
                  <c:v>39.014245516139269</c:v>
                </c:pt>
                <c:pt idx="55">
                  <c:v>39.595200330092062</c:v>
                </c:pt>
                <c:pt idx="56">
                  <c:v>40.225515913920106</c:v>
                </c:pt>
                <c:pt idx="57">
                  <c:v>40.838260452975362</c:v>
                </c:pt>
                <c:pt idx="58">
                  <c:v>41.485178135458206</c:v>
                </c:pt>
                <c:pt idx="59">
                  <c:v>42.061936708892652</c:v>
                </c:pt>
                <c:pt idx="60">
                  <c:v>42.616840796810223</c:v>
                </c:pt>
                <c:pt idx="61">
                  <c:v>43.176423888035465</c:v>
                </c:pt>
                <c:pt idx="62">
                  <c:v>43.723778875983932</c:v>
                </c:pt>
                <c:pt idx="63">
                  <c:v>44.291019758514196</c:v>
                </c:pt>
                <c:pt idx="64">
                  <c:v>44.841850604539097</c:v>
                </c:pt>
                <c:pt idx="65">
                  <c:v>45.382870263295743</c:v>
                </c:pt>
                <c:pt idx="66">
                  <c:v>45.979583551598232</c:v>
                </c:pt>
                <c:pt idx="67">
                  <c:v>46.576296839900721</c:v>
                </c:pt>
                <c:pt idx="68">
                  <c:v>47.218717545028682</c:v>
                </c:pt>
                <c:pt idx="69">
                  <c:v>47.814819703077632</c:v>
                </c:pt>
                <c:pt idx="70">
                  <c:v>48.41951443356087</c:v>
                </c:pt>
                <c:pt idx="71">
                  <c:v>49.056182757820132</c:v>
                </c:pt>
                <c:pt idx="72">
                  <c:v>49.714105266176077</c:v>
                </c:pt>
                <c:pt idx="73">
                  <c:v>50.385126631687271</c:v>
                </c:pt>
                <c:pt idx="74">
                  <c:v>51.017343754011456</c:v>
                </c:pt>
                <c:pt idx="75">
                  <c:v>51.647659337839499</c:v>
                </c:pt>
                <c:pt idx="76">
                  <c:v>52.248661840881574</c:v>
                </c:pt>
                <c:pt idx="77">
                  <c:v>52.83928197203754</c:v>
                </c:pt>
                <c:pt idx="78">
                  <c:v>53.465174896819029</c:v>
                </c:pt>
                <c:pt idx="79">
                  <c:v>54.069869627302268</c:v>
                </c:pt>
                <c:pt idx="80">
                  <c:v>54.677652338011029</c:v>
                </c:pt>
                <c:pt idx="81">
                  <c:v>55.233723788260171</c:v>
                </c:pt>
                <c:pt idx="82">
                  <c:v>55.823736820019761</c:v>
                </c:pt>
                <c:pt idx="83">
                  <c:v>56.515387407982807</c:v>
                </c:pt>
                <c:pt idx="84">
                  <c:v>57.224646784547289</c:v>
                </c:pt>
                <c:pt idx="85">
                  <c:v>57.900291669206318</c:v>
                </c:pt>
                <c:pt idx="86">
                  <c:v>58.581245334386061</c:v>
                </c:pt>
                <c:pt idx="87">
                  <c:v>59.235270249666549</c:v>
                </c:pt>
                <c:pt idx="88">
                  <c:v>59.896452047266372</c:v>
                </c:pt>
                <c:pt idx="89">
                  <c:v>60.564840470482018</c:v>
                </c:pt>
                <c:pt idx="90">
                  <c:v>61.198962802103914</c:v>
                </c:pt>
                <c:pt idx="91">
                  <c:v>61.769760813741193</c:v>
                </c:pt>
                <c:pt idx="92">
                  <c:v>62.306203043351921</c:v>
                </c:pt>
                <c:pt idx="93">
                  <c:v>62.898646889388566</c:v>
                </c:pt>
                <c:pt idx="94">
                  <c:v>63.516379211156227</c:v>
                </c:pt>
                <c:pt idx="95">
                  <c:v>64.153047535415482</c:v>
                </c:pt>
                <c:pt idx="96">
                  <c:v>64.807721023310222</c:v>
                </c:pt>
                <c:pt idx="97">
                  <c:v>65.440572807435075</c:v>
                </c:pt>
                <c:pt idx="98">
                  <c:v>66.090069199605168</c:v>
                </c:pt>
                <c:pt idx="99">
                  <c:v>66.734414725074046</c:v>
                </c:pt>
                <c:pt idx="100">
                  <c:v>67.329295832861504</c:v>
                </c:pt>
                <c:pt idx="101">
                  <c:v>67.964690344332269</c:v>
                </c:pt>
                <c:pt idx="102">
                  <c:v>68.586180559147564</c:v>
                </c:pt>
                <c:pt idx="103">
                  <c:v>69.240205474428052</c:v>
                </c:pt>
                <c:pt idx="104">
                  <c:v>69.878149245001907</c:v>
                </c:pt>
                <c:pt idx="105">
                  <c:v>70.519929161520267</c:v>
                </c:pt>
                <c:pt idx="106">
                  <c:v>71.18176404999592</c:v>
                </c:pt>
                <c:pt idx="107">
                  <c:v>71.832552255696726</c:v>
                </c:pt>
                <c:pt idx="108">
                  <c:v>72.550033526891156</c:v>
                </c:pt>
                <c:pt idx="109">
                  <c:v>73.26957964284324</c:v>
                </c:pt>
                <c:pt idx="110">
                  <c:v>74.012087040542511</c:v>
                </c:pt>
                <c:pt idx="111">
                  <c:v>74.719981927214235</c:v>
                </c:pt>
                <c:pt idx="112">
                  <c:v>75.465303465307684</c:v>
                </c:pt>
                <c:pt idx="113">
                  <c:v>76.179351661388253</c:v>
                </c:pt>
                <c:pt idx="114">
                  <c:v>76.856321264088677</c:v>
                </c:pt>
                <c:pt idx="115">
                  <c:v>77.503238946571528</c:v>
                </c:pt>
                <c:pt idx="116">
                  <c:v>78.155967947534975</c:v>
                </c:pt>
                <c:pt idx="117">
                  <c:v>78.828968347025054</c:v>
                </c:pt>
                <c:pt idx="118">
                  <c:v>79.483641834919794</c:v>
                </c:pt>
                <c:pt idx="119">
                  <c:v>80.174620761290797</c:v>
                </c:pt>
                <c:pt idx="120">
                  <c:v>80.895545524665721</c:v>
                </c:pt>
                <c:pt idx="121">
                  <c:v>81.603440411337445</c:v>
                </c:pt>
                <c:pt idx="122">
                  <c:v>82.247143920868297</c:v>
                </c:pt>
                <c:pt idx="123">
                  <c:v>82.922127065473134</c:v>
                </c:pt>
                <c:pt idx="124">
                  <c:v>83.634120413398165</c:v>
                </c:pt>
                <c:pt idx="125">
                  <c:v>84.333186632686491</c:v>
                </c:pt>
                <c:pt idx="126">
                  <c:v>85.085572869280426</c:v>
                </c:pt>
                <c:pt idx="127">
                  <c:v>85.829486499152097</c:v>
                </c:pt>
                <c:pt idx="128">
                  <c:v>86.592548499678486</c:v>
                </c:pt>
                <c:pt idx="129">
                  <c:v>87.349904995213961</c:v>
                </c:pt>
                <c:pt idx="130">
                  <c:v>88.174505429512237</c:v>
                </c:pt>
                <c:pt idx="131">
                  <c:v>88.936138531377338</c:v>
                </c:pt>
                <c:pt idx="132">
                  <c:v>89.638592085101948</c:v>
                </c:pt>
                <c:pt idx="133">
                  <c:v>90.333607195827611</c:v>
                </c:pt>
                <c:pt idx="134">
                  <c:v>90.99283218713461</c:v>
                </c:pt>
                <c:pt idx="135">
                  <c:v>91.672456179553137</c:v>
                </c:pt>
                <c:pt idx="136">
                  <c:v>92.406561354371235</c:v>
                </c:pt>
                <c:pt idx="137">
                  <c:v>93.189804792894734</c:v>
                </c:pt>
                <c:pt idx="138">
                  <c:v>94.00692253095589</c:v>
                </c:pt>
                <c:pt idx="139">
                  <c:v>94.793076022466352</c:v>
                </c:pt>
                <c:pt idx="140">
                  <c:v>95.5993590238309</c:v>
                </c:pt>
                <c:pt idx="141">
                  <c:v>96.432994815325017</c:v>
                </c:pt>
                <c:pt idx="142">
                  <c:v>97.291024837548136</c:v>
                </c:pt>
                <c:pt idx="143">
                  <c:v>98.139092023073857</c:v>
                </c:pt>
                <c:pt idx="144">
                  <c:v>98.922335461597356</c:v>
                </c:pt>
                <c:pt idx="145">
                  <c:v>99.732755079618244</c:v>
                </c:pt>
                <c:pt idx="146">
                  <c:v>100.61327025415638</c:v>
                </c:pt>
                <c:pt idx="147">
                  <c:v>101.41850397791086</c:v>
                </c:pt>
                <c:pt idx="148">
                  <c:v>102.22004620619332</c:v>
                </c:pt>
                <c:pt idx="149">
                  <c:v>103.01643812734859</c:v>
                </c:pt>
                <c:pt idx="150">
                  <c:v>103.8262869393789</c:v>
                </c:pt>
                <c:pt idx="151">
                  <c:v>104.62561935309624</c:v>
                </c:pt>
                <c:pt idx="152">
                  <c:v>105.40017314690489</c:v>
                </c:pt>
                <c:pt idx="153">
                  <c:v>106.1596660542284</c:v>
                </c:pt>
                <c:pt idx="154">
                  <c:v>107.00392058493692</c:v>
                </c:pt>
                <c:pt idx="155">
                  <c:v>107.85581109178798</c:v>
                </c:pt>
                <c:pt idx="156">
                  <c:v>108.67442197048464</c:v>
                </c:pt>
                <c:pt idx="157">
                  <c:v>109.54093848179618</c:v>
                </c:pt>
                <c:pt idx="158">
                  <c:v>110.40127787108113</c:v>
                </c:pt>
                <c:pt idx="159">
                  <c:v>111.23264907925065</c:v>
                </c:pt>
                <c:pt idx="160">
                  <c:v>112.11707740509472</c:v>
                </c:pt>
                <c:pt idx="161">
                  <c:v>112.98204707008047</c:v>
                </c:pt>
                <c:pt idx="162">
                  <c:v>113.80215278831007</c:v>
                </c:pt>
                <c:pt idx="163">
                  <c:v>114.64452516822139</c:v>
                </c:pt>
                <c:pt idx="164">
                  <c:v>115.44709674128943</c:v>
                </c:pt>
                <c:pt idx="165">
                  <c:v>116.30348037093721</c:v>
                </c:pt>
                <c:pt idx="166">
                  <c:v>117.10927388648702</c:v>
                </c:pt>
                <c:pt idx="167">
                  <c:v>117.88760506731278</c:v>
                </c:pt>
                <c:pt idx="168">
                  <c:v>118.68380349154106</c:v>
                </c:pt>
                <c:pt idx="169">
                  <c:v>119.55587958529208</c:v>
                </c:pt>
                <c:pt idx="170">
                  <c:v>120.47575180285038</c:v>
                </c:pt>
                <c:pt idx="171">
                  <c:v>121.39507874812783</c:v>
                </c:pt>
                <c:pt idx="172">
                  <c:v>122.35755006304944</c:v>
                </c:pt>
                <c:pt idx="173">
                  <c:v>123.22946854281329</c:v>
                </c:pt>
                <c:pt idx="174">
                  <c:v>124.07304772641511</c:v>
                </c:pt>
                <c:pt idx="175">
                  <c:v>124.89975595163834</c:v>
                </c:pt>
                <c:pt idx="176">
                  <c:v>125.7607429742752</c:v>
                </c:pt>
                <c:pt idx="177">
                  <c:v>126.74643792425302</c:v>
                </c:pt>
                <c:pt idx="178">
                  <c:v>127.67857201801289</c:v>
                </c:pt>
                <c:pt idx="179">
                  <c:v>128.53027825114077</c:v>
                </c:pt>
                <c:pt idx="180">
                  <c:v>129.32664471960732</c:v>
                </c:pt>
                <c:pt idx="181">
                  <c:v>130.12587982110603</c:v>
                </c:pt>
                <c:pt idx="182">
                  <c:v>130.95335271627877</c:v>
                </c:pt>
                <c:pt idx="183">
                  <c:v>131.80036743091074</c:v>
                </c:pt>
                <c:pt idx="184">
                  <c:v>132.60326676576284</c:v>
                </c:pt>
                <c:pt idx="185">
                  <c:v>133.43879538926106</c:v>
                </c:pt>
                <c:pt idx="186">
                  <c:v>134.21794862378141</c:v>
                </c:pt>
                <c:pt idx="187">
                  <c:v>134.93419445239289</c:v>
                </c:pt>
                <c:pt idx="188">
                  <c:v>135.62644233148703</c:v>
                </c:pt>
                <c:pt idx="189">
                  <c:v>136.355642453851</c:v>
                </c:pt>
                <c:pt idx="190">
                  <c:v>137.1984304641087</c:v>
                </c:pt>
                <c:pt idx="191">
                  <c:v>138.09608761380824</c:v>
                </c:pt>
                <c:pt idx="192">
                  <c:v>139.00315862727962</c:v>
                </c:pt>
                <c:pt idx="193">
                  <c:v>139.83040252769223</c:v>
                </c:pt>
                <c:pt idx="194">
                  <c:v>140.65660574603422</c:v>
                </c:pt>
                <c:pt idx="195">
                  <c:v>141.46076077335599</c:v>
                </c:pt>
                <c:pt idx="196">
                  <c:v>142.2409760028587</c:v>
                </c:pt>
                <c:pt idx="197">
                  <c:v>143.00472824325649</c:v>
                </c:pt>
                <c:pt idx="198">
                  <c:v>143.74726746118219</c:v>
                </c:pt>
                <c:pt idx="199">
                  <c:v>144.52955183006975</c:v>
                </c:pt>
                <c:pt idx="200">
                  <c:v>145.36143510286033</c:v>
                </c:pt>
                <c:pt idx="201">
                  <c:v>146.18794199568612</c:v>
                </c:pt>
                <c:pt idx="202">
                  <c:v>147.07254824946273</c:v>
                </c:pt>
                <c:pt idx="203">
                  <c:v>147.83268412143909</c:v>
                </c:pt>
                <c:pt idx="204">
                  <c:v>148.6868858249093</c:v>
                </c:pt>
                <c:pt idx="205">
                  <c:v>149.58335480034253</c:v>
                </c:pt>
                <c:pt idx="206">
                  <c:v>150.45148927847157</c:v>
                </c:pt>
                <c:pt idx="207">
                  <c:v>151.29559866616805</c:v>
                </c:pt>
                <c:pt idx="208">
                  <c:v>152.16257159836485</c:v>
                </c:pt>
                <c:pt idx="209">
                  <c:v>152.98224967809153</c:v>
                </c:pt>
                <c:pt idx="210">
                  <c:v>153.79847448611596</c:v>
                </c:pt>
                <c:pt idx="211">
                  <c:v>154.57360743184924</c:v>
                </c:pt>
                <c:pt idx="212">
                  <c:v>155.35743832218171</c:v>
                </c:pt>
                <c:pt idx="213">
                  <c:v>156.15370493466511</c:v>
                </c:pt>
                <c:pt idx="214">
                  <c:v>157.06067297954644</c:v>
                </c:pt>
                <c:pt idx="215">
                  <c:v>158.00727387811386</c:v>
                </c:pt>
                <c:pt idx="216">
                  <c:v>158.8965017148403</c:v>
                </c:pt>
                <c:pt idx="217">
                  <c:v>159.73751175761788</c:v>
                </c:pt>
                <c:pt idx="218">
                  <c:v>160.4996730469073</c:v>
                </c:pt>
                <c:pt idx="219">
                  <c:v>161.24539802331481</c:v>
                </c:pt>
                <c:pt idx="220">
                  <c:v>162.01659444738596</c:v>
                </c:pt>
                <c:pt idx="221">
                  <c:v>162.79423090213803</c:v>
                </c:pt>
                <c:pt idx="222">
                  <c:v>163.56288346974347</c:v>
                </c:pt>
                <c:pt idx="223">
                  <c:v>164.3596675182053</c:v>
                </c:pt>
                <c:pt idx="224">
                  <c:v>165.1179762962295</c:v>
                </c:pt>
                <c:pt idx="225">
                  <c:v>165.84340896630485</c:v>
                </c:pt>
                <c:pt idx="226">
                  <c:v>166.53343083712443</c:v>
                </c:pt>
                <c:pt idx="227">
                  <c:v>167.22358189920911</c:v>
                </c:pt>
                <c:pt idx="228">
                  <c:v>167.92419692520107</c:v>
                </c:pt>
                <c:pt idx="229">
                  <c:v>168.67245951437894</c:v>
                </c:pt>
                <c:pt idx="230">
                  <c:v>169.40381393178828</c:v>
                </c:pt>
                <c:pt idx="231">
                  <c:v>170.08465787420863</c:v>
                </c:pt>
                <c:pt idx="232">
                  <c:v>170.71716196955532</c:v>
                </c:pt>
                <c:pt idx="233">
                  <c:v>171.3675439970641</c:v>
                </c:pt>
                <c:pt idx="234">
                  <c:v>172.02118325677171</c:v>
                </c:pt>
                <c:pt idx="235">
                  <c:v>172.67256221133786</c:v>
                </c:pt>
                <c:pt idx="236">
                  <c:v>173.2250461006395</c:v>
                </c:pt>
                <c:pt idx="237">
                  <c:v>173.88575590309182</c:v>
                </c:pt>
                <c:pt idx="238">
                  <c:v>174.56711502140755</c:v>
                </c:pt>
                <c:pt idx="239">
                  <c:v>175.29706742256562</c:v>
                </c:pt>
                <c:pt idx="240">
                  <c:v>175.92898342142331</c:v>
                </c:pt>
                <c:pt idx="241">
                  <c:v>176.52818903285547</c:v>
                </c:pt>
                <c:pt idx="242">
                  <c:v>177.15160220570658</c:v>
                </c:pt>
                <c:pt idx="243">
                  <c:v>177.74278672265419</c:v>
                </c:pt>
                <c:pt idx="244">
                  <c:v>178.34619481949721</c:v>
                </c:pt>
                <c:pt idx="245">
                  <c:v>178.90317757894425</c:v>
                </c:pt>
                <c:pt idx="246">
                  <c:v>179.46771556111545</c:v>
                </c:pt>
                <c:pt idx="247">
                  <c:v>180.0137100516931</c:v>
                </c:pt>
                <c:pt idx="248">
                  <c:v>180.56995189206464</c:v>
                </c:pt>
                <c:pt idx="249">
                  <c:v>181.12149347916875</c:v>
                </c:pt>
                <c:pt idx="250">
                  <c:v>181.65329719468087</c:v>
                </c:pt>
                <c:pt idx="251">
                  <c:v>182.19675075752957</c:v>
                </c:pt>
                <c:pt idx="252">
                  <c:v>182.73984450810127</c:v>
                </c:pt>
                <c:pt idx="253">
                  <c:v>183.29199377951764</c:v>
                </c:pt>
                <c:pt idx="254">
                  <c:v>183.84891215120609</c:v>
                </c:pt>
                <c:pt idx="255">
                  <c:v>184.4281101111369</c:v>
                </c:pt>
                <c:pt idx="256">
                  <c:v>185.00166564651244</c:v>
                </c:pt>
                <c:pt idx="257">
                  <c:v>185.55475445997385</c:v>
                </c:pt>
                <c:pt idx="258">
                  <c:v>186.09667140497598</c:v>
                </c:pt>
                <c:pt idx="259">
                  <c:v>186.67471066361531</c:v>
                </c:pt>
                <c:pt idx="260">
                  <c:v>187.24720072635401</c:v>
                </c:pt>
                <c:pt idx="261">
                  <c:v>187.80284977716923</c:v>
                </c:pt>
                <c:pt idx="262">
                  <c:v>188.39734212429551</c:v>
                </c:pt>
                <c:pt idx="263">
                  <c:v>188.99501988280377</c:v>
                </c:pt>
                <c:pt idx="264">
                  <c:v>189.56737674377666</c:v>
                </c:pt>
                <c:pt idx="265">
                  <c:v>190.14558063216683</c:v>
                </c:pt>
                <c:pt idx="266">
                  <c:v>190.72105975845074</c:v>
                </c:pt>
                <c:pt idx="267">
                  <c:v>191.2640549596864</c:v>
                </c:pt>
                <c:pt idx="268">
                  <c:v>191.83496940158281</c:v>
                </c:pt>
                <c:pt idx="269">
                  <c:v>192.43009343257177</c:v>
                </c:pt>
                <c:pt idx="270">
                  <c:v>193.01633652913611</c:v>
                </c:pt>
                <c:pt idx="271">
                  <c:v>193.61325127984901</c:v>
                </c:pt>
                <c:pt idx="272">
                  <c:v>194.1887291768503</c:v>
                </c:pt>
                <c:pt idx="273">
                  <c:v>194.72146198519974</c:v>
                </c:pt>
                <c:pt idx="274">
                  <c:v>195.2488462845331</c:v>
                </c:pt>
                <c:pt idx="275">
                  <c:v>195.80088026209307</c:v>
                </c:pt>
                <c:pt idx="276">
                  <c:v>196.34228855726039</c:v>
                </c:pt>
                <c:pt idx="277">
                  <c:v>196.8984117788404</c:v>
                </c:pt>
                <c:pt idx="278">
                  <c:v>197.48579495852886</c:v>
                </c:pt>
                <c:pt idx="279">
                  <c:v>198.09990634878406</c:v>
                </c:pt>
                <c:pt idx="280">
                  <c:v>198.71998283031809</c:v>
                </c:pt>
                <c:pt idx="281">
                  <c:v>199.33194343763665</c:v>
                </c:pt>
                <c:pt idx="282">
                  <c:v>199.92113616587321</c:v>
                </c:pt>
                <c:pt idx="283">
                  <c:v>200.48748003945235</c:v>
                </c:pt>
                <c:pt idx="284">
                  <c:v>201.08158969708811</c:v>
                </c:pt>
                <c:pt idx="285">
                  <c:v>201.70386318540091</c:v>
                </c:pt>
                <c:pt idx="286">
                  <c:v>202.37088238295533</c:v>
                </c:pt>
                <c:pt idx="287">
                  <c:v>203.04442372908139</c:v>
                </c:pt>
                <c:pt idx="288">
                  <c:v>203.70186249707638</c:v>
                </c:pt>
                <c:pt idx="289">
                  <c:v>204.41811483391194</c:v>
                </c:pt>
                <c:pt idx="290">
                  <c:v>205.06161075787335</c:v>
                </c:pt>
                <c:pt idx="291">
                  <c:v>205.66617189107575</c:v>
                </c:pt>
                <c:pt idx="292">
                  <c:v>206.28837638382987</c:v>
                </c:pt>
                <c:pt idx="293">
                  <c:v>206.87781481989137</c:v>
                </c:pt>
                <c:pt idx="294">
                  <c:v>207.45008159910904</c:v>
                </c:pt>
                <c:pt idx="295">
                  <c:v>208.04175149401911</c:v>
                </c:pt>
                <c:pt idx="296">
                  <c:v>208.62650501132507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-1.7516252521725562E-2</c:v>
                </c:pt>
                <c:pt idx="2">
                  <c:v>-6.7216090829724795E-4</c:v>
                </c:pt>
                <c:pt idx="3">
                  <c:v>4.543706656629809E-2</c:v>
                </c:pt>
                <c:pt idx="4">
                  <c:v>0.11877284445434166</c:v>
                </c:pt>
                <c:pt idx="5">
                  <c:v>0.22013730708327378</c:v>
                </c:pt>
                <c:pt idx="6">
                  <c:v>0.33940104901605833</c:v>
                </c:pt>
                <c:pt idx="7">
                  <c:v>0.47174910821794735</c:v>
                </c:pt>
                <c:pt idx="8">
                  <c:v>0.61334433964534529</c:v>
                </c:pt>
                <c:pt idx="9">
                  <c:v>0.77152030301229291</c:v>
                </c:pt>
                <c:pt idx="10">
                  <c:v>0.9403250305331825</c:v>
                </c:pt>
                <c:pt idx="11">
                  <c:v>1.1180225276746927</c:v>
                </c:pt>
                <c:pt idx="12">
                  <c:v>1.2869846382376147</c:v>
                </c:pt>
                <c:pt idx="13">
                  <c:v>1.4700693737878372</c:v>
                </c:pt>
                <c:pt idx="14">
                  <c:v>1.6630070197704347</c:v>
                </c:pt>
                <c:pt idx="15">
                  <c:v>1.8590392293564044</c:v>
                </c:pt>
                <c:pt idx="16">
                  <c:v>2.0660286673296406</c:v>
                </c:pt>
                <c:pt idx="17">
                  <c:v>2.2688076920862845</c:v>
                </c:pt>
                <c:pt idx="18">
                  <c:v>2.4710851270202205</c:v>
                </c:pt>
                <c:pt idx="19">
                  <c:v>2.683894736193456</c:v>
                </c:pt>
                <c:pt idx="20">
                  <c:v>2.8828653290556856</c:v>
                </c:pt>
                <c:pt idx="21">
                  <c:v>3.0844871572256132</c:v>
                </c:pt>
                <c:pt idx="22">
                  <c:v>3.2915350086031205</c:v>
                </c:pt>
                <c:pt idx="23">
                  <c:v>3.4996878488980383</c:v>
                </c:pt>
                <c:pt idx="24">
                  <c:v>3.7071414504177955</c:v>
                </c:pt>
                <c:pt idx="25">
                  <c:v>3.9307035065435052</c:v>
                </c:pt>
                <c:pt idx="26">
                  <c:v>4.150368076376707</c:v>
                </c:pt>
                <c:pt idx="27">
                  <c:v>4.3678297565992139</c:v>
                </c:pt>
                <c:pt idx="28">
                  <c:v>4.5832680289197887</c:v>
                </c:pt>
                <c:pt idx="29">
                  <c:v>4.785384432342914</c:v>
                </c:pt>
                <c:pt idx="30">
                  <c:v>4.9852127888504771</c:v>
                </c:pt>
                <c:pt idx="31">
                  <c:v>5.2043052326024899</c:v>
                </c:pt>
                <c:pt idx="32">
                  <c:v>5.4218646276227114</c:v>
                </c:pt>
                <c:pt idx="33">
                  <c:v>5.6521467199297746</c:v>
                </c:pt>
                <c:pt idx="34">
                  <c:v>5.8599404025306958</c:v>
                </c:pt>
                <c:pt idx="35">
                  <c:v>6.060698474120267</c:v>
                </c:pt>
                <c:pt idx="36">
                  <c:v>6.2449157409563449</c:v>
                </c:pt>
                <c:pt idx="37">
                  <c:v>6.4416711326916101</c:v>
                </c:pt>
                <c:pt idx="38">
                  <c:v>6.6375315353376738</c:v>
                </c:pt>
                <c:pt idx="39">
                  <c:v>6.8322258832766254</c:v>
                </c:pt>
                <c:pt idx="40">
                  <c:v>7.0291202236946191</c:v>
                </c:pt>
                <c:pt idx="41">
                  <c:v>7.2226512050313314</c:v>
                </c:pt>
                <c:pt idx="42">
                  <c:v>7.4058403585363202</c:v>
                </c:pt>
                <c:pt idx="43">
                  <c:v>7.5737311856849665</c:v>
                </c:pt>
                <c:pt idx="44">
                  <c:v>7.7399165518256057</c:v>
                </c:pt>
                <c:pt idx="45">
                  <c:v>7.9195988319676545</c:v>
                </c:pt>
                <c:pt idx="46">
                  <c:v>8.0864008138078738</c:v>
                </c:pt>
                <c:pt idx="47">
                  <c:v>8.2464154289967304</c:v>
                </c:pt>
                <c:pt idx="48">
                  <c:v>8.4001373729941307</c:v>
                </c:pt>
                <c:pt idx="49">
                  <c:v>8.5522556842101398</c:v>
                </c:pt>
                <c:pt idx="50">
                  <c:v>8.7006735129068833</c:v>
                </c:pt>
                <c:pt idx="51">
                  <c:v>8.8449618331434454</c:v>
                </c:pt>
                <c:pt idx="52">
                  <c:v>8.9898311946135259</c:v>
                </c:pt>
                <c:pt idx="53">
                  <c:v>9.1266629489161506</c:v>
                </c:pt>
                <c:pt idx="54">
                  <c:v>9.2669788043059285</c:v>
                </c:pt>
                <c:pt idx="55">
                  <c:v>9.4027606575837783</c:v>
                </c:pt>
                <c:pt idx="56">
                  <c:v>9.5437952263961066</c:v>
                </c:pt>
                <c:pt idx="57">
                  <c:v>9.6796435875154305</c:v>
                </c:pt>
                <c:pt idx="58">
                  <c:v>9.8180925234608996</c:v>
                </c:pt>
                <c:pt idx="59">
                  <c:v>9.9437853135711283</c:v>
                </c:pt>
                <c:pt idx="60">
                  <c:v>10.064158639064839</c:v>
                </c:pt>
                <c:pt idx="61">
                  <c:v>10.183088908009232</c:v>
                </c:pt>
                <c:pt idx="62">
                  <c:v>10.298243502027836</c:v>
                </c:pt>
                <c:pt idx="63">
                  <c:v>10.41404568653412</c:v>
                </c:pt>
                <c:pt idx="64">
                  <c:v>10.525577577749143</c:v>
                </c:pt>
                <c:pt idx="65">
                  <c:v>10.633832110073381</c:v>
                </c:pt>
                <c:pt idx="66">
                  <c:v>10.747234724029616</c:v>
                </c:pt>
                <c:pt idx="67">
                  <c:v>10.858450806769195</c:v>
                </c:pt>
                <c:pt idx="68">
                  <c:v>10.973106668103725</c:v>
                </c:pt>
                <c:pt idx="69">
                  <c:v>11.079841261268413</c:v>
                </c:pt>
                <c:pt idx="70">
                  <c:v>11.185480125396523</c:v>
                </c:pt>
                <c:pt idx="71">
                  <c:v>11.292685440983471</c:v>
                </c:pt>
                <c:pt idx="72">
                  <c:v>11.400049846316085</c:v>
                </c:pt>
                <c:pt idx="73">
                  <c:v>11.506550580744772</c:v>
                </c:pt>
                <c:pt idx="74">
                  <c:v>11.606510971496164</c:v>
                </c:pt>
                <c:pt idx="75">
                  <c:v>11.70414704224476</c:v>
                </c:pt>
                <c:pt idx="76">
                  <c:v>11.796670401757076</c:v>
                </c:pt>
                <c:pt idx="77">
                  <c:v>11.886222637866389</c:v>
                </c:pt>
                <c:pt idx="78">
                  <c:v>11.977423989778568</c:v>
                </c:pt>
                <c:pt idx="79">
                  <c:v>12.06460275823218</c:v>
                </c:pt>
                <c:pt idx="80">
                  <c:v>12.150229414043874</c:v>
                </c:pt>
                <c:pt idx="81">
                  <c:v>12.229228866841495</c:v>
                </c:pt>
                <c:pt idx="82">
                  <c:v>12.309718753219531</c:v>
                </c:pt>
                <c:pt idx="83">
                  <c:v>12.39758182980113</c:v>
                </c:pt>
                <c:pt idx="84">
                  <c:v>12.484909709463505</c:v>
                </c:pt>
                <c:pt idx="85">
                  <c:v>12.567259054833968</c:v>
                </c:pt>
                <c:pt idx="86">
                  <c:v>12.648119740051321</c:v>
                </c:pt>
                <c:pt idx="87">
                  <c:v>12.724880642327047</c:v>
                </c:pt>
                <c:pt idx="88">
                  <c:v>12.800436177983585</c:v>
                </c:pt>
                <c:pt idx="89">
                  <c:v>12.874785711355814</c:v>
                </c:pt>
                <c:pt idx="90">
                  <c:v>12.944791912305833</c:v>
                </c:pt>
                <c:pt idx="91">
                  <c:v>13.008536645412233</c:v>
                </c:pt>
                <c:pt idx="92">
                  <c:v>13.068447405661479</c:v>
                </c:pt>
                <c:pt idx="93">
                  <c:v>13.131077435878137</c:v>
                </c:pt>
                <c:pt idx="94">
                  <c:v>13.194076380906345</c:v>
                </c:pt>
                <c:pt idx="95">
                  <c:v>13.256926067455764</c:v>
                </c:pt>
                <c:pt idx="96">
                  <c:v>13.319506824576404</c:v>
                </c:pt>
                <c:pt idx="97">
                  <c:v>13.379198003814537</c:v>
                </c:pt>
                <c:pt idx="98">
                  <c:v>13.438551635353237</c:v>
                </c:pt>
                <c:pt idx="99">
                  <c:v>13.496183456818253</c:v>
                </c:pt>
                <c:pt idx="100">
                  <c:v>13.549490821114144</c:v>
                </c:pt>
                <c:pt idx="101">
                  <c:v>13.603977841770991</c:v>
                </c:pt>
                <c:pt idx="102">
                  <c:v>13.656391065292611</c:v>
                </c:pt>
                <c:pt idx="103">
                  <c:v>13.709411367110446</c:v>
                </c:pt>
                <c:pt idx="104">
                  <c:v>13.760280513725652</c:v>
                </c:pt>
                <c:pt idx="105">
                  <c:v>13.810151948020311</c:v>
                </c:pt>
                <c:pt idx="106">
                  <c:v>13.859882691059013</c:v>
                </c:pt>
                <c:pt idx="107">
                  <c:v>13.907843032935515</c:v>
                </c:pt>
                <c:pt idx="108">
                  <c:v>13.957965336168252</c:v>
                </c:pt>
                <c:pt idx="109">
                  <c:v>14.006895060356573</c:v>
                </c:pt>
                <c:pt idx="110">
                  <c:v>14.055646661212055</c:v>
                </c:pt>
                <c:pt idx="111">
                  <c:v>14.101510702979116</c:v>
                </c:pt>
                <c:pt idx="112">
                  <c:v>14.147880704716506</c:v>
                </c:pt>
                <c:pt idx="113">
                  <c:v>14.191648298938969</c:v>
                </c:pt>
                <c:pt idx="114">
                  <c:v>14.232710422275009</c:v>
                </c:pt>
                <c:pt idx="115">
                  <c:v>14.271509071754757</c:v>
                </c:pt>
                <c:pt idx="116">
                  <c:v>14.309605282005473</c:v>
                </c:pt>
                <c:pt idx="117">
                  <c:v>14.347573080028601</c:v>
                </c:pt>
                <c:pt idx="118">
                  <c:v>14.38389524058497</c:v>
                </c:pt>
                <c:pt idx="119">
                  <c:v>14.420691846958622</c:v>
                </c:pt>
                <c:pt idx="120">
                  <c:v>14.457653278661297</c:v>
                </c:pt>
                <c:pt idx="121">
                  <c:v>14.493185653246762</c:v>
                </c:pt>
                <c:pt idx="122">
                  <c:v>14.525579328996239</c:v>
                </c:pt>
                <c:pt idx="123">
                  <c:v>14.558248384231376</c:v>
                </c:pt>
                <c:pt idx="124">
                  <c:v>14.591325573009511</c:v>
                </c:pt>
                <c:pt idx="125">
                  <c:v>14.623131345026824</c:v>
                </c:pt>
                <c:pt idx="126">
                  <c:v>14.655801605901885</c:v>
                </c:pt>
                <c:pt idx="127">
                  <c:v>14.687333526114958</c:v>
                </c:pt>
                <c:pt idx="128">
                  <c:v>14.71859657872082</c:v>
                </c:pt>
                <c:pt idx="129">
                  <c:v>14.748845016091982</c:v>
                </c:pt>
                <c:pt idx="130">
                  <c:v>14.780187079776592</c:v>
                </c:pt>
                <c:pt idx="131">
                  <c:v>14.808891447167376</c:v>
                </c:pt>
                <c:pt idx="132">
                  <c:v>14.835241691926015</c:v>
                </c:pt>
                <c:pt idx="133">
                  <c:v>14.860727030759806</c:v>
                </c:pt>
                <c:pt idx="134">
                  <c:v>14.884666072294099</c:v>
                </c:pt>
                <c:pt idx="135">
                  <c:v>14.908522689959367</c:v>
                </c:pt>
                <c:pt idx="136">
                  <c:v>14.933094883541164</c:v>
                </c:pt>
                <c:pt idx="137">
                  <c:v>14.958178171158856</c:v>
                </c:pt>
                <c:pt idx="138">
                  <c:v>14.983351206067175</c:v>
                </c:pt>
                <c:pt idx="139">
                  <c:v>15.007119195366331</c:v>
                </c:pt>
                <c:pt idx="140">
                  <c:v>15.030809634245516</c:v>
                </c:pt>
                <c:pt idx="141">
                  <c:v>15.054278293266831</c:v>
                </c:pt>
                <c:pt idx="142">
                  <c:v>15.07757871120446</c:v>
                </c:pt>
                <c:pt idx="143">
                  <c:v>15.09999835562197</c:v>
                </c:pt>
                <c:pt idx="144">
                  <c:v>15.120513177726933</c:v>
                </c:pt>
                <c:pt idx="145">
                  <c:v>15.140981147860506</c:v>
                </c:pt>
                <c:pt idx="146">
                  <c:v>15.162169756663529</c:v>
                </c:pt>
                <c:pt idx="147">
                  <c:v>15.181386637824756</c:v>
                </c:pt>
                <c:pt idx="148">
                  <c:v>15.20000921564683</c:v>
                </c:pt>
                <c:pt idx="149">
                  <c:v>15.218033952861038</c:v>
                </c:pt>
                <c:pt idx="150">
                  <c:v>15.235930319386295</c:v>
                </c:pt>
                <c:pt idx="151">
                  <c:v>15.253023043803189</c:v>
                </c:pt>
                <c:pt idx="152">
                  <c:v>15.269268225955626</c:v>
                </c:pt>
                <c:pt idx="153">
                  <c:v>15.284856627253633</c:v>
                </c:pt>
                <c:pt idx="154">
                  <c:v>15.301279746806266</c:v>
                </c:pt>
                <c:pt idx="155">
                  <c:v>15.31734953559371</c:v>
                </c:pt>
                <c:pt idx="156">
                  <c:v>15.332502028034742</c:v>
                </c:pt>
                <c:pt idx="157">
                  <c:v>15.347887843198693</c:v>
                </c:pt>
                <c:pt idx="158">
                  <c:v>15.362753441254776</c:v>
                </c:pt>
                <c:pt idx="159">
                  <c:v>15.376828319801241</c:v>
                </c:pt>
                <c:pt idx="160">
                  <c:v>15.391177269929029</c:v>
                </c:pt>
                <c:pt idx="161">
                  <c:v>15.404878104305109</c:v>
                </c:pt>
                <c:pt idx="162">
                  <c:v>15.417667007006674</c:v>
                </c:pt>
                <c:pt idx="163">
                  <c:v>15.430561478753022</c:v>
                </c:pt>
                <c:pt idx="164">
                  <c:v>15.442943664498832</c:v>
                </c:pt>
                <c:pt idx="165">
                  <c:v>15.455354039361472</c:v>
                </c:pt>
                <c:pt idx="166">
                  <c:v>15.466851470573895</c:v>
                </c:pt>
                <c:pt idx="167">
                  <c:v>15.478071952016421</c:v>
                </c:pt>
                <c:pt idx="168">
                  <c:v>15.48944189430375</c:v>
                </c:pt>
                <c:pt idx="169">
                  <c:v>15.501205481048855</c:v>
                </c:pt>
                <c:pt idx="170">
                  <c:v>15.512724956658044</c:v>
                </c:pt>
                <c:pt idx="171">
                  <c:v>15.523550864917519</c:v>
                </c:pt>
                <c:pt idx="172">
                  <c:v>15.534455872232781</c:v>
                </c:pt>
                <c:pt idx="173">
                  <c:v>15.54440191804663</c:v>
                </c:pt>
                <c:pt idx="174">
                  <c:v>15.553793730936901</c:v>
                </c:pt>
                <c:pt idx="175">
                  <c:v>15.56284814411697</c:v>
                </c:pt>
                <c:pt idx="176">
                  <c:v>15.572179268816365</c:v>
                </c:pt>
                <c:pt idx="177">
                  <c:v>15.581919824856032</c:v>
                </c:pt>
                <c:pt idx="178">
                  <c:v>15.591073315862769</c:v>
                </c:pt>
                <c:pt idx="179">
                  <c:v>15.599631601331472</c:v>
                </c:pt>
                <c:pt idx="180">
                  <c:v>15.607859563024023</c:v>
                </c:pt>
                <c:pt idx="181">
                  <c:v>15.616015169265101</c:v>
                </c:pt>
                <c:pt idx="182">
                  <c:v>15.624195911757448</c:v>
                </c:pt>
                <c:pt idx="183">
                  <c:v>15.632306573369849</c:v>
                </c:pt>
                <c:pt idx="184">
                  <c:v>15.639927073464193</c:v>
                </c:pt>
                <c:pt idx="185">
                  <c:v>15.647456444775395</c:v>
                </c:pt>
                <c:pt idx="186">
                  <c:v>15.654368854107823</c:v>
                </c:pt>
                <c:pt idx="187">
                  <c:v>15.660870655090127</c:v>
                </c:pt>
                <c:pt idx="188">
                  <c:v>15.667227346232909</c:v>
                </c:pt>
                <c:pt idx="189">
                  <c:v>15.673805627081144</c:v>
                </c:pt>
                <c:pt idx="190">
                  <c:v>15.680801062685459</c:v>
                </c:pt>
                <c:pt idx="191">
                  <c:v>15.687689836732638</c:v>
                </c:pt>
                <c:pt idx="192">
                  <c:v>15.694155247925309</c:v>
                </c:pt>
                <c:pt idx="193">
                  <c:v>15.700226056469901</c:v>
                </c:pt>
                <c:pt idx="194">
                  <c:v>15.706208422161884</c:v>
                </c:pt>
                <c:pt idx="195">
                  <c:v>15.712062363166822</c:v>
                </c:pt>
                <c:pt idx="196">
                  <c:v>15.717794570991506</c:v>
                </c:pt>
                <c:pt idx="197">
                  <c:v>15.72359869279412</c:v>
                </c:pt>
                <c:pt idx="198">
                  <c:v>15.729245690537731</c:v>
                </c:pt>
                <c:pt idx="199">
                  <c:v>15.735097121707627</c:v>
                </c:pt>
                <c:pt idx="200">
                  <c:v>15.740832193283598</c:v>
                </c:pt>
                <c:pt idx="201">
                  <c:v>15.746526087920643</c:v>
                </c:pt>
                <c:pt idx="202">
                  <c:v>15.751971830178551</c:v>
                </c:pt>
                <c:pt idx="203">
                  <c:v>15.756896131866164</c:v>
                </c:pt>
                <c:pt idx="204">
                  <c:v>15.762058104690826</c:v>
                </c:pt>
                <c:pt idx="205">
                  <c:v>15.766992879064276</c:v>
                </c:pt>
                <c:pt idx="206">
                  <c:v>15.771874264816187</c:v>
                </c:pt>
                <c:pt idx="207">
                  <c:v>15.776587233408343</c:v>
                </c:pt>
                <c:pt idx="208">
                  <c:v>15.781336263199702</c:v>
                </c:pt>
                <c:pt idx="209">
                  <c:v>15.785900498170157</c:v>
                </c:pt>
                <c:pt idx="210">
                  <c:v>15.790337600905163</c:v>
                </c:pt>
                <c:pt idx="211">
                  <c:v>15.794484232989213</c:v>
                </c:pt>
                <c:pt idx="212">
                  <c:v>15.798351113672613</c:v>
                </c:pt>
                <c:pt idx="213">
                  <c:v>15.802289564137633</c:v>
                </c:pt>
                <c:pt idx="214">
                  <c:v>15.806340793146799</c:v>
                </c:pt>
                <c:pt idx="215">
                  <c:v>15.810502207884907</c:v>
                </c:pt>
                <c:pt idx="216">
                  <c:v>15.814397394580583</c:v>
                </c:pt>
                <c:pt idx="217">
                  <c:v>15.81815176810716</c:v>
                </c:pt>
                <c:pt idx="218">
                  <c:v>15.821633639868118</c:v>
                </c:pt>
                <c:pt idx="219">
                  <c:v>15.824923333535555</c:v>
                </c:pt>
                <c:pt idx="220">
                  <c:v>15.828361241266128</c:v>
                </c:pt>
                <c:pt idx="221">
                  <c:v>15.831706280277007</c:v>
                </c:pt>
                <c:pt idx="222">
                  <c:v>15.835056424798076</c:v>
                </c:pt>
                <c:pt idx="223">
                  <c:v>15.838213869335789</c:v>
                </c:pt>
                <c:pt idx="224">
                  <c:v>15.841130278881511</c:v>
                </c:pt>
                <c:pt idx="225">
                  <c:v>15.84399765877404</c:v>
                </c:pt>
                <c:pt idx="226">
                  <c:v>15.846807086713394</c:v>
                </c:pt>
                <c:pt idx="227">
                  <c:v>15.849675233380042</c:v>
                </c:pt>
                <c:pt idx="228">
                  <c:v>15.85248076928784</c:v>
                </c:pt>
                <c:pt idx="229">
                  <c:v>15.855312986406199</c:v>
                </c:pt>
                <c:pt idx="230">
                  <c:v>15.858169910641831</c:v>
                </c:pt>
                <c:pt idx="231">
                  <c:v>15.860740781587051</c:v>
                </c:pt>
                <c:pt idx="232">
                  <c:v>15.863030602294501</c:v>
                </c:pt>
                <c:pt idx="233">
                  <c:v>15.865361978705243</c:v>
                </c:pt>
                <c:pt idx="234">
                  <c:v>15.867663452049335</c:v>
                </c:pt>
                <c:pt idx="235">
                  <c:v>15.869942071553567</c:v>
                </c:pt>
                <c:pt idx="236">
                  <c:v>15.871773762161</c:v>
                </c:pt>
                <c:pt idx="237">
                  <c:v>15.873851250736875</c:v>
                </c:pt>
                <c:pt idx="238">
                  <c:v>15.875921933559551</c:v>
                </c:pt>
                <c:pt idx="239">
                  <c:v>15.878193441898619</c:v>
                </c:pt>
                <c:pt idx="240">
                  <c:v>15.880092242442094</c:v>
                </c:pt>
                <c:pt idx="241">
                  <c:v>15.88185404225956</c:v>
                </c:pt>
                <c:pt idx="242">
                  <c:v>15.883550539588507</c:v>
                </c:pt>
                <c:pt idx="243">
                  <c:v>15.885128275005064</c:v>
                </c:pt>
                <c:pt idx="244">
                  <c:v>15.886682161577681</c:v>
                </c:pt>
                <c:pt idx="245">
                  <c:v>15.888014714186204</c:v>
                </c:pt>
                <c:pt idx="246">
                  <c:v>15.889277207121181</c:v>
                </c:pt>
                <c:pt idx="247">
                  <c:v>15.890400527327206</c:v>
                </c:pt>
                <c:pt idx="248">
                  <c:v>15.891473964352912</c:v>
                </c:pt>
                <c:pt idx="249">
                  <c:v>15.89255890943519</c:v>
                </c:pt>
                <c:pt idx="250">
                  <c:v>15.893614968245995</c:v>
                </c:pt>
                <c:pt idx="251">
                  <c:v>15.894684097692863</c:v>
                </c:pt>
                <c:pt idx="252">
                  <c:v>15.895657328633053</c:v>
                </c:pt>
                <c:pt idx="253">
                  <c:v>15.89661777399928</c:v>
                </c:pt>
                <c:pt idx="254">
                  <c:v>15.897649881024401</c:v>
                </c:pt>
                <c:pt idx="255">
                  <c:v>15.898708934687235</c:v>
                </c:pt>
                <c:pt idx="256">
                  <c:v>15.899773016889004</c:v>
                </c:pt>
                <c:pt idx="257">
                  <c:v>15.900782511060347</c:v>
                </c:pt>
                <c:pt idx="258">
                  <c:v>15.901768809526967</c:v>
                </c:pt>
                <c:pt idx="259">
                  <c:v>15.902895427500994</c:v>
                </c:pt>
                <c:pt idx="260">
                  <c:v>15.903951175733814</c:v>
                </c:pt>
                <c:pt idx="261">
                  <c:v>15.904889664411984</c:v>
                </c:pt>
                <c:pt idx="262">
                  <c:v>15.905848313846192</c:v>
                </c:pt>
                <c:pt idx="263">
                  <c:v>15.90686636650012</c:v>
                </c:pt>
                <c:pt idx="264">
                  <c:v>15.907784158231728</c:v>
                </c:pt>
                <c:pt idx="265">
                  <c:v>15.90861658096482</c:v>
                </c:pt>
                <c:pt idx="266">
                  <c:v>15.909404368452662</c:v>
                </c:pt>
                <c:pt idx="267">
                  <c:v>15.910065615093011</c:v>
                </c:pt>
                <c:pt idx="268">
                  <c:v>15.910868053095868</c:v>
                </c:pt>
                <c:pt idx="269">
                  <c:v>15.911794579356663</c:v>
                </c:pt>
                <c:pt idx="270">
                  <c:v>15.91263009831507</c:v>
                </c:pt>
                <c:pt idx="271">
                  <c:v>15.913552701306527</c:v>
                </c:pt>
                <c:pt idx="272">
                  <c:v>15.914427886682184</c:v>
                </c:pt>
                <c:pt idx="273">
                  <c:v>15.915183571147479</c:v>
                </c:pt>
                <c:pt idx="274">
                  <c:v>15.915948147699824</c:v>
                </c:pt>
                <c:pt idx="275">
                  <c:v>15.916752136833551</c:v>
                </c:pt>
                <c:pt idx="276">
                  <c:v>15.917492739415669</c:v>
                </c:pt>
                <c:pt idx="277">
                  <c:v>15.918265624349925</c:v>
                </c:pt>
                <c:pt idx="278">
                  <c:v>15.919149753031478</c:v>
                </c:pt>
                <c:pt idx="279">
                  <c:v>15.920055089578039</c:v>
                </c:pt>
                <c:pt idx="280">
                  <c:v>15.920925466101357</c:v>
                </c:pt>
                <c:pt idx="281">
                  <c:v>15.921753707801001</c:v>
                </c:pt>
                <c:pt idx="282">
                  <c:v>15.922540139338361</c:v>
                </c:pt>
                <c:pt idx="283">
                  <c:v>15.923264109266562</c:v>
                </c:pt>
                <c:pt idx="284">
                  <c:v>15.924041100638396</c:v>
                </c:pt>
                <c:pt idx="285">
                  <c:v>15.924868392112352</c:v>
                </c:pt>
                <c:pt idx="286">
                  <c:v>15.925783808475211</c:v>
                </c:pt>
                <c:pt idx="287">
                  <c:v>15.926680234718404</c:v>
                </c:pt>
                <c:pt idx="288">
                  <c:v>15.927534312019956</c:v>
                </c:pt>
                <c:pt idx="289">
                  <c:v>15.928531640151022</c:v>
                </c:pt>
                <c:pt idx="290">
                  <c:v>15.929400506669104</c:v>
                </c:pt>
                <c:pt idx="291">
                  <c:v>15.930206552971852</c:v>
                </c:pt>
                <c:pt idx="292">
                  <c:v>15.931008270653338</c:v>
                </c:pt>
                <c:pt idx="293">
                  <c:v>15.931749790493841</c:v>
                </c:pt>
                <c:pt idx="294">
                  <c:v>15.932444105279631</c:v>
                </c:pt>
                <c:pt idx="295">
                  <c:v>15.933131507136292</c:v>
                </c:pt>
                <c:pt idx="296">
                  <c:v>15.933816730139942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45718</c:v>
                </c:pt>
                <c:pt idx="1">
                  <c:v>45719</c:v>
                </c:pt>
                <c:pt idx="2">
                  <c:v>45720</c:v>
                </c:pt>
                <c:pt idx="3">
                  <c:v>45721</c:v>
                </c:pt>
                <c:pt idx="4">
                  <c:v>45722</c:v>
                </c:pt>
                <c:pt idx="5">
                  <c:v>45723</c:v>
                </c:pt>
                <c:pt idx="6">
                  <c:v>45724</c:v>
                </c:pt>
                <c:pt idx="7">
                  <c:v>45725</c:v>
                </c:pt>
                <c:pt idx="8">
                  <c:v>45726</c:v>
                </c:pt>
                <c:pt idx="9">
                  <c:v>45727</c:v>
                </c:pt>
                <c:pt idx="10">
                  <c:v>45728</c:v>
                </c:pt>
                <c:pt idx="11">
                  <c:v>45729</c:v>
                </c:pt>
                <c:pt idx="12">
                  <c:v>45730</c:v>
                </c:pt>
                <c:pt idx="13">
                  <c:v>45731</c:v>
                </c:pt>
                <c:pt idx="14">
                  <c:v>45732</c:v>
                </c:pt>
                <c:pt idx="15">
                  <c:v>45733</c:v>
                </c:pt>
                <c:pt idx="16">
                  <c:v>45734</c:v>
                </c:pt>
                <c:pt idx="17">
                  <c:v>45735</c:v>
                </c:pt>
                <c:pt idx="18">
                  <c:v>45736</c:v>
                </c:pt>
                <c:pt idx="19">
                  <c:v>45737</c:v>
                </c:pt>
                <c:pt idx="20">
                  <c:v>45738</c:v>
                </c:pt>
                <c:pt idx="21">
                  <c:v>45739</c:v>
                </c:pt>
                <c:pt idx="22">
                  <c:v>45740</c:v>
                </c:pt>
                <c:pt idx="23">
                  <c:v>45741</c:v>
                </c:pt>
                <c:pt idx="24">
                  <c:v>45742</c:v>
                </c:pt>
                <c:pt idx="25">
                  <c:v>45743</c:v>
                </c:pt>
                <c:pt idx="26">
                  <c:v>45744</c:v>
                </c:pt>
                <c:pt idx="27">
                  <c:v>45745</c:v>
                </c:pt>
                <c:pt idx="28">
                  <c:v>45746</c:v>
                </c:pt>
                <c:pt idx="29">
                  <c:v>45747</c:v>
                </c:pt>
                <c:pt idx="30">
                  <c:v>45748</c:v>
                </c:pt>
                <c:pt idx="31">
                  <c:v>45749</c:v>
                </c:pt>
                <c:pt idx="32">
                  <c:v>45750</c:v>
                </c:pt>
                <c:pt idx="33">
                  <c:v>45751</c:v>
                </c:pt>
                <c:pt idx="34">
                  <c:v>45752</c:v>
                </c:pt>
                <c:pt idx="35">
                  <c:v>45753</c:v>
                </c:pt>
                <c:pt idx="36">
                  <c:v>45754</c:v>
                </c:pt>
                <c:pt idx="37">
                  <c:v>45755</c:v>
                </c:pt>
                <c:pt idx="38">
                  <c:v>45756</c:v>
                </c:pt>
                <c:pt idx="39">
                  <c:v>45757</c:v>
                </c:pt>
                <c:pt idx="40">
                  <c:v>45758</c:v>
                </c:pt>
                <c:pt idx="41">
                  <c:v>45759</c:v>
                </c:pt>
                <c:pt idx="42">
                  <c:v>45760</c:v>
                </c:pt>
                <c:pt idx="43">
                  <c:v>45761</c:v>
                </c:pt>
                <c:pt idx="44">
                  <c:v>45762</c:v>
                </c:pt>
                <c:pt idx="45">
                  <c:v>45763</c:v>
                </c:pt>
                <c:pt idx="46">
                  <c:v>45764</c:v>
                </c:pt>
                <c:pt idx="47">
                  <c:v>45765</c:v>
                </c:pt>
                <c:pt idx="48">
                  <c:v>45766</c:v>
                </c:pt>
                <c:pt idx="49">
                  <c:v>45767</c:v>
                </c:pt>
                <c:pt idx="50">
                  <c:v>45768</c:v>
                </c:pt>
                <c:pt idx="51">
                  <c:v>45769</c:v>
                </c:pt>
                <c:pt idx="52">
                  <c:v>45770</c:v>
                </c:pt>
                <c:pt idx="53">
                  <c:v>45771</c:v>
                </c:pt>
                <c:pt idx="54">
                  <c:v>45772</c:v>
                </c:pt>
                <c:pt idx="55">
                  <c:v>45773</c:v>
                </c:pt>
                <c:pt idx="56">
                  <c:v>45774</c:v>
                </c:pt>
                <c:pt idx="57">
                  <c:v>45775</c:v>
                </c:pt>
                <c:pt idx="58">
                  <c:v>45776</c:v>
                </c:pt>
                <c:pt idx="59">
                  <c:v>45777</c:v>
                </c:pt>
                <c:pt idx="60">
                  <c:v>45778</c:v>
                </c:pt>
                <c:pt idx="61">
                  <c:v>45779</c:v>
                </c:pt>
                <c:pt idx="62">
                  <c:v>45780</c:v>
                </c:pt>
                <c:pt idx="63">
                  <c:v>45781</c:v>
                </c:pt>
                <c:pt idx="64">
                  <c:v>45782</c:v>
                </c:pt>
                <c:pt idx="65">
                  <c:v>45783</c:v>
                </c:pt>
                <c:pt idx="66">
                  <c:v>45784</c:v>
                </c:pt>
                <c:pt idx="67">
                  <c:v>45785</c:v>
                </c:pt>
                <c:pt idx="68">
                  <c:v>45786</c:v>
                </c:pt>
                <c:pt idx="69">
                  <c:v>45787</c:v>
                </c:pt>
                <c:pt idx="70">
                  <c:v>45788</c:v>
                </c:pt>
                <c:pt idx="71">
                  <c:v>45789</c:v>
                </c:pt>
                <c:pt idx="72">
                  <c:v>45790</c:v>
                </c:pt>
                <c:pt idx="73">
                  <c:v>45791</c:v>
                </c:pt>
                <c:pt idx="74">
                  <c:v>45792</c:v>
                </c:pt>
                <c:pt idx="75">
                  <c:v>45793</c:v>
                </c:pt>
                <c:pt idx="76">
                  <c:v>45794</c:v>
                </c:pt>
                <c:pt idx="77">
                  <c:v>45795</c:v>
                </c:pt>
                <c:pt idx="78">
                  <c:v>45796</c:v>
                </c:pt>
                <c:pt idx="79">
                  <c:v>45797</c:v>
                </c:pt>
                <c:pt idx="80">
                  <c:v>45798</c:v>
                </c:pt>
                <c:pt idx="81">
                  <c:v>45799</c:v>
                </c:pt>
                <c:pt idx="82">
                  <c:v>45800</c:v>
                </c:pt>
                <c:pt idx="83">
                  <c:v>45801</c:v>
                </c:pt>
                <c:pt idx="84">
                  <c:v>45802</c:v>
                </c:pt>
                <c:pt idx="85">
                  <c:v>45803</c:v>
                </c:pt>
                <c:pt idx="86">
                  <c:v>45804</c:v>
                </c:pt>
                <c:pt idx="87">
                  <c:v>45805</c:v>
                </c:pt>
                <c:pt idx="88">
                  <c:v>45806</c:v>
                </c:pt>
                <c:pt idx="89">
                  <c:v>45807</c:v>
                </c:pt>
                <c:pt idx="90">
                  <c:v>45808</c:v>
                </c:pt>
                <c:pt idx="91">
                  <c:v>45809</c:v>
                </c:pt>
                <c:pt idx="92">
                  <c:v>45810</c:v>
                </c:pt>
                <c:pt idx="93">
                  <c:v>45811</c:v>
                </c:pt>
                <c:pt idx="94">
                  <c:v>45812</c:v>
                </c:pt>
                <c:pt idx="95">
                  <c:v>45813</c:v>
                </c:pt>
                <c:pt idx="96">
                  <c:v>45814</c:v>
                </c:pt>
                <c:pt idx="97">
                  <c:v>45815</c:v>
                </c:pt>
                <c:pt idx="98">
                  <c:v>45816</c:v>
                </c:pt>
                <c:pt idx="99">
                  <c:v>45817</c:v>
                </c:pt>
                <c:pt idx="100">
                  <c:v>45818</c:v>
                </c:pt>
                <c:pt idx="101">
                  <c:v>45819</c:v>
                </c:pt>
                <c:pt idx="102">
                  <c:v>45820</c:v>
                </c:pt>
                <c:pt idx="103">
                  <c:v>45821</c:v>
                </c:pt>
                <c:pt idx="104">
                  <c:v>45822</c:v>
                </c:pt>
                <c:pt idx="105">
                  <c:v>45823</c:v>
                </c:pt>
                <c:pt idx="106">
                  <c:v>45824</c:v>
                </c:pt>
                <c:pt idx="107">
                  <c:v>45825</c:v>
                </c:pt>
                <c:pt idx="108">
                  <c:v>45826</c:v>
                </c:pt>
                <c:pt idx="109">
                  <c:v>45827</c:v>
                </c:pt>
                <c:pt idx="110">
                  <c:v>45828</c:v>
                </c:pt>
                <c:pt idx="111">
                  <c:v>45829</c:v>
                </c:pt>
                <c:pt idx="112">
                  <c:v>45830</c:v>
                </c:pt>
                <c:pt idx="113">
                  <c:v>45831</c:v>
                </c:pt>
                <c:pt idx="114">
                  <c:v>45832</c:v>
                </c:pt>
                <c:pt idx="115">
                  <c:v>45833</c:v>
                </c:pt>
                <c:pt idx="116">
                  <c:v>45834</c:v>
                </c:pt>
                <c:pt idx="117">
                  <c:v>45835</c:v>
                </c:pt>
                <c:pt idx="118">
                  <c:v>45836</c:v>
                </c:pt>
                <c:pt idx="119">
                  <c:v>45837</c:v>
                </c:pt>
                <c:pt idx="120">
                  <c:v>45838</c:v>
                </c:pt>
                <c:pt idx="121">
                  <c:v>45839</c:v>
                </c:pt>
                <c:pt idx="122">
                  <c:v>45840</c:v>
                </c:pt>
                <c:pt idx="123">
                  <c:v>45841</c:v>
                </c:pt>
                <c:pt idx="124">
                  <c:v>45842</c:v>
                </c:pt>
                <c:pt idx="125">
                  <c:v>45843</c:v>
                </c:pt>
                <c:pt idx="126">
                  <c:v>45844</c:v>
                </c:pt>
                <c:pt idx="127">
                  <c:v>45845</c:v>
                </c:pt>
                <c:pt idx="128">
                  <c:v>45846</c:v>
                </c:pt>
                <c:pt idx="129">
                  <c:v>45847</c:v>
                </c:pt>
                <c:pt idx="130">
                  <c:v>45848</c:v>
                </c:pt>
                <c:pt idx="131">
                  <c:v>45849</c:v>
                </c:pt>
                <c:pt idx="132">
                  <c:v>45850</c:v>
                </c:pt>
                <c:pt idx="133">
                  <c:v>45851</c:v>
                </c:pt>
                <c:pt idx="134">
                  <c:v>45852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3.0416038153700913</c:v>
                </c:pt>
                <c:pt idx="15">
                  <c:v>3.3122740356740317</c:v>
                </c:pt>
                <c:pt idx="16">
                  <c:v>3.586949336770874</c:v>
                </c:pt>
                <c:pt idx="17">
                  <c:v>3.8985062504134667</c:v>
                </c:pt>
                <c:pt idx="18">
                  <c:v>4.2485436027983612</c:v>
                </c:pt>
                <c:pt idx="19">
                  <c:v>4.6388742706270518</c:v>
                </c:pt>
                <c:pt idx="20">
                  <c:v>5.0723700512351355</c:v>
                </c:pt>
                <c:pt idx="21">
                  <c:v>5.5509076302143336</c:v>
                </c:pt>
                <c:pt idx="22">
                  <c:v>6.0480338976812318</c:v>
                </c:pt>
                <c:pt idx="23">
                  <c:v>6.6211533176729391</c:v>
                </c:pt>
                <c:pt idx="24">
                  <c:v>7.2558834926841627</c:v>
                </c:pt>
                <c:pt idx="25">
                  <c:v>7.9665778812599628</c:v>
                </c:pt>
                <c:pt idx="26">
                  <c:v>8.6583539535869694</c:v>
                </c:pt>
                <c:pt idx="27">
                  <c:v>9.4387346424220553</c:v>
                </c:pt>
                <c:pt idx="28">
                  <c:v>10.305528696063314</c:v>
                </c:pt>
                <c:pt idx="29">
                  <c:v>11.205742289191903</c:v>
                </c:pt>
                <c:pt idx="30">
                  <c:v>12.159352611562738</c:v>
                </c:pt>
                <c:pt idx="31">
                  <c:v>13.136211281478754</c:v>
                </c:pt>
                <c:pt idx="32">
                  <c:v>14.291979355052632</c:v>
                </c:pt>
                <c:pt idx="33">
                  <c:v>15.515397677850444</c:v>
                </c:pt>
                <c:pt idx="34">
                  <c:v>16.689740700428885</c:v>
                </c:pt>
                <c:pt idx="35">
                  <c:v>17.878655327453032</c:v>
                </c:pt>
                <c:pt idx="36">
                  <c:v>19.004534570611352</c:v>
                </c:pt>
                <c:pt idx="37">
                  <c:v>20.288557959517867</c:v>
                </c:pt>
                <c:pt idx="38">
                  <c:v>21.738869482300998</c:v>
                </c:pt>
                <c:pt idx="39">
                  <c:v>23.310509727858015</c:v>
                </c:pt>
                <c:pt idx="40">
                  <c:v>24.941304011416342</c:v>
                </c:pt>
                <c:pt idx="41">
                  <c:v>26.850744806012852</c:v>
                </c:pt>
                <c:pt idx="42">
                  <c:v>28.793719329840389</c:v>
                </c:pt>
                <c:pt idx="43">
                  <c:v>30.606254523906493</c:v>
                </c:pt>
                <c:pt idx="44">
                  <c:v>32.588180460029641</c:v>
                </c:pt>
                <c:pt idx="45">
                  <c:v>34.721210770075189</c:v>
                </c:pt>
                <c:pt idx="46">
                  <c:v>36.907364553103889</c:v>
                </c:pt>
                <c:pt idx="47">
                  <c:v>39.227843205165165</c:v>
                </c:pt>
                <c:pt idx="48">
                  <c:v>41.466820889102443</c:v>
                </c:pt>
                <c:pt idx="49">
                  <c:v>44.226350669972135</c:v>
                </c:pt>
                <c:pt idx="50">
                  <c:v>47.142922083380988</c:v>
                </c:pt>
                <c:pt idx="51">
                  <c:v>49.993909414773583</c:v>
                </c:pt>
                <c:pt idx="52">
                  <c:v>53.103158494173236</c:v>
                </c:pt>
                <c:pt idx="53">
                  <c:v>56.719272620182785</c:v>
                </c:pt>
                <c:pt idx="54">
                  <c:v>60.380378897481705</c:v>
                </c:pt>
                <c:pt idx="55">
                  <c:v>64.033897635376931</c:v>
                </c:pt>
                <c:pt idx="56">
                  <c:v>68.243972568600938</c:v>
                </c:pt>
                <c:pt idx="57">
                  <c:v>72.353941310508844</c:v>
                </c:pt>
                <c:pt idx="58">
                  <c:v>76.525930839455555</c:v>
                </c:pt>
                <c:pt idx="59">
                  <c:v>80.785643397534798</c:v>
                </c:pt>
                <c:pt idx="60">
                  <c:v>84.29995730725885</c:v>
                </c:pt>
                <c:pt idx="61">
                  <c:v>87.910504629075518</c:v>
                </c:pt>
                <c:pt idx="62">
                  <c:v>92.318094126012724</c:v>
                </c:pt>
                <c:pt idx="63">
                  <c:v>96.90928145292267</c:v>
                </c:pt>
                <c:pt idx="64">
                  <c:v>101.92311557274289</c:v>
                </c:pt>
                <c:pt idx="65">
                  <c:v>106.91197320295674</c:v>
                </c:pt>
                <c:pt idx="66">
                  <c:v>111.68463270603699</c:v>
                </c:pt>
                <c:pt idx="67">
                  <c:v>116.66657836530234</c:v>
                </c:pt>
                <c:pt idx="68">
                  <c:v>122.64551995563079</c:v>
                </c:pt>
                <c:pt idx="69">
                  <c:v>128.55068348363565</c:v>
                </c:pt>
                <c:pt idx="70">
                  <c:v>134.15936030441844</c:v>
                </c:pt>
                <c:pt idx="71">
                  <c:v>140.2282441765646</c:v>
                </c:pt>
                <c:pt idx="72">
                  <c:v>145.93059870226779</c:v>
                </c:pt>
                <c:pt idx="73">
                  <c:v>151.81697290399399</c:v>
                </c:pt>
                <c:pt idx="74">
                  <c:v>158.1542596236051</c:v>
                </c:pt>
                <c:pt idx="75">
                  <c:v>164.12996583642112</c:v>
                </c:pt>
                <c:pt idx="76">
                  <c:v>169.69325078257287</c:v>
                </c:pt>
                <c:pt idx="77">
                  <c:v>174.81304340868408</c:v>
                </c:pt>
                <c:pt idx="78">
                  <c:v>180.2079261628314</c:v>
                </c:pt>
                <c:pt idx="79">
                  <c:v>185.52847142134161</c:v>
                </c:pt>
                <c:pt idx="80">
                  <c:v>190.75780595522301</c:v>
                </c:pt>
                <c:pt idx="81">
                  <c:v>194.86207120255636</c:v>
                </c:pt>
                <c:pt idx="82">
                  <c:v>199.4290969481149</c:v>
                </c:pt>
                <c:pt idx="83">
                  <c:v>204.19388525773962</c:v>
                </c:pt>
                <c:pt idx="84">
                  <c:v>208.79322418718263</c:v>
                </c:pt>
                <c:pt idx="85">
                  <c:v>213.71615626557175</c:v>
                </c:pt>
                <c:pt idx="86">
                  <c:v>218.14576275553404</c:v>
                </c:pt>
                <c:pt idx="87">
                  <c:v>222.33441580326954</c:v>
                </c:pt>
                <c:pt idx="88">
                  <c:v>226.91982817671956</c:v>
                </c:pt>
                <c:pt idx="89">
                  <c:v>230.58906259547592</c:v>
                </c:pt>
                <c:pt idx="90">
                  <c:v>234.28945375896745</c:v>
                </c:pt>
                <c:pt idx="91">
                  <c:v>238.18910289933456</c:v>
                </c:pt>
                <c:pt idx="92">
                  <c:v>242.0652333065041</c:v>
                </c:pt>
                <c:pt idx="93">
                  <c:v>245.83845697907739</c:v>
                </c:pt>
                <c:pt idx="94">
                  <c:v>250.38292084799346</c:v>
                </c:pt>
                <c:pt idx="95">
                  <c:v>254.68688133451241</c:v>
                </c:pt>
                <c:pt idx="96">
                  <c:v>258.84947593938381</c:v>
                </c:pt>
                <c:pt idx="97">
                  <c:v>262.89273579784475</c:v>
                </c:pt>
                <c:pt idx="98">
                  <c:v>266.25554888872512</c:v>
                </c:pt>
                <c:pt idx="99">
                  <c:v>269.51146688475404</c:v>
                </c:pt>
                <c:pt idx="100">
                  <c:v>273.73686200708516</c:v>
                </c:pt>
                <c:pt idx="101">
                  <c:v>277.89927754142036</c:v>
                </c:pt>
                <c:pt idx="102">
                  <c:v>282.64229214558867</c:v>
                </c:pt>
                <c:pt idx="103">
                  <c:v>286.38244028442699</c:v>
                </c:pt>
                <c:pt idx="104">
                  <c:v>289.82177697068511</c:v>
                </c:pt>
                <c:pt idx="105">
                  <c:v>292.4850375484686</c:v>
                </c:pt>
                <c:pt idx="106">
                  <c:v>295.82503202215281</c:v>
                </c:pt>
                <c:pt idx="107">
                  <c:v>299.17110421164199</c:v>
                </c:pt>
                <c:pt idx="108">
                  <c:v>302.51246541045771</c:v>
                </c:pt>
                <c:pt idx="109">
                  <c:v>306.00334477519237</c:v>
                </c:pt>
                <c:pt idx="110">
                  <c:v>309.39082467147438</c:v>
                </c:pt>
                <c:pt idx="111">
                  <c:v>312.3606606673568</c:v>
                </c:pt>
                <c:pt idx="112">
                  <c:v>314.66293278371108</c:v>
                </c:pt>
                <c:pt idx="113">
                  <c:v>316.95647782259363</c:v>
                </c:pt>
                <c:pt idx="114">
                  <c:v>319.95521519688521</c:v>
                </c:pt>
                <c:pt idx="115">
                  <c:v>322.42570331860423</c:v>
                </c:pt>
                <c:pt idx="116">
                  <c:v>324.64569873116358</c:v>
                </c:pt>
                <c:pt idx="117">
                  <c:v>326.63682307294874</c:v>
                </c:pt>
                <c:pt idx="118">
                  <c:v>328.63023336143243</c:v>
                </c:pt>
                <c:pt idx="119">
                  <c:v>330.52295015466274</c:v>
                </c:pt>
                <c:pt idx="120">
                  <c:v>332.29359445531219</c:v>
                </c:pt>
                <c:pt idx="121">
                  <c:v>334.17656550327717</c:v>
                </c:pt>
                <c:pt idx="122">
                  <c:v>335.74192134246789</c:v>
                </c:pt>
                <c:pt idx="123">
                  <c:v>337.56636929523313</c:v>
                </c:pt>
                <c:pt idx="124">
                  <c:v>339.25005190916897</c:v>
                </c:pt>
                <c:pt idx="125">
                  <c:v>341.26705734790551</c:v>
                </c:pt>
                <c:pt idx="126">
                  <c:v>343.11526052603602</c:v>
                </c:pt>
                <c:pt idx="127">
                  <c:v>345.15893587855669</c:v>
                </c:pt>
                <c:pt idx="128">
                  <c:v>346.6742666374206</c:v>
                </c:pt>
                <c:pt idx="129">
                  <c:v>348.00699676612504</c:v>
                </c:pt>
                <c:pt idx="130">
                  <c:v>349.35033036761735</c:v>
                </c:pt>
                <c:pt idx="131">
                  <c:v>350.58556151833784</c:v>
                </c:pt>
                <c:pt idx="132">
                  <c:v>351.93571667428893</c:v>
                </c:pt>
                <c:pt idx="133">
                  <c:v>353.15196058360999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45718</c:v>
                </c:pt>
                <c:pt idx="1">
                  <c:v>45719</c:v>
                </c:pt>
                <c:pt idx="2">
                  <c:v>45720</c:v>
                </c:pt>
                <c:pt idx="3">
                  <c:v>45721</c:v>
                </c:pt>
                <c:pt idx="4">
                  <c:v>45722</c:v>
                </c:pt>
                <c:pt idx="5">
                  <c:v>45723</c:v>
                </c:pt>
                <c:pt idx="6">
                  <c:v>45724</c:v>
                </c:pt>
                <c:pt idx="7">
                  <c:v>45725</c:v>
                </c:pt>
                <c:pt idx="8">
                  <c:v>45726</c:v>
                </c:pt>
                <c:pt idx="9">
                  <c:v>45727</c:v>
                </c:pt>
                <c:pt idx="10">
                  <c:v>45728</c:v>
                </c:pt>
                <c:pt idx="11">
                  <c:v>45729</c:v>
                </c:pt>
                <c:pt idx="12">
                  <c:v>45730</c:v>
                </c:pt>
                <c:pt idx="13">
                  <c:v>45731</c:v>
                </c:pt>
                <c:pt idx="14">
                  <c:v>45732</c:v>
                </c:pt>
                <c:pt idx="15">
                  <c:v>45733</c:v>
                </c:pt>
                <c:pt idx="16">
                  <c:v>45734</c:v>
                </c:pt>
                <c:pt idx="17">
                  <c:v>45735</c:v>
                </c:pt>
                <c:pt idx="18">
                  <c:v>45736</c:v>
                </c:pt>
                <c:pt idx="19">
                  <c:v>45737</c:v>
                </c:pt>
                <c:pt idx="20">
                  <c:v>45738</c:v>
                </c:pt>
                <c:pt idx="21">
                  <c:v>45739</c:v>
                </c:pt>
                <c:pt idx="22">
                  <c:v>45740</c:v>
                </c:pt>
                <c:pt idx="23">
                  <c:v>45741</c:v>
                </c:pt>
                <c:pt idx="24">
                  <c:v>45742</c:v>
                </c:pt>
                <c:pt idx="25">
                  <c:v>45743</c:v>
                </c:pt>
                <c:pt idx="26">
                  <c:v>45744</c:v>
                </c:pt>
                <c:pt idx="27">
                  <c:v>45745</c:v>
                </c:pt>
                <c:pt idx="28">
                  <c:v>45746</c:v>
                </c:pt>
                <c:pt idx="29">
                  <c:v>45747</c:v>
                </c:pt>
                <c:pt idx="30">
                  <c:v>45748</c:v>
                </c:pt>
                <c:pt idx="31">
                  <c:v>45749</c:v>
                </c:pt>
                <c:pt idx="32">
                  <c:v>45750</c:v>
                </c:pt>
                <c:pt idx="33">
                  <c:v>45751</c:v>
                </c:pt>
                <c:pt idx="34">
                  <c:v>45752</c:v>
                </c:pt>
                <c:pt idx="35">
                  <c:v>45753</c:v>
                </c:pt>
                <c:pt idx="36">
                  <c:v>45754</c:v>
                </c:pt>
                <c:pt idx="37">
                  <c:v>45755</c:v>
                </c:pt>
                <c:pt idx="38">
                  <c:v>45756</c:v>
                </c:pt>
                <c:pt idx="39">
                  <c:v>45757</c:v>
                </c:pt>
                <c:pt idx="40">
                  <c:v>45758</c:v>
                </c:pt>
                <c:pt idx="41">
                  <c:v>45759</c:v>
                </c:pt>
                <c:pt idx="42">
                  <c:v>45760</c:v>
                </c:pt>
                <c:pt idx="43">
                  <c:v>45761</c:v>
                </c:pt>
                <c:pt idx="44">
                  <c:v>45762</c:v>
                </c:pt>
                <c:pt idx="45">
                  <c:v>45763</c:v>
                </c:pt>
                <c:pt idx="46">
                  <c:v>45764</c:v>
                </c:pt>
                <c:pt idx="47">
                  <c:v>45765</c:v>
                </c:pt>
                <c:pt idx="48">
                  <c:v>45766</c:v>
                </c:pt>
                <c:pt idx="49">
                  <c:v>45767</c:v>
                </c:pt>
                <c:pt idx="50">
                  <c:v>45768</c:v>
                </c:pt>
                <c:pt idx="51">
                  <c:v>45769</c:v>
                </c:pt>
                <c:pt idx="52">
                  <c:v>45770</c:v>
                </c:pt>
                <c:pt idx="53">
                  <c:v>45771</c:v>
                </c:pt>
                <c:pt idx="54">
                  <c:v>45772</c:v>
                </c:pt>
                <c:pt idx="55">
                  <c:v>45773</c:v>
                </c:pt>
                <c:pt idx="56">
                  <c:v>45774</c:v>
                </c:pt>
                <c:pt idx="57">
                  <c:v>45775</c:v>
                </c:pt>
                <c:pt idx="58">
                  <c:v>45776</c:v>
                </c:pt>
                <c:pt idx="59">
                  <c:v>45777</c:v>
                </c:pt>
                <c:pt idx="60">
                  <c:v>45778</c:v>
                </c:pt>
                <c:pt idx="61">
                  <c:v>45779</c:v>
                </c:pt>
                <c:pt idx="62">
                  <c:v>45780</c:v>
                </c:pt>
                <c:pt idx="63">
                  <c:v>45781</c:v>
                </c:pt>
                <c:pt idx="64">
                  <c:v>45782</c:v>
                </c:pt>
                <c:pt idx="65">
                  <c:v>45783</c:v>
                </c:pt>
                <c:pt idx="66">
                  <c:v>45784</c:v>
                </c:pt>
                <c:pt idx="67">
                  <c:v>45785</c:v>
                </c:pt>
                <c:pt idx="68">
                  <c:v>45786</c:v>
                </c:pt>
                <c:pt idx="69">
                  <c:v>45787</c:v>
                </c:pt>
                <c:pt idx="70">
                  <c:v>45788</c:v>
                </c:pt>
                <c:pt idx="71">
                  <c:v>45789</c:v>
                </c:pt>
                <c:pt idx="72">
                  <c:v>45790</c:v>
                </c:pt>
                <c:pt idx="73">
                  <c:v>45791</c:v>
                </c:pt>
                <c:pt idx="74">
                  <c:v>45792</c:v>
                </c:pt>
                <c:pt idx="75">
                  <c:v>45793</c:v>
                </c:pt>
                <c:pt idx="76">
                  <c:v>45794</c:v>
                </c:pt>
                <c:pt idx="77">
                  <c:v>45795</c:v>
                </c:pt>
                <c:pt idx="78">
                  <c:v>45796</c:v>
                </c:pt>
                <c:pt idx="79">
                  <c:v>45797</c:v>
                </c:pt>
                <c:pt idx="80">
                  <c:v>45798</c:v>
                </c:pt>
                <c:pt idx="81">
                  <c:v>45799</c:v>
                </c:pt>
                <c:pt idx="82">
                  <c:v>45800</c:v>
                </c:pt>
                <c:pt idx="83">
                  <c:v>45801</c:v>
                </c:pt>
                <c:pt idx="84">
                  <c:v>45802</c:v>
                </c:pt>
                <c:pt idx="85">
                  <c:v>45803</c:v>
                </c:pt>
                <c:pt idx="86">
                  <c:v>45804</c:v>
                </c:pt>
                <c:pt idx="87">
                  <c:v>45805</c:v>
                </c:pt>
                <c:pt idx="88">
                  <c:v>45806</c:v>
                </c:pt>
                <c:pt idx="89">
                  <c:v>45807</c:v>
                </c:pt>
                <c:pt idx="90">
                  <c:v>45808</c:v>
                </c:pt>
                <c:pt idx="91">
                  <c:v>45809</c:v>
                </c:pt>
                <c:pt idx="92">
                  <c:v>45810</c:v>
                </c:pt>
                <c:pt idx="93">
                  <c:v>45811</c:v>
                </c:pt>
                <c:pt idx="94">
                  <c:v>45812</c:v>
                </c:pt>
                <c:pt idx="95">
                  <c:v>45813</c:v>
                </c:pt>
                <c:pt idx="96">
                  <c:v>45814</c:v>
                </c:pt>
                <c:pt idx="97">
                  <c:v>45815</c:v>
                </c:pt>
                <c:pt idx="98">
                  <c:v>45816</c:v>
                </c:pt>
                <c:pt idx="99">
                  <c:v>45817</c:v>
                </c:pt>
                <c:pt idx="100">
                  <c:v>45818</c:v>
                </c:pt>
                <c:pt idx="101">
                  <c:v>45819</c:v>
                </c:pt>
                <c:pt idx="102">
                  <c:v>45820</c:v>
                </c:pt>
                <c:pt idx="103">
                  <c:v>45821</c:v>
                </c:pt>
                <c:pt idx="104">
                  <c:v>45822</c:v>
                </c:pt>
                <c:pt idx="105">
                  <c:v>45823</c:v>
                </c:pt>
                <c:pt idx="106">
                  <c:v>45824</c:v>
                </c:pt>
                <c:pt idx="107">
                  <c:v>45825</c:v>
                </c:pt>
                <c:pt idx="108">
                  <c:v>45826</c:v>
                </c:pt>
                <c:pt idx="109">
                  <c:v>45827</c:v>
                </c:pt>
                <c:pt idx="110">
                  <c:v>45828</c:v>
                </c:pt>
                <c:pt idx="111">
                  <c:v>45829</c:v>
                </c:pt>
                <c:pt idx="112">
                  <c:v>45830</c:v>
                </c:pt>
                <c:pt idx="113">
                  <c:v>45831</c:v>
                </c:pt>
                <c:pt idx="114">
                  <c:v>45832</c:v>
                </c:pt>
                <c:pt idx="115">
                  <c:v>45833</c:v>
                </c:pt>
                <c:pt idx="116">
                  <c:v>45834</c:v>
                </c:pt>
                <c:pt idx="117">
                  <c:v>45835</c:v>
                </c:pt>
                <c:pt idx="118">
                  <c:v>45836</c:v>
                </c:pt>
                <c:pt idx="119">
                  <c:v>45837</c:v>
                </c:pt>
                <c:pt idx="120">
                  <c:v>45838</c:v>
                </c:pt>
                <c:pt idx="121">
                  <c:v>45839</c:v>
                </c:pt>
                <c:pt idx="122">
                  <c:v>45840</c:v>
                </c:pt>
                <c:pt idx="123">
                  <c:v>45841</c:v>
                </c:pt>
                <c:pt idx="124">
                  <c:v>45842</c:v>
                </c:pt>
                <c:pt idx="125">
                  <c:v>45843</c:v>
                </c:pt>
                <c:pt idx="126">
                  <c:v>45844</c:v>
                </c:pt>
                <c:pt idx="127">
                  <c:v>45845</c:v>
                </c:pt>
                <c:pt idx="128">
                  <c:v>45846</c:v>
                </c:pt>
                <c:pt idx="129">
                  <c:v>45847</c:v>
                </c:pt>
                <c:pt idx="130">
                  <c:v>45848</c:v>
                </c:pt>
                <c:pt idx="131">
                  <c:v>45849</c:v>
                </c:pt>
                <c:pt idx="132">
                  <c:v>45850</c:v>
                </c:pt>
                <c:pt idx="133">
                  <c:v>45851</c:v>
                </c:pt>
                <c:pt idx="134">
                  <c:v>45852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25.43638630828319</c:v>
                </c:pt>
                <c:pt idx="1">
                  <c:v>22.011361115117122</c:v>
                </c:pt>
                <c:pt idx="2">
                  <c:v>18.638379374383231</c:v>
                </c:pt>
                <c:pt idx="3">
                  <c:v>15.112384467456495</c:v>
                </c:pt>
                <c:pt idx="4">
                  <c:v>11.81578662060091</c:v>
                </c:pt>
                <c:pt idx="5">
                  <c:v>8.4740428438327591</c:v>
                </c:pt>
                <c:pt idx="6">
                  <c:v>5.3484351128004537</c:v>
                </c:pt>
                <c:pt idx="7">
                  <c:v>2.486305232353228</c:v>
                </c:pt>
                <c:pt idx="8">
                  <c:v>-0.27117131652659898</c:v>
                </c:pt>
                <c:pt idx="9">
                  <c:v>-2.7408124846985134</c:v>
                </c:pt>
                <c:pt idx="10">
                  <c:v>-5.0453996207190199</c:v>
                </c:pt>
                <c:pt idx="11">
                  <c:v>-7.0346409967712411</c:v>
                </c:pt>
                <c:pt idx="12">
                  <c:v>-8.9498737889477802</c:v>
                </c:pt>
                <c:pt idx="13">
                  <c:v>-10.86225572413856</c:v>
                </c:pt>
                <c:pt idx="14">
                  <c:v>-12.68447615001128</c:v>
                </c:pt>
                <c:pt idx="15">
                  <c:v>-14.439928702718223</c:v>
                </c:pt>
                <c:pt idx="16">
                  <c:v>-15.982208980511265</c:v>
                </c:pt>
                <c:pt idx="17">
                  <c:v>-17.489309820752297</c:v>
                </c:pt>
                <c:pt idx="18">
                  <c:v>-18.959700091258902</c:v>
                </c:pt>
                <c:pt idx="19">
                  <c:v>-20.373006890351625</c:v>
                </c:pt>
                <c:pt idx="20">
                  <c:v>-21.720562581308993</c:v>
                </c:pt>
                <c:pt idx="21">
                  <c:v>-22.996171438029286</c:v>
                </c:pt>
                <c:pt idx="22">
                  <c:v>-24.128109997809055</c:v>
                </c:pt>
                <c:pt idx="23">
                  <c:v>-25.23870672153317</c:v>
                </c:pt>
                <c:pt idx="24">
                  <c:v>-26.282638923388923</c:v>
                </c:pt>
                <c:pt idx="25">
                  <c:v>-27.30879013722901</c:v>
                </c:pt>
                <c:pt idx="26">
                  <c:v>-28.220705332650191</c:v>
                </c:pt>
                <c:pt idx="27">
                  <c:v>-29.137577283936473</c:v>
                </c:pt>
                <c:pt idx="28">
                  <c:v>-30.059731096936709</c:v>
                </c:pt>
                <c:pt idx="29">
                  <c:v>-30.94541625479885</c:v>
                </c:pt>
                <c:pt idx="30">
                  <c:v>-31.831211834020369</c:v>
                </c:pt>
                <c:pt idx="31">
                  <c:v>-32.709913957156445</c:v>
                </c:pt>
                <c:pt idx="32">
                  <c:v>-33.657497930035746</c:v>
                </c:pt>
                <c:pt idx="33">
                  <c:v>-34.56761141588597</c:v>
                </c:pt>
                <c:pt idx="34">
                  <c:v>-35.391834426270087</c:v>
                </c:pt>
                <c:pt idx="35">
                  <c:v>-36.221695285413368</c:v>
                </c:pt>
                <c:pt idx="36">
                  <c:v>-36.999598158635081</c:v>
                </c:pt>
                <c:pt idx="37">
                  <c:v>-37.837506270917423</c:v>
                </c:pt>
                <c:pt idx="38">
                  <c:v>-38.747417575858726</c:v>
                </c:pt>
                <c:pt idx="39">
                  <c:v>-39.699298175072613</c:v>
                </c:pt>
                <c:pt idx="40">
                  <c:v>-40.698664325135255</c:v>
                </c:pt>
                <c:pt idx="41">
                  <c:v>-41.86091077358423</c:v>
                </c:pt>
                <c:pt idx="42">
                  <c:v>-43.010273244302837</c:v>
                </c:pt>
                <c:pt idx="43">
                  <c:v>-44.038796713818073</c:v>
                </c:pt>
                <c:pt idx="44">
                  <c:v>-45.213393480869634</c:v>
                </c:pt>
                <c:pt idx="45">
                  <c:v>-46.457763160127548</c:v>
                </c:pt>
                <c:pt idx="46">
                  <c:v>-47.756380630268495</c:v>
                </c:pt>
                <c:pt idx="47">
                  <c:v>-49.166912050388888</c:v>
                </c:pt>
                <c:pt idx="48">
                  <c:v>-50.535674092395347</c:v>
                </c:pt>
                <c:pt idx="49">
                  <c:v>-52.299263002786077</c:v>
                </c:pt>
                <c:pt idx="50">
                  <c:v>-54.202737584785275</c:v>
                </c:pt>
                <c:pt idx="51">
                  <c:v>-56.081921861247764</c:v>
                </c:pt>
                <c:pt idx="52">
                  <c:v>-58.178036266265046</c:v>
                </c:pt>
                <c:pt idx="53">
                  <c:v>-60.68477597622396</c:v>
                </c:pt>
                <c:pt idx="54">
                  <c:v>-63.257798609486635</c:v>
                </c:pt>
                <c:pt idx="55">
                  <c:v>-65.852973995932444</c:v>
                </c:pt>
                <c:pt idx="56">
                  <c:v>-68.912813991058485</c:v>
                </c:pt>
                <c:pt idx="57">
                  <c:v>-71.924361616084994</c:v>
                </c:pt>
                <c:pt idx="58">
                  <c:v>-75.011727840868602</c:v>
                </c:pt>
                <c:pt idx="59">
                  <c:v>-78.194172716146028</c:v>
                </c:pt>
                <c:pt idx="60">
                  <c:v>-80.776703738862196</c:v>
                </c:pt>
                <c:pt idx="61">
                  <c:v>-83.451522948260916</c:v>
                </c:pt>
                <c:pt idx="62">
                  <c:v>-86.808800915813109</c:v>
                </c:pt>
                <c:pt idx="63">
                  <c:v>-90.337924793571815</c:v>
                </c:pt>
                <c:pt idx="64">
                  <c:v>-94.241292284478561</c:v>
                </c:pt>
                <c:pt idx="65">
                  <c:v>-98.142682680688097</c:v>
                </c:pt>
                <c:pt idx="66">
                  <c:v>-101.87557716918728</c:v>
                </c:pt>
                <c:pt idx="67">
                  <c:v>-105.8016417618927</c:v>
                </c:pt>
                <c:pt idx="68">
                  <c:v>-110.5969423640563</c:v>
                </c:pt>
                <c:pt idx="69">
                  <c:v>-115.34790611708117</c:v>
                </c:pt>
                <c:pt idx="70">
                  <c:v>-119.85821135296686</c:v>
                </c:pt>
                <c:pt idx="71">
                  <c:v>-124.78000126974584</c:v>
                </c:pt>
                <c:pt idx="72">
                  <c:v>-129.39536811490458</c:v>
                </c:pt>
                <c:pt idx="73">
                  <c:v>-134.18102849011069</c:v>
                </c:pt>
                <c:pt idx="74">
                  <c:v>-139.36972125798334</c:v>
                </c:pt>
                <c:pt idx="75">
                  <c:v>-144.25053299578758</c:v>
                </c:pt>
                <c:pt idx="76">
                  <c:v>-148.77400086163729</c:v>
                </c:pt>
                <c:pt idx="77">
                  <c:v>-152.90834450183232</c:v>
                </c:pt>
                <c:pt idx="78">
                  <c:v>-157.28957967691693</c:v>
                </c:pt>
                <c:pt idx="79">
                  <c:v>-161.60703983549101</c:v>
                </c:pt>
                <c:pt idx="80">
                  <c:v>-165.84483502220155</c:v>
                </c:pt>
                <c:pt idx="81">
                  <c:v>-169.07645970601527</c:v>
                </c:pt>
                <c:pt idx="82">
                  <c:v>-172.72342071570537</c:v>
                </c:pt>
                <c:pt idx="83">
                  <c:v>-176.54709202836824</c:v>
                </c:pt>
                <c:pt idx="84">
                  <c:v>-180.22195866375586</c:v>
                </c:pt>
                <c:pt idx="85">
                  <c:v>-184.18510127392705</c:v>
                </c:pt>
                <c:pt idx="86">
                  <c:v>-187.70529017045408</c:v>
                </c:pt>
                <c:pt idx="87">
                  <c:v>-191.00759133390611</c:v>
                </c:pt>
                <c:pt idx="88">
                  <c:v>-194.66351506812609</c:v>
                </c:pt>
                <c:pt idx="89">
                  <c:v>-197.49467956329352</c:v>
                </c:pt>
                <c:pt idx="90">
                  <c:v>-200.35207133339739</c:v>
                </c:pt>
                <c:pt idx="91">
                  <c:v>-203.38649801763626</c:v>
                </c:pt>
                <c:pt idx="92">
                  <c:v>-206.39727647831469</c:v>
                </c:pt>
                <c:pt idx="93">
                  <c:v>-209.31300129648372</c:v>
                </c:pt>
                <c:pt idx="94">
                  <c:v>-212.91433130972746</c:v>
                </c:pt>
                <c:pt idx="95">
                  <c:v>-216.29697045853675</c:v>
                </c:pt>
                <c:pt idx="96">
                  <c:v>-219.54912537853716</c:v>
                </c:pt>
                <c:pt idx="97">
                  <c:v>-222.69035206127083</c:v>
                </c:pt>
                <c:pt idx="98">
                  <c:v>-225.22053753663243</c:v>
                </c:pt>
                <c:pt idx="99">
                  <c:v>-227.6518157801267</c:v>
                </c:pt>
                <c:pt idx="100">
                  <c:v>-230.93969528160136</c:v>
                </c:pt>
                <c:pt idx="101">
                  <c:v>-234.16505489510965</c:v>
                </c:pt>
                <c:pt idx="102">
                  <c:v>-237.89043946118269</c:v>
                </c:pt>
                <c:pt idx="103">
                  <c:v>-240.72857296386229</c:v>
                </c:pt>
                <c:pt idx="104">
                  <c:v>-243.29553930193075</c:v>
                </c:pt>
                <c:pt idx="105">
                  <c:v>-245.17173014341785</c:v>
                </c:pt>
                <c:pt idx="106">
                  <c:v>-247.64054925436335</c:v>
                </c:pt>
                <c:pt idx="107">
                  <c:v>-250.10813147192505</c:v>
                </c:pt>
                <c:pt idx="108">
                  <c:v>-252.56449522996411</c:v>
                </c:pt>
                <c:pt idx="109">
                  <c:v>-255.14265326699876</c:v>
                </c:pt>
                <c:pt idx="110">
                  <c:v>-257.62236137822117</c:v>
                </c:pt>
                <c:pt idx="111">
                  <c:v>-259.73275025957435</c:v>
                </c:pt>
                <c:pt idx="112">
                  <c:v>-261.25722874209947</c:v>
                </c:pt>
                <c:pt idx="113">
                  <c:v>-262.77003695215927</c:v>
                </c:pt>
                <c:pt idx="114">
                  <c:v>-264.88551980729943</c:v>
                </c:pt>
                <c:pt idx="115">
                  <c:v>-266.54020063762908</c:v>
                </c:pt>
                <c:pt idx="116">
                  <c:v>-267.97380299316995</c:v>
                </c:pt>
                <c:pt idx="117">
                  <c:v>-269.20574915633034</c:v>
                </c:pt>
                <c:pt idx="118">
                  <c:v>-270.43572506130204</c:v>
                </c:pt>
                <c:pt idx="119">
                  <c:v>-271.57524795096731</c:v>
                </c:pt>
                <c:pt idx="120">
                  <c:v>-272.60640849131386</c:v>
                </c:pt>
                <c:pt idx="121">
                  <c:v>-273.72993996917717</c:v>
                </c:pt>
                <c:pt idx="122">
                  <c:v>-274.57857960286503</c:v>
                </c:pt>
                <c:pt idx="123">
                  <c:v>-275.6446080842004</c:v>
                </c:pt>
                <c:pt idx="124">
                  <c:v>-276.58727158644655</c:v>
                </c:pt>
                <c:pt idx="125">
                  <c:v>-277.80574008435866</c:v>
                </c:pt>
                <c:pt idx="126">
                  <c:v>-278.87719019157009</c:v>
                </c:pt>
                <c:pt idx="127">
                  <c:v>-280.10472200368525</c:v>
                </c:pt>
                <c:pt idx="128">
                  <c:v>-280.88776778364536</c:v>
                </c:pt>
                <c:pt idx="129">
                  <c:v>-281.51489258773415</c:v>
                </c:pt>
                <c:pt idx="130">
                  <c:v>-282.14799442631301</c:v>
                </c:pt>
                <c:pt idx="131">
                  <c:v>-282.6882793769575</c:v>
                </c:pt>
                <c:pt idx="132">
                  <c:v>-283.32099492237353</c:v>
                </c:pt>
                <c:pt idx="133">
                  <c:v>-283.8399985189622</c:v>
                </c:pt>
                <c:pt idx="134">
                  <c:v>-284.28556005213505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0.59188330563513791</c:v>
                </c:pt>
                <c:pt idx="1">
                  <c:v>1.1840887540414942</c:v>
                </c:pt>
                <c:pt idx="2">
                  <c:v>1.7739568790317037</c:v>
                </c:pt>
                <c:pt idx="3">
                  <c:v>2.4047058130647265</c:v>
                </c:pt>
                <c:pt idx="4">
                  <c:v>3.0212735094921799</c:v>
                </c:pt>
                <c:pt idx="5">
                  <c:v>3.6746786150203441</c:v>
                </c:pt>
                <c:pt idx="6">
                  <c:v>4.3312975658598383</c:v>
                </c:pt>
                <c:pt idx="7">
                  <c:v>4.9616842962000138</c:v>
                </c:pt>
                <c:pt idx="8">
                  <c:v>5.6208898386159749</c:v>
                </c:pt>
                <c:pt idx="9">
                  <c:v>6.2886589244871676</c:v>
                </c:pt>
                <c:pt idx="10">
                  <c:v>6.9640738079795383</c:v>
                </c:pt>
                <c:pt idx="11">
                  <c:v>7.5825898215056631</c:v>
                </c:pt>
                <c:pt idx="12">
                  <c:v>8.2131137933752019</c:v>
                </c:pt>
                <c:pt idx="13">
                  <c:v>8.8877326514227608</c:v>
                </c:pt>
                <c:pt idx="14">
                  <c:v>9.619658024584556</c:v>
                </c:pt>
                <c:pt idx="15">
                  <c:v>10.261712385510231</c:v>
                </c:pt>
                <c:pt idx="16">
                  <c:v>10.894273720659172</c:v>
                </c:pt>
                <c:pt idx="17">
                  <c:v>11.542937864964793</c:v>
                </c:pt>
                <c:pt idx="18">
                  <c:v>12.192525139383699</c:v>
                </c:pt>
                <c:pt idx="19">
                  <c:v>12.85210867546216</c:v>
                </c:pt>
                <c:pt idx="20">
                  <c:v>13.527089946189166</c:v>
                </c:pt>
                <c:pt idx="21">
                  <c:v>14.219120094058537</c:v>
                </c:pt>
                <c:pt idx="22">
                  <c:v>14.91490966858998</c:v>
                </c:pt>
                <c:pt idx="23">
                  <c:v>15.667153136483574</c:v>
                </c:pt>
                <c:pt idx="24">
                  <c:v>16.461498430656995</c:v>
                </c:pt>
                <c:pt idx="25">
                  <c:v>17.274802681583363</c:v>
                </c:pt>
                <c:pt idx="26">
                  <c:v>18.003355947855063</c:v>
                </c:pt>
                <c:pt idx="27">
                  <c:v>18.766686576877138</c:v>
                </c:pt>
                <c:pt idx="28">
                  <c:v>19.549831421619736</c:v>
                </c:pt>
                <c:pt idx="29">
                  <c:v>20.304577009928373</c:v>
                </c:pt>
                <c:pt idx="30">
                  <c:v>21.037650399103018</c:v>
                </c:pt>
                <c:pt idx="31">
                  <c:v>21.72045653397095</c:v>
                </c:pt>
                <c:pt idx="32">
                  <c:v>22.497017145533118</c:v>
                </c:pt>
                <c:pt idx="33">
                  <c:v>23.314217185250456</c:v>
                </c:pt>
                <c:pt idx="34">
                  <c:v>24.082890297408177</c:v>
                </c:pt>
                <c:pt idx="35">
                  <c:v>24.806484947812443</c:v>
                </c:pt>
                <c:pt idx="36">
                  <c:v>25.461346962196238</c:v>
                </c:pt>
                <c:pt idx="37">
                  <c:v>26.195459981987206</c:v>
                </c:pt>
                <c:pt idx="38">
                  <c:v>27.001557851107616</c:v>
                </c:pt>
                <c:pt idx="39">
                  <c:v>27.85707057181359</c:v>
                </c:pt>
                <c:pt idx="40">
                  <c:v>28.689773880976361</c:v>
                </c:pt>
                <c:pt idx="41">
                  <c:v>29.61978268323297</c:v>
                </c:pt>
                <c:pt idx="42">
                  <c:v>30.561020996015507</c:v>
                </c:pt>
                <c:pt idx="43">
                  <c:v>31.457027881287903</c:v>
                </c:pt>
                <c:pt idx="44">
                  <c:v>32.35597577003287</c:v>
                </c:pt>
                <c:pt idx="45">
                  <c:v>33.315148566225822</c:v>
                </c:pt>
                <c:pt idx="46">
                  <c:v>34.251425405528821</c:v>
                </c:pt>
                <c:pt idx="47">
                  <c:v>35.190952361995031</c:v>
                </c:pt>
                <c:pt idx="48">
                  <c:v>36.072249309399339</c:v>
                </c:pt>
                <c:pt idx="49">
                  <c:v>37.062197814089629</c:v>
                </c:pt>
                <c:pt idx="50">
                  <c:v>38.051306740178958</c:v>
                </c:pt>
                <c:pt idx="51">
                  <c:v>38.984340367001479</c:v>
                </c:pt>
                <c:pt idx="52">
                  <c:v>39.942689615126625</c:v>
                </c:pt>
                <c:pt idx="53">
                  <c:v>40.977757553173412</c:v>
                </c:pt>
                <c:pt idx="54">
                  <c:v>41.978660079136588</c:v>
                </c:pt>
                <c:pt idx="55">
                  <c:v>42.93948126932861</c:v>
                </c:pt>
                <c:pt idx="56">
                  <c:v>43.97282439937868</c:v>
                </c:pt>
                <c:pt idx="57">
                  <c:v>44.947726846283174</c:v>
                </c:pt>
                <c:pt idx="58">
                  <c:v>45.900323367861255</c:v>
                </c:pt>
                <c:pt idx="59">
                  <c:v>46.837412089043184</c:v>
                </c:pt>
                <c:pt idx="60">
                  <c:v>47.637480684179636</c:v>
                </c:pt>
                <c:pt idx="61">
                  <c:v>48.434937959876976</c:v>
                </c:pt>
                <c:pt idx="62">
                  <c:v>49.327224756142719</c:v>
                </c:pt>
                <c:pt idx="63">
                  <c:v>50.22345688249878</c:v>
                </c:pt>
                <c:pt idx="64">
                  <c:v>51.155680784763376</c:v>
                </c:pt>
                <c:pt idx="65">
                  <c:v>52.062221032599325</c:v>
                </c:pt>
                <c:pt idx="66">
                  <c:v>52.922560421884292</c:v>
                </c:pt>
                <c:pt idx="67">
                  <c:v>53.79217575970592</c:v>
                </c:pt>
                <c:pt idx="68">
                  <c:v>54.766246432731798</c:v>
                </c:pt>
                <c:pt idx="69">
                  <c:v>55.710661516678719</c:v>
                </c:pt>
                <c:pt idx="70">
                  <c:v>56.60373652024937</c:v>
                </c:pt>
                <c:pt idx="71">
                  <c:v>57.534342267396433</c:v>
                </c:pt>
                <c:pt idx="72">
                  <c:v>58.410955005832569</c:v>
                </c:pt>
                <c:pt idx="73">
                  <c:v>59.29616724825263</c:v>
                </c:pt>
                <c:pt idx="74">
                  <c:v>60.218708089427039</c:v>
                </c:pt>
                <c:pt idx="75">
                  <c:v>61.093762852424106</c:v>
                </c:pt>
                <c:pt idx="76">
                  <c:v>61.920616383348097</c:v>
                </c:pt>
                <c:pt idx="77">
                  <c:v>62.700231754074295</c:v>
                </c:pt>
                <c:pt idx="78">
                  <c:v>63.501773982356752</c:v>
                </c:pt>
                <c:pt idx="79">
                  <c:v>64.293036330758341</c:v>
                </c:pt>
                <c:pt idx="80">
                  <c:v>65.073376471033285</c:v>
                </c:pt>
                <c:pt idx="81">
                  <c:v>65.753665093284212</c:v>
                </c:pt>
                <c:pt idx="82">
                  <c:v>66.472522510862888</c:v>
                </c:pt>
                <c:pt idx="83">
                  <c:v>67.208023871650198</c:v>
                </c:pt>
                <c:pt idx="84">
                  <c:v>67.928948635025122</c:v>
                </c:pt>
                <c:pt idx="85">
                  <c:v>68.67850395884426</c:v>
                </c:pt>
                <c:pt idx="86">
                  <c:v>69.385717224292762</c:v>
                </c:pt>
                <c:pt idx="87">
                  <c:v>70.073344053868567</c:v>
                </c:pt>
                <c:pt idx="88">
                  <c:v>70.796339916005536</c:v>
                </c:pt>
                <c:pt idx="89">
                  <c:v>71.443257598488387</c:v>
                </c:pt>
                <c:pt idx="90">
                  <c:v>72.094045804189193</c:v>
                </c:pt>
                <c:pt idx="91">
                  <c:v>72.763091845005519</c:v>
                </c:pt>
                <c:pt idx="92">
                  <c:v>73.432137885821845</c:v>
                </c:pt>
                <c:pt idx="93">
                  <c:v>74.094626276345736</c:v>
                </c:pt>
                <c:pt idx="94">
                  <c:v>74.828033985461886</c:v>
                </c:pt>
                <c:pt idx="95">
                  <c:v>75.543454162043659</c:v>
                </c:pt>
                <c:pt idx="96">
                  <c:v>76.249986221998924</c:v>
                </c:pt>
                <c:pt idx="97">
                  <c:v>76.949729078006115</c:v>
                </c:pt>
                <c:pt idx="98">
                  <c:v>77.592149783134076</c:v>
                </c:pt>
                <c:pt idx="99">
                  <c:v>78.228180996844941</c:v>
                </c:pt>
                <c:pt idx="100">
                  <c:v>78.958107647838361</c:v>
                </c:pt>
                <c:pt idx="101">
                  <c:v>79.688034298831781</c:v>
                </c:pt>
                <c:pt idx="102">
                  <c:v>80.485160708267372</c:v>
                </c:pt>
                <c:pt idx="103">
                  <c:v>81.186935964806423</c:v>
                </c:pt>
                <c:pt idx="104">
                  <c:v>81.864568545630135</c:v>
                </c:pt>
                <c:pt idx="105">
                  <c:v>82.471732850757022</c:v>
                </c:pt>
                <c:pt idx="106">
                  <c:v>83.149365431580733</c:v>
                </c:pt>
                <c:pt idx="107">
                  <c:v>83.833650510209836</c:v>
                </c:pt>
                <c:pt idx="108">
                  <c:v>84.52395818915484</c:v>
                </c:pt>
                <c:pt idx="109">
                  <c:v>85.238006385235408</c:v>
                </c:pt>
                <c:pt idx="110">
                  <c:v>85.948631915380815</c:v>
                </c:pt>
                <c:pt idx="111">
                  <c:v>86.61965328089201</c:v>
                </c:pt>
                <c:pt idx="112">
                  <c:v>87.223115651579647</c:v>
                </c:pt>
                <c:pt idx="113">
                  <c:v>87.829661955970366</c:v>
                </c:pt>
                <c:pt idx="114">
                  <c:v>88.522657109880086</c:v>
                </c:pt>
                <c:pt idx="115">
                  <c:v>89.159962953069282</c:v>
                </c:pt>
                <c:pt idx="116">
                  <c:v>89.77332954478149</c:v>
                </c:pt>
                <c:pt idx="117">
                  <c:v>90.364557178062753</c:v>
                </c:pt>
                <c:pt idx="118">
                  <c:v>90.960048609299633</c:v>
                </c:pt>
                <c:pt idx="119">
                  <c:v>91.547637269169726</c:v>
                </c:pt>
                <c:pt idx="120">
                  <c:v>92.124395842604173</c:v>
                </c:pt>
                <c:pt idx="121">
                  <c:v>92.71866703022593</c:v>
                </c:pt>
                <c:pt idx="122">
                  <c:v>93.277663852256708</c:v>
                </c:pt>
                <c:pt idx="123">
                  <c:v>93.872544960044166</c:v>
                </c:pt>
                <c:pt idx="124">
                  <c:v>94.453499773996967</c:v>
                </c:pt>
                <c:pt idx="125">
                  <c:v>95.083815357825017</c:v>
                </c:pt>
                <c:pt idx="126">
                  <c:v>95.696559896880274</c:v>
                </c:pt>
                <c:pt idx="127">
                  <c:v>96.343477579363125</c:v>
                </c:pt>
                <c:pt idx="128">
                  <c:v>96.920236152797571</c:v>
                </c:pt>
                <c:pt idx="129">
                  <c:v>97.475140240715135</c:v>
                </c:pt>
                <c:pt idx="130">
                  <c:v>98.03472333194037</c:v>
                </c:pt>
                <c:pt idx="131">
                  <c:v>98.582078319888836</c:v>
                </c:pt>
                <c:pt idx="132">
                  <c:v>99.149319202419107</c:v>
                </c:pt>
                <c:pt idx="133">
                  <c:v>99.700150048444016</c:v>
                </c:pt>
                <c:pt idx="134">
                  <c:v>100.24116970720067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-4.2623739739298205</c:v>
                </c:pt>
                <c:pt idx="2">
                  <c:v>-8.2796046155022456</c:v>
                </c:pt>
                <c:pt idx="3">
                  <c:v>-12.242454481226348</c:v>
                </c:pt>
                <c:pt idx="4">
                  <c:v>-16.399198322186106</c:v>
                </c:pt>
                <c:pt idx="5">
                  <c:v>-20.312363865469145</c:v>
                </c:pt>
                <c:pt idx="6">
                  <c:v>-24.307512747765461</c:v>
                </c:pt>
                <c:pt idx="7">
                  <c:v>-28.089739429637262</c:v>
                </c:pt>
                <c:pt idx="8">
                  <c:v>-31.582256040424664</c:v>
                </c:pt>
                <c:pt idx="9">
                  <c:v>-34.99893813172045</c:v>
                </c:pt>
                <c:pt idx="10">
                  <c:v>-38.136348385763554</c:v>
                </c:pt>
                <c:pt idx="11">
                  <c:v>-41.116350405276435</c:v>
                </c:pt>
                <c:pt idx="12">
                  <c:v>-43.724107794854781</c:v>
                </c:pt>
                <c:pt idx="13">
                  <c:v>-46.269864558900863</c:v>
                </c:pt>
                <c:pt idx="14">
                  <c:v>-48.856865352139202</c:v>
                </c:pt>
                <c:pt idx="15">
                  <c:v>-51.411011151173717</c:v>
                </c:pt>
                <c:pt idx="16">
                  <c:v>-53.537847844502394</c:v>
                </c:pt>
                <c:pt idx="17">
                  <c:v>-55.438014156347535</c:v>
                </c:pt>
                <c:pt idx="18">
                  <c:v>-57.282222227251594</c:v>
                </c:pt>
                <c:pt idx="19">
                  <c:v>-59.052162419792211</c:v>
                </c:pt>
                <c:pt idx="20">
                  <c:v>-60.734722087134706</c:v>
                </c:pt>
                <c:pt idx="21">
                  <c:v>-62.323763268210996</c:v>
                </c:pt>
                <c:pt idx="22">
                  <c:v>-63.81286469382146</c:v>
                </c:pt>
                <c:pt idx="23">
                  <c:v>-65.143466560665772</c:v>
                </c:pt>
                <c:pt idx="24">
                  <c:v>-66.433187332291766</c:v>
                </c:pt>
                <c:pt idx="25">
                  <c:v>-67.636734653309716</c:v>
                </c:pt>
                <c:pt idx="26">
                  <c:v>-68.765495729500373</c:v>
                </c:pt>
                <c:pt idx="27">
                  <c:v>-69.714188118866247</c:v>
                </c:pt>
                <c:pt idx="28">
                  <c:v>-70.614010010339513</c:v>
                </c:pt>
                <c:pt idx="29">
                  <c:v>-71.452514614441085</c:v>
                </c:pt>
                <c:pt idx="30">
                  <c:v>-72.192731767483281</c:v>
                </c:pt>
                <c:pt idx="31">
                  <c:v>-72.857990413508617</c:v>
                </c:pt>
                <c:pt idx="32">
                  <c:v>-73.442640001596601</c:v>
                </c:pt>
                <c:pt idx="33">
                  <c:v>-74.011016512464195</c:v>
                </c:pt>
                <c:pt idx="34">
                  <c:v>-74.51491171523395</c:v>
                </c:pt>
                <c:pt idx="35">
                  <c:v>-74.93346481519734</c:v>
                </c:pt>
                <c:pt idx="36">
                  <c:v>-75.29800569772074</c:v>
                </c:pt>
                <c:pt idx="37">
                  <c:v>-75.604891342167932</c:v>
                </c:pt>
                <c:pt idx="38">
                  <c:v>-75.89288908533473</c:v>
                </c:pt>
                <c:pt idx="39">
                  <c:v>-76.158586736613302</c:v>
                </c:pt>
                <c:pt idx="40">
                  <c:v>-76.394339810976149</c:v>
                </c:pt>
                <c:pt idx="41">
                  <c:v>-76.595614986643227</c:v>
                </c:pt>
                <c:pt idx="42">
                  <c:v>-76.778429442752298</c:v>
                </c:pt>
                <c:pt idx="43">
                  <c:v>-76.926055702425913</c:v>
                </c:pt>
                <c:pt idx="44">
                  <c:v>-77.038050863147447</c:v>
                </c:pt>
                <c:pt idx="45">
                  <c:v>-77.129669582820824</c:v>
                </c:pt>
                <c:pt idx="46">
                  <c:v>-77.200181748226143</c:v>
                </c:pt>
                <c:pt idx="47">
                  <c:v>-77.248922274641387</c:v>
                </c:pt>
                <c:pt idx="48">
                  <c:v>-77.278501999166707</c:v>
                </c:pt>
                <c:pt idx="49">
                  <c:v>-77.289583304640189</c:v>
                </c:pt>
                <c:pt idx="50">
                  <c:v>-77.283590938851518</c:v>
                </c:pt>
                <c:pt idx="51">
                  <c:v>-77.259603033531192</c:v>
                </c:pt>
                <c:pt idx="52">
                  <c:v>-77.220833605423607</c:v>
                </c:pt>
                <c:pt idx="53">
                  <c:v>-77.166048179166381</c:v>
                </c:pt>
                <c:pt idx="54">
                  <c:v>-77.091741701162533</c:v>
                </c:pt>
                <c:pt idx="55">
                  <c:v>-77.004560583089471</c:v>
                </c:pt>
                <c:pt idx="56">
                  <c:v>-76.907038421832084</c:v>
                </c:pt>
                <c:pt idx="57">
                  <c:v>-76.790146613784188</c:v>
                </c:pt>
                <c:pt idx="58">
                  <c:v>-76.666627943807285</c:v>
                </c:pt>
                <c:pt idx="59">
                  <c:v>-76.53460116122227</c:v>
                </c:pt>
                <c:pt idx="60">
                  <c:v>-76.394422199602388</c:v>
                </c:pt>
                <c:pt idx="61">
                  <c:v>-76.262707907730956</c:v>
                </c:pt>
                <c:pt idx="62">
                  <c:v>-76.124437071010348</c:v>
                </c:pt>
                <c:pt idx="63">
                  <c:v>-75.966412337891086</c:v>
                </c:pt>
                <c:pt idx="64">
                  <c:v>-75.800581015095901</c:v>
                </c:pt>
                <c:pt idx="65">
                  <c:v>-75.622338288447025</c:v>
                </c:pt>
                <c:pt idx="66">
                  <c:v>-75.441411302278652</c:v>
                </c:pt>
                <c:pt idx="67">
                  <c:v>-75.261985676982533</c:v>
                </c:pt>
                <c:pt idx="68">
                  <c:v>-75.075719948244227</c:v>
                </c:pt>
                <c:pt idx="69">
                  <c:v>-74.866149633105266</c:v>
                </c:pt>
                <c:pt idx="70">
                  <c:v>-74.656364942072187</c:v>
                </c:pt>
                <c:pt idx="71">
                  <c:v>-74.451068360745737</c:v>
                </c:pt>
                <c:pt idx="72">
                  <c:v>-74.234580152525609</c:v>
                </c:pt>
                <c:pt idx="73">
                  <c:v>-74.024205210417307</c:v>
                </c:pt>
                <c:pt idx="74">
                  <c:v>-73.808703626317282</c:v>
                </c:pt>
                <c:pt idx="75">
                  <c:v>-73.582650515753215</c:v>
                </c:pt>
                <c:pt idx="76">
                  <c:v>-73.362810803738498</c:v>
                </c:pt>
                <c:pt idx="77">
                  <c:v>-73.149847254360452</c:v>
                </c:pt>
                <c:pt idx="78">
                  <c:v>-72.944013639170464</c:v>
                </c:pt>
                <c:pt idx="79">
                  <c:v>-72.731908288390201</c:v>
                </c:pt>
                <c:pt idx="80">
                  <c:v>-72.520085536855674</c:v>
                </c:pt>
                <c:pt idx="81">
                  <c:v>-72.308886329959762</c:v>
                </c:pt>
                <c:pt idx="82">
                  <c:v>-72.116534388691065</c:v>
                </c:pt>
                <c:pt idx="83">
                  <c:v>-71.915327070401304</c:v>
                </c:pt>
                <c:pt idx="84">
                  <c:v>-71.709711434226762</c:v>
                </c:pt>
                <c:pt idx="85">
                  <c:v>-71.506163903546309</c:v>
                </c:pt>
                <c:pt idx="86">
                  <c:v>-71.295929759147512</c:v>
                </c:pt>
                <c:pt idx="87">
                  <c:v>-71.093725431160763</c:v>
                </c:pt>
                <c:pt idx="88">
                  <c:v>-70.895000376453112</c:v>
                </c:pt>
                <c:pt idx="89">
                  <c:v>-70.688507599360037</c:v>
                </c:pt>
                <c:pt idx="90">
                  <c:v>-70.497355358253941</c:v>
                </c:pt>
                <c:pt idx="91">
                  <c:v>-70.305144170567075</c:v>
                </c:pt>
                <c:pt idx="92">
                  <c:v>-70.108967755255136</c:v>
                </c:pt>
                <c:pt idx="93">
                  <c:v>-69.91266184958036</c:v>
                </c:pt>
                <c:pt idx="94">
                  <c:v>-69.71765138569998</c:v>
                </c:pt>
                <c:pt idx="95">
                  <c:v>-69.507925239143788</c:v>
                </c:pt>
                <c:pt idx="96">
                  <c:v>-69.302024078015904</c:v>
                </c:pt>
                <c:pt idx="97">
                  <c:v>-69.098116453100189</c:v>
                </c:pt>
                <c:pt idx="98">
                  <c:v>-68.895826133380112</c:v>
                </c:pt>
                <c:pt idx="99">
                  <c:v>-68.705619222989299</c:v>
                </c:pt>
                <c:pt idx="100">
                  <c:v>-68.517010684165513</c:v>
                </c:pt>
                <c:pt idx="101">
                  <c:v>-68.309421714302502</c:v>
                </c:pt>
                <c:pt idx="102">
                  <c:v>-68.102292444469029</c:v>
                </c:pt>
                <c:pt idx="103">
                  <c:v>-67.881788815809344</c:v>
                </c:pt>
                <c:pt idx="104">
                  <c:v>-67.68154943618967</c:v>
                </c:pt>
                <c:pt idx="105">
                  <c:v>-67.486811668823719</c:v>
                </c:pt>
                <c:pt idx="106">
                  <c:v>-67.306906237654218</c:v>
                </c:pt>
                <c:pt idx="107">
                  <c:v>-67.113363455739233</c:v>
                </c:pt>
                <c:pt idx="108">
                  <c:v>-66.919158562440856</c:v>
                </c:pt>
                <c:pt idx="109">
                  <c:v>-66.724468800609188</c:v>
                </c:pt>
                <c:pt idx="110">
                  <c:v>-66.52579566898973</c:v>
                </c:pt>
                <c:pt idx="111">
                  <c:v>-66.328649414075528</c:v>
                </c:pt>
                <c:pt idx="112">
                  <c:v>-66.140223665057476</c:v>
                </c:pt>
                <c:pt idx="113">
                  <c:v>-65.965892401915937</c:v>
                </c:pt>
                <c:pt idx="114">
                  <c:v>-65.791701877483916</c:v>
                </c:pt>
                <c:pt idx="115">
                  <c:v>-65.601442512242244</c:v>
                </c:pt>
                <c:pt idx="116">
                  <c:v>-65.422941064042092</c:v>
                </c:pt>
                <c:pt idx="117">
                  <c:v>-65.249914598735813</c:v>
                </c:pt>
                <c:pt idx="118">
                  <c:v>-65.081964053392298</c:v>
                </c:pt>
                <c:pt idx="119">
                  <c:v>-64.914021101117186</c:v>
                </c:pt>
                <c:pt idx="120">
                  <c:v>-64.748415857422231</c:v>
                </c:pt>
                <c:pt idx="121">
                  <c:v>-64.585690670553774</c:v>
                </c:pt>
                <c:pt idx="122">
                  <c:v>-64.42052228807384</c:v>
                </c:pt>
                <c:pt idx="123">
                  <c:v>-64.262802904601813</c:v>
                </c:pt>
                <c:pt idx="124">
                  <c:v>-64.099264540959382</c:v>
                </c:pt>
                <c:pt idx="125">
                  <c:v>-63.939200243222523</c:v>
                </c:pt>
                <c:pt idx="126">
                  <c:v>-63.770978886226175</c:v>
                </c:pt>
                <c:pt idx="127">
                  <c:v>-63.606970354362325</c:v>
                </c:pt>
                <c:pt idx="128">
                  <c:v>-63.437744496439656</c:v>
                </c:pt>
                <c:pt idx="129">
                  <c:v>-63.282218090970318</c:v>
                </c:pt>
                <c:pt idx="130">
                  <c:v>-63.131516854272263</c:v>
                </c:pt>
                <c:pt idx="131">
                  <c:v>-62.980868182584054</c:v>
                </c:pt>
                <c:pt idx="132">
                  <c:v>-62.833276970456488</c:v>
                </c:pt>
                <c:pt idx="133">
                  <c:v>-62.683078242451714</c:v>
                </c:pt>
                <c:pt idx="134">
                  <c:v>-62.536668775744225</c:v>
                </c:pt>
                <c:pt idx="135">
                  <c:v>-62.392857610107257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112.77913043478263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118.34782608695652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119.98260869565216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119.93043478260869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119.68695652173912</c:v>
                </c:pt>
                <c:pt idx="54">
                  <c:v>120</c:v>
                </c:pt>
                <c:pt idx="55">
                  <c:v>119.75652173913046</c:v>
                </c:pt>
                <c:pt idx="56">
                  <c:v>118.24655801236344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119.82608695652175</c:v>
                </c:pt>
                <c:pt idx="77">
                  <c:v>118.31543024443384</c:v>
                </c:pt>
                <c:pt idx="78">
                  <c:v>119.89990981822945</c:v>
                </c:pt>
                <c:pt idx="79">
                  <c:v>119.86642147495589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117.96521739130435</c:v>
                </c:pt>
                <c:pt idx="107">
                  <c:v>119.73350289114214</c:v>
                </c:pt>
                <c:pt idx="108">
                  <c:v>120</c:v>
                </c:pt>
                <c:pt idx="109">
                  <c:v>118.92173913043477</c:v>
                </c:pt>
                <c:pt idx="110">
                  <c:v>119.37985444276154</c:v>
                </c:pt>
                <c:pt idx="111">
                  <c:v>120</c:v>
                </c:pt>
                <c:pt idx="112">
                  <c:v>119.63478260869563</c:v>
                </c:pt>
                <c:pt idx="113">
                  <c:v>119.49752238028428</c:v>
                </c:pt>
                <c:pt idx="114">
                  <c:v>117.7608130758757</c:v>
                </c:pt>
                <c:pt idx="115">
                  <c:v>120</c:v>
                </c:pt>
                <c:pt idx="116">
                  <c:v>118.81739130434784</c:v>
                </c:pt>
                <c:pt idx="117">
                  <c:v>119.95265749121144</c:v>
                </c:pt>
                <c:pt idx="118">
                  <c:v>120</c:v>
                </c:pt>
                <c:pt idx="119">
                  <c:v>120</c:v>
                </c:pt>
                <c:pt idx="120">
                  <c:v>118.9217391304348</c:v>
                </c:pt>
                <c:pt idx="121">
                  <c:v>117.18622477490251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119.33913043478262</c:v>
                </c:pt>
                <c:pt idx="127">
                  <c:v>120</c:v>
                </c:pt>
                <c:pt idx="128">
                  <c:v>119.13043478260869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119.4086956521739</c:v>
                </c:pt>
                <c:pt idx="135">
                  <c:v>120</c:v>
                </c:pt>
                <c:pt idx="136">
                  <c:v>119.40869565217393</c:v>
                </c:pt>
                <c:pt idx="137">
                  <c:v>120</c:v>
                </c:pt>
                <c:pt idx="138">
                  <c:v>118.95652173913041</c:v>
                </c:pt>
                <c:pt idx="139">
                  <c:v>116.94034620434476</c:v>
                </c:pt>
                <c:pt idx="140">
                  <c:v>114.50916818321927</c:v>
                </c:pt>
                <c:pt idx="141">
                  <c:v>119.76653062844068</c:v>
                </c:pt>
                <c:pt idx="142">
                  <c:v>119.48848998933154</c:v>
                </c:pt>
                <c:pt idx="143">
                  <c:v>120</c:v>
                </c:pt>
                <c:pt idx="144">
                  <c:v>119.79130434782607</c:v>
                </c:pt>
                <c:pt idx="145">
                  <c:v>120</c:v>
                </c:pt>
                <c:pt idx="146">
                  <c:v>120</c:v>
                </c:pt>
                <c:pt idx="147">
                  <c:v>118.08695652173913</c:v>
                </c:pt>
                <c:pt idx="148">
                  <c:v>117.84454489146984</c:v>
                </c:pt>
                <c:pt idx="149">
                  <c:v>115.95015961088124</c:v>
                </c:pt>
                <c:pt idx="150">
                  <c:v>114.23059033788878</c:v>
                </c:pt>
                <c:pt idx="151">
                  <c:v>117.86777053216156</c:v>
                </c:pt>
                <c:pt idx="152">
                  <c:v>117.69476838119461</c:v>
                </c:pt>
                <c:pt idx="153">
                  <c:v>118.40882347841399</c:v>
                </c:pt>
                <c:pt idx="154">
                  <c:v>120</c:v>
                </c:pt>
                <c:pt idx="155">
                  <c:v>118.62608695652173</c:v>
                </c:pt>
                <c:pt idx="156">
                  <c:v>119.91339671609002</c:v>
                </c:pt>
                <c:pt idx="157">
                  <c:v>120</c:v>
                </c:pt>
                <c:pt idx="158">
                  <c:v>120</c:v>
                </c:pt>
                <c:pt idx="159">
                  <c:v>117.72173913043478</c:v>
                </c:pt>
                <c:pt idx="160">
                  <c:v>117.89622477927826</c:v>
                </c:pt>
                <c:pt idx="161">
                  <c:v>119.35750285205455</c:v>
                </c:pt>
                <c:pt idx="162">
                  <c:v>116.0707005105867</c:v>
                </c:pt>
                <c:pt idx="163">
                  <c:v>113.32365934971351</c:v>
                </c:pt>
                <c:pt idx="164">
                  <c:v>110.24643477971313</c:v>
                </c:pt>
                <c:pt idx="165">
                  <c:v>112.68262353672897</c:v>
                </c:pt>
                <c:pt idx="166">
                  <c:v>112.87506709024203</c:v>
                </c:pt>
                <c:pt idx="167">
                  <c:v>109.22400094885876</c:v>
                </c:pt>
                <c:pt idx="168">
                  <c:v>106.35583169777736</c:v>
                </c:pt>
                <c:pt idx="169">
                  <c:v>107.41845065682642</c:v>
                </c:pt>
                <c:pt idx="170">
                  <c:v>111.4196875189507</c:v>
                </c:pt>
                <c:pt idx="171">
                  <c:v>116.72484683115813</c:v>
                </c:pt>
                <c:pt idx="172">
                  <c:v>118.2382083342965</c:v>
                </c:pt>
                <c:pt idx="173">
                  <c:v>113.38620617764792</c:v>
                </c:pt>
                <c:pt idx="174">
                  <c:v>113.8911443781945</c:v>
                </c:pt>
                <c:pt idx="175">
                  <c:v>113.16119831208846</c:v>
                </c:pt>
                <c:pt idx="176">
                  <c:v>109.9965456427729</c:v>
                </c:pt>
                <c:pt idx="177">
                  <c:v>114.36232439143637</c:v>
                </c:pt>
                <c:pt idx="178">
                  <c:v>112.84958222078581</c:v>
                </c:pt>
                <c:pt idx="179">
                  <c:v>108.88479959084606</c:v>
                </c:pt>
                <c:pt idx="180">
                  <c:v>103.96365900363149</c:v>
                </c:pt>
                <c:pt idx="181">
                  <c:v>102.08621804812471</c:v>
                </c:pt>
                <c:pt idx="182">
                  <c:v>101.68697192610885</c:v>
                </c:pt>
                <c:pt idx="183">
                  <c:v>101.54858717807832</c:v>
                </c:pt>
                <c:pt idx="184">
                  <c:v>100.4882698882187</c:v>
                </c:pt>
                <c:pt idx="185">
                  <c:v>102.34971518251059</c:v>
                </c:pt>
                <c:pt idx="186">
                  <c:v>102.66323720592656</c:v>
                </c:pt>
                <c:pt idx="187">
                  <c:v>99.063725885818783</c:v>
                </c:pt>
                <c:pt idx="188">
                  <c:v>95.586003791671757</c:v>
                </c:pt>
                <c:pt idx="189">
                  <c:v>93.290950069655139</c:v>
                </c:pt>
                <c:pt idx="190">
                  <c:v>96.474151462757391</c:v>
                </c:pt>
                <c:pt idx="191">
                  <c:v>100.7702018195054</c:v>
                </c:pt>
                <c:pt idx="192">
                  <c:v>105.65749590301498</c:v>
                </c:pt>
                <c:pt idx="193">
                  <c:v>101.1012264601073</c:v>
                </c:pt>
                <c:pt idx="194">
                  <c:v>99.553674062697397</c:v>
                </c:pt>
                <c:pt idx="195">
                  <c:v>96.423505025771689</c:v>
                </c:pt>
                <c:pt idx="196">
                  <c:v>92.945523282049663</c:v>
                </c:pt>
                <c:pt idx="197">
                  <c:v>86.563263509295865</c:v>
                </c:pt>
                <c:pt idx="198">
                  <c:v>83.937511443576341</c:v>
                </c:pt>
                <c:pt idx="199">
                  <c:v>81.763916235281982</c:v>
                </c:pt>
                <c:pt idx="200">
                  <c:v>86.303349273677128</c:v>
                </c:pt>
                <c:pt idx="201">
                  <c:v>83.329669316515805</c:v>
                </c:pt>
                <c:pt idx="202">
                  <c:v>91.016840582626827</c:v>
                </c:pt>
                <c:pt idx="203">
                  <c:v>84.930096517781408</c:v>
                </c:pt>
                <c:pt idx="204">
                  <c:v>87.469435410418654</c:v>
                </c:pt>
                <c:pt idx="205">
                  <c:v>93.556541674343634</c:v>
                </c:pt>
                <c:pt idx="206">
                  <c:v>88.72188870566346</c:v>
                </c:pt>
                <c:pt idx="207">
                  <c:v>86.826356299797197</c:v>
                </c:pt>
                <c:pt idx="208">
                  <c:v>85.435181409377904</c:v>
                </c:pt>
                <c:pt idx="209">
                  <c:v>81.435287946019045</c:v>
                </c:pt>
                <c:pt idx="210">
                  <c:v>80.983204671748183</c:v>
                </c:pt>
                <c:pt idx="211">
                  <c:v>80.426780760576861</c:v>
                </c:pt>
                <c:pt idx="212">
                  <c:v>85.99207431602656</c:v>
                </c:pt>
                <c:pt idx="213">
                  <c:v>82.635627527598444</c:v>
                </c:pt>
                <c:pt idx="214">
                  <c:v>88.600908168975778</c:v>
                </c:pt>
                <c:pt idx="215">
                  <c:v>86.79225796165052</c:v>
                </c:pt>
                <c:pt idx="216">
                  <c:v>84.827090820908097</c:v>
                </c:pt>
                <c:pt idx="217">
                  <c:v>80.635841090247865</c:v>
                </c:pt>
                <c:pt idx="218">
                  <c:v>76.670674129100576</c:v>
                </c:pt>
                <c:pt idx="219">
                  <c:v>77.88812071652508</c:v>
                </c:pt>
                <c:pt idx="220">
                  <c:v>73.609906007617269</c:v>
                </c:pt>
                <c:pt idx="221">
                  <c:v>74.357775601618684</c:v>
                </c:pt>
                <c:pt idx="222">
                  <c:v>70.375201592986457</c:v>
                </c:pt>
                <c:pt idx="223">
                  <c:v>76.827401389652678</c:v>
                </c:pt>
                <c:pt idx="224">
                  <c:v>77.870907376819815</c:v>
                </c:pt>
                <c:pt idx="225">
                  <c:v>73.018757476917642</c:v>
                </c:pt>
                <c:pt idx="226">
                  <c:v>68.010085642809742</c:v>
                </c:pt>
                <c:pt idx="227">
                  <c:v>63.243823610429828</c:v>
                </c:pt>
                <c:pt idx="228">
                  <c:v>64.182976651963799</c:v>
                </c:pt>
                <c:pt idx="229">
                  <c:v>66.495088014634902</c:v>
                </c:pt>
                <c:pt idx="230">
                  <c:v>60.836859744783915</c:v>
                </c:pt>
                <c:pt idx="231">
                  <c:v>56.92850076112898</c:v>
                </c:pt>
                <c:pt idx="232">
                  <c:v>53.895374233403651</c:v>
                </c:pt>
                <c:pt idx="233">
                  <c:v>55.829323055908603</c:v>
                </c:pt>
                <c:pt idx="234">
                  <c:v>56.646851827748172</c:v>
                </c:pt>
                <c:pt idx="235">
                  <c:v>58.905995977526473</c:v>
                </c:pt>
                <c:pt idx="236">
                  <c:v>52.641193693125395</c:v>
                </c:pt>
                <c:pt idx="237">
                  <c:v>51.536201174243672</c:v>
                </c:pt>
                <c:pt idx="238">
                  <c:v>50.629796814076734</c:v>
                </c:pt>
                <c:pt idx="239">
                  <c:v>56.758783400955139</c:v>
                </c:pt>
                <c:pt idx="240">
                  <c:v>53.881125952654671</c:v>
                </c:pt>
                <c:pt idx="241">
                  <c:v>53.167737831249177</c:v>
                </c:pt>
                <c:pt idx="242">
                  <c:v>48.053092708934784</c:v>
                </c:pt>
                <c:pt idx="243">
                  <c:v>47.612568559063305</c:v>
                </c:pt>
                <c:pt idx="244">
                  <c:v>46.394410813328321</c:v>
                </c:pt>
                <c:pt idx="245">
                  <c:v>41.670666088636537</c:v>
                </c:pt>
                <c:pt idx="246">
                  <c:v>38.546223752107409</c:v>
                </c:pt>
                <c:pt idx="247">
                  <c:v>34.699619638075688</c:v>
                </c:pt>
                <c:pt idx="248">
                  <c:v>32.41633667337603</c:v>
                </c:pt>
                <c:pt idx="249">
                  <c:v>33.923836496887944</c:v>
                </c:pt>
                <c:pt idx="250">
                  <c:v>34.909300009587731</c:v>
                </c:pt>
                <c:pt idx="251">
                  <c:v>35.251137649507683</c:v>
                </c:pt>
                <c:pt idx="252">
                  <c:v>31.53187653862167</c:v>
                </c:pt>
                <c:pt idx="253">
                  <c:v>30.878468988463283</c:v>
                </c:pt>
                <c:pt idx="254">
                  <c:v>34.391799363005866</c:v>
                </c:pt>
                <c:pt idx="255">
                  <c:v>34.583583090471265</c:v>
                </c:pt>
                <c:pt idx="256">
                  <c:v>36.057962273742874</c:v>
                </c:pt>
                <c:pt idx="257">
                  <c:v>35.812763794335602</c:v>
                </c:pt>
                <c:pt idx="258">
                  <c:v>36.313530238456565</c:v>
                </c:pt>
                <c:pt idx="259">
                  <c:v>41.682565122099874</c:v>
                </c:pt>
                <c:pt idx="260">
                  <c:v>39.1154141875029</c:v>
                </c:pt>
                <c:pt idx="261">
                  <c:v>34.947128330496724</c:v>
                </c:pt>
                <c:pt idx="262">
                  <c:v>33.596908377856472</c:v>
                </c:pt>
                <c:pt idx="263">
                  <c:v>37.235065502160978</c:v>
                </c:pt>
                <c:pt idx="264">
                  <c:v>34.664979845751908</c:v>
                </c:pt>
                <c:pt idx="265">
                  <c:v>30.423476527597973</c:v>
                </c:pt>
                <c:pt idx="266">
                  <c:v>28.918015490505478</c:v>
                </c:pt>
                <c:pt idx="267">
                  <c:v>25.15533413142769</c:v>
                </c:pt>
                <c:pt idx="268">
                  <c:v>30.885085786075287</c:v>
                </c:pt>
                <c:pt idx="269">
                  <c:v>36.564706735815541</c:v>
                </c:pt>
                <c:pt idx="270">
                  <c:v>32.806849043853667</c:v>
                </c:pt>
                <c:pt idx="271">
                  <c:v>37.78832221668624</c:v>
                </c:pt>
                <c:pt idx="272">
                  <c:v>37.56639109567687</c:v>
                </c:pt>
                <c:pt idx="273">
                  <c:v>34.28260460671666</c:v>
                </c:pt>
                <c:pt idx="274">
                  <c:v>35.976436532841646</c:v>
                </c:pt>
                <c:pt idx="275">
                  <c:v>37.193952366278893</c:v>
                </c:pt>
                <c:pt idx="276">
                  <c:v>34.533557013129723</c:v>
                </c:pt>
                <c:pt idx="277">
                  <c:v>36.144626931937665</c:v>
                </c:pt>
                <c:pt idx="278">
                  <c:v>42.136807629534744</c:v>
                </c:pt>
                <c:pt idx="279">
                  <c:v>42.063334374333657</c:v>
                </c:pt>
                <c:pt idx="280">
                  <c:v>39.921256493842499</c:v>
                </c:pt>
                <c:pt idx="281">
                  <c:v>38.590753562444654</c:v>
                </c:pt>
                <c:pt idx="282">
                  <c:v>38.513487148678294</c:v>
                </c:pt>
                <c:pt idx="283">
                  <c:v>36.696662646623864</c:v>
                </c:pt>
                <c:pt idx="284">
                  <c:v>39.052551199745352</c:v>
                </c:pt>
                <c:pt idx="285">
                  <c:v>41.308028389004065</c:v>
                </c:pt>
                <c:pt idx="286">
                  <c:v>45.228820498324588</c:v>
                </c:pt>
                <c:pt idx="287">
                  <c:v>44.264281550749473</c:v>
                </c:pt>
                <c:pt idx="288">
                  <c:v>43.679691505431705</c:v>
                </c:pt>
                <c:pt idx="289">
                  <c:v>52.133757708957376</c:v>
                </c:pt>
                <c:pt idx="290">
                  <c:v>50.193064287011083</c:v>
                </c:pt>
                <c:pt idx="291">
                  <c:v>50.104370464890252</c:v>
                </c:pt>
                <c:pt idx="292">
                  <c:v>48.81187757191725</c:v>
                </c:pt>
                <c:pt idx="293">
                  <c:v>47.701329873609161</c:v>
                </c:pt>
                <c:pt idx="294">
                  <c:v>45.762398216983229</c:v>
                </c:pt>
                <c:pt idx="295">
                  <c:v>43.899073235532413</c:v>
                </c:pt>
                <c:pt idx="296">
                  <c:v>45.669384096539545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0.84396173913044947</c:v>
                </c:pt>
                <c:pt idx="3">
                  <c:v>4.6739617391304478</c:v>
                </c:pt>
                <c:pt idx="4">
                  <c:v>8.3539617391304546</c:v>
                </c:pt>
                <c:pt idx="5">
                  <c:v>15.963961739130454</c:v>
                </c:pt>
                <c:pt idx="6">
                  <c:v>19.593961739130464</c:v>
                </c:pt>
                <c:pt idx="7">
                  <c:v>22.00396173913046</c:v>
                </c:pt>
                <c:pt idx="8">
                  <c:v>23.293961739130467</c:v>
                </c:pt>
                <c:pt idx="9">
                  <c:v>24.343961739130464</c:v>
                </c:pt>
                <c:pt idx="10">
                  <c:v>24.343961739130464</c:v>
                </c:pt>
                <c:pt idx="11">
                  <c:v>24.348555942029009</c:v>
                </c:pt>
                <c:pt idx="12">
                  <c:v>26.168555942029016</c:v>
                </c:pt>
                <c:pt idx="13">
                  <c:v>28.01855594202901</c:v>
                </c:pt>
                <c:pt idx="14">
                  <c:v>32.678555942029021</c:v>
                </c:pt>
                <c:pt idx="15">
                  <c:v>34.858555942029028</c:v>
                </c:pt>
                <c:pt idx="16">
                  <c:v>39.978555942029033</c:v>
                </c:pt>
                <c:pt idx="17">
                  <c:v>41.688555942029026</c:v>
                </c:pt>
                <c:pt idx="18">
                  <c:v>43.458555942029022</c:v>
                </c:pt>
                <c:pt idx="19">
                  <c:v>45.598555942029023</c:v>
                </c:pt>
                <c:pt idx="20">
                  <c:v>46.458555942029022</c:v>
                </c:pt>
                <c:pt idx="21">
                  <c:v>50.058555942029031</c:v>
                </c:pt>
                <c:pt idx="22">
                  <c:v>51.388555942029029</c:v>
                </c:pt>
                <c:pt idx="23">
                  <c:v>53.138555942029029</c:v>
                </c:pt>
                <c:pt idx="24">
                  <c:v>53.948555942029031</c:v>
                </c:pt>
                <c:pt idx="25">
                  <c:v>55.438555942029026</c:v>
                </c:pt>
                <c:pt idx="26">
                  <c:v>58.728555942029018</c:v>
                </c:pt>
                <c:pt idx="27">
                  <c:v>63.098555942029023</c:v>
                </c:pt>
                <c:pt idx="28">
                  <c:v>64.548555942029026</c:v>
                </c:pt>
                <c:pt idx="29">
                  <c:v>65.198555942029031</c:v>
                </c:pt>
                <c:pt idx="30">
                  <c:v>65.798555942029026</c:v>
                </c:pt>
                <c:pt idx="31">
                  <c:v>69.868555942029033</c:v>
                </c:pt>
                <c:pt idx="32">
                  <c:v>76.248555942029043</c:v>
                </c:pt>
                <c:pt idx="33">
                  <c:v>76.248555942029043</c:v>
                </c:pt>
                <c:pt idx="34">
                  <c:v>80.808661721383103</c:v>
                </c:pt>
                <c:pt idx="35">
                  <c:v>80.918661721383103</c:v>
                </c:pt>
                <c:pt idx="36">
                  <c:v>82.208661721383095</c:v>
                </c:pt>
                <c:pt idx="37">
                  <c:v>84.038661721383093</c:v>
                </c:pt>
                <c:pt idx="38">
                  <c:v>85.648661721383093</c:v>
                </c:pt>
                <c:pt idx="39">
                  <c:v>90.398661721383093</c:v>
                </c:pt>
                <c:pt idx="40">
                  <c:v>101.55866172138309</c:v>
                </c:pt>
                <c:pt idx="41">
                  <c:v>109.74866172138309</c:v>
                </c:pt>
                <c:pt idx="42">
                  <c:v>110.74866172138309</c:v>
                </c:pt>
                <c:pt idx="43">
                  <c:v>111.80866172138307</c:v>
                </c:pt>
                <c:pt idx="44">
                  <c:v>113.99866172138307</c:v>
                </c:pt>
                <c:pt idx="45">
                  <c:v>116.85866172138307</c:v>
                </c:pt>
                <c:pt idx="46">
                  <c:v>118.98866172138307</c:v>
                </c:pt>
                <c:pt idx="47">
                  <c:v>119.23866172138307</c:v>
                </c:pt>
                <c:pt idx="48">
                  <c:v>121.32866172138307</c:v>
                </c:pt>
                <c:pt idx="49">
                  <c:v>121.32866172138307</c:v>
                </c:pt>
                <c:pt idx="50">
                  <c:v>122.1391617480969</c:v>
                </c:pt>
                <c:pt idx="51">
                  <c:v>123.88916174809688</c:v>
                </c:pt>
                <c:pt idx="52">
                  <c:v>125.20916174809688</c:v>
                </c:pt>
                <c:pt idx="53">
                  <c:v>125.20916174809688</c:v>
                </c:pt>
                <c:pt idx="54">
                  <c:v>127.71127501667947</c:v>
                </c:pt>
                <c:pt idx="55">
                  <c:v>127.71127501667947</c:v>
                </c:pt>
                <c:pt idx="56">
                  <c:v>127.71127501667947</c:v>
                </c:pt>
                <c:pt idx="57">
                  <c:v>128.04415058059215</c:v>
                </c:pt>
                <c:pt idx="58">
                  <c:v>131.80415058059214</c:v>
                </c:pt>
                <c:pt idx="59">
                  <c:v>134.49415058059213</c:v>
                </c:pt>
                <c:pt idx="60">
                  <c:v>137.78415058059215</c:v>
                </c:pt>
                <c:pt idx="61">
                  <c:v>138.99415058059213</c:v>
                </c:pt>
                <c:pt idx="62">
                  <c:v>142.61415058059214</c:v>
                </c:pt>
                <c:pt idx="63">
                  <c:v>143.23415058059214</c:v>
                </c:pt>
                <c:pt idx="64">
                  <c:v>147.43415058059213</c:v>
                </c:pt>
                <c:pt idx="65">
                  <c:v>150.80415058059214</c:v>
                </c:pt>
                <c:pt idx="66">
                  <c:v>151.89415058059211</c:v>
                </c:pt>
                <c:pt idx="67">
                  <c:v>157.17415058059208</c:v>
                </c:pt>
                <c:pt idx="68">
                  <c:v>160.83415058059208</c:v>
                </c:pt>
                <c:pt idx="69">
                  <c:v>160.91415058059209</c:v>
                </c:pt>
                <c:pt idx="70">
                  <c:v>161.10415058059209</c:v>
                </c:pt>
                <c:pt idx="71">
                  <c:v>162.9041505805921</c:v>
                </c:pt>
                <c:pt idx="72">
                  <c:v>165.45415058059211</c:v>
                </c:pt>
                <c:pt idx="73">
                  <c:v>169.05415058059214</c:v>
                </c:pt>
                <c:pt idx="74">
                  <c:v>173.44415058059212</c:v>
                </c:pt>
                <c:pt idx="75">
                  <c:v>174.54415058059212</c:v>
                </c:pt>
                <c:pt idx="76">
                  <c:v>174.54415058059212</c:v>
                </c:pt>
                <c:pt idx="77">
                  <c:v>174.54415058059212</c:v>
                </c:pt>
                <c:pt idx="78">
                  <c:v>174.54415058059212</c:v>
                </c:pt>
                <c:pt idx="79">
                  <c:v>174.54415058059212</c:v>
                </c:pt>
                <c:pt idx="80">
                  <c:v>176.06824925269848</c:v>
                </c:pt>
                <c:pt idx="81">
                  <c:v>176.24824925269849</c:v>
                </c:pt>
                <c:pt idx="82">
                  <c:v>177.7982492526985</c:v>
                </c:pt>
                <c:pt idx="83">
                  <c:v>182.12824925269848</c:v>
                </c:pt>
                <c:pt idx="84">
                  <c:v>185.46824925269848</c:v>
                </c:pt>
                <c:pt idx="85">
                  <c:v>186.15824925269848</c:v>
                </c:pt>
                <c:pt idx="86">
                  <c:v>191.1082492526985</c:v>
                </c:pt>
                <c:pt idx="87">
                  <c:v>192.74824925269849</c:v>
                </c:pt>
                <c:pt idx="88">
                  <c:v>196.1982492526985</c:v>
                </c:pt>
                <c:pt idx="89">
                  <c:v>197.2982492526985</c:v>
                </c:pt>
                <c:pt idx="90">
                  <c:v>199.80824925269849</c:v>
                </c:pt>
                <c:pt idx="91">
                  <c:v>201.88824925269847</c:v>
                </c:pt>
                <c:pt idx="92">
                  <c:v>201.97824925269845</c:v>
                </c:pt>
                <c:pt idx="93">
                  <c:v>205.40824925269845</c:v>
                </c:pt>
                <c:pt idx="94">
                  <c:v>209.15824925269845</c:v>
                </c:pt>
                <c:pt idx="95">
                  <c:v>211.07824925269847</c:v>
                </c:pt>
                <c:pt idx="96">
                  <c:v>216.63824925269847</c:v>
                </c:pt>
                <c:pt idx="97">
                  <c:v>218.67824925269849</c:v>
                </c:pt>
                <c:pt idx="98">
                  <c:v>218.9782492526985</c:v>
                </c:pt>
                <c:pt idx="99">
                  <c:v>224.20824925269849</c:v>
                </c:pt>
                <c:pt idx="100">
                  <c:v>226.11824925269849</c:v>
                </c:pt>
                <c:pt idx="101">
                  <c:v>226.68824925269848</c:v>
                </c:pt>
                <c:pt idx="102">
                  <c:v>228.89824925269849</c:v>
                </c:pt>
                <c:pt idx="103">
                  <c:v>229.56824925269848</c:v>
                </c:pt>
                <c:pt idx="104">
                  <c:v>232.35824925269847</c:v>
                </c:pt>
                <c:pt idx="105">
                  <c:v>232.39824925269846</c:v>
                </c:pt>
                <c:pt idx="106">
                  <c:v>232.39824925269846</c:v>
                </c:pt>
                <c:pt idx="107">
                  <c:v>232.39824925269846</c:v>
                </c:pt>
                <c:pt idx="108">
                  <c:v>233.82587077094749</c:v>
                </c:pt>
                <c:pt idx="109">
                  <c:v>233.82587077094749</c:v>
                </c:pt>
                <c:pt idx="110">
                  <c:v>233.82587077094749</c:v>
                </c:pt>
                <c:pt idx="111">
                  <c:v>234.98099883070711</c:v>
                </c:pt>
                <c:pt idx="112">
                  <c:v>234.98099883070711</c:v>
                </c:pt>
                <c:pt idx="113">
                  <c:v>234.98099883070711</c:v>
                </c:pt>
                <c:pt idx="114">
                  <c:v>234.98099883070711</c:v>
                </c:pt>
                <c:pt idx="115">
                  <c:v>235.32820366198467</c:v>
                </c:pt>
                <c:pt idx="116">
                  <c:v>235.32820366198467</c:v>
                </c:pt>
                <c:pt idx="117">
                  <c:v>235.32820366198467</c:v>
                </c:pt>
                <c:pt idx="118">
                  <c:v>237.00106935265498</c:v>
                </c:pt>
                <c:pt idx="119">
                  <c:v>241.46106935265499</c:v>
                </c:pt>
                <c:pt idx="120">
                  <c:v>241.46106935265499</c:v>
                </c:pt>
                <c:pt idx="121">
                  <c:v>241.46106935265499</c:v>
                </c:pt>
                <c:pt idx="122">
                  <c:v>242.36819156278463</c:v>
                </c:pt>
                <c:pt idx="123">
                  <c:v>244.13819156278464</c:v>
                </c:pt>
                <c:pt idx="124">
                  <c:v>248.89819156278463</c:v>
                </c:pt>
                <c:pt idx="125">
                  <c:v>248.99819156278463</c:v>
                </c:pt>
                <c:pt idx="126">
                  <c:v>248.99819156278463</c:v>
                </c:pt>
                <c:pt idx="127">
                  <c:v>249.38895466005835</c:v>
                </c:pt>
                <c:pt idx="128">
                  <c:v>249.38895466005835</c:v>
                </c:pt>
                <c:pt idx="129">
                  <c:v>249.59995356675006</c:v>
                </c:pt>
                <c:pt idx="130">
                  <c:v>252.15995356675006</c:v>
                </c:pt>
                <c:pt idx="131">
                  <c:v>254.07995356675008</c:v>
                </c:pt>
                <c:pt idx="132">
                  <c:v>260.8699535667501</c:v>
                </c:pt>
                <c:pt idx="133">
                  <c:v>262.62995356675009</c:v>
                </c:pt>
                <c:pt idx="134">
                  <c:v>262.62995356675009</c:v>
                </c:pt>
                <c:pt idx="135">
                  <c:v>263.91050507882619</c:v>
                </c:pt>
                <c:pt idx="136">
                  <c:v>263.91050507882619</c:v>
                </c:pt>
                <c:pt idx="137">
                  <c:v>267.4108517874804</c:v>
                </c:pt>
                <c:pt idx="138">
                  <c:v>267.4108517874804</c:v>
                </c:pt>
                <c:pt idx="139">
                  <c:v>267.4108517874804</c:v>
                </c:pt>
                <c:pt idx="140">
                  <c:v>267.4108517874804</c:v>
                </c:pt>
                <c:pt idx="141">
                  <c:v>267.4108517874804</c:v>
                </c:pt>
                <c:pt idx="142">
                  <c:v>267.4108517874804</c:v>
                </c:pt>
                <c:pt idx="143">
                  <c:v>270.28700456093645</c:v>
                </c:pt>
                <c:pt idx="144">
                  <c:v>270.28700456093645</c:v>
                </c:pt>
                <c:pt idx="145">
                  <c:v>270.32708643189636</c:v>
                </c:pt>
                <c:pt idx="146">
                  <c:v>271.96708643189635</c:v>
                </c:pt>
                <c:pt idx="147">
                  <c:v>271.96708643189635</c:v>
                </c:pt>
                <c:pt idx="148">
                  <c:v>271.96708643189635</c:v>
                </c:pt>
                <c:pt idx="149">
                  <c:v>271.96708643189635</c:v>
                </c:pt>
                <c:pt idx="150">
                  <c:v>271.96708643189635</c:v>
                </c:pt>
                <c:pt idx="151">
                  <c:v>271.96708643189635</c:v>
                </c:pt>
                <c:pt idx="152">
                  <c:v>271.96708643189635</c:v>
                </c:pt>
                <c:pt idx="153">
                  <c:v>271.96708643189635</c:v>
                </c:pt>
                <c:pt idx="154">
                  <c:v>272.13251212587011</c:v>
                </c:pt>
                <c:pt idx="155">
                  <c:v>272.13251212587011</c:v>
                </c:pt>
                <c:pt idx="156">
                  <c:v>272.13251212587011</c:v>
                </c:pt>
                <c:pt idx="157">
                  <c:v>273.49272875935355</c:v>
                </c:pt>
                <c:pt idx="158">
                  <c:v>275.33272875935359</c:v>
                </c:pt>
                <c:pt idx="159">
                  <c:v>275.33272875935359</c:v>
                </c:pt>
                <c:pt idx="160">
                  <c:v>275.33272875935359</c:v>
                </c:pt>
                <c:pt idx="161">
                  <c:v>275.33272875935359</c:v>
                </c:pt>
                <c:pt idx="162">
                  <c:v>275.33272875935359</c:v>
                </c:pt>
                <c:pt idx="163">
                  <c:v>275.33272875935359</c:v>
                </c:pt>
                <c:pt idx="164">
                  <c:v>275.33272875935359</c:v>
                </c:pt>
                <c:pt idx="165">
                  <c:v>275.33272875935359</c:v>
                </c:pt>
                <c:pt idx="166">
                  <c:v>275.33272875935359</c:v>
                </c:pt>
                <c:pt idx="167">
                  <c:v>275.33272875935359</c:v>
                </c:pt>
                <c:pt idx="168">
                  <c:v>275.33272875935359</c:v>
                </c:pt>
                <c:pt idx="169">
                  <c:v>275.33272875935359</c:v>
                </c:pt>
                <c:pt idx="170">
                  <c:v>275.33272875935359</c:v>
                </c:pt>
                <c:pt idx="171">
                  <c:v>275.33272875935359</c:v>
                </c:pt>
                <c:pt idx="172">
                  <c:v>275.33272875935359</c:v>
                </c:pt>
                <c:pt idx="173">
                  <c:v>275.33272875935359</c:v>
                </c:pt>
                <c:pt idx="174">
                  <c:v>275.33272875935359</c:v>
                </c:pt>
                <c:pt idx="175">
                  <c:v>275.33272875935359</c:v>
                </c:pt>
                <c:pt idx="176">
                  <c:v>275.33272875935359</c:v>
                </c:pt>
                <c:pt idx="177">
                  <c:v>275.33272875935359</c:v>
                </c:pt>
                <c:pt idx="178">
                  <c:v>275.33272875935359</c:v>
                </c:pt>
                <c:pt idx="179">
                  <c:v>275.33272875935359</c:v>
                </c:pt>
                <c:pt idx="180">
                  <c:v>275.33272875935359</c:v>
                </c:pt>
                <c:pt idx="181">
                  <c:v>275.33272875935359</c:v>
                </c:pt>
                <c:pt idx="182">
                  <c:v>275.33272875935359</c:v>
                </c:pt>
                <c:pt idx="183">
                  <c:v>275.33272875935359</c:v>
                </c:pt>
                <c:pt idx="184">
                  <c:v>275.33272875935359</c:v>
                </c:pt>
                <c:pt idx="185">
                  <c:v>275.33272875935359</c:v>
                </c:pt>
                <c:pt idx="186">
                  <c:v>275.33272875935359</c:v>
                </c:pt>
                <c:pt idx="187">
                  <c:v>275.33272875935359</c:v>
                </c:pt>
                <c:pt idx="188">
                  <c:v>275.33272875935359</c:v>
                </c:pt>
                <c:pt idx="189">
                  <c:v>275.33272875935359</c:v>
                </c:pt>
                <c:pt idx="190">
                  <c:v>275.33272875935359</c:v>
                </c:pt>
                <c:pt idx="191">
                  <c:v>275.33272875935359</c:v>
                </c:pt>
                <c:pt idx="192">
                  <c:v>275.33272875935359</c:v>
                </c:pt>
                <c:pt idx="193">
                  <c:v>275.33272875935359</c:v>
                </c:pt>
                <c:pt idx="194">
                  <c:v>275.33272875935359</c:v>
                </c:pt>
                <c:pt idx="195">
                  <c:v>275.33272875935359</c:v>
                </c:pt>
                <c:pt idx="196">
                  <c:v>275.33272875935359</c:v>
                </c:pt>
                <c:pt idx="197">
                  <c:v>275.33272875935359</c:v>
                </c:pt>
                <c:pt idx="198">
                  <c:v>275.33272875935359</c:v>
                </c:pt>
                <c:pt idx="199">
                  <c:v>275.33272875935359</c:v>
                </c:pt>
                <c:pt idx="200">
                  <c:v>275.33272875935359</c:v>
                </c:pt>
                <c:pt idx="201">
                  <c:v>275.33272875935359</c:v>
                </c:pt>
                <c:pt idx="202">
                  <c:v>275.33272875935359</c:v>
                </c:pt>
                <c:pt idx="203">
                  <c:v>275.33272875935359</c:v>
                </c:pt>
                <c:pt idx="204">
                  <c:v>275.33272875935359</c:v>
                </c:pt>
                <c:pt idx="205">
                  <c:v>275.33272875935359</c:v>
                </c:pt>
                <c:pt idx="206">
                  <c:v>275.33272875935359</c:v>
                </c:pt>
                <c:pt idx="207">
                  <c:v>275.33272875935359</c:v>
                </c:pt>
                <c:pt idx="208">
                  <c:v>275.33272875935359</c:v>
                </c:pt>
                <c:pt idx="209">
                  <c:v>275.33272875935359</c:v>
                </c:pt>
                <c:pt idx="210">
                  <c:v>275.33272875935359</c:v>
                </c:pt>
                <c:pt idx="211">
                  <c:v>275.33272875935359</c:v>
                </c:pt>
                <c:pt idx="212">
                  <c:v>275.33272875935359</c:v>
                </c:pt>
                <c:pt idx="213">
                  <c:v>275.33272875935359</c:v>
                </c:pt>
                <c:pt idx="214">
                  <c:v>275.33272875935359</c:v>
                </c:pt>
                <c:pt idx="215">
                  <c:v>275.33272875935359</c:v>
                </c:pt>
                <c:pt idx="216">
                  <c:v>275.33272875935359</c:v>
                </c:pt>
                <c:pt idx="217">
                  <c:v>275.33272875935359</c:v>
                </c:pt>
                <c:pt idx="218">
                  <c:v>275.33272875935359</c:v>
                </c:pt>
                <c:pt idx="219">
                  <c:v>275.33272875935359</c:v>
                </c:pt>
                <c:pt idx="220">
                  <c:v>275.33272875935359</c:v>
                </c:pt>
                <c:pt idx="221">
                  <c:v>275.33272875935359</c:v>
                </c:pt>
                <c:pt idx="222">
                  <c:v>275.33272875935359</c:v>
                </c:pt>
                <c:pt idx="223">
                  <c:v>275.33272875935359</c:v>
                </c:pt>
                <c:pt idx="224">
                  <c:v>275.33272875935359</c:v>
                </c:pt>
                <c:pt idx="225">
                  <c:v>275.33272875935359</c:v>
                </c:pt>
                <c:pt idx="226">
                  <c:v>275.33272875935359</c:v>
                </c:pt>
                <c:pt idx="227">
                  <c:v>275.33272875935359</c:v>
                </c:pt>
                <c:pt idx="228">
                  <c:v>275.33272875935359</c:v>
                </c:pt>
                <c:pt idx="229">
                  <c:v>275.33272875935359</c:v>
                </c:pt>
                <c:pt idx="230">
                  <c:v>275.33272875935359</c:v>
                </c:pt>
                <c:pt idx="231">
                  <c:v>275.33272875935359</c:v>
                </c:pt>
                <c:pt idx="232">
                  <c:v>275.33272875935359</c:v>
                </c:pt>
                <c:pt idx="233">
                  <c:v>275.33272875935359</c:v>
                </c:pt>
                <c:pt idx="234">
                  <c:v>275.33272875935359</c:v>
                </c:pt>
                <c:pt idx="235">
                  <c:v>275.33272875935359</c:v>
                </c:pt>
                <c:pt idx="236">
                  <c:v>275.33272875935359</c:v>
                </c:pt>
                <c:pt idx="237">
                  <c:v>275.33272875935359</c:v>
                </c:pt>
                <c:pt idx="238">
                  <c:v>275.33272875935359</c:v>
                </c:pt>
                <c:pt idx="239">
                  <c:v>275.33272875935359</c:v>
                </c:pt>
                <c:pt idx="240">
                  <c:v>275.33272875935359</c:v>
                </c:pt>
                <c:pt idx="241">
                  <c:v>275.33272875935359</c:v>
                </c:pt>
                <c:pt idx="242">
                  <c:v>275.33272875935359</c:v>
                </c:pt>
                <c:pt idx="243">
                  <c:v>275.33272875935359</c:v>
                </c:pt>
                <c:pt idx="244">
                  <c:v>275.33272875935359</c:v>
                </c:pt>
                <c:pt idx="245">
                  <c:v>275.33272875935359</c:v>
                </c:pt>
                <c:pt idx="246">
                  <c:v>275.33272875935359</c:v>
                </c:pt>
                <c:pt idx="247">
                  <c:v>275.33272875935359</c:v>
                </c:pt>
                <c:pt idx="248">
                  <c:v>275.33272875935359</c:v>
                </c:pt>
                <c:pt idx="249">
                  <c:v>275.33272875935359</c:v>
                </c:pt>
                <c:pt idx="250">
                  <c:v>275.33272875935359</c:v>
                </c:pt>
                <c:pt idx="251">
                  <c:v>275.33272875935359</c:v>
                </c:pt>
                <c:pt idx="252">
                  <c:v>275.33272875935359</c:v>
                </c:pt>
                <c:pt idx="253">
                  <c:v>275.33272875935359</c:v>
                </c:pt>
                <c:pt idx="254">
                  <c:v>275.33272875935359</c:v>
                </c:pt>
                <c:pt idx="255">
                  <c:v>275.33272875935359</c:v>
                </c:pt>
                <c:pt idx="256">
                  <c:v>275.33272875935359</c:v>
                </c:pt>
                <c:pt idx="257">
                  <c:v>275.33272875935359</c:v>
                </c:pt>
                <c:pt idx="258">
                  <c:v>275.33272875935359</c:v>
                </c:pt>
                <c:pt idx="259">
                  <c:v>275.33272875935359</c:v>
                </c:pt>
                <c:pt idx="260">
                  <c:v>275.33272875935359</c:v>
                </c:pt>
                <c:pt idx="261">
                  <c:v>275.33272875935359</c:v>
                </c:pt>
                <c:pt idx="262">
                  <c:v>275.33272875935359</c:v>
                </c:pt>
                <c:pt idx="263">
                  <c:v>275.33272875935359</c:v>
                </c:pt>
                <c:pt idx="264">
                  <c:v>275.33272875935359</c:v>
                </c:pt>
                <c:pt idx="265">
                  <c:v>275.33272875935359</c:v>
                </c:pt>
                <c:pt idx="266">
                  <c:v>275.33272875935359</c:v>
                </c:pt>
                <c:pt idx="267">
                  <c:v>275.33272875935359</c:v>
                </c:pt>
                <c:pt idx="268">
                  <c:v>275.33272875935359</c:v>
                </c:pt>
                <c:pt idx="269">
                  <c:v>275.33272875935359</c:v>
                </c:pt>
                <c:pt idx="270">
                  <c:v>275.33272875935359</c:v>
                </c:pt>
                <c:pt idx="271">
                  <c:v>275.33272875935359</c:v>
                </c:pt>
                <c:pt idx="272">
                  <c:v>275.33272875935359</c:v>
                </c:pt>
                <c:pt idx="273">
                  <c:v>275.33272875935359</c:v>
                </c:pt>
                <c:pt idx="274">
                  <c:v>275.33272875935359</c:v>
                </c:pt>
                <c:pt idx="275">
                  <c:v>275.33272875935359</c:v>
                </c:pt>
                <c:pt idx="276">
                  <c:v>275.33272875935359</c:v>
                </c:pt>
                <c:pt idx="277">
                  <c:v>275.33272875935359</c:v>
                </c:pt>
                <c:pt idx="278">
                  <c:v>275.33272875935359</c:v>
                </c:pt>
                <c:pt idx="279">
                  <c:v>275.33272875935359</c:v>
                </c:pt>
                <c:pt idx="280">
                  <c:v>275.33272875935359</c:v>
                </c:pt>
                <c:pt idx="281">
                  <c:v>275.33272875935359</c:v>
                </c:pt>
                <c:pt idx="282">
                  <c:v>275.33272875935359</c:v>
                </c:pt>
                <c:pt idx="283">
                  <c:v>275.33272875935359</c:v>
                </c:pt>
                <c:pt idx="284">
                  <c:v>275.33272875935359</c:v>
                </c:pt>
                <c:pt idx="285">
                  <c:v>275.33272875935359</c:v>
                </c:pt>
                <c:pt idx="286">
                  <c:v>275.33272875935359</c:v>
                </c:pt>
                <c:pt idx="287">
                  <c:v>275.33272875935359</c:v>
                </c:pt>
                <c:pt idx="288">
                  <c:v>275.33272875935359</c:v>
                </c:pt>
                <c:pt idx="289">
                  <c:v>275.33272875935359</c:v>
                </c:pt>
                <c:pt idx="290">
                  <c:v>275.33272875935359</c:v>
                </c:pt>
                <c:pt idx="291">
                  <c:v>275.33272875935359</c:v>
                </c:pt>
                <c:pt idx="292">
                  <c:v>275.33272875935359</c:v>
                </c:pt>
                <c:pt idx="293">
                  <c:v>275.33272875935359</c:v>
                </c:pt>
                <c:pt idx="294">
                  <c:v>275.33272875935359</c:v>
                </c:pt>
                <c:pt idx="295">
                  <c:v>275.33272875935359</c:v>
                </c:pt>
                <c:pt idx="296">
                  <c:v>275.33272875935359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45562</c:v>
                </c:pt>
                <c:pt idx="142">
                  <c:v>45563</c:v>
                </c:pt>
                <c:pt idx="143">
                  <c:v>45564</c:v>
                </c:pt>
                <c:pt idx="144">
                  <c:v>45565</c:v>
                </c:pt>
                <c:pt idx="145">
                  <c:v>45566</c:v>
                </c:pt>
                <c:pt idx="146">
                  <c:v>45567</c:v>
                </c:pt>
                <c:pt idx="147">
                  <c:v>45568</c:v>
                </c:pt>
                <c:pt idx="148">
                  <c:v>45569</c:v>
                </c:pt>
                <c:pt idx="149">
                  <c:v>45570</c:v>
                </c:pt>
                <c:pt idx="150">
                  <c:v>45571</c:v>
                </c:pt>
                <c:pt idx="151">
                  <c:v>45572</c:v>
                </c:pt>
                <c:pt idx="152">
                  <c:v>45573</c:v>
                </c:pt>
                <c:pt idx="153">
                  <c:v>45574</c:v>
                </c:pt>
                <c:pt idx="154">
                  <c:v>45575</c:v>
                </c:pt>
                <c:pt idx="155">
                  <c:v>45576</c:v>
                </c:pt>
                <c:pt idx="156">
                  <c:v>45577</c:v>
                </c:pt>
                <c:pt idx="157">
                  <c:v>45578</c:v>
                </c:pt>
                <c:pt idx="158">
                  <c:v>45579</c:v>
                </c:pt>
                <c:pt idx="159">
                  <c:v>45580</c:v>
                </c:pt>
                <c:pt idx="160">
                  <c:v>45581</c:v>
                </c:pt>
                <c:pt idx="161">
                  <c:v>45582</c:v>
                </c:pt>
                <c:pt idx="162">
                  <c:v>45583</c:v>
                </c:pt>
                <c:pt idx="163">
                  <c:v>45584</c:v>
                </c:pt>
                <c:pt idx="164">
                  <c:v>45585</c:v>
                </c:pt>
                <c:pt idx="165">
                  <c:v>45586</c:v>
                </c:pt>
                <c:pt idx="166">
                  <c:v>45587</c:v>
                </c:pt>
                <c:pt idx="167">
                  <c:v>45588</c:v>
                </c:pt>
                <c:pt idx="168">
                  <c:v>45589</c:v>
                </c:pt>
                <c:pt idx="169">
                  <c:v>45590</c:v>
                </c:pt>
                <c:pt idx="170">
                  <c:v>45591</c:v>
                </c:pt>
                <c:pt idx="171">
                  <c:v>45592</c:v>
                </c:pt>
                <c:pt idx="172">
                  <c:v>45593</c:v>
                </c:pt>
                <c:pt idx="173">
                  <c:v>45594</c:v>
                </c:pt>
                <c:pt idx="174">
                  <c:v>45595</c:v>
                </c:pt>
                <c:pt idx="175">
                  <c:v>45596</c:v>
                </c:pt>
                <c:pt idx="176">
                  <c:v>45597</c:v>
                </c:pt>
                <c:pt idx="177">
                  <c:v>45598</c:v>
                </c:pt>
                <c:pt idx="178">
                  <c:v>45599</c:v>
                </c:pt>
                <c:pt idx="179">
                  <c:v>45600</c:v>
                </c:pt>
                <c:pt idx="180">
                  <c:v>45601</c:v>
                </c:pt>
                <c:pt idx="181">
                  <c:v>45602</c:v>
                </c:pt>
                <c:pt idx="182">
                  <c:v>45603</c:v>
                </c:pt>
                <c:pt idx="183">
                  <c:v>45604</c:v>
                </c:pt>
                <c:pt idx="184">
                  <c:v>45605</c:v>
                </c:pt>
                <c:pt idx="185">
                  <c:v>45606</c:v>
                </c:pt>
                <c:pt idx="186">
                  <c:v>45607</c:v>
                </c:pt>
                <c:pt idx="187">
                  <c:v>45608</c:v>
                </c:pt>
                <c:pt idx="188">
                  <c:v>45609</c:v>
                </c:pt>
                <c:pt idx="189">
                  <c:v>45610</c:v>
                </c:pt>
                <c:pt idx="190">
                  <c:v>45611</c:v>
                </c:pt>
                <c:pt idx="191">
                  <c:v>45612</c:v>
                </c:pt>
                <c:pt idx="192">
                  <c:v>45613</c:v>
                </c:pt>
                <c:pt idx="193">
                  <c:v>45614</c:v>
                </c:pt>
                <c:pt idx="194">
                  <c:v>45615</c:v>
                </c:pt>
                <c:pt idx="195">
                  <c:v>45616</c:v>
                </c:pt>
                <c:pt idx="196">
                  <c:v>45617</c:v>
                </c:pt>
                <c:pt idx="197">
                  <c:v>45618</c:v>
                </c:pt>
                <c:pt idx="198">
                  <c:v>45619</c:v>
                </c:pt>
                <c:pt idx="199">
                  <c:v>45620</c:v>
                </c:pt>
                <c:pt idx="200">
                  <c:v>45621</c:v>
                </c:pt>
                <c:pt idx="201">
                  <c:v>45622</c:v>
                </c:pt>
                <c:pt idx="202">
                  <c:v>45623</c:v>
                </c:pt>
                <c:pt idx="203">
                  <c:v>45624</c:v>
                </c:pt>
                <c:pt idx="204">
                  <c:v>45625</c:v>
                </c:pt>
                <c:pt idx="205">
                  <c:v>45626</c:v>
                </c:pt>
                <c:pt idx="206">
                  <c:v>45627</c:v>
                </c:pt>
                <c:pt idx="207">
                  <c:v>45628</c:v>
                </c:pt>
                <c:pt idx="208">
                  <c:v>45629</c:v>
                </c:pt>
                <c:pt idx="209">
                  <c:v>45630</c:v>
                </c:pt>
                <c:pt idx="210">
                  <c:v>45631</c:v>
                </c:pt>
                <c:pt idx="211">
                  <c:v>45632</c:v>
                </c:pt>
                <c:pt idx="212">
                  <c:v>45633</c:v>
                </c:pt>
                <c:pt idx="213">
                  <c:v>45634</c:v>
                </c:pt>
                <c:pt idx="214">
                  <c:v>45635</c:v>
                </c:pt>
                <c:pt idx="215">
                  <c:v>45636</c:v>
                </c:pt>
                <c:pt idx="216">
                  <c:v>45637</c:v>
                </c:pt>
                <c:pt idx="217">
                  <c:v>45638</c:v>
                </c:pt>
                <c:pt idx="218">
                  <c:v>45639</c:v>
                </c:pt>
                <c:pt idx="219">
                  <c:v>45640</c:v>
                </c:pt>
                <c:pt idx="220">
                  <c:v>45641</c:v>
                </c:pt>
                <c:pt idx="221">
                  <c:v>45642</c:v>
                </c:pt>
                <c:pt idx="222">
                  <c:v>45643</c:v>
                </c:pt>
                <c:pt idx="223">
                  <c:v>45644</c:v>
                </c:pt>
                <c:pt idx="224">
                  <c:v>45645</c:v>
                </c:pt>
                <c:pt idx="225">
                  <c:v>45646</c:v>
                </c:pt>
                <c:pt idx="226">
                  <c:v>45647</c:v>
                </c:pt>
                <c:pt idx="227">
                  <c:v>45648</c:v>
                </c:pt>
                <c:pt idx="228">
                  <c:v>45649</c:v>
                </c:pt>
                <c:pt idx="229">
                  <c:v>45650</c:v>
                </c:pt>
                <c:pt idx="230">
                  <c:v>45651</c:v>
                </c:pt>
                <c:pt idx="231">
                  <c:v>45652</c:v>
                </c:pt>
                <c:pt idx="232">
                  <c:v>45653</c:v>
                </c:pt>
                <c:pt idx="233">
                  <c:v>45654</c:v>
                </c:pt>
                <c:pt idx="234">
                  <c:v>45655</c:v>
                </c:pt>
                <c:pt idx="235">
                  <c:v>45656</c:v>
                </c:pt>
                <c:pt idx="236">
                  <c:v>45657</c:v>
                </c:pt>
                <c:pt idx="237">
                  <c:v>45658</c:v>
                </c:pt>
                <c:pt idx="238">
                  <c:v>45659</c:v>
                </c:pt>
                <c:pt idx="239">
                  <c:v>45660</c:v>
                </c:pt>
                <c:pt idx="240">
                  <c:v>45661</c:v>
                </c:pt>
                <c:pt idx="241">
                  <c:v>45662</c:v>
                </c:pt>
                <c:pt idx="242">
                  <c:v>45663</c:v>
                </c:pt>
                <c:pt idx="243">
                  <c:v>45664</c:v>
                </c:pt>
                <c:pt idx="244">
                  <c:v>45665</c:v>
                </c:pt>
                <c:pt idx="245">
                  <c:v>45666</c:v>
                </c:pt>
                <c:pt idx="246">
                  <c:v>45667</c:v>
                </c:pt>
                <c:pt idx="247">
                  <c:v>45668</c:v>
                </c:pt>
                <c:pt idx="248">
                  <c:v>45669</c:v>
                </c:pt>
                <c:pt idx="249">
                  <c:v>45670</c:v>
                </c:pt>
                <c:pt idx="250">
                  <c:v>45671</c:v>
                </c:pt>
                <c:pt idx="251">
                  <c:v>45672</c:v>
                </c:pt>
                <c:pt idx="252">
                  <c:v>45673</c:v>
                </c:pt>
                <c:pt idx="253">
                  <c:v>45674</c:v>
                </c:pt>
                <c:pt idx="254">
                  <c:v>45675</c:v>
                </c:pt>
                <c:pt idx="255">
                  <c:v>45676</c:v>
                </c:pt>
                <c:pt idx="256">
                  <c:v>45677</c:v>
                </c:pt>
                <c:pt idx="257">
                  <c:v>45678</c:v>
                </c:pt>
                <c:pt idx="258">
                  <c:v>45679</c:v>
                </c:pt>
                <c:pt idx="259">
                  <c:v>45680</c:v>
                </c:pt>
                <c:pt idx="260">
                  <c:v>45681</c:v>
                </c:pt>
                <c:pt idx="261">
                  <c:v>45682</c:v>
                </c:pt>
                <c:pt idx="262">
                  <c:v>45683</c:v>
                </c:pt>
                <c:pt idx="263">
                  <c:v>45684</c:v>
                </c:pt>
                <c:pt idx="264">
                  <c:v>45685</c:v>
                </c:pt>
                <c:pt idx="265">
                  <c:v>45686</c:v>
                </c:pt>
                <c:pt idx="266">
                  <c:v>45687</c:v>
                </c:pt>
                <c:pt idx="267">
                  <c:v>45688</c:v>
                </c:pt>
                <c:pt idx="268">
                  <c:v>45689</c:v>
                </c:pt>
                <c:pt idx="269">
                  <c:v>45690</c:v>
                </c:pt>
                <c:pt idx="270">
                  <c:v>45691</c:v>
                </c:pt>
                <c:pt idx="271">
                  <c:v>45692</c:v>
                </c:pt>
                <c:pt idx="272">
                  <c:v>45693</c:v>
                </c:pt>
                <c:pt idx="273">
                  <c:v>45694</c:v>
                </c:pt>
                <c:pt idx="274">
                  <c:v>45695</c:v>
                </c:pt>
                <c:pt idx="275">
                  <c:v>45696</c:v>
                </c:pt>
                <c:pt idx="276">
                  <c:v>45697</c:v>
                </c:pt>
                <c:pt idx="277">
                  <c:v>45698</c:v>
                </c:pt>
                <c:pt idx="278">
                  <c:v>45699</c:v>
                </c:pt>
                <c:pt idx="279">
                  <c:v>45700</c:v>
                </c:pt>
                <c:pt idx="280">
                  <c:v>45701</c:v>
                </c:pt>
                <c:pt idx="281">
                  <c:v>45702</c:v>
                </c:pt>
                <c:pt idx="282">
                  <c:v>45703</c:v>
                </c:pt>
                <c:pt idx="283">
                  <c:v>45704</c:v>
                </c:pt>
                <c:pt idx="284">
                  <c:v>45705</c:v>
                </c:pt>
                <c:pt idx="285">
                  <c:v>45706</c:v>
                </c:pt>
                <c:pt idx="286">
                  <c:v>45707</c:v>
                </c:pt>
                <c:pt idx="287">
                  <c:v>45708</c:v>
                </c:pt>
                <c:pt idx="288">
                  <c:v>45709</c:v>
                </c:pt>
                <c:pt idx="289">
                  <c:v>45710</c:v>
                </c:pt>
                <c:pt idx="290">
                  <c:v>45711</c:v>
                </c:pt>
                <c:pt idx="291">
                  <c:v>45712</c:v>
                </c:pt>
                <c:pt idx="292">
                  <c:v>45713</c:v>
                </c:pt>
                <c:pt idx="293">
                  <c:v>45714</c:v>
                </c:pt>
                <c:pt idx="294">
                  <c:v>45715</c:v>
                </c:pt>
                <c:pt idx="295">
                  <c:v>45716</c:v>
                </c:pt>
                <c:pt idx="296">
                  <c:v>45717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7.193858067430425E-3</c:v>
                </c:pt>
                <c:pt idx="16">
                  <c:v>7.7533376630589904E-3</c:v>
                </c:pt>
                <c:pt idx="17">
                  <c:v>8.32191607107057E-3</c:v>
                </c:pt>
                <c:pt idx="18">
                  <c:v>8.9145049675023319E-3</c:v>
                </c:pt>
                <c:pt idx="19">
                  <c:v>9.5821360720309522E-3</c:v>
                </c:pt>
                <c:pt idx="20">
                  <c:v>1.0221112304099127E-2</c:v>
                </c:pt>
                <c:pt idx="21">
                  <c:v>1.0906596876484527E-2</c:v>
                </c:pt>
                <c:pt idx="22">
                  <c:v>1.1659270745361687E-2</c:v>
                </c:pt>
                <c:pt idx="23">
                  <c:v>1.2463232789398957E-2</c:v>
                </c:pt>
                <c:pt idx="24">
                  <c:v>1.3313015676785419E-2</c:v>
                </c:pt>
                <c:pt idx="25">
                  <c:v>1.4319591122954597E-2</c:v>
                </c:pt>
                <c:pt idx="26">
                  <c:v>1.5374496108809721E-2</c:v>
                </c:pt>
                <c:pt idx="27">
                  <c:v>1.6491575462628461E-2</c:v>
                </c:pt>
                <c:pt idx="28">
                  <c:v>1.7676637644858481E-2</c:v>
                </c:pt>
                <c:pt idx="29">
                  <c:v>1.8836384101150641E-2</c:v>
                </c:pt>
                <c:pt idx="30">
                  <c:v>2.0057395184448885E-2</c:v>
                </c:pt>
                <c:pt idx="31">
                  <c:v>2.1555639457507311E-2</c:v>
                </c:pt>
                <c:pt idx="32">
                  <c:v>2.3163153976526542E-2</c:v>
                </c:pt>
                <c:pt idx="33">
                  <c:v>2.5041934777635121E-2</c:v>
                </c:pt>
                <c:pt idx="34">
                  <c:v>2.6829942659013412E-2</c:v>
                </c:pt>
                <c:pt idx="35">
                  <c:v>2.8674098989712942E-2</c:v>
                </c:pt>
                <c:pt idx="36">
                  <c:v>3.0421266770244235E-2</c:v>
                </c:pt>
                <c:pt idx="37">
                  <c:v>3.2504027976163211E-2</c:v>
                </c:pt>
                <c:pt idx="38">
                  <c:v>3.4746906926495728E-2</c:v>
                </c:pt>
                <c:pt idx="39">
                  <c:v>3.7160338931480692E-2</c:v>
                </c:pt>
                <c:pt idx="40">
                  <c:v>3.9824735565125897E-2</c:v>
                </c:pt>
                <c:pt idx="41">
                  <c:v>4.2657918936608606E-2</c:v>
                </c:pt>
                <c:pt idx="42">
                  <c:v>4.5509773881794988E-2</c:v>
                </c:pt>
                <c:pt idx="43">
                  <c:v>4.8213246338118215E-2</c:v>
                </c:pt>
                <c:pt idx="44">
                  <c:v>5.1085080667900351E-2</c:v>
                </c:pt>
                <c:pt idx="45">
                  <c:v>5.4583096392193942E-2</c:v>
                </c:pt>
                <c:pt idx="46">
                  <c:v>5.7991713746154069E-2</c:v>
                </c:pt>
                <c:pt idx="47">
                  <c:v>6.1451231994947619E-2</c:v>
                </c:pt>
                <c:pt idx="48">
                  <c:v>6.4955132441804231E-2</c:v>
                </c:pt>
                <c:pt idx="49">
                  <c:v>6.8674422070750599E-2</c:v>
                </c:pt>
                <c:pt idx="50">
                  <c:v>7.253109530361701E-2</c:v>
                </c:pt>
                <c:pt idx="51">
                  <c:v>7.6500668342742745E-2</c:v>
                </c:pt>
                <c:pt idx="52">
                  <c:v>8.0813876331918583E-2</c:v>
                </c:pt>
                <c:pt idx="53">
                  <c:v>8.5037441556860147E-2</c:v>
                </c:pt>
                <c:pt idx="54">
                  <c:v>8.9790685390553418E-2</c:v>
                </c:pt>
                <c:pt idx="55">
                  <c:v>9.4648984603944955E-2</c:v>
                </c:pt>
                <c:pt idx="56">
                  <c:v>0.10022724213216931</c:v>
                </c:pt>
                <c:pt idx="57">
                  <c:v>0.10591663452976342</c:v>
                </c:pt>
                <c:pt idx="58">
                  <c:v>0.11225151314708727</c:v>
                </c:pt>
                <c:pt idx="59">
                  <c:v>0.11811810140069604</c:v>
                </c:pt>
                <c:pt idx="60">
                  <c:v>0.12397690233579703</c:v>
                </c:pt>
                <c:pt idx="61">
                  <c:v>0.13014455601558722</c:v>
                </c:pt>
                <c:pt idx="62">
                  <c:v>0.1364041533561928</c:v>
                </c:pt>
                <c:pt idx="63">
                  <c:v>0.14319668087273935</c:v>
                </c:pt>
                <c:pt idx="64">
                  <c:v>0.15002744692867531</c:v>
                </c:pt>
                <c:pt idx="65">
                  <c:v>0.1569724002033023</c:v>
                </c:pt>
                <c:pt idx="66">
                  <c:v>0.16504921700970102</c:v>
                </c:pt>
                <c:pt idx="67">
                  <c:v>0.17345610858445357</c:v>
                </c:pt>
                <c:pt idx="68">
                  <c:v>0.18293307171369416</c:v>
                </c:pt>
                <c:pt idx="69">
                  <c:v>0.19203090097222031</c:v>
                </c:pt>
                <c:pt idx="70">
                  <c:v>0.2016216896569574</c:v>
                </c:pt>
                <c:pt idx="71">
                  <c:v>0.21214081157330128</c:v>
                </c:pt>
                <c:pt idx="72">
                  <c:v>0.22344165306039612</c:v>
                </c:pt>
                <c:pt idx="73">
                  <c:v>0.23540769011062979</c:v>
                </c:pt>
                <c:pt idx="74">
                  <c:v>0.24705595884027459</c:v>
                </c:pt>
                <c:pt idx="75">
                  <c:v>0.2590464256605618</c:v>
                </c:pt>
                <c:pt idx="76">
                  <c:v>0.27078221411278719</c:v>
                </c:pt>
                <c:pt idx="77">
                  <c:v>0.28261403097310339</c:v>
                </c:pt>
                <c:pt idx="78">
                  <c:v>0.29555423599539421</c:v>
                </c:pt>
                <c:pt idx="79">
                  <c:v>0.30834224437172297</c:v>
                </c:pt>
                <c:pt idx="80">
                  <c:v>0.32150470562423378</c:v>
                </c:pt>
                <c:pt idx="81">
                  <c:v>0.33366514644222728</c:v>
                </c:pt>
                <c:pt idx="82">
                  <c:v>0.34692209007958913</c:v>
                </c:pt>
                <c:pt idx="83">
                  <c:v>0.36289838612814768</c:v>
                </c:pt>
                <c:pt idx="84">
                  <c:v>0.37959643177362867</c:v>
                </c:pt>
                <c:pt idx="85">
                  <c:v>0.39577722075962829</c:v>
                </c:pt>
                <c:pt idx="86">
                  <c:v>0.41232032241446942</c:v>
                </c:pt>
                <c:pt idx="87">
                  <c:v>0.42838611349302708</c:v>
                </c:pt>
                <c:pt idx="88">
                  <c:v>0.44478764829084916</c:v>
                </c:pt>
                <c:pt idx="89">
                  <c:v>0.46149486548403185</c:v>
                </c:pt>
                <c:pt idx="90">
                  <c:v>0.47739647636536481</c:v>
                </c:pt>
                <c:pt idx="91">
                  <c:v>0.49160643493526351</c:v>
                </c:pt>
                <c:pt idx="92">
                  <c:v>0.5048345303130255</c:v>
                </c:pt>
                <c:pt idx="93">
                  <c:v>0.51965658765608991</c:v>
                </c:pt>
                <c:pt idx="94">
                  <c:v>0.5351326000657689</c:v>
                </c:pt>
                <c:pt idx="95">
                  <c:v>0.55104224618434283</c:v>
                </c:pt>
                <c:pt idx="96">
                  <c:v>0.56731208943549127</c:v>
                </c:pt>
                <c:pt idx="97">
                  <c:v>0.58288020294223775</c:v>
                </c:pt>
                <c:pt idx="98">
                  <c:v>0.59870650607277098</c:v>
                </c:pt>
                <c:pt idx="99">
                  <c:v>0.61420170480324343</c:v>
                </c:pt>
                <c:pt idx="100">
                  <c:v>0.62822437010044485</c:v>
                </c:pt>
                <c:pt idx="101">
                  <c:v>0.64304206213413351</c:v>
                </c:pt>
                <c:pt idx="102">
                  <c:v>0.65725664050579469</c:v>
                </c:pt>
                <c:pt idx="103">
                  <c:v>0.67195383855370061</c:v>
                </c:pt>
                <c:pt idx="104">
                  <c:v>0.68595820585476763</c:v>
                </c:pt>
                <c:pt idx="105">
                  <c:v>0.69971706289302182</c:v>
                </c:pt>
                <c:pt idx="106">
                  <c:v>0.71355307038237148</c:v>
                </c:pt>
                <c:pt idx="107">
                  <c:v>0.7267725055232056</c:v>
                </c:pt>
                <c:pt idx="108">
                  <c:v>0.74090228233821454</c:v>
                </c:pt>
                <c:pt idx="109">
                  <c:v>0.7545856289362769</c:v>
                </c:pt>
                <c:pt idx="110">
                  <c:v>0.76816973193958904</c:v>
                </c:pt>
                <c:pt idx="111">
                  <c:v>0.7806425894803064</c:v>
                </c:pt>
                <c:pt idx="112">
                  <c:v>0.79322399238353081</c:v>
                </c:pt>
                <c:pt idx="113">
                  <c:v>0.80478706187935445</c:v>
                </c:pt>
                <c:pt idx="114">
                  <c:v>0.8152952608638967</c:v>
                </c:pt>
                <c:pt idx="115">
                  <c:v>0.82491258037201043</c:v>
                </c:pt>
                <c:pt idx="116">
                  <c:v>0.83421504573411553</c:v>
                </c:pt>
                <c:pt idx="117">
                  <c:v>0.84339382041410338</c:v>
                </c:pt>
                <c:pt idx="118">
                  <c:v>0.8519162149057079</c:v>
                </c:pt>
                <c:pt idx="119">
                  <c:v>0.86049800148895483</c:v>
                </c:pt>
                <c:pt idx="120">
                  <c:v>0.8689975819401029</c:v>
                </c:pt>
                <c:pt idx="121">
                  <c:v>0.87691494144054916</c:v>
                </c:pt>
                <c:pt idx="122">
                  <c:v>0.8837465012021819</c:v>
                </c:pt>
                <c:pt idx="123">
                  <c:v>0.89056249725287784</c:v>
                </c:pt>
                <c:pt idx="124">
                  <c:v>0.89736782937756687</c:v>
                </c:pt>
                <c:pt idx="125">
                  <c:v>0.90368412799367193</c:v>
                </c:pt>
                <c:pt idx="126">
                  <c:v>0.9100770630870727</c:v>
                </c:pt>
                <c:pt idx="127">
                  <c:v>0.91602278805812487</c:v>
                </c:pt>
                <c:pt idx="128">
                  <c:v>0.92174080034514283</c:v>
                </c:pt>
                <c:pt idx="129">
                  <c:v>0.92706395584277779</c:v>
                </c:pt>
                <c:pt idx="130">
                  <c:v>0.93244392941140253</c:v>
                </c:pt>
                <c:pt idx="131">
                  <c:v>0.93711262248938576</c:v>
                </c:pt>
                <c:pt idx="132">
                  <c:v>0.94116202507189006</c:v>
                </c:pt>
                <c:pt idx="133">
                  <c:v>0.94492737025313167</c:v>
                </c:pt>
                <c:pt idx="134">
                  <c:v>0.94828650288296568</c:v>
                </c:pt>
                <c:pt idx="135">
                  <c:v>0.95154783135891641</c:v>
                </c:pt>
                <c:pt idx="136">
                  <c:v>0.95484670094339197</c:v>
                </c:pt>
                <c:pt idx="137">
                  <c:v>0.95811817727347748</c:v>
                </c:pt>
                <c:pt idx="138">
                  <c:v>0.96127800079301107</c:v>
                </c:pt>
                <c:pt idx="139">
                  <c:v>0.96411037397388644</c:v>
                </c:pt>
                <c:pt idx="140">
                  <c:v>0.96682077031022118</c:v>
                </c:pt>
                <c:pt idx="141">
                  <c:v>0.96938911680305595</c:v>
                </c:pt>
                <c:pt idx="142">
                  <c:v>0.97182366029492606</c:v>
                </c:pt>
                <c:pt idx="143">
                  <c:v>0.97404758765467003</c:v>
                </c:pt>
                <c:pt idx="144">
                  <c:v>0.97596292938411267</c:v>
                </c:pt>
                <c:pt idx="145">
                  <c:v>0.97779443304524827</c:v>
                </c:pt>
                <c:pt idx="146">
                  <c:v>0.97961369717597069</c:v>
                </c:pt>
                <c:pt idx="147">
                  <c:v>0.98116366709400238</c:v>
                </c:pt>
                <c:pt idx="148">
                  <c:v>0.98259211473988217</c:v>
                </c:pt>
                <c:pt idx="149">
                  <c:v>0.9839065329400678</c:v>
                </c:pt>
                <c:pt idx="150">
                  <c:v>0.98515285197687097</c:v>
                </c:pt>
                <c:pt idx="151">
                  <c:v>0.9862802706368502</c:v>
                </c:pt>
                <c:pt idx="152">
                  <c:v>0.98729442581169991</c:v>
                </c:pt>
                <c:pt idx="153">
                  <c:v>0.98821801787849928</c:v>
                </c:pt>
                <c:pt idx="154">
                  <c:v>0.98915876866301</c:v>
                </c:pt>
                <c:pt idx="155">
                  <c:v>0.99003182509493171</c:v>
                </c:pt>
                <c:pt idx="156">
                  <c:v>0.99080821743824699</c:v>
                </c:pt>
                <c:pt idx="157">
                  <c:v>0.99156031524241106</c:v>
                </c:pt>
                <c:pt idx="158">
                  <c:v>0.99224720288368662</c:v>
                </c:pt>
                <c:pt idx="159">
                  <c:v>0.99286042977480882</c:v>
                </c:pt>
                <c:pt idx="160">
                  <c:v>0.99345582086576933</c:v>
                </c:pt>
                <c:pt idx="161">
                  <c:v>0.99399179158509121</c:v>
                </c:pt>
                <c:pt idx="162">
                  <c:v>0.99446222248243399</c:v>
                </c:pt>
                <c:pt idx="163">
                  <c:v>0.99491380005171504</c:v>
                </c:pt>
                <c:pt idx="164">
                  <c:v>0.99532307466775094</c:v>
                </c:pt>
                <c:pt idx="165">
                  <c:v>0.99571225602003377</c:v>
                </c:pt>
                <c:pt idx="166">
                  <c:v>0.99605063810230154</c:v>
                </c:pt>
                <c:pt idx="167">
                  <c:v>0.99636339152906939</c:v>
                </c:pt>
                <c:pt idx="168">
                  <c:v>0.99666472468303646</c:v>
                </c:pt>
                <c:pt idx="169">
                  <c:v>0.99695983871066984</c:v>
                </c:pt>
                <c:pt idx="170">
                  <c:v>0.99723133652279961</c:v>
                </c:pt>
                <c:pt idx="171">
                  <c:v>0.99747065904319476</c:v>
                </c:pt>
                <c:pt idx="172">
                  <c:v>0.99769757453293317</c:v>
                </c:pt>
                <c:pt idx="173">
                  <c:v>0.99789129041396518</c:v>
                </c:pt>
                <c:pt idx="174">
                  <c:v>0.99806313710350247</c:v>
                </c:pt>
                <c:pt idx="175">
                  <c:v>0.99821932549734371</c:v>
                </c:pt>
                <c:pt idx="176">
                  <c:v>0.99837206997016592</c:v>
                </c:pt>
                <c:pt idx="177">
                  <c:v>0.99852212662550144</c:v>
                </c:pt>
                <c:pt idx="178">
                  <c:v>0.9986541131621105</c:v>
                </c:pt>
                <c:pt idx="179">
                  <c:v>0.99876969089570156</c:v>
                </c:pt>
                <c:pt idx="180">
                  <c:v>0.99887406487118047</c:v>
                </c:pt>
                <c:pt idx="181">
                  <c:v>0.99897146749546817</c:v>
                </c:pt>
                <c:pt idx="182">
                  <c:v>0.99906329859023391</c:v>
                </c:pt>
                <c:pt idx="183">
                  <c:v>0.99914860436918873</c:v>
                </c:pt>
                <c:pt idx="184">
                  <c:v>0.99922358575627701</c:v>
                </c:pt>
                <c:pt idx="185">
                  <c:v>0.99929306581234301</c:v>
                </c:pt>
                <c:pt idx="186">
                  <c:v>0.99935267488998336</c:v>
                </c:pt>
                <c:pt idx="187">
                  <c:v>0.99940521802264237</c:v>
                </c:pt>
                <c:pt idx="188">
                  <c:v>0.99945364602562081</c:v>
                </c:pt>
                <c:pt idx="189">
                  <c:v>0.99950106982879849</c:v>
                </c:pt>
                <c:pt idx="190">
                  <c:v>0.99954832712357389</c:v>
                </c:pt>
                <c:pt idx="191">
                  <c:v>0.99959166153176782</c:v>
                </c:pt>
                <c:pt idx="192">
                  <c:v>0.99962959241803251</c:v>
                </c:pt>
                <c:pt idx="193">
                  <c:v>0.99966284286409046</c:v>
                </c:pt>
                <c:pt idx="194">
                  <c:v>0.99969348193176955</c:v>
                </c:pt>
                <c:pt idx="195">
                  <c:v>0.99972148784251147</c:v>
                </c:pt>
                <c:pt idx="196">
                  <c:v>0.99974708919976663</c:v>
                </c:pt>
                <c:pt idx="197">
                  <c:v>0.99977123487235575</c:v>
                </c:pt>
                <c:pt idx="198">
                  <c:v>0.9997930897711228</c:v>
                </c:pt>
                <c:pt idx="199">
                  <c:v>0.99981402797642327</c:v>
                </c:pt>
                <c:pt idx="200">
                  <c:v>0.99983300554833132</c:v>
                </c:pt>
                <c:pt idx="201">
                  <c:v>0.99985038041326324</c:v>
                </c:pt>
                <c:pt idx="202">
                  <c:v>0.9998657576459421</c:v>
                </c:pt>
                <c:pt idx="203">
                  <c:v>0.99987870632976716</c:v>
                </c:pt>
                <c:pt idx="204">
                  <c:v>0.99989120938451748</c:v>
                </c:pt>
                <c:pt idx="205">
                  <c:v>0.99990227216060645</c:v>
                </c:pt>
                <c:pt idx="206">
                  <c:v>0.99991236398765082</c:v>
                </c:pt>
                <c:pt idx="207">
                  <c:v>0.99992136601963499</c:v>
                </c:pt>
                <c:pt idx="208">
                  <c:v>0.99992969535101872</c:v>
                </c:pt>
                <c:pt idx="209">
                  <c:v>0.99993707878373306</c:v>
                </c:pt>
                <c:pt idx="210">
                  <c:v>0.99994369064848965</c:v>
                </c:pt>
                <c:pt idx="211">
                  <c:v>0.99994941352908273</c:v>
                </c:pt>
                <c:pt idx="212">
                  <c:v>0.99995436423933215</c:v>
                </c:pt>
                <c:pt idx="213">
                  <c:v>0.99995901067704052</c:v>
                </c:pt>
                <c:pt idx="214">
                  <c:v>0.99996338477173974</c:v>
                </c:pt>
                <c:pt idx="215">
                  <c:v>0.99996747043245249</c:v>
                </c:pt>
                <c:pt idx="216">
                  <c:v>0.9999709966498479</c:v>
                </c:pt>
                <c:pt idx="217">
                  <c:v>0.99997411968133187</c:v>
                </c:pt>
                <c:pt idx="218">
                  <c:v>0.99997679863911082</c:v>
                </c:pt>
                <c:pt idx="219">
                  <c:v>0.99997913843369701</c:v>
                </c:pt>
                <c:pt idx="220">
                  <c:v>0.99998137096238415</c:v>
                </c:pt>
                <c:pt idx="221">
                  <c:v>0.99998336457797377</c:v>
                </c:pt>
                <c:pt idx="222">
                  <c:v>0.99998518689787452</c:v>
                </c:pt>
                <c:pt idx="223">
                  <c:v>0.99998676857886926</c:v>
                </c:pt>
                <c:pt idx="224">
                  <c:v>0.99998811979461977</c:v>
                </c:pt>
                <c:pt idx="225">
                  <c:v>0.99998934165936915</c:v>
                </c:pt>
                <c:pt idx="226">
                  <c:v>0.99999044237468138</c:v>
                </c:pt>
                <c:pt idx="227">
                  <c:v>0.99999146808695705</c:v>
                </c:pt>
                <c:pt idx="228">
                  <c:v>0.99999238680564506</c:v>
                </c:pt>
                <c:pt idx="229">
                  <c:v>0.99999323039828036</c:v>
                </c:pt>
                <c:pt idx="230">
                  <c:v>0.99999400160548624</c:v>
                </c:pt>
                <c:pt idx="231">
                  <c:v>0.9868258627094364</c:v>
                </c:pt>
                <c:pt idx="232">
                  <c:v>0.97240713466710771</c:v>
                </c:pt>
                <c:pt idx="233">
                  <c:v>0.95791211705841783</c:v>
                </c:pt>
                <c:pt idx="234">
                  <c:v>0.94345948254215073</c:v>
                </c:pt>
                <c:pt idx="235">
                  <c:v>0.92931200629132982</c:v>
                </c:pt>
                <c:pt idx="236">
                  <c:v>0.91619020087714731</c:v>
                </c:pt>
                <c:pt idx="237">
                  <c:v>0.90100857717120364</c:v>
                </c:pt>
                <c:pt idx="238">
                  <c:v>0.88536921606709096</c:v>
                </c:pt>
                <c:pt idx="239">
                  <c:v>0.86969594848903975</c:v>
                </c:pt>
                <c:pt idx="240">
                  <c:v>0.85528569706519586</c:v>
                </c:pt>
                <c:pt idx="241">
                  <c:v>0.84136708951345951</c:v>
                </c:pt>
                <c:pt idx="242">
                  <c:v>0.82642281112508487</c:v>
                </c:pt>
                <c:pt idx="243">
                  <c:v>0.81201255970124109</c:v>
                </c:pt>
                <c:pt idx="244">
                  <c:v>0.79723781368255886</c:v>
                </c:pt>
                <c:pt idx="245">
                  <c:v>0.78281060902174582</c:v>
                </c:pt>
                <c:pt idx="246">
                  <c:v>0.76789176048882513</c:v>
                </c:pt>
                <c:pt idx="247">
                  <c:v>0.75293052886348133</c:v>
                </c:pt>
                <c:pt idx="248">
                  <c:v>0.7375200364584531</c:v>
                </c:pt>
                <c:pt idx="249">
                  <c:v>0.72236384260796305</c:v>
                </c:pt>
                <c:pt idx="250">
                  <c:v>0.70771624586654991</c:v>
                </c:pt>
                <c:pt idx="251">
                  <c:v>0.69286521028150605</c:v>
                </c:pt>
                <c:pt idx="252">
                  <c:v>0.67763272686465492</c:v>
                </c:pt>
                <c:pt idx="253">
                  <c:v>0.66214594489326495</c:v>
                </c:pt>
                <c:pt idx="254">
                  <c:v>0.64693041471338297</c:v>
                </c:pt>
                <c:pt idx="255">
                  <c:v>0.63129105360927018</c:v>
                </c:pt>
                <c:pt idx="256">
                  <c:v>0.61592294429666483</c:v>
                </c:pt>
                <c:pt idx="257">
                  <c:v>0.60093628281586731</c:v>
                </c:pt>
                <c:pt idx="258">
                  <c:v>0.58622934974506213</c:v>
                </c:pt>
                <c:pt idx="259">
                  <c:v>0.57139526739698754</c:v>
                </c:pt>
                <c:pt idx="260">
                  <c:v>0.55638317606073606</c:v>
                </c:pt>
                <c:pt idx="261">
                  <c:v>0.54125241206570007</c:v>
                </c:pt>
                <c:pt idx="262">
                  <c:v>0.52520617327432584</c:v>
                </c:pt>
                <c:pt idx="263">
                  <c:v>0.50949899922233577</c:v>
                </c:pt>
                <c:pt idx="264">
                  <c:v>0.49400374063246111</c:v>
                </c:pt>
                <c:pt idx="265">
                  <c:v>0.47794054860411772</c:v>
                </c:pt>
                <c:pt idx="266">
                  <c:v>0.46177563715395853</c:v>
                </c:pt>
                <c:pt idx="267">
                  <c:v>0.44590740735076129</c:v>
                </c:pt>
                <c:pt idx="268">
                  <c:v>0.43003917754756393</c:v>
                </c:pt>
                <c:pt idx="269">
                  <c:v>0.41430657364012036</c:v>
                </c:pt>
                <c:pt idx="270">
                  <c:v>0.39833662441510731</c:v>
                </c:pt>
                <c:pt idx="271">
                  <c:v>0.38270573992947898</c:v>
                </c:pt>
                <c:pt idx="272">
                  <c:v>0.36746477989414295</c:v>
                </c:pt>
                <c:pt idx="273">
                  <c:v>0.3527324169678836</c:v>
                </c:pt>
                <c:pt idx="274">
                  <c:v>0.3382882590701014</c:v>
                </c:pt>
                <c:pt idx="275">
                  <c:v>0.32347112995899596</c:v>
                </c:pt>
                <c:pt idx="276">
                  <c:v>0.3085861879000138</c:v>
                </c:pt>
                <c:pt idx="277">
                  <c:v>0.29357409656376232</c:v>
                </c:pt>
                <c:pt idx="278">
                  <c:v>0.27861286493841841</c:v>
                </c:pt>
                <c:pt idx="279">
                  <c:v>0.26314303620399782</c:v>
                </c:pt>
                <c:pt idx="280">
                  <c:v>0.24731718949322334</c:v>
                </c:pt>
                <c:pt idx="281">
                  <c:v>0.23149134278244887</c:v>
                </c:pt>
                <c:pt idx="282">
                  <c:v>0.21608932699590511</c:v>
                </c:pt>
                <c:pt idx="283">
                  <c:v>0.20093313314541505</c:v>
                </c:pt>
                <c:pt idx="284">
                  <c:v>0.18549721088493287</c:v>
                </c:pt>
                <c:pt idx="285">
                  <c:v>0.16979003683294291</c:v>
                </c:pt>
                <c:pt idx="286">
                  <c:v>0.15374379804156868</c:v>
                </c:pt>
                <c:pt idx="287">
                  <c:v>0.13746869055110977</c:v>
                </c:pt>
                <c:pt idx="288">
                  <c:v>0.12140549852276639</c:v>
                </c:pt>
                <c:pt idx="289">
                  <c:v>0.1053762129683613</c:v>
                </c:pt>
                <c:pt idx="290">
                  <c:v>9.0330215158171412E-2</c:v>
                </c:pt>
                <c:pt idx="291">
                  <c:v>7.5962346826750737E-2</c:v>
                </c:pt>
                <c:pt idx="292">
                  <c:v>6.1128264478676253E-2</c:v>
                </c:pt>
                <c:pt idx="293">
                  <c:v>4.6760396147255578E-2</c:v>
                </c:pt>
                <c:pt idx="294">
                  <c:v>3.2494247237650153E-2</c:v>
                </c:pt>
                <c:pt idx="295">
                  <c:v>1.765168827109076E-2</c:v>
                </c:pt>
                <c:pt idx="296">
                  <c:v>3.1397174254316207E-3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8</v>
    <v>8</v>
    <v>1</v>
  </rv>
  <rv s="0">
    <v>2</v>
    <v>8</v>
    <v>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A7" zoomScale="110" zoomScaleNormal="110" workbookViewId="0">
      <selection activeCell="E26" sqref="E26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30" t="s">
        <v>151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152</v>
      </c>
      <c r="E2" s="134"/>
      <c r="F2" s="134"/>
      <c r="G2" s="134"/>
      <c r="H2" s="135"/>
      <c r="Z2"/>
      <c r="AA2"/>
      <c r="AB2"/>
      <c r="AC2"/>
    </row>
    <row r="3" spans="2:34" s="54" customFormat="1" ht="15.75" thickBot="1">
      <c r="B3" s="55"/>
      <c r="C3" s="120" t="s">
        <v>183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2" t="s">
        <v>171</v>
      </c>
      <c r="D4" s="103" t="s">
        <v>276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75">
      <c r="C5" s="102" t="s">
        <v>26</v>
      </c>
      <c r="D5" s="104" t="s">
        <v>45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75">
      <c r="C6" s="102" t="s">
        <v>94</v>
      </c>
      <c r="D6" s="104" t="s">
        <v>42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Breed</v>
      </c>
      <c r="E7" s="92" t="s">
        <v>258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Wheat Grain Breed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45717</v>
      </c>
      <c r="E10" s="67">
        <v>45717</v>
      </c>
      <c r="F10" s="57" t="s">
        <v>146</v>
      </c>
      <c r="G10" s="85" t="str">
        <f>IF(H10="",VLOOKUP(CurrentCropNameFull,CropCoefficients,15,FALSE),H10)</f>
        <v>Maturity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12</v>
      </c>
      <c r="E12" s="69">
        <v>12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13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12</v>
      </c>
      <c r="C14" s="64" t="str">
        <f>"Yield "&amp;CurrentYield_tperHa&amp;" (t/ha)"</f>
        <v>Yield 12 (t/ha)</v>
      </c>
      <c r="D14" s="90" t="str">
        <f ca="1">"requires "&amp;ROUND(SUM('Model Interface'!P8:Q8),0)&amp;" kg N/ha from all sources"</f>
        <v>requires 406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45421</v>
      </c>
      <c r="Z14"/>
      <c r="AA14"/>
      <c r="AB14"/>
      <c r="AC14"/>
    </row>
    <row r="15" spans="2:34" s="55" customFormat="1" ht="16.5" thickBot="1">
      <c r="B15" s="55">
        <f ca="1">SUMIF(B29:B43,1,G29:G43)</f>
        <v>116.42487406087889</v>
      </c>
      <c r="C15" s="105" t="s">
        <v>220</v>
      </c>
      <c r="D15" s="106" t="str">
        <f ca="1">SUMIF(B29:B43,1,G29:G43)&amp;" Kg/ha"</f>
        <v>116.424874060879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9" t="s">
        <v>222</v>
      </c>
      <c r="S15" s="129"/>
      <c r="T15" s="129"/>
      <c r="U15" s="129"/>
      <c r="V15" s="129"/>
      <c r="W15" s="115"/>
      <c r="X15" s="115"/>
      <c r="Y15" s="115"/>
      <c r="Z15" s="127" t="s">
        <v>221</v>
      </c>
      <c r="AA15" s="127"/>
      <c r="AB15" s="127"/>
      <c r="AC15" s="127"/>
      <c r="AD15" s="128" t="s">
        <v>223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0" t="s">
        <v>184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45421</v>
      </c>
      <c r="S18" s="55">
        <f ca="1">IF(R18&gt;1,R18,"")</f>
        <v>45421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0.87518945829361017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0.99999995543201425</v>
      </c>
      <c r="AD18" s="83">
        <f t="array" aca="1" ref="AD18:AD662" ca="1">_xlfn._xlws.FILTER('Model Interface'!X11:X1004,('Model Interface'!X11:X1004&gt;=CurrentHarvestDate+1)*('Model Interface'!X11:X1004&lt;=FollowingHarvestDate),"")</f>
        <v>45718</v>
      </c>
      <c r="AE18" s="55">
        <f ca="1">IF(AD18&gt;1,AD18,"")</f>
        <v>45718</v>
      </c>
      <c r="AF18" s="55">
        <f t="shared" ref="AF18:AF20" ca="1" si="6">VLOOKUP(AE18,ModelOutputs,2,FALSE)</f>
        <v>25.43638630828319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0.59188330563513791</v>
      </c>
      <c r="AK18" s="55">
        <f t="shared" ref="AK18" ca="1" si="10">VLOOKUP(AE18,ModelOutputs,4,FALSE)</f>
        <v>-4.2623739739298205</v>
      </c>
    </row>
    <row r="19" spans="1:37" s="55" customFormat="1">
      <c r="C19" s="57" t="s">
        <v>217</v>
      </c>
      <c r="D19" s="85">
        <f>IF(E19="",60,E19)</f>
        <v>55</v>
      </c>
      <c r="E19" s="16">
        <v>55</v>
      </c>
      <c r="F19" s="94" t="str">
        <f ca="1">ROUND('Model Interface'!N7,0)&amp;" kg N/ha available from SOM mineralisation"</f>
        <v>208 kg N/ha available from SOM mineralisation</v>
      </c>
      <c r="R19" s="83">
        <f ca="1"/>
        <v>45422</v>
      </c>
      <c r="S19" s="55">
        <f t="shared" ref="S19:S82" ca="1" si="11">IF(R19&gt;1,R19,"")</f>
        <v>45422</v>
      </c>
      <c r="T19" s="55">
        <f t="shared" ca="1" si="0"/>
        <v>50.852731365529124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1.745437076344454</v>
      </c>
      <c r="Y19" s="55">
        <f t="shared" ref="Y19:Y82" ca="1" si="14">VLOOKUP(S19,ModelOutputs,4,FALSE)+Y18</f>
        <v>-1.7516252521725562E-2</v>
      </c>
      <c r="Z19">
        <f t="shared" ca="1" si="3"/>
        <v>112.77913043478263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45719</v>
      </c>
      <c r="AE19" s="55">
        <f t="shared" ref="AE19:AE20" ca="1" si="16">IF(AD19&gt;1,AD19,"")</f>
        <v>45719</v>
      </c>
      <c r="AF19" s="55">
        <f t="shared" ca="1" si="6"/>
        <v>22.011361115117122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1.1840887540414942</v>
      </c>
      <c r="AK19" s="55">
        <f t="shared" ref="AK19:AK82" ca="1" si="19">VLOOKUP(AE19,ModelOutputs,4,FALSE)+AK18</f>
        <v>-8.2796046155022456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45423</v>
      </c>
      <c r="S20" s="55">
        <f t="shared" ca="1" si="11"/>
        <v>45423</v>
      </c>
      <c r="T20" s="55">
        <f t="shared" ca="1" si="0"/>
        <v>51.56053273453152</v>
      </c>
      <c r="U20" s="55">
        <f t="shared" ca="1" si="1"/>
        <v>0</v>
      </c>
      <c r="V20" s="55">
        <f t="shared" ca="1" si="2"/>
        <v>0</v>
      </c>
      <c r="W20" s="55">
        <f t="shared" ca="1" si="12"/>
        <v>-0.23964846975809456</v>
      </c>
      <c r="X20" s="55">
        <f t="shared" ca="1" si="13"/>
        <v>2.6760428234915148</v>
      </c>
      <c r="Y20" s="55">
        <f t="shared" ca="1" si="14"/>
        <v>-6.7216090829724795E-4</v>
      </c>
      <c r="Z20">
        <f t="shared" ca="1" si="3"/>
        <v>120</v>
      </c>
      <c r="AA20">
        <f t="shared" ca="1" si="15"/>
        <v>0.84396173913044947</v>
      </c>
      <c r="AB20">
        <f t="shared" ca="1" si="4"/>
        <v>0</v>
      </c>
      <c r="AC20">
        <f t="shared" ca="1" si="5"/>
        <v>0</v>
      </c>
      <c r="AD20" s="83">
        <f ca="1"/>
        <v>45720</v>
      </c>
      <c r="AE20" s="55">
        <f t="shared" ca="1" si="16"/>
        <v>45720</v>
      </c>
      <c r="AF20" s="55">
        <f t="shared" ca="1" si="6"/>
        <v>18.638379374383231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1.7739568790317037</v>
      </c>
      <c r="AK20" s="55">
        <f t="shared" ca="1" si="19"/>
        <v>-12.242454481226348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45424</v>
      </c>
      <c r="S21" s="55">
        <f t="shared" ca="1" si="11"/>
        <v>45424</v>
      </c>
      <c r="T21" s="55">
        <f t="shared" ca="1" si="0"/>
        <v>51.399106020695584</v>
      </c>
      <c r="U21" s="55">
        <f t="shared" ca="1" si="1"/>
        <v>0</v>
      </c>
      <c r="V21" s="55">
        <f t="shared" ca="1" si="2"/>
        <v>0</v>
      </c>
      <c r="W21" s="55">
        <f t="shared" ca="1" si="12"/>
        <v>-1.3237971495047658</v>
      </c>
      <c r="X21" s="55">
        <f t="shared" ca="1" si="13"/>
        <v>3.5526555619276499</v>
      </c>
      <c r="Y21" s="55">
        <f t="shared" ca="1" si="14"/>
        <v>4.543706656629809E-2</v>
      </c>
      <c r="Z21">
        <f t="shared" ca="1" si="3"/>
        <v>120</v>
      </c>
      <c r="AA21">
        <f t="shared" ca="1" si="15"/>
        <v>4.6739617391304478</v>
      </c>
      <c r="AB21">
        <f t="shared" ca="1" si="4"/>
        <v>0</v>
      </c>
      <c r="AC21">
        <f t="shared" ca="1" si="5"/>
        <v>0</v>
      </c>
      <c r="AD21" s="83">
        <f ca="1"/>
        <v>45721</v>
      </c>
      <c r="AE21" s="55">
        <f t="shared" ref="AE21:AE84" ca="1" si="20">IF(AD21&gt;1,AD21,"")</f>
        <v>45721</v>
      </c>
      <c r="AF21" s="55">
        <f t="shared" ref="AF21:AF84" ca="1" si="21">VLOOKUP(AE21,ModelOutputs,2,FALSE)</f>
        <v>15.112384467456495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2.4047058130647265</v>
      </c>
      <c r="AK21" s="55">
        <f t="shared" ca="1" si="19"/>
        <v>-16.399198322186106</v>
      </c>
    </row>
    <row r="22" spans="1:37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45425</v>
      </c>
      <c r="S22" s="55">
        <f t="shared" ca="1" si="11"/>
        <v>45425</v>
      </c>
      <c r="T22" s="55">
        <f t="shared" ca="1" si="0"/>
        <v>51.317617003074702</v>
      </c>
      <c r="U22" s="55">
        <f t="shared" ca="1" si="1"/>
        <v>0</v>
      </c>
      <c r="V22" s="55">
        <f t="shared" ca="1" si="2"/>
        <v>0</v>
      </c>
      <c r="W22" s="55">
        <f t="shared" ca="1" si="12"/>
        <v>-2.3638341874337483</v>
      </c>
      <c r="X22" s="55">
        <f t="shared" ca="1" si="13"/>
        <v>4.4378678043477082</v>
      </c>
      <c r="Y22" s="55">
        <f t="shared" ca="1" si="14"/>
        <v>0.11877284445434166</v>
      </c>
      <c r="Z22">
        <f t="shared" ca="1" si="3"/>
        <v>120</v>
      </c>
      <c r="AA22">
        <f t="shared" ca="1" si="15"/>
        <v>8.3539617391304546</v>
      </c>
      <c r="AB22">
        <f t="shared" ca="1" si="4"/>
        <v>0</v>
      </c>
      <c r="AC22">
        <f t="shared" ca="1" si="5"/>
        <v>0</v>
      </c>
      <c r="AD22" s="83">
        <f ca="1"/>
        <v>45722</v>
      </c>
      <c r="AE22" s="55">
        <f t="shared" ca="1" si="20"/>
        <v>45722</v>
      </c>
      <c r="AF22" s="55">
        <f t="shared" ca="1" si="21"/>
        <v>11.81578662060091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3.0212735094921799</v>
      </c>
      <c r="AK22" s="55">
        <f t="shared" ca="1" si="19"/>
        <v>-20.312363865469145</v>
      </c>
    </row>
    <row r="23" spans="1:37" s="55" customFormat="1">
      <c r="C23" s="57"/>
      <c r="D23" s="85"/>
      <c r="E23" s="113"/>
      <c r="F23" s="94"/>
      <c r="R23" s="83">
        <f ca="1"/>
        <v>45426</v>
      </c>
      <c r="S23" s="55">
        <f t="shared" ca="1" si="11"/>
        <v>45426</v>
      </c>
      <c r="T23" s="55">
        <f t="shared" ca="1" si="0"/>
        <v>50.236119267768856</v>
      </c>
      <c r="U23" s="55">
        <f t="shared" ca="1" si="1"/>
        <v>0</v>
      </c>
      <c r="V23" s="55">
        <f t="shared" ca="1" si="2"/>
        <v>0</v>
      </c>
      <c r="W23" s="55">
        <f t="shared" ca="1" si="12"/>
        <v>-4.4692372265429361</v>
      </c>
      <c r="X23" s="55">
        <f t="shared" ca="1" si="13"/>
        <v>5.3604086455221163</v>
      </c>
      <c r="Y23" s="55">
        <f t="shared" ca="1" si="14"/>
        <v>0.22013730708327378</v>
      </c>
      <c r="Z23">
        <f t="shared" ca="1" si="3"/>
        <v>120</v>
      </c>
      <c r="AA23">
        <f t="shared" ca="1" si="15"/>
        <v>15.963961739130454</v>
      </c>
      <c r="AB23">
        <f t="shared" ca="1" si="4"/>
        <v>0</v>
      </c>
      <c r="AC23">
        <f t="shared" ca="1" si="5"/>
        <v>0</v>
      </c>
      <c r="AD23" s="83">
        <f ca="1"/>
        <v>45723</v>
      </c>
      <c r="AE23" s="55">
        <f t="shared" ca="1" si="20"/>
        <v>45723</v>
      </c>
      <c r="AF23" s="55">
        <f t="shared" ca="1" si="21"/>
        <v>8.4740428438327591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3.6746786150203441</v>
      </c>
      <c r="AK23" s="55">
        <f t="shared" ca="1" si="19"/>
        <v>-24.307512747765461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45427</v>
      </c>
      <c r="S24" s="55">
        <f t="shared" ca="1" si="11"/>
        <v>45427</v>
      </c>
      <c r="T24" s="55">
        <f t="shared" ca="1" si="0"/>
        <v>50.226347572105055</v>
      </c>
      <c r="U24" s="55">
        <f t="shared" ca="1" si="1"/>
        <v>0</v>
      </c>
      <c r="V24" s="55">
        <f t="shared" ca="1" si="2"/>
        <v>0</v>
      </c>
      <c r="W24" s="55">
        <f t="shared" ca="1" si="12"/>
        <v>-5.4733274271365868</v>
      </c>
      <c r="X24" s="55">
        <f t="shared" ca="1" si="13"/>
        <v>6.2354634085191813</v>
      </c>
      <c r="Y24" s="55">
        <f t="shared" ca="1" si="14"/>
        <v>0.33940104901605833</v>
      </c>
      <c r="Z24">
        <f t="shared" ca="1" si="3"/>
        <v>120</v>
      </c>
      <c r="AA24">
        <f t="shared" ca="1" si="15"/>
        <v>19.593961739130464</v>
      </c>
      <c r="AB24">
        <f t="shared" ca="1" si="4"/>
        <v>0</v>
      </c>
      <c r="AC24">
        <f t="shared" ca="1" si="5"/>
        <v>0</v>
      </c>
      <c r="AD24" s="83">
        <f ca="1"/>
        <v>45724</v>
      </c>
      <c r="AE24" s="55">
        <f t="shared" ca="1" si="20"/>
        <v>45724</v>
      </c>
      <c r="AF24" s="55">
        <f t="shared" ca="1" si="21"/>
        <v>5.3484351128004537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4.3312975658598383</v>
      </c>
      <c r="AK24" s="55">
        <f t="shared" ca="1" si="19"/>
        <v>-28.089739429637262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E25</f>
        <v>5</v>
      </c>
      <c r="E25" s="98">
        <v>5</v>
      </c>
      <c r="R25" s="83">
        <f ca="1"/>
        <v>45428</v>
      </c>
      <c r="S25" s="55">
        <f t="shared" ca="1" si="11"/>
        <v>45428</v>
      </c>
      <c r="T25" s="55">
        <f t="shared" ca="1" si="0"/>
        <v>50.515089467530011</v>
      </c>
      <c r="U25" s="55">
        <f t="shared" ca="1" si="1"/>
        <v>0</v>
      </c>
      <c r="V25" s="55">
        <f t="shared" ca="1" si="2"/>
        <v>0</v>
      </c>
      <c r="W25" s="55">
        <f t="shared" ca="1" si="12"/>
        <v>-6.1437871218375131</v>
      </c>
      <c r="X25" s="55">
        <f t="shared" ca="1" si="13"/>
        <v>7.0623169394431713</v>
      </c>
      <c r="Y25" s="55">
        <f t="shared" ca="1" si="14"/>
        <v>0.47174910821794735</v>
      </c>
      <c r="Z25">
        <f t="shared" ca="1" si="3"/>
        <v>120</v>
      </c>
      <c r="AA25">
        <f t="shared" ca="1" si="15"/>
        <v>22.00396173913046</v>
      </c>
      <c r="AB25">
        <f t="shared" ca="1" si="4"/>
        <v>0</v>
      </c>
      <c r="AC25">
        <f t="shared" ca="1" si="5"/>
        <v>0</v>
      </c>
      <c r="AD25" s="83">
        <f ca="1"/>
        <v>45725</v>
      </c>
      <c r="AE25" s="55">
        <f t="shared" ca="1" si="20"/>
        <v>45725</v>
      </c>
      <c r="AF25" s="55">
        <f t="shared" ca="1" si="21"/>
        <v>2.486305232353228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4.9616842962000138</v>
      </c>
      <c r="AK25" s="55">
        <f t="shared" ca="1" si="19"/>
        <v>-31.582256040424664</v>
      </c>
    </row>
    <row r="26" spans="1:37" s="55" customFormat="1" ht="15.75" thickBot="1">
      <c r="C26" s="56"/>
      <c r="D26" s="56"/>
      <c r="E26" s="56"/>
      <c r="F26" s="56"/>
      <c r="R26" s="83">
        <f ca="1"/>
        <v>45429</v>
      </c>
      <c r="S26" s="55">
        <f t="shared" ca="1" si="11"/>
        <v>45429</v>
      </c>
      <c r="T26" s="55">
        <f t="shared" ca="1" si="0"/>
        <v>51.073456470238519</v>
      </c>
      <c r="U26" s="55">
        <f t="shared" ca="1" si="1"/>
        <v>0</v>
      </c>
      <c r="V26" s="55">
        <f t="shared" ca="1" si="2"/>
        <v>0</v>
      </c>
      <c r="W26" s="55">
        <f t="shared" ca="1" si="12"/>
        <v>-6.5066307212826002</v>
      </c>
      <c r="X26" s="55">
        <f t="shared" ca="1" si="13"/>
        <v>7.8419323101693674</v>
      </c>
      <c r="Y26" s="55">
        <f t="shared" ca="1" si="14"/>
        <v>0.61334433964534529</v>
      </c>
      <c r="Z26">
        <f t="shared" ca="1" si="3"/>
        <v>120</v>
      </c>
      <c r="AA26">
        <f t="shared" ca="1" si="15"/>
        <v>23.293961739130467</v>
      </c>
      <c r="AB26">
        <f t="shared" ca="1" si="4"/>
        <v>0</v>
      </c>
      <c r="AC26">
        <f t="shared" ca="1" si="5"/>
        <v>0</v>
      </c>
      <c r="AD26" s="83">
        <f ca="1"/>
        <v>45726</v>
      </c>
      <c r="AE26" s="55">
        <f t="shared" ca="1" si="20"/>
        <v>45726</v>
      </c>
      <c r="AF26" s="55">
        <f t="shared" ca="1" si="21"/>
        <v>-0.27117131652659898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5.6208898386159749</v>
      </c>
      <c r="AK26" s="55">
        <f t="shared" ca="1" si="19"/>
        <v>-34.99893813172045</v>
      </c>
    </row>
    <row r="27" spans="1:37" s="55" customFormat="1" ht="15.75" thickBot="1">
      <c r="C27" s="123" t="s">
        <v>137</v>
      </c>
      <c r="D27" s="124"/>
      <c r="E27" s="60"/>
      <c r="F27" s="125" t="s">
        <v>144</v>
      </c>
      <c r="G27" s="126"/>
      <c r="R27" s="83">
        <f ca="1"/>
        <v>45430</v>
      </c>
      <c r="S27" s="55">
        <f t="shared" ca="1" si="11"/>
        <v>45430</v>
      </c>
      <c r="T27" s="55">
        <f t="shared" ca="1" si="0"/>
        <v>51.734017084832161</v>
      </c>
      <c r="U27" s="55">
        <f t="shared" ca="1" si="1"/>
        <v>0</v>
      </c>
      <c r="V27" s="55">
        <f t="shared" ca="1" si="2"/>
        <v>0</v>
      </c>
      <c r="W27" s="55">
        <f t="shared" ca="1" si="12"/>
        <v>-6.805788298338368</v>
      </c>
      <c r="X27" s="55">
        <f t="shared" ca="1" si="13"/>
        <v>8.6434745384518212</v>
      </c>
      <c r="Y27" s="55">
        <f t="shared" ca="1" si="14"/>
        <v>0.77152030301229291</v>
      </c>
      <c r="Z27">
        <f t="shared" ca="1" si="3"/>
        <v>120</v>
      </c>
      <c r="AA27">
        <f t="shared" ca="1" si="15"/>
        <v>24.343961739130464</v>
      </c>
      <c r="AB27">
        <f t="shared" ca="1" si="4"/>
        <v>0</v>
      </c>
      <c r="AC27">
        <f t="shared" ca="1" si="5"/>
        <v>0</v>
      </c>
      <c r="AD27" s="83">
        <f ca="1"/>
        <v>45727</v>
      </c>
      <c r="AE27" s="55">
        <f t="shared" ca="1" si="20"/>
        <v>45727</v>
      </c>
      <c r="AF27" s="55">
        <f t="shared" ca="1" si="21"/>
        <v>-2.7408124846985134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6.2886589244871676</v>
      </c>
      <c r="AK27" s="55">
        <f t="shared" ca="1" si="19"/>
        <v>-38.136348385763554</v>
      </c>
    </row>
    <row r="28" spans="1:37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45431</v>
      </c>
      <c r="S28" s="55">
        <f t="shared" ca="1" si="11"/>
        <v>45431</v>
      </c>
      <c r="T28" s="55">
        <f t="shared" ca="1" si="0"/>
        <v>52.694084160754649</v>
      </c>
      <c r="U28" s="55">
        <f t="shared" ca="1" si="1"/>
        <v>0</v>
      </c>
      <c r="V28" s="55">
        <f t="shared" ca="1" si="2"/>
        <v>0</v>
      </c>
      <c r="W28" s="55">
        <f t="shared" ca="1" si="12"/>
        <v>-6.805788298338368</v>
      </c>
      <c r="X28" s="55">
        <f t="shared" ca="1" si="13"/>
        <v>9.4347368868534147</v>
      </c>
      <c r="Y28" s="55">
        <f t="shared" ca="1" si="14"/>
        <v>0.9403250305331825</v>
      </c>
      <c r="Z28">
        <f t="shared" ca="1" si="3"/>
        <v>118.34782608695652</v>
      </c>
      <c r="AA28">
        <f t="shared" ca="1" si="15"/>
        <v>24.343961739130464</v>
      </c>
      <c r="AB28">
        <f t="shared" ca="1" si="4"/>
        <v>0</v>
      </c>
      <c r="AC28">
        <f t="shared" ca="1" si="5"/>
        <v>0</v>
      </c>
      <c r="AD28" s="83">
        <f ca="1"/>
        <v>45728</v>
      </c>
      <c r="AE28" s="55">
        <f t="shared" ca="1" si="20"/>
        <v>45728</v>
      </c>
      <c r="AF28" s="55">
        <f t="shared" ca="1" si="21"/>
        <v>-5.0453996207190199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6.9640738079795383</v>
      </c>
      <c r="AK28" s="55">
        <f t="shared" ca="1" si="19"/>
        <v>-41.116350405276435</v>
      </c>
    </row>
    <row r="29" spans="1:37" s="55" customFormat="1">
      <c r="A29" s="83">
        <f t="array" aca="1" ref="A29:A43" ca="1">_xlfn._xlws.FILTER('Model Interface'!X11:X500,'Model Interface'!Y11:Y500&gt;0,"")</f>
        <v>45522</v>
      </c>
      <c r="B29" s="55">
        <f t="shared" ref="B29:B43" ca="1" si="24">IF(AND(NOT(F29=""),F29&gt;=StartSchedullingDate),1,0)</f>
        <v>0</v>
      </c>
      <c r="C29" s="78">
        <v>45522</v>
      </c>
      <c r="D29" s="80">
        <v>100</v>
      </c>
      <c r="F29" s="74">
        <f ca="1">A29</f>
        <v>45522</v>
      </c>
      <c r="G29" s="76">
        <f ca="1">IFERROR(VLOOKUP(F29,'Model Interface'!$J$11:$O$500,6,FALSE),"")</f>
        <v>100</v>
      </c>
      <c r="H29" s="55" t="str">
        <f ca="1">IF(B29=1,"Suggested","Applied or Planned")</f>
        <v>Applied or Planned</v>
      </c>
      <c r="R29" s="83">
        <f ca="1"/>
        <v>45432</v>
      </c>
      <c r="S29" s="55">
        <f t="shared" ca="1" si="11"/>
        <v>45432</v>
      </c>
      <c r="T29" s="55">
        <f t="shared" ca="1" si="0"/>
        <v>53.650764358331863</v>
      </c>
      <c r="U29" s="55">
        <f t="shared" ca="1" si="1"/>
        <v>0</v>
      </c>
      <c r="V29" s="55">
        <f t="shared" ca="1" si="2"/>
        <v>0</v>
      </c>
      <c r="W29" s="55">
        <f t="shared" ca="1" si="12"/>
        <v>-6.8071457381776028</v>
      </c>
      <c r="X29" s="55">
        <f t="shared" ca="1" si="13"/>
        <v>10.215077027128354</v>
      </c>
      <c r="Y29" s="55">
        <f t="shared" ca="1" si="14"/>
        <v>1.1180225276746927</v>
      </c>
      <c r="Z29">
        <f t="shared" ca="1" si="3"/>
        <v>120</v>
      </c>
      <c r="AA29">
        <f t="shared" ca="1" si="15"/>
        <v>24.348555942029009</v>
      </c>
      <c r="AB29">
        <f t="shared" ca="1" si="4"/>
        <v>0</v>
      </c>
      <c r="AC29">
        <f t="shared" ca="1" si="5"/>
        <v>0</v>
      </c>
      <c r="AD29" s="83">
        <f ca="1"/>
        <v>45729</v>
      </c>
      <c r="AE29" s="55">
        <f t="shared" ca="1" si="20"/>
        <v>45729</v>
      </c>
      <c r="AF29" s="55">
        <f t="shared" ca="1" si="21"/>
        <v>-7.0346409967712411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7.5825898215056631</v>
      </c>
      <c r="AK29" s="55">
        <f t="shared" ca="1" si="19"/>
        <v>-43.724107794854781</v>
      </c>
    </row>
    <row r="30" spans="1:37" s="55" customFormat="1">
      <c r="A30" s="83">
        <f ca="1"/>
        <v>45545</v>
      </c>
      <c r="B30" s="55">
        <f t="shared" ca="1" si="24"/>
        <v>0</v>
      </c>
      <c r="C30" s="78">
        <v>45545</v>
      </c>
      <c r="D30" s="81">
        <v>50</v>
      </c>
      <c r="F30" s="74">
        <f t="shared" ref="F30:F43" ca="1" si="25">IFERROR(IF(A30=A29,"",A30),"")</f>
        <v>45545</v>
      </c>
      <c r="G30" s="76">
        <f ca="1">IFERROR(VLOOKUP(F30,'Model Interface'!$J$11:$O$500,6,FALSE),"")</f>
        <v>50</v>
      </c>
      <c r="H30" s="55" t="str">
        <f t="shared" ref="H30:H43" ca="1" si="26">IF(F30="","",IF(F30&lt;=StartSchedullingDate,"Applied or Planned","Suggested"))</f>
        <v>Applied or Planned</v>
      </c>
      <c r="R30" s="83">
        <f ca="1"/>
        <v>45433</v>
      </c>
      <c r="S30" s="55">
        <f t="shared" ca="1" si="11"/>
        <v>45433</v>
      </c>
      <c r="T30" s="55">
        <f t="shared" ca="1" si="0"/>
        <v>53.95917214254019</v>
      </c>
      <c r="U30" s="55">
        <f t="shared" ca="1" si="1"/>
        <v>0</v>
      </c>
      <c r="V30" s="55">
        <f t="shared" ca="1" si="2"/>
        <v>0</v>
      </c>
      <c r="W30" s="55">
        <f t="shared" ca="1" si="12"/>
        <v>-7.3479886867831237</v>
      </c>
      <c r="X30" s="55">
        <f t="shared" ca="1" si="13"/>
        <v>10.895365649379281</v>
      </c>
      <c r="Y30" s="55">
        <f t="shared" ca="1" si="14"/>
        <v>1.2869846382376147</v>
      </c>
      <c r="Z30">
        <f t="shared" ca="1" si="3"/>
        <v>120</v>
      </c>
      <c r="AA30">
        <f t="shared" ca="1" si="15"/>
        <v>26.168555942029016</v>
      </c>
      <c r="AB30">
        <f t="shared" ca="1" si="4"/>
        <v>0</v>
      </c>
      <c r="AC30">
        <f t="shared" ca="1" si="5"/>
        <v>0</v>
      </c>
      <c r="AD30" s="83">
        <f ca="1"/>
        <v>45730</v>
      </c>
      <c r="AE30" s="55">
        <f t="shared" ca="1" si="20"/>
        <v>45730</v>
      </c>
      <c r="AF30" s="55">
        <f t="shared" ca="1" si="21"/>
        <v>-8.9498737889477802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8.2131137933752019</v>
      </c>
      <c r="AK30" s="55">
        <f t="shared" ca="1" si="19"/>
        <v>-46.269864558900863</v>
      </c>
    </row>
    <row r="31" spans="1:37" s="55" customFormat="1">
      <c r="A31" s="83">
        <f ca="1"/>
        <v>45611</v>
      </c>
      <c r="B31" s="55">
        <f t="shared" ca="1" si="24"/>
        <v>1</v>
      </c>
      <c r="C31" s="78"/>
      <c r="D31" s="81"/>
      <c r="F31" s="74">
        <f t="shared" ca="1" si="25"/>
        <v>45611</v>
      </c>
      <c r="G31" s="76">
        <f ca="1">IFERROR(VLOOKUP(F31,'Model Interface'!$J$11:$O$500,6,FALSE),"")</f>
        <v>38.822737879479654</v>
      </c>
      <c r="H31" s="55" t="str">
        <f t="shared" ca="1" si="26"/>
        <v>Suggested</v>
      </c>
      <c r="R31" s="83">
        <f ca="1"/>
        <v>45434</v>
      </c>
      <c r="S31" s="55">
        <f t="shared" ca="1" si="11"/>
        <v>45434</v>
      </c>
      <c r="T31" s="55">
        <f t="shared" ca="1" si="0"/>
        <v>54.307804347031933</v>
      </c>
      <c r="U31" s="55">
        <f t="shared" ca="1" si="1"/>
        <v>0</v>
      </c>
      <c r="V31" s="55">
        <f t="shared" ca="1" si="2"/>
        <v>0</v>
      </c>
      <c r="W31" s="55">
        <f t="shared" ca="1" si="12"/>
        <v>-7.9012986354202734</v>
      </c>
      <c r="X31" s="55">
        <f t="shared" ca="1" si="13"/>
        <v>11.614223066957951</v>
      </c>
      <c r="Y31" s="55">
        <f t="shared" ca="1" si="14"/>
        <v>1.4700693737878372</v>
      </c>
      <c r="Z31">
        <f t="shared" ca="1" si="3"/>
        <v>120</v>
      </c>
      <c r="AA31">
        <f t="shared" ca="1" si="15"/>
        <v>28.01855594202901</v>
      </c>
      <c r="AB31">
        <f t="shared" ca="1" si="4"/>
        <v>0</v>
      </c>
      <c r="AC31">
        <f t="shared" ca="1" si="5"/>
        <v>0</v>
      </c>
      <c r="AD31" s="83">
        <f ca="1"/>
        <v>45731</v>
      </c>
      <c r="AE31" s="55">
        <f t="shared" ca="1" si="20"/>
        <v>45731</v>
      </c>
      <c r="AF31" s="55">
        <f t="shared" ca="1" si="21"/>
        <v>-10.86225572413856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8.8877326514227608</v>
      </c>
      <c r="AK31" s="55">
        <f t="shared" ca="1" si="19"/>
        <v>-48.856865352139202</v>
      </c>
    </row>
    <row r="32" spans="1:37" s="55" customFormat="1">
      <c r="A32" s="83">
        <f ca="1"/>
        <v>45621</v>
      </c>
      <c r="B32" s="55">
        <f t="shared" ca="1" si="24"/>
        <v>1</v>
      </c>
      <c r="C32" s="78"/>
      <c r="D32" s="81"/>
      <c r="F32" s="74">
        <f t="shared" ca="1" si="25"/>
        <v>45621</v>
      </c>
      <c r="G32" s="76">
        <f ca="1">IFERROR(VLOOKUP(F32,'Model Interface'!$J$11:$O$500,6,FALSE),"")</f>
        <v>38.828820430227395</v>
      </c>
      <c r="H32" s="55" t="str">
        <f t="shared" ca="1" si="26"/>
        <v>Suggested</v>
      </c>
      <c r="R32" s="83">
        <f ca="1"/>
        <v>45435</v>
      </c>
      <c r="S32" s="55">
        <f t="shared" ca="1" si="11"/>
        <v>45435</v>
      </c>
      <c r="T32" s="55">
        <f t="shared" ca="1" si="0"/>
        <v>53.854143112870382</v>
      </c>
      <c r="U32" s="55">
        <f t="shared" ca="1" si="1"/>
        <v>0</v>
      </c>
      <c r="V32" s="55">
        <f t="shared" ca="1" si="2"/>
        <v>0</v>
      </c>
      <c r="W32" s="55">
        <f t="shared" ca="1" si="12"/>
        <v>-9.2833988763517397</v>
      </c>
      <c r="X32" s="55">
        <f t="shared" ca="1" si="13"/>
        <v>12.349724427745269</v>
      </c>
      <c r="Y32" s="55">
        <f t="shared" ca="1" si="14"/>
        <v>1.6630070197704347</v>
      </c>
      <c r="Z32">
        <f t="shared" ca="1" si="3"/>
        <v>120</v>
      </c>
      <c r="AA32">
        <f t="shared" ca="1" si="15"/>
        <v>32.678555942029021</v>
      </c>
      <c r="AB32">
        <f t="shared" ca="1" si="4"/>
        <v>0</v>
      </c>
      <c r="AC32">
        <f t="shared" ca="1" si="5"/>
        <v>0</v>
      </c>
      <c r="AD32" s="83">
        <f ca="1"/>
        <v>45732</v>
      </c>
      <c r="AE32" s="55">
        <f t="shared" ca="1" si="20"/>
        <v>45732</v>
      </c>
      <c r="AF32" s="55">
        <f t="shared" ca="1" si="21"/>
        <v>-12.68447615001128</v>
      </c>
      <c r="AG32" s="55">
        <f t="shared" ca="1" si="22"/>
        <v>3.0416038153700913</v>
      </c>
      <c r="AH32" s="55">
        <f t="shared" ca="1" si="23"/>
        <v>0</v>
      </c>
      <c r="AI32" s="55">
        <f t="shared" ca="1" si="17"/>
        <v>0</v>
      </c>
      <c r="AJ32" s="55">
        <f t="shared" ca="1" si="18"/>
        <v>9.619658024584556</v>
      </c>
      <c r="AK32" s="55">
        <f t="shared" ca="1" si="19"/>
        <v>-51.411011151173717</v>
      </c>
    </row>
    <row r="33" spans="1:37" s="55" customFormat="1">
      <c r="A33" s="83">
        <f ca="1"/>
        <v>45637</v>
      </c>
      <c r="B33" s="55">
        <f t="shared" ca="1" si="24"/>
        <v>1</v>
      </c>
      <c r="C33" s="78"/>
      <c r="D33" s="81"/>
      <c r="F33" s="74">
        <f t="shared" ca="1" si="25"/>
        <v>45637</v>
      </c>
      <c r="G33" s="76">
        <f ca="1">IFERROR(VLOOKUP(F33,'Model Interface'!$J$11:$O$500,6,FALSE),"")</f>
        <v>38.77331575117185</v>
      </c>
      <c r="H33" s="55" t="str">
        <f t="shared" ca="1" si="26"/>
        <v>Suggested</v>
      </c>
      <c r="R33" s="83">
        <f ca="1"/>
        <v>45436</v>
      </c>
      <c r="S33" s="55">
        <f t="shared" ca="1" si="11"/>
        <v>45436</v>
      </c>
      <c r="T33" s="55">
        <f t="shared" ca="1" si="0"/>
        <v>54.12133037449459</v>
      </c>
      <c r="U33" s="55">
        <f t="shared" ca="1" si="1"/>
        <v>2.819115041020674</v>
      </c>
      <c r="V33" s="55">
        <f t="shared" ca="1" si="2"/>
        <v>0</v>
      </c>
      <c r="W33" s="55">
        <f t="shared" ca="1" si="12"/>
        <v>-9.9331685876884279</v>
      </c>
      <c r="X33" s="55">
        <f t="shared" ca="1" si="13"/>
        <v>13.070649191120197</v>
      </c>
      <c r="Y33" s="55">
        <f t="shared" ca="1" si="14"/>
        <v>1.8590392293564044</v>
      </c>
      <c r="Z33">
        <f t="shared" ca="1" si="3"/>
        <v>120</v>
      </c>
      <c r="AA33">
        <f t="shared" ca="1" si="15"/>
        <v>34.858555942029028</v>
      </c>
      <c r="AB33">
        <f t="shared" ca="1" si="4"/>
        <v>0</v>
      </c>
      <c r="AC33">
        <f t="shared" ca="1" si="5"/>
        <v>7.193858067430425E-3</v>
      </c>
      <c r="AD33" s="83">
        <f ca="1"/>
        <v>45733</v>
      </c>
      <c r="AE33" s="55">
        <f t="shared" ca="1" si="20"/>
        <v>45733</v>
      </c>
      <c r="AF33" s="55">
        <f t="shared" ca="1" si="21"/>
        <v>-14.439928702718223</v>
      </c>
      <c r="AG33" s="55">
        <f t="shared" ca="1" si="22"/>
        <v>3.3122740356740317</v>
      </c>
      <c r="AH33" s="55">
        <f t="shared" ca="1" si="23"/>
        <v>0</v>
      </c>
      <c r="AI33" s="55">
        <f t="shared" ca="1" si="17"/>
        <v>0</v>
      </c>
      <c r="AJ33" s="55">
        <f t="shared" ca="1" si="18"/>
        <v>10.261712385510231</v>
      </c>
      <c r="AK33" s="55">
        <f t="shared" ca="1" si="19"/>
        <v>-53.537847844502394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45437</v>
      </c>
      <c r="S34" s="55">
        <f t="shared" ca="1" si="11"/>
        <v>45437</v>
      </c>
      <c r="T34" s="55">
        <f t="shared" ca="1" si="0"/>
        <v>53.484005630138753</v>
      </c>
      <c r="U34" s="55">
        <f t="shared" ca="1" si="1"/>
        <v>2.9048906145022437</v>
      </c>
      <c r="V34" s="55">
        <f t="shared" ca="1" si="2"/>
        <v>0</v>
      </c>
      <c r="W34" s="55">
        <f t="shared" ca="1" si="12"/>
        <v>-11.441262520355066</v>
      </c>
      <c r="X34" s="55">
        <f t="shared" ca="1" si="13"/>
        <v>13.820204514939332</v>
      </c>
      <c r="Y34" s="55">
        <f t="shared" ca="1" si="14"/>
        <v>2.0660286673296406</v>
      </c>
      <c r="Z34">
        <f t="shared" ca="1" si="3"/>
        <v>120</v>
      </c>
      <c r="AA34">
        <f t="shared" ca="1" si="15"/>
        <v>39.978555942029033</v>
      </c>
      <c r="AB34">
        <f t="shared" ca="1" si="4"/>
        <v>0</v>
      </c>
      <c r="AC34">
        <f t="shared" ca="1" si="5"/>
        <v>7.7533376630589904E-3</v>
      </c>
      <c r="AD34" s="83">
        <f ca="1"/>
        <v>45734</v>
      </c>
      <c r="AE34" s="55">
        <f t="shared" ca="1" si="20"/>
        <v>45734</v>
      </c>
      <c r="AF34" s="55">
        <f t="shared" ca="1" si="21"/>
        <v>-15.982208980511265</v>
      </c>
      <c r="AG34" s="55">
        <f t="shared" ca="1" si="22"/>
        <v>3.586949336770874</v>
      </c>
      <c r="AH34" s="55">
        <f t="shared" ca="1" si="23"/>
        <v>0</v>
      </c>
      <c r="AI34" s="55">
        <f t="shared" ca="1" si="17"/>
        <v>0</v>
      </c>
      <c r="AJ34" s="55">
        <f t="shared" ca="1" si="18"/>
        <v>10.894273720659172</v>
      </c>
      <c r="AK34" s="55">
        <f t="shared" ca="1" si="19"/>
        <v>-55.438014156347535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45438</v>
      </c>
      <c r="S35" s="55">
        <f t="shared" ca="1" si="11"/>
        <v>45438</v>
      </c>
      <c r="T35" s="55">
        <f t="shared" ca="1" si="0"/>
        <v>53.803829518007305</v>
      </c>
      <c r="U35" s="55">
        <f t="shared" ca="1" si="1"/>
        <v>2.9883673005953502</v>
      </c>
      <c r="V35" s="55">
        <f t="shared" ca="1" si="2"/>
        <v>0</v>
      </c>
      <c r="W35" s="55">
        <f t="shared" ca="1" si="12"/>
        <v>-11.947954236598559</v>
      </c>
      <c r="X35" s="55">
        <f t="shared" ca="1" si="13"/>
        <v>14.527417780387841</v>
      </c>
      <c r="Y35" s="55">
        <f t="shared" ca="1" si="14"/>
        <v>2.2688076920862845</v>
      </c>
      <c r="Z35">
        <f t="shared" ca="1" si="3"/>
        <v>120</v>
      </c>
      <c r="AA35">
        <f t="shared" ca="1" si="15"/>
        <v>41.688555942029026</v>
      </c>
      <c r="AB35">
        <f t="shared" ca="1" si="4"/>
        <v>0</v>
      </c>
      <c r="AC35">
        <f t="shared" ca="1" si="5"/>
        <v>8.32191607107057E-3</v>
      </c>
      <c r="AD35" s="83">
        <f ca="1"/>
        <v>45735</v>
      </c>
      <c r="AE35" s="55">
        <f t="shared" ca="1" si="20"/>
        <v>45735</v>
      </c>
      <c r="AF35" s="55">
        <f t="shared" ca="1" si="21"/>
        <v>-17.489309820752297</v>
      </c>
      <c r="AG35" s="55">
        <f t="shared" ca="1" si="22"/>
        <v>3.8985062504134667</v>
      </c>
      <c r="AH35" s="55">
        <f t="shared" ca="1" si="23"/>
        <v>0</v>
      </c>
      <c r="AI35" s="55">
        <f t="shared" ca="1" si="17"/>
        <v>0</v>
      </c>
      <c r="AJ35" s="55">
        <f t="shared" ca="1" si="18"/>
        <v>11.542937864964793</v>
      </c>
      <c r="AK35" s="55">
        <f t="shared" ca="1" si="19"/>
        <v>-57.282222227251594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23" t="s">
        <v>138</v>
      </c>
      <c r="D36" s="124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45439</v>
      </c>
      <c r="S36" s="55">
        <f t="shared" ca="1" si="11"/>
        <v>45439</v>
      </c>
      <c r="T36" s="55">
        <f t="shared" ca="1" si="0"/>
        <v>54.083071969625287</v>
      </c>
      <c r="U36" s="55">
        <f t="shared" ca="1" si="1"/>
        <v>3.0718367336788348</v>
      </c>
      <c r="V36" s="55">
        <f t="shared" ca="1" si="2"/>
        <v>0</v>
      </c>
      <c r="W36" s="55">
        <f t="shared" ca="1" si="12"/>
        <v>-12.475146616406818</v>
      </c>
      <c r="X36" s="55">
        <f t="shared" ca="1" si="13"/>
        <v>15.215044609963639</v>
      </c>
      <c r="Y36" s="55">
        <f t="shared" ca="1" si="14"/>
        <v>2.4710851270202205</v>
      </c>
      <c r="Z36">
        <f t="shared" ca="1" si="3"/>
        <v>120</v>
      </c>
      <c r="AA36">
        <f t="shared" ca="1" si="15"/>
        <v>43.458555942029022</v>
      </c>
      <c r="AB36">
        <f t="shared" ca="1" si="4"/>
        <v>0</v>
      </c>
      <c r="AC36">
        <f t="shared" ca="1" si="5"/>
        <v>8.9145049675023319E-3</v>
      </c>
      <c r="AD36" s="83">
        <f ca="1"/>
        <v>45736</v>
      </c>
      <c r="AE36" s="55">
        <f t="shared" ca="1" si="20"/>
        <v>45736</v>
      </c>
      <c r="AF36" s="55">
        <f t="shared" ca="1" si="21"/>
        <v>-18.959700091258902</v>
      </c>
      <c r="AG36" s="55">
        <f t="shared" ca="1" si="22"/>
        <v>4.2485436027983612</v>
      </c>
      <c r="AH36" s="55">
        <f t="shared" ca="1" si="23"/>
        <v>0</v>
      </c>
      <c r="AI36" s="55">
        <f t="shared" ca="1" si="17"/>
        <v>0</v>
      </c>
      <c r="AJ36" s="55">
        <f t="shared" ca="1" si="18"/>
        <v>12.192525139383699</v>
      </c>
      <c r="AK36" s="55">
        <f t="shared" ca="1" si="19"/>
        <v>-59.052162419792211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45440</v>
      </c>
      <c r="S37" s="55">
        <f t="shared" ca="1" si="11"/>
        <v>45440</v>
      </c>
      <c r="T37" s="55">
        <f t="shared" ca="1" si="0"/>
        <v>54.288871014492223</v>
      </c>
      <c r="U37" s="55">
        <f t="shared" ca="1" si="1"/>
        <v>3.1620212773831886</v>
      </c>
      <c r="V37" s="55">
        <f t="shared" ca="1" si="2"/>
        <v>0</v>
      </c>
      <c r="W37" s="55">
        <f t="shared" ca="1" si="12"/>
        <v>-13.114968499145732</v>
      </c>
      <c r="X37" s="55">
        <f t="shared" ca="1" si="13"/>
        <v>15.93804047210061</v>
      </c>
      <c r="Y37" s="55">
        <f t="shared" ca="1" si="14"/>
        <v>2.683894736193456</v>
      </c>
      <c r="Z37">
        <f t="shared" ca="1" si="3"/>
        <v>120</v>
      </c>
      <c r="AA37">
        <f t="shared" ca="1" si="15"/>
        <v>45.598555942029023</v>
      </c>
      <c r="AB37">
        <f t="shared" ca="1" si="4"/>
        <v>0</v>
      </c>
      <c r="AC37">
        <f t="shared" ca="1" si="5"/>
        <v>9.5821360720309522E-3</v>
      </c>
      <c r="AD37" s="83">
        <f ca="1"/>
        <v>45737</v>
      </c>
      <c r="AE37" s="55">
        <f t="shared" ca="1" si="20"/>
        <v>45737</v>
      </c>
      <c r="AF37" s="55">
        <f t="shared" ca="1" si="21"/>
        <v>-20.373006890351625</v>
      </c>
      <c r="AG37" s="55">
        <f t="shared" ca="1" si="22"/>
        <v>4.6388742706270518</v>
      </c>
      <c r="AH37" s="55">
        <f t="shared" ca="1" si="23"/>
        <v>0</v>
      </c>
      <c r="AI37" s="55">
        <f t="shared" ca="1" si="17"/>
        <v>0</v>
      </c>
      <c r="AJ37" s="55">
        <f t="shared" ca="1" si="18"/>
        <v>12.85210867546216</v>
      </c>
      <c r="AK37" s="55">
        <f t="shared" ca="1" si="19"/>
        <v>-60.734722087134706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45458</v>
      </c>
      <c r="D38" s="81">
        <v>50</v>
      </c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45441</v>
      </c>
      <c r="S38" s="55">
        <f t="shared" ca="1" si="11"/>
        <v>45441</v>
      </c>
      <c r="T38" s="55">
        <f t="shared" ca="1" si="0"/>
        <v>54.792361879538788</v>
      </c>
      <c r="U38" s="55">
        <f t="shared" ca="1" si="1"/>
        <v>3.2449093563449791</v>
      </c>
      <c r="V38" s="55">
        <f t="shared" ca="1" si="2"/>
        <v>0</v>
      </c>
      <c r="W38" s="55">
        <f t="shared" ca="1" si="12"/>
        <v>-13.374477830482446</v>
      </c>
      <c r="X38" s="55">
        <f t="shared" ca="1" si="13"/>
        <v>16.584958154583457</v>
      </c>
      <c r="Y38" s="55">
        <f t="shared" ca="1" si="14"/>
        <v>2.8828653290556856</v>
      </c>
      <c r="Z38">
        <f t="shared" ca="1" si="3"/>
        <v>120</v>
      </c>
      <c r="AA38">
        <f t="shared" ca="1" si="15"/>
        <v>46.458555942029022</v>
      </c>
      <c r="AB38">
        <f t="shared" ca="1" si="4"/>
        <v>0</v>
      </c>
      <c r="AC38">
        <f t="shared" ca="1" si="5"/>
        <v>1.0221112304099127E-2</v>
      </c>
      <c r="AD38" s="83">
        <f ca="1"/>
        <v>45738</v>
      </c>
      <c r="AE38" s="55">
        <f t="shared" ca="1" si="20"/>
        <v>45738</v>
      </c>
      <c r="AF38" s="55">
        <f t="shared" ca="1" si="21"/>
        <v>-21.720562581308993</v>
      </c>
      <c r="AG38" s="55">
        <f t="shared" ca="1" si="22"/>
        <v>5.0723700512351355</v>
      </c>
      <c r="AH38" s="55">
        <f t="shared" ca="1" si="23"/>
        <v>0</v>
      </c>
      <c r="AI38" s="55">
        <f t="shared" ca="1" si="17"/>
        <v>0</v>
      </c>
      <c r="AJ38" s="55">
        <f t="shared" ca="1" si="18"/>
        <v>13.527089946189166</v>
      </c>
      <c r="AK38" s="55">
        <f t="shared" ca="1" si="19"/>
        <v>-62.323763268210996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45442</v>
      </c>
      <c r="S39" s="55">
        <f t="shared" ca="1" si="11"/>
        <v>45442</v>
      </c>
      <c r="T39" s="55">
        <f t="shared" ca="1" si="0"/>
        <v>54.479086678709152</v>
      </c>
      <c r="U39" s="55">
        <f t="shared" ca="1" si="1"/>
        <v>3.3304874812413705</v>
      </c>
      <c r="V39" s="55">
        <f t="shared" ca="1" si="2"/>
        <v>0</v>
      </c>
      <c r="W39" s="55">
        <f t="shared" ca="1" si="12"/>
        <v>-14.454584940286422</v>
      </c>
      <c r="X39" s="55">
        <f t="shared" ca="1" si="13"/>
        <v>17.235746360284264</v>
      </c>
      <c r="Y39" s="55">
        <f t="shared" ca="1" si="14"/>
        <v>3.0844871572256132</v>
      </c>
      <c r="Z39">
        <f t="shared" ca="1" si="3"/>
        <v>120</v>
      </c>
      <c r="AA39">
        <f t="shared" ca="1" si="15"/>
        <v>50.058555942029031</v>
      </c>
      <c r="AB39">
        <f t="shared" ca="1" si="4"/>
        <v>0</v>
      </c>
      <c r="AC39">
        <f t="shared" ca="1" si="5"/>
        <v>1.0906596876484527E-2</v>
      </c>
      <c r="AD39" s="83">
        <f ca="1"/>
        <v>45739</v>
      </c>
      <c r="AE39" s="55">
        <f t="shared" ca="1" si="20"/>
        <v>45739</v>
      </c>
      <c r="AF39" s="55">
        <f t="shared" ca="1" si="21"/>
        <v>-22.996171438029286</v>
      </c>
      <c r="AG39" s="55">
        <f t="shared" ca="1" si="22"/>
        <v>5.5509076302143336</v>
      </c>
      <c r="AH39" s="55">
        <f t="shared" ca="1" si="23"/>
        <v>0</v>
      </c>
      <c r="AI39" s="55">
        <f t="shared" ca="1" si="17"/>
        <v>0</v>
      </c>
      <c r="AJ39" s="55">
        <f t="shared" ca="1" si="18"/>
        <v>14.219120094058537</v>
      </c>
      <c r="AK39" s="55">
        <f t="shared" ca="1" si="19"/>
        <v>-63.81286469382146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45443</v>
      </c>
      <c r="S40" s="55">
        <f t="shared" ca="1" si="11"/>
        <v>45443</v>
      </c>
      <c r="T40" s="55">
        <f t="shared" ca="1" si="0"/>
        <v>54.862949847810761</v>
      </c>
      <c r="U40" s="55">
        <f t="shared" ca="1" si="1"/>
        <v>3.4208669745787668</v>
      </c>
      <c r="V40" s="55">
        <f t="shared" ca="1" si="2"/>
        <v>0</v>
      </c>
      <c r="W40" s="55">
        <f t="shared" ca="1" si="12"/>
        <v>-14.856436170041256</v>
      </c>
      <c r="X40" s="55">
        <f t="shared" ca="1" si="13"/>
        <v>17.90479240110059</v>
      </c>
      <c r="Y40" s="55">
        <f t="shared" ca="1" si="14"/>
        <v>3.2915350086031205</v>
      </c>
      <c r="Z40">
        <f t="shared" ca="1" si="3"/>
        <v>120</v>
      </c>
      <c r="AA40">
        <f t="shared" ca="1" si="15"/>
        <v>51.388555942029029</v>
      </c>
      <c r="AB40">
        <f t="shared" ca="1" si="4"/>
        <v>0</v>
      </c>
      <c r="AC40">
        <f t="shared" ca="1" si="5"/>
        <v>1.1659270745361687E-2</v>
      </c>
      <c r="AD40" s="83">
        <f ca="1"/>
        <v>45740</v>
      </c>
      <c r="AE40" s="55">
        <f t="shared" ca="1" si="20"/>
        <v>45740</v>
      </c>
      <c r="AF40" s="55">
        <f t="shared" ca="1" si="21"/>
        <v>-24.128109997809055</v>
      </c>
      <c r="AG40" s="55">
        <f t="shared" ca="1" si="22"/>
        <v>6.0480338976812318</v>
      </c>
      <c r="AH40" s="55">
        <f t="shared" ca="1" si="23"/>
        <v>0</v>
      </c>
      <c r="AI40" s="55">
        <f t="shared" ca="1" si="17"/>
        <v>0</v>
      </c>
      <c r="AJ40" s="55">
        <f t="shared" ca="1" si="18"/>
        <v>14.91490966858998</v>
      </c>
      <c r="AK40" s="55">
        <f t="shared" ca="1" si="19"/>
        <v>-65.143466560665772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45444</v>
      </c>
      <c r="S41" s="55">
        <f t="shared" ca="1" si="11"/>
        <v>45444</v>
      </c>
      <c r="T41" s="55">
        <f t="shared" ca="1" si="0"/>
        <v>55.116145995588447</v>
      </c>
      <c r="U41" s="55">
        <f t="shared" ca="1" si="1"/>
        <v>3.5136778660707804</v>
      </c>
      <c r="V41" s="55">
        <f t="shared" ca="1" si="2"/>
        <v>0</v>
      </c>
      <c r="W41" s="55">
        <f t="shared" ca="1" si="12"/>
        <v>-15.387628011882796</v>
      </c>
      <c r="X41" s="55">
        <f t="shared" ca="1" si="13"/>
        <v>18.573838441916916</v>
      </c>
      <c r="Y41" s="55">
        <f t="shared" ca="1" si="14"/>
        <v>3.4996878488980383</v>
      </c>
      <c r="Z41">
        <f t="shared" ca="1" si="3"/>
        <v>120</v>
      </c>
      <c r="AA41">
        <f t="shared" ca="1" si="15"/>
        <v>53.138555942029029</v>
      </c>
      <c r="AB41">
        <f t="shared" ca="1" si="4"/>
        <v>0</v>
      </c>
      <c r="AC41">
        <f t="shared" ca="1" si="5"/>
        <v>1.2463232789398957E-2</v>
      </c>
      <c r="AD41" s="83">
        <f ca="1"/>
        <v>45741</v>
      </c>
      <c r="AE41" s="55">
        <f t="shared" ca="1" si="20"/>
        <v>45741</v>
      </c>
      <c r="AF41" s="55">
        <f t="shared" ca="1" si="21"/>
        <v>-25.23870672153317</v>
      </c>
      <c r="AG41" s="55">
        <f t="shared" ca="1" si="22"/>
        <v>6.6211533176729391</v>
      </c>
      <c r="AH41" s="55">
        <f t="shared" ca="1" si="23"/>
        <v>0</v>
      </c>
      <c r="AI41" s="55">
        <f t="shared" ca="1" si="17"/>
        <v>0</v>
      </c>
      <c r="AJ41" s="55">
        <f t="shared" ca="1" si="18"/>
        <v>15.667153136483574</v>
      </c>
      <c r="AK41" s="55">
        <f t="shared" ca="1" si="19"/>
        <v>-66.433187332291766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45445</v>
      </c>
      <c r="S42" s="55">
        <f t="shared" ca="1" si="11"/>
        <v>45445</v>
      </c>
      <c r="T42" s="55">
        <f t="shared" ca="1" si="0"/>
        <v>55.643528566144369</v>
      </c>
      <c r="U42" s="55">
        <f t="shared" ca="1" si="1"/>
        <v>3.6080187644764909</v>
      </c>
      <c r="V42" s="55">
        <f t="shared" ca="1" si="2"/>
        <v>0</v>
      </c>
      <c r="W42" s="55">
        <f t="shared" ca="1" si="12"/>
        <v>-15.635846534964815</v>
      </c>
      <c r="X42" s="55">
        <f t="shared" ca="1" si="13"/>
        <v>19.236326832440806</v>
      </c>
      <c r="Y42" s="55">
        <f t="shared" ca="1" si="14"/>
        <v>3.7071414504177955</v>
      </c>
      <c r="Z42">
        <f t="shared" ca="1" si="3"/>
        <v>120</v>
      </c>
      <c r="AA42">
        <f t="shared" ca="1" si="15"/>
        <v>53.948555942029031</v>
      </c>
      <c r="AB42">
        <f t="shared" ca="1" si="4"/>
        <v>0</v>
      </c>
      <c r="AC42">
        <f t="shared" ca="1" si="5"/>
        <v>1.3313015676785419E-2</v>
      </c>
      <c r="AD42" s="83">
        <f ca="1"/>
        <v>45742</v>
      </c>
      <c r="AE42" s="55">
        <f t="shared" ca="1" si="20"/>
        <v>45742</v>
      </c>
      <c r="AF42" s="55">
        <f t="shared" ca="1" si="21"/>
        <v>-26.282638923388923</v>
      </c>
      <c r="AG42" s="55">
        <f t="shared" ca="1" si="22"/>
        <v>7.2558834926841627</v>
      </c>
      <c r="AH42" s="55">
        <f t="shared" ca="1" si="23"/>
        <v>0</v>
      </c>
      <c r="AI42" s="55">
        <f t="shared" ca="1" si="17"/>
        <v>0</v>
      </c>
      <c r="AJ42" s="55">
        <f t="shared" ca="1" si="18"/>
        <v>16.461498430656995</v>
      </c>
      <c r="AK42" s="55">
        <f t="shared" ca="1" si="19"/>
        <v>-67.636734653309716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45446</v>
      </c>
      <c r="S43" s="55">
        <f t="shared" ca="1" si="11"/>
        <v>45446</v>
      </c>
      <c r="T43" s="55">
        <f t="shared" ca="1" si="0"/>
        <v>56.033426664884324</v>
      </c>
      <c r="U43" s="55">
        <f t="shared" ca="1" si="1"/>
        <v>3.7152915008674166</v>
      </c>
      <c r="V43" s="55">
        <f t="shared" ca="1" si="2"/>
        <v>0</v>
      </c>
      <c r="W43" s="55">
        <f t="shared" ca="1" si="12"/>
        <v>-16.095645465075791</v>
      </c>
      <c r="X43" s="55">
        <f t="shared" ca="1" si="13"/>
        <v>19.969734541556953</v>
      </c>
      <c r="Y43" s="55">
        <f t="shared" ca="1" si="14"/>
        <v>3.9307035065435052</v>
      </c>
      <c r="Z43">
        <f t="shared" ca="1" si="3"/>
        <v>120</v>
      </c>
      <c r="AA43">
        <f t="shared" ca="1" si="15"/>
        <v>55.438555942029026</v>
      </c>
      <c r="AB43">
        <f t="shared" ca="1" si="4"/>
        <v>0</v>
      </c>
      <c r="AC43">
        <f t="shared" ca="1" si="5"/>
        <v>1.4319591122954597E-2</v>
      </c>
      <c r="AD43" s="83">
        <f ca="1"/>
        <v>45743</v>
      </c>
      <c r="AE43" s="55">
        <f t="shared" ca="1" si="20"/>
        <v>45743</v>
      </c>
      <c r="AF43" s="55">
        <f t="shared" ca="1" si="21"/>
        <v>-27.30879013722901</v>
      </c>
      <c r="AG43" s="55">
        <f t="shared" ca="1" si="22"/>
        <v>7.9665778812599628</v>
      </c>
      <c r="AH43" s="55">
        <f t="shared" ca="1" si="23"/>
        <v>0</v>
      </c>
      <c r="AI43" s="55">
        <f t="shared" ca="1" si="17"/>
        <v>0</v>
      </c>
      <c r="AJ43" s="55">
        <f t="shared" ca="1" si="18"/>
        <v>17.274802681583363</v>
      </c>
      <c r="AK43" s="55">
        <f t="shared" ca="1" si="19"/>
        <v>-68.765495729500373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149</v>
      </c>
      <c r="D44" s="96">
        <f ca="1">MAX(CurrentEstablishDate,C38:C43,MAX(C29:C34)+1)</f>
        <v>45546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45447</v>
      </c>
      <c r="S44" s="55">
        <f t="shared" ca="1" si="11"/>
        <v>45447</v>
      </c>
      <c r="T44" s="55">
        <f t="shared" ca="1" si="0"/>
        <v>55.848822872225078</v>
      </c>
      <c r="U44" s="55">
        <f t="shared" ca="1" si="1"/>
        <v>3.8230641217553165</v>
      </c>
      <c r="V44" s="55">
        <f t="shared" ca="1" si="2"/>
        <v>0</v>
      </c>
      <c r="W44" s="55">
        <f t="shared" ca="1" si="12"/>
        <v>-17.107561383262105</v>
      </c>
      <c r="X44" s="55">
        <f t="shared" ca="1" si="13"/>
        <v>20.685154718138723</v>
      </c>
      <c r="Y44" s="55">
        <f t="shared" ca="1" si="14"/>
        <v>4.150368076376707</v>
      </c>
      <c r="Z44">
        <f t="shared" ca="1" si="3"/>
        <v>120</v>
      </c>
      <c r="AA44">
        <f t="shared" ca="1" si="15"/>
        <v>58.728555942029018</v>
      </c>
      <c r="AB44">
        <f t="shared" ca="1" si="4"/>
        <v>0</v>
      </c>
      <c r="AC44">
        <f t="shared" ca="1" si="5"/>
        <v>1.5374496108809721E-2</v>
      </c>
      <c r="AD44" s="83">
        <f ca="1"/>
        <v>45744</v>
      </c>
      <c r="AE44" s="55">
        <f t="shared" ca="1" si="20"/>
        <v>45744</v>
      </c>
      <c r="AF44" s="55">
        <f t="shared" ca="1" si="21"/>
        <v>-28.220705332650191</v>
      </c>
      <c r="AG44" s="55">
        <f t="shared" ca="1" si="22"/>
        <v>8.6583539535869694</v>
      </c>
      <c r="AH44" s="55">
        <f t="shared" ca="1" si="23"/>
        <v>0</v>
      </c>
      <c r="AI44" s="55">
        <f t="shared" ca="1" si="17"/>
        <v>0</v>
      </c>
      <c r="AJ44" s="55">
        <f t="shared" ca="1" si="18"/>
        <v>18.003355947855063</v>
      </c>
      <c r="AK44" s="55">
        <f t="shared" ca="1" si="19"/>
        <v>-69.714188118866247</v>
      </c>
    </row>
    <row r="45" spans="1:37" s="55" customFormat="1">
      <c r="R45" s="83">
        <f ca="1"/>
        <v>45448</v>
      </c>
      <c r="S45" s="55">
        <f t="shared" ca="1" si="11"/>
        <v>45448</v>
      </c>
      <c r="T45" s="55">
        <f t="shared" ca="1" si="0"/>
        <v>55.331666495628291</v>
      </c>
      <c r="U45" s="55">
        <f t="shared" ca="1" si="1"/>
        <v>3.9325654648684227</v>
      </c>
      <c r="V45" s="55">
        <f t="shared" ca="1" si="2"/>
        <v>0</v>
      </c>
      <c r="W45" s="55">
        <f t="shared" ca="1" si="12"/>
        <v>-18.439210156923561</v>
      </c>
      <c r="X45" s="55">
        <f t="shared" ca="1" si="13"/>
        <v>21.391686778093995</v>
      </c>
      <c r="Y45" s="55">
        <f t="shared" ca="1" si="14"/>
        <v>4.3678297565992139</v>
      </c>
      <c r="Z45">
        <f t="shared" ca="1" si="3"/>
        <v>120</v>
      </c>
      <c r="AA45">
        <f t="shared" ca="1" si="15"/>
        <v>63.098555942029023</v>
      </c>
      <c r="AB45">
        <f t="shared" ca="1" si="4"/>
        <v>0</v>
      </c>
      <c r="AC45">
        <f t="shared" ca="1" si="5"/>
        <v>1.6491575462628461E-2</v>
      </c>
      <c r="AD45" s="83">
        <f ca="1"/>
        <v>45745</v>
      </c>
      <c r="AE45" s="55">
        <f t="shared" ca="1" si="20"/>
        <v>45745</v>
      </c>
      <c r="AF45" s="55">
        <f t="shared" ca="1" si="21"/>
        <v>-29.137577283936473</v>
      </c>
      <c r="AG45" s="55">
        <f t="shared" ca="1" si="22"/>
        <v>9.4387346424220553</v>
      </c>
      <c r="AH45" s="55">
        <f t="shared" ca="1" si="23"/>
        <v>0</v>
      </c>
      <c r="AI45" s="55">
        <f t="shared" ca="1" si="17"/>
        <v>0</v>
      </c>
      <c r="AJ45" s="55">
        <f t="shared" ca="1" si="18"/>
        <v>18.766686576877138</v>
      </c>
      <c r="AK45" s="55">
        <f t="shared" ca="1" si="19"/>
        <v>-70.614010010339513</v>
      </c>
    </row>
    <row r="46" spans="1:37" s="55" customFormat="1" ht="15.75" thickBot="1">
      <c r="C46" s="120" t="s">
        <v>153</v>
      </c>
      <c r="D46" s="120"/>
      <c r="E46" s="120"/>
      <c r="F46" s="120"/>
      <c r="G46" s="120"/>
      <c r="H46" s="120"/>
      <c r="R46" s="83">
        <f ca="1"/>
        <v>45449</v>
      </c>
      <c r="S46" s="55">
        <f t="shared" ca="1" si="11"/>
        <v>45449</v>
      </c>
      <c r="T46" s="55">
        <f t="shared" ca="1" si="0"/>
        <v>55.690604657159199</v>
      </c>
      <c r="U46" s="55">
        <f t="shared" ca="1" si="1"/>
        <v>4.0440907046204249</v>
      </c>
      <c r="V46" s="55">
        <f t="shared" ca="1" si="2"/>
        <v>0</v>
      </c>
      <c r="W46" s="55">
        <f t="shared" ca="1" si="12"/>
        <v>-18.883927883968415</v>
      </c>
      <c r="X46" s="55">
        <f t="shared" ca="1" si="13"/>
        <v>22.091429634101189</v>
      </c>
      <c r="Y46" s="55">
        <f t="shared" ca="1" si="14"/>
        <v>4.5832680289197887</v>
      </c>
      <c r="Z46">
        <f t="shared" ca="1" si="3"/>
        <v>120</v>
      </c>
      <c r="AA46">
        <f t="shared" ca="1" si="15"/>
        <v>64.548555942029026</v>
      </c>
      <c r="AB46">
        <f t="shared" ca="1" si="4"/>
        <v>0</v>
      </c>
      <c r="AC46">
        <f t="shared" ca="1" si="5"/>
        <v>1.7676637644858481E-2</v>
      </c>
      <c r="AD46" s="83">
        <f ca="1"/>
        <v>45746</v>
      </c>
      <c r="AE46" s="55">
        <f t="shared" ca="1" si="20"/>
        <v>45746</v>
      </c>
      <c r="AF46" s="55">
        <f t="shared" ca="1" si="21"/>
        <v>-30.059731096936709</v>
      </c>
      <c r="AG46" s="55">
        <f t="shared" ca="1" si="22"/>
        <v>10.305528696063314</v>
      </c>
      <c r="AH46" s="55">
        <f t="shared" ca="1" si="23"/>
        <v>0</v>
      </c>
      <c r="AI46" s="55">
        <f t="shared" ca="1" si="17"/>
        <v>0</v>
      </c>
      <c r="AJ46" s="55">
        <f t="shared" ca="1" si="18"/>
        <v>19.549831421619736</v>
      </c>
      <c r="AK46" s="55">
        <f t="shared" ca="1" si="19"/>
        <v>-71.452514614441085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45450</v>
      </c>
      <c r="S47" s="55">
        <f t="shared" ca="1" si="11"/>
        <v>45450</v>
      </c>
      <c r="T47" s="55">
        <f t="shared" ca="1" si="0"/>
        <v>56.228860962086365</v>
      </c>
      <c r="U47" s="55">
        <f t="shared" ca="1" si="1"/>
        <v>4.149088484220643</v>
      </c>
      <c r="V47" s="55">
        <f t="shared" ca="1" si="2"/>
        <v>0</v>
      </c>
      <c r="W47" s="55">
        <f t="shared" ca="1" si="12"/>
        <v>-19.085210907992117</v>
      </c>
      <c r="X47" s="55">
        <f t="shared" ca="1" si="13"/>
        <v>22.73385033922915</v>
      </c>
      <c r="Y47" s="55">
        <f t="shared" ca="1" si="14"/>
        <v>4.785384432342914</v>
      </c>
      <c r="Z47">
        <f t="shared" ca="1" si="3"/>
        <v>120</v>
      </c>
      <c r="AA47">
        <f t="shared" ca="1" si="15"/>
        <v>65.198555942029031</v>
      </c>
      <c r="AB47">
        <f t="shared" ca="1" si="4"/>
        <v>0</v>
      </c>
      <c r="AC47">
        <f t="shared" ca="1" si="5"/>
        <v>1.8836384101150641E-2</v>
      </c>
      <c r="AD47" s="83">
        <f ca="1"/>
        <v>45747</v>
      </c>
      <c r="AE47" s="55">
        <f t="shared" ca="1" si="20"/>
        <v>45747</v>
      </c>
      <c r="AF47" s="55">
        <f t="shared" ca="1" si="21"/>
        <v>-30.94541625479885</v>
      </c>
      <c r="AG47" s="55">
        <f t="shared" ca="1" si="22"/>
        <v>11.205742289191903</v>
      </c>
      <c r="AH47" s="55">
        <f t="shared" ca="1" si="23"/>
        <v>0</v>
      </c>
      <c r="AI47" s="55">
        <f t="shared" ca="1" si="17"/>
        <v>0</v>
      </c>
      <c r="AJ47" s="55">
        <f t="shared" ca="1" si="18"/>
        <v>20.304577009928373</v>
      </c>
      <c r="AK47" s="55">
        <f t="shared" ca="1" si="19"/>
        <v>-72.192731767483281</v>
      </c>
    </row>
    <row r="48" spans="1:37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45451</v>
      </c>
      <c r="S48" s="55">
        <f t="shared" ca="1" si="11"/>
        <v>45451</v>
      </c>
      <c r="T48" s="55">
        <f t="shared" ca="1" si="0"/>
        <v>56.770572732339048</v>
      </c>
      <c r="U48" s="55">
        <f t="shared" ca="1" si="1"/>
        <v>4.2556465655925848</v>
      </c>
      <c r="V48" s="55">
        <f t="shared" ca="1" si="2"/>
        <v>0</v>
      </c>
      <c r="W48" s="55">
        <f t="shared" ca="1" si="12"/>
        <v>-19.27280062658593</v>
      </c>
      <c r="X48" s="55">
        <f t="shared" ca="1" si="13"/>
        <v>23.369881552940019</v>
      </c>
      <c r="Y48" s="55">
        <f t="shared" ca="1" si="14"/>
        <v>4.9852127888504771</v>
      </c>
      <c r="Z48">
        <f t="shared" ca="1" si="3"/>
        <v>120</v>
      </c>
      <c r="AA48">
        <f t="shared" ca="1" si="15"/>
        <v>65.798555942029026</v>
      </c>
      <c r="AB48">
        <f t="shared" ca="1" si="4"/>
        <v>0</v>
      </c>
      <c r="AC48">
        <f t="shared" ca="1" si="5"/>
        <v>2.0057395184448885E-2</v>
      </c>
      <c r="AD48" s="83">
        <f ca="1"/>
        <v>45748</v>
      </c>
      <c r="AE48" s="55">
        <f t="shared" ca="1" si="20"/>
        <v>45748</v>
      </c>
      <c r="AF48" s="55">
        <f t="shared" ca="1" si="21"/>
        <v>-31.831211834020369</v>
      </c>
      <c r="AG48" s="55">
        <f t="shared" ca="1" si="22"/>
        <v>12.159352611562738</v>
      </c>
      <c r="AH48" s="55">
        <f t="shared" ca="1" si="23"/>
        <v>0</v>
      </c>
      <c r="AI48" s="55">
        <f t="shared" ca="1" si="17"/>
        <v>0</v>
      </c>
      <c r="AJ48" s="55">
        <f t="shared" ca="1" si="18"/>
        <v>21.037650399103018</v>
      </c>
      <c r="AK48" s="55">
        <f t="shared" ca="1" si="19"/>
        <v>-72.857990413508617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45452</v>
      </c>
      <c r="S49" s="55">
        <f t="shared" ca="1" si="11"/>
        <v>45452</v>
      </c>
      <c r="T49" s="55">
        <f t="shared" ca="1" si="0"/>
        <v>56.331221392689535</v>
      </c>
      <c r="U49" s="55">
        <f t="shared" ca="1" si="1"/>
        <v>4.3813812462783535</v>
      </c>
      <c r="V49" s="55">
        <f t="shared" ca="1" si="2"/>
        <v>0</v>
      </c>
      <c r="W49" s="55">
        <f t="shared" ca="1" si="12"/>
        <v>-20.535436380295117</v>
      </c>
      <c r="X49" s="55">
        <f t="shared" ca="1" si="13"/>
        <v>24.099808203933446</v>
      </c>
      <c r="Y49" s="55">
        <f t="shared" ca="1" si="14"/>
        <v>5.2043052326024899</v>
      </c>
      <c r="Z49">
        <f t="shared" ca="1" si="3"/>
        <v>120</v>
      </c>
      <c r="AA49">
        <f t="shared" ca="1" si="15"/>
        <v>69.868555942029033</v>
      </c>
      <c r="AB49">
        <f t="shared" ca="1" si="4"/>
        <v>0</v>
      </c>
      <c r="AC49">
        <f t="shared" ca="1" si="5"/>
        <v>2.1555639457507311E-2</v>
      </c>
      <c r="AD49" s="83">
        <f ca="1"/>
        <v>45749</v>
      </c>
      <c r="AE49" s="55">
        <f t="shared" ca="1" si="20"/>
        <v>45749</v>
      </c>
      <c r="AF49" s="55">
        <f t="shared" ca="1" si="21"/>
        <v>-32.709913957156445</v>
      </c>
      <c r="AG49" s="55">
        <f t="shared" ca="1" si="22"/>
        <v>13.136211281478754</v>
      </c>
      <c r="AH49" s="55">
        <f t="shared" ca="1" si="23"/>
        <v>0</v>
      </c>
      <c r="AI49" s="55">
        <f t="shared" ca="1" si="17"/>
        <v>0</v>
      </c>
      <c r="AJ49" s="55">
        <f t="shared" ca="1" si="18"/>
        <v>21.72045653397095</v>
      </c>
      <c r="AK49" s="55">
        <f t="shared" ca="1" si="19"/>
        <v>-73.442640001596601</v>
      </c>
    </row>
    <row r="50" spans="2:37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45453</v>
      </c>
      <c r="S50" s="55">
        <f t="shared" ca="1" si="11"/>
        <v>45453</v>
      </c>
      <c r="T50" s="55">
        <f t="shared" ca="1" si="0"/>
        <v>55.209447315243281</v>
      </c>
      <c r="U50" s="55">
        <f t="shared" ca="1" si="1"/>
        <v>4.5107894266791853</v>
      </c>
      <c r="V50" s="55">
        <f t="shared" ca="1" si="2"/>
        <v>0</v>
      </c>
      <c r="W50" s="55">
        <f t="shared" ca="1" si="12"/>
        <v>-22.475288323354189</v>
      </c>
      <c r="X50" s="55">
        <f t="shared" ca="1" si="13"/>
        <v>24.829734854926873</v>
      </c>
      <c r="Y50" s="55">
        <f t="shared" ca="1" si="14"/>
        <v>5.4218646276227114</v>
      </c>
      <c r="Z50">
        <f t="shared" ca="1" si="3"/>
        <v>120</v>
      </c>
      <c r="AA50">
        <f t="shared" ca="1" si="15"/>
        <v>76.248555942029043</v>
      </c>
      <c r="AB50">
        <f t="shared" ca="1" si="4"/>
        <v>0</v>
      </c>
      <c r="AC50">
        <f t="shared" ca="1" si="5"/>
        <v>2.3163153976526542E-2</v>
      </c>
      <c r="AD50" s="83">
        <f ca="1"/>
        <v>45750</v>
      </c>
      <c r="AE50" s="55">
        <f t="shared" ca="1" si="20"/>
        <v>45750</v>
      </c>
      <c r="AF50" s="55">
        <f t="shared" ca="1" si="21"/>
        <v>-33.657497930035746</v>
      </c>
      <c r="AG50" s="55">
        <f t="shared" ca="1" si="22"/>
        <v>14.291979355052632</v>
      </c>
      <c r="AH50" s="55">
        <f t="shared" ca="1" si="23"/>
        <v>0</v>
      </c>
      <c r="AI50" s="55">
        <f t="shared" ca="1" si="17"/>
        <v>0</v>
      </c>
      <c r="AJ50" s="55">
        <f t="shared" ca="1" si="18"/>
        <v>22.497017145533118</v>
      </c>
      <c r="AK50" s="55">
        <f t="shared" ca="1" si="19"/>
        <v>-74.011016512464195</v>
      </c>
    </row>
    <row r="51" spans="2:37" s="55" customFormat="1">
      <c r="C51" s="61" t="s">
        <v>4</v>
      </c>
      <c r="D51" s="68">
        <f ca="1">IF(E51="",CurrentEstablishDate-60,E51)</f>
        <v>45376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45454</v>
      </c>
      <c r="S51" s="55">
        <f t="shared" ca="1" si="11"/>
        <v>45454</v>
      </c>
      <c r="T51" s="55">
        <f t="shared" ca="1" si="0"/>
        <v>56.092003023848449</v>
      </c>
      <c r="U51" s="55">
        <f t="shared" ca="1" si="1"/>
        <v>4.6556422198166763</v>
      </c>
      <c r="V51" s="55">
        <f t="shared" ca="1" si="2"/>
        <v>0</v>
      </c>
      <c r="W51" s="55">
        <f t="shared" ca="1" si="12"/>
        <v>-22.475288323354189</v>
      </c>
      <c r="X51" s="55">
        <f t="shared" ca="1" si="13"/>
        <v>25.626861264362464</v>
      </c>
      <c r="Y51" s="55">
        <f t="shared" ca="1" si="14"/>
        <v>5.6521467199297746</v>
      </c>
      <c r="Z51">
        <f t="shared" ca="1" si="3"/>
        <v>119.98260869565216</v>
      </c>
      <c r="AA51">
        <f t="shared" ca="1" si="15"/>
        <v>76.248555942029043</v>
      </c>
      <c r="AB51">
        <f t="shared" ca="1" si="4"/>
        <v>0</v>
      </c>
      <c r="AC51">
        <f t="shared" ca="1" si="5"/>
        <v>2.5041934777635121E-2</v>
      </c>
      <c r="AD51" s="83">
        <f ca="1"/>
        <v>45751</v>
      </c>
      <c r="AE51" s="55">
        <f t="shared" ca="1" si="20"/>
        <v>45751</v>
      </c>
      <c r="AF51" s="55">
        <f t="shared" ca="1" si="21"/>
        <v>-34.56761141588597</v>
      </c>
      <c r="AG51" s="55">
        <f t="shared" ca="1" si="22"/>
        <v>15.515397677850444</v>
      </c>
      <c r="AH51" s="55">
        <f t="shared" ca="1" si="23"/>
        <v>0</v>
      </c>
      <c r="AI51" s="55">
        <f t="shared" ca="1" si="17"/>
        <v>0</v>
      </c>
      <c r="AJ51" s="55">
        <f t="shared" ca="1" si="18"/>
        <v>23.314217185250456</v>
      </c>
      <c r="AK51" s="55">
        <f t="shared" ca="1" si="19"/>
        <v>-74.51491171523395</v>
      </c>
    </row>
    <row r="52" spans="2:37" s="55" customFormat="1">
      <c r="C52" s="61" t="s">
        <v>5</v>
      </c>
      <c r="D52" s="68">
        <f ca="1">IF(E52="",CurrentEstablishDate-15,E52)</f>
        <v>45421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45455</v>
      </c>
      <c r="S52" s="55">
        <f t="shared" ca="1" si="11"/>
        <v>45455</v>
      </c>
      <c r="T52" s="55">
        <f t="shared" ca="1" si="0"/>
        <v>55.476191361127768</v>
      </c>
      <c r="U52" s="55">
        <f t="shared" ca="1" si="1"/>
        <v>4.7878144981972826</v>
      </c>
      <c r="V52" s="55">
        <f t="shared" ca="1" si="2"/>
        <v>0</v>
      </c>
      <c r="W52" s="55">
        <f t="shared" ca="1" si="12"/>
        <v>-23.868496646834242</v>
      </c>
      <c r="X52" s="55">
        <f t="shared" ca="1" si="13"/>
        <v>26.328636520901522</v>
      </c>
      <c r="Y52" s="55">
        <f t="shared" ca="1" si="14"/>
        <v>5.8599404025306958</v>
      </c>
      <c r="Z52">
        <f t="shared" ca="1" si="3"/>
        <v>120</v>
      </c>
      <c r="AA52">
        <f t="shared" ca="1" si="15"/>
        <v>80.808661721383103</v>
      </c>
      <c r="AB52">
        <f t="shared" ca="1" si="4"/>
        <v>0</v>
      </c>
      <c r="AC52">
        <f t="shared" ca="1" si="5"/>
        <v>2.6829942659013412E-2</v>
      </c>
      <c r="AD52" s="83">
        <f ca="1"/>
        <v>45752</v>
      </c>
      <c r="AE52" s="55">
        <f t="shared" ca="1" si="20"/>
        <v>45752</v>
      </c>
      <c r="AF52" s="55">
        <f t="shared" ca="1" si="21"/>
        <v>-35.391834426270087</v>
      </c>
      <c r="AG52" s="55">
        <f t="shared" ca="1" si="22"/>
        <v>16.689740700428885</v>
      </c>
      <c r="AH52" s="55">
        <f t="shared" ca="1" si="23"/>
        <v>0</v>
      </c>
      <c r="AI52" s="55">
        <f t="shared" ca="1" si="17"/>
        <v>0</v>
      </c>
      <c r="AJ52" s="55">
        <f t="shared" ca="1" si="18"/>
        <v>24.082890297408177</v>
      </c>
      <c r="AK52" s="55">
        <f t="shared" ca="1" si="19"/>
        <v>-74.93346481519734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45456</v>
      </c>
      <c r="S53" s="55">
        <f t="shared" ca="1" si="11"/>
        <v>45456</v>
      </c>
      <c r="T53" s="55">
        <f t="shared" ca="1" si="0"/>
        <v>56.189389362901522</v>
      </c>
      <c r="U53" s="55">
        <f t="shared" ca="1" si="1"/>
        <v>4.9189677796285549</v>
      </c>
      <c r="V53" s="55">
        <f t="shared" ca="1" si="2"/>
        <v>0</v>
      </c>
      <c r="W53" s="55">
        <f t="shared" ca="1" si="12"/>
        <v>-23.902536016042493</v>
      </c>
      <c r="X53" s="55">
        <f t="shared" ca="1" si="13"/>
        <v>27.006269101725231</v>
      </c>
      <c r="Y53" s="55">
        <f t="shared" ca="1" si="14"/>
        <v>6.060698474120267</v>
      </c>
      <c r="Z53">
        <f t="shared" ca="1" si="3"/>
        <v>120</v>
      </c>
      <c r="AA53">
        <f t="shared" ca="1" si="15"/>
        <v>80.918661721383103</v>
      </c>
      <c r="AB53">
        <f t="shared" ca="1" si="4"/>
        <v>0</v>
      </c>
      <c r="AC53">
        <f t="shared" ca="1" si="5"/>
        <v>2.8674098989712942E-2</v>
      </c>
      <c r="AD53" s="83">
        <f ca="1"/>
        <v>45753</v>
      </c>
      <c r="AE53" s="55">
        <f t="shared" ca="1" si="20"/>
        <v>45753</v>
      </c>
      <c r="AF53" s="55">
        <f t="shared" ca="1" si="21"/>
        <v>-36.221695285413368</v>
      </c>
      <c r="AG53" s="55">
        <f t="shared" ca="1" si="22"/>
        <v>17.878655327453032</v>
      </c>
      <c r="AH53" s="55">
        <f t="shared" ca="1" si="23"/>
        <v>0</v>
      </c>
      <c r="AI53" s="55">
        <f t="shared" ca="1" si="17"/>
        <v>0</v>
      </c>
      <c r="AJ53" s="55">
        <f t="shared" ca="1" si="18"/>
        <v>24.806484947812443</v>
      </c>
      <c r="AK53" s="55">
        <f t="shared" ca="1" si="19"/>
        <v>-75.29800569772074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45457</v>
      </c>
      <c r="S54" s="55">
        <f t="shared" ca="1" si="11"/>
        <v>45457</v>
      </c>
      <c r="T54" s="55">
        <f t="shared" ca="1" si="0"/>
        <v>56.45976157222487</v>
      </c>
      <c r="U54" s="55">
        <f t="shared" ca="1" si="1"/>
        <v>5.0388673578811476</v>
      </c>
      <c r="V54" s="55">
        <f t="shared" ca="1" si="2"/>
        <v>0</v>
      </c>
      <c r="W54" s="55">
        <f t="shared" ca="1" si="12"/>
        <v>-24.303645800429514</v>
      </c>
      <c r="X54" s="55">
        <f t="shared" ca="1" si="13"/>
        <v>27.613433406852117</v>
      </c>
      <c r="Y54" s="55">
        <f t="shared" ca="1" si="14"/>
        <v>6.2449157409563449</v>
      </c>
      <c r="Z54">
        <f t="shared" ca="1" si="3"/>
        <v>120</v>
      </c>
      <c r="AA54">
        <f t="shared" ca="1" si="15"/>
        <v>82.208661721383095</v>
      </c>
      <c r="AB54">
        <f t="shared" ca="1" si="4"/>
        <v>0</v>
      </c>
      <c r="AC54">
        <f t="shared" ca="1" si="5"/>
        <v>3.0421266770244235E-2</v>
      </c>
      <c r="AD54" s="83">
        <f ca="1"/>
        <v>45754</v>
      </c>
      <c r="AE54" s="55">
        <f t="shared" ca="1" si="20"/>
        <v>45754</v>
      </c>
      <c r="AF54" s="55">
        <f t="shared" ca="1" si="21"/>
        <v>-36.999598158635081</v>
      </c>
      <c r="AG54" s="55">
        <f t="shared" ca="1" si="22"/>
        <v>19.004534570611352</v>
      </c>
      <c r="AH54" s="55">
        <f t="shared" ca="1" si="23"/>
        <v>0</v>
      </c>
      <c r="AI54" s="55">
        <f t="shared" ca="1" si="17"/>
        <v>0</v>
      </c>
      <c r="AJ54" s="55">
        <f t="shared" ca="1" si="18"/>
        <v>25.461346962196238</v>
      </c>
      <c r="AK54" s="55">
        <f t="shared" ca="1" si="19"/>
        <v>-75.604891342167932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45458</v>
      </c>
      <c r="S55" s="55">
        <f t="shared" ca="1" si="11"/>
        <v>45458</v>
      </c>
      <c r="T55" s="55">
        <f t="shared" ca="1" si="0"/>
        <v>50.07180161764456</v>
      </c>
      <c r="U55" s="55">
        <f t="shared" ca="1" si="1"/>
        <v>5.1768097378896787</v>
      </c>
      <c r="V55" s="55">
        <f t="shared" ca="1" si="2"/>
        <v>0</v>
      </c>
      <c r="W55" s="55">
        <f t="shared" ca="1" si="12"/>
        <v>-24.802530949234168</v>
      </c>
      <c r="X55" s="55">
        <f t="shared" ca="1" si="13"/>
        <v>28.291065987675825</v>
      </c>
      <c r="Y55" s="55">
        <f t="shared" ca="1" si="14"/>
        <v>6.4416711326916101</v>
      </c>
      <c r="Z55">
        <f t="shared" ca="1" si="3"/>
        <v>120</v>
      </c>
      <c r="AA55">
        <f t="shared" ca="1" si="15"/>
        <v>84.038661721383093</v>
      </c>
      <c r="AB55">
        <f t="shared" ca="1" si="4"/>
        <v>0</v>
      </c>
      <c r="AC55">
        <f t="shared" ca="1" si="5"/>
        <v>3.2504027976163211E-2</v>
      </c>
      <c r="AD55" s="83">
        <f ca="1"/>
        <v>45755</v>
      </c>
      <c r="AE55" s="55">
        <f t="shared" ca="1" si="20"/>
        <v>45755</v>
      </c>
      <c r="AF55" s="55">
        <f t="shared" ca="1" si="21"/>
        <v>-37.837506270917423</v>
      </c>
      <c r="AG55" s="55">
        <f t="shared" ca="1" si="22"/>
        <v>20.288557959517867</v>
      </c>
      <c r="AH55" s="55">
        <f t="shared" ca="1" si="23"/>
        <v>0</v>
      </c>
      <c r="AI55" s="55">
        <f t="shared" ca="1" si="17"/>
        <v>0</v>
      </c>
      <c r="AJ55" s="55">
        <f t="shared" ca="1" si="18"/>
        <v>26.195459981987206</v>
      </c>
      <c r="AK55" s="55">
        <f t="shared" ca="1" si="19"/>
        <v>-75.89288908533473</v>
      </c>
    </row>
    <row r="56" spans="2:37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16 kg N/ha to the current crop</v>
      </c>
      <c r="R56" s="83">
        <f ca="1"/>
        <v>45459</v>
      </c>
      <c r="S56" s="55">
        <f t="shared" ca="1" si="11"/>
        <v>45459</v>
      </c>
      <c r="T56" s="55">
        <f t="shared" ca="1" si="0"/>
        <v>50.362314875970085</v>
      </c>
      <c r="U56" s="55">
        <f t="shared" ca="1" si="1"/>
        <v>5.3198961022723816</v>
      </c>
      <c r="V56" s="55">
        <f t="shared" ca="1" si="2"/>
        <v>0</v>
      </c>
      <c r="W56" s="55">
        <f t="shared" ca="1" si="12"/>
        <v>-25.249076807801103</v>
      </c>
      <c r="X56" s="55">
        <f t="shared" ca="1" si="13"/>
        <v>28.975351066304928</v>
      </c>
      <c r="Y56" s="55">
        <f t="shared" ca="1" si="14"/>
        <v>6.6375315353376738</v>
      </c>
      <c r="Z56">
        <f t="shared" ca="1" si="3"/>
        <v>120</v>
      </c>
      <c r="AA56">
        <f t="shared" ca="1" si="15"/>
        <v>85.648661721383093</v>
      </c>
      <c r="AB56">
        <f t="shared" ca="1" si="4"/>
        <v>0</v>
      </c>
      <c r="AC56">
        <f t="shared" ca="1" si="5"/>
        <v>3.4746906926495728E-2</v>
      </c>
      <c r="AD56" s="83">
        <f ca="1"/>
        <v>45756</v>
      </c>
      <c r="AE56" s="55">
        <f t="shared" ca="1" si="20"/>
        <v>45756</v>
      </c>
      <c r="AF56" s="55">
        <f t="shared" ca="1" si="21"/>
        <v>-38.747417575858726</v>
      </c>
      <c r="AG56" s="55">
        <f t="shared" ca="1" si="22"/>
        <v>21.738869482300998</v>
      </c>
      <c r="AH56" s="55">
        <f t="shared" ca="1" si="23"/>
        <v>0</v>
      </c>
      <c r="AI56" s="55">
        <f t="shared" ca="1" si="17"/>
        <v>0</v>
      </c>
      <c r="AJ56" s="55">
        <f t="shared" ca="1" si="18"/>
        <v>27.001557851107616</v>
      </c>
      <c r="AK56" s="55">
        <f t="shared" ca="1" si="19"/>
        <v>-76.158586736613302</v>
      </c>
    </row>
    <row r="57" spans="2:37" s="55" customFormat="1" ht="15.75" thickBot="1">
      <c r="C57" s="120" t="s">
        <v>154</v>
      </c>
      <c r="D57" s="120"/>
      <c r="E57" s="120"/>
      <c r="F57" s="120"/>
      <c r="G57" s="120"/>
      <c r="H57" s="120"/>
      <c r="R57" s="83">
        <f ca="1"/>
        <v>45460</v>
      </c>
      <c r="S57" s="55">
        <f t="shared" ca="1" si="11"/>
        <v>45460</v>
      </c>
      <c r="T57" s="55">
        <f t="shared" ca="1" si="0"/>
        <v>49.79637411611936</v>
      </c>
      <c r="U57" s="55">
        <f t="shared" ca="1" si="1"/>
        <v>5.4681946095926275</v>
      </c>
      <c r="V57" s="55">
        <f t="shared" ca="1" si="2"/>
        <v>0</v>
      </c>
      <c r="W57" s="55">
        <f t="shared" ca="1" si="12"/>
        <v>-26.55172108721553</v>
      </c>
      <c r="X57" s="55">
        <f t="shared" ca="1" si="13"/>
        <v>29.665658745249928</v>
      </c>
      <c r="Y57" s="55">
        <f t="shared" ca="1" si="14"/>
        <v>6.8322258832766254</v>
      </c>
      <c r="Z57">
        <f t="shared" ca="1" si="3"/>
        <v>120</v>
      </c>
      <c r="AA57">
        <f t="shared" ca="1" si="15"/>
        <v>90.398661721383093</v>
      </c>
      <c r="AB57">
        <f t="shared" ca="1" si="4"/>
        <v>0</v>
      </c>
      <c r="AC57">
        <f t="shared" ca="1" si="5"/>
        <v>3.7160338931480692E-2</v>
      </c>
      <c r="AD57" s="83">
        <f ca="1"/>
        <v>45757</v>
      </c>
      <c r="AE57" s="55">
        <f t="shared" ca="1" si="20"/>
        <v>45757</v>
      </c>
      <c r="AF57" s="55">
        <f t="shared" ca="1" si="21"/>
        <v>-39.699298175072613</v>
      </c>
      <c r="AG57" s="55">
        <f t="shared" ca="1" si="22"/>
        <v>23.310509727858015</v>
      </c>
      <c r="AH57" s="55">
        <f t="shared" ca="1" si="23"/>
        <v>0</v>
      </c>
      <c r="AI57" s="55">
        <f t="shared" ca="1" si="17"/>
        <v>0</v>
      </c>
      <c r="AJ57" s="55">
        <f t="shared" ca="1" si="18"/>
        <v>27.85707057181359</v>
      </c>
      <c r="AK57" s="55">
        <f t="shared" ca="1" si="19"/>
        <v>-76.394339810976149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45461</v>
      </c>
      <c r="S58" s="55">
        <f t="shared" ca="1" si="11"/>
        <v>45461</v>
      </c>
      <c r="T58" s="55">
        <f t="shared" ca="1" si="0"/>
        <v>47.622764635345227</v>
      </c>
      <c r="U58" s="55">
        <f t="shared" ca="1" si="1"/>
        <v>5.6258101012773194</v>
      </c>
      <c r="V58" s="55">
        <f t="shared" ca="1" si="2"/>
        <v>0</v>
      </c>
      <c r="W58" s="55">
        <f t="shared" ca="1" si="12"/>
        <v>-29.478657612803531</v>
      </c>
      <c r="X58" s="55">
        <f t="shared" ca="1" si="13"/>
        <v>30.379706941330497</v>
      </c>
      <c r="Y58" s="55">
        <f t="shared" ca="1" si="14"/>
        <v>7.0291202236946191</v>
      </c>
      <c r="Z58">
        <f t="shared" ca="1" si="3"/>
        <v>120</v>
      </c>
      <c r="AA58">
        <f t="shared" ca="1" si="15"/>
        <v>101.55866172138309</v>
      </c>
      <c r="AB58">
        <f t="shared" ca="1" si="4"/>
        <v>0</v>
      </c>
      <c r="AC58">
        <f t="shared" ca="1" si="5"/>
        <v>3.9824735565125897E-2</v>
      </c>
      <c r="AD58" s="83">
        <f ca="1"/>
        <v>45758</v>
      </c>
      <c r="AE58" s="55">
        <f t="shared" ca="1" si="20"/>
        <v>45758</v>
      </c>
      <c r="AF58" s="55">
        <f t="shared" ca="1" si="21"/>
        <v>-40.698664325135255</v>
      </c>
      <c r="AG58" s="55">
        <f t="shared" ca="1" si="22"/>
        <v>24.941304011416342</v>
      </c>
      <c r="AH58" s="55">
        <f t="shared" ca="1" si="23"/>
        <v>0</v>
      </c>
      <c r="AI58" s="55">
        <f t="shared" ca="1" si="17"/>
        <v>0</v>
      </c>
      <c r="AJ58" s="55">
        <f t="shared" ca="1" si="18"/>
        <v>28.689773880976361</v>
      </c>
      <c r="AK58" s="55">
        <f t="shared" ca="1" si="19"/>
        <v>-76.595614986643227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280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45462</v>
      </c>
      <c r="S59" s="55">
        <f t="shared" ca="1" si="11"/>
        <v>45462</v>
      </c>
      <c r="T59" s="55">
        <f t="shared" ca="1" si="0"/>
        <v>46.278247693649782</v>
      </c>
      <c r="U59" s="55">
        <f t="shared" ca="1" si="1"/>
        <v>5.7871333736986896</v>
      </c>
      <c r="V59" s="55">
        <f t="shared" ca="1" si="2"/>
        <v>0</v>
      </c>
      <c r="W59" s="55">
        <f t="shared" ca="1" si="12"/>
        <v>-31.566007793559717</v>
      </c>
      <c r="X59" s="55">
        <f t="shared" ca="1" si="13"/>
        <v>31.090332471475897</v>
      </c>
      <c r="Y59" s="55">
        <f t="shared" ca="1" si="14"/>
        <v>7.2226512050313314</v>
      </c>
      <c r="Z59">
        <f t="shared" ca="1" si="3"/>
        <v>120</v>
      </c>
      <c r="AA59">
        <f t="shared" ca="1" si="15"/>
        <v>109.74866172138309</v>
      </c>
      <c r="AB59">
        <f t="shared" ca="1" si="4"/>
        <v>0</v>
      </c>
      <c r="AC59">
        <f t="shared" ca="1" si="5"/>
        <v>4.2657918936608606E-2</v>
      </c>
      <c r="AD59" s="83">
        <f ca="1"/>
        <v>45759</v>
      </c>
      <c r="AE59" s="55">
        <f t="shared" ca="1" si="20"/>
        <v>45759</v>
      </c>
      <c r="AF59" s="55">
        <f t="shared" ca="1" si="21"/>
        <v>-41.86091077358423</v>
      </c>
      <c r="AG59" s="55">
        <f t="shared" ca="1" si="22"/>
        <v>26.850744806012852</v>
      </c>
      <c r="AH59" s="55">
        <f t="shared" ca="1" si="23"/>
        <v>0</v>
      </c>
      <c r="AI59" s="55">
        <f t="shared" ca="1" si="17"/>
        <v>0</v>
      </c>
      <c r="AJ59" s="55">
        <f t="shared" ca="1" si="18"/>
        <v>29.61978268323297</v>
      </c>
      <c r="AK59" s="55">
        <f t="shared" ca="1" si="19"/>
        <v>-76.778429442752298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45463</v>
      </c>
      <c r="S60" s="55">
        <f t="shared" ca="1" si="11"/>
        <v>45463</v>
      </c>
      <c r="T60" s="55">
        <f t="shared" ca="1" si="0"/>
        <v>46.71862346358391</v>
      </c>
      <c r="U60" s="55">
        <f t="shared" ca="1" si="1"/>
        <v>5.9436771529812962</v>
      </c>
      <c r="V60" s="55">
        <f t="shared" ca="1" si="2"/>
        <v>0</v>
      </c>
      <c r="W60" s="55">
        <f t="shared" ca="1" si="12"/>
        <v>-31.823298763359166</v>
      </c>
      <c r="X60" s="55">
        <f t="shared" ca="1" si="13"/>
        <v>31.761353836987087</v>
      </c>
      <c r="Y60" s="55">
        <f t="shared" ca="1" si="14"/>
        <v>7.4058403585363202</v>
      </c>
      <c r="Z60">
        <f t="shared" ca="1" si="3"/>
        <v>120</v>
      </c>
      <c r="AA60">
        <f t="shared" ca="1" si="15"/>
        <v>110.74866172138309</v>
      </c>
      <c r="AB60">
        <f t="shared" ca="1" si="4"/>
        <v>0</v>
      </c>
      <c r="AC60">
        <f t="shared" ca="1" si="5"/>
        <v>4.5509773881794988E-2</v>
      </c>
      <c r="AD60" s="83">
        <f ca="1"/>
        <v>45760</v>
      </c>
      <c r="AE60" s="55">
        <f t="shared" ca="1" si="20"/>
        <v>45760</v>
      </c>
      <c r="AF60" s="55">
        <f t="shared" ca="1" si="21"/>
        <v>-43.010273244302837</v>
      </c>
      <c r="AG60" s="55">
        <f t="shared" ca="1" si="22"/>
        <v>28.793719329840389</v>
      </c>
      <c r="AH60" s="55">
        <f t="shared" ca="1" si="23"/>
        <v>0</v>
      </c>
      <c r="AI60" s="55">
        <f t="shared" ca="1" si="17"/>
        <v>0</v>
      </c>
      <c r="AJ60" s="55">
        <f t="shared" ca="1" si="18"/>
        <v>30.561020996015507</v>
      </c>
      <c r="AK60" s="55">
        <f t="shared" ca="1" si="19"/>
        <v>-76.926055702425913</v>
      </c>
    </row>
    <row r="61" spans="2:37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45464</v>
      </c>
      <c r="S61" s="55">
        <f t="shared" ca="1" si="11"/>
        <v>45464</v>
      </c>
      <c r="T61" s="55">
        <f t="shared" ca="1" si="0"/>
        <v>47.071658097300741</v>
      </c>
      <c r="U61" s="55">
        <f t="shared" ca="1" si="1"/>
        <v>6.0872063854834648</v>
      </c>
      <c r="V61" s="55">
        <f t="shared" ca="1" si="2"/>
        <v>0</v>
      </c>
      <c r="W61" s="55">
        <f t="shared" ca="1" si="12"/>
        <v>-32.098088094976447</v>
      </c>
      <c r="X61" s="55">
        <f t="shared" ca="1" si="13"/>
        <v>32.364816207674728</v>
      </c>
      <c r="Y61" s="55">
        <f t="shared" ca="1" si="14"/>
        <v>7.5737311856849665</v>
      </c>
      <c r="Z61">
        <f t="shared" ca="1" si="3"/>
        <v>120</v>
      </c>
      <c r="AA61">
        <f t="shared" ca="1" si="15"/>
        <v>111.80866172138307</v>
      </c>
      <c r="AB61">
        <f t="shared" ca="1" si="4"/>
        <v>0</v>
      </c>
      <c r="AC61">
        <f t="shared" ca="1" si="5"/>
        <v>4.8213246338118215E-2</v>
      </c>
      <c r="AD61" s="83">
        <f ca="1"/>
        <v>45761</v>
      </c>
      <c r="AE61" s="55">
        <f t="shared" ca="1" si="20"/>
        <v>45761</v>
      </c>
      <c r="AF61" s="55">
        <f t="shared" ca="1" si="21"/>
        <v>-44.038796713818073</v>
      </c>
      <c r="AG61" s="55">
        <f t="shared" ca="1" si="22"/>
        <v>30.606254523906493</v>
      </c>
      <c r="AH61" s="55">
        <f t="shared" ca="1" si="23"/>
        <v>0</v>
      </c>
      <c r="AI61" s="55">
        <f t="shared" ca="1" si="17"/>
        <v>0</v>
      </c>
      <c r="AJ61" s="55">
        <f t="shared" ca="1" si="18"/>
        <v>31.457027881287903</v>
      </c>
      <c r="AK61" s="55">
        <f t="shared" ca="1" si="19"/>
        <v>-77.038050863147447</v>
      </c>
    </row>
    <row r="62" spans="2:37" s="55" customFormat="1">
      <c r="C62" s="61" t="s">
        <v>4</v>
      </c>
      <c r="D62" s="68">
        <f>IF(E62="",CurrentHarvestDate+15,E62)</f>
        <v>45732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45465</v>
      </c>
      <c r="S62" s="55">
        <f t="shared" ca="1" si="11"/>
        <v>45465</v>
      </c>
      <c r="T62" s="55">
        <f t="shared" ca="1" si="0"/>
        <v>47.128212136984232</v>
      </c>
      <c r="U62" s="55">
        <f t="shared" ca="1" si="1"/>
        <v>6.2349767969052756</v>
      </c>
      <c r="V62" s="55">
        <f t="shared" ca="1" si="2"/>
        <v>0</v>
      </c>
      <c r="W62" s="55">
        <f t="shared" ca="1" si="12"/>
        <v>-32.666495314402511</v>
      </c>
      <c r="X62" s="55">
        <f t="shared" ca="1" si="13"/>
        <v>32.971362512065454</v>
      </c>
      <c r="Y62" s="55">
        <f t="shared" ca="1" si="14"/>
        <v>7.7399165518256057</v>
      </c>
      <c r="Z62">
        <f t="shared" ca="1" si="3"/>
        <v>120</v>
      </c>
      <c r="AA62">
        <f t="shared" ca="1" si="15"/>
        <v>113.99866172138307</v>
      </c>
      <c r="AB62">
        <f t="shared" ca="1" si="4"/>
        <v>0</v>
      </c>
      <c r="AC62">
        <f t="shared" ca="1" si="5"/>
        <v>5.1085080667900351E-2</v>
      </c>
      <c r="AD62" s="83">
        <f ca="1"/>
        <v>45762</v>
      </c>
      <c r="AE62" s="55">
        <f t="shared" ca="1" si="20"/>
        <v>45762</v>
      </c>
      <c r="AF62" s="55">
        <f t="shared" ca="1" si="21"/>
        <v>-45.213393480869634</v>
      </c>
      <c r="AG62" s="55">
        <f t="shared" ca="1" si="22"/>
        <v>32.588180460029641</v>
      </c>
      <c r="AH62" s="55">
        <f t="shared" ca="1" si="23"/>
        <v>0</v>
      </c>
      <c r="AI62" s="55">
        <f t="shared" ca="1" si="17"/>
        <v>0</v>
      </c>
      <c r="AJ62" s="55">
        <f t="shared" ca="1" si="18"/>
        <v>32.35597577003287</v>
      </c>
      <c r="AK62" s="55">
        <f t="shared" ca="1" si="19"/>
        <v>-77.129669582820824</v>
      </c>
    </row>
    <row r="63" spans="2:37" s="55" customFormat="1">
      <c r="C63" s="61" t="s">
        <v>5</v>
      </c>
      <c r="D63" s="68">
        <f>IF(E63="",FollowingEstablishDate+120,E63)</f>
        <v>45852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45466</v>
      </c>
      <c r="S63" s="55">
        <f t="shared" ca="1" si="11"/>
        <v>45466</v>
      </c>
      <c r="T63" s="55">
        <f t="shared" ca="1" si="0"/>
        <v>47.085179862025832</v>
      </c>
      <c r="U63" s="55">
        <f t="shared" ca="1" si="1"/>
        <v>6.4090608033929888</v>
      </c>
      <c r="V63" s="55">
        <f t="shared" ca="1" si="2"/>
        <v>0</v>
      </c>
      <c r="W63" s="55">
        <f t="shared" ca="1" si="12"/>
        <v>-33.408121016924973</v>
      </c>
      <c r="X63" s="55">
        <f t="shared" ca="1" si="13"/>
        <v>33.664357665975182</v>
      </c>
      <c r="Y63" s="55">
        <f t="shared" ca="1" si="14"/>
        <v>7.9195988319676545</v>
      </c>
      <c r="Z63">
        <f t="shared" ca="1" si="3"/>
        <v>120</v>
      </c>
      <c r="AA63">
        <f t="shared" ca="1" si="15"/>
        <v>116.85866172138307</v>
      </c>
      <c r="AB63">
        <f t="shared" ca="1" si="4"/>
        <v>0</v>
      </c>
      <c r="AC63">
        <f t="shared" ca="1" si="5"/>
        <v>5.4583096392193942E-2</v>
      </c>
      <c r="AD63" s="83">
        <f ca="1"/>
        <v>45763</v>
      </c>
      <c r="AE63" s="55">
        <f t="shared" ca="1" si="20"/>
        <v>45763</v>
      </c>
      <c r="AF63" s="55">
        <f t="shared" ca="1" si="21"/>
        <v>-46.457763160127548</v>
      </c>
      <c r="AG63" s="55">
        <f t="shared" ca="1" si="22"/>
        <v>34.721210770075189</v>
      </c>
      <c r="AH63" s="55">
        <f t="shared" ca="1" si="23"/>
        <v>0</v>
      </c>
      <c r="AI63" s="55">
        <f t="shared" ca="1" si="17"/>
        <v>0</v>
      </c>
      <c r="AJ63" s="55">
        <f t="shared" ca="1" si="18"/>
        <v>33.315148566225822</v>
      </c>
      <c r="AK63" s="55">
        <f t="shared" ca="1" si="19"/>
        <v>-77.200181748226143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45467</v>
      </c>
      <c r="S64" s="55">
        <f t="shared" ca="1" si="11"/>
        <v>45467</v>
      </c>
      <c r="T64" s="55">
        <f t="shared" ca="1" si="0"/>
        <v>47.171933624288847</v>
      </c>
      <c r="U64" s="55">
        <f t="shared" ca="1" si="1"/>
        <v>6.5730675752101178</v>
      </c>
      <c r="V64" s="55">
        <f t="shared" ca="1" si="2"/>
        <v>0</v>
      </c>
      <c r="W64" s="55">
        <f t="shared" ca="1" si="12"/>
        <v>-33.961468307874242</v>
      </c>
      <c r="X64" s="55">
        <f t="shared" ca="1" si="13"/>
        <v>34.301663509164378</v>
      </c>
      <c r="Y64" s="55">
        <f t="shared" ca="1" si="14"/>
        <v>8.0864008138078738</v>
      </c>
      <c r="Z64">
        <f t="shared" ca="1" si="3"/>
        <v>120</v>
      </c>
      <c r="AA64">
        <f t="shared" ca="1" si="15"/>
        <v>118.98866172138307</v>
      </c>
      <c r="AB64">
        <f t="shared" ca="1" si="4"/>
        <v>0</v>
      </c>
      <c r="AC64">
        <f t="shared" ca="1" si="5"/>
        <v>5.7991713746154069E-2</v>
      </c>
      <c r="AD64" s="83">
        <f ca="1"/>
        <v>45764</v>
      </c>
      <c r="AE64" s="55">
        <f t="shared" ca="1" si="20"/>
        <v>45764</v>
      </c>
      <c r="AF64" s="55">
        <f t="shared" ca="1" si="21"/>
        <v>-47.756380630268495</v>
      </c>
      <c r="AG64" s="55">
        <f t="shared" ca="1" si="22"/>
        <v>36.907364553103889</v>
      </c>
      <c r="AH64" s="55">
        <f t="shared" ca="1" si="23"/>
        <v>0</v>
      </c>
      <c r="AI64" s="55">
        <f t="shared" ca="1" si="17"/>
        <v>0</v>
      </c>
      <c r="AJ64" s="55">
        <f t="shared" ca="1" si="18"/>
        <v>34.251425405528821</v>
      </c>
      <c r="AK64" s="55">
        <f t="shared" ca="1" si="19"/>
        <v>-77.248922274641387</v>
      </c>
    </row>
    <row r="65" spans="2:37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45468</v>
      </c>
      <c r="S65" s="55">
        <f t="shared" ca="1" si="11"/>
        <v>45468</v>
      </c>
      <c r="T65" s="55">
        <f t="shared" ca="1" si="0"/>
        <v>47.718280974357299</v>
      </c>
      <c r="U65" s="55">
        <f t="shared" ca="1" si="1"/>
        <v>6.7344023495417975</v>
      </c>
      <c r="V65" s="55">
        <f t="shared" ca="1" si="2"/>
        <v>0</v>
      </c>
      <c r="W65" s="55">
        <f t="shared" ca="1" si="12"/>
        <v>-34.027167390375169</v>
      </c>
      <c r="X65" s="55">
        <f t="shared" ca="1" si="13"/>
        <v>34.915030100876578</v>
      </c>
      <c r="Y65" s="55">
        <f t="shared" ca="1" si="14"/>
        <v>8.2464154289967304</v>
      </c>
      <c r="Z65">
        <f t="shared" ca="1" si="3"/>
        <v>120</v>
      </c>
      <c r="AA65">
        <f t="shared" ca="1" si="15"/>
        <v>119.23866172138307</v>
      </c>
      <c r="AB65">
        <f t="shared" ca="1" si="4"/>
        <v>0</v>
      </c>
      <c r="AC65">
        <f t="shared" ca="1" si="5"/>
        <v>6.1451231994947619E-2</v>
      </c>
      <c r="AD65" s="83">
        <f ca="1"/>
        <v>45765</v>
      </c>
      <c r="AE65" s="55">
        <f t="shared" ca="1" si="20"/>
        <v>45765</v>
      </c>
      <c r="AF65" s="55">
        <f t="shared" ca="1" si="21"/>
        <v>-49.166912050388888</v>
      </c>
      <c r="AG65" s="55">
        <f t="shared" ca="1" si="22"/>
        <v>39.227843205165165</v>
      </c>
      <c r="AH65" s="55">
        <f t="shared" ca="1" si="23"/>
        <v>0</v>
      </c>
      <c r="AI65" s="55">
        <f t="shared" ca="1" si="17"/>
        <v>0</v>
      </c>
      <c r="AJ65" s="55">
        <f t="shared" ca="1" si="18"/>
        <v>35.190952361995031</v>
      </c>
      <c r="AK65" s="55">
        <f t="shared" ca="1" si="19"/>
        <v>-77.278501999166707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45469</v>
      </c>
      <c r="S66" s="55">
        <f t="shared" ca="1" si="11"/>
        <v>45469</v>
      </c>
      <c r="T66" s="55">
        <f t="shared" ca="1" si="0"/>
        <v>47.754927355544709</v>
      </c>
      <c r="U66" s="55">
        <f t="shared" ca="1" si="1"/>
        <v>6.8930394107667743</v>
      </c>
      <c r="V66" s="55">
        <f t="shared" ca="1" si="2"/>
        <v>0</v>
      </c>
      <c r="W66" s="55">
        <f t="shared" ca="1" si="12"/>
        <v>-34.576833525241454</v>
      </c>
      <c r="X66" s="55">
        <f t="shared" ca="1" si="13"/>
        <v>35.506257734157849</v>
      </c>
      <c r="Y66" s="55">
        <f t="shared" ca="1" si="14"/>
        <v>8.4001373729941307</v>
      </c>
      <c r="Z66">
        <f t="shared" ca="1" si="3"/>
        <v>120</v>
      </c>
      <c r="AA66">
        <f t="shared" ca="1" si="15"/>
        <v>121.32866172138307</v>
      </c>
      <c r="AB66">
        <f t="shared" ca="1" si="4"/>
        <v>0</v>
      </c>
      <c r="AC66">
        <f t="shared" ca="1" si="5"/>
        <v>6.4955132441804231E-2</v>
      </c>
      <c r="AD66" s="83">
        <f ca="1"/>
        <v>45766</v>
      </c>
      <c r="AE66" s="55">
        <f t="shared" ca="1" si="20"/>
        <v>45766</v>
      </c>
      <c r="AF66" s="55">
        <f t="shared" ca="1" si="21"/>
        <v>-50.535674092395347</v>
      </c>
      <c r="AG66" s="55">
        <f t="shared" ca="1" si="22"/>
        <v>41.466820889102443</v>
      </c>
      <c r="AH66" s="55">
        <f t="shared" ca="1" si="23"/>
        <v>0</v>
      </c>
      <c r="AI66" s="55">
        <f t="shared" ca="1" si="17"/>
        <v>0</v>
      </c>
      <c r="AJ66" s="55">
        <f t="shared" ca="1" si="18"/>
        <v>36.072249309399339</v>
      </c>
      <c r="AK66" s="55">
        <f t="shared" ca="1" si="19"/>
        <v>-77.289583304640189</v>
      </c>
    </row>
    <row r="67" spans="2:37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351 kg N/ha</v>
      </c>
      <c r="R67" s="83">
        <f ca="1"/>
        <v>45470</v>
      </c>
      <c r="S67" s="55">
        <f t="shared" ca="1" si="11"/>
        <v>45470</v>
      </c>
      <c r="T67" s="55">
        <f t="shared" ca="1" si="0"/>
        <v>48.338918157822725</v>
      </c>
      <c r="U67" s="55">
        <f t="shared" ca="1" si="1"/>
        <v>7.0566583509416434</v>
      </c>
      <c r="V67" s="55">
        <f t="shared" ca="1" si="2"/>
        <v>0</v>
      </c>
      <c r="W67" s="55">
        <f t="shared" ca="1" si="12"/>
        <v>-34.576833525241454</v>
      </c>
      <c r="X67" s="55">
        <f t="shared" ca="1" si="13"/>
        <v>36.101749165394729</v>
      </c>
      <c r="Y67" s="55">
        <f t="shared" ca="1" si="14"/>
        <v>8.5522556842101398</v>
      </c>
      <c r="Z67">
        <f t="shared" ca="1" si="3"/>
        <v>119.93043478260869</v>
      </c>
      <c r="AA67">
        <f t="shared" ca="1" si="15"/>
        <v>121.32866172138307</v>
      </c>
      <c r="AB67">
        <f t="shared" ca="1" si="4"/>
        <v>0</v>
      </c>
      <c r="AC67">
        <f t="shared" ca="1" si="5"/>
        <v>6.8674422070750599E-2</v>
      </c>
      <c r="AD67" s="83">
        <f ca="1"/>
        <v>45767</v>
      </c>
      <c r="AE67" s="55">
        <f t="shared" ca="1" si="20"/>
        <v>45767</v>
      </c>
      <c r="AF67" s="55">
        <f t="shared" ca="1" si="21"/>
        <v>-52.299263002786077</v>
      </c>
      <c r="AG67" s="55">
        <f t="shared" ca="1" si="22"/>
        <v>44.226350669972135</v>
      </c>
      <c r="AH67" s="55">
        <f t="shared" ca="1" si="23"/>
        <v>0</v>
      </c>
      <c r="AI67" s="55">
        <f t="shared" ca="1" si="17"/>
        <v>0</v>
      </c>
      <c r="AJ67" s="55">
        <f t="shared" ca="1" si="18"/>
        <v>37.062197814089629</v>
      </c>
      <c r="AK67" s="55">
        <f t="shared" ca="1" si="19"/>
        <v>-77.283590938851518</v>
      </c>
    </row>
    <row r="68" spans="2:37" ht="15.75" thickBot="1">
      <c r="C68" s="122" t="s">
        <v>185</v>
      </c>
      <c r="D68" s="122"/>
      <c r="E68" s="122"/>
      <c r="F68" s="122"/>
      <c r="G68" s="122"/>
      <c r="H68" s="122"/>
      <c r="R68" s="83">
        <f ca="1"/>
        <v>45471</v>
      </c>
      <c r="S68" s="55">
        <f t="shared" ca="1" si="11"/>
        <v>45471</v>
      </c>
      <c r="T68" s="55">
        <f t="shared" ca="1" si="0"/>
        <v>48.692636348878302</v>
      </c>
      <c r="U68" s="55">
        <f t="shared" ca="1" si="1"/>
        <v>7.2216010605777932</v>
      </c>
      <c r="V68" s="55">
        <f t="shared" ca="1" si="2"/>
        <v>0</v>
      </c>
      <c r="W68" s="55">
        <f t="shared" ca="1" si="12"/>
        <v>-34.794179113116563</v>
      </c>
      <c r="X68" s="55">
        <f t="shared" ca="1" si="13"/>
        <v>36.689337825264822</v>
      </c>
      <c r="Y68" s="55">
        <f t="shared" ca="1" si="14"/>
        <v>8.7006735129068833</v>
      </c>
      <c r="Z68">
        <f t="shared" ca="1" si="3"/>
        <v>120</v>
      </c>
      <c r="AA68">
        <f t="shared" ca="1" si="15"/>
        <v>122.1391617480969</v>
      </c>
      <c r="AB68">
        <f t="shared" ca="1" si="4"/>
        <v>0</v>
      </c>
      <c r="AC68">
        <f t="shared" ca="1" si="5"/>
        <v>7.253109530361701E-2</v>
      </c>
      <c r="AD68" s="83">
        <f ca="1"/>
        <v>45768</v>
      </c>
      <c r="AE68" s="55">
        <f t="shared" ca="1" si="20"/>
        <v>45768</v>
      </c>
      <c r="AF68" s="55">
        <f t="shared" ca="1" si="21"/>
        <v>-54.202737584785275</v>
      </c>
      <c r="AG68" s="55">
        <f t="shared" ca="1" si="22"/>
        <v>47.142922083380988</v>
      </c>
      <c r="AH68" s="55">
        <f t="shared" ca="1" si="23"/>
        <v>0</v>
      </c>
      <c r="AI68" s="55">
        <f t="shared" ca="1" si="17"/>
        <v>0</v>
      </c>
      <c r="AJ68" s="55">
        <f t="shared" ca="1" si="18"/>
        <v>38.051306740178958</v>
      </c>
      <c r="AK68" s="55">
        <f t="shared" ca="1" si="19"/>
        <v>-77.259603033531192</v>
      </c>
    </row>
    <row r="69" spans="2:37">
      <c r="C69" s="61"/>
      <c r="D69" s="88"/>
      <c r="E69" s="99"/>
      <c r="R69" s="83">
        <f ca="1"/>
        <v>45472</v>
      </c>
      <c r="S69" s="55">
        <f t="shared" ca="1" si="11"/>
        <v>45472</v>
      </c>
      <c r="T69" s="55">
        <f t="shared" ca="1" si="0"/>
        <v>48.77837136253649</v>
      </c>
      <c r="U69" s="55">
        <f t="shared" ca="1" si="1"/>
        <v>7.3868025499226952</v>
      </c>
      <c r="V69" s="55">
        <f t="shared" ca="1" si="2"/>
        <v>0</v>
      </c>
      <c r="W69" s="55">
        <f t="shared" ca="1" si="12"/>
        <v>-35.264289503784482</v>
      </c>
      <c r="X69" s="55">
        <f t="shared" ca="1" si="13"/>
        <v>37.266096398699268</v>
      </c>
      <c r="Y69" s="55">
        <f t="shared" ca="1" si="14"/>
        <v>8.8449618331434454</v>
      </c>
      <c r="Z69">
        <f t="shared" ca="1" si="3"/>
        <v>120</v>
      </c>
      <c r="AA69">
        <f t="shared" ca="1" si="15"/>
        <v>123.88916174809688</v>
      </c>
      <c r="AB69">
        <f t="shared" ca="1" si="4"/>
        <v>0</v>
      </c>
      <c r="AC69">
        <f t="shared" ca="1" si="5"/>
        <v>7.6500668342742745E-2</v>
      </c>
      <c r="AD69" s="83">
        <f ca="1"/>
        <v>45769</v>
      </c>
      <c r="AE69" s="55">
        <f t="shared" ca="1" si="20"/>
        <v>45769</v>
      </c>
      <c r="AF69" s="55">
        <f t="shared" ca="1" si="21"/>
        <v>-56.081921861247764</v>
      </c>
      <c r="AG69" s="55">
        <f t="shared" ca="1" si="22"/>
        <v>49.993909414773583</v>
      </c>
      <c r="AH69" s="55">
        <f t="shared" ca="1" si="23"/>
        <v>0</v>
      </c>
      <c r="AI69" s="55">
        <f t="shared" ca="1" si="17"/>
        <v>0</v>
      </c>
      <c r="AJ69" s="55">
        <f t="shared" ca="1" si="18"/>
        <v>38.984340367001479</v>
      </c>
      <c r="AK69" s="55">
        <f t="shared" ca="1" si="19"/>
        <v>-77.220833605423607</v>
      </c>
    </row>
    <row r="70" spans="2:37">
      <c r="C70" s="61"/>
      <c r="D70" s="84"/>
      <c r="E70" s="69"/>
      <c r="R70" s="83">
        <f ca="1"/>
        <v>45473</v>
      </c>
      <c r="S70" s="55">
        <f t="shared" ca="1" si="11"/>
        <v>45473</v>
      </c>
      <c r="T70" s="55">
        <f t="shared" ca="1" si="0"/>
        <v>48.98668176626056</v>
      </c>
      <c r="U70" s="55">
        <f t="shared" ca="1" si="1"/>
        <v>7.5615208174070441</v>
      </c>
      <c r="V70" s="55">
        <f t="shared" ca="1" si="2"/>
        <v>0</v>
      </c>
      <c r="W70" s="55">
        <f t="shared" ca="1" si="12"/>
        <v>-35.620401381667904</v>
      </c>
      <c r="X70" s="55">
        <f t="shared" ca="1" si="13"/>
        <v>37.860367586321033</v>
      </c>
      <c r="Y70" s="55">
        <f t="shared" ca="1" si="14"/>
        <v>8.9898311946135259</v>
      </c>
      <c r="Z70">
        <f t="shared" ca="1" si="3"/>
        <v>120</v>
      </c>
      <c r="AA70">
        <f t="shared" ca="1" si="15"/>
        <v>125.20916174809688</v>
      </c>
      <c r="AB70">
        <f t="shared" ca="1" si="4"/>
        <v>0</v>
      </c>
      <c r="AC70">
        <f t="shared" ca="1" si="5"/>
        <v>8.0813876331918583E-2</v>
      </c>
      <c r="AD70" s="83">
        <f ca="1"/>
        <v>45770</v>
      </c>
      <c r="AE70" s="55">
        <f t="shared" ca="1" si="20"/>
        <v>45770</v>
      </c>
      <c r="AF70" s="55">
        <f t="shared" ca="1" si="21"/>
        <v>-58.178036266265046</v>
      </c>
      <c r="AG70" s="55">
        <f t="shared" ca="1" si="22"/>
        <v>53.103158494173236</v>
      </c>
      <c r="AH70" s="55">
        <f t="shared" ca="1" si="23"/>
        <v>0</v>
      </c>
      <c r="AI70" s="55">
        <f t="shared" ca="1" si="17"/>
        <v>0</v>
      </c>
      <c r="AJ70" s="55">
        <f t="shared" ca="1" si="18"/>
        <v>39.942689615126625</v>
      </c>
      <c r="AK70" s="55">
        <f t="shared" ca="1" si="19"/>
        <v>-77.166048179166381</v>
      </c>
    </row>
    <row r="71" spans="2:37">
      <c r="C71" s="61"/>
      <c r="D71" s="84"/>
      <c r="E71" s="69"/>
      <c r="R71" s="83">
        <f ca="1"/>
        <v>45474</v>
      </c>
      <c r="S71" s="55">
        <f t="shared" ca="1" si="11"/>
        <v>45474</v>
      </c>
      <c r="T71" s="55">
        <f t="shared" ca="1" si="0"/>
        <v>49.515826023620484</v>
      </c>
      <c r="U71" s="55">
        <f t="shared" ca="1" si="1"/>
        <v>7.7282051363805309</v>
      </c>
      <c r="V71" s="55">
        <f t="shared" ca="1" si="2"/>
        <v>0</v>
      </c>
      <c r="W71" s="55">
        <f t="shared" ca="1" si="12"/>
        <v>-35.620401381667904</v>
      </c>
      <c r="X71" s="55">
        <f t="shared" ca="1" si="13"/>
        <v>38.419364408351818</v>
      </c>
      <c r="Y71" s="55">
        <f t="shared" ca="1" si="14"/>
        <v>9.1266629489161506</v>
      </c>
      <c r="Z71">
        <f t="shared" ca="1" si="3"/>
        <v>119.68695652173912</v>
      </c>
      <c r="AA71">
        <f t="shared" ca="1" si="15"/>
        <v>125.20916174809688</v>
      </c>
      <c r="AB71">
        <f t="shared" ca="1" si="4"/>
        <v>0</v>
      </c>
      <c r="AC71">
        <f t="shared" ca="1" si="5"/>
        <v>8.5037441556860147E-2</v>
      </c>
      <c r="AD71" s="83">
        <f ca="1"/>
        <v>45771</v>
      </c>
      <c r="AE71" s="55">
        <f t="shared" ca="1" si="20"/>
        <v>45771</v>
      </c>
      <c r="AF71" s="55">
        <f t="shared" ca="1" si="21"/>
        <v>-60.68477597622396</v>
      </c>
      <c r="AG71" s="55">
        <f t="shared" ca="1" si="22"/>
        <v>56.719272620182785</v>
      </c>
      <c r="AH71" s="55">
        <f t="shared" ca="1" si="23"/>
        <v>0</v>
      </c>
      <c r="AI71" s="55">
        <f t="shared" ca="1" si="17"/>
        <v>0</v>
      </c>
      <c r="AJ71" s="55">
        <f t="shared" ca="1" si="18"/>
        <v>40.977757553173412</v>
      </c>
      <c r="AK71" s="55">
        <f t="shared" ca="1" si="19"/>
        <v>-77.091741701162533</v>
      </c>
    </row>
    <row r="72" spans="2:37">
      <c r="C72" s="61"/>
      <c r="D72" s="84">
        <v>120</v>
      </c>
      <c r="E72" s="69">
        <v>120</v>
      </c>
      <c r="R72" s="83">
        <f ca="1"/>
        <v>45475</v>
      </c>
      <c r="S72" s="55">
        <f t="shared" ca="1" si="11"/>
        <v>45475</v>
      </c>
      <c r="T72" s="55">
        <f t="shared" ca="1" si="0"/>
        <v>49.387629727809234</v>
      </c>
      <c r="U72" s="55">
        <f t="shared" ca="1" si="1"/>
        <v>7.9110489955805754</v>
      </c>
      <c r="V72" s="55">
        <f t="shared" ca="1" si="2"/>
        <v>0</v>
      </c>
      <c r="W72" s="55">
        <f t="shared" ca="1" si="12"/>
        <v>-36.300950781456343</v>
      </c>
      <c r="X72" s="55">
        <f t="shared" ca="1" si="13"/>
        <v>39.014245516139269</v>
      </c>
      <c r="Y72" s="55">
        <f t="shared" ca="1" si="14"/>
        <v>9.2669788043059285</v>
      </c>
      <c r="Z72">
        <f t="shared" ca="1" si="3"/>
        <v>120</v>
      </c>
      <c r="AA72">
        <f t="shared" ca="1" si="15"/>
        <v>127.71127501667947</v>
      </c>
      <c r="AB72">
        <f t="shared" ca="1" si="4"/>
        <v>0</v>
      </c>
      <c r="AC72">
        <f t="shared" ca="1" si="5"/>
        <v>8.9790685390553418E-2</v>
      </c>
      <c r="AD72" s="83">
        <f ca="1"/>
        <v>45772</v>
      </c>
      <c r="AE72" s="55">
        <f t="shared" ca="1" si="20"/>
        <v>45772</v>
      </c>
      <c r="AF72" s="55">
        <f t="shared" ca="1" si="21"/>
        <v>-63.257798609486635</v>
      </c>
      <c r="AG72" s="55">
        <f t="shared" ca="1" si="22"/>
        <v>60.380378897481705</v>
      </c>
      <c r="AH72" s="55">
        <f t="shared" ca="1" si="23"/>
        <v>0</v>
      </c>
      <c r="AI72" s="55">
        <f t="shared" ca="1" si="17"/>
        <v>0</v>
      </c>
      <c r="AJ72" s="55">
        <f t="shared" ca="1" si="18"/>
        <v>41.978660079136588</v>
      </c>
      <c r="AK72" s="55">
        <f t="shared" ca="1" si="19"/>
        <v>-77.004560583089471</v>
      </c>
    </row>
    <row r="73" spans="2:37">
      <c r="R73" s="83">
        <f ca="1"/>
        <v>45476</v>
      </c>
      <c r="S73" s="55">
        <f t="shared" ca="1" si="11"/>
        <v>45476</v>
      </c>
      <c r="T73" s="55">
        <f t="shared" ca="1" si="0"/>
        <v>49.922211426564445</v>
      </c>
      <c r="U73" s="55">
        <f t="shared" ca="1" si="1"/>
        <v>8.0932039640560092</v>
      </c>
      <c r="V73" s="55">
        <f t="shared" ca="1" si="2"/>
        <v>0</v>
      </c>
      <c r="W73" s="55">
        <f t="shared" ca="1" si="12"/>
        <v>-36.300950781456343</v>
      </c>
      <c r="X73" s="55">
        <f t="shared" ca="1" si="13"/>
        <v>39.595200330092062</v>
      </c>
      <c r="Y73" s="55">
        <f t="shared" ca="1" si="14"/>
        <v>9.4027606575837783</v>
      </c>
      <c r="Z73">
        <f t="shared" ca="1" si="3"/>
        <v>119.75652173913046</v>
      </c>
      <c r="AA73">
        <f t="shared" ca="1" si="15"/>
        <v>127.71127501667947</v>
      </c>
      <c r="AB73">
        <f t="shared" ca="1" si="4"/>
        <v>0</v>
      </c>
      <c r="AC73">
        <f t="shared" ca="1" si="5"/>
        <v>9.4648984603944955E-2</v>
      </c>
      <c r="AD73" s="83">
        <f ca="1"/>
        <v>45773</v>
      </c>
      <c r="AE73" s="55">
        <f t="shared" ca="1" si="20"/>
        <v>45773</v>
      </c>
      <c r="AF73" s="55">
        <f t="shared" ca="1" si="21"/>
        <v>-65.852973995932444</v>
      </c>
      <c r="AG73" s="55">
        <f t="shared" ca="1" si="22"/>
        <v>64.033897635376931</v>
      </c>
      <c r="AH73" s="55">
        <f t="shared" ca="1" si="23"/>
        <v>0</v>
      </c>
      <c r="AI73" s="55">
        <f t="shared" ca="1" si="17"/>
        <v>0</v>
      </c>
      <c r="AJ73" s="55">
        <f t="shared" ca="1" si="18"/>
        <v>42.93948126932861</v>
      </c>
      <c r="AK73" s="55">
        <f t="shared" ca="1" si="19"/>
        <v>-76.907038421832084</v>
      </c>
    </row>
    <row r="74" spans="2:37">
      <c r="R74" s="83">
        <f ca="1"/>
        <v>45477</v>
      </c>
      <c r="S74" s="55">
        <f t="shared" ca="1" si="11"/>
        <v>45477</v>
      </c>
      <c r="T74" s="55">
        <f t="shared" ca="1" si="0"/>
        <v>50.489760241270588</v>
      </c>
      <c r="U74" s="55">
        <f t="shared" ca="1" si="1"/>
        <v>8.2970053019902412</v>
      </c>
      <c r="V74" s="55">
        <f t="shared" ca="1" si="2"/>
        <v>0</v>
      </c>
      <c r="W74" s="55">
        <f t="shared" ca="1" si="12"/>
        <v>-36.300950781456343</v>
      </c>
      <c r="X74" s="55">
        <f t="shared" ca="1" si="13"/>
        <v>40.225515913920106</v>
      </c>
      <c r="Y74" s="55">
        <f t="shared" ca="1" si="14"/>
        <v>9.5437952263961066</v>
      </c>
      <c r="Z74">
        <f t="shared" ca="1" si="3"/>
        <v>118.24655801236344</v>
      </c>
      <c r="AA74">
        <f t="shared" ca="1" si="15"/>
        <v>127.71127501667947</v>
      </c>
      <c r="AB74">
        <f t="shared" ca="1" si="4"/>
        <v>0</v>
      </c>
      <c r="AC74">
        <f t="shared" ca="1" si="5"/>
        <v>0.10022724213216931</v>
      </c>
      <c r="AD74" s="83">
        <f ca="1"/>
        <v>45774</v>
      </c>
      <c r="AE74" s="55">
        <f t="shared" ca="1" si="20"/>
        <v>45774</v>
      </c>
      <c r="AF74" s="55">
        <f t="shared" ca="1" si="21"/>
        <v>-68.912813991058485</v>
      </c>
      <c r="AG74" s="55">
        <f t="shared" ca="1" si="22"/>
        <v>68.243972568600938</v>
      </c>
      <c r="AH74" s="55">
        <f t="shared" ca="1" si="23"/>
        <v>0</v>
      </c>
      <c r="AI74" s="55">
        <f t="shared" ca="1" si="17"/>
        <v>0</v>
      </c>
      <c r="AJ74" s="55">
        <f t="shared" ca="1" si="18"/>
        <v>43.97282439937868</v>
      </c>
      <c r="AK74" s="55">
        <f t="shared" ca="1" si="19"/>
        <v>-76.790146613784188</v>
      </c>
    </row>
    <row r="75" spans="2:37">
      <c r="R75" s="83">
        <f ca="1"/>
        <v>45478</v>
      </c>
      <c r="S75" s="55">
        <f t="shared" ca="1" si="11"/>
        <v>45478</v>
      </c>
      <c r="T75" s="55">
        <f t="shared" ca="1" si="0"/>
        <v>50.942433472941595</v>
      </c>
      <c r="U75" s="55">
        <f t="shared" ca="1" si="1"/>
        <v>8.4995358881406506</v>
      </c>
      <c r="V75" s="55">
        <f t="shared" ca="1" si="2"/>
        <v>0</v>
      </c>
      <c r="W75" s="55">
        <f t="shared" ca="1" si="12"/>
        <v>-36.394339863809506</v>
      </c>
      <c r="X75" s="55">
        <f t="shared" ca="1" si="13"/>
        <v>40.838260452975362</v>
      </c>
      <c r="Y75" s="55">
        <f t="shared" ca="1" si="14"/>
        <v>9.6796435875154305</v>
      </c>
      <c r="Z75">
        <f t="shared" ca="1" si="3"/>
        <v>120</v>
      </c>
      <c r="AA75">
        <f t="shared" ca="1" si="15"/>
        <v>128.04415058059215</v>
      </c>
      <c r="AB75">
        <f t="shared" ca="1" si="4"/>
        <v>0</v>
      </c>
      <c r="AC75">
        <f t="shared" ca="1" si="5"/>
        <v>0.10591663452976342</v>
      </c>
      <c r="AD75" s="83">
        <f ca="1"/>
        <v>45775</v>
      </c>
      <c r="AE75" s="55">
        <f t="shared" ca="1" si="20"/>
        <v>45775</v>
      </c>
      <c r="AF75" s="55">
        <f t="shared" ca="1" si="21"/>
        <v>-71.924361616084994</v>
      </c>
      <c r="AG75" s="55">
        <f t="shared" ca="1" si="22"/>
        <v>72.353941310508844</v>
      </c>
      <c r="AH75" s="55">
        <f t="shared" ca="1" si="23"/>
        <v>0</v>
      </c>
      <c r="AI75" s="55">
        <f t="shared" ca="1" si="17"/>
        <v>0</v>
      </c>
      <c r="AJ75" s="55">
        <f t="shared" ca="1" si="18"/>
        <v>44.947726846283174</v>
      </c>
      <c r="AK75" s="55">
        <f t="shared" ca="1" si="19"/>
        <v>-76.666627943807285</v>
      </c>
    </row>
    <row r="76" spans="2:37">
      <c r="R76" s="83">
        <f ca="1"/>
        <v>45479</v>
      </c>
      <c r="S76" s="55">
        <f t="shared" ca="1" si="11"/>
        <v>45479</v>
      </c>
      <c r="T76" s="55">
        <f t="shared" ca="1" si="0"/>
        <v>50.463049941144028</v>
      </c>
      <c r="U76" s="55">
        <f t="shared" ca="1" si="1"/>
        <v>8.719335230309909</v>
      </c>
      <c r="V76" s="55">
        <f t="shared" ca="1" si="2"/>
        <v>0</v>
      </c>
      <c r="W76" s="55">
        <f t="shared" ca="1" si="12"/>
        <v>-37.439290671866125</v>
      </c>
      <c r="X76" s="55">
        <f t="shared" ca="1" si="13"/>
        <v>41.485178135458206</v>
      </c>
      <c r="Y76" s="55">
        <f t="shared" ca="1" si="14"/>
        <v>9.8180925234608996</v>
      </c>
      <c r="Z76">
        <f t="shared" ca="1" si="3"/>
        <v>120</v>
      </c>
      <c r="AA76">
        <f t="shared" ca="1" si="15"/>
        <v>131.80415058059214</v>
      </c>
      <c r="AB76">
        <f t="shared" ca="1" si="4"/>
        <v>0</v>
      </c>
      <c r="AC76">
        <f t="shared" ca="1" si="5"/>
        <v>0.11225151314708727</v>
      </c>
      <c r="AD76" s="83">
        <f ca="1"/>
        <v>45776</v>
      </c>
      <c r="AE76" s="55">
        <f t="shared" ca="1" si="20"/>
        <v>45776</v>
      </c>
      <c r="AF76" s="55">
        <f t="shared" ca="1" si="21"/>
        <v>-75.011727840868602</v>
      </c>
      <c r="AG76" s="55">
        <f t="shared" ca="1" si="22"/>
        <v>76.525930839455555</v>
      </c>
      <c r="AH76" s="55">
        <f t="shared" ca="1" si="23"/>
        <v>0</v>
      </c>
      <c r="AI76" s="55">
        <f t="shared" ca="1" si="17"/>
        <v>0</v>
      </c>
      <c r="AJ76" s="55">
        <f t="shared" ca="1" si="18"/>
        <v>45.900323367861255</v>
      </c>
      <c r="AK76" s="55">
        <f t="shared" ca="1" si="19"/>
        <v>-76.53460116122227</v>
      </c>
    </row>
    <row r="77" spans="2:37">
      <c r="R77" s="83">
        <f ca="1"/>
        <v>45480</v>
      </c>
      <c r="S77" s="55">
        <f t="shared" ca="1" si="11"/>
        <v>45480</v>
      </c>
      <c r="T77" s="55">
        <f t="shared" ca="1" si="0"/>
        <v>50.222772792095448</v>
      </c>
      <c r="U77" s="55">
        <f t="shared" ca="1" si="1"/>
        <v>8.9180388393078012</v>
      </c>
      <c r="V77" s="55">
        <f t="shared" ca="1" si="2"/>
        <v>0</v>
      </c>
      <c r="W77" s="55">
        <f t="shared" ca="1" si="12"/>
        <v>-38.183315575461492</v>
      </c>
      <c r="X77" s="55">
        <f t="shared" ca="1" si="13"/>
        <v>42.061936708892652</v>
      </c>
      <c r="Y77" s="55">
        <f t="shared" ca="1" si="14"/>
        <v>9.9437853135711283</v>
      </c>
      <c r="Z77">
        <f t="shared" ca="1" si="3"/>
        <v>120</v>
      </c>
      <c r="AA77">
        <f t="shared" ca="1" si="15"/>
        <v>134.49415058059213</v>
      </c>
      <c r="AB77">
        <f t="shared" ca="1" si="4"/>
        <v>0</v>
      </c>
      <c r="AC77">
        <f t="shared" ca="1" si="5"/>
        <v>0.11811810140069604</v>
      </c>
      <c r="AD77" s="83">
        <f ca="1"/>
        <v>45777</v>
      </c>
      <c r="AE77" s="55">
        <f t="shared" ca="1" si="20"/>
        <v>45777</v>
      </c>
      <c r="AF77" s="55">
        <f t="shared" ca="1" si="21"/>
        <v>-78.194172716146028</v>
      </c>
      <c r="AG77" s="55">
        <f t="shared" ca="1" si="22"/>
        <v>80.785643397534798</v>
      </c>
      <c r="AH77" s="55">
        <f t="shared" ca="1" si="23"/>
        <v>0</v>
      </c>
      <c r="AI77" s="55">
        <f t="shared" ca="1" si="17"/>
        <v>0</v>
      </c>
      <c r="AJ77" s="55">
        <f t="shared" ca="1" si="18"/>
        <v>46.837412089043184</v>
      </c>
      <c r="AK77" s="55">
        <f t="shared" ca="1" si="19"/>
        <v>-76.394422199602388</v>
      </c>
    </row>
    <row r="78" spans="2:37">
      <c r="R78" s="83">
        <f ca="1"/>
        <v>45481</v>
      </c>
      <c r="S78" s="55">
        <f t="shared" ca="1" si="11"/>
        <v>45481</v>
      </c>
      <c r="T78" s="55">
        <f t="shared" ca="1" si="0"/>
        <v>49.801480460051927</v>
      </c>
      <c r="U78" s="55">
        <f t="shared" ca="1" si="1"/>
        <v>9.112263499673368</v>
      </c>
      <c r="V78" s="55">
        <f t="shared" ca="1" si="2"/>
        <v>0</v>
      </c>
      <c r="W78" s="55">
        <f t="shared" ca="1" si="12"/>
        <v>-39.085660660550722</v>
      </c>
      <c r="X78" s="55">
        <f t="shared" ca="1" si="13"/>
        <v>42.616840796810223</v>
      </c>
      <c r="Y78" s="55">
        <f t="shared" ca="1" si="14"/>
        <v>10.064158639064839</v>
      </c>
      <c r="Z78">
        <f t="shared" ca="1" si="3"/>
        <v>120</v>
      </c>
      <c r="AA78">
        <f t="shared" ca="1" si="15"/>
        <v>137.78415058059215</v>
      </c>
      <c r="AB78">
        <f t="shared" ca="1" si="4"/>
        <v>0</v>
      </c>
      <c r="AC78">
        <f t="shared" ca="1" si="5"/>
        <v>0.12397690233579703</v>
      </c>
      <c r="AD78" s="83">
        <f ca="1"/>
        <v>45778</v>
      </c>
      <c r="AE78" s="55">
        <f t="shared" ca="1" si="20"/>
        <v>45778</v>
      </c>
      <c r="AF78" s="55">
        <f t="shared" ca="1" si="21"/>
        <v>-80.776703738862196</v>
      </c>
      <c r="AG78" s="55">
        <f t="shared" ca="1" si="22"/>
        <v>84.29995730725885</v>
      </c>
      <c r="AH78" s="55">
        <f t="shared" ca="1" si="23"/>
        <v>0</v>
      </c>
      <c r="AI78" s="55">
        <f t="shared" ca="1" si="17"/>
        <v>0</v>
      </c>
      <c r="AJ78" s="55">
        <f t="shared" ca="1" si="18"/>
        <v>47.637480684179636</v>
      </c>
      <c r="AK78" s="55">
        <f t="shared" ca="1" si="19"/>
        <v>-76.262707907730956</v>
      </c>
    </row>
    <row r="79" spans="2:37">
      <c r="R79" s="83">
        <f ca="1"/>
        <v>45482</v>
      </c>
      <c r="S79" s="55">
        <f t="shared" ca="1" si="11"/>
        <v>45482</v>
      </c>
      <c r="T79" s="55">
        <f t="shared" ca="1" si="0"/>
        <v>49.946838010843095</v>
      </c>
      <c r="U79" s="55">
        <f t="shared" ca="1" si="1"/>
        <v>9.3125851624230638</v>
      </c>
      <c r="V79" s="55">
        <f t="shared" ca="1" si="2"/>
        <v>0</v>
      </c>
      <c r="W79" s="55">
        <f t="shared" ca="1" si="12"/>
        <v>-39.418494807179499</v>
      </c>
      <c r="X79" s="55">
        <f t="shared" ca="1" si="13"/>
        <v>43.176423888035465</v>
      </c>
      <c r="Y79" s="55">
        <f t="shared" ca="1" si="14"/>
        <v>10.183088908009232</v>
      </c>
      <c r="Z79">
        <f t="shared" ca="1" si="3"/>
        <v>120</v>
      </c>
      <c r="AA79">
        <f t="shared" ca="1" si="15"/>
        <v>138.99415058059213</v>
      </c>
      <c r="AB79">
        <f t="shared" ca="1" si="4"/>
        <v>0</v>
      </c>
      <c r="AC79">
        <f t="shared" ca="1" si="5"/>
        <v>0.13014455601558722</v>
      </c>
      <c r="AD79" s="83">
        <f ca="1"/>
        <v>45779</v>
      </c>
      <c r="AE79" s="55">
        <f t="shared" ca="1" si="20"/>
        <v>45779</v>
      </c>
      <c r="AF79" s="55">
        <f t="shared" ca="1" si="21"/>
        <v>-83.451522948260916</v>
      </c>
      <c r="AG79" s="55">
        <f t="shared" ca="1" si="22"/>
        <v>87.910504629075518</v>
      </c>
      <c r="AH79" s="55">
        <f t="shared" ca="1" si="23"/>
        <v>0</v>
      </c>
      <c r="AI79" s="55">
        <f t="shared" ca="1" si="17"/>
        <v>0</v>
      </c>
      <c r="AJ79" s="55">
        <f t="shared" ca="1" si="18"/>
        <v>48.434937959876976</v>
      </c>
      <c r="AK79" s="55">
        <f t="shared" ca="1" si="19"/>
        <v>-76.124437071010348</v>
      </c>
    </row>
    <row r="80" spans="2:37">
      <c r="R80" s="83">
        <f ca="1"/>
        <v>45483</v>
      </c>
      <c r="S80" s="55">
        <f t="shared" ca="1" si="11"/>
        <v>45483</v>
      </c>
      <c r="T80" s="55">
        <f t="shared" ca="1" si="0"/>
        <v>49.424654436868941</v>
      </c>
      <c r="U80" s="55">
        <f t="shared" ca="1" si="1"/>
        <v>9.5119369467214359</v>
      </c>
      <c r="V80" s="55">
        <f t="shared" ca="1" si="2"/>
        <v>0</v>
      </c>
      <c r="W80" s="55">
        <f t="shared" ca="1" si="12"/>
        <v>-40.403836178822353</v>
      </c>
      <c r="X80" s="55">
        <f t="shared" ca="1" si="13"/>
        <v>43.723778875983932</v>
      </c>
      <c r="Y80" s="55">
        <f t="shared" ca="1" si="14"/>
        <v>10.298243502027836</v>
      </c>
      <c r="Z80">
        <f t="shared" ca="1" si="3"/>
        <v>120</v>
      </c>
      <c r="AA80">
        <f t="shared" ca="1" si="15"/>
        <v>142.61415058059214</v>
      </c>
      <c r="AB80">
        <f t="shared" ca="1" si="4"/>
        <v>0</v>
      </c>
      <c r="AC80">
        <f t="shared" ca="1" si="5"/>
        <v>0.1364041533561928</v>
      </c>
      <c r="AD80" s="83">
        <f ca="1"/>
        <v>45780</v>
      </c>
      <c r="AE80" s="55">
        <f t="shared" ca="1" si="20"/>
        <v>45780</v>
      </c>
      <c r="AF80" s="55">
        <f t="shared" ca="1" si="21"/>
        <v>-86.808800915813109</v>
      </c>
      <c r="AG80" s="55">
        <f t="shared" ca="1" si="22"/>
        <v>92.318094126012724</v>
      </c>
      <c r="AH80" s="55">
        <f t="shared" ca="1" si="23"/>
        <v>0</v>
      </c>
      <c r="AI80" s="55">
        <f t="shared" ca="1" si="17"/>
        <v>0</v>
      </c>
      <c r="AJ80" s="55">
        <f t="shared" ca="1" si="18"/>
        <v>49.327224756142719</v>
      </c>
      <c r="AK80" s="55">
        <f t="shared" ca="1" si="19"/>
        <v>-75.966412337891086</v>
      </c>
    </row>
    <row r="81" spans="18:37">
      <c r="R81" s="83">
        <f ca="1"/>
        <v>45484</v>
      </c>
      <c r="S81" s="55">
        <f t="shared" ca="1" si="11"/>
        <v>45484</v>
      </c>
      <c r="T81" s="55">
        <f t="shared" ca="1" si="0"/>
        <v>49.725683727572175</v>
      </c>
      <c r="U81" s="55">
        <f t="shared" ca="1" si="1"/>
        <v>9.7241627362980019</v>
      </c>
      <c r="V81" s="55">
        <f t="shared" ca="1" si="2"/>
        <v>0</v>
      </c>
      <c r="W81" s="55">
        <f t="shared" ca="1" si="12"/>
        <v>-40.573624165579105</v>
      </c>
      <c r="X81" s="55">
        <f t="shared" ca="1" si="13"/>
        <v>44.291019758514196</v>
      </c>
      <c r="Y81" s="55">
        <f t="shared" ca="1" si="14"/>
        <v>10.41404568653412</v>
      </c>
      <c r="Z81">
        <f t="shared" ca="1" si="3"/>
        <v>120</v>
      </c>
      <c r="AA81">
        <f t="shared" ca="1" si="15"/>
        <v>143.23415058059214</v>
      </c>
      <c r="AB81">
        <f t="shared" ca="1" si="4"/>
        <v>0</v>
      </c>
      <c r="AC81">
        <f t="shared" ca="1" si="5"/>
        <v>0.14319668087273935</v>
      </c>
      <c r="AD81" s="83">
        <f ca="1"/>
        <v>45781</v>
      </c>
      <c r="AE81" s="55">
        <f t="shared" ca="1" si="20"/>
        <v>45781</v>
      </c>
      <c r="AF81" s="55">
        <f t="shared" ca="1" si="21"/>
        <v>-90.337924793571815</v>
      </c>
      <c r="AG81" s="55">
        <f t="shared" ca="1" si="22"/>
        <v>96.90928145292267</v>
      </c>
      <c r="AH81" s="55">
        <f t="shared" ca="1" si="23"/>
        <v>0</v>
      </c>
      <c r="AI81" s="55">
        <f t="shared" ca="1" si="17"/>
        <v>0</v>
      </c>
      <c r="AJ81" s="55">
        <f t="shared" ca="1" si="18"/>
        <v>50.22345688249878</v>
      </c>
      <c r="AK81" s="55">
        <f t="shared" ca="1" si="19"/>
        <v>-75.800581015095901</v>
      </c>
    </row>
    <row r="82" spans="18:37">
      <c r="R82" s="83">
        <f ca="1"/>
        <v>45485</v>
      </c>
      <c r="S82" s="55">
        <f t="shared" ca="1" si="11"/>
        <v>45485</v>
      </c>
      <c r="T82" s="55">
        <f t="shared" ref="T82:T145" ca="1" si="27">VLOOKUP(S82,ModelOutputs,2,FALSE)</f>
        <v>49.044121174365813</v>
      </c>
      <c r="U82" s="55">
        <f t="shared" ref="U82:U145" ca="1" si="28">VLOOKUP(S82,ModelOutputs,7,FALSE)</f>
        <v>9.9336761804502576</v>
      </c>
      <c r="V82" s="55">
        <f t="shared" ref="V82:V145" ca="1" si="29">VLOOKUP(S82,ModelOutputs,6,FALSE)</f>
        <v>0</v>
      </c>
      <c r="W82" s="55">
        <f t="shared" ca="1" si="12"/>
        <v>-41.708036011873133</v>
      </c>
      <c r="X82" s="55">
        <f t="shared" ca="1" si="13"/>
        <v>44.841850604539097</v>
      </c>
      <c r="Y82" s="55">
        <f t="shared" ca="1" si="14"/>
        <v>10.525577577749143</v>
      </c>
      <c r="Z82">
        <f t="shared" ref="Z82:Z145" ca="1" si="30">VLOOKUP(S82,ModelOutputs,10,FALSE)*AWC</f>
        <v>120</v>
      </c>
      <c r="AA82">
        <f t="shared" ca="1" si="15"/>
        <v>147.43415058059213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0.15002744692867531</v>
      </c>
      <c r="AD82" s="83">
        <f ca="1"/>
        <v>45782</v>
      </c>
      <c r="AE82" s="55">
        <f t="shared" ca="1" si="20"/>
        <v>45782</v>
      </c>
      <c r="AF82" s="55">
        <f t="shared" ca="1" si="21"/>
        <v>-94.241292284478561</v>
      </c>
      <c r="AG82" s="55">
        <f t="shared" ca="1" si="22"/>
        <v>101.92311557274289</v>
      </c>
      <c r="AH82" s="55">
        <f t="shared" ca="1" si="23"/>
        <v>0</v>
      </c>
      <c r="AI82" s="55">
        <f t="shared" ca="1" si="17"/>
        <v>0</v>
      </c>
      <c r="AJ82" s="55">
        <f t="shared" ca="1" si="18"/>
        <v>51.155680784763376</v>
      </c>
      <c r="AK82" s="55">
        <f t="shared" ca="1" si="19"/>
        <v>-75.622338288447025</v>
      </c>
    </row>
    <row r="83" spans="18:37">
      <c r="R83" s="83">
        <f ca="1"/>
        <v>45486</v>
      </c>
      <c r="S83" s="55">
        <f t="shared" ref="S83:S146" ca="1" si="33">IF(R83&gt;1,R83,"")</f>
        <v>45486</v>
      </c>
      <c r="T83" s="55">
        <f t="shared" ca="1" si="27"/>
        <v>48.582362909523404</v>
      </c>
      <c r="U83" s="55">
        <f t="shared" ca="1" si="28"/>
        <v>10.143048144461442</v>
      </c>
      <c r="V83" s="55">
        <f t="shared" ca="1" si="29"/>
        <v>0</v>
      </c>
      <c r="W83" s="55">
        <f t="shared" ref="W83:W146" ca="1" si="34">-VLOOKUP(S83,ModelOutputs,9,FALSE)+W82</f>
        <v>-42.609696503785244</v>
      </c>
      <c r="X83" s="55">
        <f t="shared" ref="X83:X146" ca="1" si="35">VLOOKUP(S83,ModelOutputs,5,FALSE)+X82</f>
        <v>45.382870263295743</v>
      </c>
      <c r="Y83" s="55">
        <f t="shared" ref="Y83:Y146" ca="1" si="36">VLOOKUP(S83,ModelOutputs,4,FALSE)+Y82</f>
        <v>10.633832110073381</v>
      </c>
      <c r="Z83">
        <f t="shared" ca="1" si="30"/>
        <v>120</v>
      </c>
      <c r="AA83">
        <f t="shared" ref="AA83:AA146" ca="1" si="37">VLOOKUP(S83,ModelOutputs,11,FALSE)+AA82</f>
        <v>150.80415058059214</v>
      </c>
      <c r="AB83">
        <f t="shared" ca="1" si="31"/>
        <v>0</v>
      </c>
      <c r="AC83">
        <f t="shared" ca="1" si="32"/>
        <v>0.1569724002033023</v>
      </c>
      <c r="AD83" s="83">
        <f ca="1"/>
        <v>45783</v>
      </c>
      <c r="AE83" s="55">
        <f t="shared" ca="1" si="20"/>
        <v>45783</v>
      </c>
      <c r="AF83" s="55">
        <f t="shared" ca="1" si="21"/>
        <v>-98.142682680688097</v>
      </c>
      <c r="AG83" s="55">
        <f t="shared" ca="1" si="22"/>
        <v>106.91197320295674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52.062221032599325</v>
      </c>
      <c r="AK83" s="55">
        <f t="shared" ref="AK83:AK146" ca="1" si="40">VLOOKUP(AE83,ModelOutputs,4,FALSE)+AK82</f>
        <v>-75.441411302278652</v>
      </c>
    </row>
    <row r="84" spans="18:37">
      <c r="R84" s="83">
        <f ca="1"/>
        <v>45487</v>
      </c>
      <c r="S84" s="55">
        <f t="shared" ca="1" si="33"/>
        <v>45487</v>
      </c>
      <c r="T84" s="55">
        <f t="shared" ca="1" si="27"/>
        <v>48.760455183684201</v>
      </c>
      <c r="U84" s="55">
        <f t="shared" ca="1" si="28"/>
        <v>10.382367706804557</v>
      </c>
      <c r="V84" s="55">
        <f t="shared" ca="1" si="29"/>
        <v>0</v>
      </c>
      <c r="W84" s="55">
        <f t="shared" ca="1" si="34"/>
        <v>-42.902400569540056</v>
      </c>
      <c r="X84" s="55">
        <f t="shared" ca="1" si="35"/>
        <v>45.979583551598232</v>
      </c>
      <c r="Y84" s="55">
        <f t="shared" ca="1" si="36"/>
        <v>10.747234724029616</v>
      </c>
      <c r="Z84">
        <f t="shared" ca="1" si="30"/>
        <v>120</v>
      </c>
      <c r="AA84">
        <f t="shared" ca="1" si="37"/>
        <v>151.89415058059211</v>
      </c>
      <c r="AB84">
        <f t="shared" ca="1" si="31"/>
        <v>0</v>
      </c>
      <c r="AC84">
        <f t="shared" ca="1" si="32"/>
        <v>0.16504921700970102</v>
      </c>
      <c r="AD84" s="83">
        <f ca="1"/>
        <v>45784</v>
      </c>
      <c r="AE84" s="55">
        <f t="shared" ca="1" si="20"/>
        <v>45784</v>
      </c>
      <c r="AF84" s="55">
        <f t="shared" ca="1" si="21"/>
        <v>-101.87557716918728</v>
      </c>
      <c r="AG84" s="55">
        <f t="shared" ca="1" si="22"/>
        <v>111.68463270603699</v>
      </c>
      <c r="AH84" s="55">
        <f t="shared" ca="1" si="23"/>
        <v>0</v>
      </c>
      <c r="AI84" s="55">
        <f t="shared" ca="1" si="38"/>
        <v>0</v>
      </c>
      <c r="AJ84" s="55">
        <f t="shared" ca="1" si="39"/>
        <v>52.922560421884292</v>
      </c>
      <c r="AK84" s="55">
        <f t="shared" ca="1" si="40"/>
        <v>-75.261985676982533</v>
      </c>
    </row>
    <row r="85" spans="18:37">
      <c r="R85" s="83">
        <f ca="1"/>
        <v>45488</v>
      </c>
      <c r="S85" s="55">
        <f t="shared" ca="1" si="33"/>
        <v>45488</v>
      </c>
      <c r="T85" s="55">
        <f t="shared" ca="1" si="27"/>
        <v>47.832677666545649</v>
      </c>
      <c r="U85" s="55">
        <f t="shared" ca="1" si="28"/>
        <v>10.627183515707545</v>
      </c>
      <c r="V85" s="55">
        <f t="shared" ca="1" si="29"/>
        <v>0</v>
      </c>
      <c r="W85" s="55">
        <f t="shared" ca="1" si="34"/>
        <v>-44.293291648817693</v>
      </c>
      <c r="X85" s="55">
        <f t="shared" ca="1" si="35"/>
        <v>46.576296839900721</v>
      </c>
      <c r="Y85" s="55">
        <f t="shared" ca="1" si="36"/>
        <v>10.858450806769195</v>
      </c>
      <c r="Z85">
        <f t="shared" ca="1" si="30"/>
        <v>120</v>
      </c>
      <c r="AA85">
        <f t="shared" ca="1" si="37"/>
        <v>157.17415058059208</v>
      </c>
      <c r="AB85">
        <f t="shared" ca="1" si="31"/>
        <v>0</v>
      </c>
      <c r="AC85">
        <f t="shared" ca="1" si="32"/>
        <v>0.17345610858445357</v>
      </c>
      <c r="AD85" s="83">
        <f ca="1"/>
        <v>45785</v>
      </c>
      <c r="AE85" s="55">
        <f t="shared" ref="AE85:AE148" ca="1" si="41">IF(AD85&gt;1,AD85,"")</f>
        <v>45785</v>
      </c>
      <c r="AF85" s="55">
        <f t="shared" ref="AF85:AF148" ca="1" si="42">VLOOKUP(AE85,ModelOutputs,2,FALSE)</f>
        <v>-105.8016417618927</v>
      </c>
      <c r="AG85" s="55">
        <f t="shared" ref="AG85:AG148" ca="1" si="43">VLOOKUP(AE85,ModelOutputs,7,FALSE)</f>
        <v>116.66657836530234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53.79217575970592</v>
      </c>
      <c r="AK85" s="55">
        <f t="shared" ca="1" si="40"/>
        <v>-75.075719948244227</v>
      </c>
    </row>
    <row r="86" spans="18:37">
      <c r="R86" s="83">
        <f ca="1"/>
        <v>45489</v>
      </c>
      <c r="S86" s="55">
        <f t="shared" ca="1" si="33"/>
        <v>45489</v>
      </c>
      <c r="T86" s="55">
        <f t="shared" ca="1" si="27"/>
        <v>47.363746880933626</v>
      </c>
      <c r="U86" s="55">
        <f t="shared" ca="1" si="28"/>
        <v>10.898502474129845</v>
      </c>
      <c r="V86" s="55">
        <f t="shared" ca="1" si="29"/>
        <v>0</v>
      </c>
      <c r="W86" s="55">
        <f t="shared" ca="1" si="34"/>
        <v>-45.247980042469905</v>
      </c>
      <c r="X86" s="55">
        <f t="shared" ca="1" si="35"/>
        <v>47.218717545028682</v>
      </c>
      <c r="Y86" s="55">
        <f t="shared" ca="1" si="36"/>
        <v>10.973106668103725</v>
      </c>
      <c r="Z86">
        <f t="shared" ca="1" si="30"/>
        <v>120</v>
      </c>
      <c r="AA86">
        <f t="shared" ca="1" si="37"/>
        <v>160.83415058059208</v>
      </c>
      <c r="AB86">
        <f t="shared" ca="1" si="31"/>
        <v>0</v>
      </c>
      <c r="AC86">
        <f t="shared" ca="1" si="32"/>
        <v>0.18293307171369416</v>
      </c>
      <c r="AD86" s="83">
        <f ca="1"/>
        <v>45786</v>
      </c>
      <c r="AE86" s="55">
        <f t="shared" ca="1" si="41"/>
        <v>45786</v>
      </c>
      <c r="AF86" s="55">
        <f t="shared" ca="1" si="42"/>
        <v>-110.5969423640563</v>
      </c>
      <c r="AG86" s="55">
        <f t="shared" ca="1" si="43"/>
        <v>122.64551995563079</v>
      </c>
      <c r="AH86" s="55">
        <f t="shared" ca="1" si="44"/>
        <v>0</v>
      </c>
      <c r="AI86" s="55">
        <f t="shared" ca="1" si="38"/>
        <v>0</v>
      </c>
      <c r="AJ86" s="55">
        <f t="shared" ca="1" si="39"/>
        <v>54.766246432731798</v>
      </c>
      <c r="AK86" s="55">
        <f t="shared" ca="1" si="40"/>
        <v>-74.866149633105266</v>
      </c>
    </row>
    <row r="87" spans="18:37">
      <c r="R87" s="83">
        <f ca="1"/>
        <v>45490</v>
      </c>
      <c r="S87" s="55">
        <f t="shared" ca="1" si="33"/>
        <v>45490</v>
      </c>
      <c r="T87" s="55">
        <f t="shared" ca="1" si="27"/>
        <v>47.789175793466924</v>
      </c>
      <c r="U87" s="55">
        <f t="shared" ca="1" si="28"/>
        <v>11.154855371591037</v>
      </c>
      <c r="V87" s="55">
        <f t="shared" ca="1" si="29"/>
        <v>0</v>
      </c>
      <c r="W87" s="55">
        <f t="shared" ca="1" si="34"/>
        <v>-45.269034983689053</v>
      </c>
      <c r="X87" s="55">
        <f t="shared" ca="1" si="35"/>
        <v>47.814819703077632</v>
      </c>
      <c r="Y87" s="55">
        <f t="shared" ca="1" si="36"/>
        <v>11.079841261268413</v>
      </c>
      <c r="Z87">
        <f t="shared" ca="1" si="30"/>
        <v>120</v>
      </c>
      <c r="AA87">
        <f t="shared" ca="1" si="37"/>
        <v>160.91415058059209</v>
      </c>
      <c r="AB87">
        <f t="shared" ca="1" si="31"/>
        <v>0</v>
      </c>
      <c r="AC87">
        <f t="shared" ca="1" si="32"/>
        <v>0.19203090097222031</v>
      </c>
      <c r="AD87" s="83">
        <f ca="1"/>
        <v>45787</v>
      </c>
      <c r="AE87" s="55">
        <f t="shared" ca="1" si="41"/>
        <v>45787</v>
      </c>
      <c r="AF87" s="55">
        <f t="shared" ca="1" si="42"/>
        <v>-115.34790611708117</v>
      </c>
      <c r="AG87" s="55">
        <f t="shared" ca="1" si="43"/>
        <v>128.55068348363565</v>
      </c>
      <c r="AH87" s="55">
        <f t="shared" ca="1" si="44"/>
        <v>0</v>
      </c>
      <c r="AI87" s="55">
        <f t="shared" ca="1" si="38"/>
        <v>0</v>
      </c>
      <c r="AJ87" s="55">
        <f t="shared" ca="1" si="39"/>
        <v>55.710661516678719</v>
      </c>
      <c r="AK87" s="55">
        <f t="shared" ca="1" si="40"/>
        <v>-74.656364942072187</v>
      </c>
    </row>
    <row r="88" spans="18:37">
      <c r="R88" s="83">
        <f ca="1"/>
        <v>45491</v>
      </c>
      <c r="S88" s="55">
        <f t="shared" ca="1" si="33"/>
        <v>45491</v>
      </c>
      <c r="T88" s="55">
        <f t="shared" ca="1" si="27"/>
        <v>48.182686495659254</v>
      </c>
      <c r="U88" s="55">
        <f t="shared" ca="1" si="28"/>
        <v>11.42126101814069</v>
      </c>
      <c r="V88" s="55">
        <f t="shared" ca="1" si="29"/>
        <v>0</v>
      </c>
      <c r="W88" s="55">
        <f t="shared" ca="1" si="34"/>
        <v>-45.319452229558422</v>
      </c>
      <c r="X88" s="55">
        <f t="shared" ca="1" si="35"/>
        <v>48.41951443356087</v>
      </c>
      <c r="Y88" s="55">
        <f t="shared" ca="1" si="36"/>
        <v>11.185480125396523</v>
      </c>
      <c r="Z88">
        <f t="shared" ca="1" si="30"/>
        <v>120</v>
      </c>
      <c r="AA88">
        <f t="shared" ca="1" si="37"/>
        <v>161.10415058059209</v>
      </c>
      <c r="AB88">
        <f t="shared" ca="1" si="31"/>
        <v>0</v>
      </c>
      <c r="AC88">
        <f t="shared" ca="1" si="32"/>
        <v>0.2016216896569574</v>
      </c>
      <c r="AD88" s="83">
        <f ca="1"/>
        <v>45788</v>
      </c>
      <c r="AE88" s="55">
        <f t="shared" ca="1" si="41"/>
        <v>45788</v>
      </c>
      <c r="AF88" s="55">
        <f t="shared" ca="1" si="42"/>
        <v>-119.85821135296686</v>
      </c>
      <c r="AG88" s="55">
        <f t="shared" ca="1" si="43"/>
        <v>134.15936030441844</v>
      </c>
      <c r="AH88" s="55">
        <f t="shared" ca="1" si="44"/>
        <v>0</v>
      </c>
      <c r="AI88" s="55">
        <f t="shared" ca="1" si="38"/>
        <v>0</v>
      </c>
      <c r="AJ88" s="55">
        <f t="shared" ca="1" si="39"/>
        <v>56.60373652024937</v>
      </c>
      <c r="AK88" s="55">
        <f t="shared" ca="1" si="40"/>
        <v>-74.451068360745737</v>
      </c>
    </row>
    <row r="89" spans="18:37">
      <c r="R89" s="83">
        <f ca="1"/>
        <v>45492</v>
      </c>
      <c r="S89" s="55">
        <f t="shared" ca="1" si="33"/>
        <v>45492</v>
      </c>
      <c r="T89" s="55">
        <f t="shared" ca="1" si="27"/>
        <v>48.160906509131792</v>
      </c>
      <c r="U89" s="55">
        <f t="shared" ca="1" si="28"/>
        <v>11.709493484336878</v>
      </c>
      <c r="V89" s="55">
        <f t="shared" ca="1" si="29"/>
        <v>0</v>
      </c>
      <c r="W89" s="55">
        <f t="shared" ca="1" si="34"/>
        <v>-45.796873389735907</v>
      </c>
      <c r="X89" s="55">
        <f t="shared" ca="1" si="35"/>
        <v>49.056182757820132</v>
      </c>
      <c r="Y89" s="55">
        <f t="shared" ca="1" si="36"/>
        <v>11.292685440983471</v>
      </c>
      <c r="Z89">
        <f t="shared" ca="1" si="30"/>
        <v>120</v>
      </c>
      <c r="AA89">
        <f t="shared" ca="1" si="37"/>
        <v>162.9041505805921</v>
      </c>
      <c r="AB89">
        <f t="shared" ca="1" si="31"/>
        <v>0</v>
      </c>
      <c r="AC89">
        <f t="shared" ca="1" si="32"/>
        <v>0.21214081157330128</v>
      </c>
      <c r="AD89" s="83">
        <f ca="1"/>
        <v>45789</v>
      </c>
      <c r="AE89" s="55">
        <f t="shared" ca="1" si="41"/>
        <v>45789</v>
      </c>
      <c r="AF89" s="55">
        <f t="shared" ca="1" si="42"/>
        <v>-124.78000126974584</v>
      </c>
      <c r="AG89" s="55">
        <f t="shared" ca="1" si="43"/>
        <v>140.2282441765646</v>
      </c>
      <c r="AH89" s="55">
        <f t="shared" ca="1" si="44"/>
        <v>0</v>
      </c>
      <c r="AI89" s="55">
        <f t="shared" ca="1" si="38"/>
        <v>0</v>
      </c>
      <c r="AJ89" s="55">
        <f t="shared" ca="1" si="39"/>
        <v>57.534342267396433</v>
      </c>
      <c r="AK89" s="55">
        <f t="shared" ca="1" si="40"/>
        <v>-74.234580152525609</v>
      </c>
    </row>
    <row r="90" spans="18:37">
      <c r="R90" s="83">
        <f ca="1"/>
        <v>45493</v>
      </c>
      <c r="S90" s="55">
        <f t="shared" ca="1" si="33"/>
        <v>45493</v>
      </c>
      <c r="T90" s="55">
        <f t="shared" ca="1" si="27"/>
        <v>47.94717530618982</v>
      </c>
      <c r="U90" s="55">
        <f t="shared" ca="1" si="28"/>
        <v>12.015166486884823</v>
      </c>
      <c r="V90" s="55">
        <f t="shared" ca="1" si="29"/>
        <v>0</v>
      </c>
      <c r="W90" s="55">
        <f t="shared" ca="1" si="34"/>
        <v>-46.470218503818487</v>
      </c>
      <c r="X90" s="55">
        <f t="shared" ca="1" si="35"/>
        <v>49.714105266176077</v>
      </c>
      <c r="Y90" s="55">
        <f t="shared" ca="1" si="36"/>
        <v>11.400049846316085</v>
      </c>
      <c r="Z90">
        <f t="shared" ca="1" si="30"/>
        <v>120</v>
      </c>
      <c r="AA90">
        <f t="shared" ca="1" si="37"/>
        <v>165.45415058059211</v>
      </c>
      <c r="AB90">
        <f t="shared" ca="1" si="31"/>
        <v>0</v>
      </c>
      <c r="AC90">
        <f t="shared" ca="1" si="32"/>
        <v>0.22344165306039612</v>
      </c>
      <c r="AD90" s="83">
        <f ca="1"/>
        <v>45790</v>
      </c>
      <c r="AE90" s="55">
        <f t="shared" ca="1" si="41"/>
        <v>45790</v>
      </c>
      <c r="AF90" s="55">
        <f t="shared" ca="1" si="42"/>
        <v>-129.39536811490458</v>
      </c>
      <c r="AG90" s="55">
        <f t="shared" ca="1" si="43"/>
        <v>145.93059870226779</v>
      </c>
      <c r="AH90" s="55">
        <f t="shared" ca="1" si="44"/>
        <v>0</v>
      </c>
      <c r="AI90" s="55">
        <f t="shared" ca="1" si="38"/>
        <v>0</v>
      </c>
      <c r="AJ90" s="55">
        <f t="shared" ca="1" si="39"/>
        <v>58.410955005832569</v>
      </c>
      <c r="AK90" s="55">
        <f t="shared" ca="1" si="40"/>
        <v>-74.024205210417307</v>
      </c>
    </row>
    <row r="91" spans="18:37">
      <c r="R91" s="83">
        <f ca="1"/>
        <v>45494</v>
      </c>
      <c r="S91" s="55">
        <f t="shared" ca="1" si="33"/>
        <v>45494</v>
      </c>
      <c r="T91" s="55">
        <f t="shared" ca="1" si="27"/>
        <v>47.463812669241861</v>
      </c>
      <c r="U91" s="55">
        <f t="shared" ca="1" si="28"/>
        <v>12.335029546504211</v>
      </c>
      <c r="V91" s="55">
        <f t="shared" ca="1" si="29"/>
        <v>0</v>
      </c>
      <c r="W91" s="55">
        <f t="shared" ca="1" si="34"/>
        <v>-47.411240181086939</v>
      </c>
      <c r="X91" s="55">
        <f t="shared" ca="1" si="35"/>
        <v>50.385126631687271</v>
      </c>
      <c r="Y91" s="55">
        <f t="shared" ca="1" si="36"/>
        <v>11.506550580744772</v>
      </c>
      <c r="Z91">
        <f t="shared" ca="1" si="30"/>
        <v>120</v>
      </c>
      <c r="AA91">
        <f t="shared" ca="1" si="37"/>
        <v>169.05415058059214</v>
      </c>
      <c r="AB91">
        <f t="shared" ca="1" si="31"/>
        <v>0</v>
      </c>
      <c r="AC91">
        <f t="shared" ca="1" si="32"/>
        <v>0.23540769011062979</v>
      </c>
      <c r="AD91" s="83">
        <f ca="1"/>
        <v>45791</v>
      </c>
      <c r="AE91" s="55">
        <f t="shared" ca="1" si="41"/>
        <v>45791</v>
      </c>
      <c r="AF91" s="55">
        <f t="shared" ca="1" si="42"/>
        <v>-134.18102849011069</v>
      </c>
      <c r="AG91" s="55">
        <f t="shared" ca="1" si="43"/>
        <v>151.81697290399399</v>
      </c>
      <c r="AH91" s="55">
        <f t="shared" ca="1" si="44"/>
        <v>0</v>
      </c>
      <c r="AI91" s="55">
        <f t="shared" ca="1" si="38"/>
        <v>0</v>
      </c>
      <c r="AJ91" s="55">
        <f t="shared" ca="1" si="39"/>
        <v>59.29616724825263</v>
      </c>
      <c r="AK91" s="55">
        <f t="shared" ca="1" si="40"/>
        <v>-73.808703626317282</v>
      </c>
    </row>
    <row r="92" spans="18:37">
      <c r="R92" s="83">
        <f ca="1"/>
        <v>45495</v>
      </c>
      <c r="S92" s="55">
        <f t="shared" ca="1" si="33"/>
        <v>45495</v>
      </c>
      <c r="T92" s="55">
        <f t="shared" ca="1" si="27"/>
        <v>46.757303733060276</v>
      </c>
      <c r="U92" s="55">
        <f t="shared" ca="1" si="28"/>
        <v>12.643273472754254</v>
      </c>
      <c r="V92" s="55">
        <f t="shared" ca="1" si="29"/>
        <v>0</v>
      </c>
      <c r="W92" s="55">
        <f t="shared" ca="1" si="34"/>
        <v>-48.541682704094057</v>
      </c>
      <c r="X92" s="55">
        <f t="shared" ca="1" si="35"/>
        <v>51.017343754011456</v>
      </c>
      <c r="Y92" s="55">
        <f t="shared" ca="1" si="36"/>
        <v>11.606510971496164</v>
      </c>
      <c r="Z92">
        <f t="shared" ca="1" si="30"/>
        <v>120</v>
      </c>
      <c r="AA92">
        <f t="shared" ca="1" si="37"/>
        <v>173.44415058059212</v>
      </c>
      <c r="AB92">
        <f t="shared" ca="1" si="31"/>
        <v>0</v>
      </c>
      <c r="AC92">
        <f t="shared" ca="1" si="32"/>
        <v>0.24705595884027459</v>
      </c>
      <c r="AD92" s="83">
        <f ca="1"/>
        <v>45792</v>
      </c>
      <c r="AE92" s="55">
        <f t="shared" ca="1" si="41"/>
        <v>45792</v>
      </c>
      <c r="AF92" s="55">
        <f t="shared" ca="1" si="42"/>
        <v>-139.36972125798334</v>
      </c>
      <c r="AG92" s="55">
        <f t="shared" ca="1" si="43"/>
        <v>158.1542596236051</v>
      </c>
      <c r="AH92" s="55">
        <f t="shared" ca="1" si="44"/>
        <v>0</v>
      </c>
      <c r="AI92" s="55">
        <f t="shared" ca="1" si="38"/>
        <v>0</v>
      </c>
      <c r="AJ92" s="55">
        <f t="shared" ca="1" si="39"/>
        <v>60.218708089427039</v>
      </c>
      <c r="AK92" s="55">
        <f t="shared" ca="1" si="40"/>
        <v>-73.582650515753215</v>
      </c>
    </row>
    <row r="93" spans="18:37">
      <c r="R93" s="83">
        <f ca="1"/>
        <v>45496</v>
      </c>
      <c r="S93" s="55">
        <f t="shared" ca="1" si="33"/>
        <v>45496</v>
      </c>
      <c r="T93" s="55">
        <f t="shared" ca="1" si="27"/>
        <v>46.886539193146348</v>
      </c>
      <c r="U93" s="55">
        <f t="shared" ca="1" si="28"/>
        <v>12.957952371842861</v>
      </c>
      <c r="V93" s="55">
        <f t="shared" ca="1" si="29"/>
        <v>0</v>
      </c>
      <c r="W93" s="55">
        <f t="shared" ca="1" si="34"/>
        <v>-48.825719999496016</v>
      </c>
      <c r="X93" s="55">
        <f t="shared" ca="1" si="35"/>
        <v>51.647659337839499</v>
      </c>
      <c r="Y93" s="55">
        <f t="shared" ca="1" si="36"/>
        <v>11.70414704224476</v>
      </c>
      <c r="Z93">
        <f t="shared" ca="1" si="30"/>
        <v>120</v>
      </c>
      <c r="AA93">
        <f t="shared" ca="1" si="37"/>
        <v>174.54415058059212</v>
      </c>
      <c r="AB93">
        <f t="shared" ca="1" si="31"/>
        <v>0</v>
      </c>
      <c r="AC93">
        <f t="shared" ca="1" si="32"/>
        <v>0.2590464256605618</v>
      </c>
      <c r="AD93" s="83">
        <f ca="1"/>
        <v>45793</v>
      </c>
      <c r="AE93" s="55">
        <f t="shared" ca="1" si="41"/>
        <v>45793</v>
      </c>
      <c r="AF93" s="55">
        <f t="shared" ca="1" si="42"/>
        <v>-144.25053299578758</v>
      </c>
      <c r="AG93" s="55">
        <f t="shared" ca="1" si="43"/>
        <v>164.12996583642112</v>
      </c>
      <c r="AH93" s="55">
        <f t="shared" ca="1" si="44"/>
        <v>0</v>
      </c>
      <c r="AI93" s="55">
        <f t="shared" ca="1" si="38"/>
        <v>0</v>
      </c>
      <c r="AJ93" s="55">
        <f t="shared" ca="1" si="39"/>
        <v>61.093762852424106</v>
      </c>
      <c r="AK93" s="55">
        <f t="shared" ca="1" si="40"/>
        <v>-73.362810803738498</v>
      </c>
    </row>
    <row r="94" spans="18:37">
      <c r="R94" s="83">
        <f ca="1"/>
        <v>45497</v>
      </c>
      <c r="S94" s="55">
        <f t="shared" ca="1" si="33"/>
        <v>45497</v>
      </c>
      <c r="T94" s="55">
        <f t="shared" ca="1" si="27"/>
        <v>47.274111184423049</v>
      </c>
      <c r="U94" s="55">
        <f t="shared" ca="1" si="28"/>
        <v>13.263906243120552</v>
      </c>
      <c r="V94" s="55">
        <f t="shared" ca="1" si="29"/>
        <v>0</v>
      </c>
      <c r="W94" s="55">
        <f t="shared" ca="1" si="34"/>
        <v>-48.825719999496016</v>
      </c>
      <c r="X94" s="55">
        <f t="shared" ca="1" si="35"/>
        <v>52.248661840881574</v>
      </c>
      <c r="Y94" s="55">
        <f t="shared" ca="1" si="36"/>
        <v>11.796670401757076</v>
      </c>
      <c r="Z94">
        <f t="shared" ca="1" si="30"/>
        <v>119.82608695652175</v>
      </c>
      <c r="AA94">
        <f t="shared" ca="1" si="37"/>
        <v>174.54415058059212</v>
      </c>
      <c r="AB94">
        <f t="shared" ca="1" si="31"/>
        <v>0</v>
      </c>
      <c r="AC94">
        <f t="shared" ca="1" si="32"/>
        <v>0.27078221411278719</v>
      </c>
      <c r="AD94" s="83">
        <f ca="1"/>
        <v>45794</v>
      </c>
      <c r="AE94" s="55">
        <f t="shared" ca="1" si="41"/>
        <v>45794</v>
      </c>
      <c r="AF94" s="55">
        <f t="shared" ca="1" si="42"/>
        <v>-148.77400086163729</v>
      </c>
      <c r="AG94" s="55">
        <f t="shared" ca="1" si="43"/>
        <v>169.69325078257287</v>
      </c>
      <c r="AH94" s="55">
        <f t="shared" ca="1" si="44"/>
        <v>0</v>
      </c>
      <c r="AI94" s="55">
        <f t="shared" ca="1" si="38"/>
        <v>0</v>
      </c>
      <c r="AJ94" s="55">
        <f t="shared" ca="1" si="39"/>
        <v>61.920616383348097</v>
      </c>
      <c r="AK94" s="55">
        <f t="shared" ca="1" si="40"/>
        <v>-73.149847254360452</v>
      </c>
    </row>
    <row r="95" spans="18:37">
      <c r="R95" s="83">
        <f ca="1"/>
        <v>45498</v>
      </c>
      <c r="S95" s="55">
        <f t="shared" ca="1" si="33"/>
        <v>45498</v>
      </c>
      <c r="T95" s="55">
        <f t="shared" ca="1" si="27"/>
        <v>47.647376510415441</v>
      </c>
      <c r="U95" s="55">
        <f t="shared" ca="1" si="28"/>
        <v>13.570813284393434</v>
      </c>
      <c r="V95" s="55">
        <f t="shared" ca="1" si="29"/>
        <v>0</v>
      </c>
      <c r="W95" s="55">
        <f t="shared" ca="1" si="34"/>
        <v>-48.825719999496016</v>
      </c>
      <c r="X95" s="55">
        <f t="shared" ca="1" si="35"/>
        <v>52.83928197203754</v>
      </c>
      <c r="Y95" s="55">
        <f t="shared" ca="1" si="36"/>
        <v>11.886222637866389</v>
      </c>
      <c r="Z95">
        <f t="shared" ca="1" si="30"/>
        <v>118.31543024443384</v>
      </c>
      <c r="AA95">
        <f t="shared" ca="1" si="37"/>
        <v>174.54415058059212</v>
      </c>
      <c r="AB95">
        <f t="shared" ca="1" si="31"/>
        <v>0</v>
      </c>
      <c r="AC95">
        <f t="shared" ca="1" si="32"/>
        <v>0.28261403097310339</v>
      </c>
      <c r="AD95" s="83">
        <f ca="1"/>
        <v>45795</v>
      </c>
      <c r="AE95" s="55">
        <f t="shared" ca="1" si="41"/>
        <v>45795</v>
      </c>
      <c r="AF95" s="55">
        <f t="shared" ca="1" si="42"/>
        <v>-152.90834450183232</v>
      </c>
      <c r="AG95" s="55">
        <f t="shared" ca="1" si="43"/>
        <v>174.81304340868408</v>
      </c>
      <c r="AH95" s="55">
        <f t="shared" ca="1" si="44"/>
        <v>0</v>
      </c>
      <c r="AI95" s="55">
        <f t="shared" ca="1" si="38"/>
        <v>0</v>
      </c>
      <c r="AJ95" s="55">
        <f t="shared" ca="1" si="39"/>
        <v>62.700231754074295</v>
      </c>
      <c r="AK95" s="55">
        <f t="shared" ca="1" si="40"/>
        <v>-72.944013639170464</v>
      </c>
    </row>
    <row r="96" spans="18:37">
      <c r="R96" s="83">
        <f ca="1"/>
        <v>45499</v>
      </c>
      <c r="S96" s="55">
        <f t="shared" ca="1" si="33"/>
        <v>45499</v>
      </c>
      <c r="T96" s="55">
        <f t="shared" ca="1" si="27"/>
        <v>48.030054736349726</v>
      </c>
      <c r="U96" s="55">
        <f t="shared" ca="1" si="28"/>
        <v>13.905229335152818</v>
      </c>
      <c r="V96" s="55">
        <f t="shared" ca="1" si="29"/>
        <v>0</v>
      </c>
      <c r="W96" s="55">
        <f t="shared" ca="1" si="34"/>
        <v>-48.825719999496016</v>
      </c>
      <c r="X96" s="55">
        <f t="shared" ca="1" si="35"/>
        <v>53.465174896819029</v>
      </c>
      <c r="Y96" s="55">
        <f t="shared" ca="1" si="36"/>
        <v>11.977423989778568</v>
      </c>
      <c r="Z96">
        <f t="shared" ca="1" si="30"/>
        <v>119.89990981822945</v>
      </c>
      <c r="AA96">
        <f t="shared" ca="1" si="37"/>
        <v>174.54415058059212</v>
      </c>
      <c r="AB96">
        <f t="shared" ca="1" si="31"/>
        <v>0</v>
      </c>
      <c r="AC96">
        <f t="shared" ca="1" si="32"/>
        <v>0.29555423599539421</v>
      </c>
      <c r="AD96" s="83">
        <f ca="1"/>
        <v>45796</v>
      </c>
      <c r="AE96" s="55">
        <f t="shared" ca="1" si="41"/>
        <v>45796</v>
      </c>
      <c r="AF96" s="55">
        <f t="shared" ca="1" si="42"/>
        <v>-157.28957967691693</v>
      </c>
      <c r="AG96" s="55">
        <f t="shared" ca="1" si="43"/>
        <v>180.2079261628314</v>
      </c>
      <c r="AH96" s="55">
        <f t="shared" ca="1" si="44"/>
        <v>0</v>
      </c>
      <c r="AI96" s="55">
        <f t="shared" ca="1" si="38"/>
        <v>0</v>
      </c>
      <c r="AJ96" s="55">
        <f t="shared" ca="1" si="39"/>
        <v>63.501773982356752</v>
      </c>
      <c r="AK96" s="55">
        <f t="shared" ca="1" si="40"/>
        <v>-72.731908288390201</v>
      </c>
    </row>
    <row r="97" spans="18:37">
      <c r="R97" s="83">
        <f ca="1"/>
        <v>45500</v>
      </c>
      <c r="S97" s="55">
        <f t="shared" ca="1" si="33"/>
        <v>45500</v>
      </c>
      <c r="T97" s="55">
        <f t="shared" ca="1" si="27"/>
        <v>48.392185763624894</v>
      </c>
      <c r="U97" s="55">
        <f t="shared" ca="1" si="28"/>
        <v>14.234971806814501</v>
      </c>
      <c r="V97" s="55">
        <f t="shared" ca="1" si="29"/>
        <v>0</v>
      </c>
      <c r="W97" s="55">
        <f t="shared" ca="1" si="34"/>
        <v>-48.825719999496016</v>
      </c>
      <c r="X97" s="55">
        <f t="shared" ca="1" si="35"/>
        <v>54.069869627302268</v>
      </c>
      <c r="Y97" s="55">
        <f t="shared" ca="1" si="36"/>
        <v>12.06460275823218</v>
      </c>
      <c r="Z97">
        <f t="shared" ca="1" si="30"/>
        <v>119.86642147495589</v>
      </c>
      <c r="AA97">
        <f t="shared" ca="1" si="37"/>
        <v>174.54415058059212</v>
      </c>
      <c r="AB97">
        <f t="shared" ca="1" si="31"/>
        <v>0</v>
      </c>
      <c r="AC97">
        <f t="shared" ca="1" si="32"/>
        <v>0.30834224437172297</v>
      </c>
      <c r="AD97" s="83">
        <f ca="1"/>
        <v>45797</v>
      </c>
      <c r="AE97" s="55">
        <f t="shared" ca="1" si="41"/>
        <v>45797</v>
      </c>
      <c r="AF97" s="55">
        <f t="shared" ca="1" si="42"/>
        <v>-161.60703983549101</v>
      </c>
      <c r="AG97" s="55">
        <f t="shared" ca="1" si="43"/>
        <v>185.52847142134161</v>
      </c>
      <c r="AH97" s="55">
        <f t="shared" ca="1" si="44"/>
        <v>0</v>
      </c>
      <c r="AI97" s="55">
        <f t="shared" ca="1" si="38"/>
        <v>0</v>
      </c>
      <c r="AJ97" s="55">
        <f t="shared" ca="1" si="39"/>
        <v>64.293036330758341</v>
      </c>
      <c r="AK97" s="55">
        <f t="shared" ca="1" si="40"/>
        <v>-72.520085536855674</v>
      </c>
    </row>
    <row r="98" spans="18:37">
      <c r="R98" s="83">
        <f ca="1"/>
        <v>45501</v>
      </c>
      <c r="S98" s="55">
        <f t="shared" ca="1" si="33"/>
        <v>45501</v>
      </c>
      <c r="T98" s="55">
        <f t="shared" ca="1" si="27"/>
        <v>48.34067271250629</v>
      </c>
      <c r="U98" s="55">
        <f t="shared" ca="1" si="28"/>
        <v>14.574142587726804</v>
      </c>
      <c r="V98" s="55">
        <f t="shared" ca="1" si="29"/>
        <v>0</v>
      </c>
      <c r="W98" s="55">
        <f t="shared" ca="1" si="34"/>
        <v>-49.231471636222771</v>
      </c>
      <c r="X98" s="55">
        <f t="shared" ca="1" si="35"/>
        <v>54.677652338011029</v>
      </c>
      <c r="Y98" s="55">
        <f t="shared" ca="1" si="36"/>
        <v>12.150229414043874</v>
      </c>
      <c r="Z98">
        <f t="shared" ca="1" si="30"/>
        <v>120</v>
      </c>
      <c r="AA98">
        <f t="shared" ca="1" si="37"/>
        <v>176.06824925269848</v>
      </c>
      <c r="AB98">
        <f t="shared" ca="1" si="31"/>
        <v>0</v>
      </c>
      <c r="AC98">
        <f t="shared" ca="1" si="32"/>
        <v>0.32150470562423378</v>
      </c>
      <c r="AD98" s="83">
        <f ca="1"/>
        <v>45798</v>
      </c>
      <c r="AE98" s="55">
        <f t="shared" ca="1" si="41"/>
        <v>45798</v>
      </c>
      <c r="AF98" s="55">
        <f t="shared" ca="1" si="42"/>
        <v>-165.84483502220155</v>
      </c>
      <c r="AG98" s="55">
        <f t="shared" ca="1" si="43"/>
        <v>190.75780595522301</v>
      </c>
      <c r="AH98" s="55">
        <f t="shared" ca="1" si="44"/>
        <v>0</v>
      </c>
      <c r="AI98" s="55">
        <f t="shared" ca="1" si="38"/>
        <v>0</v>
      </c>
      <c r="AJ98" s="55">
        <f t="shared" ca="1" si="39"/>
        <v>65.073376471033285</v>
      </c>
      <c r="AK98" s="55">
        <f t="shared" ca="1" si="40"/>
        <v>-72.308886329959762</v>
      </c>
    </row>
    <row r="99" spans="18:37">
      <c r="R99" s="83">
        <f ca="1"/>
        <v>45502</v>
      </c>
      <c r="S99" s="55">
        <f t="shared" ca="1" si="33"/>
        <v>45502</v>
      </c>
      <c r="T99" s="55">
        <f t="shared" ca="1" si="27"/>
        <v>48.613950749964474</v>
      </c>
      <c r="U99" s="55">
        <f t="shared" ca="1" si="28"/>
        <v>14.887744232571944</v>
      </c>
      <c r="V99" s="55">
        <f t="shared" ca="1" si="29"/>
        <v>0</v>
      </c>
      <c r="W99" s="55">
        <f t="shared" ca="1" si="34"/>
        <v>-49.279662856966219</v>
      </c>
      <c r="X99" s="55">
        <f t="shared" ca="1" si="35"/>
        <v>55.233723788260171</v>
      </c>
      <c r="Y99" s="55">
        <f t="shared" ca="1" si="36"/>
        <v>12.229228866841495</v>
      </c>
      <c r="Z99">
        <f t="shared" ca="1" si="30"/>
        <v>120</v>
      </c>
      <c r="AA99">
        <f t="shared" ca="1" si="37"/>
        <v>176.24824925269849</v>
      </c>
      <c r="AB99">
        <f t="shared" ca="1" si="31"/>
        <v>0</v>
      </c>
      <c r="AC99">
        <f t="shared" ca="1" si="32"/>
        <v>0.33366514644222728</v>
      </c>
      <c r="AD99" s="83">
        <f ca="1"/>
        <v>45799</v>
      </c>
      <c r="AE99" s="55">
        <f t="shared" ca="1" si="41"/>
        <v>45799</v>
      </c>
      <c r="AF99" s="55">
        <f t="shared" ca="1" si="42"/>
        <v>-169.07645970601527</v>
      </c>
      <c r="AG99" s="55">
        <f t="shared" ca="1" si="43"/>
        <v>194.86207120255636</v>
      </c>
      <c r="AH99" s="55">
        <f t="shared" ca="1" si="44"/>
        <v>0</v>
      </c>
      <c r="AI99" s="55">
        <f t="shared" ca="1" si="38"/>
        <v>0</v>
      </c>
      <c r="AJ99" s="55">
        <f t="shared" ca="1" si="39"/>
        <v>65.753665093284212</v>
      </c>
      <c r="AK99" s="55">
        <f t="shared" ca="1" si="40"/>
        <v>-72.116534388691065</v>
      </c>
    </row>
    <row r="100" spans="18:37">
      <c r="R100" s="83">
        <f ca="1"/>
        <v>45503</v>
      </c>
      <c r="S100" s="55">
        <f t="shared" ca="1" si="33"/>
        <v>45503</v>
      </c>
      <c r="T100" s="55">
        <f t="shared" ca="1" si="27"/>
        <v>48.527571992925232</v>
      </c>
      <c r="U100" s="55">
        <f t="shared" ca="1" si="28"/>
        <v>15.230383300446888</v>
      </c>
      <c r="V100" s="55">
        <f t="shared" ca="1" si="29"/>
        <v>0</v>
      </c>
      <c r="W100" s="55">
        <f t="shared" ca="1" si="34"/>
        <v>-49.693905464268148</v>
      </c>
      <c r="X100" s="55">
        <f t="shared" ca="1" si="35"/>
        <v>55.823736820019761</v>
      </c>
      <c r="Y100" s="55">
        <f t="shared" ca="1" si="36"/>
        <v>12.309718753219531</v>
      </c>
      <c r="Z100">
        <f t="shared" ca="1" si="30"/>
        <v>120</v>
      </c>
      <c r="AA100">
        <f t="shared" ca="1" si="37"/>
        <v>177.7982492526985</v>
      </c>
      <c r="AB100">
        <f t="shared" ca="1" si="31"/>
        <v>0</v>
      </c>
      <c r="AC100">
        <f t="shared" ca="1" si="32"/>
        <v>0.34692209007958913</v>
      </c>
      <c r="AD100" s="83">
        <f ca="1"/>
        <v>45800</v>
      </c>
      <c r="AE100" s="55">
        <f t="shared" ca="1" si="41"/>
        <v>45800</v>
      </c>
      <c r="AF100" s="55">
        <f t="shared" ca="1" si="42"/>
        <v>-172.72342071570537</v>
      </c>
      <c r="AG100" s="55">
        <f t="shared" ca="1" si="43"/>
        <v>199.4290969481149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66.472522510862888</v>
      </c>
      <c r="AK100" s="55">
        <f t="shared" ca="1" si="40"/>
        <v>-71.915327070401304</v>
      </c>
    </row>
    <row r="101" spans="18:37">
      <c r="R101" s="83">
        <f ca="1"/>
        <v>45504</v>
      </c>
      <c r="S101" s="55">
        <f t="shared" ca="1" si="33"/>
        <v>45504</v>
      </c>
      <c r="T101" s="55">
        <f t="shared" ca="1" si="27"/>
        <v>47.753656806335265</v>
      </c>
      <c r="U101" s="55">
        <f t="shared" ca="1" si="28"/>
        <v>15.645060457246078</v>
      </c>
      <c r="V101" s="55">
        <f t="shared" ca="1" si="29"/>
        <v>0</v>
      </c>
      <c r="W101" s="55">
        <f t="shared" ca="1" si="34"/>
        <v>-50.832657158603567</v>
      </c>
      <c r="X101" s="55">
        <f t="shared" ca="1" si="35"/>
        <v>56.515387407982807</v>
      </c>
      <c r="Y101" s="55">
        <f t="shared" ca="1" si="36"/>
        <v>12.39758182980113</v>
      </c>
      <c r="Z101">
        <f t="shared" ca="1" si="30"/>
        <v>120</v>
      </c>
      <c r="AA101">
        <f t="shared" ca="1" si="37"/>
        <v>182.12824925269848</v>
      </c>
      <c r="AB101">
        <f t="shared" ca="1" si="31"/>
        <v>0</v>
      </c>
      <c r="AC101">
        <f t="shared" ca="1" si="32"/>
        <v>0.36289838612814768</v>
      </c>
      <c r="AD101" s="83">
        <f ca="1"/>
        <v>45801</v>
      </c>
      <c r="AE101" s="55">
        <f t="shared" ca="1" si="41"/>
        <v>45801</v>
      </c>
      <c r="AF101" s="55">
        <f t="shared" ca="1" si="42"/>
        <v>-176.54709202836824</v>
      </c>
      <c r="AG101" s="55">
        <f t="shared" ca="1" si="43"/>
        <v>204.19388525773962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67.208023871650198</v>
      </c>
      <c r="AK101" s="55">
        <f t="shared" ca="1" si="40"/>
        <v>-71.709711434226762</v>
      </c>
    </row>
    <row r="102" spans="18:37">
      <c r="R102" s="83">
        <f ca="1"/>
        <v>45505</v>
      </c>
      <c r="S102" s="55">
        <f t="shared" ca="1" si="33"/>
        <v>45505</v>
      </c>
      <c r="T102" s="55">
        <f t="shared" ca="1" si="27"/>
        <v>47.244864194974689</v>
      </c>
      <c r="U102" s="55">
        <f t="shared" ca="1" si="28"/>
        <v>16.081408706916672</v>
      </c>
      <c r="V102" s="55">
        <f t="shared" ca="1" si="29"/>
        <v>0</v>
      </c>
      <c r="W102" s="55">
        <f t="shared" ca="1" si="34"/>
        <v>-51.701688776520406</v>
      </c>
      <c r="X102" s="55">
        <f t="shared" ca="1" si="35"/>
        <v>57.224646784547289</v>
      </c>
      <c r="Y102" s="55">
        <f t="shared" ca="1" si="36"/>
        <v>12.484909709463505</v>
      </c>
      <c r="Z102">
        <f t="shared" ca="1" si="30"/>
        <v>120</v>
      </c>
      <c r="AA102">
        <f t="shared" ca="1" si="37"/>
        <v>185.46824925269848</v>
      </c>
      <c r="AB102">
        <f t="shared" ca="1" si="31"/>
        <v>0</v>
      </c>
      <c r="AC102">
        <f t="shared" ca="1" si="32"/>
        <v>0.37959643177362867</v>
      </c>
      <c r="AD102" s="83">
        <f ca="1"/>
        <v>45802</v>
      </c>
      <c r="AE102" s="55">
        <f t="shared" ca="1" si="41"/>
        <v>45802</v>
      </c>
      <c r="AF102" s="55">
        <f t="shared" ca="1" si="42"/>
        <v>-180.22195866375586</v>
      </c>
      <c r="AG102" s="55">
        <f t="shared" ca="1" si="43"/>
        <v>208.79322418718263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67.928948635025122</v>
      </c>
      <c r="AK102" s="55">
        <f t="shared" ca="1" si="40"/>
        <v>-71.506163903546309</v>
      </c>
    </row>
    <row r="103" spans="18:37">
      <c r="R103" s="83">
        <f ca="1"/>
        <v>45506</v>
      </c>
      <c r="S103" s="55">
        <f t="shared" ca="1" si="33"/>
        <v>45506</v>
      </c>
      <c r="T103" s="55">
        <f t="shared" ca="1" si="27"/>
        <v>47.396144504604784</v>
      </c>
      <c r="U103" s="55">
        <f t="shared" ca="1" si="28"/>
        <v>16.508017278198569</v>
      </c>
      <c r="V103" s="55">
        <f t="shared" ca="1" si="29"/>
        <v>0</v>
      </c>
      <c r="W103" s="55">
        <f t="shared" ca="1" si="34"/>
        <v>-51.881794125637903</v>
      </c>
      <c r="X103" s="55">
        <f t="shared" ca="1" si="35"/>
        <v>57.900291669206318</v>
      </c>
      <c r="Y103" s="55">
        <f t="shared" ca="1" si="36"/>
        <v>12.567259054833968</v>
      </c>
      <c r="Z103">
        <f t="shared" ca="1" si="30"/>
        <v>120</v>
      </c>
      <c r="AA103">
        <f t="shared" ca="1" si="37"/>
        <v>186.15824925269848</v>
      </c>
      <c r="AB103">
        <f t="shared" ca="1" si="31"/>
        <v>0</v>
      </c>
      <c r="AC103">
        <f t="shared" ca="1" si="32"/>
        <v>0.39577722075962829</v>
      </c>
      <c r="AD103" s="83">
        <f ca="1"/>
        <v>45803</v>
      </c>
      <c r="AE103" s="55">
        <f t="shared" ca="1" si="41"/>
        <v>45803</v>
      </c>
      <c r="AF103" s="55">
        <f t="shared" ca="1" si="42"/>
        <v>-184.18510127392705</v>
      </c>
      <c r="AG103" s="55">
        <f t="shared" ca="1" si="43"/>
        <v>213.71615626557175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68.67850395884426</v>
      </c>
      <c r="AK103" s="55">
        <f t="shared" ca="1" si="40"/>
        <v>-71.295929759147512</v>
      </c>
    </row>
    <row r="104" spans="18:37">
      <c r="R104" s="83">
        <f ca="1"/>
        <v>45507</v>
      </c>
      <c r="S104" s="55">
        <f t="shared" ca="1" si="33"/>
        <v>45507</v>
      </c>
      <c r="T104" s="55">
        <f t="shared" ca="1" si="27"/>
        <v>46.450725082068736</v>
      </c>
      <c r="U104" s="55">
        <f t="shared" ca="1" si="28"/>
        <v>16.94896389345967</v>
      </c>
      <c r="V104" s="55">
        <f t="shared" ca="1" si="29"/>
        <v>0</v>
      </c>
      <c r="W104" s="55">
        <f t="shared" ca="1" si="34"/>
        <v>-53.148081283309949</v>
      </c>
      <c r="X104" s="55">
        <f t="shared" ca="1" si="35"/>
        <v>58.581245334386061</v>
      </c>
      <c r="Y104" s="55">
        <f t="shared" ca="1" si="36"/>
        <v>12.648119740051321</v>
      </c>
      <c r="Z104">
        <f t="shared" ca="1" si="30"/>
        <v>120</v>
      </c>
      <c r="AA104">
        <f t="shared" ca="1" si="37"/>
        <v>191.1082492526985</v>
      </c>
      <c r="AB104">
        <f t="shared" ca="1" si="31"/>
        <v>0</v>
      </c>
      <c r="AC104">
        <f t="shared" ca="1" si="32"/>
        <v>0.41232032241446942</v>
      </c>
      <c r="AD104" s="83">
        <f ca="1"/>
        <v>45804</v>
      </c>
      <c r="AE104" s="55">
        <f t="shared" ca="1" si="41"/>
        <v>45804</v>
      </c>
      <c r="AF104" s="55">
        <f t="shared" ca="1" si="42"/>
        <v>-187.70529017045408</v>
      </c>
      <c r="AG104" s="55">
        <f t="shared" ca="1" si="43"/>
        <v>218.14576275553404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69.385717224292762</v>
      </c>
      <c r="AK104" s="55">
        <f t="shared" ca="1" si="40"/>
        <v>-71.093725431160763</v>
      </c>
    </row>
    <row r="105" spans="18:37">
      <c r="R105" s="83">
        <f ca="1"/>
        <v>45508</v>
      </c>
      <c r="S105" s="55">
        <f t="shared" ca="1" si="33"/>
        <v>45508</v>
      </c>
      <c r="T105" s="55">
        <f t="shared" ca="1" si="27"/>
        <v>46.329300447398012</v>
      </c>
      <c r="U105" s="55">
        <f t="shared" ca="1" si="28"/>
        <v>17.382733475558808</v>
      </c>
      <c r="V105" s="55">
        <f t="shared" ca="1" si="29"/>
        <v>0</v>
      </c>
      <c r="W105" s="55">
        <f t="shared" ca="1" si="34"/>
        <v>-53.566522153437752</v>
      </c>
      <c r="X105" s="55">
        <f t="shared" ca="1" si="35"/>
        <v>59.235270249666549</v>
      </c>
      <c r="Y105" s="55">
        <f t="shared" ca="1" si="36"/>
        <v>12.724880642327047</v>
      </c>
      <c r="Z105">
        <f t="shared" ca="1" si="30"/>
        <v>120</v>
      </c>
      <c r="AA105">
        <f t="shared" ca="1" si="37"/>
        <v>192.74824925269849</v>
      </c>
      <c r="AB105">
        <f t="shared" ca="1" si="31"/>
        <v>0</v>
      </c>
      <c r="AC105">
        <f t="shared" ca="1" si="32"/>
        <v>0.42838611349302708</v>
      </c>
      <c r="AD105" s="83">
        <f ca="1"/>
        <v>45805</v>
      </c>
      <c r="AE105" s="55">
        <f t="shared" ca="1" si="41"/>
        <v>45805</v>
      </c>
      <c r="AF105" s="55">
        <f t="shared" ca="1" si="42"/>
        <v>-191.00759133390611</v>
      </c>
      <c r="AG105" s="55">
        <f t="shared" ca="1" si="43"/>
        <v>222.33441580326954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70.073344053868567</v>
      </c>
      <c r="AK105" s="55">
        <f t="shared" ca="1" si="40"/>
        <v>-70.895000376453112</v>
      </c>
    </row>
    <row r="106" spans="18:37">
      <c r="R106" s="83">
        <f ca="1"/>
        <v>45509</v>
      </c>
      <c r="S106" s="55">
        <f t="shared" ca="1" si="33"/>
        <v>45509</v>
      </c>
      <c r="T106" s="55">
        <f t="shared" ca="1" si="27"/>
        <v>45.747406341049647</v>
      </c>
      <c r="U106" s="55">
        <f t="shared" ca="1" si="28"/>
        <v>17.832164194683585</v>
      </c>
      <c r="V106" s="55">
        <f t="shared" ca="1" si="29"/>
        <v>0</v>
      </c>
      <c r="W106" s="55">
        <f t="shared" ca="1" si="34"/>
        <v>-54.435722873917697</v>
      </c>
      <c r="X106" s="55">
        <f t="shared" ca="1" si="35"/>
        <v>59.896452047266372</v>
      </c>
      <c r="Y106" s="55">
        <f t="shared" ca="1" si="36"/>
        <v>12.800436177983585</v>
      </c>
      <c r="Z106">
        <f t="shared" ca="1" si="30"/>
        <v>120</v>
      </c>
      <c r="AA106">
        <f t="shared" ca="1" si="37"/>
        <v>196.1982492526985</v>
      </c>
      <c r="AB106">
        <f t="shared" ca="1" si="31"/>
        <v>0</v>
      </c>
      <c r="AC106">
        <f t="shared" ca="1" si="32"/>
        <v>0.44478764829084916</v>
      </c>
      <c r="AD106" s="83">
        <f ca="1"/>
        <v>45806</v>
      </c>
      <c r="AE106" s="55">
        <f t="shared" ca="1" si="41"/>
        <v>45806</v>
      </c>
      <c r="AF106" s="55">
        <f t="shared" ca="1" si="42"/>
        <v>-194.66351506812609</v>
      </c>
      <c r="AG106" s="55">
        <f t="shared" ca="1" si="43"/>
        <v>226.91982817671956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70.796339916005536</v>
      </c>
      <c r="AK106" s="55">
        <f t="shared" ca="1" si="40"/>
        <v>-70.688507599360037</v>
      </c>
    </row>
    <row r="107" spans="18:37">
      <c r="R107" s="83">
        <f ca="1"/>
        <v>45510</v>
      </c>
      <c r="S107" s="55">
        <f t="shared" ca="1" si="33"/>
        <v>45510</v>
      </c>
      <c r="T107" s="55">
        <f t="shared" ca="1" si="27"/>
        <v>45.747309748150997</v>
      </c>
      <c r="U107" s="55">
        <f t="shared" ca="1" si="28"/>
        <v>18.297862867724788</v>
      </c>
      <c r="V107" s="55">
        <f t="shared" ca="1" si="29"/>
        <v>0</v>
      </c>
      <c r="W107" s="55">
        <f t="shared" ca="1" si="34"/>
        <v>-54.712858750363019</v>
      </c>
      <c r="X107" s="55">
        <f t="shared" ca="1" si="35"/>
        <v>60.564840470482018</v>
      </c>
      <c r="Y107" s="55">
        <f t="shared" ca="1" si="36"/>
        <v>12.874785711355814</v>
      </c>
      <c r="Z107">
        <f t="shared" ca="1" si="30"/>
        <v>120</v>
      </c>
      <c r="AA107">
        <f t="shared" ca="1" si="37"/>
        <v>197.2982492526985</v>
      </c>
      <c r="AB107">
        <f t="shared" ca="1" si="31"/>
        <v>0</v>
      </c>
      <c r="AC107">
        <f t="shared" ca="1" si="32"/>
        <v>0.46149486548403185</v>
      </c>
      <c r="AD107" s="83">
        <f ca="1"/>
        <v>45807</v>
      </c>
      <c r="AE107" s="55">
        <f t="shared" ca="1" si="41"/>
        <v>45807</v>
      </c>
      <c r="AF107" s="55">
        <f t="shared" ca="1" si="42"/>
        <v>-197.49467956329352</v>
      </c>
      <c r="AG107" s="55">
        <f t="shared" ca="1" si="43"/>
        <v>230.58906259547592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71.443257598488387</v>
      </c>
      <c r="AK107" s="55">
        <f t="shared" ca="1" si="40"/>
        <v>-70.497355358253941</v>
      </c>
    </row>
    <row r="108" spans="18:37">
      <c r="R108" s="83">
        <f ca="1"/>
        <v>45511</v>
      </c>
      <c r="S108" s="55">
        <f t="shared" ca="1" si="33"/>
        <v>45511</v>
      </c>
      <c r="T108" s="55">
        <f t="shared" ca="1" si="27"/>
        <v>45.372583267424751</v>
      </c>
      <c r="U108" s="55">
        <f t="shared" ca="1" si="28"/>
        <v>18.749524114059618</v>
      </c>
      <c r="V108" s="55">
        <f t="shared" ca="1" si="29"/>
        <v>0</v>
      </c>
      <c r="W108" s="55">
        <f t="shared" ca="1" si="34"/>
        <v>-55.340052517326349</v>
      </c>
      <c r="X108" s="55">
        <f t="shared" ca="1" si="35"/>
        <v>61.198962802103914</v>
      </c>
      <c r="Y108" s="55">
        <f t="shared" ca="1" si="36"/>
        <v>12.944791912305833</v>
      </c>
      <c r="Z108">
        <f t="shared" ca="1" si="30"/>
        <v>120</v>
      </c>
      <c r="AA108">
        <f t="shared" ca="1" si="37"/>
        <v>199.80824925269849</v>
      </c>
      <c r="AB108">
        <f t="shared" ca="1" si="31"/>
        <v>0</v>
      </c>
      <c r="AC108">
        <f t="shared" ca="1" si="32"/>
        <v>0.47739647636536481</v>
      </c>
      <c r="AD108" s="83">
        <f ca="1"/>
        <v>45808</v>
      </c>
      <c r="AE108" s="55">
        <f t="shared" ca="1" si="41"/>
        <v>45808</v>
      </c>
      <c r="AF108" s="55">
        <f t="shared" ca="1" si="42"/>
        <v>-200.35207133339739</v>
      </c>
      <c r="AG108" s="55">
        <f t="shared" ca="1" si="43"/>
        <v>234.28945375896745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72.094045804189193</v>
      </c>
      <c r="AK108" s="55">
        <f t="shared" ca="1" si="40"/>
        <v>-70.305144170567075</v>
      </c>
    </row>
    <row r="109" spans="18:37">
      <c r="R109" s="83">
        <f ca="1"/>
        <v>45512</v>
      </c>
      <c r="S109" s="55">
        <f t="shared" ca="1" si="33"/>
        <v>45512</v>
      </c>
      <c r="T109" s="55">
        <f t="shared" ca="1" si="27"/>
        <v>45.079328836328244</v>
      </c>
      <c r="U109" s="55">
        <f t="shared" ca="1" si="28"/>
        <v>19.160934311461631</v>
      </c>
      <c r="V109" s="55">
        <f t="shared" ca="1" si="29"/>
        <v>0</v>
      </c>
      <c r="W109" s="55">
        <f t="shared" ca="1" si="34"/>
        <v>-55.856439495764519</v>
      </c>
      <c r="X109" s="55">
        <f t="shared" ca="1" si="35"/>
        <v>61.769760813741193</v>
      </c>
      <c r="Y109" s="55">
        <f t="shared" ca="1" si="36"/>
        <v>13.008536645412233</v>
      </c>
      <c r="Z109">
        <f t="shared" ca="1" si="30"/>
        <v>120</v>
      </c>
      <c r="AA109">
        <f t="shared" ca="1" si="37"/>
        <v>201.88824925269847</v>
      </c>
      <c r="AB109">
        <f t="shared" ca="1" si="31"/>
        <v>0</v>
      </c>
      <c r="AC109">
        <f t="shared" ca="1" si="32"/>
        <v>0.49160643493526351</v>
      </c>
      <c r="AD109" s="83">
        <f ca="1"/>
        <v>45809</v>
      </c>
      <c r="AE109" s="55">
        <f t="shared" ca="1" si="41"/>
        <v>45809</v>
      </c>
      <c r="AF109" s="55">
        <f t="shared" ca="1" si="42"/>
        <v>-203.38649801763626</v>
      </c>
      <c r="AG109" s="55">
        <f t="shared" ca="1" si="43"/>
        <v>238.18910289933456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72.763091845005519</v>
      </c>
      <c r="AK109" s="55">
        <f t="shared" ca="1" si="40"/>
        <v>-70.108967755255136</v>
      </c>
    </row>
    <row r="110" spans="18:37">
      <c r="R110" s="83">
        <f ca="1"/>
        <v>45513</v>
      </c>
      <c r="S110" s="55">
        <f t="shared" ca="1" si="33"/>
        <v>45513</v>
      </c>
      <c r="T110" s="55">
        <f t="shared" ca="1" si="27"/>
        <v>45.262938634158381</v>
      </c>
      <c r="U110" s="55">
        <f t="shared" ca="1" si="28"/>
        <v>19.551242829559754</v>
      </c>
      <c r="V110" s="55">
        <f t="shared" ca="1" si="29"/>
        <v>0</v>
      </c>
      <c r="W110" s="55">
        <f t="shared" ca="1" si="34"/>
        <v>-55.878874169696232</v>
      </c>
      <c r="X110" s="55">
        <f t="shared" ca="1" si="35"/>
        <v>62.306203043351921</v>
      </c>
      <c r="Y110" s="55">
        <f t="shared" ca="1" si="36"/>
        <v>13.068447405661479</v>
      </c>
      <c r="Z110">
        <f t="shared" ca="1" si="30"/>
        <v>120</v>
      </c>
      <c r="AA110">
        <f t="shared" ca="1" si="37"/>
        <v>201.97824925269845</v>
      </c>
      <c r="AB110">
        <f t="shared" ca="1" si="31"/>
        <v>0</v>
      </c>
      <c r="AC110">
        <f t="shared" ca="1" si="32"/>
        <v>0.5048345303130255</v>
      </c>
      <c r="AD110" s="83">
        <f ca="1"/>
        <v>45810</v>
      </c>
      <c r="AE110" s="55">
        <f t="shared" ca="1" si="41"/>
        <v>45810</v>
      </c>
      <c r="AF110" s="55">
        <f t="shared" ca="1" si="42"/>
        <v>-206.39727647831469</v>
      </c>
      <c r="AG110" s="55">
        <f t="shared" ca="1" si="43"/>
        <v>242.0652333065041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73.432137885821845</v>
      </c>
      <c r="AK110" s="55">
        <f t="shared" ca="1" si="40"/>
        <v>-69.91266184958036</v>
      </c>
    </row>
    <row r="111" spans="18:37">
      <c r="R111" s="83">
        <f ca="1"/>
        <v>45514</v>
      </c>
      <c r="S111" s="55">
        <f t="shared" ca="1" si="33"/>
        <v>45514</v>
      </c>
      <c r="T111" s="55">
        <f t="shared" ca="1" si="27"/>
        <v>44.628408062008631</v>
      </c>
      <c r="U111" s="55">
        <f t="shared" ca="1" si="28"/>
        <v>19.997823117556688</v>
      </c>
      <c r="V111" s="55">
        <f t="shared" ca="1" si="29"/>
        <v>0</v>
      </c>
      <c r="W111" s="55">
        <f t="shared" ca="1" si="34"/>
        <v>-56.721898330102348</v>
      </c>
      <c r="X111" s="55">
        <f t="shared" ca="1" si="35"/>
        <v>62.898646889388566</v>
      </c>
      <c r="Y111" s="55">
        <f t="shared" ca="1" si="36"/>
        <v>13.131077435878137</v>
      </c>
      <c r="Z111">
        <f t="shared" ca="1" si="30"/>
        <v>120</v>
      </c>
      <c r="AA111">
        <f t="shared" ca="1" si="37"/>
        <v>205.40824925269845</v>
      </c>
      <c r="AB111">
        <f t="shared" ca="1" si="31"/>
        <v>0</v>
      </c>
      <c r="AC111">
        <f t="shared" ca="1" si="32"/>
        <v>0.51965658765608991</v>
      </c>
      <c r="AD111" s="83">
        <f ca="1"/>
        <v>45811</v>
      </c>
      <c r="AE111" s="55">
        <f t="shared" ca="1" si="41"/>
        <v>45811</v>
      </c>
      <c r="AF111" s="55">
        <f t="shared" ca="1" si="42"/>
        <v>-209.31300129648372</v>
      </c>
      <c r="AG111" s="55">
        <f t="shared" ca="1" si="43"/>
        <v>245.83845697907739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74.094626276345736</v>
      </c>
      <c r="AK111" s="55">
        <f t="shared" ca="1" si="40"/>
        <v>-69.71765138569998</v>
      </c>
    </row>
    <row r="112" spans="18:37">
      <c r="R112" s="83">
        <f ca="1"/>
        <v>45515</v>
      </c>
      <c r="S112" s="55">
        <f t="shared" ca="1" si="33"/>
        <v>45515</v>
      </c>
      <c r="T112" s="55">
        <f t="shared" ca="1" si="27"/>
        <v>43.924242738600007</v>
      </c>
      <c r="U112" s="55">
        <f t="shared" ca="1" si="28"/>
        <v>20.47558860772488</v>
      </c>
      <c r="V112" s="55">
        <f t="shared" ca="1" si="29"/>
        <v>0</v>
      </c>
      <c r="W112" s="55">
        <f t="shared" ca="1" si="34"/>
        <v>-57.629029430138651</v>
      </c>
      <c r="X112" s="55">
        <f t="shared" ca="1" si="35"/>
        <v>63.516379211156227</v>
      </c>
      <c r="Y112" s="55">
        <f t="shared" ca="1" si="36"/>
        <v>13.194076380906345</v>
      </c>
      <c r="Z112">
        <f t="shared" ca="1" si="30"/>
        <v>120</v>
      </c>
      <c r="AA112">
        <f t="shared" ca="1" si="37"/>
        <v>209.15824925269845</v>
      </c>
      <c r="AB112">
        <f t="shared" ca="1" si="31"/>
        <v>0</v>
      </c>
      <c r="AC112">
        <f t="shared" ca="1" si="32"/>
        <v>0.5351326000657689</v>
      </c>
      <c r="AD112" s="83">
        <f ca="1"/>
        <v>45812</v>
      </c>
      <c r="AE112" s="55">
        <f t="shared" ca="1" si="41"/>
        <v>45812</v>
      </c>
      <c r="AF112" s="55">
        <f t="shared" ca="1" si="42"/>
        <v>-212.91433130972746</v>
      </c>
      <c r="AG112" s="55">
        <f t="shared" ca="1" si="43"/>
        <v>250.38292084799346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74.828033985461886</v>
      </c>
      <c r="AK112" s="55">
        <f t="shared" ca="1" si="40"/>
        <v>-69.507925239143788</v>
      </c>
    </row>
    <row r="113" spans="18:37">
      <c r="R113" s="83">
        <f ca="1"/>
        <v>45516</v>
      </c>
      <c r="S113" s="55">
        <f t="shared" ca="1" si="33"/>
        <v>45516</v>
      </c>
      <c r="T113" s="55">
        <f t="shared" ca="1" si="27"/>
        <v>43.657450005621619</v>
      </c>
      <c r="U113" s="55">
        <f t="shared" ca="1" si="28"/>
        <v>20.980269271452503</v>
      </c>
      <c r="V113" s="55">
        <f t="shared" ca="1" si="29"/>
        <v>0</v>
      </c>
      <c r="W113" s="55">
        <f t="shared" ca="1" si="34"/>
        <v>-58.090659510198094</v>
      </c>
      <c r="X113" s="55">
        <f t="shared" ca="1" si="35"/>
        <v>64.153047535415482</v>
      </c>
      <c r="Y113" s="55">
        <f t="shared" ca="1" si="36"/>
        <v>13.256926067455764</v>
      </c>
      <c r="Z113">
        <f t="shared" ca="1" si="30"/>
        <v>120</v>
      </c>
      <c r="AA113">
        <f t="shared" ca="1" si="37"/>
        <v>211.07824925269847</v>
      </c>
      <c r="AB113">
        <f t="shared" ca="1" si="31"/>
        <v>0</v>
      </c>
      <c r="AC113">
        <f t="shared" ca="1" si="32"/>
        <v>0.55104224618434283</v>
      </c>
      <c r="AD113" s="83">
        <f ca="1"/>
        <v>45813</v>
      </c>
      <c r="AE113" s="55">
        <f t="shared" ca="1" si="41"/>
        <v>45813</v>
      </c>
      <c r="AF113" s="55">
        <f t="shared" ca="1" si="42"/>
        <v>-216.29697045853675</v>
      </c>
      <c r="AG113" s="55">
        <f t="shared" ca="1" si="43"/>
        <v>254.68688133451241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75.543454162043659</v>
      </c>
      <c r="AK113" s="55">
        <f t="shared" ca="1" si="40"/>
        <v>-69.302024078015904</v>
      </c>
    </row>
    <row r="114" spans="18:37">
      <c r="R114" s="83">
        <f ca="1"/>
        <v>45517</v>
      </c>
      <c r="S114" s="55">
        <f t="shared" ca="1" si="33"/>
        <v>45517</v>
      </c>
      <c r="T114" s="55">
        <f t="shared" ca="1" si="27"/>
        <v>42.540274689276231</v>
      </c>
      <c r="U114" s="55">
        <f t="shared" ca="1" si="28"/>
        <v>21.512103291313224</v>
      </c>
      <c r="V114" s="55">
        <f t="shared" ca="1" si="29"/>
        <v>0</v>
      </c>
      <c r="W114" s="55">
        <f t="shared" ca="1" si="34"/>
        <v>-59.393255051698134</v>
      </c>
      <c r="X114" s="55">
        <f t="shared" ca="1" si="35"/>
        <v>64.807721023310222</v>
      </c>
      <c r="Y114" s="55">
        <f t="shared" ca="1" si="36"/>
        <v>13.319506824576404</v>
      </c>
      <c r="Z114">
        <f t="shared" ca="1" si="30"/>
        <v>120</v>
      </c>
      <c r="AA114">
        <f t="shared" ca="1" si="37"/>
        <v>216.63824925269847</v>
      </c>
      <c r="AB114">
        <f t="shared" ca="1" si="31"/>
        <v>0</v>
      </c>
      <c r="AC114">
        <f t="shared" ca="1" si="32"/>
        <v>0.56731208943549127</v>
      </c>
      <c r="AD114" s="83">
        <f ca="1"/>
        <v>45814</v>
      </c>
      <c r="AE114" s="55">
        <f t="shared" ca="1" si="41"/>
        <v>45814</v>
      </c>
      <c r="AF114" s="55">
        <f t="shared" ca="1" si="42"/>
        <v>-219.54912537853716</v>
      </c>
      <c r="AG114" s="55">
        <f t="shared" ca="1" si="43"/>
        <v>258.84947593938381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76.249986221998924</v>
      </c>
      <c r="AK114" s="55">
        <f t="shared" ca="1" si="40"/>
        <v>-69.098116453100189</v>
      </c>
    </row>
    <row r="115" spans="18:37">
      <c r="R115" s="83">
        <f ca="1"/>
        <v>45518</v>
      </c>
      <c r="S115" s="55">
        <f t="shared" ca="1" si="33"/>
        <v>45518</v>
      </c>
      <c r="T115" s="55">
        <f t="shared" ca="1" si="27"/>
        <v>42.232937501491655</v>
      </c>
      <c r="U115" s="55">
        <f t="shared" ca="1" si="28"/>
        <v>22.037505570704894</v>
      </c>
      <c r="V115" s="55">
        <f t="shared" ca="1" si="29"/>
        <v>0</v>
      </c>
      <c r="W115" s="55">
        <f t="shared" ca="1" si="34"/>
        <v>-59.867732923454021</v>
      </c>
      <c r="X115" s="55">
        <f t="shared" ca="1" si="35"/>
        <v>65.440572807435075</v>
      </c>
      <c r="Y115" s="55">
        <f t="shared" ca="1" si="36"/>
        <v>13.379198003814537</v>
      </c>
      <c r="Z115">
        <f t="shared" ca="1" si="30"/>
        <v>120</v>
      </c>
      <c r="AA115">
        <f t="shared" ca="1" si="37"/>
        <v>218.67824925269849</v>
      </c>
      <c r="AB115">
        <f t="shared" ca="1" si="31"/>
        <v>0</v>
      </c>
      <c r="AC115">
        <f t="shared" ca="1" si="32"/>
        <v>0.58288020294223775</v>
      </c>
      <c r="AD115" s="83">
        <f ca="1"/>
        <v>45815</v>
      </c>
      <c r="AE115" s="55">
        <f t="shared" ca="1" si="41"/>
        <v>45815</v>
      </c>
      <c r="AF115" s="55">
        <f t="shared" ca="1" si="42"/>
        <v>-222.69035206127083</v>
      </c>
      <c r="AG115" s="55">
        <f t="shared" ca="1" si="43"/>
        <v>262.89273579784475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76.949729078006115</v>
      </c>
      <c r="AK115" s="55">
        <f t="shared" ca="1" si="40"/>
        <v>-68.895826133380112</v>
      </c>
    </row>
    <row r="116" spans="18:37">
      <c r="R116" s="83">
        <f ca="1"/>
        <v>45519</v>
      </c>
      <c r="S116" s="55">
        <f t="shared" ca="1" si="33"/>
        <v>45519</v>
      </c>
      <c r="T116" s="55">
        <f t="shared" ca="1" si="27"/>
        <v>42.319404221968767</v>
      </c>
      <c r="U116" s="55">
        <f t="shared" ca="1" si="28"/>
        <v>22.589969858265501</v>
      </c>
      <c r="V116" s="55">
        <f t="shared" ca="1" si="29"/>
        <v>0</v>
      </c>
      <c r="W116" s="55">
        <f t="shared" ca="1" si="34"/>
        <v>-59.937651939125097</v>
      </c>
      <c r="X116" s="55">
        <f t="shared" ca="1" si="35"/>
        <v>66.090069199605168</v>
      </c>
      <c r="Y116" s="55">
        <f t="shared" ca="1" si="36"/>
        <v>13.438551635353237</v>
      </c>
      <c r="Z116">
        <f t="shared" ca="1" si="30"/>
        <v>120</v>
      </c>
      <c r="AA116">
        <f t="shared" ca="1" si="37"/>
        <v>218.9782492526985</v>
      </c>
      <c r="AB116">
        <f t="shared" ca="1" si="31"/>
        <v>0</v>
      </c>
      <c r="AC116">
        <f t="shared" ca="1" si="32"/>
        <v>0.59870650607277098</v>
      </c>
      <c r="AD116" s="83">
        <f ca="1"/>
        <v>45816</v>
      </c>
      <c r="AE116" s="55">
        <f t="shared" ca="1" si="41"/>
        <v>45816</v>
      </c>
      <c r="AF116" s="55">
        <f t="shared" ca="1" si="42"/>
        <v>-225.22053753663243</v>
      </c>
      <c r="AG116" s="55">
        <f t="shared" ca="1" si="43"/>
        <v>266.25554888872512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77.592149783134076</v>
      </c>
      <c r="AK116" s="55">
        <f t="shared" ca="1" si="40"/>
        <v>-68.705619222989299</v>
      </c>
    </row>
    <row r="117" spans="18:37">
      <c r="R117" s="83">
        <f ca="1"/>
        <v>45520</v>
      </c>
      <c r="S117" s="55">
        <f t="shared" ca="1" si="33"/>
        <v>45520</v>
      </c>
      <c r="T117" s="55">
        <f t="shared" ca="1" si="27"/>
        <v>41.271864146010927</v>
      </c>
      <c r="U117" s="55">
        <f t="shared" ca="1" si="28"/>
        <v>23.150737965160399</v>
      </c>
      <c r="V117" s="55">
        <f t="shared" ca="1" si="29"/>
        <v>0</v>
      </c>
      <c r="W117" s="55">
        <f t="shared" ca="1" si="34"/>
        <v>-61.126401255121934</v>
      </c>
      <c r="X117" s="55">
        <f t="shared" ca="1" si="35"/>
        <v>66.734414725074046</v>
      </c>
      <c r="Y117" s="55">
        <f t="shared" ca="1" si="36"/>
        <v>13.496183456818253</v>
      </c>
      <c r="Z117">
        <f t="shared" ca="1" si="30"/>
        <v>120</v>
      </c>
      <c r="AA117">
        <f t="shared" ca="1" si="37"/>
        <v>224.20824925269849</v>
      </c>
      <c r="AB117">
        <f t="shared" ca="1" si="31"/>
        <v>0</v>
      </c>
      <c r="AC117">
        <f t="shared" ca="1" si="32"/>
        <v>0.61420170480324343</v>
      </c>
      <c r="AD117" s="83">
        <f ca="1"/>
        <v>45817</v>
      </c>
      <c r="AE117" s="55">
        <f t="shared" ca="1" si="41"/>
        <v>45817</v>
      </c>
      <c r="AF117" s="55">
        <f t="shared" ca="1" si="42"/>
        <v>-227.6518157801267</v>
      </c>
      <c r="AG117" s="55">
        <f t="shared" ca="1" si="43"/>
        <v>269.51146688475404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78.228180996844941</v>
      </c>
      <c r="AK117" s="55">
        <f t="shared" ca="1" si="40"/>
        <v>-68.517010684165513</v>
      </c>
    </row>
    <row r="118" spans="18:37">
      <c r="R118" s="83">
        <f ca="1"/>
        <v>45521</v>
      </c>
      <c r="S118" s="55">
        <f t="shared" ca="1" si="33"/>
        <v>45521</v>
      </c>
      <c r="T118" s="55">
        <f t="shared" ca="1" si="27"/>
        <v>40.962957830433787</v>
      </c>
      <c r="U118" s="55">
        <f t="shared" ca="1" si="28"/>
        <v>23.676949929729158</v>
      </c>
      <c r="V118" s="55">
        <f t="shared" ca="1" si="29"/>
        <v>0</v>
      </c>
      <c r="W118" s="55">
        <f t="shared" ca="1" si="34"/>
        <v>-61.557284078213655</v>
      </c>
      <c r="X118" s="55">
        <f t="shared" ca="1" si="35"/>
        <v>67.329295832861504</v>
      </c>
      <c r="Y118" s="55">
        <f t="shared" ca="1" si="36"/>
        <v>13.549490821114144</v>
      </c>
      <c r="Z118">
        <f t="shared" ca="1" si="30"/>
        <v>120</v>
      </c>
      <c r="AA118">
        <f t="shared" ca="1" si="37"/>
        <v>226.11824925269849</v>
      </c>
      <c r="AB118">
        <f t="shared" ca="1" si="31"/>
        <v>0</v>
      </c>
      <c r="AC118">
        <f t="shared" ca="1" si="32"/>
        <v>0.62822437010044485</v>
      </c>
      <c r="AD118" s="83">
        <f ca="1"/>
        <v>45818</v>
      </c>
      <c r="AE118" s="55">
        <f t="shared" ca="1" si="41"/>
        <v>45818</v>
      </c>
      <c r="AF118" s="55">
        <f t="shared" ca="1" si="42"/>
        <v>-230.93969528160136</v>
      </c>
      <c r="AG118" s="55">
        <f t="shared" ca="1" si="43"/>
        <v>273.73686200708516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78.958107647838361</v>
      </c>
      <c r="AK118" s="55">
        <f t="shared" ca="1" si="40"/>
        <v>-68.309421714302502</v>
      </c>
    </row>
    <row r="119" spans="18:37">
      <c r="R119" s="83">
        <f ca="1"/>
        <v>45522</v>
      </c>
      <c r="S119" s="55">
        <f t="shared" ca="1" si="33"/>
        <v>45522</v>
      </c>
      <c r="T119" s="55">
        <f t="shared" ca="1" si="27"/>
        <v>140.634341152084</v>
      </c>
      <c r="U119" s="55">
        <f t="shared" ca="1" si="28"/>
        <v>24.254382095901704</v>
      </c>
      <c r="V119" s="55">
        <f t="shared" ca="1" si="29"/>
        <v>100</v>
      </c>
      <c r="W119" s="55">
        <f t="shared" ca="1" si="34"/>
        <v>-61.998350122518488</v>
      </c>
      <c r="X119" s="55">
        <f t="shared" ca="1" si="35"/>
        <v>67.964690344332269</v>
      </c>
      <c r="Y119" s="55">
        <f t="shared" ca="1" si="36"/>
        <v>13.603977841770991</v>
      </c>
      <c r="Z119">
        <f t="shared" ca="1" si="30"/>
        <v>120</v>
      </c>
      <c r="AA119">
        <f t="shared" ca="1" si="37"/>
        <v>226.68824925269848</v>
      </c>
      <c r="AB119">
        <f t="shared" ca="1" si="31"/>
        <v>0</v>
      </c>
      <c r="AC119">
        <f t="shared" ca="1" si="32"/>
        <v>0.64304206213413351</v>
      </c>
      <c r="AD119" s="83">
        <f ca="1"/>
        <v>45819</v>
      </c>
      <c r="AE119" s="55">
        <f t="shared" ca="1" si="41"/>
        <v>45819</v>
      </c>
      <c r="AF119" s="55">
        <f t="shared" ca="1" si="42"/>
        <v>-234.16505489510965</v>
      </c>
      <c r="AG119" s="55">
        <f t="shared" ca="1" si="43"/>
        <v>277.89927754142036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79.688034298831781</v>
      </c>
      <c r="AK119" s="55">
        <f t="shared" ca="1" si="40"/>
        <v>-68.102292444469029</v>
      </c>
    </row>
    <row r="120" spans="18:37">
      <c r="R120" s="83">
        <f ca="1"/>
        <v>45523</v>
      </c>
      <c r="S120" s="55">
        <f t="shared" ca="1" si="33"/>
        <v>45523</v>
      </c>
      <c r="T120" s="55">
        <f t="shared" ca="1" si="27"/>
        <v>139.03924614795173</v>
      </c>
      <c r="U120" s="55">
        <f t="shared" ca="1" si="28"/>
        <v>24.831131858442621</v>
      </c>
      <c r="V120" s="55">
        <f t="shared" ca="1" si="29"/>
        <v>0</v>
      </c>
      <c r="W120" s="55">
        <f t="shared" ca="1" si="34"/>
        <v>-63.69059880244675</v>
      </c>
      <c r="X120" s="55">
        <f t="shared" ca="1" si="35"/>
        <v>68.586180559147564</v>
      </c>
      <c r="Y120" s="55">
        <f t="shared" ca="1" si="36"/>
        <v>13.656391065292611</v>
      </c>
      <c r="Z120">
        <f t="shared" ca="1" si="30"/>
        <v>120</v>
      </c>
      <c r="AA120">
        <f t="shared" ca="1" si="37"/>
        <v>228.89824925269849</v>
      </c>
      <c r="AB120">
        <f t="shared" ca="1" si="31"/>
        <v>0</v>
      </c>
      <c r="AC120">
        <f t="shared" ca="1" si="32"/>
        <v>0.65725664050579469</v>
      </c>
      <c r="AD120" s="83">
        <f ca="1"/>
        <v>45820</v>
      </c>
      <c r="AE120" s="55">
        <f t="shared" ca="1" si="41"/>
        <v>45820</v>
      </c>
      <c r="AF120" s="55">
        <f t="shared" ca="1" si="42"/>
        <v>-237.89043946118269</v>
      </c>
      <c r="AG120" s="55">
        <f t="shared" ca="1" si="43"/>
        <v>282.64229214558867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80.485160708267372</v>
      </c>
      <c r="AK120" s="55">
        <f t="shared" ca="1" si="40"/>
        <v>-67.881788815809344</v>
      </c>
    </row>
    <row r="121" spans="18:37">
      <c r="R121" s="83">
        <f ca="1"/>
        <v>45524</v>
      </c>
      <c r="S121" s="55">
        <f t="shared" ca="1" si="33"/>
        <v>45524</v>
      </c>
      <c r="T121" s="55">
        <f t="shared" ca="1" si="27"/>
        <v>138.61242557070955</v>
      </c>
      <c r="U121" s="55">
        <f t="shared" ca="1" si="28"/>
        <v>25.453537891184514</v>
      </c>
      <c r="V121" s="55">
        <f t="shared" ca="1" si="29"/>
        <v>0</v>
      </c>
      <c r="W121" s="55">
        <f t="shared" ca="1" si="34"/>
        <v>-64.202058564045345</v>
      </c>
      <c r="X121" s="55">
        <f t="shared" ca="1" si="35"/>
        <v>69.240205474428052</v>
      </c>
      <c r="Y121" s="55">
        <f t="shared" ca="1" si="36"/>
        <v>13.709411367110446</v>
      </c>
      <c r="Z121">
        <f t="shared" ca="1" si="30"/>
        <v>120</v>
      </c>
      <c r="AA121">
        <f t="shared" ca="1" si="37"/>
        <v>229.56824925269848</v>
      </c>
      <c r="AB121">
        <f t="shared" ca="1" si="31"/>
        <v>0</v>
      </c>
      <c r="AC121">
        <f t="shared" ca="1" si="32"/>
        <v>0.67195383855370061</v>
      </c>
      <c r="AD121" s="83">
        <f ca="1"/>
        <v>45821</v>
      </c>
      <c r="AE121" s="55">
        <f t="shared" ca="1" si="41"/>
        <v>45821</v>
      </c>
      <c r="AF121" s="55">
        <f t="shared" ca="1" si="42"/>
        <v>-240.72857296386229</v>
      </c>
      <c r="AG121" s="55">
        <f t="shared" ca="1" si="43"/>
        <v>286.38244028442699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81.186935964806423</v>
      </c>
      <c r="AK121" s="55">
        <f t="shared" ca="1" si="40"/>
        <v>-67.68154943618967</v>
      </c>
    </row>
    <row r="122" spans="18:37">
      <c r="R122" s="83">
        <f ca="1"/>
        <v>45525</v>
      </c>
      <c r="S122" s="55">
        <f t="shared" ca="1" si="33"/>
        <v>45525</v>
      </c>
      <c r="T122" s="55">
        <f t="shared" ca="1" si="27"/>
        <v>136.58215807026531</v>
      </c>
      <c r="U122" s="55">
        <f t="shared" ca="1" si="28"/>
        <v>26.074003758294712</v>
      </c>
      <c r="V122" s="55">
        <f t="shared" ca="1" si="29"/>
        <v>0</v>
      </c>
      <c r="W122" s="55">
        <f t="shared" ca="1" si="34"/>
        <v>-66.300673114568454</v>
      </c>
      <c r="X122" s="55">
        <f t="shared" ca="1" si="35"/>
        <v>69.878149245001907</v>
      </c>
      <c r="Y122" s="55">
        <f t="shared" ca="1" si="36"/>
        <v>13.760280513725652</v>
      </c>
      <c r="Z122">
        <f t="shared" ca="1" si="30"/>
        <v>120</v>
      </c>
      <c r="AA122">
        <f t="shared" ca="1" si="37"/>
        <v>232.35824925269847</v>
      </c>
      <c r="AB122">
        <f t="shared" ca="1" si="31"/>
        <v>0</v>
      </c>
      <c r="AC122">
        <f t="shared" ca="1" si="32"/>
        <v>0.68595820585476763</v>
      </c>
      <c r="AD122" s="83">
        <f ca="1"/>
        <v>45822</v>
      </c>
      <c r="AE122" s="55">
        <f t="shared" ca="1" si="41"/>
        <v>45822</v>
      </c>
      <c r="AF122" s="55">
        <f t="shared" ca="1" si="42"/>
        <v>-243.29553930193075</v>
      </c>
      <c r="AG122" s="55">
        <f t="shared" ca="1" si="43"/>
        <v>289.82177697068511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81.864568545630135</v>
      </c>
      <c r="AK122" s="55">
        <f t="shared" ca="1" si="40"/>
        <v>-67.486811668823719</v>
      </c>
    </row>
    <row r="123" spans="18:37">
      <c r="R123" s="83">
        <f ca="1"/>
        <v>45526</v>
      </c>
      <c r="S123" s="55">
        <f t="shared" ca="1" si="33"/>
        <v>45526</v>
      </c>
      <c r="T123" s="55">
        <f t="shared" ca="1" si="27"/>
        <v>136.60513433062786</v>
      </c>
      <c r="U123" s="55">
        <f t="shared" ca="1" si="28"/>
        <v>26.712586123501318</v>
      </c>
      <c r="V123" s="55">
        <f t="shared" ca="1" si="29"/>
        <v>0</v>
      </c>
      <c r="W123" s="55">
        <f t="shared" ca="1" si="34"/>
        <v>-66.330765839812301</v>
      </c>
      <c r="X123" s="55">
        <f t="shared" ca="1" si="35"/>
        <v>70.519929161520267</v>
      </c>
      <c r="Y123" s="55">
        <f t="shared" ca="1" si="36"/>
        <v>13.810151948020311</v>
      </c>
      <c r="Z123">
        <f t="shared" ca="1" si="30"/>
        <v>120</v>
      </c>
      <c r="AA123">
        <f t="shared" ca="1" si="37"/>
        <v>232.39824925269846</v>
      </c>
      <c r="AB123">
        <f t="shared" ca="1" si="31"/>
        <v>0</v>
      </c>
      <c r="AC123">
        <f t="shared" ca="1" si="32"/>
        <v>0.69971706289302182</v>
      </c>
      <c r="AD123" s="83">
        <f ca="1"/>
        <v>45823</v>
      </c>
      <c r="AE123" s="55">
        <f t="shared" ca="1" si="41"/>
        <v>45823</v>
      </c>
      <c r="AF123" s="55">
        <f t="shared" ca="1" si="42"/>
        <v>-245.17173014341785</v>
      </c>
      <c r="AG123" s="55">
        <f t="shared" ca="1" si="43"/>
        <v>292.4850375484686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82.471732850757022</v>
      </c>
      <c r="AK123" s="55">
        <f t="shared" ca="1" si="40"/>
        <v>-67.306906237654218</v>
      </c>
    </row>
    <row r="124" spans="18:37">
      <c r="R124" s="83">
        <f ca="1"/>
        <v>45527</v>
      </c>
      <c r="S124" s="55">
        <f t="shared" ca="1" si="33"/>
        <v>45527</v>
      </c>
      <c r="T124" s="55">
        <f t="shared" ca="1" si="27"/>
        <v>136.64221545664802</v>
      </c>
      <c r="U124" s="55">
        <f t="shared" ca="1" si="28"/>
        <v>27.387070628995527</v>
      </c>
      <c r="V124" s="55">
        <f t="shared" ca="1" si="29"/>
        <v>0</v>
      </c>
      <c r="W124" s="55">
        <f t="shared" ca="1" si="34"/>
        <v>-66.330765839812301</v>
      </c>
      <c r="X124" s="55">
        <f t="shared" ca="1" si="35"/>
        <v>71.18176404999592</v>
      </c>
      <c r="Y124" s="55">
        <f t="shared" ca="1" si="36"/>
        <v>13.859882691059013</v>
      </c>
      <c r="Z124">
        <f t="shared" ca="1" si="30"/>
        <v>117.96521739130435</v>
      </c>
      <c r="AA124">
        <f t="shared" ca="1" si="37"/>
        <v>232.39824925269846</v>
      </c>
      <c r="AB124">
        <f t="shared" ca="1" si="31"/>
        <v>0</v>
      </c>
      <c r="AC124">
        <f t="shared" ca="1" si="32"/>
        <v>0.71355307038237148</v>
      </c>
      <c r="AD124" s="83">
        <f ca="1"/>
        <v>45824</v>
      </c>
      <c r="AE124" s="55">
        <f t="shared" ca="1" si="41"/>
        <v>45824</v>
      </c>
      <c r="AF124" s="55">
        <f t="shared" ca="1" si="42"/>
        <v>-247.64054925436335</v>
      </c>
      <c r="AG124" s="55">
        <f t="shared" ca="1" si="43"/>
        <v>295.82503202215281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83.149365431580733</v>
      </c>
      <c r="AK124" s="55">
        <f t="shared" ca="1" si="40"/>
        <v>-67.113363455739233</v>
      </c>
    </row>
    <row r="125" spans="18:37">
      <c r="R125" s="83">
        <f ca="1"/>
        <v>45528</v>
      </c>
      <c r="S125" s="55">
        <f t="shared" ca="1" si="33"/>
        <v>45528</v>
      </c>
      <c r="T125" s="55">
        <f t="shared" ca="1" si="27"/>
        <v>136.66269907985759</v>
      </c>
      <c r="U125" s="55">
        <f t="shared" ca="1" si="28"/>
        <v>28.065335553363251</v>
      </c>
      <c r="V125" s="55">
        <f t="shared" ca="1" si="29"/>
        <v>0</v>
      </c>
      <c r="W125" s="55">
        <f t="shared" ca="1" si="34"/>
        <v>-66.330765839812301</v>
      </c>
      <c r="X125" s="55">
        <f t="shared" ca="1" si="35"/>
        <v>71.832552255696726</v>
      </c>
      <c r="Y125" s="55">
        <f t="shared" ca="1" si="36"/>
        <v>13.907843032935515</v>
      </c>
      <c r="Z125">
        <f t="shared" ca="1" si="30"/>
        <v>119.73350289114214</v>
      </c>
      <c r="AA125">
        <f t="shared" ca="1" si="37"/>
        <v>232.39824925269846</v>
      </c>
      <c r="AB125">
        <f t="shared" ca="1" si="31"/>
        <v>0</v>
      </c>
      <c r="AC125">
        <f t="shared" ca="1" si="32"/>
        <v>0.7267725055232056</v>
      </c>
      <c r="AD125" s="83">
        <f ca="1"/>
        <v>45825</v>
      </c>
      <c r="AE125" s="55">
        <f t="shared" ca="1" si="41"/>
        <v>45825</v>
      </c>
      <c r="AF125" s="55">
        <f t="shared" ca="1" si="42"/>
        <v>-250.10813147192505</v>
      </c>
      <c r="AG125" s="55">
        <f t="shared" ca="1" si="43"/>
        <v>299.17110421164199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83.833650510209836</v>
      </c>
      <c r="AK125" s="55">
        <f t="shared" ca="1" si="40"/>
        <v>-66.919158562440856</v>
      </c>
    </row>
    <row r="126" spans="18:37">
      <c r="R126" s="83">
        <f ca="1"/>
        <v>45529</v>
      </c>
      <c r="S126" s="55">
        <f t="shared" ca="1" si="33"/>
        <v>45529</v>
      </c>
      <c r="T126" s="55">
        <f t="shared" ca="1" si="27"/>
        <v>135.59812572714793</v>
      </c>
      <c r="U126" s="55">
        <f t="shared" ca="1" si="28"/>
        <v>28.831404294898956</v>
      </c>
      <c r="V126" s="55">
        <f t="shared" ca="1" si="29"/>
        <v>0</v>
      </c>
      <c r="W126" s="55">
        <f t="shared" ca="1" si="34"/>
        <v>-67.396874025413453</v>
      </c>
      <c r="X126" s="55">
        <f t="shared" ca="1" si="35"/>
        <v>72.550033526891156</v>
      </c>
      <c r="Y126" s="55">
        <f t="shared" ca="1" si="36"/>
        <v>13.957965336168252</v>
      </c>
      <c r="Z126">
        <f t="shared" ca="1" si="30"/>
        <v>120</v>
      </c>
      <c r="AA126">
        <f t="shared" ca="1" si="37"/>
        <v>233.82587077094749</v>
      </c>
      <c r="AB126">
        <f t="shared" ca="1" si="31"/>
        <v>0</v>
      </c>
      <c r="AC126">
        <f t="shared" ca="1" si="32"/>
        <v>0.74090228233821454</v>
      </c>
      <c r="AD126" s="83">
        <f ca="1"/>
        <v>45826</v>
      </c>
      <c r="AE126" s="55">
        <f t="shared" ca="1" si="41"/>
        <v>45826</v>
      </c>
      <c r="AF126" s="55">
        <f t="shared" ca="1" si="42"/>
        <v>-252.56449522996411</v>
      </c>
      <c r="AG126" s="55">
        <f t="shared" ca="1" si="43"/>
        <v>302.51246541045771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84.52395818915484</v>
      </c>
      <c r="AK126" s="55">
        <f t="shared" ca="1" si="40"/>
        <v>-66.724468800609188</v>
      </c>
    </row>
    <row r="127" spans="18:37">
      <c r="R127" s="83">
        <f ca="1"/>
        <v>45530</v>
      </c>
      <c r="S127" s="55">
        <f t="shared" ca="1" si="33"/>
        <v>45530</v>
      </c>
      <c r="T127" s="55">
        <f t="shared" ca="1" si="27"/>
        <v>135.57902182967695</v>
      </c>
      <c r="U127" s="55">
        <f t="shared" ca="1" si="28"/>
        <v>29.618984032510362</v>
      </c>
      <c r="V127" s="55">
        <f t="shared" ca="1" si="29"/>
        <v>0</v>
      </c>
      <c r="W127" s="55">
        <f t="shared" ca="1" si="34"/>
        <v>-67.396874025413453</v>
      </c>
      <c r="X127" s="55">
        <f t="shared" ca="1" si="35"/>
        <v>73.26957964284324</v>
      </c>
      <c r="Y127" s="55">
        <f t="shared" ca="1" si="36"/>
        <v>14.006895060356573</v>
      </c>
      <c r="Z127">
        <f t="shared" ca="1" si="30"/>
        <v>118.92173913043477</v>
      </c>
      <c r="AA127">
        <f t="shared" ca="1" si="37"/>
        <v>233.82587077094749</v>
      </c>
      <c r="AB127">
        <f t="shared" ca="1" si="31"/>
        <v>0</v>
      </c>
      <c r="AC127">
        <f t="shared" ca="1" si="32"/>
        <v>0.7545856289362769</v>
      </c>
      <c r="AD127" s="83">
        <f ca="1"/>
        <v>45827</v>
      </c>
      <c r="AE127" s="55">
        <f t="shared" ca="1" si="41"/>
        <v>45827</v>
      </c>
      <c r="AF127" s="55">
        <f t="shared" ca="1" si="42"/>
        <v>-255.14265326699876</v>
      </c>
      <c r="AG127" s="55">
        <f t="shared" ca="1" si="43"/>
        <v>306.00334477519237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85.238006385235408</v>
      </c>
      <c r="AK127" s="55">
        <f t="shared" ca="1" si="40"/>
        <v>-66.52579566898973</v>
      </c>
    </row>
    <row r="128" spans="18:37">
      <c r="R128" s="83">
        <f ca="1"/>
        <v>45531</v>
      </c>
      <c r="S128" s="55">
        <f t="shared" ca="1" si="33"/>
        <v>45531</v>
      </c>
      <c r="T128" s="55">
        <f t="shared" ca="1" si="27"/>
        <v>135.53780592921834</v>
      </c>
      <c r="U128" s="55">
        <f t="shared" ca="1" si="28"/>
        <v>30.451458931523749</v>
      </c>
      <c r="V128" s="55">
        <f t="shared" ca="1" si="29"/>
        <v>0</v>
      </c>
      <c r="W128" s="55">
        <f t="shared" ca="1" si="34"/>
        <v>-67.396874025413453</v>
      </c>
      <c r="X128" s="55">
        <f t="shared" ca="1" si="35"/>
        <v>74.012087040542511</v>
      </c>
      <c r="Y128" s="55">
        <f t="shared" ca="1" si="36"/>
        <v>14.055646661212055</v>
      </c>
      <c r="Z128">
        <f t="shared" ca="1" si="30"/>
        <v>119.37985444276154</v>
      </c>
      <c r="AA128">
        <f t="shared" ca="1" si="37"/>
        <v>233.82587077094749</v>
      </c>
      <c r="AB128">
        <f t="shared" ca="1" si="31"/>
        <v>0</v>
      </c>
      <c r="AC128">
        <f t="shared" ca="1" si="32"/>
        <v>0.76816973193958904</v>
      </c>
      <c r="AD128" s="83">
        <f ca="1"/>
        <v>45828</v>
      </c>
      <c r="AE128" s="55">
        <f t="shared" ca="1" si="41"/>
        <v>45828</v>
      </c>
      <c r="AF128" s="55">
        <f t="shared" ca="1" si="42"/>
        <v>-257.62236137822117</v>
      </c>
      <c r="AG128" s="55">
        <f t="shared" ca="1" si="43"/>
        <v>309.39082467147438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85.948631915380815</v>
      </c>
      <c r="AK128" s="55">
        <f t="shared" ca="1" si="40"/>
        <v>-66.328649414075528</v>
      </c>
    </row>
    <row r="129" spans="18:37">
      <c r="R129" s="83">
        <f ca="1"/>
        <v>45532</v>
      </c>
      <c r="S129" s="55">
        <f t="shared" ca="1" si="33"/>
        <v>45532</v>
      </c>
      <c r="T129" s="55">
        <f t="shared" ca="1" si="27"/>
        <v>134.62022931341383</v>
      </c>
      <c r="U129" s="55">
        <f t="shared" ca="1" si="28"/>
        <v>31.266397814453221</v>
      </c>
      <c r="V129" s="55">
        <f t="shared" ca="1" si="29"/>
        <v>0</v>
      </c>
      <c r="W129" s="55">
        <f t="shared" ca="1" si="34"/>
        <v>-68.253270686727291</v>
      </c>
      <c r="X129" s="55">
        <f t="shared" ca="1" si="35"/>
        <v>74.719981927214235</v>
      </c>
      <c r="Y129" s="55">
        <f t="shared" ca="1" si="36"/>
        <v>14.101510702979116</v>
      </c>
      <c r="Z129">
        <f t="shared" ca="1" si="30"/>
        <v>120</v>
      </c>
      <c r="AA129">
        <f t="shared" ca="1" si="37"/>
        <v>234.98099883070711</v>
      </c>
      <c r="AB129">
        <f t="shared" ca="1" si="31"/>
        <v>0</v>
      </c>
      <c r="AC129">
        <f t="shared" ca="1" si="32"/>
        <v>0.7806425894803064</v>
      </c>
      <c r="AD129" s="83">
        <f ca="1"/>
        <v>45829</v>
      </c>
      <c r="AE129" s="55">
        <f t="shared" ca="1" si="41"/>
        <v>45829</v>
      </c>
      <c r="AF129" s="55">
        <f t="shared" ca="1" si="42"/>
        <v>-259.73275025957435</v>
      </c>
      <c r="AG129" s="55">
        <f t="shared" ca="1" si="43"/>
        <v>312.3606606673568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86.61965328089201</v>
      </c>
      <c r="AK129" s="55">
        <f t="shared" ca="1" si="40"/>
        <v>-66.140223665057476</v>
      </c>
    </row>
    <row r="130" spans="18:37">
      <c r="R130" s="83">
        <f ca="1"/>
        <v>45533</v>
      </c>
      <c r="S130" s="55">
        <f t="shared" ca="1" si="33"/>
        <v>45533</v>
      </c>
      <c r="T130" s="55">
        <f t="shared" ca="1" si="27"/>
        <v>134.53386546099063</v>
      </c>
      <c r="U130" s="55">
        <f t="shared" ca="1" si="28"/>
        <v>32.144453206707283</v>
      </c>
      <c r="V130" s="55">
        <f t="shared" ca="1" si="29"/>
        <v>0</v>
      </c>
      <c r="W130" s="55">
        <f t="shared" ca="1" si="34"/>
        <v>-68.253270686727291</v>
      </c>
      <c r="X130" s="55">
        <f t="shared" ca="1" si="35"/>
        <v>75.465303465307684</v>
      </c>
      <c r="Y130" s="55">
        <f t="shared" ca="1" si="36"/>
        <v>14.147880704716506</v>
      </c>
      <c r="Z130">
        <f t="shared" ca="1" si="30"/>
        <v>119.63478260869563</v>
      </c>
      <c r="AA130">
        <f t="shared" ca="1" si="37"/>
        <v>234.98099883070711</v>
      </c>
      <c r="AB130">
        <f t="shared" ca="1" si="31"/>
        <v>0</v>
      </c>
      <c r="AC130">
        <f t="shared" ca="1" si="32"/>
        <v>0.79322399238353081</v>
      </c>
      <c r="AD130" s="83">
        <f ca="1"/>
        <v>45830</v>
      </c>
      <c r="AE130" s="55">
        <f t="shared" ca="1" si="41"/>
        <v>45830</v>
      </c>
      <c r="AF130" s="55">
        <f t="shared" ca="1" si="42"/>
        <v>-261.25722874209947</v>
      </c>
      <c r="AG130" s="55">
        <f t="shared" ca="1" si="43"/>
        <v>314.66293278371108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87.223115651579647</v>
      </c>
      <c r="AK130" s="55">
        <f t="shared" ca="1" si="40"/>
        <v>-65.965892401915937</v>
      </c>
    </row>
    <row r="131" spans="18:37">
      <c r="R131" s="83">
        <f ca="1"/>
        <v>45534</v>
      </c>
      <c r="S131" s="55">
        <f t="shared" ca="1" si="33"/>
        <v>45534</v>
      </c>
      <c r="T131" s="55">
        <f t="shared" ca="1" si="27"/>
        <v>134.4280093935493</v>
      </c>
      <c r="U131" s="55">
        <f t="shared" ca="1" si="28"/>
        <v>33.008125064451619</v>
      </c>
      <c r="V131" s="55">
        <f t="shared" ca="1" si="29"/>
        <v>0</v>
      </c>
      <c r="W131" s="55">
        <f t="shared" ca="1" si="34"/>
        <v>-68.253270686727291</v>
      </c>
      <c r="X131" s="55">
        <f t="shared" ca="1" si="35"/>
        <v>76.179351661388253</v>
      </c>
      <c r="Y131" s="55">
        <f t="shared" ca="1" si="36"/>
        <v>14.191648298938969</v>
      </c>
      <c r="Z131">
        <f t="shared" ca="1" si="30"/>
        <v>119.49752238028428</v>
      </c>
      <c r="AA131">
        <f t="shared" ca="1" si="37"/>
        <v>234.98099883070711</v>
      </c>
      <c r="AB131">
        <f t="shared" ca="1" si="31"/>
        <v>0</v>
      </c>
      <c r="AC131">
        <f t="shared" ca="1" si="32"/>
        <v>0.80478706187935445</v>
      </c>
      <c r="AD131" s="83">
        <f ca="1"/>
        <v>45831</v>
      </c>
      <c r="AE131" s="55">
        <f t="shared" ca="1" si="41"/>
        <v>45831</v>
      </c>
      <c r="AF131" s="55">
        <f t="shared" ca="1" si="42"/>
        <v>-262.77003695215927</v>
      </c>
      <c r="AG131" s="55">
        <f t="shared" ca="1" si="43"/>
        <v>316.95647782259363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87.829661955970366</v>
      </c>
      <c r="AK131" s="55">
        <f t="shared" ca="1" si="40"/>
        <v>-65.791701877483916</v>
      </c>
    </row>
    <row r="132" spans="18:37">
      <c r="R132" s="83">
        <f ca="1"/>
        <v>45535</v>
      </c>
      <c r="S132" s="55">
        <f t="shared" ca="1" si="33"/>
        <v>45535</v>
      </c>
      <c r="T132" s="55">
        <f t="shared" ca="1" si="27"/>
        <v>134.30737999485032</v>
      </c>
      <c r="U132" s="55">
        <f t="shared" ca="1" si="28"/>
        <v>33.846786189187085</v>
      </c>
      <c r="V132" s="55">
        <f t="shared" ca="1" si="29"/>
        <v>0</v>
      </c>
      <c r="W132" s="55">
        <f t="shared" ca="1" si="34"/>
        <v>-68.253270686727291</v>
      </c>
      <c r="X132" s="55">
        <f t="shared" ca="1" si="35"/>
        <v>76.856321264088677</v>
      </c>
      <c r="Y132" s="55">
        <f t="shared" ca="1" si="36"/>
        <v>14.232710422275009</v>
      </c>
      <c r="Z132">
        <f t="shared" ca="1" si="30"/>
        <v>117.7608130758757</v>
      </c>
      <c r="AA132">
        <f t="shared" ca="1" si="37"/>
        <v>234.98099883070711</v>
      </c>
      <c r="AB132">
        <f t="shared" ca="1" si="31"/>
        <v>0</v>
      </c>
      <c r="AC132">
        <f t="shared" ca="1" si="32"/>
        <v>0.8152952608638967</v>
      </c>
      <c r="AD132" s="83">
        <f ca="1"/>
        <v>45832</v>
      </c>
      <c r="AE132" s="55">
        <f t="shared" ca="1" si="41"/>
        <v>45832</v>
      </c>
      <c r="AF132" s="55">
        <f t="shared" ca="1" si="42"/>
        <v>-264.88551980729943</v>
      </c>
      <c r="AG132" s="55">
        <f t="shared" ca="1" si="43"/>
        <v>319.95521519688521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88.522657109880086</v>
      </c>
      <c r="AK132" s="55">
        <f t="shared" ca="1" si="40"/>
        <v>-65.601442512242244</v>
      </c>
    </row>
    <row r="133" spans="18:37">
      <c r="R133" s="83">
        <f ca="1"/>
        <v>45536</v>
      </c>
      <c r="S133" s="55">
        <f t="shared" ca="1" si="33"/>
        <v>45536</v>
      </c>
      <c r="T133" s="55">
        <f t="shared" ca="1" si="27"/>
        <v>133.91844591480017</v>
      </c>
      <c r="U133" s="55">
        <f t="shared" ca="1" si="28"/>
        <v>34.665365442661489</v>
      </c>
      <c r="V133" s="55">
        <f t="shared" ca="1" si="29"/>
        <v>0</v>
      </c>
      <c r="W133" s="55">
        <f t="shared" ca="1" si="34"/>
        <v>-68.509341845265624</v>
      </c>
      <c r="X133" s="55">
        <f t="shared" ca="1" si="35"/>
        <v>77.503238946571528</v>
      </c>
      <c r="Y133" s="55">
        <f t="shared" ca="1" si="36"/>
        <v>14.271509071754757</v>
      </c>
      <c r="Z133">
        <f t="shared" ca="1" si="30"/>
        <v>120</v>
      </c>
      <c r="AA133">
        <f t="shared" ca="1" si="37"/>
        <v>235.32820366198467</v>
      </c>
      <c r="AB133">
        <f t="shared" ca="1" si="31"/>
        <v>0</v>
      </c>
      <c r="AC133">
        <f t="shared" ca="1" si="32"/>
        <v>0.82491258037201043</v>
      </c>
      <c r="AD133" s="83">
        <f ca="1"/>
        <v>45833</v>
      </c>
      <c r="AE133" s="55">
        <f t="shared" ca="1" si="41"/>
        <v>45833</v>
      </c>
      <c r="AF133" s="55">
        <f t="shared" ca="1" si="42"/>
        <v>-266.54020063762908</v>
      </c>
      <c r="AG133" s="55">
        <f t="shared" ca="1" si="43"/>
        <v>322.42570331860423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89.159962953069282</v>
      </c>
      <c r="AK133" s="55">
        <f t="shared" ca="1" si="40"/>
        <v>-65.422941064042092</v>
      </c>
    </row>
    <row r="134" spans="18:37">
      <c r="R134" s="83">
        <f ca="1"/>
        <v>45537</v>
      </c>
      <c r="S134" s="55">
        <f t="shared" ca="1" si="33"/>
        <v>45537</v>
      </c>
      <c r="T134" s="55">
        <f t="shared" ca="1" si="27"/>
        <v>133.76488827592044</v>
      </c>
      <c r="U134" s="55">
        <f t="shared" ca="1" si="28"/>
        <v>35.509748292755397</v>
      </c>
      <c r="V134" s="55">
        <f t="shared" ca="1" si="29"/>
        <v>0</v>
      </c>
      <c r="W134" s="55">
        <f t="shared" ca="1" si="34"/>
        <v>-68.509341845265624</v>
      </c>
      <c r="X134" s="55">
        <f t="shared" ca="1" si="35"/>
        <v>78.155967947534975</v>
      </c>
      <c r="Y134" s="55">
        <f t="shared" ca="1" si="36"/>
        <v>14.309605282005473</v>
      </c>
      <c r="Z134">
        <f t="shared" ca="1" si="30"/>
        <v>118.81739130434784</v>
      </c>
      <c r="AA134">
        <f t="shared" ca="1" si="37"/>
        <v>235.32820366198467</v>
      </c>
      <c r="AB134">
        <f t="shared" ca="1" si="31"/>
        <v>0</v>
      </c>
      <c r="AC134">
        <f t="shared" ca="1" si="32"/>
        <v>0.83421504573411553</v>
      </c>
      <c r="AD134" s="83">
        <f ca="1"/>
        <v>45834</v>
      </c>
      <c r="AE134" s="55">
        <f t="shared" ca="1" si="41"/>
        <v>45834</v>
      </c>
      <c r="AF134" s="55">
        <f t="shared" ca="1" si="42"/>
        <v>-267.97380299316995</v>
      </c>
      <c r="AG134" s="55">
        <f t="shared" ca="1" si="43"/>
        <v>324.64569873116358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89.77332954478149</v>
      </c>
      <c r="AK134" s="55">
        <f t="shared" ca="1" si="40"/>
        <v>-65.249914598735813</v>
      </c>
    </row>
    <row r="135" spans="18:37">
      <c r="R135" s="83">
        <f ca="1"/>
        <v>45538</v>
      </c>
      <c r="S135" s="55">
        <f t="shared" ca="1" si="33"/>
        <v>45538</v>
      </c>
      <c r="T135" s="55">
        <f t="shared" ca="1" si="27"/>
        <v>133.58515779995474</v>
      </c>
      <c r="U135" s="55">
        <f t="shared" ca="1" si="28"/>
        <v>36.400446966234313</v>
      </c>
      <c r="V135" s="55">
        <f t="shared" ca="1" si="29"/>
        <v>0</v>
      </c>
      <c r="W135" s="55">
        <f t="shared" ca="1" si="34"/>
        <v>-68.509341845265624</v>
      </c>
      <c r="X135" s="55">
        <f t="shared" ca="1" si="35"/>
        <v>78.828968347025054</v>
      </c>
      <c r="Y135" s="55">
        <f t="shared" ca="1" si="36"/>
        <v>14.347573080028601</v>
      </c>
      <c r="Z135">
        <f t="shared" ca="1" si="30"/>
        <v>119.95265749121144</v>
      </c>
      <c r="AA135">
        <f t="shared" ca="1" si="37"/>
        <v>235.32820366198467</v>
      </c>
      <c r="AB135">
        <f t="shared" ca="1" si="31"/>
        <v>0</v>
      </c>
      <c r="AC135">
        <f t="shared" ca="1" si="32"/>
        <v>0.84339382041410338</v>
      </c>
      <c r="AD135" s="83">
        <f ca="1"/>
        <v>45835</v>
      </c>
      <c r="AE135" s="55">
        <f t="shared" ca="1" si="41"/>
        <v>45835</v>
      </c>
      <c r="AF135" s="55">
        <f t="shared" ca="1" si="42"/>
        <v>-269.20574915633034</v>
      </c>
      <c r="AG135" s="55">
        <f t="shared" ca="1" si="43"/>
        <v>326.63682307294874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90.364557178062753</v>
      </c>
      <c r="AK135" s="55">
        <f t="shared" ca="1" si="40"/>
        <v>-65.081964053392298</v>
      </c>
    </row>
    <row r="136" spans="18:37">
      <c r="R136" s="83">
        <f ca="1"/>
        <v>45539</v>
      </c>
      <c r="S136" s="55">
        <f t="shared" ca="1" si="33"/>
        <v>45539</v>
      </c>
      <c r="T136" s="55">
        <f t="shared" ca="1" si="27"/>
        <v>132.17327248552741</v>
      </c>
      <c r="U136" s="55">
        <f t="shared" ca="1" si="28"/>
        <v>37.285630966061028</v>
      </c>
      <c r="V136" s="55">
        <f t="shared" ca="1" si="29"/>
        <v>0</v>
      </c>
      <c r="W136" s="55">
        <f t="shared" ca="1" si="34"/>
        <v>-69.72703880831736</v>
      </c>
      <c r="X136" s="55">
        <f t="shared" ca="1" si="35"/>
        <v>79.483641834919794</v>
      </c>
      <c r="Y136" s="55">
        <f t="shared" ca="1" si="36"/>
        <v>14.38389524058497</v>
      </c>
      <c r="Z136">
        <f t="shared" ca="1" si="30"/>
        <v>120</v>
      </c>
      <c r="AA136">
        <f t="shared" ca="1" si="37"/>
        <v>237.00106935265498</v>
      </c>
      <c r="AB136">
        <f t="shared" ca="1" si="31"/>
        <v>0</v>
      </c>
      <c r="AC136">
        <f t="shared" ca="1" si="32"/>
        <v>0.8519162149057079</v>
      </c>
      <c r="AD136" s="83">
        <f ca="1"/>
        <v>45836</v>
      </c>
      <c r="AE136" s="55">
        <f t="shared" ca="1" si="41"/>
        <v>45836</v>
      </c>
      <c r="AF136" s="55">
        <f t="shared" ca="1" si="42"/>
        <v>-270.43572506130204</v>
      </c>
      <c r="AG136" s="55">
        <f t="shared" ca="1" si="43"/>
        <v>328.63023336143243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90.960048609299633</v>
      </c>
      <c r="AK136" s="55">
        <f t="shared" ca="1" si="40"/>
        <v>-64.914021101117186</v>
      </c>
    </row>
    <row r="137" spans="18:37">
      <c r="R137" s="83">
        <f ca="1"/>
        <v>45540</v>
      </c>
      <c r="S137" s="55">
        <f t="shared" ca="1" si="33"/>
        <v>45540</v>
      </c>
      <c r="T137" s="55">
        <f t="shared" ca="1" si="27"/>
        <v>128.78191369287626</v>
      </c>
      <c r="U137" s="55">
        <f t="shared" ca="1" si="28"/>
        <v>38.241582866432388</v>
      </c>
      <c r="V137" s="55">
        <f t="shared" ca="1" si="29"/>
        <v>0</v>
      </c>
      <c r="W137" s="55">
        <f t="shared" ca="1" si="34"/>
        <v>-72.890221233341805</v>
      </c>
      <c r="X137" s="55">
        <f t="shared" ca="1" si="35"/>
        <v>80.174620761290797</v>
      </c>
      <c r="Y137" s="55">
        <f t="shared" ca="1" si="36"/>
        <v>14.420691846958622</v>
      </c>
      <c r="Z137">
        <f t="shared" ca="1" si="30"/>
        <v>120</v>
      </c>
      <c r="AA137">
        <f t="shared" ca="1" si="37"/>
        <v>241.46106935265499</v>
      </c>
      <c r="AB137">
        <f t="shared" ca="1" si="31"/>
        <v>0</v>
      </c>
      <c r="AC137">
        <f t="shared" ca="1" si="32"/>
        <v>0.86049800148895483</v>
      </c>
      <c r="AD137" s="83">
        <f ca="1"/>
        <v>45837</v>
      </c>
      <c r="AE137" s="55">
        <f t="shared" ca="1" si="41"/>
        <v>45837</v>
      </c>
      <c r="AF137" s="55">
        <f t="shared" ca="1" si="42"/>
        <v>-271.57524795096731</v>
      </c>
      <c r="AG137" s="55">
        <f t="shared" ca="1" si="43"/>
        <v>330.52295015466274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91.547637269169726</v>
      </c>
      <c r="AK137" s="55">
        <f t="shared" ca="1" si="40"/>
        <v>-64.748415857422231</v>
      </c>
    </row>
    <row r="138" spans="18:37">
      <c r="R138" s="83">
        <f ca="1"/>
        <v>45541</v>
      </c>
      <c r="S138" s="55">
        <f t="shared" ca="1" si="33"/>
        <v>45541</v>
      </c>
      <c r="T138" s="55">
        <f t="shared" ca="1" si="27"/>
        <v>128.5197786502782</v>
      </c>
      <c r="U138" s="55">
        <f t="shared" ca="1" si="28"/>
        <v>39.261604104108066</v>
      </c>
      <c r="V138" s="55">
        <f t="shared" ca="1" si="29"/>
        <v>0</v>
      </c>
      <c r="W138" s="55">
        <f t="shared" ca="1" si="34"/>
        <v>-72.890221233341805</v>
      </c>
      <c r="X138" s="55">
        <f t="shared" ca="1" si="35"/>
        <v>80.895545524665721</v>
      </c>
      <c r="Y138" s="55">
        <f t="shared" ca="1" si="36"/>
        <v>14.457653278661297</v>
      </c>
      <c r="Z138">
        <f t="shared" ca="1" si="30"/>
        <v>118.9217391304348</v>
      </c>
      <c r="AA138">
        <f t="shared" ca="1" si="37"/>
        <v>241.46106935265499</v>
      </c>
      <c r="AB138">
        <f t="shared" ca="1" si="31"/>
        <v>0</v>
      </c>
      <c r="AC138">
        <f t="shared" ca="1" si="32"/>
        <v>0.8689975819401029</v>
      </c>
      <c r="AD138" s="83">
        <f ca="1"/>
        <v>45838</v>
      </c>
      <c r="AE138" s="55">
        <f t="shared" ca="1" si="41"/>
        <v>45838</v>
      </c>
      <c r="AF138" s="55">
        <f t="shared" ca="1" si="42"/>
        <v>-272.60640849131386</v>
      </c>
      <c r="AG138" s="55">
        <f t="shared" ca="1" si="43"/>
        <v>332.29359445531219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92.124395842604173</v>
      </c>
      <c r="AK138" s="55">
        <f t="shared" ca="1" si="40"/>
        <v>-64.585690670553774</v>
      </c>
    </row>
    <row r="139" spans="18:37">
      <c r="R139" s="83">
        <f ca="1"/>
        <v>45542</v>
      </c>
      <c r="S139" s="55">
        <f t="shared" ca="1" si="33"/>
        <v>45542</v>
      </c>
      <c r="T139" s="55">
        <f t="shared" ca="1" si="27"/>
        <v>128.23756868800433</v>
      </c>
      <c r="U139" s="55">
        <f t="shared" ca="1" si="28"/>
        <v>40.287241327639151</v>
      </c>
      <c r="V139" s="55">
        <f t="shared" ca="1" si="29"/>
        <v>0</v>
      </c>
      <c r="W139" s="55">
        <f t="shared" ca="1" si="34"/>
        <v>-72.890221233341805</v>
      </c>
      <c r="X139" s="55">
        <f t="shared" ca="1" si="35"/>
        <v>81.603440411337445</v>
      </c>
      <c r="Y139" s="55">
        <f t="shared" ca="1" si="36"/>
        <v>14.493185653246762</v>
      </c>
      <c r="Z139">
        <f t="shared" ca="1" si="30"/>
        <v>117.18622477490251</v>
      </c>
      <c r="AA139">
        <f t="shared" ca="1" si="37"/>
        <v>241.46106935265499</v>
      </c>
      <c r="AB139">
        <f t="shared" ca="1" si="31"/>
        <v>0</v>
      </c>
      <c r="AC139">
        <f t="shared" ca="1" si="32"/>
        <v>0.87691494144054916</v>
      </c>
      <c r="AD139" s="83">
        <f ca="1"/>
        <v>45839</v>
      </c>
      <c r="AE139" s="55">
        <f t="shared" ca="1" si="41"/>
        <v>45839</v>
      </c>
      <c r="AF139" s="55">
        <f t="shared" ca="1" si="42"/>
        <v>-273.72993996917717</v>
      </c>
      <c r="AG139" s="55">
        <f t="shared" ca="1" si="43"/>
        <v>334.17656550327717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92.71866703022593</v>
      </c>
      <c r="AK139" s="55">
        <f t="shared" ca="1" si="40"/>
        <v>-64.42052228807384</v>
      </c>
    </row>
    <row r="140" spans="18:37">
      <c r="R140" s="83">
        <f ca="1"/>
        <v>45543</v>
      </c>
      <c r="S140" s="55">
        <f t="shared" ca="1" si="33"/>
        <v>45543</v>
      </c>
      <c r="T140" s="55">
        <f t="shared" ca="1" si="27"/>
        <v>127.32536061191249</v>
      </c>
      <c r="U140" s="55">
        <f t="shared" ca="1" si="28"/>
        <v>41.239461491054008</v>
      </c>
      <c r="V140" s="55">
        <f t="shared" ca="1" si="29"/>
        <v>0</v>
      </c>
      <c r="W140" s="55">
        <f t="shared" ca="1" si="34"/>
        <v>-73.526306331299139</v>
      </c>
      <c r="X140" s="55">
        <f t="shared" ca="1" si="35"/>
        <v>82.247143920868297</v>
      </c>
      <c r="Y140" s="55">
        <f t="shared" ca="1" si="36"/>
        <v>14.525579328996239</v>
      </c>
      <c r="Z140">
        <f t="shared" ca="1" si="30"/>
        <v>120</v>
      </c>
      <c r="AA140">
        <f t="shared" ca="1" si="37"/>
        <v>242.36819156278463</v>
      </c>
      <c r="AB140">
        <f t="shared" ca="1" si="31"/>
        <v>0</v>
      </c>
      <c r="AC140">
        <f t="shared" ca="1" si="32"/>
        <v>0.8837465012021819</v>
      </c>
      <c r="AD140" s="83">
        <f ca="1"/>
        <v>45840</v>
      </c>
      <c r="AE140" s="55">
        <f t="shared" ca="1" si="41"/>
        <v>45840</v>
      </c>
      <c r="AF140" s="55">
        <f t="shared" ca="1" si="42"/>
        <v>-274.57857960286503</v>
      </c>
      <c r="AG140" s="55">
        <f t="shared" ca="1" si="43"/>
        <v>335.74192134246789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93.277663852256708</v>
      </c>
      <c r="AK140" s="55">
        <f t="shared" ca="1" si="40"/>
        <v>-64.262802904601813</v>
      </c>
    </row>
    <row r="141" spans="18:37">
      <c r="R141" s="83">
        <f ca="1"/>
        <v>45544</v>
      </c>
      <c r="S141" s="55">
        <f t="shared" ca="1" si="33"/>
        <v>45544</v>
      </c>
      <c r="T141" s="55">
        <f t="shared" ca="1" si="27"/>
        <v>125.78563980098295</v>
      </c>
      <c r="U141" s="55">
        <f t="shared" ca="1" si="28"/>
        <v>42.260697960806979</v>
      </c>
      <c r="V141" s="55">
        <f t="shared" ca="1" si="29"/>
        <v>0</v>
      </c>
      <c r="W141" s="55">
        <f t="shared" ca="1" si="34"/>
        <v>-74.752442872315669</v>
      </c>
      <c r="X141" s="55">
        <f t="shared" ca="1" si="35"/>
        <v>82.922127065473134</v>
      </c>
      <c r="Y141" s="55">
        <f t="shared" ca="1" si="36"/>
        <v>14.558248384231376</v>
      </c>
      <c r="Z141">
        <f t="shared" ca="1" si="30"/>
        <v>120</v>
      </c>
      <c r="AA141">
        <f t="shared" ca="1" si="37"/>
        <v>244.13819156278464</v>
      </c>
      <c r="AB141">
        <f t="shared" ca="1" si="31"/>
        <v>0</v>
      </c>
      <c r="AC141">
        <f t="shared" ca="1" si="32"/>
        <v>0.89056249725287784</v>
      </c>
      <c r="AD141" s="83">
        <f ca="1"/>
        <v>45841</v>
      </c>
      <c r="AE141" s="55">
        <f t="shared" ca="1" si="41"/>
        <v>45841</v>
      </c>
      <c r="AF141" s="55">
        <f t="shared" ca="1" si="42"/>
        <v>-275.6446080842004</v>
      </c>
      <c r="AG141" s="55">
        <f t="shared" ca="1" si="43"/>
        <v>337.56636929523313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93.872544960044166</v>
      </c>
      <c r="AK141" s="55">
        <f t="shared" ca="1" si="40"/>
        <v>-64.099264540959382</v>
      </c>
    </row>
    <row r="142" spans="18:37">
      <c r="R142" s="83">
        <f ca="1"/>
        <v>45545</v>
      </c>
      <c r="S142" s="55">
        <f t="shared" ca="1" si="33"/>
        <v>45545</v>
      </c>
      <c r="T142" s="55">
        <f t="shared" ca="1" si="27"/>
        <v>171.03015381363184</v>
      </c>
      <c r="U142" s="55">
        <f t="shared" ca="1" si="28"/>
        <v>43.3617791087648</v>
      </c>
      <c r="V142" s="55">
        <f t="shared" ca="1" si="29"/>
        <v>50</v>
      </c>
      <c r="W142" s="55">
        <f t="shared" ca="1" si="34"/>
        <v>-79.151918248412144</v>
      </c>
      <c r="X142" s="55">
        <f t="shared" ca="1" si="35"/>
        <v>83.634120413398165</v>
      </c>
      <c r="Y142" s="55">
        <f t="shared" ca="1" si="36"/>
        <v>14.591325573009511</v>
      </c>
      <c r="Z142">
        <f t="shared" ca="1" si="30"/>
        <v>120</v>
      </c>
      <c r="AA142">
        <f t="shared" ca="1" si="37"/>
        <v>248.89819156278463</v>
      </c>
      <c r="AB142">
        <f t="shared" ca="1" si="31"/>
        <v>0</v>
      </c>
      <c r="AC142">
        <f t="shared" ca="1" si="32"/>
        <v>0.89736782937756687</v>
      </c>
      <c r="AD142" s="83">
        <f ca="1"/>
        <v>45842</v>
      </c>
      <c r="AE142" s="55">
        <f t="shared" ca="1" si="41"/>
        <v>45842</v>
      </c>
      <c r="AF142" s="55">
        <f t="shared" ca="1" si="42"/>
        <v>-276.58727158644655</v>
      </c>
      <c r="AG142" s="55">
        <f t="shared" ca="1" si="43"/>
        <v>339.25005190916897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94.453499773996967</v>
      </c>
      <c r="AK142" s="55">
        <f t="shared" ca="1" si="40"/>
        <v>-63.939200243222523</v>
      </c>
    </row>
    <row r="143" spans="18:37">
      <c r="R143" s="83">
        <f ca="1"/>
        <v>45546</v>
      </c>
      <c r="S143" s="55">
        <f t="shared" ca="1" si="33"/>
        <v>45546</v>
      </c>
      <c r="T143" s="55">
        <f t="shared" ca="1" si="27"/>
        <v>170.56113799327539</v>
      </c>
      <c r="U143" s="55">
        <f t="shared" ca="1" si="28"/>
        <v>44.467734699503097</v>
      </c>
      <c r="V143" s="55">
        <f t="shared" ca="1" si="29"/>
        <v>0</v>
      </c>
      <c r="W143" s="55">
        <f t="shared" ca="1" si="34"/>
        <v>-79.245850469335977</v>
      </c>
      <c r="X143" s="55">
        <f t="shared" ca="1" si="35"/>
        <v>84.333186632686491</v>
      </c>
      <c r="Y143" s="55">
        <f t="shared" ca="1" si="36"/>
        <v>14.623131345026824</v>
      </c>
      <c r="Z143">
        <f t="shared" ca="1" si="30"/>
        <v>120</v>
      </c>
      <c r="AA143">
        <f t="shared" ca="1" si="37"/>
        <v>248.99819156278463</v>
      </c>
      <c r="AB143">
        <f t="shared" ca="1" si="31"/>
        <v>0</v>
      </c>
      <c r="AC143">
        <f t="shared" ca="1" si="32"/>
        <v>0.90368412799367193</v>
      </c>
      <c r="AD143" s="83">
        <f ca="1"/>
        <v>45843</v>
      </c>
      <c r="AE143" s="55">
        <f t="shared" ca="1" si="41"/>
        <v>45843</v>
      </c>
      <c r="AF143" s="55">
        <f t="shared" ca="1" si="42"/>
        <v>-277.80574008435866</v>
      </c>
      <c r="AG143" s="55">
        <f t="shared" ca="1" si="43"/>
        <v>341.26705734790551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95.083815357825017</v>
      </c>
      <c r="AK143" s="55">
        <f t="shared" ca="1" si="40"/>
        <v>-63.770978886226175</v>
      </c>
    </row>
    <row r="144" spans="18:37">
      <c r="R144" s="83">
        <f ca="1"/>
        <v>45547</v>
      </c>
      <c r="S144" s="55">
        <f t="shared" ca="1" si="33"/>
        <v>45547</v>
      </c>
      <c r="T144" s="55">
        <f t="shared" ca="1" si="27"/>
        <v>170.13124898714861</v>
      </c>
      <c r="U144" s="55">
        <f t="shared" ca="1" si="28"/>
        <v>45.682680203098869</v>
      </c>
      <c r="V144" s="55">
        <f t="shared" ca="1" si="29"/>
        <v>0</v>
      </c>
      <c r="W144" s="55">
        <f t="shared" ca="1" si="34"/>
        <v>-79.245850469335977</v>
      </c>
      <c r="X144" s="55">
        <f t="shared" ca="1" si="35"/>
        <v>85.085572869280426</v>
      </c>
      <c r="Y144" s="55">
        <f t="shared" ca="1" si="36"/>
        <v>14.655801605901885</v>
      </c>
      <c r="Z144">
        <f t="shared" ca="1" si="30"/>
        <v>119.33913043478262</v>
      </c>
      <c r="AA144">
        <f t="shared" ca="1" si="37"/>
        <v>248.99819156278463</v>
      </c>
      <c r="AB144">
        <f t="shared" ca="1" si="31"/>
        <v>0</v>
      </c>
      <c r="AC144">
        <f t="shared" ca="1" si="32"/>
        <v>0.9100770630870727</v>
      </c>
      <c r="AD144" s="83">
        <f ca="1"/>
        <v>45844</v>
      </c>
      <c r="AE144" s="55">
        <f t="shared" ca="1" si="41"/>
        <v>45844</v>
      </c>
      <c r="AF144" s="55">
        <f t="shared" ca="1" si="42"/>
        <v>-278.87719019157009</v>
      </c>
      <c r="AG144" s="55">
        <f t="shared" ca="1" si="43"/>
        <v>343.11526052603602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95.696559896880274</v>
      </c>
      <c r="AK144" s="55">
        <f t="shared" ca="1" si="40"/>
        <v>-63.606970354362325</v>
      </c>
    </row>
    <row r="145" spans="18:37">
      <c r="R145" s="83">
        <f ca="1"/>
        <v>45548</v>
      </c>
      <c r="S145" s="55">
        <f t="shared" ca="1" si="33"/>
        <v>45548</v>
      </c>
      <c r="T145" s="55">
        <f t="shared" ca="1" si="27"/>
        <v>169.31191885593742</v>
      </c>
      <c r="U145" s="55">
        <f t="shared" ca="1" si="28"/>
        <v>46.913091783950591</v>
      </c>
      <c r="V145" s="55">
        <f t="shared" ca="1" si="29"/>
        <v>0</v>
      </c>
      <c r="W145" s="55">
        <f t="shared" ca="1" si="34"/>
        <v>-79.610214569780211</v>
      </c>
      <c r="X145" s="55">
        <f t="shared" ca="1" si="35"/>
        <v>85.829486499152097</v>
      </c>
      <c r="Y145" s="55">
        <f t="shared" ca="1" si="36"/>
        <v>14.687333526114958</v>
      </c>
      <c r="Z145">
        <f t="shared" ca="1" si="30"/>
        <v>120</v>
      </c>
      <c r="AA145">
        <f t="shared" ca="1" si="37"/>
        <v>249.38895466005835</v>
      </c>
      <c r="AB145">
        <f t="shared" ca="1" si="31"/>
        <v>0</v>
      </c>
      <c r="AC145">
        <f t="shared" ca="1" si="32"/>
        <v>0.91602278805812487</v>
      </c>
      <c r="AD145" s="83">
        <f ca="1"/>
        <v>45845</v>
      </c>
      <c r="AE145" s="55">
        <f t="shared" ca="1" si="41"/>
        <v>45845</v>
      </c>
      <c r="AF145" s="55">
        <f t="shared" ca="1" si="42"/>
        <v>-280.10472200368525</v>
      </c>
      <c r="AG145" s="55">
        <f t="shared" ca="1" si="43"/>
        <v>345.15893587855669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96.343477579363125</v>
      </c>
      <c r="AK145" s="55">
        <f t="shared" ca="1" si="40"/>
        <v>-63.437744496439656</v>
      </c>
    </row>
    <row r="146" spans="18:37">
      <c r="R146" s="83">
        <f ca="1"/>
        <v>45549</v>
      </c>
      <c r="S146" s="55">
        <f t="shared" ca="1" si="33"/>
        <v>45549</v>
      </c>
      <c r="T146" s="55">
        <f t="shared" ref="T146:T209" ca="1" si="45">VLOOKUP(S146,ModelOutputs,2,FALSE)</f>
        <v>168.81609386219395</v>
      </c>
      <c r="U146" s="55">
        <f t="shared" ref="U146:U209" ca="1" si="46">VLOOKUP(S146,ModelOutputs,7,FALSE)</f>
        <v>48.203241830826315</v>
      </c>
      <c r="V146" s="55">
        <f t="shared" ref="V146:V209" ca="1" si="47">VLOOKUP(S146,ModelOutputs,6,FALSE)</f>
        <v>0</v>
      </c>
      <c r="W146" s="55">
        <f t="shared" ca="1" si="34"/>
        <v>-79.610214569780211</v>
      </c>
      <c r="X146" s="55">
        <f t="shared" ca="1" si="35"/>
        <v>86.592548499678486</v>
      </c>
      <c r="Y146" s="55">
        <f t="shared" ca="1" si="36"/>
        <v>14.71859657872082</v>
      </c>
      <c r="Z146">
        <f t="shared" ref="Z146:Z209" ca="1" si="48">VLOOKUP(S146,ModelOutputs,10,FALSE)*AWC</f>
        <v>119.13043478260869</v>
      </c>
      <c r="AA146">
        <f t="shared" ca="1" si="37"/>
        <v>249.38895466005835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0.92174080034514283</v>
      </c>
      <c r="AD146" s="83">
        <f ca="1"/>
        <v>45846</v>
      </c>
      <c r="AE146" s="55">
        <f t="shared" ca="1" si="41"/>
        <v>45846</v>
      </c>
      <c r="AF146" s="55">
        <f t="shared" ca="1" si="42"/>
        <v>-280.88776778364536</v>
      </c>
      <c r="AG146" s="55">
        <f t="shared" ca="1" si="43"/>
        <v>346.6742666374206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96.920236152797571</v>
      </c>
      <c r="AK146" s="55">
        <f t="shared" ca="1" si="40"/>
        <v>-63.282218090970318</v>
      </c>
    </row>
    <row r="147" spans="18:37">
      <c r="R147" s="83">
        <f ca="1"/>
        <v>45550</v>
      </c>
      <c r="S147" s="55">
        <f t="shared" ref="S147:S210" ca="1" si="51">IF(R147&gt;1,R147,"")</f>
        <v>45550</v>
      </c>
      <c r="T147" s="55">
        <f t="shared" ca="1" si="45"/>
        <v>168.09698691143927</v>
      </c>
      <c r="U147" s="55">
        <f t="shared" ca="1" si="46"/>
        <v>49.51462115545192</v>
      </c>
      <c r="V147" s="55">
        <f t="shared" ca="1" si="47"/>
        <v>0</v>
      </c>
      <c r="W147" s="55">
        <f t="shared" ref="W147:W210" ca="1" si="52">-VLOOKUP(S147,ModelOutputs,9,FALSE)+W146</f>
        <v>-79.805547128815917</v>
      </c>
      <c r="X147" s="55">
        <f t="shared" ref="X147:X210" ca="1" si="53">VLOOKUP(S147,ModelOutputs,5,FALSE)+X146</f>
        <v>87.349904995213961</v>
      </c>
      <c r="Y147" s="55">
        <f t="shared" ref="Y147:Y210" ca="1" si="54">VLOOKUP(S147,ModelOutputs,4,FALSE)+Y146</f>
        <v>14.748845016091982</v>
      </c>
      <c r="Z147">
        <f t="shared" ca="1" si="48"/>
        <v>120</v>
      </c>
      <c r="AA147">
        <f t="shared" ref="AA147:AA210" ca="1" si="55">VLOOKUP(S147,ModelOutputs,11,FALSE)+AA146</f>
        <v>249.59995356675006</v>
      </c>
      <c r="AB147">
        <f t="shared" ca="1" si="49"/>
        <v>0</v>
      </c>
      <c r="AC147">
        <f t="shared" ca="1" si="50"/>
        <v>0.92706395584277779</v>
      </c>
      <c r="AD147" s="83">
        <f ca="1"/>
        <v>45847</v>
      </c>
      <c r="AE147" s="55">
        <f t="shared" ca="1" si="41"/>
        <v>45847</v>
      </c>
      <c r="AF147" s="55">
        <f t="shared" ca="1" si="42"/>
        <v>-281.51489258773415</v>
      </c>
      <c r="AG147" s="55">
        <f t="shared" ca="1" si="43"/>
        <v>348.00699676612504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97.475140240715135</v>
      </c>
      <c r="AK147" s="55">
        <f t="shared" ref="AK147:AK210" ca="1" si="58">VLOOKUP(AE147,ModelOutputs,4,FALSE)+AK146</f>
        <v>-63.131516854272263</v>
      </c>
    </row>
    <row r="148" spans="18:37">
      <c r="R148" s="83">
        <f ca="1"/>
        <v>45551</v>
      </c>
      <c r="S148" s="55">
        <f t="shared" ca="1" si="51"/>
        <v>45551</v>
      </c>
      <c r="T148" s="55">
        <f t="shared" ca="1" si="45"/>
        <v>165.17149716167208</v>
      </c>
      <c r="U148" s="55">
        <f t="shared" ca="1" si="46"/>
        <v>50.967374672203832</v>
      </c>
      <c r="V148" s="55">
        <f t="shared" ca="1" si="47"/>
        <v>0</v>
      </c>
      <c r="W148" s="55">
        <f t="shared" ca="1" si="52"/>
        <v>-82.134225859814109</v>
      </c>
      <c r="X148" s="55">
        <f t="shared" ca="1" si="53"/>
        <v>88.174505429512237</v>
      </c>
      <c r="Y148" s="55">
        <f t="shared" ca="1" si="54"/>
        <v>14.780187079776592</v>
      </c>
      <c r="Z148">
        <f t="shared" ca="1" si="48"/>
        <v>120</v>
      </c>
      <c r="AA148">
        <f t="shared" ca="1" si="55"/>
        <v>252.15995356675006</v>
      </c>
      <c r="AB148">
        <f t="shared" ca="1" si="49"/>
        <v>0</v>
      </c>
      <c r="AC148">
        <f t="shared" ca="1" si="50"/>
        <v>0.93244392941140253</v>
      </c>
      <c r="AD148" s="83">
        <f ca="1"/>
        <v>45848</v>
      </c>
      <c r="AE148" s="55">
        <f t="shared" ca="1" si="41"/>
        <v>45848</v>
      </c>
      <c r="AF148" s="55">
        <f t="shared" ca="1" si="42"/>
        <v>-282.14799442631301</v>
      </c>
      <c r="AG148" s="55">
        <f t="shared" ca="1" si="43"/>
        <v>349.35033036761735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98.03472333194037</v>
      </c>
      <c r="AK148" s="55">
        <f t="shared" ca="1" si="58"/>
        <v>-62.980868182584054</v>
      </c>
    </row>
    <row r="149" spans="18:37">
      <c r="R149" s="83">
        <f ca="1"/>
        <v>45552</v>
      </c>
      <c r="S149" s="55">
        <f t="shared" ca="1" si="51"/>
        <v>45552</v>
      </c>
      <c r="T149" s="55">
        <f t="shared" ca="1" si="45"/>
        <v>162.85673154464388</v>
      </c>
      <c r="U149" s="55">
        <f t="shared" ca="1" si="46"/>
        <v>52.350444840589773</v>
      </c>
      <c r="V149" s="55">
        <f t="shared" ca="1" si="47"/>
        <v>0</v>
      </c>
      <c r="W149" s="55">
        <f t="shared" ca="1" si="52"/>
        <v>-83.856258777712256</v>
      </c>
      <c r="X149" s="55">
        <f t="shared" ca="1" si="53"/>
        <v>88.936138531377338</v>
      </c>
      <c r="Y149" s="55">
        <f t="shared" ca="1" si="54"/>
        <v>14.808891447167376</v>
      </c>
      <c r="Z149">
        <f t="shared" ca="1" si="48"/>
        <v>120</v>
      </c>
      <c r="AA149">
        <f t="shared" ca="1" si="55"/>
        <v>254.07995356675008</v>
      </c>
      <c r="AB149">
        <f t="shared" ca="1" si="49"/>
        <v>0</v>
      </c>
      <c r="AC149">
        <f t="shared" ca="1" si="50"/>
        <v>0.93711262248938576</v>
      </c>
      <c r="AD149" s="83">
        <f ca="1"/>
        <v>45849</v>
      </c>
      <c r="AE149" s="55">
        <f t="shared" ref="AE149:AE212" ca="1" si="59">IF(AD149&gt;1,AD149,"")</f>
        <v>45849</v>
      </c>
      <c r="AF149" s="55">
        <f t="shared" ref="AF149:AF212" ca="1" si="60">VLOOKUP(AE149,ModelOutputs,2,FALSE)</f>
        <v>-282.6882793769575</v>
      </c>
      <c r="AG149" s="55">
        <f t="shared" ref="AG149:AG212" ca="1" si="61">VLOOKUP(AE149,ModelOutputs,7,FALSE)</f>
        <v>350.58556151833784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98.582078319888836</v>
      </c>
      <c r="AK149" s="55">
        <f t="shared" ca="1" si="58"/>
        <v>-62.833276970456488</v>
      </c>
    </row>
    <row r="150" spans="18:37">
      <c r="R150" s="83">
        <f ca="1"/>
        <v>45553</v>
      </c>
      <c r="S150" s="55">
        <f t="shared" ca="1" si="51"/>
        <v>45553</v>
      </c>
      <c r="T150" s="55">
        <f t="shared" ca="1" si="45"/>
        <v>156.42814199702917</v>
      </c>
      <c r="U150" s="55">
        <f t="shared" ca="1" si="46"/>
        <v>53.658332505807536</v>
      </c>
      <c r="V150" s="55">
        <f t="shared" ca="1" si="47"/>
        <v>0</v>
      </c>
      <c r="W150" s="55">
        <f t="shared" ca="1" si="52"/>
        <v>-89.705764458592469</v>
      </c>
      <c r="X150" s="55">
        <f t="shared" ca="1" si="53"/>
        <v>89.638592085101948</v>
      </c>
      <c r="Y150" s="55">
        <f t="shared" ca="1" si="54"/>
        <v>14.835241691926015</v>
      </c>
      <c r="Z150">
        <f t="shared" ca="1" si="48"/>
        <v>120</v>
      </c>
      <c r="AA150">
        <f t="shared" ca="1" si="55"/>
        <v>260.8699535667501</v>
      </c>
      <c r="AB150">
        <f t="shared" ca="1" si="49"/>
        <v>0</v>
      </c>
      <c r="AC150">
        <f t="shared" ca="1" si="50"/>
        <v>0.94116202507189006</v>
      </c>
      <c r="AD150" s="83">
        <f ca="1"/>
        <v>45850</v>
      </c>
      <c r="AE150" s="55">
        <f t="shared" ca="1" si="59"/>
        <v>45850</v>
      </c>
      <c r="AF150" s="55">
        <f t="shared" ca="1" si="60"/>
        <v>-283.32099492237353</v>
      </c>
      <c r="AG150" s="55">
        <f t="shared" ca="1" si="61"/>
        <v>351.93571667428893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99.149319202419107</v>
      </c>
      <c r="AK150" s="55">
        <f t="shared" ca="1" si="58"/>
        <v>-62.683078242451714</v>
      </c>
    </row>
    <row r="151" spans="18:37">
      <c r="R151" s="83">
        <f ca="1"/>
        <v>45554</v>
      </c>
      <c r="S151" s="55">
        <f t="shared" ca="1" si="51"/>
        <v>45554</v>
      </c>
      <c r="T151" s="55">
        <f t="shared" ca="1" si="45"/>
        <v>154.33135453545822</v>
      </c>
      <c r="U151" s="55">
        <f t="shared" ca="1" si="46"/>
        <v>54.979724621092785</v>
      </c>
      <c r="V151" s="55">
        <f t="shared" ca="1" si="47"/>
        <v>0</v>
      </c>
      <c r="W151" s="55">
        <f t="shared" ca="1" si="52"/>
        <v>-91.201660254437598</v>
      </c>
      <c r="X151" s="55">
        <f t="shared" ca="1" si="53"/>
        <v>90.333607195827611</v>
      </c>
      <c r="Y151" s="55">
        <f t="shared" ca="1" si="54"/>
        <v>14.860727030759806</v>
      </c>
      <c r="Z151">
        <f t="shared" ca="1" si="48"/>
        <v>120</v>
      </c>
      <c r="AA151">
        <f t="shared" ca="1" si="55"/>
        <v>262.62995356675009</v>
      </c>
      <c r="AB151">
        <f t="shared" ca="1" si="49"/>
        <v>0</v>
      </c>
      <c r="AC151">
        <f t="shared" ca="1" si="50"/>
        <v>0.94492737025313167</v>
      </c>
      <c r="AD151" s="83">
        <f ca="1"/>
        <v>45851</v>
      </c>
      <c r="AE151" s="55">
        <f t="shared" ca="1" si="59"/>
        <v>45851</v>
      </c>
      <c r="AF151" s="55">
        <f t="shared" ca="1" si="60"/>
        <v>-283.8399985189622</v>
      </c>
      <c r="AG151" s="55">
        <f t="shared" ca="1" si="61"/>
        <v>353.15196058360999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99.700150048444016</v>
      </c>
      <c r="AK151" s="55">
        <f t="shared" ca="1" si="58"/>
        <v>-62.536668775744225</v>
      </c>
    </row>
    <row r="152" spans="18:37">
      <c r="R152" s="83">
        <f ca="1"/>
        <v>45555</v>
      </c>
      <c r="S152" s="55">
        <f t="shared" ca="1" si="51"/>
        <v>45555</v>
      </c>
      <c r="T152" s="55">
        <f t="shared" ca="1" si="45"/>
        <v>153.73652069839514</v>
      </c>
      <c r="U152" s="55">
        <f t="shared" ca="1" si="46"/>
        <v>56.25772249099716</v>
      </c>
      <c r="V152" s="55">
        <f t="shared" ca="1" si="47"/>
        <v>0</v>
      </c>
      <c r="W152" s="55">
        <f t="shared" ca="1" si="52"/>
        <v>-91.201660254437598</v>
      </c>
      <c r="X152" s="55">
        <f t="shared" ca="1" si="53"/>
        <v>90.99283218713461</v>
      </c>
      <c r="Y152" s="55">
        <f t="shared" ca="1" si="54"/>
        <v>14.884666072294099</v>
      </c>
      <c r="Z152">
        <f t="shared" ca="1" si="48"/>
        <v>119.4086956521739</v>
      </c>
      <c r="AA152">
        <f t="shared" ca="1" si="55"/>
        <v>262.62995356675009</v>
      </c>
      <c r="AB152">
        <f t="shared" ca="1" si="49"/>
        <v>0</v>
      </c>
      <c r="AC152">
        <f t="shared" ca="1" si="50"/>
        <v>0.94828650288296568</v>
      </c>
      <c r="AD152" s="83">
        <f ca="1"/>
        <v>45852</v>
      </c>
      <c r="AE152" s="55">
        <f t="shared" ca="1" si="59"/>
        <v>45852</v>
      </c>
      <c r="AF152" s="55">
        <f t="shared" ca="1" si="60"/>
        <v>-284.28556005213505</v>
      </c>
      <c r="AG152" s="55">
        <f t="shared" ca="1" si="61"/>
        <v>354.28235294117644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100.24116970720067</v>
      </c>
      <c r="AK152" s="55">
        <f t="shared" ca="1" si="58"/>
        <v>-62.392857610107257</v>
      </c>
    </row>
    <row r="153" spans="18:37">
      <c r="R153" s="83">
        <f ca="1"/>
        <v>45556</v>
      </c>
      <c r="S153" s="55">
        <f t="shared" ca="1" si="51"/>
        <v>45556</v>
      </c>
      <c r="T153" s="55">
        <f t="shared" ca="1" si="45"/>
        <v>152.02359466399011</v>
      </c>
      <c r="U153" s="55">
        <f t="shared" ca="1" si="46"/>
        <v>57.602011211907389</v>
      </c>
      <c r="V153" s="55">
        <f t="shared" ca="1" si="47"/>
        <v>0</v>
      </c>
      <c r="W153" s="55">
        <f t="shared" ca="1" si="52"/>
        <v>-92.273778178016187</v>
      </c>
      <c r="X153" s="55">
        <f t="shared" ca="1" si="53"/>
        <v>91.672456179553137</v>
      </c>
      <c r="Y153" s="55">
        <f t="shared" ca="1" si="54"/>
        <v>14.908522689959367</v>
      </c>
      <c r="Z153">
        <f t="shared" ca="1" si="48"/>
        <v>120</v>
      </c>
      <c r="AA153">
        <f t="shared" ca="1" si="55"/>
        <v>263.91050507882619</v>
      </c>
      <c r="AB153">
        <f t="shared" ca="1" si="49"/>
        <v>0</v>
      </c>
      <c r="AC153">
        <f t="shared" ca="1" si="50"/>
        <v>0.95154783135891641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45557</v>
      </c>
      <c r="S154" s="55">
        <f t="shared" ca="1" si="51"/>
        <v>45557</v>
      </c>
      <c r="T154" s="55">
        <f t="shared" ca="1" si="45"/>
        <v>151.30212753424635</v>
      </c>
      <c r="U154" s="55">
        <f t="shared" ca="1" si="46"/>
        <v>59.082155710051055</v>
      </c>
      <c r="V154" s="55">
        <f t="shared" ca="1" si="47"/>
        <v>0</v>
      </c>
      <c r="W154" s="55">
        <f t="shared" ca="1" si="52"/>
        <v>-92.273778178016187</v>
      </c>
      <c r="X154" s="55">
        <f t="shared" ca="1" si="53"/>
        <v>92.406561354371235</v>
      </c>
      <c r="Y154" s="55">
        <f t="shared" ca="1" si="54"/>
        <v>14.933094883541164</v>
      </c>
      <c r="Z154">
        <f t="shared" ca="1" si="48"/>
        <v>119.40869565217393</v>
      </c>
      <c r="AA154">
        <f t="shared" ca="1" si="55"/>
        <v>263.91050507882619</v>
      </c>
      <c r="AB154">
        <f t="shared" ca="1" si="49"/>
        <v>0</v>
      </c>
      <c r="AC154">
        <f t="shared" ca="1" si="50"/>
        <v>0.95484670094339197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45558</v>
      </c>
      <c r="S155" s="55">
        <f t="shared" ca="1" si="51"/>
        <v>45558</v>
      </c>
      <c r="T155" s="55">
        <f t="shared" ca="1" si="45"/>
        <v>147.6561944426623</v>
      </c>
      <c r="U155" s="55">
        <f t="shared" ca="1" si="46"/>
        <v>60.690006945061533</v>
      </c>
      <c r="V155" s="55">
        <f t="shared" ca="1" si="47"/>
        <v>0</v>
      </c>
      <c r="W155" s="55">
        <f t="shared" ca="1" si="52"/>
        <v>-95.120186760730931</v>
      </c>
      <c r="X155" s="55">
        <f t="shared" ca="1" si="53"/>
        <v>93.189804792894734</v>
      </c>
      <c r="Y155" s="55">
        <f t="shared" ca="1" si="54"/>
        <v>14.958178171158856</v>
      </c>
      <c r="Z155">
        <f t="shared" ca="1" si="48"/>
        <v>120</v>
      </c>
      <c r="AA155">
        <f t="shared" ca="1" si="55"/>
        <v>267.4108517874804</v>
      </c>
      <c r="AB155">
        <f t="shared" ca="1" si="49"/>
        <v>0</v>
      </c>
      <c r="AC155">
        <f t="shared" ca="1" si="50"/>
        <v>0.95811817727347748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45559</v>
      </c>
      <c r="S156" s="55">
        <f t="shared" ca="1" si="51"/>
        <v>45559</v>
      </c>
      <c r="T156" s="55">
        <f t="shared" ca="1" si="45"/>
        <v>146.78901828190277</v>
      </c>
      <c r="U156" s="55">
        <f t="shared" ca="1" si="46"/>
        <v>62.399473878790531</v>
      </c>
      <c r="V156" s="55">
        <f t="shared" ca="1" si="47"/>
        <v>0</v>
      </c>
      <c r="W156" s="55">
        <f t="shared" ca="1" si="52"/>
        <v>-95.120186760730931</v>
      </c>
      <c r="X156" s="55">
        <f t="shared" ca="1" si="53"/>
        <v>94.00692253095589</v>
      </c>
      <c r="Y156" s="55">
        <f t="shared" ca="1" si="54"/>
        <v>14.983351206067175</v>
      </c>
      <c r="Z156">
        <f t="shared" ca="1" si="48"/>
        <v>118.95652173913041</v>
      </c>
      <c r="AA156">
        <f t="shared" ca="1" si="55"/>
        <v>267.4108517874804</v>
      </c>
      <c r="AB156">
        <f t="shared" ca="1" si="49"/>
        <v>0</v>
      </c>
      <c r="AC156">
        <f t="shared" ca="1" si="50"/>
        <v>0.96127800079301107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45560</v>
      </c>
      <c r="S157" s="55">
        <f t="shared" ca="1" si="51"/>
        <v>45560</v>
      </c>
      <c r="T157" s="55">
        <f t="shared" ca="1" si="45"/>
        <v>145.9114968799135</v>
      </c>
      <c r="U157" s="55">
        <f t="shared" ca="1" si="46"/>
        <v>64.086916761589407</v>
      </c>
      <c r="V157" s="55">
        <f t="shared" ca="1" si="47"/>
        <v>0</v>
      </c>
      <c r="W157" s="55">
        <f t="shared" ca="1" si="52"/>
        <v>-95.120186760730931</v>
      </c>
      <c r="X157" s="55">
        <f t="shared" ca="1" si="53"/>
        <v>94.793076022466352</v>
      </c>
      <c r="Y157" s="55">
        <f t="shared" ca="1" si="54"/>
        <v>15.007119195366331</v>
      </c>
      <c r="Z157">
        <f t="shared" ca="1" si="48"/>
        <v>116.94034620434476</v>
      </c>
      <c r="AA157">
        <f t="shared" ca="1" si="55"/>
        <v>267.4108517874804</v>
      </c>
      <c r="AB157">
        <f t="shared" ca="1" si="49"/>
        <v>0</v>
      </c>
      <c r="AC157">
        <f t="shared" ca="1" si="50"/>
        <v>0.96411037397388644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45561</v>
      </c>
      <c r="S158" s="55">
        <f t="shared" ca="1" si="51"/>
        <v>45561</v>
      </c>
      <c r="T158" s="55">
        <f t="shared" ca="1" si="45"/>
        <v>144.96335873551277</v>
      </c>
      <c r="U158" s="55">
        <f t="shared" ca="1" si="46"/>
        <v>65.865028346233871</v>
      </c>
      <c r="V158" s="55">
        <f t="shared" ca="1" si="47"/>
        <v>0</v>
      </c>
      <c r="W158" s="55">
        <f t="shared" ca="1" si="52"/>
        <v>-95.120186760730931</v>
      </c>
      <c r="X158" s="55">
        <f t="shared" ca="1" si="53"/>
        <v>95.5993590238309</v>
      </c>
      <c r="Y158" s="55">
        <f t="shared" ca="1" si="54"/>
        <v>15.030809634245516</v>
      </c>
      <c r="Z158">
        <f t="shared" ca="1" si="48"/>
        <v>114.50916818321927</v>
      </c>
      <c r="AA158">
        <f t="shared" ca="1" si="55"/>
        <v>267.4108517874804</v>
      </c>
      <c r="AB158">
        <f t="shared" ca="1" si="49"/>
        <v>0</v>
      </c>
      <c r="AC158">
        <f t="shared" ca="1" si="50"/>
        <v>0.96682077031022118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45562</v>
      </c>
      <c r="S159" s="55">
        <f t="shared" ca="1" si="51"/>
        <v>45562</v>
      </c>
      <c r="T159" s="55">
        <f t="shared" ca="1" si="45"/>
        <v>143.95997904571891</v>
      </c>
      <c r="U159" s="55">
        <f t="shared" ca="1" si="46"/>
        <v>67.725512486543153</v>
      </c>
      <c r="V159" s="55">
        <f t="shared" ca="1" si="47"/>
        <v>0</v>
      </c>
      <c r="W159" s="55">
        <f t="shared" ca="1" si="52"/>
        <v>-95.120186760730931</v>
      </c>
      <c r="X159" s="55">
        <f t="shared" ca="1" si="53"/>
        <v>96.432994815325017</v>
      </c>
      <c r="Y159" s="55">
        <f t="shared" ca="1" si="54"/>
        <v>15.054278293266831</v>
      </c>
      <c r="Z159">
        <f t="shared" ca="1" si="48"/>
        <v>119.76653062844068</v>
      </c>
      <c r="AA159">
        <f t="shared" ca="1" si="55"/>
        <v>267.4108517874804</v>
      </c>
      <c r="AB159">
        <f t="shared" ca="1" si="49"/>
        <v>0</v>
      </c>
      <c r="AC159">
        <f t="shared" ca="1" si="50"/>
        <v>0.96938911680305595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45563</v>
      </c>
      <c r="S160" s="55">
        <f t="shared" ca="1" si="51"/>
        <v>45563</v>
      </c>
      <c r="T160" s="55">
        <f t="shared" ca="1" si="45"/>
        <v>142.8889960659717</v>
      </c>
      <c r="U160" s="55">
        <f t="shared" ca="1" si="46"/>
        <v>69.677825906451105</v>
      </c>
      <c r="V160" s="55">
        <f t="shared" ca="1" si="47"/>
        <v>0</v>
      </c>
      <c r="W160" s="55">
        <f t="shared" ca="1" si="52"/>
        <v>-95.120186760730931</v>
      </c>
      <c r="X160" s="55">
        <f t="shared" ca="1" si="53"/>
        <v>97.291024837548136</v>
      </c>
      <c r="Y160" s="55">
        <f t="shared" ca="1" si="54"/>
        <v>15.07757871120446</v>
      </c>
      <c r="Z160">
        <f t="shared" ca="1" si="48"/>
        <v>119.48848998933154</v>
      </c>
      <c r="AA160">
        <f t="shared" ca="1" si="55"/>
        <v>267.4108517874804</v>
      </c>
      <c r="AB160">
        <f t="shared" ca="1" si="49"/>
        <v>0</v>
      </c>
      <c r="AC160">
        <f t="shared" ca="1" si="50"/>
        <v>0.97182366029492606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45564</v>
      </c>
      <c r="S161" s="55">
        <f t="shared" ca="1" si="51"/>
        <v>45564</v>
      </c>
      <c r="T161" s="55">
        <f t="shared" ca="1" si="45"/>
        <v>139.57266344042182</v>
      </c>
      <c r="U161" s="55">
        <f t="shared" ca="1" si="46"/>
        <v>71.653858765421433</v>
      </c>
      <c r="V161" s="55">
        <f t="shared" ca="1" si="47"/>
        <v>0</v>
      </c>
      <c r="W161" s="55">
        <f t="shared" ca="1" si="52"/>
        <v>-97.330973357253711</v>
      </c>
      <c r="X161" s="55">
        <f t="shared" ca="1" si="53"/>
        <v>98.139092023073857</v>
      </c>
      <c r="Y161" s="55">
        <f t="shared" ca="1" si="54"/>
        <v>15.09999835562197</v>
      </c>
      <c r="Z161">
        <f t="shared" ca="1" si="48"/>
        <v>120</v>
      </c>
      <c r="AA161">
        <f t="shared" ca="1" si="55"/>
        <v>270.28700456093645</v>
      </c>
      <c r="AB161">
        <f t="shared" ca="1" si="49"/>
        <v>0</v>
      </c>
      <c r="AC161">
        <f t="shared" ca="1" si="50"/>
        <v>0.97404758765467003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45565</v>
      </c>
      <c r="S162" s="55">
        <f t="shared" ca="1" si="51"/>
        <v>45565</v>
      </c>
      <c r="T162" s="55">
        <f t="shared" ca="1" si="45"/>
        <v>138.49829490392472</v>
      </c>
      <c r="U162" s="55">
        <f t="shared" ca="1" si="46"/>
        <v>73.531985562546978</v>
      </c>
      <c r="V162" s="55">
        <f t="shared" ca="1" si="47"/>
        <v>0</v>
      </c>
      <c r="W162" s="55">
        <f t="shared" ca="1" si="52"/>
        <v>-97.330973357253711</v>
      </c>
      <c r="X162" s="55">
        <f t="shared" ca="1" si="53"/>
        <v>98.922335461597356</v>
      </c>
      <c r="Y162" s="55">
        <f t="shared" ca="1" si="54"/>
        <v>15.120513177726933</v>
      </c>
      <c r="Z162">
        <f t="shared" ca="1" si="48"/>
        <v>119.79130434782607</v>
      </c>
      <c r="AA162">
        <f t="shared" ca="1" si="55"/>
        <v>270.28700456093645</v>
      </c>
      <c r="AB162">
        <f t="shared" ca="1" si="49"/>
        <v>0</v>
      </c>
      <c r="AC162">
        <f t="shared" ca="1" si="50"/>
        <v>0.97596292938411267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45566</v>
      </c>
      <c r="S163" s="55">
        <f t="shared" ca="1" si="51"/>
        <v>45566</v>
      </c>
      <c r="T163" s="55">
        <f t="shared" ca="1" si="45"/>
        <v>137.32102694808518</v>
      </c>
      <c r="U163" s="55">
        <f t="shared" ca="1" si="46"/>
        <v>75.509828761624462</v>
      </c>
      <c r="V163" s="55">
        <f t="shared" ca="1" si="47"/>
        <v>0</v>
      </c>
      <c r="W163" s="55">
        <f t="shared" ca="1" si="52"/>
        <v>-97.36128570217025</v>
      </c>
      <c r="X163" s="55">
        <f t="shared" ca="1" si="53"/>
        <v>99.732755079618244</v>
      </c>
      <c r="Y163" s="55">
        <f t="shared" ca="1" si="54"/>
        <v>15.140981147860506</v>
      </c>
      <c r="Z163">
        <f t="shared" ca="1" si="48"/>
        <v>120</v>
      </c>
      <c r="AA163">
        <f t="shared" ca="1" si="55"/>
        <v>270.32708643189636</v>
      </c>
      <c r="AB163">
        <f t="shared" ca="1" si="49"/>
        <v>0</v>
      </c>
      <c r="AC163">
        <f t="shared" ca="1" si="50"/>
        <v>0.97779443304524827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45567</v>
      </c>
      <c r="S164" s="55">
        <f t="shared" ca="1" si="51"/>
        <v>45567</v>
      </c>
      <c r="T164" s="55">
        <f t="shared" ca="1" si="45"/>
        <v>134.83000077489731</v>
      </c>
      <c r="U164" s="55">
        <f t="shared" ca="1" si="46"/>
        <v>77.684789783618484</v>
      </c>
      <c r="V164" s="55">
        <f t="shared" ca="1" si="47"/>
        <v>0</v>
      </c>
      <c r="W164" s="55">
        <f t="shared" ca="1" si="52"/>
        <v>-98.579054636705266</v>
      </c>
      <c r="X164" s="55">
        <f t="shared" ca="1" si="53"/>
        <v>100.61327025415638</v>
      </c>
      <c r="Y164" s="55">
        <f t="shared" ca="1" si="54"/>
        <v>15.162169756663529</v>
      </c>
      <c r="Z164">
        <f t="shared" ca="1" si="48"/>
        <v>120</v>
      </c>
      <c r="AA164">
        <f t="shared" ca="1" si="55"/>
        <v>271.96708643189635</v>
      </c>
      <c r="AB164">
        <f t="shared" ca="1" si="49"/>
        <v>0</v>
      </c>
      <c r="AC164">
        <f t="shared" ca="1" si="50"/>
        <v>0.97961369717597069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45568</v>
      </c>
      <c r="S165" s="55">
        <f t="shared" ca="1" si="51"/>
        <v>45568</v>
      </c>
      <c r="T165" s="55">
        <f t="shared" ca="1" si="45"/>
        <v>133.60357677291645</v>
      </c>
      <c r="U165" s="55">
        <f t="shared" ca="1" si="46"/>
        <v>79.735664390515083</v>
      </c>
      <c r="V165" s="55">
        <f t="shared" ca="1" si="47"/>
        <v>0</v>
      </c>
      <c r="W165" s="55">
        <f t="shared" ca="1" si="52"/>
        <v>-98.579054636705266</v>
      </c>
      <c r="X165" s="55">
        <f t="shared" ca="1" si="53"/>
        <v>101.41850397791086</v>
      </c>
      <c r="Y165" s="55">
        <f t="shared" ca="1" si="54"/>
        <v>15.181386637824756</v>
      </c>
      <c r="Z165">
        <f t="shared" ca="1" si="48"/>
        <v>118.08695652173913</v>
      </c>
      <c r="AA165">
        <f t="shared" ca="1" si="55"/>
        <v>271.96708643189635</v>
      </c>
      <c r="AB165">
        <f t="shared" ca="1" si="49"/>
        <v>0</v>
      </c>
      <c r="AC165">
        <f t="shared" ca="1" si="50"/>
        <v>0.98116366709400238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45569</v>
      </c>
      <c r="S166" s="55">
        <f t="shared" ca="1" si="51"/>
        <v>45569</v>
      </c>
      <c r="T166" s="55">
        <f t="shared" ca="1" si="45"/>
        <v>132.34092390858302</v>
      </c>
      <c r="U166" s="55">
        <f t="shared" ca="1" si="46"/>
        <v>81.818482060953016</v>
      </c>
      <c r="V166" s="55">
        <f t="shared" ca="1" si="47"/>
        <v>0</v>
      </c>
      <c r="W166" s="55">
        <f t="shared" ca="1" si="52"/>
        <v>-98.579054636705266</v>
      </c>
      <c r="X166" s="55">
        <f t="shared" ca="1" si="53"/>
        <v>102.22004620619332</v>
      </c>
      <c r="Y166" s="55">
        <f t="shared" ca="1" si="54"/>
        <v>15.20000921564683</v>
      </c>
      <c r="Z166">
        <f t="shared" ca="1" si="48"/>
        <v>117.84454489146984</v>
      </c>
      <c r="AA166">
        <f t="shared" ca="1" si="55"/>
        <v>271.96708643189635</v>
      </c>
      <c r="AB166">
        <f t="shared" ca="1" si="49"/>
        <v>0</v>
      </c>
      <c r="AC166">
        <f t="shared" ca="1" si="50"/>
        <v>0.98259211473988217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45570</v>
      </c>
      <c r="S167" s="55">
        <f t="shared" ca="1" si="51"/>
        <v>45570</v>
      </c>
      <c r="T167" s="55">
        <f t="shared" ca="1" si="45"/>
        <v>131.04458644811544</v>
      </c>
      <c r="U167" s="55">
        <f t="shared" ca="1" si="46"/>
        <v>83.929236179790081</v>
      </c>
      <c r="V167" s="55">
        <f t="shared" ca="1" si="47"/>
        <v>0</v>
      </c>
      <c r="W167" s="55">
        <f t="shared" ca="1" si="52"/>
        <v>-98.579054636705266</v>
      </c>
      <c r="X167" s="55">
        <f t="shared" ca="1" si="53"/>
        <v>103.01643812734859</v>
      </c>
      <c r="Y167" s="55">
        <f t="shared" ca="1" si="54"/>
        <v>15.218033952861038</v>
      </c>
      <c r="Z167">
        <f t="shared" ca="1" si="48"/>
        <v>115.95015961088124</v>
      </c>
      <c r="AA167">
        <f t="shared" ca="1" si="55"/>
        <v>271.96708643189635</v>
      </c>
      <c r="AB167">
        <f t="shared" ca="1" si="49"/>
        <v>0</v>
      </c>
      <c r="AC167">
        <f t="shared" ca="1" si="50"/>
        <v>0.9839065329400678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45571</v>
      </c>
      <c r="S168" s="55">
        <f t="shared" ca="1" si="51"/>
        <v>45571</v>
      </c>
      <c r="T168" s="55">
        <f t="shared" ca="1" si="45"/>
        <v>129.66637380881411</v>
      </c>
      <c r="U168" s="55">
        <f t="shared" ca="1" si="46"/>
        <v>86.135193997646994</v>
      </c>
      <c r="V168" s="55">
        <f t="shared" ca="1" si="47"/>
        <v>0</v>
      </c>
      <c r="W168" s="55">
        <f t="shared" ca="1" si="52"/>
        <v>-98.579054636705266</v>
      </c>
      <c r="X168" s="55">
        <f t="shared" ca="1" si="53"/>
        <v>103.8262869393789</v>
      </c>
      <c r="Y168" s="55">
        <f t="shared" ca="1" si="54"/>
        <v>15.235930319386295</v>
      </c>
      <c r="Z168">
        <f t="shared" ca="1" si="48"/>
        <v>114.23059033788878</v>
      </c>
      <c r="AA168">
        <f t="shared" ca="1" si="55"/>
        <v>271.96708643189635</v>
      </c>
      <c r="AB168">
        <f t="shared" ca="1" si="49"/>
        <v>0</v>
      </c>
      <c r="AC168">
        <f t="shared" ca="1" si="50"/>
        <v>0.98515285197687097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45572</v>
      </c>
      <c r="S169" s="55">
        <f t="shared" ca="1" si="51"/>
        <v>45572</v>
      </c>
      <c r="T169" s="55">
        <f t="shared" ca="1" si="45"/>
        <v>128.28324567741817</v>
      </c>
      <c r="U169" s="55">
        <f t="shared" ca="1" si="46"/>
        <v>88.334747267177192</v>
      </c>
      <c r="V169" s="55">
        <f t="shared" ca="1" si="47"/>
        <v>0</v>
      </c>
      <c r="W169" s="55">
        <f t="shared" ca="1" si="52"/>
        <v>-98.579054636705266</v>
      </c>
      <c r="X169" s="55">
        <f t="shared" ca="1" si="53"/>
        <v>104.62561935309624</v>
      </c>
      <c r="Y169" s="55">
        <f t="shared" ca="1" si="54"/>
        <v>15.253023043803189</v>
      </c>
      <c r="Z169">
        <f t="shared" ca="1" si="48"/>
        <v>117.86777053216156</v>
      </c>
      <c r="AA169">
        <f t="shared" ca="1" si="55"/>
        <v>271.96708643189635</v>
      </c>
      <c r="AB169">
        <f t="shared" ca="1" si="49"/>
        <v>0</v>
      </c>
      <c r="AC169">
        <f t="shared" ca="1" si="50"/>
        <v>0.9862802706368502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45573</v>
      </c>
      <c r="S170" s="55">
        <f t="shared" ca="1" si="51"/>
        <v>45573</v>
      </c>
      <c r="T170" s="55">
        <f t="shared" ca="1" si="45"/>
        <v>126.89879260077194</v>
      </c>
      <c r="U170" s="55">
        <f t="shared" ca="1" si="46"/>
        <v>90.509999319784498</v>
      </c>
      <c r="V170" s="55">
        <f t="shared" ca="1" si="47"/>
        <v>0</v>
      </c>
      <c r="W170" s="55">
        <f t="shared" ca="1" si="52"/>
        <v>-98.579054636705266</v>
      </c>
      <c r="X170" s="55">
        <f t="shared" ca="1" si="53"/>
        <v>105.40017314690489</v>
      </c>
      <c r="Y170" s="55">
        <f t="shared" ca="1" si="54"/>
        <v>15.269268225955626</v>
      </c>
      <c r="Z170">
        <f t="shared" ca="1" si="48"/>
        <v>117.69476838119461</v>
      </c>
      <c r="AA170">
        <f t="shared" ca="1" si="55"/>
        <v>271.96708643189635</v>
      </c>
      <c r="AB170">
        <f t="shared" ca="1" si="49"/>
        <v>0</v>
      </c>
      <c r="AC170">
        <f t="shared" ca="1" si="50"/>
        <v>0.98729442581169991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45574</v>
      </c>
      <c r="S171" s="55">
        <f t="shared" ca="1" si="51"/>
        <v>45574</v>
      </c>
      <c r="T171" s="55">
        <f t="shared" ca="1" si="45"/>
        <v>125.5011867630367</v>
      </c>
      <c r="U171" s="55">
        <f t="shared" ca="1" si="46"/>
        <v>92.682686466141249</v>
      </c>
      <c r="V171" s="55">
        <f t="shared" ca="1" si="47"/>
        <v>0</v>
      </c>
      <c r="W171" s="55">
        <f t="shared" ca="1" si="52"/>
        <v>-98.579054636705266</v>
      </c>
      <c r="X171" s="55">
        <f t="shared" ca="1" si="53"/>
        <v>106.1596660542284</v>
      </c>
      <c r="Y171" s="55">
        <f t="shared" ca="1" si="54"/>
        <v>15.284856627253633</v>
      </c>
      <c r="Z171">
        <f t="shared" ca="1" si="48"/>
        <v>118.40882347841399</v>
      </c>
      <c r="AA171">
        <f t="shared" ca="1" si="55"/>
        <v>271.96708643189635</v>
      </c>
      <c r="AB171">
        <f t="shared" ca="1" si="49"/>
        <v>0</v>
      </c>
      <c r="AC171">
        <f t="shared" ca="1" si="50"/>
        <v>0.98821801787849928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45575</v>
      </c>
      <c r="S172" s="55">
        <f t="shared" ca="1" si="51"/>
        <v>45575</v>
      </c>
      <c r="T172" s="55">
        <f t="shared" ca="1" si="45"/>
        <v>123.81326227651574</v>
      </c>
      <c r="U172" s="55">
        <f t="shared" ca="1" si="46"/>
        <v>95.118489761801726</v>
      </c>
      <c r="V172" s="55">
        <f t="shared" ca="1" si="47"/>
        <v>0</v>
      </c>
      <c r="W172" s="55">
        <f t="shared" ca="1" si="52"/>
        <v>-98.691853477826896</v>
      </c>
      <c r="X172" s="55">
        <f t="shared" ca="1" si="53"/>
        <v>107.00392058493692</v>
      </c>
      <c r="Y172" s="55">
        <f t="shared" ca="1" si="54"/>
        <v>15.301279746806266</v>
      </c>
      <c r="Z172">
        <f t="shared" ca="1" si="48"/>
        <v>120</v>
      </c>
      <c r="AA172">
        <f t="shared" ca="1" si="55"/>
        <v>272.13251212587011</v>
      </c>
      <c r="AB172">
        <f t="shared" ca="1" si="49"/>
        <v>0</v>
      </c>
      <c r="AC172">
        <f t="shared" ca="1" si="50"/>
        <v>0.98915876866301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45576</v>
      </c>
      <c r="S173" s="55">
        <f t="shared" ca="1" si="51"/>
        <v>45576</v>
      </c>
      <c r="T173" s="55">
        <f t="shared" ca="1" si="45"/>
        <v>122.18107480878314</v>
      </c>
      <c r="U173" s="55">
        <f t="shared" ca="1" si="46"/>
        <v>97.618637525172844</v>
      </c>
      <c r="V173" s="55">
        <f t="shared" ca="1" si="47"/>
        <v>0</v>
      </c>
      <c r="W173" s="55">
        <f t="shared" ca="1" si="52"/>
        <v>-98.691853477826896</v>
      </c>
      <c r="X173" s="55">
        <f t="shared" ca="1" si="53"/>
        <v>107.85581109178798</v>
      </c>
      <c r="Y173" s="55">
        <f t="shared" ca="1" si="54"/>
        <v>15.31734953559371</v>
      </c>
      <c r="Z173">
        <f t="shared" ca="1" si="48"/>
        <v>118.62608695652173</v>
      </c>
      <c r="AA173">
        <f t="shared" ca="1" si="55"/>
        <v>272.13251212587011</v>
      </c>
      <c r="AB173">
        <f t="shared" ca="1" si="49"/>
        <v>0</v>
      </c>
      <c r="AC173">
        <f t="shared" ca="1" si="50"/>
        <v>0.99003182509493171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45577</v>
      </c>
      <c r="S174" s="55">
        <f t="shared" ca="1" si="51"/>
        <v>45577</v>
      </c>
      <c r="T174" s="55">
        <f t="shared" ca="1" si="45"/>
        <v>120.55976564067765</v>
      </c>
      <c r="U174" s="55">
        <f t="shared" ca="1" si="46"/>
        <v>100.07371006441602</v>
      </c>
      <c r="V174" s="55">
        <f t="shared" ca="1" si="47"/>
        <v>0</v>
      </c>
      <c r="W174" s="55">
        <f t="shared" ca="1" si="52"/>
        <v>-98.691853477826896</v>
      </c>
      <c r="X174" s="55">
        <f t="shared" ca="1" si="53"/>
        <v>108.67442197048464</v>
      </c>
      <c r="Y174" s="55">
        <f t="shared" ca="1" si="54"/>
        <v>15.332502028034742</v>
      </c>
      <c r="Z174">
        <f t="shared" ca="1" si="48"/>
        <v>119.91339671609002</v>
      </c>
      <c r="AA174">
        <f t="shared" ca="1" si="55"/>
        <v>272.13251212587011</v>
      </c>
      <c r="AB174">
        <f t="shared" ca="1" si="49"/>
        <v>0</v>
      </c>
      <c r="AC174">
        <f t="shared" ca="1" si="50"/>
        <v>0.99080821743824699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45578</v>
      </c>
      <c r="S175" s="55">
        <f t="shared" ca="1" si="51"/>
        <v>45578</v>
      </c>
      <c r="T175" s="55">
        <f t="shared" ca="1" si="45"/>
        <v>117.93096196588226</v>
      </c>
      <c r="U175" s="55">
        <f t="shared" ca="1" si="46"/>
        <v>102.70098955400422</v>
      </c>
      <c r="V175" s="55">
        <f t="shared" ca="1" si="47"/>
        <v>0</v>
      </c>
      <c r="W175" s="55">
        <f t="shared" ca="1" si="52"/>
        <v>-99.575279989509568</v>
      </c>
      <c r="X175" s="55">
        <f t="shared" ca="1" si="53"/>
        <v>109.54093848179618</v>
      </c>
      <c r="Y175" s="55">
        <f t="shared" ca="1" si="54"/>
        <v>15.347887843198693</v>
      </c>
      <c r="Z175">
        <f t="shared" ca="1" si="48"/>
        <v>120</v>
      </c>
      <c r="AA175">
        <f t="shared" ca="1" si="55"/>
        <v>273.49272875935355</v>
      </c>
      <c r="AB175">
        <f t="shared" ca="1" si="49"/>
        <v>0</v>
      </c>
      <c r="AC175">
        <f t="shared" ca="1" si="50"/>
        <v>0.99156031524241106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45579</v>
      </c>
      <c r="S176" s="55">
        <f t="shared" ca="1" si="51"/>
        <v>45579</v>
      </c>
      <c r="T176" s="55">
        <f t="shared" ca="1" si="45"/>
        <v>114.98513764077767</v>
      </c>
      <c r="U176" s="55">
        <f t="shared" ca="1" si="46"/>
        <v>105.35683613835666</v>
      </c>
      <c r="V176" s="55">
        <f t="shared" ca="1" si="47"/>
        <v>0</v>
      </c>
      <c r="W176" s="55">
        <f t="shared" ca="1" si="52"/>
        <v>-100.74046271760278</v>
      </c>
      <c r="X176" s="55">
        <f t="shared" ca="1" si="53"/>
        <v>110.40127787108113</v>
      </c>
      <c r="Y176" s="55">
        <f t="shared" ca="1" si="54"/>
        <v>15.362753441254776</v>
      </c>
      <c r="Z176">
        <f t="shared" ca="1" si="48"/>
        <v>120</v>
      </c>
      <c r="AA176">
        <f t="shared" ca="1" si="55"/>
        <v>275.33272875935359</v>
      </c>
      <c r="AB176">
        <f t="shared" ca="1" si="49"/>
        <v>0</v>
      </c>
      <c r="AC176">
        <f t="shared" ca="1" si="50"/>
        <v>0.99224720288368662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45580</v>
      </c>
      <c r="S177" s="55">
        <f t="shared" ca="1" si="51"/>
        <v>45580</v>
      </c>
      <c r="T177" s="55">
        <f t="shared" ca="1" si="45"/>
        <v>113.21183466796217</v>
      </c>
      <c r="U177" s="55">
        <f t="shared" ca="1" si="46"/>
        <v>107.97558519788814</v>
      </c>
      <c r="V177" s="55">
        <f t="shared" ca="1" si="47"/>
        <v>0</v>
      </c>
      <c r="W177" s="55">
        <f t="shared" ca="1" si="52"/>
        <v>-100.74046271760278</v>
      </c>
      <c r="X177" s="55">
        <f t="shared" ca="1" si="53"/>
        <v>111.23264907925065</v>
      </c>
      <c r="Y177" s="55">
        <f t="shared" ca="1" si="54"/>
        <v>15.376828319801241</v>
      </c>
      <c r="Z177">
        <f t="shared" ca="1" si="48"/>
        <v>117.72173913043478</v>
      </c>
      <c r="AA177">
        <f t="shared" ca="1" si="55"/>
        <v>275.33272875935359</v>
      </c>
      <c r="AB177">
        <f t="shared" ca="1" si="49"/>
        <v>0</v>
      </c>
      <c r="AC177">
        <f t="shared" ca="1" si="50"/>
        <v>0.99286042977480882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45581</v>
      </c>
      <c r="S178" s="55">
        <f t="shared" ca="1" si="51"/>
        <v>45581</v>
      </c>
      <c r="T178" s="55">
        <f t="shared" ca="1" si="45"/>
        <v>111.30002729333611</v>
      </c>
      <c r="U178" s="55">
        <f t="shared" ca="1" si="46"/>
        <v>110.78616984848604</v>
      </c>
      <c r="V178" s="55">
        <f t="shared" ca="1" si="47"/>
        <v>0</v>
      </c>
      <c r="W178" s="55">
        <f t="shared" ca="1" si="52"/>
        <v>-100.74046271760278</v>
      </c>
      <c r="X178" s="55">
        <f t="shared" ca="1" si="53"/>
        <v>112.11707740509472</v>
      </c>
      <c r="Y178" s="55">
        <f t="shared" ca="1" si="54"/>
        <v>15.391177269929029</v>
      </c>
      <c r="Z178">
        <f t="shared" ca="1" si="48"/>
        <v>117.89622477927826</v>
      </c>
      <c r="AA178">
        <f t="shared" ca="1" si="55"/>
        <v>275.33272875935359</v>
      </c>
      <c r="AB178">
        <f t="shared" ca="1" si="49"/>
        <v>0</v>
      </c>
      <c r="AC178">
        <f t="shared" ca="1" si="50"/>
        <v>0.99345582086576933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45582</v>
      </c>
      <c r="S179" s="55">
        <f t="shared" ca="1" si="51"/>
        <v>45582</v>
      </c>
      <c r="T179" s="55">
        <f t="shared" ca="1" si="45"/>
        <v>109.37794663450377</v>
      </c>
      <c r="U179" s="55">
        <f t="shared" ca="1" si="46"/>
        <v>113.58692100668021</v>
      </c>
      <c r="V179" s="55">
        <f t="shared" ca="1" si="47"/>
        <v>0</v>
      </c>
      <c r="W179" s="55">
        <f t="shared" ca="1" si="52"/>
        <v>-100.74046271760278</v>
      </c>
      <c r="X179" s="55">
        <f t="shared" ca="1" si="53"/>
        <v>112.98204707008047</v>
      </c>
      <c r="Y179" s="55">
        <f t="shared" ca="1" si="54"/>
        <v>15.404878104305109</v>
      </c>
      <c r="Z179">
        <f t="shared" ca="1" si="48"/>
        <v>119.35750285205455</v>
      </c>
      <c r="AA179">
        <f t="shared" ca="1" si="55"/>
        <v>275.33272875935359</v>
      </c>
      <c r="AB179">
        <f t="shared" ca="1" si="49"/>
        <v>0</v>
      </c>
      <c r="AC179">
        <f t="shared" ca="1" si="50"/>
        <v>0.99399179158509121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45583</v>
      </c>
      <c r="S180" s="55">
        <f t="shared" ca="1" si="51"/>
        <v>45583</v>
      </c>
      <c r="T180" s="55">
        <f t="shared" ca="1" si="45"/>
        <v>107.49955720061831</v>
      </c>
      <c r="U180" s="55">
        <f t="shared" ca="1" si="46"/>
        <v>116.29820506149683</v>
      </c>
      <c r="V180" s="55">
        <f t="shared" ca="1" si="47"/>
        <v>0</v>
      </c>
      <c r="W180" s="55">
        <f t="shared" ca="1" si="52"/>
        <v>-100.74046271760278</v>
      </c>
      <c r="X180" s="55">
        <f t="shared" ca="1" si="53"/>
        <v>113.80215278831007</v>
      </c>
      <c r="Y180" s="55">
        <f t="shared" ca="1" si="54"/>
        <v>15.417667007006674</v>
      </c>
      <c r="Z180">
        <f t="shared" ca="1" si="48"/>
        <v>116.0707005105867</v>
      </c>
      <c r="AA180">
        <f t="shared" ca="1" si="55"/>
        <v>275.33272875935359</v>
      </c>
      <c r="AB180">
        <f t="shared" ca="1" si="49"/>
        <v>0</v>
      </c>
      <c r="AC180">
        <f t="shared" ca="1" si="50"/>
        <v>0.99446222248243399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45584</v>
      </c>
      <c r="S181" s="55">
        <f t="shared" ca="1" si="51"/>
        <v>45584</v>
      </c>
      <c r="T181" s="55">
        <f t="shared" ca="1" si="45"/>
        <v>105.48633782054479</v>
      </c>
      <c r="U181" s="55">
        <f t="shared" ca="1" si="46"/>
        <v>119.16669129322803</v>
      </c>
      <c r="V181" s="55">
        <f t="shared" ca="1" si="47"/>
        <v>0</v>
      </c>
      <c r="W181" s="55">
        <f t="shared" ca="1" si="52"/>
        <v>-100.74046271760278</v>
      </c>
      <c r="X181" s="55">
        <f t="shared" ca="1" si="53"/>
        <v>114.64452516822139</v>
      </c>
      <c r="Y181" s="55">
        <f t="shared" ca="1" si="54"/>
        <v>15.430561478753022</v>
      </c>
      <c r="Z181">
        <f t="shared" ca="1" si="48"/>
        <v>113.32365934971351</v>
      </c>
      <c r="AA181">
        <f t="shared" ca="1" si="55"/>
        <v>275.33272875935359</v>
      </c>
      <c r="AB181">
        <f t="shared" ca="1" si="49"/>
        <v>0</v>
      </c>
      <c r="AC181">
        <f t="shared" ca="1" si="50"/>
        <v>0.99491380005171504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45585</v>
      </c>
      <c r="S182" s="55">
        <f t="shared" ca="1" si="51"/>
        <v>45585</v>
      </c>
      <c r="T182" s="55">
        <f t="shared" ca="1" si="45"/>
        <v>103.43316326138489</v>
      </c>
      <c r="U182" s="55">
        <f t="shared" ca="1" si="46"/>
        <v>122.03481961120177</v>
      </c>
      <c r="V182" s="55">
        <f t="shared" ca="1" si="47"/>
        <v>0</v>
      </c>
      <c r="W182" s="55">
        <f t="shared" ca="1" si="52"/>
        <v>-100.74046271760278</v>
      </c>
      <c r="X182" s="55">
        <f t="shared" ca="1" si="53"/>
        <v>115.44709674128943</v>
      </c>
      <c r="Y182" s="55">
        <f t="shared" ca="1" si="54"/>
        <v>15.442943664498832</v>
      </c>
      <c r="Z182">
        <f t="shared" ca="1" si="48"/>
        <v>110.24643477971313</v>
      </c>
      <c r="AA182">
        <f t="shared" ca="1" si="55"/>
        <v>275.33272875935359</v>
      </c>
      <c r="AB182">
        <f t="shared" ca="1" si="49"/>
        <v>0</v>
      </c>
      <c r="AC182">
        <f t="shared" ca="1" si="50"/>
        <v>0.99532307466775094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45586</v>
      </c>
      <c r="S183" s="55">
        <f t="shared" ca="1" si="51"/>
        <v>45586</v>
      </c>
      <c r="T183" s="55">
        <f t="shared" ca="1" si="45"/>
        <v>101.29140419833895</v>
      </c>
      <c r="U183" s="55">
        <f t="shared" ca="1" si="46"/>
        <v>125.04537267875813</v>
      </c>
      <c r="V183" s="55">
        <f t="shared" ca="1" si="47"/>
        <v>0</v>
      </c>
      <c r="W183" s="55">
        <f t="shared" ca="1" si="52"/>
        <v>-100.74046271760278</v>
      </c>
      <c r="X183" s="55">
        <f t="shared" ca="1" si="53"/>
        <v>116.30348037093721</v>
      </c>
      <c r="Y183" s="55">
        <f t="shared" ca="1" si="54"/>
        <v>15.455354039361472</v>
      </c>
      <c r="Z183">
        <f t="shared" ca="1" si="48"/>
        <v>112.68262353672897</v>
      </c>
      <c r="AA183">
        <f t="shared" ca="1" si="55"/>
        <v>275.33272875935359</v>
      </c>
      <c r="AB183">
        <f t="shared" ca="1" si="49"/>
        <v>0</v>
      </c>
      <c r="AC183">
        <f t="shared" ca="1" si="50"/>
        <v>0.99571225602003377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45587</v>
      </c>
      <c r="S184" s="55">
        <f t="shared" ca="1" si="51"/>
        <v>45587</v>
      </c>
      <c r="T184" s="55">
        <f t="shared" ca="1" si="45"/>
        <v>99.223247848656541</v>
      </c>
      <c r="U184" s="55">
        <f t="shared" ca="1" si="46"/>
        <v>127.93081997520277</v>
      </c>
      <c r="V184" s="55">
        <f t="shared" ca="1" si="47"/>
        <v>0</v>
      </c>
      <c r="W184" s="55">
        <f t="shared" ca="1" si="52"/>
        <v>-100.74046271760278</v>
      </c>
      <c r="X184" s="55">
        <f t="shared" ca="1" si="53"/>
        <v>117.10927388648702</v>
      </c>
      <c r="Y184" s="55">
        <f t="shared" ca="1" si="54"/>
        <v>15.466851470573895</v>
      </c>
      <c r="Z184">
        <f t="shared" ca="1" si="48"/>
        <v>112.87506709024203</v>
      </c>
      <c r="AA184">
        <f t="shared" ca="1" si="55"/>
        <v>275.33272875935359</v>
      </c>
      <c r="AB184">
        <f t="shared" ca="1" si="49"/>
        <v>0</v>
      </c>
      <c r="AC184">
        <f t="shared" ca="1" si="50"/>
        <v>0.99605063810230154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45588</v>
      </c>
      <c r="S185" s="55">
        <f t="shared" ca="1" si="51"/>
        <v>45588</v>
      </c>
      <c r="T185" s="55">
        <f t="shared" ca="1" si="45"/>
        <v>97.081815722959121</v>
      </c>
      <c r="U185" s="55">
        <f t="shared" ca="1" si="46"/>
        <v>130.86180376316847</v>
      </c>
      <c r="V185" s="55">
        <f t="shared" ca="1" si="47"/>
        <v>0</v>
      </c>
      <c r="W185" s="55">
        <f t="shared" ca="1" si="52"/>
        <v>-100.74046271760278</v>
      </c>
      <c r="X185" s="55">
        <f t="shared" ca="1" si="53"/>
        <v>117.88760506731278</v>
      </c>
      <c r="Y185" s="55">
        <f t="shared" ca="1" si="54"/>
        <v>15.478071952016421</v>
      </c>
      <c r="Z185">
        <f t="shared" ca="1" si="48"/>
        <v>109.22400094885876</v>
      </c>
      <c r="AA185">
        <f t="shared" ca="1" si="55"/>
        <v>275.33272875935359</v>
      </c>
      <c r="AB185">
        <f t="shared" ca="1" si="49"/>
        <v>0</v>
      </c>
      <c r="AC185">
        <f t="shared" ca="1" si="50"/>
        <v>0.99636339152906939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45589</v>
      </c>
      <c r="S186" s="55">
        <f t="shared" ca="1" si="51"/>
        <v>45589</v>
      </c>
      <c r="T186" s="55">
        <f t="shared" ca="1" si="45"/>
        <v>94.779699114844078</v>
      </c>
      <c r="U186" s="55">
        <f t="shared" ca="1" si="46"/>
        <v>133.97148873779912</v>
      </c>
      <c r="V186" s="55">
        <f t="shared" ca="1" si="47"/>
        <v>0</v>
      </c>
      <c r="W186" s="55">
        <f t="shared" ca="1" si="52"/>
        <v>-100.74046271760278</v>
      </c>
      <c r="X186" s="55">
        <f t="shared" ca="1" si="53"/>
        <v>118.68380349154106</v>
      </c>
      <c r="Y186" s="55">
        <f t="shared" ca="1" si="54"/>
        <v>15.48944189430375</v>
      </c>
      <c r="Z186">
        <f t="shared" ca="1" si="48"/>
        <v>106.35583169777736</v>
      </c>
      <c r="AA186">
        <f t="shared" ca="1" si="55"/>
        <v>275.33272875935359</v>
      </c>
      <c r="AB186">
        <f t="shared" ca="1" si="49"/>
        <v>0</v>
      </c>
      <c r="AC186">
        <f t="shared" ca="1" si="50"/>
        <v>0.99666472468303646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45590</v>
      </c>
      <c r="S187" s="55">
        <f t="shared" ca="1" si="51"/>
        <v>45590</v>
      </c>
      <c r="T187" s="55">
        <f t="shared" ca="1" si="45"/>
        <v>92.292269375293273</v>
      </c>
      <c r="U187" s="55">
        <f t="shared" ca="1" si="46"/>
        <v>137.34275815784605</v>
      </c>
      <c r="V187" s="55">
        <f t="shared" ca="1" si="47"/>
        <v>0</v>
      </c>
      <c r="W187" s="55">
        <f t="shared" ca="1" si="52"/>
        <v>-100.74046271760278</v>
      </c>
      <c r="X187" s="55">
        <f t="shared" ca="1" si="53"/>
        <v>119.55587958529208</v>
      </c>
      <c r="Y187" s="55">
        <f t="shared" ca="1" si="54"/>
        <v>15.501205481048855</v>
      </c>
      <c r="Z187">
        <f t="shared" ca="1" si="48"/>
        <v>107.41845065682642</v>
      </c>
      <c r="AA187">
        <f t="shared" ca="1" si="55"/>
        <v>275.33272875935359</v>
      </c>
      <c r="AB187">
        <f t="shared" ca="1" si="49"/>
        <v>0</v>
      </c>
      <c r="AC187">
        <f t="shared" ca="1" si="50"/>
        <v>0.99695983871066984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45591</v>
      </c>
      <c r="S188" s="55">
        <f t="shared" ca="1" si="51"/>
        <v>45591</v>
      </c>
      <c r="T188" s="55">
        <f t="shared" ca="1" si="45"/>
        <v>89.778527630283222</v>
      </c>
      <c r="U188" s="55">
        <f t="shared" ca="1" si="46"/>
        <v>140.7878915960236</v>
      </c>
      <c r="V188" s="55">
        <f t="shared" ca="1" si="47"/>
        <v>0</v>
      </c>
      <c r="W188" s="55">
        <f t="shared" ca="1" si="52"/>
        <v>-100.74046271760278</v>
      </c>
      <c r="X188" s="55">
        <f t="shared" ca="1" si="53"/>
        <v>120.47575180285038</v>
      </c>
      <c r="Y188" s="55">
        <f t="shared" ca="1" si="54"/>
        <v>15.512724956658044</v>
      </c>
      <c r="Z188">
        <f t="shared" ca="1" si="48"/>
        <v>111.4196875189507</v>
      </c>
      <c r="AA188">
        <f t="shared" ca="1" si="55"/>
        <v>275.33272875935359</v>
      </c>
      <c r="AB188">
        <f t="shared" ca="1" si="49"/>
        <v>0</v>
      </c>
      <c r="AC188">
        <f t="shared" ca="1" si="50"/>
        <v>0.99723133652279961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45592</v>
      </c>
      <c r="S189" s="55">
        <f t="shared" ca="1" si="51"/>
        <v>45592</v>
      </c>
      <c r="T189" s="55">
        <f t="shared" ca="1" si="45"/>
        <v>87.341492137382531</v>
      </c>
      <c r="U189" s="55">
        <f t="shared" ca="1" si="46"/>
        <v>144.15507994246121</v>
      </c>
      <c r="V189" s="55">
        <f t="shared" ca="1" si="47"/>
        <v>0</v>
      </c>
      <c r="W189" s="55">
        <f t="shared" ca="1" si="52"/>
        <v>-100.74046271760278</v>
      </c>
      <c r="X189" s="55">
        <f t="shared" ca="1" si="53"/>
        <v>121.39507874812783</v>
      </c>
      <c r="Y189" s="55">
        <f t="shared" ca="1" si="54"/>
        <v>15.523550864917519</v>
      </c>
      <c r="Z189">
        <f t="shared" ca="1" si="48"/>
        <v>116.72484683115813</v>
      </c>
      <c r="AA189">
        <f t="shared" ca="1" si="55"/>
        <v>275.33272875935359</v>
      </c>
      <c r="AB189">
        <f t="shared" ca="1" si="49"/>
        <v>0</v>
      </c>
      <c r="AC189">
        <f t="shared" ca="1" si="50"/>
        <v>0.99747065904319476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45593</v>
      </c>
      <c r="S190" s="55">
        <f t="shared" ca="1" si="51"/>
        <v>45593</v>
      </c>
      <c r="T190" s="55">
        <f t="shared" ca="1" si="45"/>
        <v>84.776382448041474</v>
      </c>
      <c r="U190" s="55">
        <f t="shared" ca="1" si="46"/>
        <v>147.69356595403914</v>
      </c>
      <c r="V190" s="55">
        <f t="shared" ca="1" si="47"/>
        <v>0</v>
      </c>
      <c r="W190" s="55">
        <f t="shared" ca="1" si="52"/>
        <v>-100.74046271760278</v>
      </c>
      <c r="X190" s="55">
        <f t="shared" ca="1" si="53"/>
        <v>122.35755006304944</v>
      </c>
      <c r="Y190" s="55">
        <f t="shared" ca="1" si="54"/>
        <v>15.534455872232781</v>
      </c>
      <c r="Z190">
        <f t="shared" ca="1" si="48"/>
        <v>118.2382083342965</v>
      </c>
      <c r="AA190">
        <f t="shared" ca="1" si="55"/>
        <v>275.33272875935359</v>
      </c>
      <c r="AB190">
        <f t="shared" ca="1" si="49"/>
        <v>0</v>
      </c>
      <c r="AC190">
        <f t="shared" ca="1" si="50"/>
        <v>0.99769757453293317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45594</v>
      </c>
      <c r="S191" s="55">
        <f t="shared" ca="1" si="51"/>
        <v>45594</v>
      </c>
      <c r="T191" s="55">
        <f t="shared" ca="1" si="45"/>
        <v>82.316660689417986</v>
      </c>
      <c r="U191" s="55">
        <f t="shared" ca="1" si="46"/>
        <v>151.03515223824033</v>
      </c>
      <c r="V191" s="55">
        <f t="shared" ca="1" si="47"/>
        <v>0</v>
      </c>
      <c r="W191" s="55">
        <f t="shared" ca="1" si="52"/>
        <v>-100.74046271760278</v>
      </c>
      <c r="X191" s="55">
        <f t="shared" ca="1" si="53"/>
        <v>123.22946854281329</v>
      </c>
      <c r="Y191" s="55">
        <f t="shared" ca="1" si="54"/>
        <v>15.54440191804663</v>
      </c>
      <c r="Z191">
        <f t="shared" ca="1" si="48"/>
        <v>113.38620617764792</v>
      </c>
      <c r="AA191">
        <f t="shared" ca="1" si="55"/>
        <v>275.33272875935359</v>
      </c>
      <c r="AB191">
        <f t="shared" ca="1" si="49"/>
        <v>0</v>
      </c>
      <c r="AC191">
        <f t="shared" ca="1" si="50"/>
        <v>0.99789129041396518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45595</v>
      </c>
      <c r="S192" s="55">
        <f t="shared" ca="1" si="51"/>
        <v>45595</v>
      </c>
      <c r="T192" s="55">
        <f t="shared" ca="1" si="45"/>
        <v>79.90868056486994</v>
      </c>
      <c r="U192" s="55">
        <f t="shared" ca="1" si="46"/>
        <v>154.29610335928047</v>
      </c>
      <c r="V192" s="55">
        <f t="shared" ca="1" si="47"/>
        <v>0</v>
      </c>
      <c r="W192" s="55">
        <f t="shared" ca="1" si="52"/>
        <v>-100.74046271760278</v>
      </c>
      <c r="X192" s="55">
        <f t="shared" ca="1" si="53"/>
        <v>124.07304772641511</v>
      </c>
      <c r="Y192" s="55">
        <f t="shared" ca="1" si="54"/>
        <v>15.553793730936901</v>
      </c>
      <c r="Z192">
        <f t="shared" ca="1" si="48"/>
        <v>113.8911443781945</v>
      </c>
      <c r="AA192">
        <f t="shared" ca="1" si="55"/>
        <v>275.33272875935359</v>
      </c>
      <c r="AB192">
        <f t="shared" ca="1" si="49"/>
        <v>0</v>
      </c>
      <c r="AC192">
        <f t="shared" ca="1" si="50"/>
        <v>0.99806313710350247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45596</v>
      </c>
      <c r="S193" s="55">
        <f t="shared" ca="1" si="51"/>
        <v>45596</v>
      </c>
      <c r="T193" s="55">
        <f t="shared" ca="1" si="45"/>
        <v>77.492682767982458</v>
      </c>
      <c r="U193" s="55">
        <f t="shared" ca="1" si="46"/>
        <v>157.54786379457124</v>
      </c>
      <c r="V193" s="55">
        <f t="shared" ca="1" si="47"/>
        <v>0</v>
      </c>
      <c r="W193" s="55">
        <f t="shared" ca="1" si="52"/>
        <v>-100.74046271760278</v>
      </c>
      <c r="X193" s="55">
        <f t="shared" ca="1" si="53"/>
        <v>124.89975595163834</v>
      </c>
      <c r="Y193" s="55">
        <f t="shared" ca="1" si="54"/>
        <v>15.56284814411697</v>
      </c>
      <c r="Z193">
        <f t="shared" ca="1" si="48"/>
        <v>113.16119831208846</v>
      </c>
      <c r="AA193">
        <f t="shared" ca="1" si="55"/>
        <v>275.33272875935359</v>
      </c>
      <c r="AB193">
        <f t="shared" ca="1" si="49"/>
        <v>0</v>
      </c>
      <c r="AC193">
        <f t="shared" ca="1" si="50"/>
        <v>0.99821932549734371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45597</v>
      </c>
      <c r="S194" s="55">
        <f t="shared" ca="1" si="51"/>
        <v>45597</v>
      </c>
      <c r="T194" s="55">
        <f t="shared" ca="1" si="45"/>
        <v>74.86713976895642</v>
      </c>
      <c r="U194" s="55">
        <f t="shared" ca="1" si="46"/>
        <v>161.04372494093354</v>
      </c>
      <c r="V194" s="55">
        <f t="shared" ca="1" si="47"/>
        <v>0</v>
      </c>
      <c r="W194" s="55">
        <f t="shared" ca="1" si="52"/>
        <v>-100.74046271760278</v>
      </c>
      <c r="X194" s="55">
        <f t="shared" ca="1" si="53"/>
        <v>125.7607429742752</v>
      </c>
      <c r="Y194" s="55">
        <f t="shared" ca="1" si="54"/>
        <v>15.572179268816365</v>
      </c>
      <c r="Z194">
        <f t="shared" ca="1" si="48"/>
        <v>109.9965456427729</v>
      </c>
      <c r="AA194">
        <f t="shared" ca="1" si="55"/>
        <v>275.33272875935359</v>
      </c>
      <c r="AB194">
        <f t="shared" ca="1" si="49"/>
        <v>0</v>
      </c>
      <c r="AC194">
        <f t="shared" ca="1" si="50"/>
        <v>0.99837206997016592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45598</v>
      </c>
      <c r="S195" s="55">
        <f t="shared" ca="1" si="51"/>
        <v>45598</v>
      </c>
      <c r="T195" s="55">
        <f t="shared" ca="1" si="45"/>
        <v>72.063539640717295</v>
      </c>
      <c r="U195" s="55">
        <f t="shared" ca="1" si="46"/>
        <v>164.84276057519014</v>
      </c>
      <c r="V195" s="55">
        <f t="shared" ca="1" si="47"/>
        <v>0</v>
      </c>
      <c r="W195" s="55">
        <f t="shared" ca="1" si="52"/>
        <v>-100.74046271760278</v>
      </c>
      <c r="X195" s="55">
        <f t="shared" ca="1" si="53"/>
        <v>126.74643792425302</v>
      </c>
      <c r="Y195" s="55">
        <f t="shared" ca="1" si="54"/>
        <v>15.581919824856032</v>
      </c>
      <c r="Z195">
        <f t="shared" ca="1" si="48"/>
        <v>114.36232439143637</v>
      </c>
      <c r="AA195">
        <f t="shared" ca="1" si="55"/>
        <v>275.33272875935359</v>
      </c>
      <c r="AB195">
        <f t="shared" ca="1" si="49"/>
        <v>0</v>
      </c>
      <c r="AC195">
        <f t="shared" ca="1" si="50"/>
        <v>0.99852212662550144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45599</v>
      </c>
      <c r="S196" s="55">
        <f t="shared" ca="1" si="51"/>
        <v>45599</v>
      </c>
      <c r="T196" s="55">
        <f t="shared" ca="1" si="45"/>
        <v>69.302877384140501</v>
      </c>
      <c r="U196" s="55">
        <f t="shared" ca="1" si="46"/>
        <v>168.54471041653355</v>
      </c>
      <c r="V196" s="55">
        <f t="shared" ca="1" si="47"/>
        <v>0</v>
      </c>
      <c r="W196" s="55">
        <f t="shared" ca="1" si="52"/>
        <v>-100.74046271760278</v>
      </c>
      <c r="X196" s="55">
        <f t="shared" ca="1" si="53"/>
        <v>127.67857201801289</v>
      </c>
      <c r="Y196" s="55">
        <f t="shared" ca="1" si="54"/>
        <v>15.591073315862769</v>
      </c>
      <c r="Z196">
        <f t="shared" ca="1" si="48"/>
        <v>112.84958222078581</v>
      </c>
      <c r="AA196">
        <f t="shared" ca="1" si="55"/>
        <v>275.33272875935359</v>
      </c>
      <c r="AB196">
        <f t="shared" ca="1" si="49"/>
        <v>0</v>
      </c>
      <c r="AC196">
        <f t="shared" ca="1" si="50"/>
        <v>0.9986541131621105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45600</v>
      </c>
      <c r="S197" s="55">
        <f t="shared" ca="1" si="51"/>
        <v>45600</v>
      </c>
      <c r="T197" s="55">
        <f t="shared" ca="1" si="45"/>
        <v>66.587453929499247</v>
      </c>
      <c r="U197" s="55">
        <f t="shared" ca="1" si="46"/>
        <v>172.1203983897714</v>
      </c>
      <c r="V197" s="55">
        <f t="shared" ca="1" si="47"/>
        <v>0</v>
      </c>
      <c r="W197" s="55">
        <f t="shared" ca="1" si="52"/>
        <v>-100.74046271760278</v>
      </c>
      <c r="X197" s="55">
        <f t="shared" ca="1" si="53"/>
        <v>128.53027825114077</v>
      </c>
      <c r="Y197" s="55">
        <f t="shared" ca="1" si="54"/>
        <v>15.599631601331472</v>
      </c>
      <c r="Z197">
        <f t="shared" ca="1" si="48"/>
        <v>108.88479959084606</v>
      </c>
      <c r="AA197">
        <f t="shared" ca="1" si="55"/>
        <v>275.33272875935359</v>
      </c>
      <c r="AB197">
        <f t="shared" ca="1" si="49"/>
        <v>0</v>
      </c>
      <c r="AC197">
        <f t="shared" ca="1" si="50"/>
        <v>0.99876969089570156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45601</v>
      </c>
      <c r="S198" s="55">
        <f t="shared" ca="1" si="51"/>
        <v>45601</v>
      </c>
      <c r="T198" s="55">
        <f t="shared" ca="1" si="45"/>
        <v>63.841902438302284</v>
      </c>
      <c r="U198" s="55">
        <f t="shared" ca="1" si="46"/>
        <v>175.67054431112746</v>
      </c>
      <c r="V198" s="55">
        <f t="shared" ca="1" si="47"/>
        <v>0</v>
      </c>
      <c r="W198" s="55">
        <f t="shared" ca="1" si="52"/>
        <v>-100.74046271760278</v>
      </c>
      <c r="X198" s="55">
        <f t="shared" ca="1" si="53"/>
        <v>129.32664471960732</v>
      </c>
      <c r="Y198" s="55">
        <f t="shared" ca="1" si="54"/>
        <v>15.607859563024023</v>
      </c>
      <c r="Z198">
        <f t="shared" ca="1" si="48"/>
        <v>103.96365900363149</v>
      </c>
      <c r="AA198">
        <f t="shared" ca="1" si="55"/>
        <v>275.33272875935359</v>
      </c>
      <c r="AB198">
        <f t="shared" ca="1" si="49"/>
        <v>0</v>
      </c>
      <c r="AC198">
        <f t="shared" ca="1" si="50"/>
        <v>0.99887406487118047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45602</v>
      </c>
      <c r="S199" s="55">
        <f t="shared" ca="1" si="51"/>
        <v>45602</v>
      </c>
      <c r="T199" s="55">
        <f t="shared" ca="1" si="45"/>
        <v>61.007845104028434</v>
      </c>
      <c r="U199" s="55">
        <f t="shared" ca="1" si="46"/>
        <v>179.31199235314111</v>
      </c>
      <c r="V199" s="55">
        <f t="shared" ca="1" si="47"/>
        <v>0</v>
      </c>
      <c r="W199" s="55">
        <f t="shared" ca="1" si="52"/>
        <v>-100.74046271760278</v>
      </c>
      <c r="X199" s="55">
        <f t="shared" ca="1" si="53"/>
        <v>130.12587982110603</v>
      </c>
      <c r="Y199" s="55">
        <f t="shared" ca="1" si="54"/>
        <v>15.616015169265101</v>
      </c>
      <c r="Z199">
        <f t="shared" ca="1" si="48"/>
        <v>102.08621804812471</v>
      </c>
      <c r="AA199">
        <f t="shared" ca="1" si="55"/>
        <v>275.33272875935359</v>
      </c>
      <c r="AB199">
        <f t="shared" ca="1" si="49"/>
        <v>0</v>
      </c>
      <c r="AC199">
        <f t="shared" ca="1" si="50"/>
        <v>0.99897146749546817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45603</v>
      </c>
      <c r="S200" s="55">
        <f t="shared" ca="1" si="51"/>
        <v>45603</v>
      </c>
      <c r="T200" s="55">
        <f t="shared" ca="1" si="45"/>
        <v>58.062793082733954</v>
      </c>
      <c r="U200" s="55">
        <f t="shared" ca="1" si="46"/>
        <v>183.0926980121007</v>
      </c>
      <c r="V200" s="55">
        <f t="shared" ca="1" si="47"/>
        <v>0</v>
      </c>
      <c r="W200" s="55">
        <f t="shared" ca="1" si="52"/>
        <v>-100.74046271760278</v>
      </c>
      <c r="X200" s="55">
        <f t="shared" ca="1" si="53"/>
        <v>130.95335271627877</v>
      </c>
      <c r="Y200" s="55">
        <f t="shared" ca="1" si="54"/>
        <v>15.624195911757448</v>
      </c>
      <c r="Z200">
        <f t="shared" ca="1" si="48"/>
        <v>101.68697192610885</v>
      </c>
      <c r="AA200">
        <f t="shared" ca="1" si="55"/>
        <v>275.33272875935359</v>
      </c>
      <c r="AB200">
        <f t="shared" ca="1" si="49"/>
        <v>0</v>
      </c>
      <c r="AC200">
        <f t="shared" ca="1" si="50"/>
        <v>0.99906329859023391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45604</v>
      </c>
      <c r="S201" s="55">
        <f t="shared" ca="1" si="51"/>
        <v>45604</v>
      </c>
      <c r="T201" s="55">
        <f t="shared" ca="1" si="45"/>
        <v>55.042795010973705</v>
      </c>
      <c r="U201" s="55">
        <f t="shared" ca="1" si="46"/>
        <v>186.96782146010531</v>
      </c>
      <c r="V201" s="55">
        <f t="shared" ca="1" si="47"/>
        <v>0</v>
      </c>
      <c r="W201" s="55">
        <f t="shared" ca="1" si="52"/>
        <v>-100.74046271760278</v>
      </c>
      <c r="X201" s="55">
        <f t="shared" ca="1" si="53"/>
        <v>131.80036743091074</v>
      </c>
      <c r="Y201" s="55">
        <f t="shared" ca="1" si="54"/>
        <v>15.632306573369849</v>
      </c>
      <c r="Z201">
        <f t="shared" ca="1" si="48"/>
        <v>101.54858717807832</v>
      </c>
      <c r="AA201">
        <f t="shared" ca="1" si="55"/>
        <v>275.33272875935359</v>
      </c>
      <c r="AB201">
        <f t="shared" ca="1" si="49"/>
        <v>0</v>
      </c>
      <c r="AC201">
        <f t="shared" ca="1" si="50"/>
        <v>0.99914860436918873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45605</v>
      </c>
      <c r="S202" s="55">
        <f t="shared" ca="1" si="51"/>
        <v>45605</v>
      </c>
      <c r="T202" s="55">
        <f t="shared" ca="1" si="45"/>
        <v>52.100120430082427</v>
      </c>
      <c r="U202" s="55">
        <f t="shared" ca="1" si="46"/>
        <v>190.72101587594304</v>
      </c>
      <c r="V202" s="55">
        <f t="shared" ca="1" si="47"/>
        <v>0</v>
      </c>
      <c r="W202" s="55">
        <f t="shared" ca="1" si="52"/>
        <v>-100.74046271760278</v>
      </c>
      <c r="X202" s="55">
        <f t="shared" ca="1" si="53"/>
        <v>132.60326676576284</v>
      </c>
      <c r="Y202" s="55">
        <f t="shared" ca="1" si="54"/>
        <v>15.639927073464193</v>
      </c>
      <c r="Z202">
        <f t="shared" ca="1" si="48"/>
        <v>100.4882698882187</v>
      </c>
      <c r="AA202">
        <f t="shared" ca="1" si="55"/>
        <v>275.33272875935359</v>
      </c>
      <c r="AB202">
        <f t="shared" ca="1" si="49"/>
        <v>0</v>
      </c>
      <c r="AC202">
        <f t="shared" ca="1" si="50"/>
        <v>0.99922358575627701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45606</v>
      </c>
      <c r="S203" s="55">
        <f t="shared" ca="1" si="51"/>
        <v>45606</v>
      </c>
      <c r="T203" s="55">
        <f t="shared" ca="1" si="45"/>
        <v>49.117197478080811</v>
      </c>
      <c r="U203" s="55">
        <f t="shared" ca="1" si="46"/>
        <v>194.54699682275407</v>
      </c>
      <c r="V203" s="55">
        <f t="shared" ca="1" si="47"/>
        <v>0</v>
      </c>
      <c r="W203" s="55">
        <f t="shared" ca="1" si="52"/>
        <v>-100.74046271760278</v>
      </c>
      <c r="X203" s="55">
        <f t="shared" ca="1" si="53"/>
        <v>133.43879538926106</v>
      </c>
      <c r="Y203" s="55">
        <f t="shared" ca="1" si="54"/>
        <v>15.647456444775395</v>
      </c>
      <c r="Z203">
        <f t="shared" ca="1" si="48"/>
        <v>102.34971518251059</v>
      </c>
      <c r="AA203">
        <f t="shared" ca="1" si="55"/>
        <v>275.33272875935359</v>
      </c>
      <c r="AB203">
        <f t="shared" ca="1" si="49"/>
        <v>0</v>
      </c>
      <c r="AC203">
        <f t="shared" ca="1" si="50"/>
        <v>0.99929306581234301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45607</v>
      </c>
      <c r="S204" s="55">
        <f t="shared" ca="1" si="51"/>
        <v>45607</v>
      </c>
      <c r="T204" s="55">
        <f t="shared" ca="1" si="45"/>
        <v>46.302003193264987</v>
      </c>
      <c r="U204" s="55">
        <f t="shared" ca="1" si="46"/>
        <v>198.14825675142268</v>
      </c>
      <c r="V204" s="55">
        <f t="shared" ca="1" si="47"/>
        <v>0</v>
      </c>
      <c r="W204" s="55">
        <f t="shared" ca="1" si="52"/>
        <v>-100.74046271760278</v>
      </c>
      <c r="X204" s="55">
        <f t="shared" ca="1" si="53"/>
        <v>134.21794862378141</v>
      </c>
      <c r="Y204" s="55">
        <f t="shared" ca="1" si="54"/>
        <v>15.654368854107823</v>
      </c>
      <c r="Z204">
        <f t="shared" ca="1" si="48"/>
        <v>102.66323720592656</v>
      </c>
      <c r="AA204">
        <f t="shared" ca="1" si="55"/>
        <v>275.33272875935359</v>
      </c>
      <c r="AB204">
        <f t="shared" ca="1" si="49"/>
        <v>0</v>
      </c>
      <c r="AC204">
        <f t="shared" ca="1" si="50"/>
        <v>0.99935267488998336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45608</v>
      </c>
      <c r="S205" s="55">
        <f t="shared" ca="1" si="51"/>
        <v>45608</v>
      </c>
      <c r="T205" s="55">
        <f t="shared" ca="1" si="45"/>
        <v>43.560313959492596</v>
      </c>
      <c r="U205" s="55">
        <f t="shared" ca="1" si="46"/>
        <v>201.61269361478884</v>
      </c>
      <c r="V205" s="55">
        <f t="shared" ca="1" si="47"/>
        <v>0</v>
      </c>
      <c r="W205" s="55">
        <f t="shared" ca="1" si="52"/>
        <v>-100.74046271760278</v>
      </c>
      <c r="X205" s="55">
        <f t="shared" ca="1" si="53"/>
        <v>134.93419445239289</v>
      </c>
      <c r="Y205" s="55">
        <f t="shared" ca="1" si="54"/>
        <v>15.660870655090127</v>
      </c>
      <c r="Z205">
        <f t="shared" ca="1" si="48"/>
        <v>99.063725885818783</v>
      </c>
      <c r="AA205">
        <f t="shared" ca="1" si="55"/>
        <v>275.33272875935359</v>
      </c>
      <c r="AB205">
        <f t="shared" ca="1" si="49"/>
        <v>0</v>
      </c>
      <c r="AC205">
        <f t="shared" ca="1" si="50"/>
        <v>0.99940521802264237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45609</v>
      </c>
      <c r="S206" s="55">
        <f t="shared" ca="1" si="51"/>
        <v>45609</v>
      </c>
      <c r="T206" s="55">
        <f t="shared" ca="1" si="45"/>
        <v>40.781713023664977</v>
      </c>
      <c r="U206" s="55">
        <f t="shared" ca="1" si="46"/>
        <v>205.08989912085337</v>
      </c>
      <c r="V206" s="55">
        <f t="shared" ca="1" si="47"/>
        <v>0</v>
      </c>
      <c r="W206" s="55">
        <f t="shared" ca="1" si="52"/>
        <v>-100.74046271760278</v>
      </c>
      <c r="X206" s="55">
        <f t="shared" ca="1" si="53"/>
        <v>135.62644233148703</v>
      </c>
      <c r="Y206" s="55">
        <f t="shared" ca="1" si="54"/>
        <v>15.667227346232909</v>
      </c>
      <c r="Z206">
        <f t="shared" ca="1" si="48"/>
        <v>95.586003791671757</v>
      </c>
      <c r="AA206">
        <f t="shared" ca="1" si="55"/>
        <v>275.33272875935359</v>
      </c>
      <c r="AB206">
        <f t="shared" ca="1" si="49"/>
        <v>0</v>
      </c>
      <c r="AC206">
        <f t="shared" ca="1" si="50"/>
        <v>0.99945364602562081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45610</v>
      </c>
      <c r="S207" s="55">
        <f t="shared" ca="1" si="51"/>
        <v>45610</v>
      </c>
      <c r="T207" s="55">
        <f t="shared" ca="1" si="45"/>
        <v>37.800359394849423</v>
      </c>
      <c r="U207" s="55">
        <f t="shared" ca="1" si="46"/>
        <v>208.80703115288114</v>
      </c>
      <c r="V207" s="55">
        <f t="shared" ca="1" si="47"/>
        <v>0</v>
      </c>
      <c r="W207" s="55">
        <f t="shared" ca="1" si="52"/>
        <v>-100.74046271760278</v>
      </c>
      <c r="X207" s="55">
        <f t="shared" ca="1" si="53"/>
        <v>136.355642453851</v>
      </c>
      <c r="Y207" s="55">
        <f t="shared" ca="1" si="54"/>
        <v>15.673805627081144</v>
      </c>
      <c r="Z207">
        <f t="shared" ca="1" si="48"/>
        <v>93.290950069655139</v>
      </c>
      <c r="AA207">
        <f t="shared" ca="1" si="55"/>
        <v>275.33272875935359</v>
      </c>
      <c r="AB207">
        <f t="shared" ca="1" si="49"/>
        <v>0</v>
      </c>
      <c r="AC207">
        <f t="shared" ca="1" si="50"/>
        <v>0.99950106982879849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45611</v>
      </c>
      <c r="S208" s="55">
        <f t="shared" ca="1" si="51"/>
        <v>45611</v>
      </c>
      <c r="T208" s="55">
        <f t="shared" ca="1" si="45"/>
        <v>73.402769654321617</v>
      </c>
      <c r="U208" s="55">
        <f t="shared" ca="1" si="46"/>
        <v>212.87714221875061</v>
      </c>
      <c r="V208" s="55">
        <f t="shared" ca="1" si="47"/>
        <v>38.822737879479654</v>
      </c>
      <c r="W208" s="55">
        <f t="shared" ca="1" si="52"/>
        <v>-100.74046271760278</v>
      </c>
      <c r="X208" s="55">
        <f t="shared" ca="1" si="53"/>
        <v>137.1984304641087</v>
      </c>
      <c r="Y208" s="55">
        <f t="shared" ca="1" si="54"/>
        <v>15.680801062685459</v>
      </c>
      <c r="Z208">
        <f t="shared" ca="1" si="48"/>
        <v>96.474151462757391</v>
      </c>
      <c r="AA208">
        <f t="shared" ca="1" si="55"/>
        <v>275.33272875935359</v>
      </c>
      <c r="AB208">
        <f t="shared" ca="1" si="49"/>
        <v>0</v>
      </c>
      <c r="AC208">
        <f t="shared" ca="1" si="50"/>
        <v>0.99954832712357389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45612</v>
      </c>
      <c r="S209" s="55">
        <f t="shared" ca="1" si="51"/>
        <v>45612</v>
      </c>
      <c r="T209" s="55">
        <f t="shared" ca="1" si="45"/>
        <v>70.188706604027601</v>
      </c>
      <c r="U209" s="55">
        <f t="shared" ca="1" si="46"/>
        <v>216.99575119279135</v>
      </c>
      <c r="V209" s="55">
        <f t="shared" ca="1" si="47"/>
        <v>0</v>
      </c>
      <c r="W209" s="55">
        <f t="shared" ca="1" si="52"/>
        <v>-100.74046271760278</v>
      </c>
      <c r="X209" s="55">
        <f t="shared" ca="1" si="53"/>
        <v>138.09608761380824</v>
      </c>
      <c r="Y209" s="55">
        <f t="shared" ca="1" si="54"/>
        <v>15.687689836732638</v>
      </c>
      <c r="Z209">
        <f t="shared" ca="1" si="48"/>
        <v>100.7702018195054</v>
      </c>
      <c r="AA209">
        <f t="shared" ca="1" si="55"/>
        <v>275.33272875935359</v>
      </c>
      <c r="AB209">
        <f t="shared" ca="1" si="49"/>
        <v>0</v>
      </c>
      <c r="AC209">
        <f t="shared" ca="1" si="50"/>
        <v>0.99959166153176782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45613</v>
      </c>
      <c r="S210" s="55">
        <f t="shared" ca="1" si="51"/>
        <v>45613</v>
      </c>
      <c r="T210" s="55">
        <f t="shared" ref="T210:T273" ca="1" si="63">VLOOKUP(S210,ModelOutputs,2,FALSE)</f>
        <v>67.13089479705107</v>
      </c>
      <c r="U210" s="55">
        <f t="shared" ref="U210:U273" ca="1" si="64">VLOOKUP(S210,ModelOutputs,7,FALSE)</f>
        <v>220.96709942443192</v>
      </c>
      <c r="V210" s="55">
        <f t="shared" ref="V210:V273" ca="1" si="65">VLOOKUP(S210,ModelOutputs,6,FALSE)</f>
        <v>0</v>
      </c>
      <c r="W210" s="55">
        <f t="shared" ca="1" si="52"/>
        <v>-100.74046271760278</v>
      </c>
      <c r="X210" s="55">
        <f t="shared" ca="1" si="53"/>
        <v>139.00315862727962</v>
      </c>
      <c r="Y210" s="55">
        <f t="shared" ca="1" si="54"/>
        <v>15.694155247925309</v>
      </c>
      <c r="Z210">
        <f t="shared" ref="Z210:Z273" ca="1" si="66">VLOOKUP(S210,ModelOutputs,10,FALSE)*AWC</f>
        <v>105.65749590301498</v>
      </c>
      <c r="AA210">
        <f t="shared" ca="1" si="55"/>
        <v>275.33272875935359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0.99962959241803251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45614</v>
      </c>
      <c r="S211" s="55">
        <f t="shared" ref="S211:S274" ca="1" si="69">IF(R211&gt;1,R211,"")</f>
        <v>45614</v>
      </c>
      <c r="T211" s="55">
        <f t="shared" ca="1" si="63"/>
        <v>64.144710517425565</v>
      </c>
      <c r="U211" s="55">
        <f t="shared" ca="1" si="64"/>
        <v>224.78659841301462</v>
      </c>
      <c r="V211" s="55">
        <f t="shared" ca="1" si="65"/>
        <v>0</v>
      </c>
      <c r="W211" s="55">
        <f t="shared" ref="W211:W274" ca="1" si="70">-VLOOKUP(S211,ModelOutputs,9,FALSE)+W210</f>
        <v>-100.74046271760278</v>
      </c>
      <c r="X211" s="55">
        <f t="shared" ref="X211:X274" ca="1" si="71">VLOOKUP(S211,ModelOutputs,5,FALSE)+X210</f>
        <v>139.83040252769223</v>
      </c>
      <c r="Y211" s="55">
        <f t="shared" ref="Y211:Y274" ca="1" si="72">VLOOKUP(S211,ModelOutputs,4,FALSE)+Y210</f>
        <v>15.700226056469901</v>
      </c>
      <c r="Z211">
        <f t="shared" ca="1" si="66"/>
        <v>101.1012264601073</v>
      </c>
      <c r="AA211">
        <f t="shared" ref="AA211:AA274" ca="1" si="73">VLOOKUP(S211,ModelOutputs,11,FALSE)+AA210</f>
        <v>275.33272875935359</v>
      </c>
      <c r="AB211">
        <f t="shared" ca="1" si="67"/>
        <v>0</v>
      </c>
      <c r="AC211">
        <f t="shared" ca="1" si="68"/>
        <v>0.99966284286409046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45615</v>
      </c>
      <c r="S212" s="55">
        <f t="shared" ca="1" si="69"/>
        <v>45615</v>
      </c>
      <c r="T212" s="55">
        <f t="shared" ca="1" si="63"/>
        <v>61.122510634991727</v>
      </c>
      <c r="U212" s="55">
        <f t="shared" ca="1" si="64"/>
        <v>228.64098387948241</v>
      </c>
      <c r="V212" s="55">
        <f t="shared" ca="1" si="65"/>
        <v>0</v>
      </c>
      <c r="W212" s="55">
        <f t="shared" ca="1" si="70"/>
        <v>-100.74046271760278</v>
      </c>
      <c r="X212" s="55">
        <f t="shared" ca="1" si="71"/>
        <v>140.65660574603422</v>
      </c>
      <c r="Y212" s="55">
        <f t="shared" ca="1" si="72"/>
        <v>15.706208422161884</v>
      </c>
      <c r="Z212">
        <f t="shared" ca="1" si="66"/>
        <v>99.553674062697397</v>
      </c>
      <c r="AA212">
        <f t="shared" ca="1" si="73"/>
        <v>275.33272875935359</v>
      </c>
      <c r="AB212">
        <f t="shared" ca="1" si="67"/>
        <v>0</v>
      </c>
      <c r="AC212">
        <f t="shared" ca="1" si="68"/>
        <v>0.99969348193176955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45616</v>
      </c>
      <c r="S213" s="55">
        <f t="shared" ca="1" si="69"/>
        <v>45616</v>
      </c>
      <c r="T213" s="55">
        <f t="shared" ca="1" si="63"/>
        <v>58.073663361053555</v>
      </c>
      <c r="U213" s="55">
        <f t="shared" ca="1" si="64"/>
        <v>232.49984012174727</v>
      </c>
      <c r="V213" s="55">
        <f t="shared" ca="1" si="65"/>
        <v>0</v>
      </c>
      <c r="W213" s="55">
        <f t="shared" ca="1" si="70"/>
        <v>-100.74046271760278</v>
      </c>
      <c r="X213" s="55">
        <f t="shared" ca="1" si="71"/>
        <v>141.46076077335599</v>
      </c>
      <c r="Y213" s="55">
        <f t="shared" ca="1" si="72"/>
        <v>15.712062363166822</v>
      </c>
      <c r="Z213">
        <f t="shared" ca="1" si="66"/>
        <v>96.423505025771689</v>
      </c>
      <c r="AA213">
        <f t="shared" ca="1" si="73"/>
        <v>275.33272875935359</v>
      </c>
      <c r="AB213">
        <f t="shared" ca="1" si="67"/>
        <v>0</v>
      </c>
      <c r="AC213">
        <f t="shared" ca="1" si="68"/>
        <v>0.99972148784251147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45617</v>
      </c>
      <c r="S214" s="55">
        <f t="shared" ca="1" si="69"/>
        <v>45617</v>
      </c>
      <c r="T214" s="55">
        <f t="shared" ca="1" si="63"/>
        <v>54.996603245542509</v>
      </c>
      <c r="U214" s="55">
        <f t="shared" ca="1" si="64"/>
        <v>236.36284767458571</v>
      </c>
      <c r="V214" s="55">
        <f t="shared" ca="1" si="65"/>
        <v>0</v>
      </c>
      <c r="W214" s="55">
        <f t="shared" ca="1" si="70"/>
        <v>-100.74046271760278</v>
      </c>
      <c r="X214" s="55">
        <f t="shared" ca="1" si="71"/>
        <v>142.2409760028587</v>
      </c>
      <c r="Y214" s="55">
        <f t="shared" ca="1" si="72"/>
        <v>15.717794570991506</v>
      </c>
      <c r="Z214">
        <f t="shared" ca="1" si="66"/>
        <v>92.945523282049663</v>
      </c>
      <c r="AA214">
        <f t="shared" ca="1" si="73"/>
        <v>275.33272875935359</v>
      </c>
      <c r="AB214">
        <f t="shared" ca="1" si="67"/>
        <v>0</v>
      </c>
      <c r="AC214">
        <f t="shared" ca="1" si="68"/>
        <v>0.99974708919976663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45618</v>
      </c>
      <c r="S215" s="55">
        <f t="shared" ca="1" si="69"/>
        <v>45618</v>
      </c>
      <c r="T215" s="55">
        <f t="shared" ca="1" si="63"/>
        <v>51.770877071631119</v>
      </c>
      <c r="U215" s="55">
        <f t="shared" ca="1" si="64"/>
        <v>240.35813021069751</v>
      </c>
      <c r="V215" s="55">
        <f t="shared" ca="1" si="65"/>
        <v>0</v>
      </c>
      <c r="W215" s="55">
        <f t="shared" ca="1" si="70"/>
        <v>-100.74046271760278</v>
      </c>
      <c r="X215" s="55">
        <f t="shared" ca="1" si="71"/>
        <v>143.00472824325649</v>
      </c>
      <c r="Y215" s="55">
        <f t="shared" ca="1" si="72"/>
        <v>15.72359869279412</v>
      </c>
      <c r="Z215">
        <f t="shared" ca="1" si="66"/>
        <v>86.563263509295865</v>
      </c>
      <c r="AA215">
        <f t="shared" ca="1" si="73"/>
        <v>275.33272875935359</v>
      </c>
      <c r="AB215">
        <f t="shared" ca="1" si="67"/>
        <v>0</v>
      </c>
      <c r="AC215">
        <f t="shared" ca="1" si="68"/>
        <v>0.99977123487235575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45619</v>
      </c>
      <c r="S216" s="55">
        <f t="shared" ca="1" si="69"/>
        <v>45619</v>
      </c>
      <c r="T216" s="55">
        <f t="shared" ca="1" si="63"/>
        <v>48.549043118821814</v>
      </c>
      <c r="U216" s="55">
        <f t="shared" ca="1" si="64"/>
        <v>244.32815037917612</v>
      </c>
      <c r="V216" s="55">
        <f t="shared" ca="1" si="65"/>
        <v>0</v>
      </c>
      <c r="W216" s="55">
        <f t="shared" ca="1" si="70"/>
        <v>-100.74046271760278</v>
      </c>
      <c r="X216" s="55">
        <f t="shared" ca="1" si="71"/>
        <v>143.74726746118219</v>
      </c>
      <c r="Y216" s="55">
        <f t="shared" ca="1" si="72"/>
        <v>15.729245690537731</v>
      </c>
      <c r="Z216">
        <f t="shared" ca="1" si="66"/>
        <v>83.937511443576341</v>
      </c>
      <c r="AA216">
        <f t="shared" ca="1" si="73"/>
        <v>275.33272875935359</v>
      </c>
      <c r="AB216">
        <f t="shared" ca="1" si="67"/>
        <v>0</v>
      </c>
      <c r="AC216">
        <f t="shared" ca="1" si="68"/>
        <v>0.9997930897711228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45620</v>
      </c>
      <c r="S217" s="55">
        <f t="shared" ca="1" si="69"/>
        <v>45620</v>
      </c>
      <c r="T217" s="55">
        <f t="shared" ca="1" si="63"/>
        <v>45.152881097530638</v>
      </c>
      <c r="U217" s="55">
        <f t="shared" ca="1" si="64"/>
        <v>248.51244820052474</v>
      </c>
      <c r="V217" s="55">
        <f t="shared" ca="1" si="65"/>
        <v>0</v>
      </c>
      <c r="W217" s="55">
        <f t="shared" ca="1" si="70"/>
        <v>-100.74046271760278</v>
      </c>
      <c r="X217" s="55">
        <f t="shared" ca="1" si="71"/>
        <v>144.52955183006975</v>
      </c>
      <c r="Y217" s="55">
        <f t="shared" ca="1" si="72"/>
        <v>15.735097121707627</v>
      </c>
      <c r="Z217">
        <f t="shared" ca="1" si="66"/>
        <v>81.763916235281982</v>
      </c>
      <c r="AA217">
        <f t="shared" ca="1" si="73"/>
        <v>275.33272875935359</v>
      </c>
      <c r="AB217">
        <f t="shared" ca="1" si="67"/>
        <v>0</v>
      </c>
      <c r="AC217">
        <f t="shared" ca="1" si="68"/>
        <v>0.99981402797642327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45621</v>
      </c>
      <c r="S218" s="55">
        <f t="shared" ca="1" si="69"/>
        <v>45621</v>
      </c>
      <c r="T218" s="55">
        <f t="shared" ca="1" si="63"/>
        <v>80.636627505779558</v>
      </c>
      <c r="U218" s="55">
        <f t="shared" ca="1" si="64"/>
        <v>252.69514056686975</v>
      </c>
      <c r="V218" s="55">
        <f t="shared" ca="1" si="65"/>
        <v>38.828820430227395</v>
      </c>
      <c r="W218" s="55">
        <f t="shared" ca="1" si="70"/>
        <v>-100.74046271760278</v>
      </c>
      <c r="X218" s="55">
        <f t="shared" ca="1" si="71"/>
        <v>145.36143510286033</v>
      </c>
      <c r="Y218" s="55">
        <f t="shared" ca="1" si="72"/>
        <v>15.740832193283598</v>
      </c>
      <c r="Z218">
        <f t="shared" ca="1" si="66"/>
        <v>86.303349273677128</v>
      </c>
      <c r="AA218">
        <f t="shared" ca="1" si="73"/>
        <v>275.33272875935359</v>
      </c>
      <c r="AB218">
        <f t="shared" ca="1" si="67"/>
        <v>0</v>
      </c>
      <c r="AC218">
        <f t="shared" ca="1" si="68"/>
        <v>0.99983300554833132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45622</v>
      </c>
      <c r="S219" s="55">
        <f t="shared" ca="1" si="69"/>
        <v>45622</v>
      </c>
      <c r="T219" s="55">
        <f t="shared" ca="1" si="63"/>
        <v>77.243043477241656</v>
      </c>
      <c r="U219" s="55">
        <f t="shared" ca="1" si="64"/>
        <v>256.92092538287051</v>
      </c>
      <c r="V219" s="55">
        <f t="shared" ca="1" si="65"/>
        <v>0</v>
      </c>
      <c r="W219" s="55">
        <f t="shared" ca="1" si="70"/>
        <v>-100.74046271760278</v>
      </c>
      <c r="X219" s="55">
        <f t="shared" ca="1" si="71"/>
        <v>146.18794199568612</v>
      </c>
      <c r="Y219" s="55">
        <f t="shared" ca="1" si="72"/>
        <v>15.746526087920643</v>
      </c>
      <c r="Z219">
        <f t="shared" ca="1" si="66"/>
        <v>83.329669316515805</v>
      </c>
      <c r="AA219">
        <f t="shared" ca="1" si="73"/>
        <v>275.33272875935359</v>
      </c>
      <c r="AB219">
        <f t="shared" ca="1" si="67"/>
        <v>0</v>
      </c>
      <c r="AC219">
        <f t="shared" ca="1" si="68"/>
        <v>0.99985038041326324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45623</v>
      </c>
      <c r="S220" s="55">
        <f t="shared" ca="1" si="69"/>
        <v>45623</v>
      </c>
      <c r="T220" s="55">
        <f t="shared" ca="1" si="63"/>
        <v>74.008108094144987</v>
      </c>
      <c r="U220" s="55">
        <f t="shared" ca="1" si="64"/>
        <v>261.04591276200171</v>
      </c>
      <c r="V220" s="55">
        <f t="shared" ca="1" si="65"/>
        <v>0</v>
      </c>
      <c r="W220" s="55">
        <f t="shared" ca="1" si="70"/>
        <v>-100.74046271760278</v>
      </c>
      <c r="X220" s="55">
        <f t="shared" ca="1" si="71"/>
        <v>147.07254824946273</v>
      </c>
      <c r="Y220" s="55">
        <f t="shared" ca="1" si="72"/>
        <v>15.751971830178551</v>
      </c>
      <c r="Z220">
        <f t="shared" ca="1" si="66"/>
        <v>91.016840582626827</v>
      </c>
      <c r="AA220">
        <f t="shared" ca="1" si="73"/>
        <v>275.33272875935359</v>
      </c>
      <c r="AB220">
        <f t="shared" ca="1" si="67"/>
        <v>0</v>
      </c>
      <c r="AC220">
        <f t="shared" ca="1" si="68"/>
        <v>0.9998657576459421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45624</v>
      </c>
      <c r="S221" s="55">
        <f t="shared" ca="1" si="69"/>
        <v>45624</v>
      </c>
      <c r="T221" s="55">
        <f t="shared" ca="1" si="63"/>
        <v>70.959480082280933</v>
      </c>
      <c r="U221" s="55">
        <f t="shared" ca="1" si="64"/>
        <v>264.85960094752971</v>
      </c>
      <c r="V221" s="55">
        <f t="shared" ca="1" si="65"/>
        <v>0</v>
      </c>
      <c r="W221" s="55">
        <f t="shared" ca="1" si="70"/>
        <v>-100.74046271760278</v>
      </c>
      <c r="X221" s="55">
        <f t="shared" ca="1" si="71"/>
        <v>147.83268412143909</v>
      </c>
      <c r="Y221" s="55">
        <f t="shared" ca="1" si="72"/>
        <v>15.756896131866164</v>
      </c>
      <c r="Z221">
        <f t="shared" ca="1" si="66"/>
        <v>84.930096517781408</v>
      </c>
      <c r="AA221">
        <f t="shared" ca="1" si="73"/>
        <v>275.33272875935359</v>
      </c>
      <c r="AB221">
        <f t="shared" ca="1" si="67"/>
        <v>0</v>
      </c>
      <c r="AC221">
        <f t="shared" ca="1" si="68"/>
        <v>0.99987870632976716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45625</v>
      </c>
      <c r="S222" s="55">
        <f t="shared" ca="1" si="69"/>
        <v>45625</v>
      </c>
      <c r="T222" s="55">
        <f t="shared" ca="1" si="63"/>
        <v>67.778978099179682</v>
      </c>
      <c r="U222" s="55">
        <f t="shared" ca="1" si="64"/>
        <v>268.89946660692584</v>
      </c>
      <c r="V222" s="55">
        <f t="shared" ca="1" si="65"/>
        <v>0</v>
      </c>
      <c r="W222" s="55">
        <f t="shared" ca="1" si="70"/>
        <v>-100.74046271760278</v>
      </c>
      <c r="X222" s="55">
        <f t="shared" ca="1" si="71"/>
        <v>148.6868858249093</v>
      </c>
      <c r="Y222" s="55">
        <f t="shared" ca="1" si="72"/>
        <v>15.762058104690826</v>
      </c>
      <c r="Z222">
        <f t="shared" ca="1" si="66"/>
        <v>87.469435410418654</v>
      </c>
      <c r="AA222">
        <f t="shared" ca="1" si="73"/>
        <v>275.33272875935359</v>
      </c>
      <c r="AB222">
        <f t="shared" ca="1" si="67"/>
        <v>0</v>
      </c>
      <c r="AC222">
        <f t="shared" ca="1" si="68"/>
        <v>0.99989120938451748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45626</v>
      </c>
      <c r="S223" s="55">
        <f t="shared" ca="1" si="69"/>
        <v>45626</v>
      </c>
      <c r="T223" s="55">
        <f t="shared" ca="1" si="63"/>
        <v>64.751834075063641</v>
      </c>
      <c r="U223" s="55">
        <f t="shared" ca="1" si="64"/>
        <v>272.82801438084857</v>
      </c>
      <c r="V223" s="55">
        <f t="shared" ca="1" si="65"/>
        <v>0</v>
      </c>
      <c r="W223" s="55">
        <f t="shared" ca="1" si="70"/>
        <v>-100.74046271760278</v>
      </c>
      <c r="X223" s="55">
        <f t="shared" ca="1" si="71"/>
        <v>149.58335480034253</v>
      </c>
      <c r="Y223" s="55">
        <f t="shared" ca="1" si="72"/>
        <v>15.766992879064276</v>
      </c>
      <c r="Z223">
        <f t="shared" ca="1" si="66"/>
        <v>93.556541674343634</v>
      </c>
      <c r="AA223">
        <f t="shared" ca="1" si="73"/>
        <v>275.33272875935359</v>
      </c>
      <c r="AB223">
        <f t="shared" ca="1" si="67"/>
        <v>0</v>
      </c>
      <c r="AC223">
        <f t="shared" ca="1" si="68"/>
        <v>0.99990227216060645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45627</v>
      </c>
      <c r="S224" s="55">
        <f t="shared" ca="1" si="69"/>
        <v>45627</v>
      </c>
      <c r="T224" s="55">
        <f t="shared" ca="1" si="63"/>
        <v>61.689192344221112</v>
      </c>
      <c r="U224" s="55">
        <f t="shared" ca="1" si="64"/>
        <v>276.76367197557204</v>
      </c>
      <c r="V224" s="55">
        <f t="shared" ca="1" si="65"/>
        <v>0</v>
      </c>
      <c r="W224" s="55">
        <f t="shared" ca="1" si="70"/>
        <v>-100.74046271760278</v>
      </c>
      <c r="X224" s="55">
        <f t="shared" ca="1" si="71"/>
        <v>150.45148927847157</v>
      </c>
      <c r="Y224" s="55">
        <f t="shared" ca="1" si="72"/>
        <v>15.771874264816187</v>
      </c>
      <c r="Z224">
        <f t="shared" ca="1" si="66"/>
        <v>88.72188870566346</v>
      </c>
      <c r="AA224">
        <f t="shared" ca="1" si="73"/>
        <v>275.33272875935359</v>
      </c>
      <c r="AB224">
        <f t="shared" ca="1" si="67"/>
        <v>0</v>
      </c>
      <c r="AC224">
        <f t="shared" ca="1" si="68"/>
        <v>0.99991236398765082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45628</v>
      </c>
      <c r="S225" s="55">
        <f t="shared" ca="1" si="69"/>
        <v>45628</v>
      </c>
      <c r="T225" s="55">
        <f t="shared" ca="1" si="63"/>
        <v>58.683825581184465</v>
      </c>
      <c r="U225" s="55">
        <f t="shared" ca="1" si="64"/>
        <v>280.61786109489731</v>
      </c>
      <c r="V225" s="55">
        <f t="shared" ca="1" si="65"/>
        <v>0</v>
      </c>
      <c r="W225" s="55">
        <f t="shared" ca="1" si="70"/>
        <v>-100.74046271760278</v>
      </c>
      <c r="X225" s="55">
        <f t="shared" ca="1" si="71"/>
        <v>151.29559866616805</v>
      </c>
      <c r="Y225" s="55">
        <f t="shared" ca="1" si="72"/>
        <v>15.776587233408343</v>
      </c>
      <c r="Z225">
        <f t="shared" ca="1" si="66"/>
        <v>86.826356299797197</v>
      </c>
      <c r="AA225">
        <f t="shared" ca="1" si="73"/>
        <v>275.33272875935359</v>
      </c>
      <c r="AB225">
        <f t="shared" ca="1" si="67"/>
        <v>0</v>
      </c>
      <c r="AC225">
        <f t="shared" ca="1" si="68"/>
        <v>0.99992136601963499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45629</v>
      </c>
      <c r="S226" s="55">
        <f t="shared" ca="1" si="69"/>
        <v>45629</v>
      </c>
      <c r="T226" s="55">
        <f t="shared" ca="1" si="63"/>
        <v>55.63884238655875</v>
      </c>
      <c r="U226" s="55">
        <f t="shared" ca="1" si="64"/>
        <v>284.53456625151119</v>
      </c>
      <c r="V226" s="55">
        <f t="shared" ca="1" si="65"/>
        <v>0</v>
      </c>
      <c r="W226" s="55">
        <f t="shared" ca="1" si="70"/>
        <v>-100.74046271760278</v>
      </c>
      <c r="X226" s="55">
        <f t="shared" ca="1" si="71"/>
        <v>152.16257159836485</v>
      </c>
      <c r="Y226" s="55">
        <f t="shared" ca="1" si="72"/>
        <v>15.781336263199702</v>
      </c>
      <c r="Z226">
        <f t="shared" ca="1" si="66"/>
        <v>85.435181409377904</v>
      </c>
      <c r="AA226">
        <f t="shared" ca="1" si="73"/>
        <v>275.33272875935359</v>
      </c>
      <c r="AB226">
        <f t="shared" ca="1" si="67"/>
        <v>0</v>
      </c>
      <c r="AC226">
        <f t="shared" ca="1" si="68"/>
        <v>0.99992969535101872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45630</v>
      </c>
      <c r="S227" s="55">
        <f t="shared" ca="1" si="69"/>
        <v>45630</v>
      </c>
      <c r="T227" s="55">
        <f t="shared" ca="1" si="63"/>
        <v>52.648786938568747</v>
      </c>
      <c r="U227" s="55">
        <f t="shared" ca="1" si="64"/>
        <v>288.34886401419834</v>
      </c>
      <c r="V227" s="55">
        <f t="shared" ca="1" si="65"/>
        <v>0</v>
      </c>
      <c r="W227" s="55">
        <f t="shared" ca="1" si="70"/>
        <v>-100.74046271760278</v>
      </c>
      <c r="X227" s="55">
        <f t="shared" ca="1" si="71"/>
        <v>152.98224967809153</v>
      </c>
      <c r="Y227" s="55">
        <f t="shared" ca="1" si="72"/>
        <v>15.785900498170157</v>
      </c>
      <c r="Z227">
        <f t="shared" ca="1" si="66"/>
        <v>81.435287946019045</v>
      </c>
      <c r="AA227">
        <f t="shared" ca="1" si="73"/>
        <v>275.33272875935359</v>
      </c>
      <c r="AB227">
        <f t="shared" ca="1" si="67"/>
        <v>0</v>
      </c>
      <c r="AC227">
        <f t="shared" ca="1" si="68"/>
        <v>0.99993707878373306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45631</v>
      </c>
      <c r="S228" s="55">
        <f t="shared" ca="1" si="69"/>
        <v>45631</v>
      </c>
      <c r="T228" s="55">
        <f t="shared" ca="1" si="63"/>
        <v>49.72154427110128</v>
      </c>
      <c r="U228" s="55">
        <f t="shared" ca="1" si="64"/>
        <v>292.09676859242524</v>
      </c>
      <c r="V228" s="55">
        <f t="shared" ca="1" si="65"/>
        <v>0</v>
      </c>
      <c r="W228" s="55">
        <f t="shared" ca="1" si="70"/>
        <v>-100.74046271760278</v>
      </c>
      <c r="X228" s="55">
        <f t="shared" ca="1" si="71"/>
        <v>153.79847448611596</v>
      </c>
      <c r="Y228" s="55">
        <f t="shared" ca="1" si="72"/>
        <v>15.790337600905163</v>
      </c>
      <c r="Z228">
        <f t="shared" ca="1" si="66"/>
        <v>80.983204671748183</v>
      </c>
      <c r="AA228">
        <f t="shared" ca="1" si="73"/>
        <v>275.33272875935359</v>
      </c>
      <c r="AB228">
        <f t="shared" ca="1" si="67"/>
        <v>0</v>
      </c>
      <c r="AC228">
        <f t="shared" ca="1" si="68"/>
        <v>0.99994369064848965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45632</v>
      </c>
      <c r="S229" s="55">
        <f t="shared" ca="1" si="69"/>
        <v>45632</v>
      </c>
      <c r="T229" s="55">
        <f t="shared" ca="1" si="63"/>
        <v>46.949635466939853</v>
      </c>
      <c r="U229" s="55">
        <f t="shared" ca="1" si="64"/>
        <v>295.647956974404</v>
      </c>
      <c r="V229" s="55">
        <f t="shared" ca="1" si="65"/>
        <v>0</v>
      </c>
      <c r="W229" s="55">
        <f t="shared" ca="1" si="70"/>
        <v>-100.74046271760278</v>
      </c>
      <c r="X229" s="55">
        <f t="shared" ca="1" si="71"/>
        <v>154.57360743184924</v>
      </c>
      <c r="Y229" s="55">
        <f t="shared" ca="1" si="72"/>
        <v>15.794484232989213</v>
      </c>
      <c r="Z229">
        <f t="shared" ca="1" si="66"/>
        <v>80.426780760576861</v>
      </c>
      <c r="AA229">
        <f t="shared" ca="1" si="73"/>
        <v>275.33272875935359</v>
      </c>
      <c r="AB229">
        <f t="shared" ca="1" si="67"/>
        <v>0</v>
      </c>
      <c r="AC229">
        <f t="shared" ca="1" si="68"/>
        <v>0.99994941352908273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45633</v>
      </c>
      <c r="S230" s="55">
        <f t="shared" ca="1" si="69"/>
        <v>45633</v>
      </c>
      <c r="T230" s="55">
        <f t="shared" ca="1" si="63"/>
        <v>44.387989335664869</v>
      </c>
      <c r="U230" s="55">
        <f t="shared" ca="1" si="64"/>
        <v>298.99730087669485</v>
      </c>
      <c r="V230" s="55">
        <f t="shared" ca="1" si="65"/>
        <v>0</v>
      </c>
      <c r="W230" s="55">
        <f t="shared" ca="1" si="70"/>
        <v>-100.74046271760278</v>
      </c>
      <c r="X230" s="55">
        <f t="shared" ca="1" si="71"/>
        <v>155.35743832218171</v>
      </c>
      <c r="Y230" s="55">
        <f t="shared" ca="1" si="72"/>
        <v>15.798351113672613</v>
      </c>
      <c r="Z230">
        <f t="shared" ca="1" si="66"/>
        <v>85.99207431602656</v>
      </c>
      <c r="AA230">
        <f t="shared" ca="1" si="73"/>
        <v>275.33272875935359</v>
      </c>
      <c r="AB230">
        <f t="shared" ca="1" si="67"/>
        <v>0</v>
      </c>
      <c r="AC230">
        <f t="shared" ca="1" si="68"/>
        <v>0.99995436423933215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45634</v>
      </c>
      <c r="S231" s="55">
        <f t="shared" ca="1" si="69"/>
        <v>45634</v>
      </c>
      <c r="T231" s="55">
        <f t="shared" ca="1" si="63"/>
        <v>41.763331161094129</v>
      </c>
      <c r="U231" s="55">
        <f t="shared" ca="1" si="64"/>
        <v>302.42216411421401</v>
      </c>
      <c r="V231" s="55">
        <f t="shared" ca="1" si="65"/>
        <v>0</v>
      </c>
      <c r="W231" s="55">
        <f t="shared" ca="1" si="70"/>
        <v>-100.74046271760278</v>
      </c>
      <c r="X231" s="55">
        <f t="shared" ca="1" si="71"/>
        <v>156.15370493466511</v>
      </c>
      <c r="Y231" s="55">
        <f t="shared" ca="1" si="72"/>
        <v>15.802289564137633</v>
      </c>
      <c r="Z231">
        <f t="shared" ca="1" si="66"/>
        <v>82.635627527598444</v>
      </c>
      <c r="AA231">
        <f t="shared" ca="1" si="73"/>
        <v>275.33272875935359</v>
      </c>
      <c r="AB231">
        <f t="shared" ca="1" si="67"/>
        <v>0</v>
      </c>
      <c r="AC231">
        <f t="shared" ca="1" si="68"/>
        <v>0.99995901067704052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45635</v>
      </c>
      <c r="S232" s="55">
        <f t="shared" ca="1" si="69"/>
        <v>45635</v>
      </c>
      <c r="T232" s="55">
        <f t="shared" ca="1" si="63"/>
        <v>39.150143852821316</v>
      </c>
      <c r="U232" s="55">
        <f t="shared" ca="1" si="64"/>
        <v>305.9463706963773</v>
      </c>
      <c r="V232" s="55">
        <f t="shared" ca="1" si="65"/>
        <v>0</v>
      </c>
      <c r="W232" s="55">
        <f t="shared" ca="1" si="70"/>
        <v>-100.74046271760278</v>
      </c>
      <c r="X232" s="55">
        <f t="shared" ca="1" si="71"/>
        <v>157.06067297954644</v>
      </c>
      <c r="Y232" s="55">
        <f t="shared" ca="1" si="72"/>
        <v>15.806340793146799</v>
      </c>
      <c r="Z232">
        <f t="shared" ca="1" si="66"/>
        <v>88.600908168975778</v>
      </c>
      <c r="AA232">
        <f t="shared" ca="1" si="73"/>
        <v>275.33272875935359</v>
      </c>
      <c r="AB232">
        <f t="shared" ca="1" si="67"/>
        <v>0</v>
      </c>
      <c r="AC232">
        <f t="shared" ca="1" si="68"/>
        <v>0.99996338477173974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45636</v>
      </c>
      <c r="S233" s="55">
        <f t="shared" ca="1" si="69"/>
        <v>45636</v>
      </c>
      <c r="T233" s="55">
        <f t="shared" ca="1" si="63"/>
        <v>36.489641338406912</v>
      </c>
      <c r="U233" s="55">
        <f t="shared" ca="1" si="64"/>
        <v>309.55763552409724</v>
      </c>
      <c r="V233" s="55">
        <f t="shared" ca="1" si="65"/>
        <v>0</v>
      </c>
      <c r="W233" s="55">
        <f t="shared" ca="1" si="70"/>
        <v>-100.74046271760278</v>
      </c>
      <c r="X233" s="55">
        <f t="shared" ca="1" si="71"/>
        <v>158.00727387811386</v>
      </c>
      <c r="Y233" s="55">
        <f t="shared" ca="1" si="72"/>
        <v>15.810502207884907</v>
      </c>
      <c r="Z233">
        <f t="shared" ca="1" si="66"/>
        <v>86.79225796165052</v>
      </c>
      <c r="AA233">
        <f t="shared" ca="1" si="73"/>
        <v>275.33272875935359</v>
      </c>
      <c r="AB233">
        <f t="shared" ca="1" si="67"/>
        <v>0</v>
      </c>
      <c r="AC233">
        <f t="shared" ca="1" si="68"/>
        <v>0.99996747043245249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45637</v>
      </c>
      <c r="S234" s="55">
        <f t="shared" ca="1" si="69"/>
        <v>45637</v>
      </c>
      <c r="T234" s="55">
        <f t="shared" ca="1" si="63"/>
        <v>72.73669753077489</v>
      </c>
      <c r="U234" s="55">
        <f t="shared" ca="1" si="64"/>
        <v>312.97701810632321</v>
      </c>
      <c r="V234" s="55">
        <f t="shared" ca="1" si="65"/>
        <v>38.77331575117185</v>
      </c>
      <c r="W234" s="55">
        <f t="shared" ca="1" si="70"/>
        <v>-100.74046271760278</v>
      </c>
      <c r="X234" s="55">
        <f t="shared" ca="1" si="71"/>
        <v>158.8965017148403</v>
      </c>
      <c r="Y234" s="55">
        <f t="shared" ca="1" si="72"/>
        <v>15.814397394580583</v>
      </c>
      <c r="Z234">
        <f t="shared" ca="1" si="66"/>
        <v>84.827090820908097</v>
      </c>
      <c r="AA234">
        <f t="shared" ca="1" si="73"/>
        <v>275.33272875935359</v>
      </c>
      <c r="AB234">
        <f t="shared" ca="1" si="67"/>
        <v>0</v>
      </c>
      <c r="AC234">
        <f t="shared" ca="1" si="68"/>
        <v>0.9999709966498479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45638</v>
      </c>
      <c r="S235" s="55">
        <f t="shared" ca="1" si="69"/>
        <v>45638</v>
      </c>
      <c r="T235" s="55">
        <f t="shared" ca="1" si="63"/>
        <v>70.267452673347805</v>
      </c>
      <c r="U235" s="55">
        <f t="shared" ca="1" si="64"/>
        <v>316.29102738005446</v>
      </c>
      <c r="V235" s="55">
        <f t="shared" ca="1" si="65"/>
        <v>0</v>
      </c>
      <c r="W235" s="55">
        <f t="shared" ca="1" si="70"/>
        <v>-100.74046271760278</v>
      </c>
      <c r="X235" s="55">
        <f t="shared" ca="1" si="71"/>
        <v>159.73751175761788</v>
      </c>
      <c r="Y235" s="55">
        <f t="shared" ca="1" si="72"/>
        <v>15.81815176810716</v>
      </c>
      <c r="Z235">
        <f t="shared" ca="1" si="66"/>
        <v>80.635841090247865</v>
      </c>
      <c r="AA235">
        <f t="shared" ca="1" si="73"/>
        <v>275.33272875935359</v>
      </c>
      <c r="AB235">
        <f t="shared" ca="1" si="67"/>
        <v>0</v>
      </c>
      <c r="AC235">
        <f t="shared" ca="1" si="68"/>
        <v>0.99997411968133187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45639</v>
      </c>
      <c r="S236" s="55">
        <f t="shared" ca="1" si="69"/>
        <v>45639</v>
      </c>
      <c r="T236" s="55">
        <f t="shared" ca="1" si="63"/>
        <v>67.931031929761275</v>
      </c>
      <c r="U236" s="55">
        <f t="shared" ca="1" si="64"/>
        <v>319.39309128469137</v>
      </c>
      <c r="V236" s="55">
        <f t="shared" ca="1" si="65"/>
        <v>0</v>
      </c>
      <c r="W236" s="55">
        <f t="shared" ca="1" si="70"/>
        <v>-100.74046271760278</v>
      </c>
      <c r="X236" s="55">
        <f t="shared" ca="1" si="71"/>
        <v>160.4996730469073</v>
      </c>
      <c r="Y236" s="55">
        <f t="shared" ca="1" si="72"/>
        <v>15.821633639868118</v>
      </c>
      <c r="Z236">
        <f t="shared" ca="1" si="66"/>
        <v>76.670674129100576</v>
      </c>
      <c r="AA236">
        <f t="shared" ca="1" si="73"/>
        <v>275.33272875935359</v>
      </c>
      <c r="AB236">
        <f t="shared" ca="1" si="67"/>
        <v>0</v>
      </c>
      <c r="AC236">
        <f t="shared" ca="1" si="68"/>
        <v>0.99997679863911082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45640</v>
      </c>
      <c r="S237" s="55">
        <f t="shared" ca="1" si="69"/>
        <v>45640</v>
      </c>
      <c r="T237" s="55">
        <f t="shared" ca="1" si="63"/>
        <v>65.73438215976428</v>
      </c>
      <c r="U237" s="55">
        <f t="shared" ca="1" si="64"/>
        <v>322.3387557247633</v>
      </c>
      <c r="V237" s="55">
        <f t="shared" ca="1" si="65"/>
        <v>0</v>
      </c>
      <c r="W237" s="55">
        <f t="shared" ca="1" si="70"/>
        <v>-100.74046271760278</v>
      </c>
      <c r="X237" s="55">
        <f t="shared" ca="1" si="71"/>
        <v>161.24539802331481</v>
      </c>
      <c r="Y237" s="55">
        <f t="shared" ca="1" si="72"/>
        <v>15.824923333535555</v>
      </c>
      <c r="Z237">
        <f t="shared" ca="1" si="66"/>
        <v>77.88812071652508</v>
      </c>
      <c r="AA237">
        <f t="shared" ca="1" si="73"/>
        <v>275.33272875935359</v>
      </c>
      <c r="AB237">
        <f t="shared" ca="1" si="67"/>
        <v>0</v>
      </c>
      <c r="AC237">
        <f t="shared" ca="1" si="68"/>
        <v>0.99997913843369701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45641</v>
      </c>
      <c r="S238" s="55">
        <f t="shared" ca="1" si="69"/>
        <v>45641</v>
      </c>
      <c r="T238" s="55">
        <f t="shared" ca="1" si="63"/>
        <v>63.45083618147595</v>
      </c>
      <c r="U238" s="55">
        <f t="shared" ca="1" si="64"/>
        <v>325.39693603485335</v>
      </c>
      <c r="V238" s="55">
        <f t="shared" ca="1" si="65"/>
        <v>0</v>
      </c>
      <c r="W238" s="55">
        <f t="shared" ca="1" si="70"/>
        <v>-100.74046271760278</v>
      </c>
      <c r="X238" s="55">
        <f t="shared" ca="1" si="71"/>
        <v>162.01659444738596</v>
      </c>
      <c r="Y238" s="55">
        <f t="shared" ca="1" si="72"/>
        <v>15.828361241266128</v>
      </c>
      <c r="Z238">
        <f t="shared" ca="1" si="66"/>
        <v>73.609906007617269</v>
      </c>
      <c r="AA238">
        <f t="shared" ca="1" si="73"/>
        <v>275.33272875935359</v>
      </c>
      <c r="AB238">
        <f t="shared" ca="1" si="67"/>
        <v>0</v>
      </c>
      <c r="AC238">
        <f t="shared" ca="1" si="68"/>
        <v>0.99998137096238415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45642</v>
      </c>
      <c r="S239" s="55">
        <f t="shared" ca="1" si="69"/>
        <v>45642</v>
      </c>
      <c r="T239" s="55">
        <f t="shared" ca="1" si="63"/>
        <v>61.254282061475863</v>
      </c>
      <c r="U239" s="55">
        <f t="shared" ca="1" si="64"/>
        <v>328.37447164861641</v>
      </c>
      <c r="V239" s="55">
        <f t="shared" ca="1" si="65"/>
        <v>0</v>
      </c>
      <c r="W239" s="55">
        <f t="shared" ca="1" si="70"/>
        <v>-100.74046271760278</v>
      </c>
      <c r="X239" s="55">
        <f t="shared" ca="1" si="71"/>
        <v>162.79423090213803</v>
      </c>
      <c r="Y239" s="55">
        <f t="shared" ca="1" si="72"/>
        <v>15.831706280277007</v>
      </c>
      <c r="Z239">
        <f t="shared" ca="1" si="66"/>
        <v>74.357775601618684</v>
      </c>
      <c r="AA239">
        <f t="shared" ca="1" si="73"/>
        <v>275.33272875935359</v>
      </c>
      <c r="AB239">
        <f t="shared" ca="1" si="67"/>
        <v>0</v>
      </c>
      <c r="AC239">
        <f t="shared" ca="1" si="68"/>
        <v>0.99998336457797377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45643</v>
      </c>
      <c r="S240" s="55">
        <f t="shared" ca="1" si="69"/>
        <v>45643</v>
      </c>
      <c r="T240" s="55">
        <f t="shared" ca="1" si="63"/>
        <v>59.057648910418678</v>
      </c>
      <c r="U240" s="55">
        <f t="shared" ca="1" si="64"/>
        <v>331.3431075118001</v>
      </c>
      <c r="V240" s="55">
        <f t="shared" ca="1" si="65"/>
        <v>0</v>
      </c>
      <c r="W240" s="55">
        <f t="shared" ca="1" si="70"/>
        <v>-100.74046271760278</v>
      </c>
      <c r="X240" s="55">
        <f t="shared" ca="1" si="71"/>
        <v>163.56288346974347</v>
      </c>
      <c r="Y240" s="55">
        <f t="shared" ca="1" si="72"/>
        <v>15.835056424798076</v>
      </c>
      <c r="Z240">
        <f t="shared" ca="1" si="66"/>
        <v>70.375201592986457</v>
      </c>
      <c r="AA240">
        <f t="shared" ca="1" si="73"/>
        <v>275.33272875935359</v>
      </c>
      <c r="AB240">
        <f t="shared" ca="1" si="67"/>
        <v>0</v>
      </c>
      <c r="AC240">
        <f t="shared" ca="1" si="68"/>
        <v>0.99998518689787452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45644</v>
      </c>
      <c r="S241" s="55">
        <f t="shared" ca="1" si="69"/>
        <v>45644</v>
      </c>
      <c r="T241" s="55">
        <f t="shared" ca="1" si="63"/>
        <v>57.049162702768065</v>
      </c>
      <c r="U241" s="55">
        <f t="shared" ca="1" si="64"/>
        <v>334.15153521245026</v>
      </c>
      <c r="V241" s="55">
        <f t="shared" ca="1" si="65"/>
        <v>0</v>
      </c>
      <c r="W241" s="55">
        <f t="shared" ca="1" si="70"/>
        <v>-100.74046271760278</v>
      </c>
      <c r="X241" s="55">
        <f t="shared" ca="1" si="71"/>
        <v>164.3596675182053</v>
      </c>
      <c r="Y241" s="55">
        <f t="shared" ca="1" si="72"/>
        <v>15.838213869335789</v>
      </c>
      <c r="Z241">
        <f t="shared" ca="1" si="66"/>
        <v>76.827401389652678</v>
      </c>
      <c r="AA241">
        <f t="shared" ca="1" si="73"/>
        <v>275.33272875935359</v>
      </c>
      <c r="AB241">
        <f t="shared" ca="1" si="67"/>
        <v>0</v>
      </c>
      <c r="AC241">
        <f t="shared" ca="1" si="68"/>
        <v>0.99998676857886926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45645</v>
      </c>
      <c r="S242" s="55">
        <f t="shared" ca="1" si="69"/>
        <v>45645</v>
      </c>
      <c r="T242" s="55">
        <f t="shared" ca="1" si="63"/>
        <v>55.205009629477019</v>
      </c>
      <c r="U242" s="55">
        <f t="shared" ca="1" si="64"/>
        <v>336.75691347331122</v>
      </c>
      <c r="V242" s="55">
        <f t="shared" ca="1" si="65"/>
        <v>0</v>
      </c>
      <c r="W242" s="55">
        <f t="shared" ca="1" si="70"/>
        <v>-100.74046271760278</v>
      </c>
      <c r="X242" s="55">
        <f t="shared" ca="1" si="71"/>
        <v>165.1179762962295</v>
      </c>
      <c r="Y242" s="55">
        <f t="shared" ca="1" si="72"/>
        <v>15.841130278881511</v>
      </c>
      <c r="Z242">
        <f t="shared" ca="1" si="66"/>
        <v>77.870907376819815</v>
      </c>
      <c r="AA242">
        <f t="shared" ca="1" si="73"/>
        <v>275.33272875935359</v>
      </c>
      <c r="AB242">
        <f t="shared" ca="1" si="67"/>
        <v>0</v>
      </c>
      <c r="AC242">
        <f t="shared" ca="1" si="68"/>
        <v>0.99998811979461977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45646</v>
      </c>
      <c r="S243" s="55">
        <f t="shared" ca="1" si="69"/>
        <v>45646</v>
      </c>
      <c r="T243" s="55">
        <f t="shared" ca="1" si="63"/>
        <v>53.38064656323354</v>
      </c>
      <c r="U243" s="55">
        <f t="shared" ca="1" si="64"/>
        <v>339.30957658952258</v>
      </c>
      <c r="V243" s="55">
        <f t="shared" ca="1" si="65"/>
        <v>0</v>
      </c>
      <c r="W243" s="55">
        <f t="shared" ca="1" si="70"/>
        <v>-100.74046271760278</v>
      </c>
      <c r="X243" s="55">
        <f t="shared" ca="1" si="71"/>
        <v>165.84340896630485</v>
      </c>
      <c r="Y243" s="55">
        <f t="shared" ca="1" si="72"/>
        <v>15.84399765877404</v>
      </c>
      <c r="Z243">
        <f t="shared" ca="1" si="66"/>
        <v>73.018757476917642</v>
      </c>
      <c r="AA243">
        <f t="shared" ca="1" si="73"/>
        <v>275.33272875935359</v>
      </c>
      <c r="AB243">
        <f t="shared" ca="1" si="67"/>
        <v>0</v>
      </c>
      <c r="AC243">
        <f t="shared" ca="1" si="68"/>
        <v>0.99998934165936915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45647</v>
      </c>
      <c r="S244" s="55">
        <f t="shared" ca="1" si="69"/>
        <v>45647</v>
      </c>
      <c r="T244" s="55">
        <f t="shared" ca="1" si="63"/>
        <v>51.582085891023574</v>
      </c>
      <c r="U244" s="55">
        <f t="shared" ca="1" si="64"/>
        <v>341.80096856049147</v>
      </c>
      <c r="V244" s="55">
        <f t="shared" ca="1" si="65"/>
        <v>0</v>
      </c>
      <c r="W244" s="55">
        <f t="shared" ca="1" si="70"/>
        <v>-100.74046271760278</v>
      </c>
      <c r="X244" s="55">
        <f t="shared" ca="1" si="71"/>
        <v>166.53343083712443</v>
      </c>
      <c r="Y244" s="55">
        <f t="shared" ca="1" si="72"/>
        <v>15.846807086713394</v>
      </c>
      <c r="Z244">
        <f t="shared" ca="1" si="66"/>
        <v>68.010085642809742</v>
      </c>
      <c r="AA244">
        <f t="shared" ca="1" si="73"/>
        <v>275.33272875935359</v>
      </c>
      <c r="AB244">
        <f t="shared" ca="1" si="67"/>
        <v>0</v>
      </c>
      <c r="AC244">
        <f t="shared" ca="1" si="68"/>
        <v>0.99999044237468138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45648</v>
      </c>
      <c r="S245" s="55">
        <f t="shared" ca="1" si="69"/>
        <v>45648</v>
      </c>
      <c r="T245" s="55">
        <f t="shared" ca="1" si="63"/>
        <v>49.75664525613643</v>
      </c>
      <c r="U245" s="55">
        <f t="shared" ca="1" si="64"/>
        <v>344.31942840412995</v>
      </c>
      <c r="V245" s="55">
        <f t="shared" ca="1" si="65"/>
        <v>0</v>
      </c>
      <c r="W245" s="55">
        <f t="shared" ca="1" si="70"/>
        <v>-100.74046271760278</v>
      </c>
      <c r="X245" s="55">
        <f t="shared" ca="1" si="71"/>
        <v>167.22358189920911</v>
      </c>
      <c r="Y245" s="55">
        <f t="shared" ca="1" si="72"/>
        <v>15.849675233380042</v>
      </c>
      <c r="Z245">
        <f t="shared" ca="1" si="66"/>
        <v>63.243823610429828</v>
      </c>
      <c r="AA245">
        <f t="shared" ca="1" si="73"/>
        <v>275.33272875935359</v>
      </c>
      <c r="AB245">
        <f t="shared" ca="1" si="67"/>
        <v>0</v>
      </c>
      <c r="AC245">
        <f t="shared" ca="1" si="68"/>
        <v>0.99999146808695705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45649</v>
      </c>
      <c r="S246" s="55">
        <f t="shared" ca="1" si="69"/>
        <v>45649</v>
      </c>
      <c r="T246" s="55">
        <f t="shared" ca="1" si="63"/>
        <v>48.009915871044043</v>
      </c>
      <c r="U246" s="55">
        <f t="shared" ca="1" si="64"/>
        <v>346.76957835112211</v>
      </c>
      <c r="V246" s="55">
        <f t="shared" ca="1" si="65"/>
        <v>0</v>
      </c>
      <c r="W246" s="55">
        <f t="shared" ca="1" si="70"/>
        <v>-100.74046271760278</v>
      </c>
      <c r="X246" s="55">
        <f t="shared" ca="1" si="71"/>
        <v>167.92419692520107</v>
      </c>
      <c r="Y246" s="55">
        <f t="shared" ca="1" si="72"/>
        <v>15.85248076928784</v>
      </c>
      <c r="Z246">
        <f t="shared" ca="1" si="66"/>
        <v>64.182976651963799</v>
      </c>
      <c r="AA246">
        <f t="shared" ca="1" si="73"/>
        <v>275.33272875935359</v>
      </c>
      <c r="AB246">
        <f t="shared" ca="1" si="67"/>
        <v>0</v>
      </c>
      <c r="AC246">
        <f t="shared" ca="1" si="68"/>
        <v>0.99999238680564506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45650</v>
      </c>
      <c r="S247" s="55">
        <f t="shared" ca="1" si="69"/>
        <v>45650</v>
      </c>
      <c r="T247" s="55">
        <f t="shared" ca="1" si="63"/>
        <v>46.315290652507933</v>
      </c>
      <c r="U247" s="55">
        <f t="shared" ca="1" si="64"/>
        <v>349.21529837595443</v>
      </c>
      <c r="V247" s="55">
        <f t="shared" ca="1" si="65"/>
        <v>0</v>
      </c>
      <c r="W247" s="55">
        <f t="shared" ca="1" si="70"/>
        <v>-100.74046271760278</v>
      </c>
      <c r="X247" s="55">
        <f t="shared" ca="1" si="71"/>
        <v>168.67245951437894</v>
      </c>
      <c r="Y247" s="55">
        <f t="shared" ca="1" si="72"/>
        <v>15.855312986406199</v>
      </c>
      <c r="Z247">
        <f t="shared" ca="1" si="66"/>
        <v>66.495088014634902</v>
      </c>
      <c r="AA247">
        <f t="shared" ca="1" si="73"/>
        <v>275.33272875935359</v>
      </c>
      <c r="AB247">
        <f t="shared" ca="1" si="67"/>
        <v>0</v>
      </c>
      <c r="AC247">
        <f t="shared" ca="1" si="68"/>
        <v>0.99999323039828036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45651</v>
      </c>
      <c r="S248" s="55">
        <f t="shared" ca="1" si="69"/>
        <v>45651</v>
      </c>
      <c r="T248" s="55">
        <f t="shared" ca="1" si="63"/>
        <v>44.614149468871531</v>
      </c>
      <c r="U248" s="55">
        <f t="shared" ca="1" si="64"/>
        <v>351.65065090123579</v>
      </c>
      <c r="V248" s="55">
        <f t="shared" ca="1" si="65"/>
        <v>0</v>
      </c>
      <c r="W248" s="55">
        <f t="shared" ca="1" si="70"/>
        <v>-100.74046271760278</v>
      </c>
      <c r="X248" s="55">
        <f t="shared" ca="1" si="71"/>
        <v>169.40381393178828</v>
      </c>
      <c r="Y248" s="55">
        <f t="shared" ca="1" si="72"/>
        <v>15.858169910641831</v>
      </c>
      <c r="Z248">
        <f t="shared" ca="1" si="66"/>
        <v>60.836859744783915</v>
      </c>
      <c r="AA248">
        <f t="shared" ca="1" si="73"/>
        <v>275.33272875935359</v>
      </c>
      <c r="AB248">
        <f t="shared" ca="1" si="67"/>
        <v>0</v>
      </c>
      <c r="AC248">
        <f t="shared" ca="1" si="68"/>
        <v>0.99999400160548624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45652</v>
      </c>
      <c r="S249" s="55">
        <f t="shared" ca="1" si="69"/>
        <v>45652</v>
      </c>
      <c r="T249" s="55">
        <f t="shared" ca="1" si="63"/>
        <v>42.994445542813615</v>
      </c>
      <c r="U249" s="55">
        <f t="shared" ca="1" si="64"/>
        <v>353.95376964065929</v>
      </c>
      <c r="V249" s="55">
        <f t="shared" ca="1" si="65"/>
        <v>0</v>
      </c>
      <c r="W249" s="55">
        <f t="shared" ca="1" si="70"/>
        <v>-100.74046271760278</v>
      </c>
      <c r="X249" s="55">
        <f t="shared" ca="1" si="71"/>
        <v>170.08465787420863</v>
      </c>
      <c r="Y249" s="55">
        <f t="shared" ca="1" si="72"/>
        <v>15.860740781587051</v>
      </c>
      <c r="Z249">
        <f t="shared" ca="1" si="66"/>
        <v>56.92850076112898</v>
      </c>
      <c r="AA249">
        <f t="shared" ca="1" si="73"/>
        <v>275.33272875935359</v>
      </c>
      <c r="AB249">
        <f t="shared" ca="1" si="67"/>
        <v>0</v>
      </c>
      <c r="AC249">
        <f t="shared" ca="1" si="68"/>
        <v>0.9868258627094364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45653</v>
      </c>
      <c r="S250" s="55">
        <f t="shared" ca="1" si="69"/>
        <v>45653</v>
      </c>
      <c r="T250" s="55">
        <f t="shared" ca="1" si="63"/>
        <v>41.470454440897711</v>
      </c>
      <c r="U250" s="55">
        <f t="shared" ca="1" si="64"/>
        <v>356.11255465862934</v>
      </c>
      <c r="V250" s="55">
        <f t="shared" ca="1" si="65"/>
        <v>0</v>
      </c>
      <c r="W250" s="55">
        <f t="shared" ca="1" si="70"/>
        <v>-100.74046271760278</v>
      </c>
      <c r="X250" s="55">
        <f t="shared" ca="1" si="71"/>
        <v>170.71716196955532</v>
      </c>
      <c r="Y250" s="55">
        <f t="shared" ca="1" si="72"/>
        <v>15.863030602294501</v>
      </c>
      <c r="Z250">
        <f t="shared" ca="1" si="66"/>
        <v>53.895374233403651</v>
      </c>
      <c r="AA250">
        <f t="shared" ca="1" si="73"/>
        <v>275.33272875935359</v>
      </c>
      <c r="AB250">
        <f t="shared" ca="1" si="67"/>
        <v>0</v>
      </c>
      <c r="AC250">
        <f t="shared" ca="1" si="68"/>
        <v>0.97240713466710771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45654</v>
      </c>
      <c r="S251" s="55">
        <f t="shared" ca="1" si="69"/>
        <v>45654</v>
      </c>
      <c r="T251" s="55">
        <f t="shared" ca="1" si="63"/>
        <v>40.025698414940777</v>
      </c>
      <c r="U251" s="55">
        <f t="shared" ca="1" si="64"/>
        <v>358.2100240885058</v>
      </c>
      <c r="V251" s="55">
        <f t="shared" ca="1" si="65"/>
        <v>0</v>
      </c>
      <c r="W251" s="55">
        <f t="shared" ca="1" si="70"/>
        <v>-100.74046271760278</v>
      </c>
      <c r="X251" s="55">
        <f t="shared" ca="1" si="71"/>
        <v>171.3675439970641</v>
      </c>
      <c r="Y251" s="55">
        <f t="shared" ca="1" si="72"/>
        <v>15.865361978705243</v>
      </c>
      <c r="Z251">
        <f t="shared" ca="1" si="66"/>
        <v>55.829323055908603</v>
      </c>
      <c r="AA251">
        <f t="shared" ca="1" si="73"/>
        <v>275.33272875935359</v>
      </c>
      <c r="AB251">
        <f t="shared" ca="1" si="67"/>
        <v>0</v>
      </c>
      <c r="AC251">
        <f t="shared" ca="1" si="68"/>
        <v>0.95791211705841783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45655</v>
      </c>
      <c r="S252" s="55">
        <f t="shared" ca="1" si="69"/>
        <v>45655</v>
      </c>
      <c r="T252" s="55">
        <f t="shared" ca="1" si="63"/>
        <v>38.661431739380461</v>
      </c>
      <c r="U252" s="55">
        <f t="shared" ca="1" si="64"/>
        <v>360.23023149711781</v>
      </c>
      <c r="V252" s="55">
        <f t="shared" ca="1" si="65"/>
        <v>0</v>
      </c>
      <c r="W252" s="55">
        <f t="shared" ca="1" si="70"/>
        <v>-100.74046271760278</v>
      </c>
      <c r="X252" s="55">
        <f t="shared" ca="1" si="71"/>
        <v>172.02118325677171</v>
      </c>
      <c r="Y252" s="55">
        <f t="shared" ca="1" si="72"/>
        <v>15.867663452049335</v>
      </c>
      <c r="Z252">
        <f t="shared" ca="1" si="66"/>
        <v>56.646851827748172</v>
      </c>
      <c r="AA252">
        <f t="shared" ca="1" si="73"/>
        <v>275.33272875935359</v>
      </c>
      <c r="AB252">
        <f t="shared" ca="1" si="67"/>
        <v>0</v>
      </c>
      <c r="AC252">
        <f t="shared" ca="1" si="68"/>
        <v>0.94345948254215073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45656</v>
      </c>
      <c r="S253" s="55">
        <f t="shared" ca="1" si="69"/>
        <v>45656</v>
      </c>
      <c r="T253" s="55">
        <f t="shared" ca="1" si="63"/>
        <v>37.404860510478152</v>
      </c>
      <c r="U253" s="55">
        <f t="shared" ca="1" si="64"/>
        <v>362.14046030009052</v>
      </c>
      <c r="V253" s="55">
        <f t="shared" ca="1" si="65"/>
        <v>0</v>
      </c>
      <c r="W253" s="55">
        <f t="shared" ca="1" si="70"/>
        <v>-100.74046271760278</v>
      </c>
      <c r="X253" s="55">
        <f t="shared" ca="1" si="71"/>
        <v>172.67256221133786</v>
      </c>
      <c r="Y253" s="55">
        <f t="shared" ca="1" si="72"/>
        <v>15.869942071553567</v>
      </c>
      <c r="Z253">
        <f t="shared" ca="1" si="66"/>
        <v>58.905995977526473</v>
      </c>
      <c r="AA253">
        <f t="shared" ca="1" si="73"/>
        <v>275.33272875935359</v>
      </c>
      <c r="AB253">
        <f t="shared" ca="1" si="67"/>
        <v>0</v>
      </c>
      <c r="AC253">
        <f t="shared" ca="1" si="68"/>
        <v>0.92931200629132982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>
        <f ca="1"/>
        <v>45657</v>
      </c>
      <c r="S254" s="55">
        <f t="shared" ca="1" si="69"/>
        <v>45657</v>
      </c>
      <c r="T254" s="55">
        <f t="shared" ca="1" si="63"/>
        <v>36.245684418251784</v>
      </c>
      <c r="U254" s="55">
        <f t="shared" ca="1" si="64"/>
        <v>363.85395197222596</v>
      </c>
      <c r="V254" s="55">
        <f t="shared" ca="1" si="65"/>
        <v>0</v>
      </c>
      <c r="W254" s="55">
        <f t="shared" ca="1" si="70"/>
        <v>-100.74046271760278</v>
      </c>
      <c r="X254" s="55">
        <f t="shared" ca="1" si="71"/>
        <v>173.2250461006395</v>
      </c>
      <c r="Y254" s="55">
        <f t="shared" ca="1" si="72"/>
        <v>15.871773762161</v>
      </c>
      <c r="Z254">
        <f t="shared" ca="1" si="66"/>
        <v>52.641193693125395</v>
      </c>
      <c r="AA254">
        <f t="shared" ca="1" si="73"/>
        <v>275.33272875935359</v>
      </c>
      <c r="AB254">
        <f t="shared" ca="1" si="67"/>
        <v>0</v>
      </c>
      <c r="AC254">
        <f t="shared" ca="1" si="68"/>
        <v>0.91619020087714731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>
        <f ca="1"/>
        <v>45658</v>
      </c>
      <c r="S255" s="55">
        <f t="shared" ca="1" si="69"/>
        <v>45658</v>
      </c>
      <c r="T255" s="55">
        <f t="shared" ca="1" si="63"/>
        <v>34.994343446183379</v>
      </c>
      <c r="U255" s="55">
        <f t="shared" ca="1" si="64"/>
        <v>365.76808023532254</v>
      </c>
      <c r="V255" s="55">
        <f t="shared" ca="1" si="65"/>
        <v>0</v>
      </c>
      <c r="W255" s="55">
        <f t="shared" ca="1" si="70"/>
        <v>-100.74046271760278</v>
      </c>
      <c r="X255" s="55">
        <f t="shared" ca="1" si="71"/>
        <v>173.88575590309182</v>
      </c>
      <c r="Y255" s="55">
        <f t="shared" ca="1" si="72"/>
        <v>15.873851250736875</v>
      </c>
      <c r="Z255">
        <f t="shared" ca="1" si="66"/>
        <v>51.536201174243672</v>
      </c>
      <c r="AA255">
        <f t="shared" ca="1" si="73"/>
        <v>275.33272875935359</v>
      </c>
      <c r="AB255">
        <f t="shared" ca="1" si="67"/>
        <v>0</v>
      </c>
      <c r="AC255">
        <f t="shared" ca="1" si="68"/>
        <v>0.90100857717120364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>
        <f ca="1"/>
        <v>45659</v>
      </c>
      <c r="S256" s="55">
        <f t="shared" ca="1" si="69"/>
        <v>45659</v>
      </c>
      <c r="T256" s="55">
        <f t="shared" ca="1" si="63"/>
        <v>33.780702366278639</v>
      </c>
      <c r="U256" s="55">
        <f t="shared" ca="1" si="64"/>
        <v>367.66515111636568</v>
      </c>
      <c r="V256" s="55">
        <f t="shared" ca="1" si="65"/>
        <v>0</v>
      </c>
      <c r="W256" s="55">
        <f t="shared" ca="1" si="70"/>
        <v>-100.74046271760278</v>
      </c>
      <c r="X256" s="55">
        <f t="shared" ca="1" si="71"/>
        <v>174.56711502140755</v>
      </c>
      <c r="Y256" s="55">
        <f t="shared" ca="1" si="72"/>
        <v>15.875921933559551</v>
      </c>
      <c r="Z256">
        <f t="shared" ca="1" si="66"/>
        <v>50.629796814076734</v>
      </c>
      <c r="AA256">
        <f t="shared" ca="1" si="73"/>
        <v>275.33272875935359</v>
      </c>
      <c r="AB256">
        <f t="shared" ca="1" si="67"/>
        <v>0</v>
      </c>
      <c r="AC256">
        <f t="shared" ca="1" si="68"/>
        <v>0.88536921606709096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>
        <f ca="1"/>
        <v>45660</v>
      </c>
      <c r="S257" s="55">
        <f t="shared" ca="1" si="69"/>
        <v>45660</v>
      </c>
      <c r="T257" s="55">
        <f t="shared" ca="1" si="63"/>
        <v>32.685804050507386</v>
      </c>
      <c r="U257" s="55">
        <f t="shared" ca="1" si="64"/>
        <v>369.49227334163407</v>
      </c>
      <c r="V257" s="55">
        <f t="shared" ca="1" si="65"/>
        <v>0</v>
      </c>
      <c r="W257" s="55">
        <f t="shared" ca="1" si="70"/>
        <v>-100.74046271760278</v>
      </c>
      <c r="X257" s="55">
        <f t="shared" ca="1" si="71"/>
        <v>175.29706742256562</v>
      </c>
      <c r="Y257" s="55">
        <f t="shared" ca="1" si="72"/>
        <v>15.878193441898619</v>
      </c>
      <c r="Z257">
        <f t="shared" ca="1" si="66"/>
        <v>56.758783400955139</v>
      </c>
      <c r="AA257">
        <f t="shared" ca="1" si="73"/>
        <v>275.33272875935359</v>
      </c>
      <c r="AB257">
        <f t="shared" ca="1" si="67"/>
        <v>0</v>
      </c>
      <c r="AC257">
        <f t="shared" ca="1" si="68"/>
        <v>0.86969594848903975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>
        <f ca="1"/>
        <v>45661</v>
      </c>
      <c r="S258" s="55">
        <f t="shared" ca="1" si="69"/>
        <v>45661</v>
      </c>
      <c r="T258" s="55">
        <f t="shared" ca="1" si="63"/>
        <v>31.703345009909384</v>
      </c>
      <c r="U258" s="55">
        <f t="shared" ca="1" si="64"/>
        <v>371.10854718163324</v>
      </c>
      <c r="V258" s="55">
        <f t="shared" ca="1" si="65"/>
        <v>0</v>
      </c>
      <c r="W258" s="55">
        <f t="shared" ca="1" si="70"/>
        <v>-100.74046271760278</v>
      </c>
      <c r="X258" s="55">
        <f t="shared" ca="1" si="71"/>
        <v>175.92898342142331</v>
      </c>
      <c r="Y258" s="55">
        <f t="shared" ca="1" si="72"/>
        <v>15.880092242442094</v>
      </c>
      <c r="Z258">
        <f t="shared" ca="1" si="66"/>
        <v>53.881125952654671</v>
      </c>
      <c r="AA258">
        <f t="shared" ca="1" si="73"/>
        <v>275.33272875935359</v>
      </c>
      <c r="AB258">
        <f t="shared" ca="1" si="67"/>
        <v>0</v>
      </c>
      <c r="AC258">
        <f t="shared" ca="1" si="68"/>
        <v>0.85528569706519586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>
        <f ca="1"/>
        <v>45662</v>
      </c>
      <c r="S259" s="55">
        <f t="shared" ca="1" si="69"/>
        <v>45662</v>
      </c>
      <c r="T259" s="55">
        <f t="shared" ca="1" si="63"/>
        <v>30.799448935133725</v>
      </c>
      <c r="U259" s="55">
        <f t="shared" ca="1" si="64"/>
        <v>372.61341066765851</v>
      </c>
      <c r="V259" s="55">
        <f t="shared" ca="1" si="65"/>
        <v>0</v>
      </c>
      <c r="W259" s="55">
        <f t="shared" ca="1" si="70"/>
        <v>-100.74046271760278</v>
      </c>
      <c r="X259" s="55">
        <f t="shared" ca="1" si="71"/>
        <v>176.52818903285547</v>
      </c>
      <c r="Y259" s="55">
        <f t="shared" ca="1" si="72"/>
        <v>15.88185404225956</v>
      </c>
      <c r="Z259">
        <f t="shared" ca="1" si="66"/>
        <v>53.167737831249177</v>
      </c>
      <c r="AA259">
        <f t="shared" ca="1" si="73"/>
        <v>275.33272875935359</v>
      </c>
      <c r="AB259">
        <f t="shared" ca="1" si="67"/>
        <v>0</v>
      </c>
      <c r="AC259">
        <f t="shared" ca="1" si="68"/>
        <v>0.84136708951345951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>
        <f ca="1"/>
        <v>45663</v>
      </c>
      <c r="S260" s="55">
        <f t="shared" ca="1" si="69"/>
        <v>45663</v>
      </c>
      <c r="T260" s="55">
        <f t="shared" ca="1" si="63"/>
        <v>29.868639720233489</v>
      </c>
      <c r="U260" s="55">
        <f t="shared" ca="1" si="64"/>
        <v>374.16932955273882</v>
      </c>
      <c r="V260" s="55">
        <f t="shared" ca="1" si="65"/>
        <v>0</v>
      </c>
      <c r="W260" s="55">
        <f t="shared" ca="1" si="70"/>
        <v>-100.74046271760278</v>
      </c>
      <c r="X260" s="55">
        <f t="shared" ca="1" si="71"/>
        <v>177.15160220570658</v>
      </c>
      <c r="Y260" s="55">
        <f t="shared" ca="1" si="72"/>
        <v>15.883550539588507</v>
      </c>
      <c r="Z260">
        <f t="shared" ca="1" si="66"/>
        <v>48.053092708934784</v>
      </c>
      <c r="AA260">
        <f t="shared" ca="1" si="73"/>
        <v>275.33272875935359</v>
      </c>
      <c r="AB260">
        <f t="shared" ca="1" si="67"/>
        <v>0</v>
      </c>
      <c r="AC260">
        <f t="shared" ca="1" si="68"/>
        <v>0.82642281112508487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>
        <f ca="1"/>
        <v>45664</v>
      </c>
      <c r="S261" s="55">
        <f t="shared" ca="1" si="69"/>
        <v>45664</v>
      </c>
      <c r="T261" s="55">
        <f t="shared" ca="1" si="63"/>
        <v>29.018089380485115</v>
      </c>
      <c r="U261" s="55">
        <f t="shared" ca="1" si="64"/>
        <v>375.61264214485135</v>
      </c>
      <c r="V261" s="55">
        <f t="shared" ca="1" si="65"/>
        <v>0</v>
      </c>
      <c r="W261" s="55">
        <f t="shared" ca="1" si="70"/>
        <v>-100.74046271760278</v>
      </c>
      <c r="X261" s="55">
        <f t="shared" ca="1" si="71"/>
        <v>177.74278672265419</v>
      </c>
      <c r="Y261" s="55">
        <f t="shared" ca="1" si="72"/>
        <v>15.885128275005064</v>
      </c>
      <c r="Z261">
        <f t="shared" ca="1" si="66"/>
        <v>47.612568559063305</v>
      </c>
      <c r="AA261">
        <f t="shared" ca="1" si="73"/>
        <v>275.33272875935359</v>
      </c>
      <c r="AB261">
        <f t="shared" ca="1" si="67"/>
        <v>0</v>
      </c>
      <c r="AC261">
        <f t="shared" ca="1" si="68"/>
        <v>0.81201255970124109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>
        <f ca="1"/>
        <v>45665</v>
      </c>
      <c r="S262" s="55">
        <f t="shared" ca="1" si="69"/>
        <v>45665</v>
      </c>
      <c r="T262" s="55">
        <f t="shared" ca="1" si="63"/>
        <v>28.199606002058282</v>
      </c>
      <c r="U262" s="55">
        <f t="shared" ca="1" si="64"/>
        <v>377.03608750669383</v>
      </c>
      <c r="V262" s="55">
        <f t="shared" ca="1" si="65"/>
        <v>0</v>
      </c>
      <c r="W262" s="55">
        <f t="shared" ca="1" si="70"/>
        <v>-100.74046271760278</v>
      </c>
      <c r="X262" s="55">
        <f t="shared" ca="1" si="71"/>
        <v>178.34619481949721</v>
      </c>
      <c r="Y262" s="55">
        <f t="shared" ca="1" si="72"/>
        <v>15.886682161577681</v>
      </c>
      <c r="Z262">
        <f t="shared" ca="1" si="66"/>
        <v>46.394410813328321</v>
      </c>
      <c r="AA262">
        <f t="shared" ca="1" si="73"/>
        <v>275.33272875935359</v>
      </c>
      <c r="AB262">
        <f t="shared" ca="1" si="67"/>
        <v>0</v>
      </c>
      <c r="AC262">
        <f t="shared" ca="1" si="68"/>
        <v>0.79723781368255886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>
        <f ca="1"/>
        <v>45666</v>
      </c>
      <c r="S263" s="55">
        <f t="shared" ca="1" si="69"/>
        <v>45666</v>
      </c>
      <c r="T263" s="55">
        <f t="shared" ca="1" si="63"/>
        <v>27.421374583045683</v>
      </c>
      <c r="U263" s="55">
        <f t="shared" ca="1" si="64"/>
        <v>378.37263423776199</v>
      </c>
      <c r="V263" s="55">
        <f t="shared" ca="1" si="65"/>
        <v>0</v>
      </c>
      <c r="W263" s="55">
        <f t="shared" ca="1" si="70"/>
        <v>-100.74046271760278</v>
      </c>
      <c r="X263" s="55">
        <f t="shared" ca="1" si="71"/>
        <v>178.90317757894425</v>
      </c>
      <c r="Y263" s="55">
        <f t="shared" ca="1" si="72"/>
        <v>15.888014714186204</v>
      </c>
      <c r="Z263">
        <f t="shared" ca="1" si="66"/>
        <v>41.670666088636537</v>
      </c>
      <c r="AA263">
        <f t="shared" ca="1" si="73"/>
        <v>275.33272875935359</v>
      </c>
      <c r="AB263">
        <f t="shared" ca="1" si="67"/>
        <v>0</v>
      </c>
      <c r="AC263">
        <f t="shared" ca="1" si="68"/>
        <v>0.78281060902174582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>
        <f ca="1"/>
        <v>45667</v>
      </c>
      <c r="S264" s="55">
        <f t="shared" ca="1" si="69"/>
        <v>45667</v>
      </c>
      <c r="T264" s="55">
        <f t="shared" ca="1" si="63"/>
        <v>26.658855594957053</v>
      </c>
      <c r="U264" s="55">
        <f t="shared" ca="1" si="64"/>
        <v>379.7009537009568</v>
      </c>
      <c r="V264" s="55">
        <f t="shared" ca="1" si="65"/>
        <v>0</v>
      </c>
      <c r="W264" s="55">
        <f t="shared" ca="1" si="70"/>
        <v>-100.74046271760278</v>
      </c>
      <c r="X264" s="55">
        <f t="shared" ca="1" si="71"/>
        <v>179.46771556111545</v>
      </c>
      <c r="Y264" s="55">
        <f t="shared" ca="1" si="72"/>
        <v>15.889277207121181</v>
      </c>
      <c r="Z264">
        <f t="shared" ca="1" si="66"/>
        <v>38.546223752107409</v>
      </c>
      <c r="AA264">
        <f t="shared" ca="1" si="73"/>
        <v>275.33272875935359</v>
      </c>
      <c r="AB264">
        <f t="shared" ca="1" si="67"/>
        <v>0</v>
      </c>
      <c r="AC264">
        <f t="shared" ca="1" si="68"/>
        <v>0.76789176048882513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>
        <f ca="1"/>
        <v>45668</v>
      </c>
      <c r="S265" s="55">
        <f t="shared" ca="1" si="69"/>
        <v>45668</v>
      </c>
      <c r="T265" s="55">
        <f t="shared" ca="1" si="63"/>
        <v>25.927028982047304</v>
      </c>
      <c r="U265" s="55">
        <f t="shared" ca="1" si="64"/>
        <v>380.97989812465022</v>
      </c>
      <c r="V265" s="55">
        <f t="shared" ca="1" si="65"/>
        <v>0</v>
      </c>
      <c r="W265" s="55">
        <f t="shared" ca="1" si="70"/>
        <v>-100.74046271760278</v>
      </c>
      <c r="X265" s="55">
        <f t="shared" ca="1" si="71"/>
        <v>180.0137100516931</v>
      </c>
      <c r="Y265" s="55">
        <f t="shared" ca="1" si="72"/>
        <v>15.890400527327206</v>
      </c>
      <c r="Z265">
        <f t="shared" ca="1" si="66"/>
        <v>34.699619638075688</v>
      </c>
      <c r="AA265">
        <f t="shared" ca="1" si="73"/>
        <v>275.33272875935359</v>
      </c>
      <c r="AB265">
        <f t="shared" ca="1" si="67"/>
        <v>0</v>
      </c>
      <c r="AC265">
        <f t="shared" ca="1" si="68"/>
        <v>0.75293052886348133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>
        <f ca="1"/>
        <v>45669</v>
      </c>
      <c r="S266" s="55">
        <f t="shared" ca="1" si="69"/>
        <v>45669</v>
      </c>
      <c r="T266" s="55">
        <f t="shared" ca="1" si="63"/>
        <v>25.220783259945577</v>
      </c>
      <c r="U266" s="55">
        <f t="shared" ca="1" si="64"/>
        <v>382.24345912414918</v>
      </c>
      <c r="V266" s="55">
        <f t="shared" ca="1" si="65"/>
        <v>0</v>
      </c>
      <c r="W266" s="55">
        <f t="shared" ca="1" si="70"/>
        <v>-100.74046271760278</v>
      </c>
      <c r="X266" s="55">
        <f t="shared" ca="1" si="71"/>
        <v>180.56995189206464</v>
      </c>
      <c r="Y266" s="55">
        <f t="shared" ca="1" si="72"/>
        <v>15.891473964352912</v>
      </c>
      <c r="Z266">
        <f t="shared" ca="1" si="66"/>
        <v>32.41633667337603</v>
      </c>
      <c r="AA266">
        <f t="shared" ca="1" si="73"/>
        <v>275.33272875935359</v>
      </c>
      <c r="AB266">
        <f t="shared" ca="1" si="67"/>
        <v>0</v>
      </c>
      <c r="AC266">
        <f t="shared" ca="1" si="68"/>
        <v>0.7375200364584531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>
        <f ca="1"/>
        <v>45670</v>
      </c>
      <c r="S267" s="55">
        <f t="shared" ca="1" si="69"/>
        <v>45670</v>
      </c>
      <c r="T267" s="55">
        <f t="shared" ca="1" si="63"/>
        <v>24.582119831831555</v>
      </c>
      <c r="U267" s="55">
        <f t="shared" ca="1" si="64"/>
        <v>383.43474908444961</v>
      </c>
      <c r="V267" s="55">
        <f t="shared" ca="1" si="65"/>
        <v>0</v>
      </c>
      <c r="W267" s="55">
        <f t="shared" ca="1" si="70"/>
        <v>-100.74046271760278</v>
      </c>
      <c r="X267" s="55">
        <f t="shared" ca="1" si="71"/>
        <v>181.12149347916875</v>
      </c>
      <c r="Y267" s="55">
        <f t="shared" ca="1" si="72"/>
        <v>15.89255890943519</v>
      </c>
      <c r="Z267">
        <f t="shared" ca="1" si="66"/>
        <v>33.923836496887944</v>
      </c>
      <c r="AA267">
        <f t="shared" ca="1" si="73"/>
        <v>275.33272875935359</v>
      </c>
      <c r="AB267">
        <f t="shared" ca="1" si="67"/>
        <v>0</v>
      </c>
      <c r="AC267">
        <f t="shared" ca="1" si="68"/>
        <v>0.72236384260796305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>
        <f ca="1"/>
        <v>45671</v>
      </c>
      <c r="S268" s="55">
        <f t="shared" ca="1" si="69"/>
        <v>45671</v>
      </c>
      <c r="T268" s="55">
        <f t="shared" ca="1" si="63"/>
        <v>24.010446202843823</v>
      </c>
      <c r="U268" s="55">
        <f t="shared" ca="1" si="64"/>
        <v>384.53928248776026</v>
      </c>
      <c r="V268" s="55">
        <f t="shared" ca="1" si="65"/>
        <v>0</v>
      </c>
      <c r="W268" s="55">
        <f t="shared" ca="1" si="70"/>
        <v>-100.74046271760278</v>
      </c>
      <c r="X268" s="55">
        <f t="shared" ca="1" si="71"/>
        <v>181.65329719468087</v>
      </c>
      <c r="Y268" s="55">
        <f t="shared" ca="1" si="72"/>
        <v>15.893614968245995</v>
      </c>
      <c r="Z268">
        <f t="shared" ca="1" si="66"/>
        <v>34.909300009587731</v>
      </c>
      <c r="AA268">
        <f t="shared" ca="1" si="73"/>
        <v>275.33272875935359</v>
      </c>
      <c r="AB268">
        <f t="shared" ca="1" si="67"/>
        <v>0</v>
      </c>
      <c r="AC268">
        <f t="shared" ca="1" si="68"/>
        <v>0.70771624586654991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>
        <f ca="1"/>
        <v>45672</v>
      </c>
      <c r="S269" s="55">
        <f t="shared" ca="1" si="69"/>
        <v>45672</v>
      </c>
      <c r="T269" s="55">
        <f t="shared" ca="1" si="63"/>
        <v>23.480411052827375</v>
      </c>
      <c r="U269" s="55">
        <f t="shared" ca="1" si="64"/>
        <v>385.61384033007226</v>
      </c>
      <c r="V269" s="55">
        <f t="shared" ca="1" si="65"/>
        <v>0</v>
      </c>
      <c r="W269" s="55">
        <f t="shared" ca="1" si="70"/>
        <v>-100.74046271760278</v>
      </c>
      <c r="X269" s="55">
        <f t="shared" ca="1" si="71"/>
        <v>182.19675075752957</v>
      </c>
      <c r="Y269" s="55">
        <f t="shared" ca="1" si="72"/>
        <v>15.894684097692863</v>
      </c>
      <c r="Z269">
        <f t="shared" ca="1" si="66"/>
        <v>35.251137649507683</v>
      </c>
      <c r="AA269">
        <f t="shared" ca="1" si="73"/>
        <v>275.33272875935359</v>
      </c>
      <c r="AB269">
        <f t="shared" ca="1" si="67"/>
        <v>0</v>
      </c>
      <c r="AC269">
        <f t="shared" ca="1" si="68"/>
        <v>0.69286521028150605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>
        <f ca="1"/>
        <v>45673</v>
      </c>
      <c r="S270" s="55">
        <f t="shared" ca="1" si="69"/>
        <v>45673</v>
      </c>
      <c r="T270" s="55">
        <f t="shared" ca="1" si="63"/>
        <v>22.968050369187253</v>
      </c>
      <c r="U270" s="55">
        <f t="shared" ca="1" si="64"/>
        <v>386.67026799522426</v>
      </c>
      <c r="V270" s="55">
        <f t="shared" ca="1" si="65"/>
        <v>0</v>
      </c>
      <c r="W270" s="55">
        <f t="shared" ca="1" si="70"/>
        <v>-100.74046271760278</v>
      </c>
      <c r="X270" s="55">
        <f t="shared" ca="1" si="71"/>
        <v>182.73984450810127</v>
      </c>
      <c r="Y270" s="55">
        <f t="shared" ca="1" si="72"/>
        <v>15.895657328633053</v>
      </c>
      <c r="Z270">
        <f t="shared" ca="1" si="66"/>
        <v>31.53187653862167</v>
      </c>
      <c r="AA270">
        <f t="shared" ca="1" si="73"/>
        <v>275.33272875935359</v>
      </c>
      <c r="AB270">
        <f t="shared" ca="1" si="67"/>
        <v>0</v>
      </c>
      <c r="AC270">
        <f t="shared" ca="1" si="68"/>
        <v>0.67763272686465492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>
        <f ca="1"/>
        <v>45674</v>
      </c>
      <c r="S271" s="55">
        <f t="shared" ca="1" si="69"/>
        <v>45674</v>
      </c>
      <c r="T271" s="55">
        <f t="shared" ca="1" si="63"/>
        <v>22.492842173420236</v>
      </c>
      <c r="U271" s="55">
        <f t="shared" ca="1" si="64"/>
        <v>387.69858590777386</v>
      </c>
      <c r="V271" s="55">
        <f t="shared" ca="1" si="65"/>
        <v>0</v>
      </c>
      <c r="W271" s="55">
        <f t="shared" ca="1" si="70"/>
        <v>-100.74046271760278</v>
      </c>
      <c r="X271" s="55">
        <f t="shared" ca="1" si="71"/>
        <v>183.29199377951764</v>
      </c>
      <c r="Y271" s="55">
        <f t="shared" ca="1" si="72"/>
        <v>15.89661777399928</v>
      </c>
      <c r="Z271">
        <f t="shared" ca="1" si="66"/>
        <v>30.878468988463283</v>
      </c>
      <c r="AA271">
        <f t="shared" ca="1" si="73"/>
        <v>275.33272875935359</v>
      </c>
      <c r="AB271">
        <f t="shared" ca="1" si="67"/>
        <v>0</v>
      </c>
      <c r="AC271">
        <f t="shared" ca="1" si="68"/>
        <v>0.66214594489326495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>
        <f ca="1"/>
        <v>45675</v>
      </c>
      <c r="S272" s="55">
        <f t="shared" ca="1" si="69"/>
        <v>45675</v>
      </c>
      <c r="T272" s="55">
        <f t="shared" ca="1" si="63"/>
        <v>22.08373357717058</v>
      </c>
      <c r="U272" s="55">
        <f t="shared" ca="1" si="64"/>
        <v>388.66564498273709</v>
      </c>
      <c r="V272" s="55">
        <f t="shared" ca="1" si="65"/>
        <v>0</v>
      </c>
      <c r="W272" s="55">
        <f t="shared" ca="1" si="70"/>
        <v>-100.74046271760278</v>
      </c>
      <c r="X272" s="55">
        <f t="shared" ca="1" si="71"/>
        <v>183.84891215120609</v>
      </c>
      <c r="Y272" s="55">
        <f t="shared" ca="1" si="72"/>
        <v>15.897649881024401</v>
      </c>
      <c r="Z272">
        <f t="shared" ca="1" si="66"/>
        <v>34.391799363005866</v>
      </c>
      <c r="AA272">
        <f t="shared" ca="1" si="73"/>
        <v>275.33272875935359</v>
      </c>
      <c r="AB272">
        <f t="shared" ca="1" si="67"/>
        <v>0</v>
      </c>
      <c r="AC272">
        <f t="shared" ca="1" si="68"/>
        <v>0.64693041471338297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>
        <f ca="1"/>
        <v>45676</v>
      </c>
      <c r="S273" s="55">
        <f t="shared" ca="1" si="69"/>
        <v>45676</v>
      </c>
      <c r="T273" s="55">
        <f t="shared" ca="1" si="63"/>
        <v>21.71296772280153</v>
      </c>
      <c r="U273" s="55">
        <f t="shared" ca="1" si="64"/>
        <v>389.6166678506998</v>
      </c>
      <c r="V273" s="55">
        <f t="shared" ca="1" si="65"/>
        <v>0</v>
      </c>
      <c r="W273" s="55">
        <f t="shared" ca="1" si="70"/>
        <v>-100.74046271760278</v>
      </c>
      <c r="X273" s="55">
        <f t="shared" ca="1" si="71"/>
        <v>184.4281101111369</v>
      </c>
      <c r="Y273" s="55">
        <f t="shared" ca="1" si="72"/>
        <v>15.898708934687235</v>
      </c>
      <c r="Z273">
        <f t="shared" ca="1" si="66"/>
        <v>34.583583090471265</v>
      </c>
      <c r="AA273">
        <f t="shared" ca="1" si="73"/>
        <v>275.33272875935359</v>
      </c>
      <c r="AB273">
        <f t="shared" ca="1" si="67"/>
        <v>0</v>
      </c>
      <c r="AC273">
        <f t="shared" ca="1" si="68"/>
        <v>0.63129105360927018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>
        <f ca="1"/>
        <v>45677</v>
      </c>
      <c r="S274" s="55">
        <f t="shared" ca="1" si="69"/>
        <v>45677</v>
      </c>
      <c r="T274" s="55">
        <f t="shared" ref="T274:T337" ca="1" si="81">VLOOKUP(S274,ModelOutputs,2,FALSE)</f>
        <v>21.393866081831412</v>
      </c>
      <c r="U274" s="55">
        <f t="shared" ref="U274:U337" ca="1" si="82">VLOOKUP(S274,ModelOutputs,7,FALSE)</f>
        <v>390.51038910924723</v>
      </c>
      <c r="V274" s="55">
        <f t="shared" ref="V274:V337" ca="1" si="83">VLOOKUP(S274,ModelOutputs,6,FALSE)</f>
        <v>0</v>
      </c>
      <c r="W274" s="55">
        <f t="shared" ca="1" si="70"/>
        <v>-100.74046271760278</v>
      </c>
      <c r="X274" s="55">
        <f t="shared" ca="1" si="71"/>
        <v>185.00166564651244</v>
      </c>
      <c r="Y274" s="55">
        <f t="shared" ca="1" si="72"/>
        <v>15.899773016889004</v>
      </c>
      <c r="Z274">
        <f t="shared" ref="Z274:Z337" ca="1" si="84">VLOOKUP(S274,ModelOutputs,10,FALSE)*AWC</f>
        <v>36.057962273742874</v>
      </c>
      <c r="AA274">
        <f t="shared" ca="1" si="73"/>
        <v>275.33272875935359</v>
      </c>
      <c r="AB274">
        <f t="shared" ref="AB274:AB337" ca="1" si="85">VLOOKUP(S274,ModelOutputs,12,FALSE)</f>
        <v>0</v>
      </c>
      <c r="AC274">
        <f t="shared" ref="AC274:AC337" ca="1" si="86">VLOOKUP(S274,ModelOutputs,13,FALSE)</f>
        <v>0.61592294429666483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>
        <f ca="1"/>
        <v>45678</v>
      </c>
      <c r="S275" s="55">
        <f t="shared" ref="S275:S338" ca="1" si="87">IF(R275&gt;1,R275,"")</f>
        <v>45678</v>
      </c>
      <c r="T275" s="55">
        <f t="shared" ca="1" si="81"/>
        <v>21.113875533654536</v>
      </c>
      <c r="U275" s="55">
        <f t="shared" ca="1" si="82"/>
        <v>391.34447796505685</v>
      </c>
      <c r="V275" s="55">
        <f t="shared" ca="1" si="83"/>
        <v>0</v>
      </c>
      <c r="W275" s="55">
        <f t="shared" ref="W275:W338" ca="1" si="88">-VLOOKUP(S275,ModelOutputs,9,FALSE)+W274</f>
        <v>-100.74046271760278</v>
      </c>
      <c r="X275" s="55">
        <f t="shared" ref="X275:X338" ca="1" si="89">VLOOKUP(S275,ModelOutputs,5,FALSE)+X274</f>
        <v>185.55475445997385</v>
      </c>
      <c r="Y275" s="55">
        <f t="shared" ref="Y275:Y338" ca="1" si="90">VLOOKUP(S275,ModelOutputs,4,FALSE)+Y274</f>
        <v>15.900782511060347</v>
      </c>
      <c r="Z275">
        <f t="shared" ca="1" si="84"/>
        <v>35.812763794335602</v>
      </c>
      <c r="AA275">
        <f t="shared" ref="AA275:AA338" ca="1" si="91">VLOOKUP(S275,ModelOutputs,11,FALSE)+AA274</f>
        <v>275.33272875935359</v>
      </c>
      <c r="AB275">
        <f t="shared" ca="1" si="85"/>
        <v>0</v>
      </c>
      <c r="AC275">
        <f t="shared" ca="1" si="86"/>
        <v>0.60093628281586731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>
        <f ca="1"/>
        <v>45679</v>
      </c>
      <c r="S276" s="55">
        <f t="shared" ca="1" si="87"/>
        <v>45679</v>
      </c>
      <c r="T276" s="55">
        <f t="shared" ca="1" si="81"/>
        <v>20.872830803972512</v>
      </c>
      <c r="U276" s="55">
        <f t="shared" ca="1" si="82"/>
        <v>392.12842593820761</v>
      </c>
      <c r="V276" s="55">
        <f t="shared" ca="1" si="83"/>
        <v>0</v>
      </c>
      <c r="W276" s="55">
        <f t="shared" ca="1" si="88"/>
        <v>-100.74046271760278</v>
      </c>
      <c r="X276" s="55">
        <f t="shared" ca="1" si="89"/>
        <v>186.09667140497598</v>
      </c>
      <c r="Y276" s="55">
        <f t="shared" ca="1" si="90"/>
        <v>15.901768809526967</v>
      </c>
      <c r="Z276">
        <f t="shared" ca="1" si="84"/>
        <v>36.313530238456565</v>
      </c>
      <c r="AA276">
        <f t="shared" ca="1" si="91"/>
        <v>275.33272875935359</v>
      </c>
      <c r="AB276">
        <f t="shared" ca="1" si="85"/>
        <v>0</v>
      </c>
      <c r="AC276">
        <f t="shared" ca="1" si="86"/>
        <v>0.58622934974506213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>
        <f ca="1"/>
        <v>45680</v>
      </c>
      <c r="S277" s="55">
        <f t="shared" ca="1" si="87"/>
        <v>45680</v>
      </c>
      <c r="T277" s="55">
        <f t="shared" ca="1" si="81"/>
        <v>20.694636218255038</v>
      </c>
      <c r="U277" s="55">
        <f t="shared" ca="1" si="82"/>
        <v>392.88578640053845</v>
      </c>
      <c r="V277" s="55">
        <f t="shared" ca="1" si="83"/>
        <v>0</v>
      </c>
      <c r="W277" s="55">
        <f t="shared" ca="1" si="88"/>
        <v>-100.74046271760278</v>
      </c>
      <c r="X277" s="55">
        <f t="shared" ca="1" si="89"/>
        <v>186.67471066361531</v>
      </c>
      <c r="Y277" s="55">
        <f t="shared" ca="1" si="90"/>
        <v>15.902895427500994</v>
      </c>
      <c r="Z277">
        <f t="shared" ca="1" si="84"/>
        <v>41.682565122099874</v>
      </c>
      <c r="AA277">
        <f t="shared" ca="1" si="91"/>
        <v>275.33272875935359</v>
      </c>
      <c r="AB277">
        <f t="shared" ca="1" si="85"/>
        <v>0</v>
      </c>
      <c r="AC277">
        <f t="shared" ca="1" si="86"/>
        <v>0.57139526739698754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>
        <f ca="1"/>
        <v>45681</v>
      </c>
      <c r="S278" s="55">
        <f t="shared" ca="1" si="87"/>
        <v>45681</v>
      </c>
      <c r="T278" s="55">
        <f t="shared" ca="1" si="81"/>
        <v>20.53452970423043</v>
      </c>
      <c r="U278" s="55">
        <f t="shared" ca="1" si="82"/>
        <v>393.61943872553456</v>
      </c>
      <c r="V278" s="55">
        <f t="shared" ca="1" si="83"/>
        <v>0</v>
      </c>
      <c r="W278" s="55">
        <f t="shared" ca="1" si="88"/>
        <v>-100.74046271760278</v>
      </c>
      <c r="X278" s="55">
        <f t="shared" ca="1" si="89"/>
        <v>187.24720072635401</v>
      </c>
      <c r="Y278" s="55">
        <f t="shared" ca="1" si="90"/>
        <v>15.903951175733814</v>
      </c>
      <c r="Z278">
        <f t="shared" ca="1" si="84"/>
        <v>39.1154141875029</v>
      </c>
      <c r="AA278">
        <f t="shared" ca="1" si="91"/>
        <v>275.33272875935359</v>
      </c>
      <c r="AB278">
        <f t="shared" ca="1" si="85"/>
        <v>0</v>
      </c>
      <c r="AC278">
        <f t="shared" ca="1" si="86"/>
        <v>0.55638317606073606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>
        <f ca="1"/>
        <v>45682</v>
      </c>
      <c r="S279" s="55">
        <f t="shared" ca="1" si="87"/>
        <v>45682</v>
      </c>
      <c r="T279" s="55">
        <f t="shared" ca="1" si="81"/>
        <v>20.383736239593588</v>
      </c>
      <c r="U279" s="55">
        <f t="shared" ca="1" si="82"/>
        <v>394.32681972966481</v>
      </c>
      <c r="V279" s="55">
        <f t="shared" ca="1" si="83"/>
        <v>0</v>
      </c>
      <c r="W279" s="55">
        <f t="shared" ca="1" si="88"/>
        <v>-100.74046271760278</v>
      </c>
      <c r="X279" s="55">
        <f t="shared" ca="1" si="89"/>
        <v>187.80284977716923</v>
      </c>
      <c r="Y279" s="55">
        <f t="shared" ca="1" si="90"/>
        <v>15.904889664411984</v>
      </c>
      <c r="Z279">
        <f t="shared" ca="1" si="84"/>
        <v>34.947128330496724</v>
      </c>
      <c r="AA279">
        <f t="shared" ca="1" si="91"/>
        <v>275.33272875935359</v>
      </c>
      <c r="AB279">
        <f t="shared" ca="1" si="85"/>
        <v>0</v>
      </c>
      <c r="AC279">
        <f t="shared" ca="1" si="86"/>
        <v>0.54125241206570007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>
        <f ca="1"/>
        <v>45683</v>
      </c>
      <c r="S280" s="55">
        <f t="shared" ca="1" si="87"/>
        <v>45683</v>
      </c>
      <c r="T280" s="55">
        <f t="shared" ca="1" si="81"/>
        <v>20.262752411271272</v>
      </c>
      <c r="U280" s="55">
        <f t="shared" ca="1" si="82"/>
        <v>395.04325455454762</v>
      </c>
      <c r="V280" s="55">
        <f t="shared" ca="1" si="83"/>
        <v>0</v>
      </c>
      <c r="W280" s="55">
        <f t="shared" ca="1" si="88"/>
        <v>-100.74046271760278</v>
      </c>
      <c r="X280" s="55">
        <f t="shared" ca="1" si="89"/>
        <v>188.39734212429551</v>
      </c>
      <c r="Y280" s="55">
        <f t="shared" ca="1" si="90"/>
        <v>15.905848313846192</v>
      </c>
      <c r="Z280">
        <f t="shared" ca="1" si="84"/>
        <v>33.596908377856472</v>
      </c>
      <c r="AA280">
        <f t="shared" ca="1" si="91"/>
        <v>275.33272875935359</v>
      </c>
      <c r="AB280">
        <f t="shared" ca="1" si="85"/>
        <v>0</v>
      </c>
      <c r="AC280">
        <f t="shared" ca="1" si="86"/>
        <v>0.52520617327432584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>
        <f ca="1"/>
        <v>45684</v>
      </c>
      <c r="S281" s="55">
        <f t="shared" ca="1" si="87"/>
        <v>45684</v>
      </c>
      <c r="T281" s="55">
        <f t="shared" ca="1" si="81"/>
        <v>20.192393474031107</v>
      </c>
      <c r="U281" s="55">
        <f t="shared" ca="1" si="82"/>
        <v>395.71230930294996</v>
      </c>
      <c r="V281" s="55">
        <f t="shared" ca="1" si="83"/>
        <v>0</v>
      </c>
      <c r="W281" s="55">
        <f t="shared" ca="1" si="88"/>
        <v>-100.74046271760278</v>
      </c>
      <c r="X281" s="55">
        <f t="shared" ca="1" si="89"/>
        <v>188.99501988280377</v>
      </c>
      <c r="Y281" s="55">
        <f t="shared" ca="1" si="90"/>
        <v>15.90686636650012</v>
      </c>
      <c r="Z281">
        <f t="shared" ca="1" si="84"/>
        <v>37.235065502160978</v>
      </c>
      <c r="AA281">
        <f t="shared" ca="1" si="91"/>
        <v>275.33272875935359</v>
      </c>
      <c r="AB281">
        <f t="shared" ca="1" si="85"/>
        <v>0</v>
      </c>
      <c r="AC281">
        <f t="shared" ca="1" si="86"/>
        <v>0.50949899922233577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>
        <f ca="1"/>
        <v>45685</v>
      </c>
      <c r="S282" s="55">
        <f t="shared" ca="1" si="87"/>
        <v>45685</v>
      </c>
      <c r="T282" s="55">
        <f t="shared" ca="1" si="81"/>
        <v>20.135571625240068</v>
      </c>
      <c r="U282" s="55">
        <f t="shared" ca="1" si="82"/>
        <v>396.34240580444549</v>
      </c>
      <c r="V282" s="55">
        <f t="shared" ca="1" si="83"/>
        <v>0</v>
      </c>
      <c r="W282" s="55">
        <f t="shared" ca="1" si="88"/>
        <v>-100.74046271760278</v>
      </c>
      <c r="X282" s="55">
        <f t="shared" ca="1" si="89"/>
        <v>189.56737674377666</v>
      </c>
      <c r="Y282" s="55">
        <f t="shared" ca="1" si="90"/>
        <v>15.907784158231728</v>
      </c>
      <c r="Z282">
        <f t="shared" ca="1" si="84"/>
        <v>34.664979845751908</v>
      </c>
      <c r="AA282">
        <f t="shared" ca="1" si="91"/>
        <v>275.33272875935359</v>
      </c>
      <c r="AB282">
        <f t="shared" ca="1" si="85"/>
        <v>0</v>
      </c>
      <c r="AC282">
        <f t="shared" ca="1" si="86"/>
        <v>0.49400374063246111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>
        <f ca="1"/>
        <v>45686</v>
      </c>
      <c r="S283" s="55">
        <f t="shared" ca="1" si="87"/>
        <v>45686</v>
      </c>
      <c r="T283" s="55">
        <f t="shared" ca="1" si="81"/>
        <v>20.091461123940789</v>
      </c>
      <c r="U283" s="55">
        <f t="shared" ca="1" si="82"/>
        <v>396.96555261686802</v>
      </c>
      <c r="V283" s="55">
        <f t="shared" ca="1" si="83"/>
        <v>0</v>
      </c>
      <c r="W283" s="55">
        <f t="shared" ca="1" si="88"/>
        <v>-100.74046271760278</v>
      </c>
      <c r="X283" s="55">
        <f t="shared" ca="1" si="89"/>
        <v>190.14558063216683</v>
      </c>
      <c r="Y283" s="55">
        <f t="shared" ca="1" si="90"/>
        <v>15.90861658096482</v>
      </c>
      <c r="Z283">
        <f t="shared" ca="1" si="84"/>
        <v>30.423476527597973</v>
      </c>
      <c r="AA283">
        <f t="shared" ca="1" si="91"/>
        <v>275.33272875935359</v>
      </c>
      <c r="AB283">
        <f t="shared" ca="1" si="85"/>
        <v>0</v>
      </c>
      <c r="AC283">
        <f t="shared" ca="1" si="86"/>
        <v>0.47794054860411772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>
        <f ca="1"/>
        <v>45687</v>
      </c>
      <c r="S284" s="55">
        <f t="shared" ca="1" si="87"/>
        <v>45687</v>
      </c>
      <c r="T284" s="55">
        <f t="shared" ca="1" si="81"/>
        <v>20.070172069354705</v>
      </c>
      <c r="U284" s="55">
        <f t="shared" ca="1" si="82"/>
        <v>397.56310858522585</v>
      </c>
      <c r="V284" s="55">
        <f t="shared" ca="1" si="83"/>
        <v>0</v>
      </c>
      <c r="W284" s="55">
        <f t="shared" ca="1" si="88"/>
        <v>-100.74046271760278</v>
      </c>
      <c r="X284" s="55">
        <f t="shared" ca="1" si="89"/>
        <v>190.72105975845074</v>
      </c>
      <c r="Y284" s="55">
        <f t="shared" ca="1" si="90"/>
        <v>15.909404368452662</v>
      </c>
      <c r="Z284">
        <f t="shared" ca="1" si="84"/>
        <v>28.918015490505478</v>
      </c>
      <c r="AA284">
        <f t="shared" ca="1" si="91"/>
        <v>275.33272875935359</v>
      </c>
      <c r="AB284">
        <f t="shared" ca="1" si="85"/>
        <v>0</v>
      </c>
      <c r="AC284">
        <f t="shared" ca="1" si="86"/>
        <v>0.46177563715395853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>
        <f ca="1"/>
        <v>45688</v>
      </c>
      <c r="S285" s="55">
        <f t="shared" ca="1" si="87"/>
        <v>45688</v>
      </c>
      <c r="T285" s="55">
        <f t="shared" ca="1" si="81"/>
        <v>20.054791015693471</v>
      </c>
      <c r="U285" s="55">
        <f t="shared" ca="1" si="82"/>
        <v>398.12214608676311</v>
      </c>
      <c r="V285" s="55">
        <f t="shared" ca="1" si="83"/>
        <v>0</v>
      </c>
      <c r="W285" s="55">
        <f t="shared" ca="1" si="88"/>
        <v>-100.74046271760278</v>
      </c>
      <c r="X285" s="55">
        <f t="shared" ca="1" si="89"/>
        <v>191.2640549596864</v>
      </c>
      <c r="Y285" s="55">
        <f t="shared" ca="1" si="90"/>
        <v>15.910065615093011</v>
      </c>
      <c r="Z285">
        <f t="shared" ca="1" si="84"/>
        <v>25.15533413142769</v>
      </c>
      <c r="AA285">
        <f t="shared" ca="1" si="91"/>
        <v>275.33272875935359</v>
      </c>
      <c r="AB285">
        <f t="shared" ca="1" si="85"/>
        <v>0</v>
      </c>
      <c r="AC285">
        <f t="shared" ca="1" si="86"/>
        <v>0.44590740735076129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>
        <f ca="1"/>
        <v>45689</v>
      </c>
      <c r="S286" s="55">
        <f t="shared" ca="1" si="87"/>
        <v>45689</v>
      </c>
      <c r="T286" s="55">
        <f t="shared" ca="1" si="81"/>
        <v>20.093562393463465</v>
      </c>
      <c r="U286" s="55">
        <f t="shared" ca="1" si="82"/>
        <v>398.65509158889239</v>
      </c>
      <c r="V286" s="55">
        <f t="shared" ca="1" si="83"/>
        <v>0</v>
      </c>
      <c r="W286" s="55">
        <f t="shared" ca="1" si="88"/>
        <v>-100.74046271760278</v>
      </c>
      <c r="X286" s="55">
        <f t="shared" ca="1" si="89"/>
        <v>191.83496940158281</v>
      </c>
      <c r="Y286" s="55">
        <f t="shared" ca="1" si="90"/>
        <v>15.910868053095868</v>
      </c>
      <c r="Z286">
        <f t="shared" ca="1" si="84"/>
        <v>30.885085786075287</v>
      </c>
      <c r="AA286">
        <f t="shared" ca="1" si="91"/>
        <v>275.33272875935359</v>
      </c>
      <c r="AB286">
        <f t="shared" ca="1" si="85"/>
        <v>0</v>
      </c>
      <c r="AC286">
        <f t="shared" ca="1" si="86"/>
        <v>0.43003917754756393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>
        <f ca="1"/>
        <v>45690</v>
      </c>
      <c r="S287" s="55">
        <f t="shared" ca="1" si="87"/>
        <v>45690</v>
      </c>
      <c r="T287" s="55">
        <f t="shared" ca="1" si="81"/>
        <v>20.185847942772135</v>
      </c>
      <c r="U287" s="55">
        <f t="shared" ca="1" si="82"/>
        <v>399.15885659683346</v>
      </c>
      <c r="V287" s="55">
        <f t="shared" ca="1" si="83"/>
        <v>0</v>
      </c>
      <c r="W287" s="55">
        <f t="shared" ca="1" si="88"/>
        <v>-100.74046271760278</v>
      </c>
      <c r="X287" s="55">
        <f t="shared" ca="1" si="89"/>
        <v>192.43009343257177</v>
      </c>
      <c r="Y287" s="55">
        <f t="shared" ca="1" si="90"/>
        <v>15.911794579356663</v>
      </c>
      <c r="Z287">
        <f t="shared" ca="1" si="84"/>
        <v>36.564706735815541</v>
      </c>
      <c r="AA287">
        <f t="shared" ca="1" si="91"/>
        <v>275.33272875935359</v>
      </c>
      <c r="AB287">
        <f t="shared" ca="1" si="85"/>
        <v>0</v>
      </c>
      <c r="AC287">
        <f t="shared" ca="1" si="86"/>
        <v>0.41430657364012036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>
        <f ca="1"/>
        <v>45691</v>
      </c>
      <c r="S288" s="55">
        <f t="shared" ca="1" si="87"/>
        <v>45691</v>
      </c>
      <c r="T288" s="55">
        <f t="shared" ca="1" si="81"/>
        <v>20.285527360245108</v>
      </c>
      <c r="U288" s="55">
        <f t="shared" ca="1" si="82"/>
        <v>399.64625579488325</v>
      </c>
      <c r="V288" s="55">
        <f t="shared" ca="1" si="83"/>
        <v>0</v>
      </c>
      <c r="W288" s="55">
        <f t="shared" ca="1" si="88"/>
        <v>-100.74046271760278</v>
      </c>
      <c r="X288" s="55">
        <f t="shared" ca="1" si="89"/>
        <v>193.01633652913611</v>
      </c>
      <c r="Y288" s="55">
        <f t="shared" ca="1" si="90"/>
        <v>15.91263009831507</v>
      </c>
      <c r="Z288">
        <f t="shared" ca="1" si="84"/>
        <v>32.806849043853667</v>
      </c>
      <c r="AA288">
        <f t="shared" ca="1" si="91"/>
        <v>275.33272875935359</v>
      </c>
      <c r="AB288">
        <f t="shared" ca="1" si="85"/>
        <v>0</v>
      </c>
      <c r="AC288">
        <f t="shared" ca="1" si="86"/>
        <v>0.39833662441510731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>
        <f ca="1"/>
        <v>45692</v>
      </c>
      <c r="S289" s="55">
        <f t="shared" ca="1" si="87"/>
        <v>45692</v>
      </c>
      <c r="T289" s="55">
        <f t="shared" ca="1" si="81"/>
        <v>20.428658268988912</v>
      </c>
      <c r="U289" s="55">
        <f t="shared" ca="1" si="82"/>
        <v>400.1009622398438</v>
      </c>
      <c r="V289" s="55">
        <f t="shared" ca="1" si="83"/>
        <v>0</v>
      </c>
      <c r="W289" s="55">
        <f t="shared" ca="1" si="88"/>
        <v>-100.74046271760278</v>
      </c>
      <c r="X289" s="55">
        <f t="shared" ca="1" si="89"/>
        <v>193.61325127984901</v>
      </c>
      <c r="Y289" s="55">
        <f t="shared" ca="1" si="90"/>
        <v>15.913552701306527</v>
      </c>
      <c r="Z289">
        <f t="shared" ca="1" si="84"/>
        <v>37.78832221668624</v>
      </c>
      <c r="AA289">
        <f t="shared" ca="1" si="91"/>
        <v>275.33272875935359</v>
      </c>
      <c r="AB289">
        <f t="shared" ca="1" si="85"/>
        <v>0</v>
      </c>
      <c r="AC289">
        <f t="shared" ca="1" si="86"/>
        <v>0.38270573992947898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>
        <f ca="1"/>
        <v>45693</v>
      </c>
      <c r="S290" s="55">
        <f t="shared" ca="1" si="87"/>
        <v>45693</v>
      </c>
      <c r="T290" s="55">
        <f t="shared" ca="1" si="81"/>
        <v>20.581993156858125</v>
      </c>
      <c r="U290" s="55">
        <f t="shared" ca="1" si="82"/>
        <v>400.52398043435153</v>
      </c>
      <c r="V290" s="55">
        <f t="shared" ca="1" si="83"/>
        <v>0</v>
      </c>
      <c r="W290" s="55">
        <f t="shared" ca="1" si="88"/>
        <v>-100.74046271760278</v>
      </c>
      <c r="X290" s="55">
        <f t="shared" ca="1" si="89"/>
        <v>194.1887291768503</v>
      </c>
      <c r="Y290" s="55">
        <f t="shared" ca="1" si="90"/>
        <v>15.914427886682184</v>
      </c>
      <c r="Z290">
        <f t="shared" ca="1" si="84"/>
        <v>37.56639109567687</v>
      </c>
      <c r="AA290">
        <f t="shared" ca="1" si="91"/>
        <v>275.33272875935359</v>
      </c>
      <c r="AB290">
        <f t="shared" ca="1" si="85"/>
        <v>0</v>
      </c>
      <c r="AC290">
        <f t="shared" ca="1" si="86"/>
        <v>0.36746477989414295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>
        <f ca="1"/>
        <v>45694</v>
      </c>
      <c r="S291" s="55">
        <f t="shared" ca="1" si="87"/>
        <v>45694</v>
      </c>
      <c r="T291" s="55">
        <f t="shared" ca="1" si="81"/>
        <v>20.724848895480314</v>
      </c>
      <c r="U291" s="55">
        <f t="shared" ca="1" si="82"/>
        <v>400.91461318854408</v>
      </c>
      <c r="V291" s="55">
        <f t="shared" ca="1" si="83"/>
        <v>0</v>
      </c>
      <c r="W291" s="55">
        <f t="shared" ca="1" si="88"/>
        <v>-100.74046271760278</v>
      </c>
      <c r="X291" s="55">
        <f t="shared" ca="1" si="89"/>
        <v>194.72146198519974</v>
      </c>
      <c r="Y291" s="55">
        <f t="shared" ca="1" si="90"/>
        <v>15.915183571147479</v>
      </c>
      <c r="Z291">
        <f t="shared" ca="1" si="84"/>
        <v>34.28260460671666</v>
      </c>
      <c r="AA291">
        <f t="shared" ca="1" si="91"/>
        <v>275.33272875935359</v>
      </c>
      <c r="AB291">
        <f t="shared" ca="1" si="85"/>
        <v>0</v>
      </c>
      <c r="AC291">
        <f t="shared" ca="1" si="86"/>
        <v>0.3527324169678836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>
        <f ca="1"/>
        <v>45695</v>
      </c>
      <c r="S292" s="55">
        <f t="shared" ca="1" si="87"/>
        <v>45695</v>
      </c>
      <c r="T292" s="55">
        <f t="shared" ca="1" si="81"/>
        <v>20.886705282882183</v>
      </c>
      <c r="U292" s="55">
        <f t="shared" ca="1" si="82"/>
        <v>401.28090567702793</v>
      </c>
      <c r="V292" s="55">
        <f t="shared" ca="1" si="83"/>
        <v>0</v>
      </c>
      <c r="W292" s="55">
        <f t="shared" ca="1" si="88"/>
        <v>-100.74046271760278</v>
      </c>
      <c r="X292" s="55">
        <f t="shared" ca="1" si="89"/>
        <v>195.2488462845331</v>
      </c>
      <c r="Y292" s="55">
        <f t="shared" ca="1" si="90"/>
        <v>15.915948147699824</v>
      </c>
      <c r="Z292">
        <f t="shared" ca="1" si="84"/>
        <v>35.976436532841646</v>
      </c>
      <c r="AA292">
        <f t="shared" ca="1" si="91"/>
        <v>275.33272875935359</v>
      </c>
      <c r="AB292">
        <f t="shared" ca="1" si="85"/>
        <v>0</v>
      </c>
      <c r="AC292">
        <f t="shared" ca="1" si="86"/>
        <v>0.3382882590701014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>
        <f ca="1"/>
        <v>45696</v>
      </c>
      <c r="S293" s="55">
        <f t="shared" ca="1" si="87"/>
        <v>45696</v>
      </c>
      <c r="T293" s="55">
        <f t="shared" ca="1" si="81"/>
        <v>21.080249529170096</v>
      </c>
      <c r="U293" s="55">
        <f t="shared" ca="1" si="82"/>
        <v>401.64019939743372</v>
      </c>
      <c r="V293" s="55">
        <f t="shared" ca="1" si="83"/>
        <v>0</v>
      </c>
      <c r="W293" s="55">
        <f t="shared" ca="1" si="88"/>
        <v>-100.74046271760278</v>
      </c>
      <c r="X293" s="55">
        <f t="shared" ca="1" si="89"/>
        <v>195.80088026209307</v>
      </c>
      <c r="Y293" s="55">
        <f t="shared" ca="1" si="90"/>
        <v>15.916752136833551</v>
      </c>
      <c r="Z293">
        <f t="shared" ca="1" si="84"/>
        <v>37.193952366278893</v>
      </c>
      <c r="AA293">
        <f t="shared" ca="1" si="91"/>
        <v>275.33272875935359</v>
      </c>
      <c r="AB293">
        <f t="shared" ca="1" si="85"/>
        <v>0</v>
      </c>
      <c r="AC293">
        <f t="shared" ca="1" si="86"/>
        <v>0.32347112995899596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>
        <f ca="1"/>
        <v>45697</v>
      </c>
      <c r="S294" s="55">
        <f t="shared" ca="1" si="87"/>
        <v>45697</v>
      </c>
      <c r="T294" s="55">
        <f t="shared" ca="1" si="81"/>
        <v>21.277531031066658</v>
      </c>
      <c r="U294" s="55">
        <f t="shared" ca="1" si="82"/>
        <v>401.98506679328659</v>
      </c>
      <c r="V294" s="55">
        <f t="shared" ca="1" si="83"/>
        <v>0</v>
      </c>
      <c r="W294" s="55">
        <f t="shared" ca="1" si="88"/>
        <v>-100.74046271760278</v>
      </c>
      <c r="X294" s="55">
        <f t="shared" ca="1" si="89"/>
        <v>196.34228855726039</v>
      </c>
      <c r="Y294" s="55">
        <f t="shared" ca="1" si="90"/>
        <v>15.917492739415669</v>
      </c>
      <c r="Z294">
        <f t="shared" ca="1" si="84"/>
        <v>34.533557013129723</v>
      </c>
      <c r="AA294">
        <f t="shared" ca="1" si="91"/>
        <v>275.33272875935359</v>
      </c>
      <c r="AB294">
        <f t="shared" ca="1" si="85"/>
        <v>0</v>
      </c>
      <c r="AC294">
        <f t="shared" ca="1" si="86"/>
        <v>0.3085861879000138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>
        <f ca="1"/>
        <v>45698</v>
      </c>
      <c r="S295" s="55">
        <f t="shared" ca="1" si="87"/>
        <v>45698</v>
      </c>
      <c r="T295" s="55">
        <f t="shared" ca="1" si="81"/>
        <v>21.502225951483354</v>
      </c>
      <c r="U295" s="55">
        <f t="shared" ca="1" si="82"/>
        <v>402.31726797938416</v>
      </c>
      <c r="V295" s="55">
        <f t="shared" ca="1" si="83"/>
        <v>0</v>
      </c>
      <c r="W295" s="55">
        <f t="shared" ca="1" si="88"/>
        <v>-100.74046271760278</v>
      </c>
      <c r="X295" s="55">
        <f t="shared" ca="1" si="89"/>
        <v>196.8984117788404</v>
      </c>
      <c r="Y295" s="55">
        <f t="shared" ca="1" si="90"/>
        <v>15.918265624349925</v>
      </c>
      <c r="Z295">
        <f t="shared" ca="1" si="84"/>
        <v>36.144626931937665</v>
      </c>
      <c r="AA295">
        <f t="shared" ca="1" si="91"/>
        <v>275.33272875935359</v>
      </c>
      <c r="AB295">
        <f t="shared" ca="1" si="85"/>
        <v>0</v>
      </c>
      <c r="AC295">
        <f t="shared" ca="1" si="86"/>
        <v>0.29357409656376232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>
        <f ca="1"/>
        <v>45699</v>
      </c>
      <c r="S296" s="55">
        <f t="shared" ca="1" si="87"/>
        <v>45699</v>
      </c>
      <c r="T296" s="55">
        <f t="shared" ca="1" si="81"/>
        <v>21.774340498291394</v>
      </c>
      <c r="U296" s="55">
        <f t="shared" ca="1" si="82"/>
        <v>402.63342074094612</v>
      </c>
      <c r="V296" s="55">
        <f t="shared" ca="1" si="83"/>
        <v>0</v>
      </c>
      <c r="W296" s="55">
        <f t="shared" ca="1" si="88"/>
        <v>-100.74046271760278</v>
      </c>
      <c r="X296" s="55">
        <f t="shared" ca="1" si="89"/>
        <v>197.48579495852886</v>
      </c>
      <c r="Y296" s="55">
        <f t="shared" ca="1" si="90"/>
        <v>15.919149753031478</v>
      </c>
      <c r="Z296">
        <f t="shared" ca="1" si="84"/>
        <v>42.136807629534744</v>
      </c>
      <c r="AA296">
        <f t="shared" ca="1" si="91"/>
        <v>275.33272875935359</v>
      </c>
      <c r="AB296">
        <f t="shared" ca="1" si="85"/>
        <v>0</v>
      </c>
      <c r="AC296">
        <f t="shared" ca="1" si="86"/>
        <v>0.27861286493841841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>
        <f ca="1"/>
        <v>45700</v>
      </c>
      <c r="S297" s="55">
        <f t="shared" ca="1" si="87"/>
        <v>45700</v>
      </c>
      <c r="T297" s="55">
        <f t="shared" ca="1" si="81"/>
        <v>22.077433145109545</v>
      </c>
      <c r="U297" s="55">
        <f t="shared" ca="1" si="82"/>
        <v>402.94534482092973</v>
      </c>
      <c r="V297" s="55">
        <f t="shared" ca="1" si="83"/>
        <v>0</v>
      </c>
      <c r="W297" s="55">
        <f t="shared" ca="1" si="88"/>
        <v>-100.74046271760278</v>
      </c>
      <c r="X297" s="55">
        <f t="shared" ca="1" si="89"/>
        <v>198.09990634878406</v>
      </c>
      <c r="Y297" s="55">
        <f t="shared" ca="1" si="90"/>
        <v>15.920055089578039</v>
      </c>
      <c r="Z297">
        <f t="shared" ca="1" si="84"/>
        <v>42.063334374333657</v>
      </c>
      <c r="AA297">
        <f t="shared" ca="1" si="91"/>
        <v>275.33272875935359</v>
      </c>
      <c r="AB297">
        <f t="shared" ca="1" si="85"/>
        <v>0</v>
      </c>
      <c r="AC297">
        <f t="shared" ca="1" si="86"/>
        <v>0.26314303620399782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>
        <f ca="1"/>
        <v>45701</v>
      </c>
      <c r="S298" s="55">
        <f t="shared" ca="1" si="87"/>
        <v>45701</v>
      </c>
      <c r="T298" s="55">
        <f t="shared" ca="1" si="81"/>
        <v>22.394325262143163</v>
      </c>
      <c r="U298" s="55">
        <f t="shared" ca="1" si="82"/>
        <v>403.24939956195345</v>
      </c>
      <c r="V298" s="55">
        <f t="shared" ca="1" si="83"/>
        <v>0</v>
      </c>
      <c r="W298" s="55">
        <f t="shared" ca="1" si="88"/>
        <v>-100.74046271760278</v>
      </c>
      <c r="X298" s="55">
        <f t="shared" ca="1" si="89"/>
        <v>198.71998283031809</v>
      </c>
      <c r="Y298" s="55">
        <f t="shared" ca="1" si="90"/>
        <v>15.920925466101357</v>
      </c>
      <c r="Z298">
        <f t="shared" ca="1" si="84"/>
        <v>39.921256493842499</v>
      </c>
      <c r="AA298">
        <f t="shared" ca="1" si="91"/>
        <v>275.33272875935359</v>
      </c>
      <c r="AB298">
        <f t="shared" ca="1" si="85"/>
        <v>0</v>
      </c>
      <c r="AC298">
        <f t="shared" ca="1" si="86"/>
        <v>0.24731718949322334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>
        <f ca="1"/>
        <v>45702</v>
      </c>
      <c r="S299" s="55">
        <f t="shared" ca="1" si="87"/>
        <v>45702</v>
      </c>
      <c r="T299" s="55">
        <f t="shared" ca="1" si="81"/>
        <v>22.717579607209448</v>
      </c>
      <c r="U299" s="55">
        <f t="shared" ca="1" si="82"/>
        <v>403.53893406590538</v>
      </c>
      <c r="V299" s="55">
        <f t="shared" ca="1" si="83"/>
        <v>0</v>
      </c>
      <c r="W299" s="55">
        <f t="shared" ca="1" si="88"/>
        <v>-100.74046271760278</v>
      </c>
      <c r="X299" s="55">
        <f t="shared" ca="1" si="89"/>
        <v>199.33194343763665</v>
      </c>
      <c r="Y299" s="55">
        <f t="shared" ca="1" si="90"/>
        <v>15.921753707801001</v>
      </c>
      <c r="Z299">
        <f t="shared" ca="1" si="84"/>
        <v>38.590753562444654</v>
      </c>
      <c r="AA299">
        <f t="shared" ca="1" si="91"/>
        <v>275.33272875935359</v>
      </c>
      <c r="AB299">
        <f t="shared" ca="1" si="85"/>
        <v>0</v>
      </c>
      <c r="AC299">
        <f t="shared" ca="1" si="86"/>
        <v>0.23149134278244887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>
        <f ca="1"/>
        <v>45703</v>
      </c>
      <c r="S300" s="55">
        <f t="shared" ca="1" si="87"/>
        <v>45703</v>
      </c>
      <c r="T300" s="55">
        <f t="shared" ca="1" si="81"/>
        <v>23.039079076072962</v>
      </c>
      <c r="U300" s="55">
        <f t="shared" ca="1" si="82"/>
        <v>403.80741375681578</v>
      </c>
      <c r="V300" s="55">
        <f t="shared" ca="1" si="83"/>
        <v>0</v>
      </c>
      <c r="W300" s="55">
        <f t="shared" ca="1" si="88"/>
        <v>-100.74046271760278</v>
      </c>
      <c r="X300" s="55">
        <f t="shared" ca="1" si="89"/>
        <v>199.92113616587321</v>
      </c>
      <c r="Y300" s="55">
        <f t="shared" ca="1" si="90"/>
        <v>15.922540139338361</v>
      </c>
      <c r="Z300">
        <f t="shared" ca="1" si="84"/>
        <v>38.513487148678294</v>
      </c>
      <c r="AA300">
        <f t="shared" ca="1" si="91"/>
        <v>275.33272875935359</v>
      </c>
      <c r="AB300">
        <f t="shared" ca="1" si="85"/>
        <v>0</v>
      </c>
      <c r="AC300">
        <f t="shared" ca="1" si="86"/>
        <v>0.21608932699590511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>
        <f ca="1"/>
        <v>45704</v>
      </c>
      <c r="S301" s="55">
        <f t="shared" ca="1" si="87"/>
        <v>45704</v>
      </c>
      <c r="T301" s="55">
        <f t="shared" ca="1" si="81"/>
        <v>23.354177452709926</v>
      </c>
      <c r="U301" s="55">
        <f t="shared" ca="1" si="82"/>
        <v>404.05938322368615</v>
      </c>
      <c r="V301" s="55">
        <f t="shared" ca="1" si="83"/>
        <v>0</v>
      </c>
      <c r="W301" s="55">
        <f t="shared" ca="1" si="88"/>
        <v>-100.74046271760278</v>
      </c>
      <c r="X301" s="55">
        <f t="shared" ca="1" si="89"/>
        <v>200.48748003945235</v>
      </c>
      <c r="Y301" s="55">
        <f t="shared" ca="1" si="90"/>
        <v>15.923264109266562</v>
      </c>
      <c r="Z301">
        <f t="shared" ca="1" si="84"/>
        <v>36.696662646623864</v>
      </c>
      <c r="AA301">
        <f t="shared" ca="1" si="91"/>
        <v>275.33272875935359</v>
      </c>
      <c r="AB301">
        <f t="shared" ca="1" si="85"/>
        <v>0</v>
      </c>
      <c r="AC301">
        <f t="shared" ca="1" si="86"/>
        <v>0.20093313314541505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>
        <f ca="1"/>
        <v>45705</v>
      </c>
      <c r="S302" s="55">
        <f t="shared" ca="1" si="87"/>
        <v>45705</v>
      </c>
      <c r="T302" s="55">
        <f t="shared" ca="1" si="81"/>
        <v>23.704345014346025</v>
      </c>
      <c r="U302" s="55">
        <f t="shared" ca="1" si="82"/>
        <v>404.30410231105765</v>
      </c>
      <c r="V302" s="55">
        <f t="shared" ca="1" si="83"/>
        <v>0</v>
      </c>
      <c r="W302" s="55">
        <f t="shared" ca="1" si="88"/>
        <v>-100.74046271760278</v>
      </c>
      <c r="X302" s="55">
        <f t="shared" ca="1" si="89"/>
        <v>201.08158969708811</v>
      </c>
      <c r="Y302" s="55">
        <f t="shared" ca="1" si="90"/>
        <v>15.924041100638396</v>
      </c>
      <c r="Z302">
        <f t="shared" ca="1" si="84"/>
        <v>39.052551199745352</v>
      </c>
      <c r="AA302">
        <f t="shared" ca="1" si="91"/>
        <v>275.33272875935359</v>
      </c>
      <c r="AB302">
        <f t="shared" ca="1" si="85"/>
        <v>0</v>
      </c>
      <c r="AC302">
        <f t="shared" ca="1" si="86"/>
        <v>0.18549721088493287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>
        <f ca="1"/>
        <v>45706</v>
      </c>
      <c r="S303" s="55">
        <f t="shared" ca="1" si="87"/>
        <v>45706</v>
      </c>
      <c r="T303" s="55">
        <f t="shared" ca="1" si="81"/>
        <v>24.090191764219938</v>
      </c>
      <c r="U303" s="55">
        <f t="shared" ca="1" si="82"/>
        <v>404.54135634097048</v>
      </c>
      <c r="V303" s="55">
        <f t="shared" ca="1" si="83"/>
        <v>0</v>
      </c>
      <c r="W303" s="55">
        <f t="shared" ca="1" si="88"/>
        <v>-100.74046271760278</v>
      </c>
      <c r="X303" s="55">
        <f t="shared" ca="1" si="89"/>
        <v>201.70386318540091</v>
      </c>
      <c r="Y303" s="55">
        <f t="shared" ca="1" si="90"/>
        <v>15.924868392112352</v>
      </c>
      <c r="Z303">
        <f t="shared" ca="1" si="84"/>
        <v>41.308028389004065</v>
      </c>
      <c r="AA303">
        <f t="shared" ca="1" si="91"/>
        <v>275.33272875935359</v>
      </c>
      <c r="AB303">
        <f t="shared" ca="1" si="85"/>
        <v>0</v>
      </c>
      <c r="AC303">
        <f t="shared" ca="1" si="86"/>
        <v>0.16979003683294291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>
        <f ca="1"/>
        <v>45707</v>
      </c>
      <c r="S304" s="55">
        <f t="shared" ca="1" si="87"/>
        <v>45707</v>
      </c>
      <c r="T304" s="55">
        <f t="shared" ca="1" si="81"/>
        <v>24.527434645193772</v>
      </c>
      <c r="U304" s="55">
        <f t="shared" ca="1" si="82"/>
        <v>404.77204807391394</v>
      </c>
      <c r="V304" s="55">
        <f t="shared" ca="1" si="83"/>
        <v>0</v>
      </c>
      <c r="W304" s="55">
        <f t="shared" ca="1" si="88"/>
        <v>-100.74046271760278</v>
      </c>
      <c r="X304" s="55">
        <f t="shared" ca="1" si="89"/>
        <v>202.37088238295533</v>
      </c>
      <c r="Y304" s="55">
        <f t="shared" ca="1" si="90"/>
        <v>15.925783808475211</v>
      </c>
      <c r="Z304">
        <f t="shared" ca="1" si="84"/>
        <v>45.228820498324588</v>
      </c>
      <c r="AA304">
        <f t="shared" ca="1" si="91"/>
        <v>275.33272875935359</v>
      </c>
      <c r="AB304">
        <f t="shared" ca="1" si="85"/>
        <v>0</v>
      </c>
      <c r="AC304">
        <f t="shared" ca="1" si="86"/>
        <v>0.15374379804156868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>
        <f ca="1"/>
        <v>45708</v>
      </c>
      <c r="S305" s="55">
        <f t="shared" ca="1" si="87"/>
        <v>45708</v>
      </c>
      <c r="T305" s="55">
        <f t="shared" ca="1" si="81"/>
        <v>24.979379417093782</v>
      </c>
      <c r="U305" s="55">
        <f t="shared" ca="1" si="82"/>
        <v>404.99454107438316</v>
      </c>
      <c r="V305" s="55">
        <f t="shared" ca="1" si="83"/>
        <v>0</v>
      </c>
      <c r="W305" s="55">
        <f t="shared" ca="1" si="88"/>
        <v>-100.74046271760278</v>
      </c>
      <c r="X305" s="55">
        <f t="shared" ca="1" si="89"/>
        <v>203.04442372908139</v>
      </c>
      <c r="Y305" s="55">
        <f t="shared" ca="1" si="90"/>
        <v>15.926680234718404</v>
      </c>
      <c r="Z305">
        <f t="shared" ca="1" si="84"/>
        <v>44.264281550749473</v>
      </c>
      <c r="AA305">
        <f t="shared" ca="1" si="91"/>
        <v>275.33272875935359</v>
      </c>
      <c r="AB305">
        <f t="shared" ca="1" si="85"/>
        <v>0</v>
      </c>
      <c r="AC305">
        <f t="shared" ca="1" si="86"/>
        <v>0.13746869055110977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>
        <f ca="1"/>
        <v>45709</v>
      </c>
      <c r="S306" s="55">
        <f t="shared" ca="1" si="87"/>
        <v>45709</v>
      </c>
      <c r="T306" s="55">
        <f t="shared" ca="1" si="81"/>
        <v>25.428877327497396</v>
      </c>
      <c r="U306" s="55">
        <f t="shared" ca="1" si="82"/>
        <v>405.20333600927609</v>
      </c>
      <c r="V306" s="55">
        <f t="shared" ca="1" si="83"/>
        <v>0</v>
      </c>
      <c r="W306" s="55">
        <f t="shared" ca="1" si="88"/>
        <v>-100.74046271760278</v>
      </c>
      <c r="X306" s="55">
        <f t="shared" ca="1" si="89"/>
        <v>203.70186249707638</v>
      </c>
      <c r="Y306" s="55">
        <f t="shared" ca="1" si="90"/>
        <v>15.927534312019956</v>
      </c>
      <c r="Z306">
        <f t="shared" ca="1" si="84"/>
        <v>43.679691505431705</v>
      </c>
      <c r="AA306">
        <f t="shared" ca="1" si="91"/>
        <v>275.33272875935359</v>
      </c>
      <c r="AB306">
        <f t="shared" ca="1" si="85"/>
        <v>0</v>
      </c>
      <c r="AC306">
        <f t="shared" ca="1" si="86"/>
        <v>0.12140549852276639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>
        <f ca="1"/>
        <v>45710</v>
      </c>
      <c r="S307" s="55">
        <f t="shared" ca="1" si="87"/>
        <v>45710</v>
      </c>
      <c r="T307" s="55">
        <f t="shared" ca="1" si="81"/>
        <v>25.947954825248992</v>
      </c>
      <c r="U307" s="55">
        <f t="shared" ca="1" si="82"/>
        <v>405.40150817649112</v>
      </c>
      <c r="V307" s="55">
        <f t="shared" ca="1" si="83"/>
        <v>0</v>
      </c>
      <c r="W307" s="55">
        <f t="shared" ca="1" si="88"/>
        <v>-100.74046271760278</v>
      </c>
      <c r="X307" s="55">
        <f t="shared" ca="1" si="89"/>
        <v>204.41811483391194</v>
      </c>
      <c r="Y307" s="55">
        <f t="shared" ca="1" si="90"/>
        <v>15.928531640151022</v>
      </c>
      <c r="Z307">
        <f t="shared" ca="1" si="84"/>
        <v>52.133757708957376</v>
      </c>
      <c r="AA307">
        <f t="shared" ca="1" si="91"/>
        <v>275.33272875935359</v>
      </c>
      <c r="AB307">
        <f t="shared" ca="1" si="85"/>
        <v>0</v>
      </c>
      <c r="AC307">
        <f t="shared" ca="1" si="86"/>
        <v>0.1053762129683613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>
        <f ca="1"/>
        <v>45711</v>
      </c>
      <c r="S308" s="55">
        <f t="shared" ca="1" si="87"/>
        <v>45711</v>
      </c>
      <c r="T308" s="55">
        <f t="shared" ca="1" si="81"/>
        <v>26.4151236174072</v>
      </c>
      <c r="U308" s="55">
        <f t="shared" ca="1" si="82"/>
        <v>405.5787041748124</v>
      </c>
      <c r="V308" s="55">
        <f t="shared" ca="1" si="83"/>
        <v>0</v>
      </c>
      <c r="W308" s="55">
        <f t="shared" ca="1" si="88"/>
        <v>-100.74046271760278</v>
      </c>
      <c r="X308" s="55">
        <f t="shared" ca="1" si="89"/>
        <v>205.06161075787335</v>
      </c>
      <c r="Y308" s="55">
        <f t="shared" ca="1" si="90"/>
        <v>15.929400506669104</v>
      </c>
      <c r="Z308">
        <f t="shared" ca="1" si="84"/>
        <v>50.193064287011083</v>
      </c>
      <c r="AA308">
        <f t="shared" ca="1" si="91"/>
        <v>275.33272875935359</v>
      </c>
      <c r="AB308">
        <f t="shared" ca="1" si="85"/>
        <v>0</v>
      </c>
      <c r="AC308">
        <f t="shared" ca="1" si="86"/>
        <v>9.0330215158171412E-2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>
        <f ca="1"/>
        <v>45712</v>
      </c>
      <c r="S309" s="55">
        <f t="shared" ca="1" si="87"/>
        <v>45712</v>
      </c>
      <c r="T309" s="55">
        <f t="shared" ca="1" si="81"/>
        <v>26.858890801709236</v>
      </c>
      <c r="U309" s="55">
        <f t="shared" ca="1" si="82"/>
        <v>405.74030417001552</v>
      </c>
      <c r="V309" s="55">
        <f t="shared" ca="1" si="83"/>
        <v>0</v>
      </c>
      <c r="W309" s="55">
        <f t="shared" ca="1" si="88"/>
        <v>-100.74046271760278</v>
      </c>
      <c r="X309" s="55">
        <f t="shared" ca="1" si="89"/>
        <v>205.66617189107575</v>
      </c>
      <c r="Y309" s="55">
        <f t="shared" ca="1" si="90"/>
        <v>15.930206552971852</v>
      </c>
      <c r="Z309">
        <f t="shared" ca="1" si="84"/>
        <v>50.104370464890252</v>
      </c>
      <c r="AA309">
        <f t="shared" ca="1" si="91"/>
        <v>275.33272875935359</v>
      </c>
      <c r="AB309">
        <f t="shared" ca="1" si="85"/>
        <v>0</v>
      </c>
      <c r="AC309">
        <f t="shared" ca="1" si="86"/>
        <v>7.5962346826750737E-2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>
        <f ca="1"/>
        <v>45713</v>
      </c>
      <c r="S310" s="55">
        <f t="shared" ca="1" si="87"/>
        <v>45713</v>
      </c>
      <c r="T310" s="55">
        <f t="shared" ca="1" si="81"/>
        <v>27.322507664917307</v>
      </c>
      <c r="U310" s="55">
        <f t="shared" ca="1" si="82"/>
        <v>405.89969351724307</v>
      </c>
      <c r="V310" s="55">
        <f t="shared" ca="1" si="83"/>
        <v>0</v>
      </c>
      <c r="W310" s="55">
        <f t="shared" ca="1" si="88"/>
        <v>-100.74046271760278</v>
      </c>
      <c r="X310" s="55">
        <f t="shared" ca="1" si="89"/>
        <v>206.28837638382987</v>
      </c>
      <c r="Y310" s="55">
        <f t="shared" ca="1" si="90"/>
        <v>15.931008270653338</v>
      </c>
      <c r="Z310">
        <f t="shared" ca="1" si="84"/>
        <v>48.81187757191725</v>
      </c>
      <c r="AA310">
        <f t="shared" ca="1" si="91"/>
        <v>275.33272875935359</v>
      </c>
      <c r="AB310">
        <f t="shared" ca="1" si="85"/>
        <v>0</v>
      </c>
      <c r="AC310">
        <f t="shared" ca="1" si="86"/>
        <v>6.1128264478676253E-2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>
        <f ca="1"/>
        <v>45714</v>
      </c>
      <c r="S311" s="55">
        <f t="shared" ca="1" si="87"/>
        <v>45714</v>
      </c>
      <c r="T311" s="55">
        <f t="shared" ca="1" si="81"/>
        <v>27.765211975025831</v>
      </c>
      <c r="U311" s="55">
        <f t="shared" ca="1" si="82"/>
        <v>406.04716916303653</v>
      </c>
      <c r="V311" s="55">
        <f t="shared" ca="1" si="83"/>
        <v>0</v>
      </c>
      <c r="W311" s="55">
        <f t="shared" ca="1" si="88"/>
        <v>-100.74046271760278</v>
      </c>
      <c r="X311" s="55">
        <f t="shared" ca="1" si="89"/>
        <v>206.87781481989137</v>
      </c>
      <c r="Y311" s="55">
        <f t="shared" ca="1" si="90"/>
        <v>15.931749790493841</v>
      </c>
      <c r="Z311">
        <f t="shared" ca="1" si="84"/>
        <v>47.701329873609161</v>
      </c>
      <c r="AA311">
        <f t="shared" ca="1" si="91"/>
        <v>275.33272875935359</v>
      </c>
      <c r="AB311">
        <f t="shared" ca="1" si="85"/>
        <v>0</v>
      </c>
      <c r="AC311">
        <f t="shared" ca="1" si="86"/>
        <v>4.6760396147255578E-2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>
        <f ca="1"/>
        <v>45715</v>
      </c>
      <c r="S312" s="55">
        <f t="shared" ca="1" si="87"/>
        <v>45715</v>
      </c>
      <c r="T312" s="55">
        <f t="shared" ca="1" si="81"/>
        <v>28.198169863354718</v>
      </c>
      <c r="U312" s="55">
        <f t="shared" ca="1" si="82"/>
        <v>406.18717236871112</v>
      </c>
      <c r="V312" s="55">
        <f t="shared" ca="1" si="83"/>
        <v>0</v>
      </c>
      <c r="W312" s="55">
        <f t="shared" ca="1" si="88"/>
        <v>-100.74046271760278</v>
      </c>
      <c r="X312" s="55">
        <f t="shared" ca="1" si="89"/>
        <v>207.45008159910904</v>
      </c>
      <c r="Y312" s="55">
        <f t="shared" ca="1" si="90"/>
        <v>15.932444105279631</v>
      </c>
      <c r="Z312">
        <f t="shared" ca="1" si="84"/>
        <v>45.762398216983229</v>
      </c>
      <c r="AA312">
        <f t="shared" ca="1" si="91"/>
        <v>275.33272875935359</v>
      </c>
      <c r="AB312">
        <f t="shared" ca="1" si="85"/>
        <v>0</v>
      </c>
      <c r="AC312">
        <f t="shared" ca="1" si="86"/>
        <v>3.2494247237650153E-2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>
        <f ca="1"/>
        <v>45716</v>
      </c>
      <c r="S313" s="55">
        <f t="shared" ca="1" si="87"/>
        <v>45716</v>
      </c>
      <c r="T313" s="55">
        <f t="shared" ca="1" si="81"/>
        <v>28.651368710861824</v>
      </c>
      <c r="U313" s="55">
        <f t="shared" ca="1" si="82"/>
        <v>406.32633081797076</v>
      </c>
      <c r="V313" s="55">
        <f t="shared" ca="1" si="83"/>
        <v>0</v>
      </c>
      <c r="W313" s="55">
        <f t="shared" ca="1" si="88"/>
        <v>-100.74046271760278</v>
      </c>
      <c r="X313" s="55">
        <f t="shared" ca="1" si="89"/>
        <v>208.04175149401911</v>
      </c>
      <c r="Y313" s="55">
        <f t="shared" ca="1" si="90"/>
        <v>15.933131507136292</v>
      </c>
      <c r="Z313">
        <f t="shared" ca="1" si="84"/>
        <v>43.899073235532413</v>
      </c>
      <c r="AA313">
        <f t="shared" ca="1" si="91"/>
        <v>275.33272875935359</v>
      </c>
      <c r="AB313">
        <f t="shared" ca="1" si="85"/>
        <v>0</v>
      </c>
      <c r="AC313">
        <f t="shared" ca="1" si="86"/>
        <v>1.765168827109076E-2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>
        <f ca="1"/>
        <v>45717</v>
      </c>
      <c r="S314" s="55">
        <f t="shared" ca="1" si="87"/>
        <v>45717</v>
      </c>
      <c r="T314" s="55">
        <f t="shared" ca="1" si="81"/>
        <v>29.106876976577873</v>
      </c>
      <c r="U314" s="55">
        <f t="shared" ca="1" si="82"/>
        <v>406.45626129256431</v>
      </c>
      <c r="V314" s="55">
        <f t="shared" ca="1" si="83"/>
        <v>0</v>
      </c>
      <c r="W314" s="55">
        <f t="shared" ca="1" si="88"/>
        <v>-100.74046271760278</v>
      </c>
      <c r="X314" s="55">
        <f t="shared" ca="1" si="89"/>
        <v>208.62650501132507</v>
      </c>
      <c r="Y314" s="55">
        <f t="shared" ca="1" si="90"/>
        <v>15.933816730139942</v>
      </c>
      <c r="Z314">
        <f t="shared" ca="1" si="84"/>
        <v>45.669384096539545</v>
      </c>
      <c r="AA314">
        <f t="shared" ca="1" si="91"/>
        <v>275.33272875935359</v>
      </c>
      <c r="AB314">
        <f t="shared" ca="1" si="85"/>
        <v>0</v>
      </c>
      <c r="AC314">
        <f t="shared" ca="1" si="86"/>
        <v>3.1397174254316207E-3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zoomScale="105" workbookViewId="0">
      <selection activeCell="D5" sqref="D5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279</v>
      </c>
    </row>
    <row r="2" spans="1:43">
      <c r="H2" t="s">
        <v>277</v>
      </c>
      <c r="I2">
        <f ca="1"/>
        <v>50</v>
      </c>
      <c r="J2">
        <f ca="1"/>
        <v>0</v>
      </c>
      <c r="K2">
        <f ca="1"/>
        <v>3</v>
      </c>
      <c r="L2">
        <f ca="1"/>
        <v>208</v>
      </c>
      <c r="M2">
        <f ca="1"/>
        <v>16</v>
      </c>
      <c r="N2">
        <f ca="1"/>
        <v>266</v>
      </c>
      <c r="O2">
        <f ca="1"/>
        <v>0</v>
      </c>
      <c r="P2">
        <f ca="1"/>
        <v>543</v>
      </c>
      <c r="Q2">
        <f ca="1">SUM(I2:O2)</f>
        <v>543</v>
      </c>
      <c r="R2">
        <f ca="1">Q2-P2</f>
        <v>0</v>
      </c>
    </row>
    <row r="3" spans="1:43">
      <c r="H3" t="s">
        <v>278</v>
      </c>
      <c r="I3">
        <f ca="1"/>
        <v>29</v>
      </c>
      <c r="J3">
        <f ca="1"/>
        <v>261</v>
      </c>
      <c r="K3">
        <f ca="1"/>
        <v>145</v>
      </c>
      <c r="L3">
        <f ca="1"/>
        <v>0</v>
      </c>
      <c r="M3">
        <f ca="1"/>
        <v>0</v>
      </c>
      <c r="N3">
        <f ca="1"/>
        <v>0</v>
      </c>
      <c r="O3">
        <f ca="1"/>
        <v>107</v>
      </c>
      <c r="P3">
        <f ca="1"/>
        <v>536</v>
      </c>
      <c r="Q3">
        <f ca="1">SUM(I3:O3)</f>
        <v>542</v>
      </c>
    </row>
    <row r="4" spans="1:43" ht="15.75" thickBot="1"/>
    <row r="5" spans="1:43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levin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3</v>
      </c>
      <c r="AJ6">
        <f ca="1"/>
        <v>208</v>
      </c>
      <c r="AK6">
        <f ca="1"/>
        <v>16</v>
      </c>
      <c r="AL6">
        <f ca="1"/>
        <v>266</v>
      </c>
      <c r="AM6">
        <f ca="1"/>
        <v>0</v>
      </c>
      <c r="AN6">
        <f ca="1"/>
        <v>543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45422</v>
      </c>
      <c r="K7" s="3">
        <v>50</v>
      </c>
      <c r="L7" s="3"/>
      <c r="M7" s="3">
        <f ca="1">SUMIF($I$12:$I$1005,TRUE,M12:M1005)</f>
        <v>15.933816730139942</v>
      </c>
      <c r="N7" s="3">
        <f ca="1">SUMIF($I$12:$I$1005,TRUE,N12:N1005)</f>
        <v>207.75131555303145</v>
      </c>
      <c r="O7" s="3">
        <f ca="1">SUMIF($I$12:$I$1005,TRUE,O12:O1005)</f>
        <v>266.42487406087889</v>
      </c>
      <c r="P7" s="3">
        <f ca="1">VLOOKUP(B36,ModelOutputs,P9,FALSE)-Q7</f>
        <v>1.0088611569581518</v>
      </c>
      <c r="Q7">
        <f ca="1">VLOOKUP(B36,ModelOutputs,Q9,FALSE)</f>
        <v>1.8102538840625222</v>
      </c>
      <c r="R7" s="13"/>
      <c r="W7" s="3">
        <f ca="1">MAX(0,X8-X7)</f>
        <v>0</v>
      </c>
      <c r="X7" s="3">
        <f ca="1">SUM(K7:R7)</f>
        <v>542.92912138507086</v>
      </c>
      <c r="AA7" s="3"/>
      <c r="AG7">
        <f ca="1"/>
        <v>29</v>
      </c>
      <c r="AH7">
        <f ca="1"/>
        <v>261</v>
      </c>
      <c r="AI7">
        <f ca="1"/>
        <v>145</v>
      </c>
      <c r="AJ7">
        <f ca="1"/>
        <v>0</v>
      </c>
      <c r="AK7">
        <f ca="1"/>
        <v>0</v>
      </c>
      <c r="AL7">
        <f ca="1"/>
        <v>0</v>
      </c>
      <c r="AM7">
        <f ca="1"/>
        <v>107</v>
      </c>
      <c r="AN7">
        <f ca="1"/>
        <v>536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45717</v>
      </c>
      <c r="K8" s="24">
        <f ca="1">VLOOKUP(J8,ModelOutputs,2,FALSE)</f>
        <v>29.106876976577873</v>
      </c>
      <c r="L8" s="27"/>
      <c r="M8" s="25"/>
      <c r="N8" s="25"/>
      <c r="O8" s="25"/>
      <c r="P8" s="24">
        <f ca="1">(VLOOKUP($J$8,ModelOutputs,P9,FALSE)-VLOOKUP($J$7+1,ModelOutputs,P9,FALSE))-Q8</f>
        <v>145.45626129256431</v>
      </c>
      <c r="Q8" s="26">
        <f ca="1">VLOOKUP($J$8,ModelOutputs,Q9,FALSE)-VLOOKUP($J$7+1,ModelOutputs,Q9,FALSE)</f>
        <v>261</v>
      </c>
      <c r="R8" s="27">
        <f ca="1">SUMIF($I$12:$I$1005,TRUE,R12:R1005)</f>
        <v>100.74046271760278</v>
      </c>
      <c r="S8" s="3"/>
      <c r="T8" s="3"/>
      <c r="U8" s="3"/>
      <c r="V8" s="3"/>
      <c r="W8" s="3">
        <f ca="1">MAX(0,X7-X8)</f>
        <v>6.6255203983258752</v>
      </c>
      <c r="X8" s="3">
        <f ca="1">SUM(K8:R8)</f>
        <v>536.30360098674498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>
        <f>IF(ConceptDemo!C29="","",ConceptDemo!C29)</f>
        <v>45522</v>
      </c>
      <c r="E9" s="38">
        <f>IF(ConceptDemo!D29="","",ConceptDemo!D29)</f>
        <v>100</v>
      </c>
      <c r="L9">
        <f ca="1">SUMIF(H11:H1004,FALSE,L11:L1004)</f>
        <v>351.37067960039991</v>
      </c>
      <c r="M9">
        <f ca="1">SUMIF(H11:H1004,TRUE,M11:M1004)</f>
        <v>15.933131507136292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55</v>
      </c>
      <c r="D10" s="18">
        <f>IF(ConceptDemo!C30="","",ConceptDemo!C30)</f>
        <v>45545</v>
      </c>
      <c r="E10" s="17">
        <f>IF(ConceptDemo!D30="","",ConceptDemo!D30)</f>
        <v>50</v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1">
        <f t="array" aca="1" ref="AI10" ca="1">_xll.GetDailyNBalanceSummary(C11:D59,F22:G28,F13:G19)</f>
        <v>#VALUE!</v>
      </c>
      <c r="AJ10" t="e" cm="1" vm="1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5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45421</v>
      </c>
      <c r="K11">
        <f ca="1"/>
        <v>0</v>
      </c>
      <c r="L11">
        <f ca="1"/>
        <v>2.3462620520192417</v>
      </c>
      <c r="M11">
        <f ca="1"/>
        <v>0</v>
      </c>
      <c r="N11" s="4">
        <f ca="1"/>
        <v>0.87518945829361017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45421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2">
        <f t="array" aca="1" ref="AI11" ca="1">_xll.GetDailyNBalanceSummary(C12:D60,F23:G29,F14:G20)</f>
        <v>#VALUE!</v>
      </c>
      <c r="AJ11" t="e" cm="1" vm="2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45422</v>
      </c>
      <c r="K12">
        <f ca="1"/>
        <v>50.852731365529124</v>
      </c>
      <c r="L12">
        <f ca="1"/>
        <v>0</v>
      </c>
      <c r="M12">
        <f ca="1"/>
        <v>-1.7516252521725562E-2</v>
      </c>
      <c r="N12" s="4">
        <f ca="1"/>
        <v>0.87024761805084383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0.93982608695652192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45422</v>
      </c>
      <c r="Y12">
        <f t="shared" ca="1" si="2"/>
        <v>0</v>
      </c>
      <c r="Z12" s="3"/>
      <c r="AA12" s="63">
        <f ca="1">K11+M12+N12+O12</f>
        <v>0.85273136552911821</v>
      </c>
      <c r="AB12" s="63">
        <f ca="1">K12+L12+R12</f>
        <v>50.852731365529124</v>
      </c>
      <c r="AC12" s="3">
        <f ca="1">AB12-AA12</f>
        <v>50.000000000000007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45423</v>
      </c>
      <c r="K13">
        <f ca="1"/>
        <v>51.56053273453152</v>
      </c>
      <c r="L13">
        <f ca="1"/>
        <v>0</v>
      </c>
      <c r="M13">
        <f ca="1"/>
        <v>1.6844091613428314E-2</v>
      </c>
      <c r="N13" s="4">
        <f ca="1"/>
        <v>0.9306057471470609</v>
      </c>
      <c r="O13">
        <f ca="1"/>
        <v>0</v>
      </c>
      <c r="P13">
        <f ca="1"/>
        <v>0</v>
      </c>
      <c r="Q13">
        <f ca="1"/>
        <v>0</v>
      </c>
      <c r="R13">
        <f ca="1"/>
        <v>0.23964846975809456</v>
      </c>
      <c r="S13">
        <f ca="1"/>
        <v>1</v>
      </c>
      <c r="T13">
        <f ca="1"/>
        <v>0.84396173913044947</v>
      </c>
      <c r="U13">
        <f ca="1"/>
        <v>0</v>
      </c>
      <c r="V13">
        <f ca="1"/>
        <v>0</v>
      </c>
      <c r="X13" s="2">
        <f t="shared" ca="1" si="1"/>
        <v>45423</v>
      </c>
      <c r="Y13">
        <f t="shared" ca="1" si="2"/>
        <v>0</v>
      </c>
      <c r="AA13" s="63">
        <f t="shared" ref="AA13:AA76" ca="1" si="4">K12+M13+N13+O13</f>
        <v>51.800181204289615</v>
      </c>
      <c r="AB13" s="63">
        <f t="shared" ref="AB13:AB76" ca="1" si="5">K13+L13+R13</f>
        <v>51.800181204289615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45424</v>
      </c>
      <c r="K14">
        <f ca="1"/>
        <v>51.399106020695584</v>
      </c>
      <c r="L14">
        <f ca="1"/>
        <v>0</v>
      </c>
      <c r="M14">
        <f ca="1"/>
        <v>4.6109227474595338E-2</v>
      </c>
      <c r="N14" s="4">
        <f ca="1"/>
        <v>0.8766127384361353</v>
      </c>
      <c r="O14">
        <f ca="1"/>
        <v>0</v>
      </c>
      <c r="P14">
        <f ca="1"/>
        <v>0</v>
      </c>
      <c r="Q14">
        <f ca="1"/>
        <v>0</v>
      </c>
      <c r="R14">
        <f ca="1"/>
        <v>1.0841486797466713</v>
      </c>
      <c r="S14">
        <f ca="1"/>
        <v>1</v>
      </c>
      <c r="T14">
        <f ca="1"/>
        <v>3.8299999999999983</v>
      </c>
      <c r="U14">
        <f ca="1"/>
        <v>0</v>
      </c>
      <c r="V14">
        <f ca="1"/>
        <v>0</v>
      </c>
      <c r="X14" s="2">
        <f t="shared" ca="1" si="1"/>
        <v>45424</v>
      </c>
      <c r="Y14">
        <f t="shared" ca="1" si="2"/>
        <v>0</v>
      </c>
      <c r="AA14" s="63">
        <f t="shared" ca="1" si="4"/>
        <v>52.483254700442252</v>
      </c>
      <c r="AB14" s="63">
        <f t="shared" ca="1" si="5"/>
        <v>52.483254700442252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45425</v>
      </c>
      <c r="K15">
        <f ca="1"/>
        <v>51.317617003074702</v>
      </c>
      <c r="L15">
        <f ca="1"/>
        <v>0</v>
      </c>
      <c r="M15">
        <f ca="1"/>
        <v>7.3335777888043574E-2</v>
      </c>
      <c r="N15" s="4">
        <f ca="1"/>
        <v>0.88521224242005803</v>
      </c>
      <c r="O15">
        <f ca="1"/>
        <v>0</v>
      </c>
      <c r="P15">
        <f ca="1"/>
        <v>0</v>
      </c>
      <c r="Q15">
        <f ca="1"/>
        <v>0</v>
      </c>
      <c r="R15">
        <f ca="1"/>
        <v>1.0400370379289825</v>
      </c>
      <c r="S15">
        <f ca="1"/>
        <v>1</v>
      </c>
      <c r="T15">
        <f ca="1"/>
        <v>3.6800000000000068</v>
      </c>
      <c r="U15">
        <f ca="1"/>
        <v>0</v>
      </c>
      <c r="V15">
        <f ca="1"/>
        <v>0</v>
      </c>
      <c r="X15" s="2">
        <f t="shared" ca="1" si="1"/>
        <v>45425</v>
      </c>
      <c r="Y15">
        <f t="shared" ca="1" si="2"/>
        <v>0</v>
      </c>
      <c r="AA15" s="63">
        <f t="shared" ca="1" si="4"/>
        <v>52.357654041003684</v>
      </c>
      <c r="AB15" s="63">
        <f t="shared" ca="1" si="5"/>
        <v>52.357654041003684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45426</v>
      </c>
      <c r="K16">
        <f ca="1"/>
        <v>50.236119267768856</v>
      </c>
      <c r="L16">
        <f ca="1"/>
        <v>0</v>
      </c>
      <c r="M16">
        <f ca="1"/>
        <v>0.10136446262893212</v>
      </c>
      <c r="N16" s="4">
        <f ca="1"/>
        <v>0.92254084117440827</v>
      </c>
      <c r="O16">
        <f ca="1"/>
        <v>0</v>
      </c>
      <c r="P16">
        <f ca="1"/>
        <v>0</v>
      </c>
      <c r="Q16">
        <f ca="1"/>
        <v>0</v>
      </c>
      <c r="R16">
        <f ca="1"/>
        <v>2.1054030391091878</v>
      </c>
      <c r="S16">
        <f ca="1"/>
        <v>1</v>
      </c>
      <c r="T16">
        <f ca="1"/>
        <v>7.6099999999999994</v>
      </c>
      <c r="U16">
        <f ca="1"/>
        <v>0</v>
      </c>
      <c r="V16">
        <f ca="1"/>
        <v>0</v>
      </c>
      <c r="X16" s="2">
        <f t="shared" ca="1" si="1"/>
        <v>45426</v>
      </c>
      <c r="Y16">
        <f t="shared" ca="1" si="2"/>
        <v>0</v>
      </c>
      <c r="AA16" s="63">
        <f t="shared" ca="1" si="4"/>
        <v>52.341522306878041</v>
      </c>
      <c r="AB16" s="63">
        <f t="shared" ca="1" si="5"/>
        <v>52.341522306878048</v>
      </c>
      <c r="AC16" s="3">
        <f t="shared" ca="1" si="6"/>
        <v>0</v>
      </c>
    </row>
    <row r="17" spans="1:29" ht="15.7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45427</v>
      </c>
      <c r="K17">
        <f ca="1"/>
        <v>50.226347572105055</v>
      </c>
      <c r="L17">
        <f ca="1"/>
        <v>0</v>
      </c>
      <c r="M17">
        <f ca="1"/>
        <v>0.11926374193278455</v>
      </c>
      <c r="N17" s="4">
        <f ca="1"/>
        <v>0.87505476299706531</v>
      </c>
      <c r="O17">
        <f ca="1"/>
        <v>0</v>
      </c>
      <c r="P17">
        <f ca="1"/>
        <v>0</v>
      </c>
      <c r="Q17">
        <f ca="1"/>
        <v>0</v>
      </c>
      <c r="R17">
        <f ca="1"/>
        <v>1.0040902005936507</v>
      </c>
      <c r="S17">
        <f ca="1"/>
        <v>1</v>
      </c>
      <c r="T17">
        <f ca="1"/>
        <v>3.6300000000000097</v>
      </c>
      <c r="U17">
        <f ca="1"/>
        <v>0</v>
      </c>
      <c r="V17">
        <f ca="1"/>
        <v>0</v>
      </c>
      <c r="X17" s="2">
        <f t="shared" ca="1" si="1"/>
        <v>45427</v>
      </c>
      <c r="Y17">
        <f t="shared" ca="1" si="2"/>
        <v>0</v>
      </c>
      <c r="AA17" s="63">
        <f t="shared" ca="1" si="4"/>
        <v>51.230437772698707</v>
      </c>
      <c r="AB17" s="63">
        <f t="shared" ca="1" si="5"/>
        <v>51.230437772698707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>
        <f>IF(ConceptDemo!C38="","",ConceptDemo!C38)</f>
        <v>45458</v>
      </c>
      <c r="E18" s="17">
        <f>IF(ConceptDemo!D38="","",ConceptDemo!D38)</f>
        <v>50</v>
      </c>
      <c r="H18" t="b">
        <f t="shared" ca="1" si="3"/>
        <v>1</v>
      </c>
      <c r="I18" t="b">
        <f t="shared" ca="1" si="0"/>
        <v>1</v>
      </c>
      <c r="J18" s="2">
        <f ca="1"/>
        <v>45428</v>
      </c>
      <c r="K18">
        <f ca="1"/>
        <v>50.515089467530011</v>
      </c>
      <c r="L18">
        <f ca="1"/>
        <v>0</v>
      </c>
      <c r="M18">
        <f ca="1"/>
        <v>0.13234805920188902</v>
      </c>
      <c r="N18" s="4">
        <f ca="1"/>
        <v>0.82685353092399017</v>
      </c>
      <c r="O18">
        <f ca="1"/>
        <v>0</v>
      </c>
      <c r="P18">
        <f ca="1"/>
        <v>0</v>
      </c>
      <c r="Q18">
        <f ca="1"/>
        <v>0</v>
      </c>
      <c r="R18">
        <f ca="1"/>
        <v>0.67045969470092637</v>
      </c>
      <c r="S18">
        <f ca="1"/>
        <v>1</v>
      </c>
      <c r="T18">
        <f ca="1"/>
        <v>2.4099999999999966</v>
      </c>
      <c r="U18">
        <f ca="1"/>
        <v>0</v>
      </c>
      <c r="V18">
        <f ca="1"/>
        <v>0</v>
      </c>
      <c r="X18" s="2">
        <f t="shared" ca="1" si="1"/>
        <v>45428</v>
      </c>
      <c r="Y18">
        <f t="shared" ca="1" si="2"/>
        <v>0</v>
      </c>
      <c r="AA18" s="63">
        <f t="shared" ca="1" si="4"/>
        <v>51.185549162230934</v>
      </c>
      <c r="AB18" s="63">
        <f t="shared" ca="1" si="5"/>
        <v>51.185549162230934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45429</v>
      </c>
      <c r="K19">
        <f ca="1"/>
        <v>51.073456470238519</v>
      </c>
      <c r="L19">
        <f ca="1"/>
        <v>0</v>
      </c>
      <c r="M19">
        <f ca="1"/>
        <v>0.14159523142739794</v>
      </c>
      <c r="N19" s="4">
        <f ca="1"/>
        <v>0.77961537072619613</v>
      </c>
      <c r="O19">
        <f ca="1"/>
        <v>0</v>
      </c>
      <c r="P19">
        <f ca="1"/>
        <v>0</v>
      </c>
      <c r="Q19">
        <f ca="1"/>
        <v>0</v>
      </c>
      <c r="R19">
        <f ca="1"/>
        <v>0.36284359944508754</v>
      </c>
      <c r="S19">
        <f ca="1"/>
        <v>1</v>
      </c>
      <c r="T19">
        <f ca="1"/>
        <v>1.2900000000000063</v>
      </c>
      <c r="U19">
        <f ca="1"/>
        <v>0</v>
      </c>
      <c r="V19">
        <f ca="1"/>
        <v>0</v>
      </c>
      <c r="X19" s="2">
        <f t="shared" ca="1" si="1"/>
        <v>45429</v>
      </c>
      <c r="Y19">
        <f t="shared" ca="1" si="2"/>
        <v>0</v>
      </c>
      <c r="AA19" s="63">
        <f t="shared" ca="1" si="4"/>
        <v>51.436300069683604</v>
      </c>
      <c r="AB19" s="63">
        <f t="shared" ca="1" si="5"/>
        <v>51.436300069683604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45430</v>
      </c>
      <c r="K20">
        <f ca="1"/>
        <v>51.734017084832161</v>
      </c>
      <c r="L20">
        <f ca="1"/>
        <v>0</v>
      </c>
      <c r="M20">
        <f ca="1"/>
        <v>0.15817596336694761</v>
      </c>
      <c r="N20" s="4">
        <f ca="1"/>
        <v>0.80154222828245403</v>
      </c>
      <c r="O20">
        <f ca="1"/>
        <v>0</v>
      </c>
      <c r="P20">
        <f ca="1"/>
        <v>0</v>
      </c>
      <c r="Q20">
        <f ca="1"/>
        <v>0</v>
      </c>
      <c r="R20">
        <f ca="1"/>
        <v>0.29915757705576779</v>
      </c>
      <c r="S20">
        <f ca="1"/>
        <v>1</v>
      </c>
      <c r="T20">
        <f ca="1"/>
        <v>1.0499999999999972</v>
      </c>
      <c r="U20">
        <f ca="1"/>
        <v>0</v>
      </c>
      <c r="V20">
        <f ca="1"/>
        <v>0</v>
      </c>
      <c r="X20" s="2">
        <f t="shared" ca="1" si="1"/>
        <v>45430</v>
      </c>
      <c r="Y20">
        <f t="shared" ca="1" si="2"/>
        <v>0</v>
      </c>
      <c r="AA20" s="63">
        <f t="shared" ca="1" si="4"/>
        <v>52.033174661887927</v>
      </c>
      <c r="AB20" s="63">
        <f t="shared" ca="1" si="5"/>
        <v>52.033174661887927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45431</v>
      </c>
      <c r="K21">
        <f ca="1"/>
        <v>52.694084160754649</v>
      </c>
      <c r="L21">
        <f ca="1"/>
        <v>0</v>
      </c>
      <c r="M21">
        <f ca="1"/>
        <v>0.1688047275208896</v>
      </c>
      <c r="N21" s="4">
        <f ca="1"/>
        <v>0.7912623484015936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0.98623188405797102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45431</v>
      </c>
      <c r="Y21">
        <f t="shared" ca="1" si="2"/>
        <v>0</v>
      </c>
      <c r="AA21" s="63">
        <f t="shared" ca="1" si="4"/>
        <v>52.694084160754649</v>
      </c>
      <c r="AB21" s="63">
        <f t="shared" ca="1" si="5"/>
        <v>52.694084160754649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45432</v>
      </c>
      <c r="K22">
        <f ca="1"/>
        <v>53.650764358331863</v>
      </c>
      <c r="L22">
        <f ca="1"/>
        <v>0</v>
      </c>
      <c r="M22">
        <f ca="1"/>
        <v>0.17769749714151017</v>
      </c>
      <c r="N22" s="4">
        <f ca="1"/>
        <v>0.78034014027493936</v>
      </c>
      <c r="O22">
        <f ca="1"/>
        <v>0</v>
      </c>
      <c r="P22">
        <f ca="1"/>
        <v>0</v>
      </c>
      <c r="Q22">
        <f ca="1"/>
        <v>0</v>
      </c>
      <c r="R22">
        <f ca="1"/>
        <v>1.35743983923476E-3</v>
      </c>
      <c r="S22">
        <f ca="1"/>
        <v>1</v>
      </c>
      <c r="T22">
        <f ca="1"/>
        <v>4.5942028985450634E-3</v>
      </c>
      <c r="U22">
        <f ca="1"/>
        <v>0</v>
      </c>
      <c r="V22">
        <f ca="1"/>
        <v>0</v>
      </c>
      <c r="X22" s="2">
        <f t="shared" ca="1" si="1"/>
        <v>45432</v>
      </c>
      <c r="Y22">
        <f t="shared" ca="1" si="2"/>
        <v>0</v>
      </c>
      <c r="AA22" s="63">
        <f t="shared" ca="1" si="4"/>
        <v>53.652121798171095</v>
      </c>
      <c r="AB22" s="63">
        <f t="shared" ca="1" si="5"/>
        <v>53.652121798171095</v>
      </c>
      <c r="AC22" s="3">
        <f t="shared" ca="1" si="6"/>
        <v>0</v>
      </c>
    </row>
    <row r="23" spans="1:29" ht="15.75" thickBot="1">
      <c r="A23" s="6" t="s">
        <v>115</v>
      </c>
      <c r="B23" s="34">
        <f ca="1">PriorEstablishDate</f>
        <v>45376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45433</v>
      </c>
      <c r="K23">
        <f ca="1"/>
        <v>53.95917214254019</v>
      </c>
      <c r="L23">
        <f ca="1"/>
        <v>0</v>
      </c>
      <c r="M23">
        <f ca="1"/>
        <v>0.16896211056292199</v>
      </c>
      <c r="N23" s="4">
        <f ca="1"/>
        <v>0.68028862225092768</v>
      </c>
      <c r="O23">
        <f ca="1"/>
        <v>0</v>
      </c>
      <c r="P23">
        <f ca="1"/>
        <v>0</v>
      </c>
      <c r="Q23">
        <f ca="1"/>
        <v>0</v>
      </c>
      <c r="R23">
        <f ca="1"/>
        <v>0.54084294860552107</v>
      </c>
      <c r="S23">
        <f ca="1"/>
        <v>1</v>
      </c>
      <c r="T23">
        <f ca="1"/>
        <v>1.8200000000000074</v>
      </c>
      <c r="U23">
        <f ca="1"/>
        <v>0</v>
      </c>
      <c r="V23">
        <f ca="1"/>
        <v>0</v>
      </c>
      <c r="X23" s="2">
        <f t="shared" ca="1" si="1"/>
        <v>45433</v>
      </c>
      <c r="Y23">
        <f t="shared" ca="1" si="2"/>
        <v>0</v>
      </c>
      <c r="AA23" s="63">
        <f t="shared" ca="1" si="4"/>
        <v>54.500015091145713</v>
      </c>
      <c r="AB23" s="63">
        <f t="shared" ca="1" si="5"/>
        <v>54.500015091145713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45434</v>
      </c>
      <c r="K24">
        <f ca="1"/>
        <v>54.307804347031933</v>
      </c>
      <c r="L24">
        <f ca="1"/>
        <v>0</v>
      </c>
      <c r="M24">
        <f ca="1"/>
        <v>0.18308473555022253</v>
      </c>
      <c r="N24" s="4">
        <f ca="1"/>
        <v>0.71885741757866928</v>
      </c>
      <c r="O24">
        <f ca="1"/>
        <v>0</v>
      </c>
      <c r="P24">
        <f ca="1"/>
        <v>0</v>
      </c>
      <c r="Q24">
        <f ca="1"/>
        <v>0</v>
      </c>
      <c r="R24">
        <f ca="1"/>
        <v>0.55330994863714988</v>
      </c>
      <c r="S24">
        <f ca="1"/>
        <v>1</v>
      </c>
      <c r="T24">
        <f ca="1"/>
        <v>1.8499999999999943</v>
      </c>
      <c r="U24">
        <f ca="1"/>
        <v>0</v>
      </c>
      <c r="V24">
        <f ca="1"/>
        <v>0</v>
      </c>
      <c r="X24" s="2">
        <f t="shared" ca="1" si="1"/>
        <v>45434</v>
      </c>
      <c r="Y24">
        <f t="shared" ca="1" si="2"/>
        <v>0</v>
      </c>
      <c r="AA24" s="63">
        <f t="shared" ca="1" si="4"/>
        <v>54.861114295669083</v>
      </c>
      <c r="AB24" s="63">
        <f t="shared" ca="1" si="5"/>
        <v>54.861114295669083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45421</v>
      </c>
      <c r="H25" t="b">
        <f t="shared" ca="1" si="3"/>
        <v>1</v>
      </c>
      <c r="I25" t="b">
        <f t="shared" ca="1" si="0"/>
        <v>1</v>
      </c>
      <c r="J25" s="2">
        <f ca="1"/>
        <v>45435</v>
      </c>
      <c r="K25">
        <f ca="1"/>
        <v>53.854143112870382</v>
      </c>
      <c r="L25">
        <f ca="1"/>
        <v>0</v>
      </c>
      <c r="M25">
        <f ca="1"/>
        <v>0.19293764598259755</v>
      </c>
      <c r="N25" s="4">
        <f ca="1"/>
        <v>0.73550136078731698</v>
      </c>
      <c r="O25">
        <f ca="1"/>
        <v>0</v>
      </c>
      <c r="P25">
        <f ca="1"/>
        <v>0</v>
      </c>
      <c r="Q25">
        <f ca="1"/>
        <v>0</v>
      </c>
      <c r="R25">
        <f ca="1"/>
        <v>1.3821002409314653</v>
      </c>
      <c r="S25">
        <f ca="1"/>
        <v>1</v>
      </c>
      <c r="T25">
        <f ca="1"/>
        <v>4.6600000000000108</v>
      </c>
      <c r="U25">
        <f ca="1"/>
        <v>0</v>
      </c>
      <c r="V25">
        <f ca="1"/>
        <v>0</v>
      </c>
      <c r="X25" s="2">
        <f t="shared" ca="1" si="1"/>
        <v>45435</v>
      </c>
      <c r="Y25">
        <f t="shared" ca="1" si="2"/>
        <v>0</v>
      </c>
      <c r="AA25" s="63">
        <f t="shared" ca="1" si="4"/>
        <v>55.236243353801846</v>
      </c>
      <c r="AB25" s="63">
        <f t="shared" ca="1" si="5"/>
        <v>55.236243353801846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45436</v>
      </c>
      <c r="K26">
        <f ca="1"/>
        <v>54.12133037449459</v>
      </c>
      <c r="L26">
        <f ca="1"/>
        <v>0</v>
      </c>
      <c r="M26">
        <f ca="1"/>
        <v>0.19603220958596967</v>
      </c>
      <c r="N26" s="4">
        <f ca="1"/>
        <v>0.72092476337492706</v>
      </c>
      <c r="O26">
        <f ca="1"/>
        <v>0</v>
      </c>
      <c r="P26">
        <f ca="1"/>
        <v>2.819115041020674</v>
      </c>
      <c r="Q26">
        <f ca="1"/>
        <v>1.8102538840625222</v>
      </c>
      <c r="R26">
        <f ca="1"/>
        <v>0.64976971133668793</v>
      </c>
      <c r="S26">
        <f ca="1"/>
        <v>1</v>
      </c>
      <c r="T26">
        <f ca="1"/>
        <v>2.1800000000000068</v>
      </c>
      <c r="U26">
        <f ca="1"/>
        <v>0</v>
      </c>
      <c r="V26">
        <f ca="1"/>
        <v>7.193858067430425E-3</v>
      </c>
      <c r="X26" s="2">
        <f t="shared" ca="1" si="1"/>
        <v>45436</v>
      </c>
      <c r="Y26">
        <f t="shared" ca="1" si="2"/>
        <v>0</v>
      </c>
      <c r="AA26" s="63">
        <f t="shared" ca="1" si="4"/>
        <v>54.771100085831279</v>
      </c>
      <c r="AB26" s="63">
        <f t="shared" ca="1" si="5"/>
        <v>54.771100085831279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45437</v>
      </c>
      <c r="K27">
        <f ca="1"/>
        <v>53.484005630138753</v>
      </c>
      <c r="L27">
        <f ca="1"/>
        <v>8.5775573481569722E-2</v>
      </c>
      <c r="M27">
        <f ca="1"/>
        <v>0.20698943797323621</v>
      </c>
      <c r="N27" s="4">
        <f ca="1"/>
        <v>0.7495553238191357</v>
      </c>
      <c r="O27">
        <f ca="1"/>
        <v>0</v>
      </c>
      <c r="P27">
        <f ca="1"/>
        <v>2.9048906145022437</v>
      </c>
      <c r="Q27">
        <f ca="1"/>
        <v>1.8653334259731222</v>
      </c>
      <c r="R27">
        <f ca="1"/>
        <v>1.5080939326666385</v>
      </c>
      <c r="S27">
        <f ca="1"/>
        <v>1</v>
      </c>
      <c r="T27">
        <f ca="1"/>
        <v>5.1200000000000045</v>
      </c>
      <c r="U27">
        <f ca="1"/>
        <v>0</v>
      </c>
      <c r="V27">
        <f ca="1"/>
        <v>7.7533376630589904E-3</v>
      </c>
      <c r="X27" s="2">
        <f t="shared" ca="1" si="1"/>
        <v>45437</v>
      </c>
      <c r="Y27">
        <f t="shared" ca="1" si="2"/>
        <v>0</v>
      </c>
      <c r="AA27" s="63">
        <f t="shared" ca="1" si="4"/>
        <v>55.077875136286963</v>
      </c>
      <c r="AB27" s="63">
        <f t="shared" ca="1" si="5"/>
        <v>55.077875136286963</v>
      </c>
      <c r="AC27" s="3">
        <f t="shared" ca="1" si="6"/>
        <v>0</v>
      </c>
    </row>
    <row r="28" spans="1:29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45438</v>
      </c>
      <c r="K28">
        <f ca="1"/>
        <v>53.803829518007305</v>
      </c>
      <c r="L28">
        <f ca="1"/>
        <v>8.3476686093106434E-2</v>
      </c>
      <c r="M28">
        <f ca="1"/>
        <v>0.20277902475664389</v>
      </c>
      <c r="N28" s="4">
        <f ca="1"/>
        <v>0.70721326544850838</v>
      </c>
      <c r="O28">
        <f ca="1"/>
        <v>0</v>
      </c>
      <c r="P28">
        <f ca="1"/>
        <v>2.9883673005953502</v>
      </c>
      <c r="Q28">
        <f ca="1"/>
        <v>1.9189367706503948</v>
      </c>
      <c r="R28">
        <f ca="1"/>
        <v>0.50669171624349296</v>
      </c>
      <c r="S28">
        <f ca="1"/>
        <v>1</v>
      </c>
      <c r="T28">
        <f ca="1"/>
        <v>1.7099999999999937</v>
      </c>
      <c r="U28">
        <f ca="1"/>
        <v>0</v>
      </c>
      <c r="V28">
        <f ca="1"/>
        <v>8.32191607107057E-3</v>
      </c>
      <c r="X28" s="2">
        <f t="shared" ca="1" si="1"/>
        <v>45438</v>
      </c>
      <c r="Y28">
        <f t="shared" ca="1" si="2"/>
        <v>0</v>
      </c>
      <c r="AA28" s="63">
        <f t="shared" ca="1" si="4"/>
        <v>54.393997920343907</v>
      </c>
      <c r="AB28" s="63">
        <f t="shared" ca="1" si="5"/>
        <v>54.393997920343907</v>
      </c>
      <c r="AC28" s="3">
        <f t="shared" ca="1" si="6"/>
        <v>0</v>
      </c>
    </row>
    <row r="29" spans="1:29" ht="15.75" thickBot="1">
      <c r="A29" s="8" t="s">
        <v>140</v>
      </c>
      <c r="B29" s="11" t="str">
        <f>CurrentCropNameFull</f>
        <v>Wheat Grain Breed</v>
      </c>
      <c r="H29" t="b">
        <f t="shared" ca="1" si="3"/>
        <v>1</v>
      </c>
      <c r="I29" t="b">
        <f t="shared" ca="1" si="0"/>
        <v>1</v>
      </c>
      <c r="J29" s="2">
        <f ca="1"/>
        <v>45439</v>
      </c>
      <c r="K29">
        <f ca="1"/>
        <v>54.083071969625287</v>
      </c>
      <c r="L29">
        <f ca="1"/>
        <v>8.3469433083484645E-2</v>
      </c>
      <c r="M29">
        <f ca="1"/>
        <v>0.20227743493393602</v>
      </c>
      <c r="N29" s="4">
        <f ca="1"/>
        <v>0.68762682957579846</v>
      </c>
      <c r="O29">
        <f ca="1"/>
        <v>0</v>
      </c>
      <c r="P29">
        <f ca="1"/>
        <v>3.0718367336788348</v>
      </c>
      <c r="Q29">
        <f ca="1"/>
        <v>1.9725354579126102</v>
      </c>
      <c r="R29">
        <f ca="1"/>
        <v>0.52719237980825917</v>
      </c>
      <c r="S29">
        <f ca="1"/>
        <v>1</v>
      </c>
      <c r="T29">
        <f ca="1"/>
        <v>1.769999999999996</v>
      </c>
      <c r="U29">
        <f ca="1"/>
        <v>0</v>
      </c>
      <c r="V29">
        <f ca="1"/>
        <v>8.9145049675023319E-3</v>
      </c>
      <c r="X29" s="2">
        <f t="shared" ca="1" si="1"/>
        <v>45439</v>
      </c>
      <c r="Y29">
        <f t="shared" ca="1" si="2"/>
        <v>0</v>
      </c>
      <c r="AA29" s="63">
        <f t="shared" ca="1" si="4"/>
        <v>54.693733782517036</v>
      </c>
      <c r="AB29" s="63">
        <f t="shared" ca="1" si="5"/>
        <v>54.693733782517036</v>
      </c>
      <c r="AC29" s="3">
        <f t="shared" ca="1" si="6"/>
        <v>0</v>
      </c>
    </row>
    <row r="30" spans="1:29">
      <c r="A30" s="9" t="s">
        <v>236</v>
      </c>
      <c r="B30" s="11">
        <f>CurrentYield</f>
        <v>12</v>
      </c>
      <c r="H30" t="b">
        <f t="shared" ca="1" si="3"/>
        <v>1</v>
      </c>
      <c r="I30" t="b">
        <f t="shared" ca="1" si="0"/>
        <v>1</v>
      </c>
      <c r="J30" s="2">
        <f ca="1"/>
        <v>45440</v>
      </c>
      <c r="K30">
        <f ca="1"/>
        <v>54.288871014492223</v>
      </c>
      <c r="L30">
        <f ca="1"/>
        <v>9.0184543704353803E-2</v>
      </c>
      <c r="M30">
        <f ca="1"/>
        <v>0.21280960917323544</v>
      </c>
      <c r="N30" s="4">
        <f ca="1"/>
        <v>0.72299586213697042</v>
      </c>
      <c r="O30">
        <f ca="1"/>
        <v>0</v>
      </c>
      <c r="P30">
        <f ca="1"/>
        <v>3.1620212773831886</v>
      </c>
      <c r="Q30">
        <f ca="1"/>
        <v>2.0304461561805693</v>
      </c>
      <c r="R30">
        <f ca="1"/>
        <v>0.63982188273891427</v>
      </c>
      <c r="S30">
        <f ca="1"/>
        <v>1</v>
      </c>
      <c r="T30">
        <f ca="1"/>
        <v>2.1400000000000006</v>
      </c>
      <c r="U30">
        <f ca="1"/>
        <v>0</v>
      </c>
      <c r="V30">
        <f ca="1"/>
        <v>9.5821360720309522E-3</v>
      </c>
      <c r="X30" s="2">
        <f t="shared" ca="1" si="1"/>
        <v>45440</v>
      </c>
      <c r="Y30">
        <f t="shared" ca="1" si="2"/>
        <v>0</v>
      </c>
      <c r="AA30" s="63">
        <f t="shared" ca="1" si="4"/>
        <v>55.018877440935491</v>
      </c>
      <c r="AB30" s="63">
        <f t="shared" ca="1" si="5"/>
        <v>55.018877440935491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45441</v>
      </c>
      <c r="K31">
        <f ca="1"/>
        <v>54.792361879538788</v>
      </c>
      <c r="L31">
        <f ca="1"/>
        <v>8.2888078961790512E-2</v>
      </c>
      <c r="M31">
        <f ca="1"/>
        <v>0.19897059286222962</v>
      </c>
      <c r="N31" s="4">
        <f ca="1"/>
        <v>0.64691768248284565</v>
      </c>
      <c r="O31">
        <f ca="1"/>
        <v>0</v>
      </c>
      <c r="P31">
        <f ca="1"/>
        <v>3.2449093563449791</v>
      </c>
      <c r="Q31">
        <f ca="1"/>
        <v>2.0836715353154114</v>
      </c>
      <c r="R31">
        <f ca="1"/>
        <v>0.259509331336714</v>
      </c>
      <c r="S31">
        <f ca="1"/>
        <v>1</v>
      </c>
      <c r="T31">
        <f ca="1"/>
        <v>0.85999999999999943</v>
      </c>
      <c r="U31">
        <f ca="1"/>
        <v>0</v>
      </c>
      <c r="V31">
        <f ca="1"/>
        <v>1.0221112304099127E-2</v>
      </c>
      <c r="X31" s="2">
        <f t="shared" ca="1" si="1"/>
        <v>45441</v>
      </c>
      <c r="Y31">
        <f t="shared" ca="1" si="2"/>
        <v>0</v>
      </c>
      <c r="AA31" s="63">
        <f t="shared" ca="1" si="4"/>
        <v>55.134759289837298</v>
      </c>
      <c r="AB31" s="63">
        <f t="shared" ca="1" si="5"/>
        <v>55.134759289837291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45442</v>
      </c>
      <c r="K32">
        <f ca="1"/>
        <v>54.479086678709152</v>
      </c>
      <c r="L32">
        <f ca="1"/>
        <v>8.5578124896391383E-2</v>
      </c>
      <c r="M32">
        <f ca="1"/>
        <v>0.20162182816992757</v>
      </c>
      <c r="N32" s="4">
        <f ca="1"/>
        <v>0.65078820570080542</v>
      </c>
      <c r="O32">
        <f ca="1"/>
        <v>0</v>
      </c>
      <c r="P32">
        <f ca="1"/>
        <v>3.3304874812413705</v>
      </c>
      <c r="Q32">
        <f ca="1"/>
        <v>2.1386242884774074</v>
      </c>
      <c r="R32">
        <f ca="1"/>
        <v>1.0801071098039752</v>
      </c>
      <c r="S32">
        <f ca="1"/>
        <v>1</v>
      </c>
      <c r="T32">
        <f ca="1"/>
        <v>3.6000000000000085</v>
      </c>
      <c r="U32">
        <f ca="1"/>
        <v>0</v>
      </c>
      <c r="V32">
        <f ca="1"/>
        <v>1.0906596876484527E-2</v>
      </c>
      <c r="X32" s="2">
        <f t="shared" ca="1" si="1"/>
        <v>45442</v>
      </c>
      <c r="Y32">
        <f t="shared" ca="1" si="2"/>
        <v>0</v>
      </c>
      <c r="AA32" s="63">
        <f t="shared" ca="1" si="4"/>
        <v>55.644771913409521</v>
      </c>
      <c r="AB32" s="63">
        <f t="shared" ca="1" si="5"/>
        <v>55.644771913409521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45443</v>
      </c>
      <c r="K33">
        <f ca="1"/>
        <v>54.862949847810761</v>
      </c>
      <c r="L33">
        <f ca="1"/>
        <v>9.0379493337396255E-2</v>
      </c>
      <c r="M33">
        <f ca="1"/>
        <v>0.20704785137750736</v>
      </c>
      <c r="N33" s="4">
        <f ca="1"/>
        <v>0.66904604081632513</v>
      </c>
      <c r="O33">
        <f ca="1"/>
        <v>0</v>
      </c>
      <c r="P33">
        <f ca="1"/>
        <v>3.4208669745787668</v>
      </c>
      <c r="Q33">
        <f ca="1"/>
        <v>2.1966601708280584</v>
      </c>
      <c r="R33">
        <f ca="1"/>
        <v>0.40185122975483373</v>
      </c>
      <c r="S33">
        <f ca="1"/>
        <v>1</v>
      </c>
      <c r="T33">
        <f ca="1"/>
        <v>1.3299999999999983</v>
      </c>
      <c r="U33">
        <f ca="1"/>
        <v>0</v>
      </c>
      <c r="V33">
        <f ca="1"/>
        <v>1.1659270745361687E-2</v>
      </c>
      <c r="X33" s="2">
        <f t="shared" ca="1" si="1"/>
        <v>45443</v>
      </c>
      <c r="Y33">
        <f t="shared" ca="1" si="2"/>
        <v>0</v>
      </c>
      <c r="AA33" s="63">
        <f t="shared" ca="1" si="4"/>
        <v>55.355180570902988</v>
      </c>
      <c r="AB33" s="63">
        <f t="shared" ca="1" si="5"/>
        <v>55.355180570902988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45444</v>
      </c>
      <c r="K34">
        <f ca="1"/>
        <v>55.116145995588447</v>
      </c>
      <c r="L34">
        <f ca="1"/>
        <v>9.2810891492013603E-2</v>
      </c>
      <c r="M34">
        <f ca="1"/>
        <v>0.20815284029491776</v>
      </c>
      <c r="N34" s="4">
        <f ca="1"/>
        <v>0.66904604081632513</v>
      </c>
      <c r="O34">
        <f ca="1"/>
        <v>0</v>
      </c>
      <c r="P34">
        <f ca="1"/>
        <v>3.5136778660707804</v>
      </c>
      <c r="Q34">
        <f ca="1"/>
        <v>2.256257340280885</v>
      </c>
      <c r="R34">
        <f ca="1"/>
        <v>0.53119184184154078</v>
      </c>
      <c r="S34">
        <f ca="1"/>
        <v>1</v>
      </c>
      <c r="T34">
        <f ca="1"/>
        <v>1.75</v>
      </c>
      <c r="U34">
        <f ca="1"/>
        <v>0</v>
      </c>
      <c r="V34">
        <f ca="1"/>
        <v>1.2463232789398957E-2</v>
      </c>
      <c r="X34" s="2">
        <f t="shared" ca="1" si="1"/>
        <v>45444</v>
      </c>
      <c r="Y34">
        <f t="shared" ca="1" si="2"/>
        <v>0</v>
      </c>
      <c r="AA34" s="63">
        <f t="shared" ca="1" si="4"/>
        <v>55.740148728922001</v>
      </c>
      <c r="AB34" s="63">
        <f t="shared" ca="1" si="5"/>
        <v>55.740148728922001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13</v>
      </c>
      <c r="H35" t="b">
        <f t="shared" ca="1" si="3"/>
        <v>1</v>
      </c>
      <c r="I35" t="b">
        <f t="shared" ca="1" si="0"/>
        <v>1</v>
      </c>
      <c r="J35" s="2">
        <f ca="1"/>
        <v>45445</v>
      </c>
      <c r="K35">
        <f ca="1"/>
        <v>55.643528566144369</v>
      </c>
      <c r="L35">
        <f ca="1"/>
        <v>9.4340898405710583E-2</v>
      </c>
      <c r="M35">
        <f ca="1"/>
        <v>0.20745360151975722</v>
      </c>
      <c r="N35" s="4">
        <f ca="1"/>
        <v>0.6624883905238893</v>
      </c>
      <c r="O35">
        <f ca="1"/>
        <v>0</v>
      </c>
      <c r="P35">
        <f ca="1"/>
        <v>3.6080187644764909</v>
      </c>
      <c r="Q35">
        <f ca="1"/>
        <v>2.3168369815086707</v>
      </c>
      <c r="R35">
        <f ca="1"/>
        <v>0.24821852308201858</v>
      </c>
      <c r="S35">
        <f ca="1"/>
        <v>1</v>
      </c>
      <c r="T35">
        <f ca="1"/>
        <v>0.81000000000000227</v>
      </c>
      <c r="U35">
        <f ca="1"/>
        <v>0</v>
      </c>
      <c r="V35">
        <f ca="1"/>
        <v>1.3313015676785419E-2</v>
      </c>
      <c r="X35" s="2">
        <f t="shared" ca="1" si="1"/>
        <v>45445</v>
      </c>
      <c r="Y35">
        <f t="shared" ca="1" si="2"/>
        <v>0</v>
      </c>
      <c r="AA35" s="63">
        <f t="shared" ca="1" si="4"/>
        <v>55.986087987632096</v>
      </c>
      <c r="AB35" s="63">
        <f t="shared" ca="1" si="5"/>
        <v>55.986087987632096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45436</v>
      </c>
      <c r="H36" t="b">
        <f t="shared" ca="1" si="3"/>
        <v>1</v>
      </c>
      <c r="I36" t="b">
        <f t="shared" ca="1" si="0"/>
        <v>1</v>
      </c>
      <c r="J36" s="2">
        <f ca="1"/>
        <v>45446</v>
      </c>
      <c r="K36">
        <f ca="1"/>
        <v>56.033426664884324</v>
      </c>
      <c r="L36">
        <f ca="1"/>
        <v>0.1072727363909256</v>
      </c>
      <c r="M36">
        <f ca="1"/>
        <v>0.22356205612570967</v>
      </c>
      <c r="N36" s="4">
        <f ca="1"/>
        <v>0.73340770911614794</v>
      </c>
      <c r="O36">
        <f ca="1"/>
        <v>0</v>
      </c>
      <c r="P36">
        <f ca="1"/>
        <v>3.7152915008674166</v>
      </c>
      <c r="Q36">
        <f ca="1"/>
        <v>2.385720615159669</v>
      </c>
      <c r="R36">
        <f ca="1"/>
        <v>0.45979893011097678</v>
      </c>
      <c r="S36">
        <f ca="1"/>
        <v>1</v>
      </c>
      <c r="T36">
        <f ca="1"/>
        <v>1.4899999999999949</v>
      </c>
      <c r="U36">
        <f ca="1"/>
        <v>0</v>
      </c>
      <c r="V36">
        <f ca="1"/>
        <v>1.4319591122954597E-2</v>
      </c>
      <c r="X36" s="2">
        <f t="shared" ca="1" si="1"/>
        <v>45446</v>
      </c>
      <c r="Y36">
        <f t="shared" ca="1" si="2"/>
        <v>0</v>
      </c>
      <c r="AA36" s="63">
        <f t="shared" ca="1" si="4"/>
        <v>56.600498331386227</v>
      </c>
      <c r="AB36" s="63">
        <f t="shared" ca="1" si="5"/>
        <v>56.600498331386227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45447</v>
      </c>
      <c r="K37">
        <f ca="1"/>
        <v>55.848822872225078</v>
      </c>
      <c r="L37">
        <f ca="1"/>
        <v>0.10777262088789996</v>
      </c>
      <c r="M37">
        <f ca="1"/>
        <v>0.21966456983320182</v>
      </c>
      <c r="N37" s="4">
        <f ca="1"/>
        <v>0.7154201765817686</v>
      </c>
      <c r="O37">
        <f ca="1"/>
        <v>0</v>
      </c>
      <c r="P37">
        <f ca="1"/>
        <v>3.8230641217553165</v>
      </c>
      <c r="Q37">
        <f ca="1"/>
        <v>2.4549252423987489</v>
      </c>
      <c r="R37">
        <f ca="1"/>
        <v>1.0119159181863133</v>
      </c>
      <c r="S37">
        <f ca="1"/>
        <v>1</v>
      </c>
      <c r="T37">
        <f ca="1"/>
        <v>3.289999999999992</v>
      </c>
      <c r="U37">
        <f ca="1"/>
        <v>0</v>
      </c>
      <c r="V37">
        <f ca="1"/>
        <v>1.5374496108809721E-2</v>
      </c>
      <c r="X37" s="2">
        <f t="shared" ca="1" si="1"/>
        <v>45447</v>
      </c>
      <c r="Y37">
        <f t="shared" ca="1" si="2"/>
        <v>0</v>
      </c>
      <c r="AA37" s="63">
        <f t="shared" ca="1" si="4"/>
        <v>56.968511411299289</v>
      </c>
      <c r="AB37" s="63">
        <f t="shared" ca="1" si="5"/>
        <v>56.968511411299289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45717</v>
      </c>
      <c r="H38" t="b">
        <f t="shared" ca="1" si="3"/>
        <v>1</v>
      </c>
      <c r="I38" t="b">
        <f t="shared" ca="1" si="0"/>
        <v>1</v>
      </c>
      <c r="J38" s="2">
        <f ca="1"/>
        <v>45448</v>
      </c>
      <c r="K38">
        <f ca="1"/>
        <v>55.331666495628291</v>
      </c>
      <c r="L38">
        <f ca="1"/>
        <v>0.10950134311310622</v>
      </c>
      <c r="M38">
        <f ca="1"/>
        <v>0.21746168022250689</v>
      </c>
      <c r="N38" s="4">
        <f ca="1"/>
        <v>0.70653205995527057</v>
      </c>
      <c r="O38">
        <f ca="1"/>
        <v>0</v>
      </c>
      <c r="P38">
        <f ca="1"/>
        <v>3.9325654648684227</v>
      </c>
      <c r="Q38">
        <f ca="1"/>
        <v>2.5252399435713535</v>
      </c>
      <c r="R38">
        <f ca="1"/>
        <v>1.3316487736614557</v>
      </c>
      <c r="S38">
        <f ca="1"/>
        <v>1</v>
      </c>
      <c r="T38">
        <f ca="1"/>
        <v>4.3700000000000045</v>
      </c>
      <c r="U38">
        <f ca="1"/>
        <v>0</v>
      </c>
      <c r="V38">
        <f ca="1"/>
        <v>1.6491575462628461E-2</v>
      </c>
      <c r="X38" s="2">
        <f t="shared" ca="1" si="1"/>
        <v>45448</v>
      </c>
      <c r="Y38">
        <f t="shared" ca="1" si="2"/>
        <v>0</v>
      </c>
      <c r="AA38" s="63">
        <f t="shared" ca="1" si="4"/>
        <v>56.772816612402856</v>
      </c>
      <c r="AB38" s="63">
        <f t="shared" ca="1" si="5"/>
        <v>56.772816612402856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Maturity</v>
      </c>
      <c r="H39" t="b">
        <f t="shared" ca="1" si="3"/>
        <v>1</v>
      </c>
      <c r="I39" t="b">
        <f t="shared" ca="1" si="0"/>
        <v>1</v>
      </c>
      <c r="J39" s="2">
        <f ca="1"/>
        <v>45449</v>
      </c>
      <c r="K39">
        <f ca="1"/>
        <v>55.690604657159199</v>
      </c>
      <c r="L39">
        <f ca="1"/>
        <v>0.11152523975200213</v>
      </c>
      <c r="M39">
        <f ca="1"/>
        <v>0.21543827232057478</v>
      </c>
      <c r="N39" s="4">
        <f ca="1"/>
        <v>0.69974285600719321</v>
      </c>
      <c r="O39">
        <f ca="1"/>
        <v>0</v>
      </c>
      <c r="P39">
        <f ca="1"/>
        <v>4.0440907046204249</v>
      </c>
      <c r="Q39">
        <f ca="1"/>
        <v>2.5968542606511456</v>
      </c>
      <c r="R39">
        <f ca="1"/>
        <v>0.4447177270448518</v>
      </c>
      <c r="S39">
        <f ca="1"/>
        <v>1</v>
      </c>
      <c r="T39">
        <f ca="1"/>
        <v>1.4500000000000028</v>
      </c>
      <c r="U39">
        <f ca="1"/>
        <v>0</v>
      </c>
      <c r="V39">
        <f ca="1"/>
        <v>1.7676637644858481E-2</v>
      </c>
      <c r="X39" s="2">
        <f t="shared" ca="1" si="1"/>
        <v>45449</v>
      </c>
      <c r="Y39">
        <f t="shared" ca="1" si="2"/>
        <v>0</v>
      </c>
      <c r="AA39" s="63">
        <f t="shared" ca="1" si="4"/>
        <v>56.246847623956057</v>
      </c>
      <c r="AB39" s="63">
        <f t="shared" ca="1" si="5"/>
        <v>56.246847623956057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45450</v>
      </c>
      <c r="K40">
        <f ca="1"/>
        <v>56.228860962086365</v>
      </c>
      <c r="L40">
        <f ca="1"/>
        <v>0.10499777960021817</v>
      </c>
      <c r="M40">
        <f ca="1"/>
        <v>0.20211640342312531</v>
      </c>
      <c r="N40" s="4">
        <f ca="1"/>
        <v>0.64242070512796057</v>
      </c>
      <c r="O40">
        <f ca="1"/>
        <v>0</v>
      </c>
      <c r="P40">
        <f ca="1"/>
        <v>4.149088484220643</v>
      </c>
      <c r="Q40">
        <f ca="1"/>
        <v>2.6642770637554904</v>
      </c>
      <c r="R40">
        <f ca="1"/>
        <v>0.20128302402370224</v>
      </c>
      <c r="S40">
        <f ca="1"/>
        <v>1</v>
      </c>
      <c r="T40">
        <f ca="1"/>
        <v>0.65000000000000568</v>
      </c>
      <c r="U40">
        <f ca="1"/>
        <v>0</v>
      </c>
      <c r="V40">
        <f ca="1"/>
        <v>1.8836384101150641E-2</v>
      </c>
      <c r="X40" s="2">
        <f t="shared" ca="1" si="1"/>
        <v>45450</v>
      </c>
      <c r="Y40">
        <f t="shared" ca="1" si="2"/>
        <v>0</v>
      </c>
      <c r="AA40" s="63">
        <f t="shared" ca="1" si="4"/>
        <v>56.535141765710286</v>
      </c>
      <c r="AB40" s="63">
        <f t="shared" ca="1" si="5"/>
        <v>56.535141765710286</v>
      </c>
      <c r="AC40" s="3">
        <f t="shared" ca="1" si="6"/>
        <v>0</v>
      </c>
    </row>
    <row r="41" spans="1:29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45451</v>
      </c>
      <c r="K41">
        <f ca="1"/>
        <v>56.770572732339048</v>
      </c>
      <c r="L41">
        <f ca="1"/>
        <v>0.10655808137194178</v>
      </c>
      <c r="M41">
        <f ca="1"/>
        <v>0.19982835650756314</v>
      </c>
      <c r="N41">
        <f ca="1"/>
        <v>0.63603121371087012</v>
      </c>
      <c r="O41">
        <f ca="1"/>
        <v>0</v>
      </c>
      <c r="P41">
        <f ca="1"/>
        <v>4.2556465655925848</v>
      </c>
      <c r="Q41">
        <f ca="1"/>
        <v>2.7327017920390051</v>
      </c>
      <c r="R41">
        <f ca="1"/>
        <v>0.18758971859381415</v>
      </c>
      <c r="S41">
        <f ca="1"/>
        <v>1</v>
      </c>
      <c r="T41">
        <f ca="1"/>
        <v>0.59999999999999432</v>
      </c>
      <c r="U41">
        <f ca="1"/>
        <v>0</v>
      </c>
      <c r="V41">
        <f ca="1"/>
        <v>2.0057395184448885E-2</v>
      </c>
      <c r="X41" s="2">
        <f t="shared" ca="1" si="1"/>
        <v>45451</v>
      </c>
      <c r="Y41">
        <f t="shared" ca="1" si="2"/>
        <v>0</v>
      </c>
      <c r="AA41" s="63">
        <f t="shared" ca="1" si="4"/>
        <v>57.064720532304797</v>
      </c>
      <c r="AB41" s="63">
        <f t="shared" ca="1" si="5"/>
        <v>57.064720532304804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45452</v>
      </c>
      <c r="K42">
        <f ca="1"/>
        <v>56.331221392689535</v>
      </c>
      <c r="L42">
        <f ca="1"/>
        <v>0.12573468068576865</v>
      </c>
      <c r="M42">
        <f ca="1"/>
        <v>0.21909244375201276</v>
      </c>
      <c r="N42">
        <f ca="1"/>
        <v>0.72992665099342668</v>
      </c>
      <c r="O42">
        <f ca="1"/>
        <v>0</v>
      </c>
      <c r="P42">
        <f ca="1"/>
        <v>4.3813812462783535</v>
      </c>
      <c r="Q42">
        <f ca="1"/>
        <v>2.8134404957672388</v>
      </c>
      <c r="R42">
        <f ca="1"/>
        <v>1.2626357537091855</v>
      </c>
      <c r="S42">
        <f ca="1"/>
        <v>1</v>
      </c>
      <c r="T42">
        <f ca="1"/>
        <v>4.0700000000000074</v>
      </c>
      <c r="U42">
        <f ca="1"/>
        <v>0</v>
      </c>
      <c r="V42">
        <f ca="1"/>
        <v>2.1555639457507311E-2</v>
      </c>
      <c r="X42" s="2">
        <f t="shared" ca="1" si="1"/>
        <v>45452</v>
      </c>
      <c r="Y42">
        <f t="shared" ca="1" si="2"/>
        <v>0</v>
      </c>
      <c r="AA42" s="63">
        <f t="shared" ca="1" si="4"/>
        <v>57.719591827084486</v>
      </c>
      <c r="AB42" s="63">
        <f t="shared" ca="1" si="5"/>
        <v>57.719591827084486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45453</v>
      </c>
      <c r="K43">
        <f ca="1"/>
        <v>55.209447315243281</v>
      </c>
      <c r="L43">
        <f ca="1"/>
        <v>0.1294081804008318</v>
      </c>
      <c r="M43">
        <f ca="1"/>
        <v>0.21755939502022148</v>
      </c>
      <c r="N43">
        <f ca="1"/>
        <v>0.72992665099342668</v>
      </c>
      <c r="O43">
        <f ca="1"/>
        <v>0</v>
      </c>
      <c r="P43">
        <f ca="1"/>
        <v>4.5107894266791853</v>
      </c>
      <c r="Q43">
        <f ca="1"/>
        <v>2.8965380841207997</v>
      </c>
      <c r="R43">
        <f ca="1"/>
        <v>1.9398519430590726</v>
      </c>
      <c r="S43">
        <f ca="1"/>
        <v>1</v>
      </c>
      <c r="T43">
        <f ca="1"/>
        <v>6.3800000000000097</v>
      </c>
      <c r="U43">
        <f ca="1"/>
        <v>0</v>
      </c>
      <c r="V43">
        <f ca="1"/>
        <v>2.3163153976526542E-2</v>
      </c>
      <c r="X43" s="2">
        <f t="shared" ca="1" si="1"/>
        <v>45453</v>
      </c>
      <c r="Y43">
        <f t="shared" ca="1" si="2"/>
        <v>0</v>
      </c>
      <c r="AA43" s="63">
        <f t="shared" ca="1" si="4"/>
        <v>57.278707438703186</v>
      </c>
      <c r="AB43" s="63">
        <f t="shared" ca="1" si="5"/>
        <v>57.278707438703186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45454</v>
      </c>
      <c r="K44">
        <f ca="1"/>
        <v>56.092003023848449</v>
      </c>
      <c r="L44">
        <f ca="1"/>
        <v>0.144852793137491</v>
      </c>
      <c r="M44">
        <f ca="1"/>
        <v>0.2302820923070632</v>
      </c>
      <c r="N44">
        <f ca="1"/>
        <v>0.79712640943559065</v>
      </c>
      <c r="O44">
        <f ca="1"/>
        <v>0</v>
      </c>
      <c r="P44">
        <f ca="1"/>
        <v>4.6556422198166763</v>
      </c>
      <c r="Q44">
        <f ca="1"/>
        <v>2.9895532068025301</v>
      </c>
      <c r="R44">
        <f ca="1"/>
        <v>0</v>
      </c>
      <c r="S44">
        <f ca="1"/>
        <v>0.99985507246376804</v>
      </c>
      <c r="T44">
        <f ca="1"/>
        <v>0</v>
      </c>
      <c r="U44">
        <f ca="1"/>
        <v>0</v>
      </c>
      <c r="V44">
        <f ca="1"/>
        <v>2.5041934777635121E-2</v>
      </c>
      <c r="X44" s="2">
        <f t="shared" ca="1" si="1"/>
        <v>45454</v>
      </c>
      <c r="Y44">
        <f t="shared" ca="1" si="2"/>
        <v>0</v>
      </c>
      <c r="AA44" s="63">
        <f t="shared" ca="1" si="4"/>
        <v>56.236855816985937</v>
      </c>
      <c r="AB44" s="63">
        <f t="shared" ca="1" si="5"/>
        <v>56.236855816985937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45455</v>
      </c>
      <c r="K45">
        <f ca="1"/>
        <v>55.476191361127768</v>
      </c>
      <c r="L45">
        <f ca="1"/>
        <v>0.1321722783806063</v>
      </c>
      <c r="M45">
        <f ca="1"/>
        <v>0.20779368260092124</v>
      </c>
      <c r="N45">
        <f ca="1"/>
        <v>0.70177525653905748</v>
      </c>
      <c r="O45">
        <f ca="1"/>
        <v>0</v>
      </c>
      <c r="P45">
        <f ca="1"/>
        <v>4.7878144981972826</v>
      </c>
      <c r="Q45">
        <f ca="1"/>
        <v>3.0744257206312873</v>
      </c>
      <c r="R45">
        <f ca="1"/>
        <v>1.3932083234800523</v>
      </c>
      <c r="S45">
        <f ca="1"/>
        <v>1</v>
      </c>
      <c r="T45">
        <f ca="1"/>
        <v>4.5601057793540605</v>
      </c>
      <c r="U45">
        <f ca="1"/>
        <v>0</v>
      </c>
      <c r="V45">
        <f ca="1"/>
        <v>2.6829942659013412E-2</v>
      </c>
      <c r="X45" s="2">
        <f t="shared" ca="1" si="1"/>
        <v>45455</v>
      </c>
      <c r="Y45">
        <f t="shared" ca="1" si="2"/>
        <v>0</v>
      </c>
      <c r="AA45" s="63">
        <f t="shared" ca="1" si="4"/>
        <v>57.001571962988429</v>
      </c>
      <c r="AB45" s="63">
        <f t="shared" ca="1" si="5"/>
        <v>57.001571962988429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45456</v>
      </c>
      <c r="K46">
        <f ca="1"/>
        <v>56.189389362901522</v>
      </c>
      <c r="L46">
        <f ca="1"/>
        <v>0.13115328143127236</v>
      </c>
      <c r="M46">
        <f ca="1"/>
        <v>0.20075807158957115</v>
      </c>
      <c r="N46">
        <f ca="1"/>
        <v>0.67763258082370947</v>
      </c>
      <c r="O46">
        <f ca="1"/>
        <v>0</v>
      </c>
      <c r="P46">
        <f ca="1"/>
        <v>4.9189677796285549</v>
      </c>
      <c r="Q46">
        <f ca="1"/>
        <v>3.1586439003308806</v>
      </c>
      <c r="R46">
        <f ca="1"/>
        <v>3.4039369208250313E-2</v>
      </c>
      <c r="S46">
        <f ca="1"/>
        <v>1</v>
      </c>
      <c r="T46">
        <f ca="1"/>
        <v>0.10999999999999943</v>
      </c>
      <c r="U46">
        <f ca="1"/>
        <v>0</v>
      </c>
      <c r="V46">
        <f ca="1"/>
        <v>2.8674098989712942E-2</v>
      </c>
      <c r="X46" s="2">
        <f t="shared" ca="1" si="1"/>
        <v>45456</v>
      </c>
      <c r="Y46">
        <f t="shared" ca="1" si="2"/>
        <v>0</v>
      </c>
      <c r="AA46" s="63">
        <f t="shared" ca="1" si="4"/>
        <v>56.354582013541048</v>
      </c>
      <c r="AB46" s="63">
        <f t="shared" ca="1" si="5"/>
        <v>56.354582013541048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45457</v>
      </c>
      <c r="K47">
        <f ca="1"/>
        <v>56.45976157222487</v>
      </c>
      <c r="L47">
        <f ca="1"/>
        <v>0.11989957825259268</v>
      </c>
      <c r="M47">
        <f ca="1"/>
        <v>0.18421726683607798</v>
      </c>
      <c r="N47">
        <f ca="1"/>
        <v>0.60716430512688691</v>
      </c>
      <c r="O47">
        <f ca="1"/>
        <v>0</v>
      </c>
      <c r="P47">
        <f ca="1"/>
        <v>5.0388673578811476</v>
      </c>
      <c r="Q47">
        <f ca="1"/>
        <v>3.2356356775627275</v>
      </c>
      <c r="R47">
        <f ca="1"/>
        <v>0.40110978438702122</v>
      </c>
      <c r="S47">
        <f ca="1"/>
        <v>1</v>
      </c>
      <c r="T47">
        <f ca="1"/>
        <v>1.289999999999992</v>
      </c>
      <c r="U47">
        <f ca="1"/>
        <v>0</v>
      </c>
      <c r="V47">
        <f ca="1"/>
        <v>3.0421266770244235E-2</v>
      </c>
      <c r="X47" s="2">
        <f t="shared" ca="1" si="1"/>
        <v>45457</v>
      </c>
      <c r="Y47">
        <f t="shared" ca="1" si="2"/>
        <v>0</v>
      </c>
      <c r="AA47" s="63">
        <f t="shared" ca="1" si="4"/>
        <v>56.980770934864488</v>
      </c>
      <c r="AB47" s="63">
        <f t="shared" ca="1" si="5"/>
        <v>56.980770934864488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45458</v>
      </c>
      <c r="K48">
        <f ca="1"/>
        <v>50.07180161764456</v>
      </c>
      <c r="L48">
        <f ca="1"/>
        <v>0.1379423800085311</v>
      </c>
      <c r="M48">
        <f ca="1"/>
        <v>0.19675539173526513</v>
      </c>
      <c r="N48">
        <f ca="1"/>
        <v>0.67763258082370947</v>
      </c>
      <c r="O48">
        <f ca="1"/>
        <v>0</v>
      </c>
      <c r="P48">
        <f ca="1"/>
        <v>5.1768097378896787</v>
      </c>
      <c r="Q48">
        <f ca="1"/>
        <v>3.324213378562423</v>
      </c>
      <c r="R48">
        <f ca="1"/>
        <v>0.49888514880465518</v>
      </c>
      <c r="S48">
        <f ca="1"/>
        <v>1</v>
      </c>
      <c r="T48">
        <f ca="1"/>
        <v>1.8299999999999983</v>
      </c>
      <c r="U48">
        <f ca="1"/>
        <v>0</v>
      </c>
      <c r="V48">
        <f ca="1"/>
        <v>3.2504027976163211E-2</v>
      </c>
      <c r="X48" s="2">
        <f t="shared" ca="1" si="1"/>
        <v>45458</v>
      </c>
      <c r="Y48">
        <f t="shared" ca="1" si="2"/>
        <v>0</v>
      </c>
      <c r="AA48" s="63">
        <f t="shared" ca="1" si="4"/>
        <v>57.334149544783848</v>
      </c>
      <c r="AB48" s="63">
        <f t="shared" ca="1" si="5"/>
        <v>50.708629146457746</v>
      </c>
      <c r="AC48" s="3">
        <f t="shared" ca="1" si="6"/>
        <v>-6.6255203983261026</v>
      </c>
    </row>
    <row r="49" spans="1:29">
      <c r="A49" s="6" t="s">
        <v>129</v>
      </c>
      <c r="B49" s="34">
        <f>FollowingEstablishDate</f>
        <v>45732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45459</v>
      </c>
      <c r="K49">
        <f ca="1"/>
        <v>50.362314875970085</v>
      </c>
      <c r="L49">
        <f ca="1"/>
        <v>0.14308636438270295</v>
      </c>
      <c r="M49">
        <f ca="1"/>
        <v>0.19586040264606375</v>
      </c>
      <c r="N49">
        <f ca="1"/>
        <v>0.68428507862910293</v>
      </c>
      <c r="O49">
        <f ca="1"/>
        <v>0</v>
      </c>
      <c r="P49">
        <f ca="1"/>
        <v>5.3198961022723816</v>
      </c>
      <c r="Q49">
        <f ca="1"/>
        <v>3.4160942146088979</v>
      </c>
      <c r="R49">
        <f ca="1"/>
        <v>0.44654585856693463</v>
      </c>
      <c r="S49">
        <f ca="1"/>
        <v>1</v>
      </c>
      <c r="T49">
        <f ca="1"/>
        <v>1.6099999999999994</v>
      </c>
      <c r="U49">
        <f ca="1"/>
        <v>0</v>
      </c>
      <c r="V49">
        <f ca="1"/>
        <v>3.4746906926495728E-2</v>
      </c>
      <c r="X49" s="2">
        <f t="shared" ca="1" si="1"/>
        <v>45459</v>
      </c>
      <c r="Y49">
        <f t="shared" ca="1" si="2"/>
        <v>0</v>
      </c>
      <c r="AA49" s="63">
        <f t="shared" ca="1" si="4"/>
        <v>50.951947098919725</v>
      </c>
      <c r="AB49" s="63">
        <f t="shared" ca="1" si="5"/>
        <v>50.951947098919725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45460</v>
      </c>
      <c r="K50">
        <f ca="1"/>
        <v>49.79637411611936</v>
      </c>
      <c r="L50">
        <f ca="1"/>
        <v>0.14829850732024585</v>
      </c>
      <c r="M50">
        <f ca="1"/>
        <v>0.19469434793895157</v>
      </c>
      <c r="N50">
        <f ca="1"/>
        <v>0.69030767894500022</v>
      </c>
      <c r="O50">
        <f ca="1"/>
        <v>0</v>
      </c>
      <c r="P50">
        <f ca="1"/>
        <v>5.4681946095926275</v>
      </c>
      <c r="Q50">
        <f ca="1"/>
        <v>3.5113219527362332</v>
      </c>
      <c r="R50">
        <f ca="1"/>
        <v>1.3026442794144264</v>
      </c>
      <c r="S50">
        <f ca="1"/>
        <v>1</v>
      </c>
      <c r="T50">
        <f ca="1"/>
        <v>4.75</v>
      </c>
      <c r="U50">
        <f ca="1"/>
        <v>0</v>
      </c>
      <c r="V50">
        <f ca="1"/>
        <v>3.7160338931480692E-2</v>
      </c>
      <c r="X50" s="2">
        <f t="shared" ca="1" si="1"/>
        <v>45460</v>
      </c>
      <c r="Y50">
        <f t="shared" ca="1" si="2"/>
        <v>0</v>
      </c>
      <c r="AA50" s="63">
        <f t="shared" ca="1" si="4"/>
        <v>51.247316902854031</v>
      </c>
      <c r="AB50" s="63">
        <f t="shared" ca="1" si="5"/>
        <v>51.247316902854031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45852</v>
      </c>
      <c r="H51" t="b">
        <f t="shared" ca="1" si="3"/>
        <v>1</v>
      </c>
      <c r="I51" t="b">
        <f t="shared" ca="1" si="0"/>
        <v>1</v>
      </c>
      <c r="J51" s="2">
        <f ca="1"/>
        <v>45461</v>
      </c>
      <c r="K51">
        <f ca="1"/>
        <v>47.622764635345227</v>
      </c>
      <c r="L51">
        <f ca="1"/>
        <v>0.15761549168469191</v>
      </c>
      <c r="M51">
        <f ca="1"/>
        <v>0.1968943404179937</v>
      </c>
      <c r="N51">
        <f ca="1"/>
        <v>0.71404819608056869</v>
      </c>
      <c r="O51">
        <f ca="1"/>
        <v>0</v>
      </c>
      <c r="P51">
        <f ca="1"/>
        <v>5.6258101012773194</v>
      </c>
      <c r="Q51">
        <f ca="1"/>
        <v>3.6125324574013193</v>
      </c>
      <c r="R51">
        <f ca="1"/>
        <v>2.9269365255879993</v>
      </c>
      <c r="S51">
        <f ca="1"/>
        <v>1</v>
      </c>
      <c r="T51">
        <f ca="1"/>
        <v>11.159999999999997</v>
      </c>
      <c r="U51">
        <f ca="1"/>
        <v>0</v>
      </c>
      <c r="V51">
        <f ca="1"/>
        <v>3.9824735565125897E-2</v>
      </c>
      <c r="X51" s="2">
        <f t="shared" ca="1" si="1"/>
        <v>45461</v>
      </c>
      <c r="Y51">
        <f t="shared" ca="1" si="2"/>
        <v>0</v>
      </c>
      <c r="AA51" s="63">
        <f t="shared" ca="1" si="4"/>
        <v>50.707316652617919</v>
      </c>
      <c r="AB51" s="63">
        <f t="shared" ca="1" si="5"/>
        <v>50.707316652617919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45462</v>
      </c>
      <c r="K52">
        <f ca="1"/>
        <v>46.278247693649782</v>
      </c>
      <c r="L52">
        <f ca="1"/>
        <v>0.16132327242137023</v>
      </c>
      <c r="M52">
        <f ca="1"/>
        <v>0.19353098133671232</v>
      </c>
      <c r="N52">
        <f ca="1"/>
        <v>0.71062553014540031</v>
      </c>
      <c r="O52">
        <f ca="1"/>
        <v>0</v>
      </c>
      <c r="P52">
        <f ca="1"/>
        <v>5.7871333736986896</v>
      </c>
      <c r="Q52">
        <f ca="1"/>
        <v>3.7161238597531483</v>
      </c>
      <c r="R52">
        <f ca="1"/>
        <v>2.0873501807561863</v>
      </c>
      <c r="S52">
        <f ca="1"/>
        <v>1</v>
      </c>
      <c r="T52">
        <f ca="1"/>
        <v>8.1899999999999977</v>
      </c>
      <c r="U52">
        <f ca="1"/>
        <v>0</v>
      </c>
      <c r="V52">
        <f ca="1"/>
        <v>4.2657918936608606E-2</v>
      </c>
      <c r="X52" s="2">
        <f t="shared" ca="1" si="1"/>
        <v>45462</v>
      </c>
      <c r="Y52">
        <f t="shared" ca="1" si="2"/>
        <v>0</v>
      </c>
      <c r="AA52" s="63">
        <f t="shared" ca="1" si="4"/>
        <v>48.526921146827341</v>
      </c>
      <c r="AB52" s="63">
        <f t="shared" ca="1" si="5"/>
        <v>48.526921146827341</v>
      </c>
      <c r="AC52" s="3">
        <f t="shared" ca="1" si="6"/>
        <v>0</v>
      </c>
    </row>
    <row r="53" spans="1:29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45463</v>
      </c>
      <c r="K53">
        <f ca="1"/>
        <v>46.71862346358391</v>
      </c>
      <c r="L53">
        <f ca="1"/>
        <v>0.15654377928260654</v>
      </c>
      <c r="M53">
        <f ca="1"/>
        <v>0.18318915350498877</v>
      </c>
      <c r="N53">
        <f ca="1"/>
        <v>0.67102136551119118</v>
      </c>
      <c r="O53">
        <f ca="1"/>
        <v>0</v>
      </c>
      <c r="P53">
        <f ca="1"/>
        <v>5.9436771529812962</v>
      </c>
      <c r="Q53">
        <f ca="1"/>
        <v>3.816646179824756</v>
      </c>
      <c r="R53">
        <f ca="1"/>
        <v>0.25729096979944766</v>
      </c>
      <c r="S53">
        <f ca="1"/>
        <v>1</v>
      </c>
      <c r="T53">
        <f ca="1"/>
        <v>1</v>
      </c>
      <c r="U53">
        <f ca="1"/>
        <v>0</v>
      </c>
      <c r="V53">
        <f ca="1"/>
        <v>4.5509773881794988E-2</v>
      </c>
      <c r="X53" s="2">
        <f t="shared" ca="1" si="1"/>
        <v>45463</v>
      </c>
      <c r="Y53">
        <f t="shared" ca="1" si="2"/>
        <v>0</v>
      </c>
      <c r="AA53" s="63">
        <f t="shared" ca="1" si="4"/>
        <v>47.132458212665966</v>
      </c>
      <c r="AB53" s="63">
        <f t="shared" ca="1" si="5"/>
        <v>47.132458212665966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45464</v>
      </c>
      <c r="K54">
        <f ca="1"/>
        <v>47.071658097300741</v>
      </c>
      <c r="L54">
        <f ca="1"/>
        <v>0.14352923250216865</v>
      </c>
      <c r="M54">
        <f ca="1"/>
        <v>0.16789082714864634</v>
      </c>
      <c r="N54">
        <f ca="1"/>
        <v>0.60346237068763786</v>
      </c>
      <c r="O54">
        <f ca="1"/>
        <v>0</v>
      </c>
      <c r="P54">
        <f ca="1"/>
        <v>6.0872063854834648</v>
      </c>
      <c r="Q54">
        <f ca="1"/>
        <v>3.908811397218471</v>
      </c>
      <c r="R54">
        <f ca="1"/>
        <v>0.27478933161728292</v>
      </c>
      <c r="S54">
        <f ca="1"/>
        <v>1</v>
      </c>
      <c r="T54">
        <f ca="1"/>
        <v>1.0599999999999881</v>
      </c>
      <c r="U54">
        <f ca="1"/>
        <v>0</v>
      </c>
      <c r="V54">
        <f ca="1"/>
        <v>4.8213246338118215E-2</v>
      </c>
      <c r="X54" s="2">
        <f t="shared" ca="1" si="1"/>
        <v>45464</v>
      </c>
      <c r="Y54">
        <f t="shared" ca="1" si="2"/>
        <v>0</v>
      </c>
      <c r="AA54" s="63">
        <f t="shared" ca="1" si="4"/>
        <v>47.489976661420194</v>
      </c>
      <c r="AB54" s="63">
        <f t="shared" ca="1" si="5"/>
        <v>47.489976661420194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45465</v>
      </c>
      <c r="K55">
        <f ca="1"/>
        <v>47.128212136984232</v>
      </c>
      <c r="L55">
        <f ca="1"/>
        <v>0.1477704114218108</v>
      </c>
      <c r="M55">
        <f ca="1"/>
        <v>0.16618536614063917</v>
      </c>
      <c r="N55">
        <f ca="1"/>
        <v>0.60654630439072499</v>
      </c>
      <c r="O55">
        <f ca="1"/>
        <v>0</v>
      </c>
      <c r="P55">
        <f ca="1"/>
        <v>6.2349767969052756</v>
      </c>
      <c r="Q55">
        <f ca="1"/>
        <v>4.0037000262149665</v>
      </c>
      <c r="R55">
        <f ca="1"/>
        <v>0.56840721942606143</v>
      </c>
      <c r="S55">
        <f ca="1"/>
        <v>1</v>
      </c>
      <c r="T55">
        <f ca="1"/>
        <v>2.1899999999999977</v>
      </c>
      <c r="U55">
        <f ca="1"/>
        <v>0</v>
      </c>
      <c r="V55">
        <f ca="1"/>
        <v>5.1085080667900351E-2</v>
      </c>
      <c r="X55" s="2">
        <f t="shared" ca="1" si="1"/>
        <v>45465</v>
      </c>
      <c r="Y55">
        <f t="shared" ca="1" si="2"/>
        <v>0</v>
      </c>
      <c r="AA55" s="63">
        <f t="shared" ca="1" si="4"/>
        <v>47.844389767832105</v>
      </c>
      <c r="AB55" s="63">
        <f t="shared" ca="1" si="5"/>
        <v>47.844389767832105</v>
      </c>
      <c r="AC55" s="3">
        <f t="shared" ca="1" si="6"/>
        <v>0</v>
      </c>
    </row>
    <row r="56" spans="1:29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45466</v>
      </c>
      <c r="K56">
        <f ca="1"/>
        <v>47.085179862025832</v>
      </c>
      <c r="L56">
        <f ca="1"/>
        <v>0.17408400648771316</v>
      </c>
      <c r="M56">
        <f ca="1"/>
        <v>0.17968228014204879</v>
      </c>
      <c r="N56">
        <f ca="1"/>
        <v>0.69299515390972399</v>
      </c>
      <c r="O56">
        <f ca="1"/>
        <v>0</v>
      </c>
      <c r="P56">
        <f ca="1"/>
        <v>6.4090608033929888</v>
      </c>
      <c r="Q56">
        <f ca="1"/>
        <v>4.115485549087226</v>
      </c>
      <c r="R56">
        <f ca="1"/>
        <v>0.74162570252245907</v>
      </c>
      <c r="S56">
        <f ca="1"/>
        <v>1</v>
      </c>
      <c r="T56">
        <f ca="1"/>
        <v>2.8599999999999994</v>
      </c>
      <c r="U56">
        <f ca="1"/>
        <v>0</v>
      </c>
      <c r="V56">
        <f ca="1"/>
        <v>5.4583096392193942E-2</v>
      </c>
      <c r="X56" s="2">
        <f t="shared" ca="1" si="1"/>
        <v>45466</v>
      </c>
      <c r="Y56">
        <f t="shared" ca="1" si="2"/>
        <v>0</v>
      </c>
      <c r="AA56" s="63">
        <f t="shared" ca="1" si="4"/>
        <v>48.000889571036005</v>
      </c>
      <c r="AB56" s="63">
        <f t="shared" ca="1" si="5"/>
        <v>48.000889571036005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45467</v>
      </c>
      <c r="K57">
        <f ca="1"/>
        <v>47.171933624288847</v>
      </c>
      <c r="L57">
        <f ca="1"/>
        <v>0.16400677181712897</v>
      </c>
      <c r="M57">
        <f ca="1"/>
        <v>0.16680198184021933</v>
      </c>
      <c r="N57">
        <f ca="1"/>
        <v>0.63730584318919359</v>
      </c>
      <c r="O57">
        <f ca="1"/>
        <v>0</v>
      </c>
      <c r="P57">
        <f ca="1"/>
        <v>6.5730675752101178</v>
      </c>
      <c r="Q57">
        <f ca="1"/>
        <v>4.2208001217011271</v>
      </c>
      <c r="R57">
        <f ca="1"/>
        <v>0.55334729094926538</v>
      </c>
      <c r="S57">
        <f ca="1"/>
        <v>1</v>
      </c>
      <c r="T57">
        <f ca="1"/>
        <v>2.1299999999999955</v>
      </c>
      <c r="U57">
        <f ca="1"/>
        <v>0</v>
      </c>
      <c r="V57">
        <f ca="1"/>
        <v>5.7991713746154069E-2</v>
      </c>
      <c r="X57" s="2">
        <f t="shared" ca="1" si="1"/>
        <v>45467</v>
      </c>
      <c r="Y57">
        <f t="shared" ca="1" si="2"/>
        <v>0</v>
      </c>
      <c r="AA57" s="63">
        <f t="shared" ca="1" si="4"/>
        <v>47.889287687055244</v>
      </c>
      <c r="AB57" s="63">
        <f t="shared" ca="1" si="5"/>
        <v>47.889287687055244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45468</v>
      </c>
      <c r="K58">
        <f ca="1"/>
        <v>47.718280974357299</v>
      </c>
      <c r="L58">
        <f ca="1"/>
        <v>0.16133477433167975</v>
      </c>
      <c r="M58">
        <f ca="1"/>
        <v>0.16001461518885662</v>
      </c>
      <c r="N58">
        <f ca="1"/>
        <v>0.6133665917122002</v>
      </c>
      <c r="O58">
        <f ca="1"/>
        <v>0</v>
      </c>
      <c r="P58">
        <f ca="1"/>
        <v>6.7344023495417975</v>
      </c>
      <c r="Q58">
        <f ca="1"/>
        <v>4.3243989098380364</v>
      </c>
      <c r="R58">
        <f ca="1"/>
        <v>6.5699082500926709E-2</v>
      </c>
      <c r="S58">
        <f ca="1"/>
        <v>1</v>
      </c>
      <c r="T58">
        <f ca="1"/>
        <v>0.25</v>
      </c>
      <c r="U58">
        <f ca="1"/>
        <v>0</v>
      </c>
      <c r="V58">
        <f ca="1"/>
        <v>6.1451231994947619E-2</v>
      </c>
      <c r="X58" s="2">
        <f t="shared" ca="1" si="1"/>
        <v>45468</v>
      </c>
      <c r="Y58">
        <f t="shared" ca="1" si="2"/>
        <v>0</v>
      </c>
      <c r="AA58" s="63">
        <f t="shared" ca="1" si="4"/>
        <v>47.945314831189904</v>
      </c>
      <c r="AB58" s="63">
        <f t="shared" ca="1" si="5"/>
        <v>47.945314831189904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45469</v>
      </c>
      <c r="K59">
        <f ca="1"/>
        <v>47.754927355544709</v>
      </c>
      <c r="L59">
        <f ca="1"/>
        <v>0.15863706122497678</v>
      </c>
      <c r="M59">
        <f ca="1"/>
        <v>0.15372194399740025</v>
      </c>
      <c r="N59">
        <f ca="1"/>
        <v>0.59122763328126904</v>
      </c>
      <c r="O59">
        <f ca="1"/>
        <v>0</v>
      </c>
      <c r="P59">
        <f ca="1"/>
        <v>6.8930394107667743</v>
      </c>
      <c r="Q59">
        <f ca="1"/>
        <v>4.4262654005842981</v>
      </c>
      <c r="R59">
        <f ca="1"/>
        <v>0.54966613486628513</v>
      </c>
      <c r="S59">
        <f ca="1"/>
        <v>1</v>
      </c>
      <c r="T59">
        <f ca="1"/>
        <v>2.0900000000000034</v>
      </c>
      <c r="U59">
        <f ca="1"/>
        <v>0</v>
      </c>
      <c r="V59">
        <f ca="1"/>
        <v>6.4955132441804231E-2</v>
      </c>
      <c r="X59" s="2">
        <f t="shared" ca="1" si="1"/>
        <v>45469</v>
      </c>
      <c r="Y59">
        <f t="shared" ca="1" si="2"/>
        <v>0</v>
      </c>
      <c r="AA59" s="63">
        <f t="shared" ca="1" si="4"/>
        <v>48.463230551635966</v>
      </c>
      <c r="AB59" s="63">
        <f t="shared" ca="1" si="5"/>
        <v>48.463230551635974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45470</v>
      </c>
      <c r="K60">
        <f ca="1"/>
        <v>48.338918157822725</v>
      </c>
      <c r="L60">
        <f ca="1"/>
        <v>0.16361894017486911</v>
      </c>
      <c r="M60">
        <f ca="1"/>
        <v>0.15211831121600916</v>
      </c>
      <c r="N60">
        <f ca="1"/>
        <v>0.59549143123687776</v>
      </c>
      <c r="O60">
        <f ca="1"/>
        <v>0</v>
      </c>
      <c r="P60">
        <f ca="1"/>
        <v>7.0566583509416434</v>
      </c>
      <c r="Q60">
        <f ca="1"/>
        <v>4.5313309327275029</v>
      </c>
      <c r="R60">
        <f ca="1"/>
        <v>0</v>
      </c>
      <c r="S60">
        <f ca="1"/>
        <v>0.99942028985507236</v>
      </c>
      <c r="T60">
        <f ca="1"/>
        <v>0</v>
      </c>
      <c r="U60">
        <f ca="1"/>
        <v>0</v>
      </c>
      <c r="V60">
        <f ca="1"/>
        <v>6.8674422070750599E-2</v>
      </c>
      <c r="X60" s="2">
        <f t="shared" ca="1" si="1"/>
        <v>45470</v>
      </c>
      <c r="Y60">
        <f t="shared" ca="1" si="2"/>
        <v>0</v>
      </c>
      <c r="AA60" s="63">
        <f t="shared" ca="1" si="4"/>
        <v>48.502537097997596</v>
      </c>
      <c r="AB60" s="63">
        <f t="shared" ca="1" si="5"/>
        <v>48.502537097997596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45471</v>
      </c>
      <c r="K61">
        <f ca="1"/>
        <v>48.692636348878302</v>
      </c>
      <c r="L61">
        <f ca="1"/>
        <v>0.16494270963614976</v>
      </c>
      <c r="M61">
        <f ca="1"/>
        <v>0.14841782869674347</v>
      </c>
      <c r="N61">
        <f ca="1"/>
        <v>0.58758865987009357</v>
      </c>
      <c r="O61">
        <f ca="1"/>
        <v>0</v>
      </c>
      <c r="P61">
        <f ca="1"/>
        <v>7.2216010605777932</v>
      </c>
      <c r="Q61">
        <f ca="1"/>
        <v>4.6372465042532856</v>
      </c>
      <c r="R61">
        <f ca="1"/>
        <v>0.21734558787510616</v>
      </c>
      <c r="S61">
        <f ca="1"/>
        <v>1</v>
      </c>
      <c r="T61">
        <f ca="1"/>
        <v>0.81050002671382515</v>
      </c>
      <c r="U61">
        <f ca="1"/>
        <v>0</v>
      </c>
      <c r="V61">
        <f ca="1"/>
        <v>7.253109530361701E-2</v>
      </c>
      <c r="X61" s="2">
        <f t="shared" ca="1" si="1"/>
        <v>45471</v>
      </c>
      <c r="Y61">
        <f t="shared" ca="1" si="2"/>
        <v>0</v>
      </c>
      <c r="AA61" s="63">
        <f t="shared" ca="1" si="4"/>
        <v>49.074924646389562</v>
      </c>
      <c r="AB61" s="63">
        <f t="shared" ca="1" si="5"/>
        <v>49.074924646389562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45472</v>
      </c>
      <c r="K62">
        <f ca="1"/>
        <v>48.77837136253649</v>
      </c>
      <c r="L62">
        <f ca="1"/>
        <v>0.16520148934490209</v>
      </c>
      <c r="M62">
        <f ca="1"/>
        <v>0.14428832023656213</v>
      </c>
      <c r="N62">
        <f ca="1"/>
        <v>0.57675857343444648</v>
      </c>
      <c r="O62">
        <f ca="1"/>
        <v>0</v>
      </c>
      <c r="P62">
        <f ca="1"/>
        <v>7.3868025499226952</v>
      </c>
      <c r="Q62">
        <f ca="1"/>
        <v>4.7433282474201945</v>
      </c>
      <c r="R62">
        <f ca="1"/>
        <v>0.47011039066792026</v>
      </c>
      <c r="S62">
        <f ca="1"/>
        <v>1</v>
      </c>
      <c r="T62">
        <f ca="1"/>
        <v>1.7499999999999858</v>
      </c>
      <c r="U62">
        <f ca="1"/>
        <v>0</v>
      </c>
      <c r="V62">
        <f ca="1"/>
        <v>7.6500668342742745E-2</v>
      </c>
      <c r="X62" s="2">
        <f t="shared" ca="1" si="1"/>
        <v>45472</v>
      </c>
      <c r="Y62">
        <f t="shared" ca="1" si="2"/>
        <v>0</v>
      </c>
      <c r="AA62" s="63">
        <f t="shared" ca="1" si="4"/>
        <v>49.413683242549311</v>
      </c>
      <c r="AB62" s="63">
        <f t="shared" ca="1" si="5"/>
        <v>49.413683242549311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45473</v>
      </c>
      <c r="K63">
        <f ca="1"/>
        <v>48.98668176626056</v>
      </c>
      <c r="L63">
        <f ca="1"/>
        <v>0.17471826748434882</v>
      </c>
      <c r="M63">
        <f ca="1"/>
        <v>0.14486936147008045</v>
      </c>
      <c r="N63">
        <f ca="1"/>
        <v>0.59427118762176234</v>
      </c>
      <c r="O63">
        <f ca="1"/>
        <v>0</v>
      </c>
      <c r="P63">
        <f ca="1"/>
        <v>7.5615208174070441</v>
      </c>
      <c r="Q63">
        <f ca="1"/>
        <v>4.8555210518031267</v>
      </c>
      <c r="R63">
        <f ca="1"/>
        <v>0.35611187788342274</v>
      </c>
      <c r="S63">
        <f ca="1"/>
        <v>1</v>
      </c>
      <c r="T63">
        <f ca="1"/>
        <v>1.3199999999999932</v>
      </c>
      <c r="U63">
        <f ca="1"/>
        <v>0</v>
      </c>
      <c r="V63">
        <f ca="1"/>
        <v>8.0813876331918583E-2</v>
      </c>
      <c r="X63" s="2">
        <f t="shared" ca="1" si="1"/>
        <v>45473</v>
      </c>
      <c r="Y63">
        <f t="shared" ca="1" si="2"/>
        <v>0</v>
      </c>
      <c r="AA63" s="63">
        <f t="shared" ca="1" si="4"/>
        <v>49.517511911628333</v>
      </c>
      <c r="AB63" s="63">
        <f t="shared" ca="1" si="5"/>
        <v>49.517511911628333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45474</v>
      </c>
      <c r="K64">
        <f ca="1"/>
        <v>49.515826023620484</v>
      </c>
      <c r="L64">
        <f ca="1"/>
        <v>0.16668431897348679</v>
      </c>
      <c r="M64">
        <f ca="1"/>
        <v>0.13683175430262473</v>
      </c>
      <c r="N64">
        <f ca="1"/>
        <v>0.55899682203078382</v>
      </c>
      <c r="O64">
        <f ca="1"/>
        <v>0</v>
      </c>
      <c r="P64">
        <f ca="1"/>
        <v>7.7282051363805309</v>
      </c>
      <c r="Q64">
        <f ca="1"/>
        <v>4.9625549725347984</v>
      </c>
      <c r="R64">
        <f ca="1"/>
        <v>0</v>
      </c>
      <c r="S64">
        <f ca="1"/>
        <v>0.99739130434782597</v>
      </c>
      <c r="T64">
        <f ca="1"/>
        <v>0</v>
      </c>
      <c r="U64">
        <f ca="1"/>
        <v>0</v>
      </c>
      <c r="V64">
        <f ca="1"/>
        <v>8.5037441556860147E-2</v>
      </c>
      <c r="X64" s="2">
        <f t="shared" ca="1" si="1"/>
        <v>45474</v>
      </c>
      <c r="Y64">
        <f t="shared" ca="1" si="2"/>
        <v>0</v>
      </c>
      <c r="AA64" s="63">
        <f t="shared" ca="1" si="4"/>
        <v>49.682510342593972</v>
      </c>
      <c r="AB64" s="63">
        <f t="shared" ca="1" si="5"/>
        <v>49.682510342593972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45475</v>
      </c>
      <c r="K65">
        <f ca="1"/>
        <v>49.387629727809234</v>
      </c>
      <c r="L65">
        <f ca="1"/>
        <v>0.18284385920004453</v>
      </c>
      <c r="M65">
        <f ca="1"/>
        <v>0.14031585538977787</v>
      </c>
      <c r="N65">
        <f ca="1"/>
        <v>0.59488110778745396</v>
      </c>
      <c r="O65">
        <f ca="1"/>
        <v>0</v>
      </c>
      <c r="P65">
        <f ca="1"/>
        <v>7.9110489955805754</v>
      </c>
      <c r="Q65">
        <f ca="1"/>
        <v>5.0799655079253743</v>
      </c>
      <c r="R65">
        <f ca="1"/>
        <v>0.68054939978843876</v>
      </c>
      <c r="S65">
        <f ca="1"/>
        <v>1</v>
      </c>
      <c r="T65">
        <f ca="1"/>
        <v>2.5021132685825904</v>
      </c>
      <c r="U65">
        <f ca="1"/>
        <v>0</v>
      </c>
      <c r="V65">
        <f ca="1"/>
        <v>8.9790685390553418E-2</v>
      </c>
      <c r="X65" s="2">
        <f t="shared" ca="1" si="1"/>
        <v>45475</v>
      </c>
      <c r="Y65">
        <f t="shared" ca="1" si="2"/>
        <v>0</v>
      </c>
      <c r="AA65" s="63">
        <f t="shared" ca="1" si="4"/>
        <v>50.251022986797715</v>
      </c>
      <c r="AB65" s="63">
        <f t="shared" ca="1" si="5"/>
        <v>50.251022986797715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45476</v>
      </c>
      <c r="K66">
        <f ca="1"/>
        <v>49.922211426564445</v>
      </c>
      <c r="L66">
        <f ca="1"/>
        <v>0.18215496847543378</v>
      </c>
      <c r="M66">
        <f ca="1"/>
        <v>0.13578185327784986</v>
      </c>
      <c r="N66">
        <f ca="1"/>
        <v>0.58095481395279547</v>
      </c>
      <c r="O66">
        <f ca="1"/>
        <v>0</v>
      </c>
      <c r="P66">
        <f ca="1"/>
        <v>8.0932039640560092</v>
      </c>
      <c r="Q66">
        <f ca="1"/>
        <v>5.1969336821168595</v>
      </c>
      <c r="R66">
        <f ca="1"/>
        <v>0</v>
      </c>
      <c r="S66">
        <f ca="1"/>
        <v>0.99797101449275383</v>
      </c>
      <c r="T66">
        <f ca="1"/>
        <v>0</v>
      </c>
      <c r="U66">
        <f ca="1"/>
        <v>0</v>
      </c>
      <c r="V66">
        <f ca="1"/>
        <v>9.4648984603944955E-2</v>
      </c>
      <c r="X66" s="2">
        <f t="shared" ca="1" si="1"/>
        <v>45476</v>
      </c>
      <c r="Y66">
        <f t="shared" ca="1" si="2"/>
        <v>0</v>
      </c>
      <c r="AA66" s="63">
        <f t="shared" ca="1" si="4"/>
        <v>50.104366395039875</v>
      </c>
      <c r="AB66" s="63">
        <f t="shared" ca="1" si="5"/>
        <v>50.104366395039875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45477</v>
      </c>
      <c r="K67">
        <f ca="1"/>
        <v>50.489760241270588</v>
      </c>
      <c r="L67">
        <f ca="1"/>
        <v>0.20380133793423205</v>
      </c>
      <c r="M67">
        <f ca="1"/>
        <v>0.14103456881232823</v>
      </c>
      <c r="N67">
        <f ca="1"/>
        <v>0.63031558382804642</v>
      </c>
      <c r="O67">
        <f ca="1"/>
        <v>0</v>
      </c>
      <c r="P67">
        <f ca="1"/>
        <v>8.2970053019902412</v>
      </c>
      <c r="Q67">
        <f ca="1"/>
        <v>5.3278017588729636</v>
      </c>
      <c r="R67">
        <f ca="1"/>
        <v>0</v>
      </c>
      <c r="S67">
        <f ca="1"/>
        <v>0.98538798343636191</v>
      </c>
      <c r="T67">
        <f ca="1"/>
        <v>0</v>
      </c>
      <c r="U67">
        <f ca="1"/>
        <v>0</v>
      </c>
      <c r="V67">
        <f ca="1"/>
        <v>0.10022724213216931</v>
      </c>
      <c r="X67" s="2">
        <f t="shared" ca="1" si="1"/>
        <v>45477</v>
      </c>
      <c r="Y67">
        <f t="shared" ca="1" si="2"/>
        <v>0</v>
      </c>
      <c r="AA67" s="63">
        <f t="shared" ca="1" si="4"/>
        <v>50.693561579204818</v>
      </c>
      <c r="AB67" s="63">
        <f t="shared" ca="1" si="5"/>
        <v>50.693561579204818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45478</v>
      </c>
      <c r="K68">
        <f ca="1"/>
        <v>50.942433472941595</v>
      </c>
      <c r="L68">
        <f ca="1"/>
        <v>0.20253058615040942</v>
      </c>
      <c r="M68">
        <f ca="1"/>
        <v>0.13584836111932397</v>
      </c>
      <c r="N68">
        <f ca="1"/>
        <v>0.61274453905525339</v>
      </c>
      <c r="O68">
        <f ca="1"/>
        <v>0</v>
      </c>
      <c r="P68">
        <f ca="1"/>
        <v>8.4995358881406506</v>
      </c>
      <c r="Q68">
        <f ca="1"/>
        <v>5.4578538407800208</v>
      </c>
      <c r="R68">
        <f ca="1"/>
        <v>9.3389082353160138E-2</v>
      </c>
      <c r="S68">
        <f ca="1"/>
        <v>1</v>
      </c>
      <c r="T68">
        <f ca="1"/>
        <v>0.3328755639126797</v>
      </c>
      <c r="U68">
        <f ca="1"/>
        <v>0</v>
      </c>
      <c r="V68">
        <f ca="1"/>
        <v>0.10591663452976342</v>
      </c>
      <c r="X68" s="2">
        <f t="shared" ca="1" si="1"/>
        <v>45478</v>
      </c>
      <c r="Y68">
        <f t="shared" ca="1" si="2"/>
        <v>0</v>
      </c>
      <c r="AA68" s="63">
        <f t="shared" ca="1" si="4"/>
        <v>51.238353141445167</v>
      </c>
      <c r="AB68" s="63">
        <f t="shared" ca="1" si="5"/>
        <v>51.238353141445167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45479</v>
      </c>
      <c r="K69">
        <f ca="1"/>
        <v>50.463049941144028</v>
      </c>
      <c r="L69">
        <f ca="1"/>
        <v>0.21979934216925834</v>
      </c>
      <c r="M69">
        <f ca="1"/>
        <v>0.13844893594546903</v>
      </c>
      <c r="N69">
        <f ca="1"/>
        <v>0.64691768248284565</v>
      </c>
      <c r="O69">
        <f ca="1"/>
        <v>0</v>
      </c>
      <c r="P69">
        <f ca="1"/>
        <v>8.719335230309909</v>
      </c>
      <c r="Q69">
        <f ca="1"/>
        <v>5.598994804198183</v>
      </c>
      <c r="R69">
        <f ca="1"/>
        <v>1.0449508080566186</v>
      </c>
      <c r="S69">
        <f ca="1"/>
        <v>1</v>
      </c>
      <c r="T69">
        <f ca="1"/>
        <v>3.7600000000000051</v>
      </c>
      <c r="U69">
        <f ca="1"/>
        <v>0</v>
      </c>
      <c r="V69">
        <f ca="1"/>
        <v>0.11225151314708727</v>
      </c>
      <c r="X69" s="2">
        <f t="shared" ca="1" si="1"/>
        <v>45479</v>
      </c>
      <c r="Y69">
        <f t="shared" ca="1" si="2"/>
        <v>0</v>
      </c>
      <c r="AA69" s="63">
        <f t="shared" ca="1" si="4"/>
        <v>51.727800091369907</v>
      </c>
      <c r="AB69" s="63">
        <f t="shared" ca="1" si="5"/>
        <v>51.727800091369907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45480</v>
      </c>
      <c r="K70">
        <f ca="1"/>
        <v>50.222772792095448</v>
      </c>
      <c r="L70">
        <f ca="1"/>
        <v>0.19870360899789219</v>
      </c>
      <c r="M70">
        <f ca="1"/>
        <v>0.12569279011022871</v>
      </c>
      <c r="N70">
        <f ca="1"/>
        <v>0.57675857343444648</v>
      </c>
      <c r="O70">
        <f ca="1"/>
        <v>0</v>
      </c>
      <c r="P70">
        <f ca="1"/>
        <v>8.9180388393078012</v>
      </c>
      <c r="Q70">
        <f ca="1"/>
        <v>5.7265894481668234</v>
      </c>
      <c r="R70">
        <f ca="1"/>
        <v>0.74402490359536511</v>
      </c>
      <c r="S70">
        <f ca="1"/>
        <v>1</v>
      </c>
      <c r="T70">
        <f ca="1"/>
        <v>2.6900000000000119</v>
      </c>
      <c r="U70">
        <f ca="1"/>
        <v>0</v>
      </c>
      <c r="V70">
        <f ca="1"/>
        <v>0.11811810140069604</v>
      </c>
      <c r="X70" s="2">
        <f t="shared" ca="1" si="1"/>
        <v>45480</v>
      </c>
      <c r="Y70">
        <f t="shared" ca="1" si="2"/>
        <v>0</v>
      </c>
      <c r="AA70" s="63">
        <f t="shared" ca="1" si="4"/>
        <v>51.165501304688703</v>
      </c>
      <c r="AB70" s="63">
        <f t="shared" ca="1" si="5"/>
        <v>51.165501304688711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45481</v>
      </c>
      <c r="K71">
        <f ca="1"/>
        <v>49.801480460051927</v>
      </c>
      <c r="L71">
        <f ca="1"/>
        <v>0.19422466036556685</v>
      </c>
      <c r="M71">
        <f ca="1"/>
        <v>0.12037332549371094</v>
      </c>
      <c r="N71">
        <f ca="1"/>
        <v>0.55490408791756807</v>
      </c>
      <c r="O71">
        <f ca="1"/>
        <v>0</v>
      </c>
      <c r="P71">
        <f ca="1"/>
        <v>9.112263499673368</v>
      </c>
      <c r="Q71">
        <f ca="1"/>
        <v>5.8513080001561724</v>
      </c>
      <c r="R71">
        <f ca="1"/>
        <v>0.90234508508923239</v>
      </c>
      <c r="S71">
        <f ca="1"/>
        <v>1</v>
      </c>
      <c r="T71">
        <f ca="1"/>
        <v>3.2900000000000063</v>
      </c>
      <c r="U71">
        <f ca="1"/>
        <v>0</v>
      </c>
      <c r="V71">
        <f ca="1"/>
        <v>0.12397690233579703</v>
      </c>
      <c r="X71" s="2">
        <f t="shared" ca="1" si="1"/>
        <v>45481</v>
      </c>
      <c r="Y71">
        <f t="shared" ca="1" si="2"/>
        <v>0</v>
      </c>
      <c r="AA71" s="63">
        <f t="shared" ca="1" si="4"/>
        <v>50.898050205506728</v>
      </c>
      <c r="AB71" s="63">
        <f t="shared" ca="1" si="5"/>
        <v>50.898050205506728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45482</v>
      </c>
      <c r="K72">
        <f ca="1"/>
        <v>49.946838010843095</v>
      </c>
      <c r="L72">
        <f ca="1"/>
        <v>0.20032166274969576</v>
      </c>
      <c r="M72">
        <f ca="1"/>
        <v>0.11893026894439274</v>
      </c>
      <c r="N72">
        <f ca="1"/>
        <v>0.55958309122524053</v>
      </c>
      <c r="O72">
        <f ca="1"/>
        <v>0</v>
      </c>
      <c r="P72">
        <f ca="1"/>
        <v>9.3125851624230638</v>
      </c>
      <c r="Q72">
        <f ca="1"/>
        <v>5.9799416539013581</v>
      </c>
      <c r="R72">
        <f ca="1"/>
        <v>0.33283414662877592</v>
      </c>
      <c r="S72">
        <f ca="1"/>
        <v>1</v>
      </c>
      <c r="T72">
        <f ca="1"/>
        <v>1.2099999999999937</v>
      </c>
      <c r="U72">
        <f ca="1"/>
        <v>0</v>
      </c>
      <c r="V72">
        <f ca="1"/>
        <v>0.13014455601558722</v>
      </c>
      <c r="X72" s="2">
        <f t="shared" ca="1" si="1"/>
        <v>45482</v>
      </c>
      <c r="Y72">
        <f t="shared" ca="1" si="2"/>
        <v>0</v>
      </c>
      <c r="AA72" s="63">
        <f t="shared" ca="1" si="4"/>
        <v>50.479993820221559</v>
      </c>
      <c r="AB72" s="63">
        <f t="shared" ca="1" si="5"/>
        <v>50.479993820221566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45483</v>
      </c>
      <c r="K73">
        <f ca="1"/>
        <v>49.424654436868941</v>
      </c>
      <c r="L73">
        <f ca="1"/>
        <v>0.19935178429837208</v>
      </c>
      <c r="M73">
        <f ca="1"/>
        <v>0.11515459401860362</v>
      </c>
      <c r="N73">
        <f ca="1"/>
        <v>0.54735498794846438</v>
      </c>
      <c r="O73">
        <f ca="1"/>
        <v>0</v>
      </c>
      <c r="P73">
        <f ca="1"/>
        <v>9.5119369467214359</v>
      </c>
      <c r="Q73">
        <f ca="1"/>
        <v>6.1079525142493161</v>
      </c>
      <c r="R73">
        <f ca="1"/>
        <v>0.98534137164285507</v>
      </c>
      <c r="S73">
        <f ca="1"/>
        <v>1</v>
      </c>
      <c r="T73">
        <f ca="1"/>
        <v>3.6200000000000045</v>
      </c>
      <c r="U73">
        <f ca="1"/>
        <v>0</v>
      </c>
      <c r="V73">
        <f ca="1"/>
        <v>0.1364041533561928</v>
      </c>
      <c r="X73" s="2">
        <f t="shared" ca="1" si="1"/>
        <v>45483</v>
      </c>
      <c r="Y73">
        <f t="shared" ca="1" si="2"/>
        <v>0</v>
      </c>
      <c r="AA73" s="63">
        <f t="shared" ca="1" si="4"/>
        <v>50.609347592810167</v>
      </c>
      <c r="AB73" s="63">
        <f t="shared" ca="1" si="5"/>
        <v>50.609347592810167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45484</v>
      </c>
      <c r="K74">
        <f ca="1"/>
        <v>49.725683727572175</v>
      </c>
      <c r="L74">
        <f ca="1"/>
        <v>0.21222578957656602</v>
      </c>
      <c r="M74">
        <f ca="1"/>
        <v>0.11580218450628443</v>
      </c>
      <c r="N74">
        <f ca="1"/>
        <v>0.56724088253026428</v>
      </c>
      <c r="O74">
        <f ca="1"/>
        <v>0</v>
      </c>
      <c r="P74">
        <f ca="1"/>
        <v>9.7241627362980019</v>
      </c>
      <c r="Q74">
        <f ca="1"/>
        <v>6.2442302305854733</v>
      </c>
      <c r="R74">
        <f ca="1"/>
        <v>0.16978798675675491</v>
      </c>
      <c r="S74">
        <f ca="1"/>
        <v>1</v>
      </c>
      <c r="T74">
        <f ca="1"/>
        <v>0.62000000000000455</v>
      </c>
      <c r="U74">
        <f ca="1"/>
        <v>0</v>
      </c>
      <c r="V74">
        <f ca="1"/>
        <v>0.14319668087273935</v>
      </c>
      <c r="X74" s="2">
        <f t="shared" ca="1" si="1"/>
        <v>45484</v>
      </c>
      <c r="Y74">
        <f t="shared" ca="1" si="2"/>
        <v>0</v>
      </c>
      <c r="AA74" s="63">
        <f t="shared" ca="1" si="4"/>
        <v>50.107697503905491</v>
      </c>
      <c r="AB74" s="63">
        <f t="shared" ca="1" si="5"/>
        <v>50.107697503905491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45485</v>
      </c>
      <c r="K75">
        <f ca="1"/>
        <v>49.044121174365813</v>
      </c>
      <c r="L75">
        <f ca="1"/>
        <v>0.2095134441522557</v>
      </c>
      <c r="M75">
        <f ca="1"/>
        <v>0.11153189121502294</v>
      </c>
      <c r="N75">
        <f ca="1"/>
        <v>0.55083084602490195</v>
      </c>
      <c r="O75">
        <f ca="1"/>
        <v>0</v>
      </c>
      <c r="P75">
        <f ca="1"/>
        <v>9.9336761804502576</v>
      </c>
      <c r="Q75">
        <f ca="1"/>
        <v>6.3787662536002072</v>
      </c>
      <c r="R75">
        <f ca="1"/>
        <v>1.1344118462940276</v>
      </c>
      <c r="S75">
        <f ca="1"/>
        <v>1</v>
      </c>
      <c r="T75">
        <f ca="1"/>
        <v>4.2000000000000028</v>
      </c>
      <c r="U75">
        <f ca="1"/>
        <v>0</v>
      </c>
      <c r="V75">
        <f ca="1"/>
        <v>0.15002744692867531</v>
      </c>
      <c r="X75" s="2">
        <f t="shared" ref="X75:X138" ca="1" si="8">IFERROR(J75,$X$9)</f>
        <v>45485</v>
      </c>
      <c r="Y75">
        <f t="shared" ref="Y75:Y138" ca="1" si="9">IFERROR(O75,0)</f>
        <v>0</v>
      </c>
      <c r="AA75" s="63">
        <f t="shared" ca="1" si="4"/>
        <v>50.388046464812099</v>
      </c>
      <c r="AB75" s="63">
        <f t="shared" ca="1" si="5"/>
        <v>50.388046464812099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45486</v>
      </c>
      <c r="K76">
        <f ca="1"/>
        <v>48.582362909523404</v>
      </c>
      <c r="L76">
        <f ca="1"/>
        <v>0.20937196401118463</v>
      </c>
      <c r="M76">
        <f ca="1"/>
        <v>0.10825453232423854</v>
      </c>
      <c r="N76">
        <f ca="1"/>
        <v>0.54101965875664937</v>
      </c>
      <c r="O76">
        <f ca="1"/>
        <v>0</v>
      </c>
      <c r="P76">
        <f ca="1"/>
        <v>10.143048144461442</v>
      </c>
      <c r="Q76">
        <f ca="1"/>
        <v>6.5132114271919237</v>
      </c>
      <c r="R76">
        <f ca="1"/>
        <v>0.90166049191211239</v>
      </c>
      <c r="S76">
        <f ca="1"/>
        <v>1</v>
      </c>
      <c r="T76">
        <f ca="1"/>
        <v>3.3700000000000045</v>
      </c>
      <c r="U76">
        <f ca="1"/>
        <v>0</v>
      </c>
      <c r="V76">
        <f ca="1"/>
        <v>0.1569724002033023</v>
      </c>
      <c r="X76" s="2">
        <f t="shared" ca="1" si="8"/>
        <v>45486</v>
      </c>
      <c r="Y76">
        <f t="shared" ca="1" si="9"/>
        <v>0</v>
      </c>
      <c r="AA76" s="63">
        <f t="shared" ca="1" si="4"/>
        <v>49.693395365446698</v>
      </c>
      <c r="AB76" s="63">
        <f t="shared" ca="1" si="5"/>
        <v>49.693395365446698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45487</v>
      </c>
      <c r="K77">
        <f ca="1"/>
        <v>48.760455183684201</v>
      </c>
      <c r="L77">
        <f ca="1"/>
        <v>0.23931956234311436</v>
      </c>
      <c r="M77">
        <f ca="1"/>
        <v>0.11340261395623408</v>
      </c>
      <c r="N77">
        <f ca="1"/>
        <v>0.59671328830249049</v>
      </c>
      <c r="O77">
        <f ca="1"/>
        <v>0</v>
      </c>
      <c r="P77">
        <f ca="1"/>
        <v>10.382367706804557</v>
      </c>
      <c r="Q77">
        <f ca="1"/>
        <v>6.6668870172121579</v>
      </c>
      <c r="R77">
        <f ca="1"/>
        <v>0.29270406575480862</v>
      </c>
      <c r="S77">
        <f ca="1"/>
        <v>1</v>
      </c>
      <c r="T77">
        <f ca="1"/>
        <v>1.0899999999999892</v>
      </c>
      <c r="U77">
        <f ca="1"/>
        <v>0</v>
      </c>
      <c r="V77">
        <f ca="1"/>
        <v>0.16504921700970102</v>
      </c>
      <c r="X77" s="2">
        <f t="shared" ca="1" si="8"/>
        <v>45487</v>
      </c>
      <c r="Y77">
        <f t="shared" ca="1" si="9"/>
        <v>0</v>
      </c>
      <c r="AA77" s="63">
        <f t="shared" ref="AA77:AA140" ca="1" si="11">K76+M77+N77+O77</f>
        <v>49.292478811782125</v>
      </c>
      <c r="AB77" s="63">
        <f t="shared" ref="AB77:AB140" ca="1" si="12">K77+L77+R77</f>
        <v>49.292478811782125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45488</v>
      </c>
      <c r="K78">
        <f ca="1"/>
        <v>47.832677666545649</v>
      </c>
      <c r="L78">
        <f ca="1"/>
        <v>0.24481580890298815</v>
      </c>
      <c r="M78">
        <f ca="1"/>
        <v>0.11121608273957939</v>
      </c>
      <c r="N78">
        <f ca="1"/>
        <v>0.59671328830249049</v>
      </c>
      <c r="O78">
        <f ca="1"/>
        <v>0</v>
      </c>
      <c r="P78">
        <f ca="1"/>
        <v>10.627183515707545</v>
      </c>
      <c r="Q78">
        <f ca="1"/>
        <v>6.8240919423386206</v>
      </c>
      <c r="R78">
        <f ca="1"/>
        <v>1.390891079277637</v>
      </c>
      <c r="S78">
        <f ca="1"/>
        <v>1</v>
      </c>
      <c r="T78">
        <f ca="1"/>
        <v>5.2799999999999869</v>
      </c>
      <c r="U78">
        <f ca="1"/>
        <v>0</v>
      </c>
      <c r="V78">
        <f ca="1"/>
        <v>0.17345610858445357</v>
      </c>
      <c r="X78" s="2">
        <f t="shared" ca="1" si="8"/>
        <v>45488</v>
      </c>
      <c r="Y78">
        <f t="shared" ca="1" si="9"/>
        <v>0</v>
      </c>
      <c r="AA78" s="63">
        <f t="shared" ca="1" si="11"/>
        <v>49.468384554726271</v>
      </c>
      <c r="AB78" s="63">
        <f t="shared" ca="1" si="12"/>
        <v>49.468384554726271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45489</v>
      </c>
      <c r="K79">
        <f ca="1"/>
        <v>47.363746880933626</v>
      </c>
      <c r="L79">
        <f ca="1"/>
        <v>0.27131895842230058</v>
      </c>
      <c r="M79">
        <f ca="1"/>
        <v>0.11465586133452987</v>
      </c>
      <c r="N79">
        <f ca="1"/>
        <v>0.64242070512796057</v>
      </c>
      <c r="O79">
        <f ca="1"/>
        <v>0</v>
      </c>
      <c r="P79">
        <f ca="1"/>
        <v>10.898502474129845</v>
      </c>
      <c r="Q79">
        <f ca="1"/>
        <v>6.998315480987098</v>
      </c>
      <c r="R79">
        <f ca="1"/>
        <v>0.95468839365220914</v>
      </c>
      <c r="S79">
        <f ca="1"/>
        <v>1</v>
      </c>
      <c r="T79">
        <f ca="1"/>
        <v>3.6599999999999966</v>
      </c>
      <c r="U79">
        <f ca="1"/>
        <v>0</v>
      </c>
      <c r="V79">
        <f ca="1"/>
        <v>0.18293307171369416</v>
      </c>
      <c r="X79" s="2">
        <f t="shared" ca="1" si="8"/>
        <v>45489</v>
      </c>
      <c r="Y79">
        <f t="shared" ca="1" si="9"/>
        <v>0</v>
      </c>
      <c r="AA79" s="63">
        <f t="shared" ca="1" si="11"/>
        <v>48.589754233008136</v>
      </c>
      <c r="AB79" s="63">
        <f t="shared" ca="1" si="12"/>
        <v>48.589754233008136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45490</v>
      </c>
      <c r="K80">
        <f ca="1"/>
        <v>47.789175793466924</v>
      </c>
      <c r="L80">
        <f ca="1"/>
        <v>0.25635289746119128</v>
      </c>
      <c r="M80">
        <f ca="1"/>
        <v>0.10673459316468836</v>
      </c>
      <c r="N80">
        <f ca="1"/>
        <v>0.59610215804894884</v>
      </c>
      <c r="O80">
        <f ca="1"/>
        <v>0</v>
      </c>
      <c r="P80">
        <f ca="1"/>
        <v>11.154855371591037</v>
      </c>
      <c r="Q80">
        <f ca="1"/>
        <v>7.1629287803974639</v>
      </c>
      <c r="R80">
        <f ca="1"/>
        <v>2.1054941219150195E-2</v>
      </c>
      <c r="S80">
        <f ca="1"/>
        <v>1</v>
      </c>
      <c r="T80">
        <f ca="1"/>
        <v>7.9999999999998295E-2</v>
      </c>
      <c r="U80">
        <f ca="1"/>
        <v>0</v>
      </c>
      <c r="V80">
        <f ca="1"/>
        <v>0.19203090097222031</v>
      </c>
      <c r="X80" s="2">
        <f t="shared" ca="1" si="8"/>
        <v>45490</v>
      </c>
      <c r="Y80">
        <f t="shared" ca="1" si="9"/>
        <v>0</v>
      </c>
      <c r="AA80" s="63">
        <f t="shared" ca="1" si="11"/>
        <v>48.066583632147264</v>
      </c>
      <c r="AB80" s="63">
        <f t="shared" ca="1" si="12"/>
        <v>48.066583632147264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45491</v>
      </c>
      <c r="K81">
        <f ca="1"/>
        <v>48.182686495659254</v>
      </c>
      <c r="L81">
        <f ca="1"/>
        <v>0.2664056465496536</v>
      </c>
      <c r="M81">
        <f ca="1"/>
        <v>0.1056388641281103</v>
      </c>
      <c r="N81">
        <f ca="1"/>
        <v>0.60469473048323752</v>
      </c>
      <c r="O81">
        <f ca="1"/>
        <v>0</v>
      </c>
      <c r="P81">
        <f ca="1"/>
        <v>11.42126101814069</v>
      </c>
      <c r="Q81">
        <f ca="1"/>
        <v>7.3339973070043429</v>
      </c>
      <c r="R81">
        <f ca="1"/>
        <v>5.0417245869370388E-2</v>
      </c>
      <c r="S81">
        <f ca="1"/>
        <v>1</v>
      </c>
      <c r="T81">
        <f ca="1"/>
        <v>0.18999999999999773</v>
      </c>
      <c r="U81">
        <f ca="1"/>
        <v>0</v>
      </c>
      <c r="V81">
        <f ca="1"/>
        <v>0.2016216896569574</v>
      </c>
      <c r="X81" s="2">
        <f t="shared" ca="1" si="8"/>
        <v>45491</v>
      </c>
      <c r="Y81">
        <f t="shared" ca="1" si="9"/>
        <v>0</v>
      </c>
      <c r="AA81" s="63">
        <f t="shared" ca="1" si="11"/>
        <v>48.499509388078273</v>
      </c>
      <c r="AB81" s="63">
        <f t="shared" ca="1" si="12"/>
        <v>48.49950938807828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45492</v>
      </c>
      <c r="K82">
        <f ca="1"/>
        <v>48.160906509131792</v>
      </c>
      <c r="L82">
        <f ca="1"/>
        <v>0.28823246619618814</v>
      </c>
      <c r="M82">
        <f ca="1"/>
        <v>0.10720531558694724</v>
      </c>
      <c r="N82">
        <f ca="1"/>
        <v>0.6366683242592589</v>
      </c>
      <c r="O82">
        <f ca="1"/>
        <v>0</v>
      </c>
      <c r="P82">
        <f ca="1"/>
        <v>11.709493484336878</v>
      </c>
      <c r="Q82">
        <f ca="1"/>
        <v>7.5190816096497786</v>
      </c>
      <c r="R82">
        <f ca="1"/>
        <v>0.47742116017748348</v>
      </c>
      <c r="S82">
        <f ca="1"/>
        <v>1</v>
      </c>
      <c r="T82">
        <f ca="1"/>
        <v>1.8000000000000114</v>
      </c>
      <c r="U82">
        <f ca="1"/>
        <v>0</v>
      </c>
      <c r="V82">
        <f ca="1"/>
        <v>0.21214081157330128</v>
      </c>
      <c r="X82" s="2">
        <f t="shared" ca="1" si="8"/>
        <v>45492</v>
      </c>
      <c r="Y82">
        <f t="shared" ca="1" si="9"/>
        <v>0</v>
      </c>
      <c r="AA82" s="63">
        <f t="shared" ca="1" si="11"/>
        <v>48.926560135505461</v>
      </c>
      <c r="AB82" s="63">
        <f t="shared" ca="1" si="12"/>
        <v>48.926560135505468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45493</v>
      </c>
      <c r="K83">
        <f ca="1"/>
        <v>47.94717530618982</v>
      </c>
      <c r="L83">
        <f ca="1"/>
        <v>0.30567300254794461</v>
      </c>
      <c r="M83">
        <f ca="1"/>
        <v>0.10736440533261415</v>
      </c>
      <c r="N83">
        <f ca="1"/>
        <v>0.65792250835594379</v>
      </c>
      <c r="O83">
        <f ca="1"/>
        <v>0</v>
      </c>
      <c r="P83">
        <f ca="1"/>
        <v>12.015166486884823</v>
      </c>
      <c r="Q83">
        <f ca="1"/>
        <v>7.7153651000585732</v>
      </c>
      <c r="R83">
        <f ca="1"/>
        <v>0.67334511408257802</v>
      </c>
      <c r="S83">
        <f ca="1"/>
        <v>1</v>
      </c>
      <c r="T83">
        <f ca="1"/>
        <v>2.5499999999999972</v>
      </c>
      <c r="U83">
        <f ca="1"/>
        <v>0</v>
      </c>
      <c r="V83">
        <f ca="1"/>
        <v>0.22344165306039612</v>
      </c>
      <c r="X83" s="2">
        <f t="shared" ca="1" si="8"/>
        <v>45493</v>
      </c>
      <c r="Y83">
        <f t="shared" ca="1" si="9"/>
        <v>0</v>
      </c>
      <c r="AA83" s="63">
        <f t="shared" ca="1" si="11"/>
        <v>48.926193422820354</v>
      </c>
      <c r="AB83" s="63">
        <f t="shared" ca="1" si="12"/>
        <v>48.926193422820347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45494</v>
      </c>
      <c r="K84">
        <f ca="1"/>
        <v>47.463812669241861</v>
      </c>
      <c r="L84">
        <f ca="1"/>
        <v>0.31986305961938832</v>
      </c>
      <c r="M84">
        <f ca="1"/>
        <v>0.10650073442868724</v>
      </c>
      <c r="N84">
        <f ca="1"/>
        <v>0.67102136551119118</v>
      </c>
      <c r="O84">
        <f ca="1"/>
        <v>0</v>
      </c>
      <c r="P84">
        <f ca="1"/>
        <v>12.335029546504211</v>
      </c>
      <c r="Q84">
        <f ca="1"/>
        <v>7.9207605300494253</v>
      </c>
      <c r="R84">
        <f ca="1"/>
        <v>0.94102167726844954</v>
      </c>
      <c r="S84">
        <f ca="1"/>
        <v>1</v>
      </c>
      <c r="T84">
        <f ca="1"/>
        <v>3.6000000000000085</v>
      </c>
      <c r="U84">
        <f ca="1"/>
        <v>0</v>
      </c>
      <c r="V84">
        <f ca="1"/>
        <v>0.23540769011062979</v>
      </c>
      <c r="X84" s="2">
        <f t="shared" ca="1" si="8"/>
        <v>45494</v>
      </c>
      <c r="Y84">
        <f t="shared" ca="1" si="9"/>
        <v>0</v>
      </c>
      <c r="AA84" s="63">
        <f t="shared" ca="1" si="11"/>
        <v>48.7246974061297</v>
      </c>
      <c r="AB84" s="63">
        <f t="shared" ca="1" si="12"/>
        <v>48.7246974061297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45495</v>
      </c>
      <c r="K85">
        <f ca="1"/>
        <v>46.757303733060276</v>
      </c>
      <c r="L85">
        <f ca="1"/>
        <v>0.30824392625004293</v>
      </c>
      <c r="M85">
        <f ca="1"/>
        <v>9.9960390751391515E-2</v>
      </c>
      <c r="N85">
        <f ca="1"/>
        <v>0.63221712232418492</v>
      </c>
      <c r="O85">
        <f ca="1"/>
        <v>0</v>
      </c>
      <c r="P85">
        <f ca="1"/>
        <v>12.643273472754254</v>
      </c>
      <c r="Q85">
        <f ca="1"/>
        <v>8.1186949018694534</v>
      </c>
      <c r="R85">
        <f ca="1"/>
        <v>1.1304425230071184</v>
      </c>
      <c r="S85">
        <f ca="1"/>
        <v>1</v>
      </c>
      <c r="T85">
        <f ca="1"/>
        <v>4.3900000000000006</v>
      </c>
      <c r="U85">
        <f ca="1"/>
        <v>0</v>
      </c>
      <c r="V85">
        <f ca="1"/>
        <v>0.24705595884027459</v>
      </c>
      <c r="X85" s="2">
        <f t="shared" ca="1" si="8"/>
        <v>45495</v>
      </c>
      <c r="Y85">
        <f t="shared" ca="1" si="9"/>
        <v>0</v>
      </c>
      <c r="AA85" s="63">
        <f t="shared" ca="1" si="11"/>
        <v>48.195990182317438</v>
      </c>
      <c r="AB85" s="63">
        <f t="shared" ca="1" si="12"/>
        <v>48.195990182317438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45496</v>
      </c>
      <c r="K86">
        <f ca="1"/>
        <v>46.886539193146348</v>
      </c>
      <c r="L86">
        <f ca="1"/>
        <v>0.31467889908860691</v>
      </c>
      <c r="M86">
        <f ca="1"/>
        <v>9.7636070748595927E-2</v>
      </c>
      <c r="N86">
        <f ca="1"/>
        <v>0.63031558382804642</v>
      </c>
      <c r="O86">
        <f ca="1"/>
        <v>0</v>
      </c>
      <c r="P86">
        <f ca="1"/>
        <v>12.957952371842861</v>
      </c>
      <c r="Q86">
        <f ca="1"/>
        <v>8.3207613982765771</v>
      </c>
      <c r="R86">
        <f ca="1"/>
        <v>0.28403729540195755</v>
      </c>
      <c r="S86">
        <f ca="1"/>
        <v>1</v>
      </c>
      <c r="T86">
        <f ca="1"/>
        <v>1.0999999999999943</v>
      </c>
      <c r="U86">
        <f ca="1"/>
        <v>0</v>
      </c>
      <c r="V86">
        <f ca="1"/>
        <v>0.2590464256605618</v>
      </c>
      <c r="X86" s="2">
        <f t="shared" ca="1" si="8"/>
        <v>45496</v>
      </c>
      <c r="Y86">
        <f t="shared" ca="1" si="9"/>
        <v>0</v>
      </c>
      <c r="AA86" s="63">
        <f t="shared" ca="1" si="11"/>
        <v>47.485255387636919</v>
      </c>
      <c r="AB86" s="63">
        <f t="shared" ca="1" si="12"/>
        <v>47.485255387636911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45497</v>
      </c>
      <c r="K87">
        <f ca="1"/>
        <v>47.274111184423049</v>
      </c>
      <c r="L87">
        <f ca="1"/>
        <v>0.30595387127769058</v>
      </c>
      <c r="M87">
        <f ca="1"/>
        <v>9.2523359512316716E-2</v>
      </c>
      <c r="N87">
        <f ca="1"/>
        <v>0.60100250304207381</v>
      </c>
      <c r="O87">
        <f ca="1"/>
        <v>0</v>
      </c>
      <c r="P87">
        <f ca="1"/>
        <v>13.263906243120552</v>
      </c>
      <c r="Q87">
        <f ca="1"/>
        <v>8.5172252444713283</v>
      </c>
      <c r="R87">
        <f ca="1"/>
        <v>0</v>
      </c>
      <c r="S87">
        <f ca="1"/>
        <v>0.99855072463768124</v>
      </c>
      <c r="T87">
        <f ca="1"/>
        <v>0</v>
      </c>
      <c r="U87">
        <f ca="1"/>
        <v>0</v>
      </c>
      <c r="V87">
        <f ca="1"/>
        <v>0.27078221411278719</v>
      </c>
      <c r="X87" s="2">
        <f t="shared" ca="1" si="8"/>
        <v>45497</v>
      </c>
      <c r="Y87">
        <f t="shared" ca="1" si="9"/>
        <v>0</v>
      </c>
      <c r="AA87" s="63">
        <f t="shared" ca="1" si="11"/>
        <v>47.580065055700736</v>
      </c>
      <c r="AB87" s="63">
        <f t="shared" ca="1" si="12"/>
        <v>47.580065055700743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45498</v>
      </c>
      <c r="K88">
        <f ca="1"/>
        <v>47.647376510415441</v>
      </c>
      <c r="L88">
        <f ca="1"/>
        <v>0.30690704127288271</v>
      </c>
      <c r="M88">
        <f ca="1"/>
        <v>8.9552236109312844E-2</v>
      </c>
      <c r="N88">
        <f ca="1"/>
        <v>0.59062013115596423</v>
      </c>
      <c r="O88">
        <f ca="1"/>
        <v>0</v>
      </c>
      <c r="P88">
        <f ca="1"/>
        <v>13.570813284393434</v>
      </c>
      <c r="Q88">
        <f ca="1"/>
        <v>8.7143011549702578</v>
      </c>
      <c r="R88">
        <f ca="1"/>
        <v>0</v>
      </c>
      <c r="S88">
        <f ca="1"/>
        <v>0.98596191870361538</v>
      </c>
      <c r="T88">
        <f ca="1"/>
        <v>0</v>
      </c>
      <c r="U88">
        <f ca="1"/>
        <v>0</v>
      </c>
      <c r="V88">
        <f ca="1"/>
        <v>0.28261403097310339</v>
      </c>
      <c r="X88" s="2">
        <f t="shared" ca="1" si="8"/>
        <v>45498</v>
      </c>
      <c r="Y88">
        <f t="shared" ca="1" si="9"/>
        <v>0</v>
      </c>
      <c r="AA88" s="63">
        <f t="shared" ca="1" si="11"/>
        <v>47.954283551688327</v>
      </c>
      <c r="AB88" s="63">
        <f t="shared" ca="1" si="12"/>
        <v>47.95428355168832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45499</v>
      </c>
      <c r="K89">
        <f ca="1"/>
        <v>48.030054736349726</v>
      </c>
      <c r="L89">
        <f ca="1"/>
        <v>0.33441605075938341</v>
      </c>
      <c r="M89">
        <f ca="1"/>
        <v>9.1201351912179263E-2</v>
      </c>
      <c r="N89">
        <f ca="1"/>
        <v>0.62589292478149161</v>
      </c>
      <c r="O89">
        <f ca="1"/>
        <v>0</v>
      </c>
      <c r="P89">
        <f ca="1"/>
        <v>13.905229335152818</v>
      </c>
      <c r="Q89">
        <f ca="1"/>
        <v>8.9290415773975909</v>
      </c>
      <c r="R89">
        <f ca="1"/>
        <v>0</v>
      </c>
      <c r="S89">
        <f ca="1"/>
        <v>0.99916591515191211</v>
      </c>
      <c r="T89">
        <f ca="1"/>
        <v>0</v>
      </c>
      <c r="U89">
        <f ca="1"/>
        <v>0</v>
      </c>
      <c r="V89">
        <f ca="1"/>
        <v>0.29555423599539421</v>
      </c>
      <c r="X89" s="2">
        <f t="shared" ca="1" si="8"/>
        <v>45499</v>
      </c>
      <c r="Y89">
        <f t="shared" ca="1" si="9"/>
        <v>0</v>
      </c>
      <c r="AA89" s="63">
        <f t="shared" ca="1" si="11"/>
        <v>48.364470787109106</v>
      </c>
      <c r="AB89" s="63">
        <f t="shared" ca="1" si="12"/>
        <v>48.364470787109113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45500</v>
      </c>
      <c r="K90">
        <f ca="1"/>
        <v>48.392185763624894</v>
      </c>
      <c r="L90">
        <f ca="1"/>
        <v>0.32974247166168347</v>
      </c>
      <c r="M90">
        <f ca="1"/>
        <v>8.717876845361161E-2</v>
      </c>
      <c r="N90">
        <f ca="1"/>
        <v>0.60469473048323752</v>
      </c>
      <c r="O90">
        <f ca="1"/>
        <v>0</v>
      </c>
      <c r="P90">
        <f ca="1"/>
        <v>14.234971806814501</v>
      </c>
      <c r="Q90">
        <f ca="1"/>
        <v>9.1407809287118305</v>
      </c>
      <c r="R90">
        <f ca="1"/>
        <v>0</v>
      </c>
      <c r="S90">
        <f ca="1"/>
        <v>0.99888684562463237</v>
      </c>
      <c r="T90">
        <f ca="1"/>
        <v>0</v>
      </c>
      <c r="U90">
        <f ca="1"/>
        <v>0</v>
      </c>
      <c r="V90">
        <f ca="1"/>
        <v>0.30834224437172297</v>
      </c>
      <c r="X90" s="2">
        <f t="shared" ca="1" si="8"/>
        <v>45500</v>
      </c>
      <c r="Y90">
        <f t="shared" ca="1" si="9"/>
        <v>0</v>
      </c>
      <c r="AA90" s="63">
        <f t="shared" ca="1" si="11"/>
        <v>48.721928235286576</v>
      </c>
      <c r="AB90" s="63">
        <f t="shared" ca="1" si="12"/>
        <v>48.721928235286576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45501</v>
      </c>
      <c r="K91">
        <f ca="1"/>
        <v>48.34067271250629</v>
      </c>
      <c r="L91">
        <f ca="1"/>
        <v>0.33917078091230302</v>
      </c>
      <c r="M91">
        <f ca="1"/>
        <v>8.5626655811694263E-2</v>
      </c>
      <c r="N91">
        <f ca="1"/>
        <v>0.60778271070876377</v>
      </c>
      <c r="O91">
        <f ca="1"/>
        <v>0</v>
      </c>
      <c r="P91">
        <f ca="1"/>
        <v>14.574142587726804</v>
      </c>
      <c r="Q91">
        <f ca="1"/>
        <v>9.3585745322267559</v>
      </c>
      <c r="R91">
        <f ca="1"/>
        <v>0.4057516367267564</v>
      </c>
      <c r="S91">
        <f ca="1"/>
        <v>1</v>
      </c>
      <c r="T91">
        <f ca="1"/>
        <v>1.5240986721063479</v>
      </c>
      <c r="U91">
        <f ca="1"/>
        <v>0</v>
      </c>
      <c r="V91">
        <f ca="1"/>
        <v>0.32150470562423378</v>
      </c>
      <c r="X91" s="2">
        <f t="shared" ca="1" si="8"/>
        <v>45501</v>
      </c>
      <c r="Y91">
        <f t="shared" ca="1" si="9"/>
        <v>0</v>
      </c>
      <c r="AA91" s="63">
        <f t="shared" ca="1" si="11"/>
        <v>49.08559513014535</v>
      </c>
      <c r="AB91" s="63">
        <f t="shared" ca="1" si="12"/>
        <v>49.08559513014535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45502</v>
      </c>
      <c r="K92">
        <f ca="1"/>
        <v>48.613950749964474</v>
      </c>
      <c r="L92">
        <f ca="1"/>
        <v>0.3136016448451393</v>
      </c>
      <c r="M92">
        <f ca="1"/>
        <v>7.8999452797621217E-2</v>
      </c>
      <c r="N92">
        <f ca="1"/>
        <v>0.55607145024914084</v>
      </c>
      <c r="O92">
        <f ca="1"/>
        <v>0</v>
      </c>
      <c r="P92">
        <f ca="1"/>
        <v>14.887744232571944</v>
      </c>
      <c r="Q92">
        <f ca="1"/>
        <v>9.5599492854272388</v>
      </c>
      <c r="R92">
        <f ca="1"/>
        <v>4.8191220743444868E-2</v>
      </c>
      <c r="S92">
        <f ca="1"/>
        <v>1</v>
      </c>
      <c r="T92">
        <f ca="1"/>
        <v>0.18000000000000682</v>
      </c>
      <c r="U92">
        <f ca="1"/>
        <v>0</v>
      </c>
      <c r="V92">
        <f ca="1"/>
        <v>0.33366514644222728</v>
      </c>
      <c r="X92" s="2">
        <f t="shared" ca="1" si="8"/>
        <v>45502</v>
      </c>
      <c r="Y92">
        <f t="shared" ca="1" si="9"/>
        <v>0</v>
      </c>
      <c r="AA92" s="63">
        <f t="shared" ca="1" si="11"/>
        <v>48.97574361555305</v>
      </c>
      <c r="AB92" s="63">
        <f t="shared" ca="1" si="12"/>
        <v>48.975743615553057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45503</v>
      </c>
      <c r="K93">
        <f ca="1"/>
        <v>48.527571992925232</v>
      </c>
      <c r="L93">
        <f ca="1"/>
        <v>0.34263906787494491</v>
      </c>
      <c r="M93">
        <f ca="1"/>
        <v>8.0489886378035891E-2</v>
      </c>
      <c r="N93">
        <f ca="1"/>
        <v>0.59001303175959041</v>
      </c>
      <c r="O93">
        <f ca="1"/>
        <v>0</v>
      </c>
      <c r="P93">
        <f ca="1"/>
        <v>15.230383300446888</v>
      </c>
      <c r="Q93">
        <f ca="1"/>
        <v>9.7799699991713691</v>
      </c>
      <c r="R93">
        <f ca="1"/>
        <v>0.41424260730192619</v>
      </c>
      <c r="S93">
        <f ca="1"/>
        <v>1</v>
      </c>
      <c r="T93">
        <f ca="1"/>
        <v>1.5499999999999972</v>
      </c>
      <c r="U93">
        <f ca="1"/>
        <v>0</v>
      </c>
      <c r="V93">
        <f ca="1"/>
        <v>0.34692209007958913</v>
      </c>
      <c r="X93" s="2">
        <f t="shared" ca="1" si="8"/>
        <v>45503</v>
      </c>
      <c r="Y93">
        <f t="shared" ca="1" si="9"/>
        <v>0</v>
      </c>
      <c r="AA93" s="63">
        <f t="shared" ca="1" si="11"/>
        <v>49.284453668102095</v>
      </c>
      <c r="AB93" s="63">
        <f t="shared" ca="1" si="12"/>
        <v>49.284453668102103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45504</v>
      </c>
      <c r="K94">
        <f ca="1"/>
        <v>47.753656806335265</v>
      </c>
      <c r="L94">
        <f ca="1"/>
        <v>0.41467715679918982</v>
      </c>
      <c r="M94">
        <f ca="1"/>
        <v>8.786307658159842E-2</v>
      </c>
      <c r="N94">
        <f ca="1"/>
        <v>0.69165058796304768</v>
      </c>
      <c r="O94">
        <f ca="1"/>
        <v>0</v>
      </c>
      <c r="P94">
        <f ca="1"/>
        <v>15.645060457246078</v>
      </c>
      <c r="Q94">
        <f ca="1"/>
        <v>10.046248928127724</v>
      </c>
      <c r="R94">
        <f ca="1"/>
        <v>1.1387516943354206</v>
      </c>
      <c r="S94">
        <f ca="1"/>
        <v>1</v>
      </c>
      <c r="T94">
        <f ca="1"/>
        <v>4.3299999999999983</v>
      </c>
      <c r="U94">
        <f ca="1"/>
        <v>0</v>
      </c>
      <c r="V94">
        <f ca="1"/>
        <v>0.36289838612814768</v>
      </c>
      <c r="X94" s="2">
        <f t="shared" ca="1" si="8"/>
        <v>45504</v>
      </c>
      <c r="Y94">
        <f t="shared" ca="1" si="9"/>
        <v>0</v>
      </c>
      <c r="AA94" s="63">
        <f t="shared" ca="1" si="11"/>
        <v>49.307085657469877</v>
      </c>
      <c r="AB94" s="63">
        <f t="shared" ca="1" si="12"/>
        <v>49.307085657469877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45505</v>
      </c>
      <c r="K95">
        <f ca="1"/>
        <v>47.244864194974689</v>
      </c>
      <c r="L95">
        <f ca="1"/>
        <v>0.43634824967059416</v>
      </c>
      <c r="M95">
        <f ca="1"/>
        <v>8.7327879662375096E-2</v>
      </c>
      <c r="N95">
        <f ca="1"/>
        <v>0.70925937656447946</v>
      </c>
      <c r="O95">
        <f ca="1"/>
        <v>0</v>
      </c>
      <c r="P95">
        <f ca="1"/>
        <v>16.081408706916672</v>
      </c>
      <c r="Q95">
        <f ca="1"/>
        <v>10.326443635429944</v>
      </c>
      <c r="R95">
        <f ca="1"/>
        <v>0.86903161791683969</v>
      </c>
      <c r="S95">
        <f ca="1"/>
        <v>1</v>
      </c>
      <c r="T95">
        <f ca="1"/>
        <v>3.3400000000000034</v>
      </c>
      <c r="U95">
        <f ca="1"/>
        <v>0</v>
      </c>
      <c r="V95">
        <f ca="1"/>
        <v>0.37959643177362867</v>
      </c>
      <c r="X95" s="2">
        <f t="shared" ca="1" si="8"/>
        <v>45505</v>
      </c>
      <c r="Y95">
        <f t="shared" ca="1" si="9"/>
        <v>0</v>
      </c>
      <c r="AA95" s="63">
        <f t="shared" ca="1" si="11"/>
        <v>48.550244062562122</v>
      </c>
      <c r="AB95" s="63">
        <f t="shared" ca="1" si="12"/>
        <v>48.550244062562122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45506</v>
      </c>
      <c r="K96">
        <f ca="1"/>
        <v>47.396144504604784</v>
      </c>
      <c r="L96">
        <f ca="1"/>
        <v>0.42660857128189633</v>
      </c>
      <c r="M96">
        <f ca="1"/>
        <v>8.2349345370463567E-2</v>
      </c>
      <c r="N96">
        <f ca="1"/>
        <v>0.67564488465902905</v>
      </c>
      <c r="O96">
        <f ca="1"/>
        <v>0</v>
      </c>
      <c r="P96">
        <f ca="1"/>
        <v>16.508017278198569</v>
      </c>
      <c r="Q96">
        <f ca="1"/>
        <v>10.600384149350159</v>
      </c>
      <c r="R96">
        <f ca="1"/>
        <v>0.18010534911749757</v>
      </c>
      <c r="S96">
        <f ca="1"/>
        <v>1</v>
      </c>
      <c r="T96">
        <f ca="1"/>
        <v>0.68999999999999773</v>
      </c>
      <c r="U96">
        <f ca="1"/>
        <v>0</v>
      </c>
      <c r="V96">
        <f ca="1"/>
        <v>0.39577722075962829</v>
      </c>
      <c r="X96" s="2">
        <f t="shared" ca="1" si="8"/>
        <v>45506</v>
      </c>
      <c r="Y96">
        <f t="shared" ca="1" si="9"/>
        <v>0</v>
      </c>
      <c r="AA96" s="63">
        <f t="shared" ca="1" si="11"/>
        <v>48.002858425004185</v>
      </c>
      <c r="AB96" s="63">
        <f t="shared" ca="1" si="12"/>
        <v>48.002858425004177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45507</v>
      </c>
      <c r="K97">
        <f ca="1"/>
        <v>46.450725082068736</v>
      </c>
      <c r="L97">
        <f ca="1"/>
        <v>0.44094661526110102</v>
      </c>
      <c r="M97">
        <f ca="1"/>
        <v>8.0860685217352568E-2</v>
      </c>
      <c r="N97">
        <f ca="1"/>
        <v>0.68095366517974043</v>
      </c>
      <c r="O97">
        <f ca="1"/>
        <v>0</v>
      </c>
      <c r="P97">
        <f ca="1"/>
        <v>16.94896389345967</v>
      </c>
      <c r="Q97">
        <f ca="1"/>
        <v>10.883531630501421</v>
      </c>
      <c r="R97">
        <f ca="1"/>
        <v>1.2662871576720482</v>
      </c>
      <c r="S97">
        <f ca="1"/>
        <v>1</v>
      </c>
      <c r="T97">
        <f ca="1"/>
        <v>4.9500000000000028</v>
      </c>
      <c r="U97">
        <f ca="1"/>
        <v>0</v>
      </c>
      <c r="V97">
        <f ca="1"/>
        <v>0.41232032241446942</v>
      </c>
      <c r="X97" s="2">
        <f t="shared" ca="1" si="8"/>
        <v>45507</v>
      </c>
      <c r="Y97">
        <f t="shared" ca="1" si="9"/>
        <v>0</v>
      </c>
      <c r="AA97" s="63">
        <f t="shared" ca="1" si="11"/>
        <v>48.15795885500188</v>
      </c>
      <c r="AB97" s="63">
        <f t="shared" ca="1" si="12"/>
        <v>48.157958855001887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45508</v>
      </c>
      <c r="K98">
        <f ca="1"/>
        <v>46.329300447398012</v>
      </c>
      <c r="L98">
        <f ca="1"/>
        <v>0.43376958209913852</v>
      </c>
      <c r="M98">
        <f ca="1"/>
        <v>7.6760902275726295E-2</v>
      </c>
      <c r="N98">
        <f ca="1"/>
        <v>0.65402491528048512</v>
      </c>
      <c r="O98">
        <f ca="1"/>
        <v>0</v>
      </c>
      <c r="P98">
        <f ca="1"/>
        <v>17.382733475558808</v>
      </c>
      <c r="Q98">
        <f ca="1"/>
        <v>11.162070483778882</v>
      </c>
      <c r="R98">
        <f ca="1"/>
        <v>0.41844087012780362</v>
      </c>
      <c r="S98">
        <f ca="1"/>
        <v>1</v>
      </c>
      <c r="T98">
        <f ca="1"/>
        <v>1.6400000000000006</v>
      </c>
      <c r="U98">
        <f ca="1"/>
        <v>0</v>
      </c>
      <c r="V98">
        <f ca="1"/>
        <v>0.42838611349302708</v>
      </c>
      <c r="X98" s="2">
        <f t="shared" ca="1" si="8"/>
        <v>45508</v>
      </c>
      <c r="Y98">
        <f t="shared" ca="1" si="9"/>
        <v>0</v>
      </c>
      <c r="AA98" s="63">
        <f t="shared" ca="1" si="11"/>
        <v>47.181510899624953</v>
      </c>
      <c r="AB98" s="63">
        <f t="shared" ca="1" si="12"/>
        <v>47.181510899624953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45509</v>
      </c>
      <c r="K99">
        <f ca="1"/>
        <v>45.747406341049647</v>
      </c>
      <c r="L99">
        <f ca="1"/>
        <v>0.44943071912477706</v>
      </c>
      <c r="M99">
        <f ca="1"/>
        <v>7.5555535656537387E-2</v>
      </c>
      <c r="N99">
        <f ca="1"/>
        <v>0.66118179759982521</v>
      </c>
      <c r="O99">
        <f ca="1"/>
        <v>0</v>
      </c>
      <c r="P99">
        <f ca="1"/>
        <v>17.832164194683585</v>
      </c>
      <c r="Q99">
        <f ca="1"/>
        <v>11.450665909319968</v>
      </c>
      <c r="R99">
        <f ca="1"/>
        <v>0.86920072047994745</v>
      </c>
      <c r="S99">
        <f ca="1"/>
        <v>1</v>
      </c>
      <c r="T99">
        <f ca="1"/>
        <v>3.4500000000000171</v>
      </c>
      <c r="U99">
        <f ca="1"/>
        <v>0</v>
      </c>
      <c r="V99">
        <f ca="1"/>
        <v>0.44478764829084916</v>
      </c>
      <c r="X99" s="2">
        <f t="shared" ca="1" si="8"/>
        <v>45509</v>
      </c>
      <c r="Y99">
        <f t="shared" ca="1" si="9"/>
        <v>0</v>
      </c>
      <c r="AA99" s="63">
        <f t="shared" ca="1" si="11"/>
        <v>47.066037780654369</v>
      </c>
      <c r="AB99" s="63">
        <f t="shared" ca="1" si="12"/>
        <v>47.066037780654369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45510</v>
      </c>
      <c r="K100">
        <f ca="1"/>
        <v>45.747309748150997</v>
      </c>
      <c r="L100">
        <f ca="1"/>
        <v>0.46569867304120294</v>
      </c>
      <c r="M100">
        <f ca="1"/>
        <v>7.4349533372229715E-2</v>
      </c>
      <c r="N100">
        <f ca="1"/>
        <v>0.66838842321564695</v>
      </c>
      <c r="O100">
        <f ca="1"/>
        <v>0</v>
      </c>
      <c r="P100">
        <f ca="1"/>
        <v>18.297862867724788</v>
      </c>
      <c r="Q100">
        <f ca="1"/>
        <v>11.749707565800358</v>
      </c>
      <c r="R100">
        <f ca="1"/>
        <v>0.27713587644532267</v>
      </c>
      <c r="S100">
        <f ca="1"/>
        <v>1</v>
      </c>
      <c r="T100">
        <f ca="1"/>
        <v>1.1000000000000085</v>
      </c>
      <c r="U100">
        <f ca="1"/>
        <v>0</v>
      </c>
      <c r="V100">
        <f ca="1"/>
        <v>0.46149486548403185</v>
      </c>
      <c r="X100" s="2">
        <f t="shared" ca="1" si="8"/>
        <v>45510</v>
      </c>
      <c r="Y100">
        <f t="shared" ca="1" si="9"/>
        <v>0</v>
      </c>
      <c r="AA100" s="63">
        <f t="shared" ca="1" si="11"/>
        <v>46.490144297637521</v>
      </c>
      <c r="AB100" s="63">
        <f t="shared" ca="1" si="12"/>
        <v>46.490144297637521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45511</v>
      </c>
      <c r="K101">
        <f ca="1"/>
        <v>45.372583267424751</v>
      </c>
      <c r="L101">
        <f ca="1"/>
        <v>0.45166124633482951</v>
      </c>
      <c r="M101">
        <f ca="1"/>
        <v>7.0006200950018638E-2</v>
      </c>
      <c r="N101">
        <f ca="1"/>
        <v>0.63412233162189835</v>
      </c>
      <c r="O101">
        <f ca="1"/>
        <v>0</v>
      </c>
      <c r="P101">
        <f ca="1"/>
        <v>18.749524114059618</v>
      </c>
      <c r="Q101">
        <f ca="1"/>
        <v>12.039735292076514</v>
      </c>
      <c r="R101">
        <f ca="1"/>
        <v>0.62719376696333062</v>
      </c>
      <c r="S101">
        <f ca="1"/>
        <v>1</v>
      </c>
      <c r="T101">
        <f ca="1"/>
        <v>2.5100000000000051</v>
      </c>
      <c r="U101">
        <f ca="1"/>
        <v>0</v>
      </c>
      <c r="V101">
        <f ca="1"/>
        <v>0.47739647636536481</v>
      </c>
      <c r="X101" s="2">
        <f t="shared" ca="1" si="8"/>
        <v>45511</v>
      </c>
      <c r="Y101">
        <f t="shared" ca="1" si="9"/>
        <v>0</v>
      </c>
      <c r="AA101" s="63">
        <f t="shared" ca="1" si="11"/>
        <v>46.451438280722911</v>
      </c>
      <c r="AB101" s="63">
        <f t="shared" ca="1" si="12"/>
        <v>46.451438280722911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45512</v>
      </c>
      <c r="K102">
        <f ca="1"/>
        <v>45.079328836328244</v>
      </c>
      <c r="L102">
        <f ca="1"/>
        <v>0.41141019740201301</v>
      </c>
      <c r="M102">
        <f ca="1"/>
        <v>6.3744733106400275E-2</v>
      </c>
      <c r="N102">
        <f ca="1"/>
        <v>0.57079801163728261</v>
      </c>
      <c r="O102">
        <f ca="1"/>
        <v>0</v>
      </c>
      <c r="P102">
        <f ca="1"/>
        <v>19.160934311461631</v>
      </c>
      <c r="Q102">
        <f ca="1"/>
        <v>12.303916390383268</v>
      </c>
      <c r="R102">
        <f ca="1"/>
        <v>0.51638697843817127</v>
      </c>
      <c r="S102">
        <f ca="1"/>
        <v>1</v>
      </c>
      <c r="T102">
        <f ca="1"/>
        <v>2.0799999999999983</v>
      </c>
      <c r="U102">
        <f ca="1"/>
        <v>0</v>
      </c>
      <c r="V102">
        <f ca="1"/>
        <v>0.49160643493526351</v>
      </c>
      <c r="X102" s="2">
        <f t="shared" ca="1" si="8"/>
        <v>45512</v>
      </c>
      <c r="Y102">
        <f t="shared" ca="1" si="9"/>
        <v>0</v>
      </c>
      <c r="AA102" s="63">
        <f t="shared" ca="1" si="11"/>
        <v>46.007126012168428</v>
      </c>
      <c r="AB102" s="63">
        <f t="shared" ca="1" si="12"/>
        <v>46.007126012168428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45513</v>
      </c>
      <c r="K103">
        <f ca="1"/>
        <v>45.262938634158381</v>
      </c>
      <c r="L103">
        <f ca="1"/>
        <v>0.39030851809812361</v>
      </c>
      <c r="M103">
        <f ca="1"/>
        <v>5.9910760249245243E-2</v>
      </c>
      <c r="N103">
        <f ca="1"/>
        <v>0.53644222961072929</v>
      </c>
      <c r="O103">
        <f ca="1"/>
        <v>0</v>
      </c>
      <c r="P103">
        <f ca="1"/>
        <v>19.551242829559754</v>
      </c>
      <c r="Q103">
        <f ca="1"/>
        <v>12.554547351017638</v>
      </c>
      <c r="R103">
        <f ca="1"/>
        <v>2.2434673931710596E-2</v>
      </c>
      <c r="S103">
        <f ca="1"/>
        <v>1</v>
      </c>
      <c r="T103">
        <f ca="1"/>
        <v>8.99999999999892E-2</v>
      </c>
      <c r="U103">
        <f ca="1"/>
        <v>0</v>
      </c>
      <c r="V103">
        <f ca="1"/>
        <v>0.5048345303130255</v>
      </c>
      <c r="X103" s="2">
        <f t="shared" ca="1" si="8"/>
        <v>45513</v>
      </c>
      <c r="Y103">
        <f t="shared" ca="1" si="9"/>
        <v>0</v>
      </c>
      <c r="AA103" s="63">
        <f t="shared" ca="1" si="11"/>
        <v>45.675681826188217</v>
      </c>
      <c r="AB103" s="63">
        <f t="shared" ca="1" si="12"/>
        <v>45.675681826188217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45514</v>
      </c>
      <c r="K104">
        <f ca="1"/>
        <v>44.628408062008631</v>
      </c>
      <c r="L104">
        <f ca="1"/>
        <v>0.44658028799693383</v>
      </c>
      <c r="M104">
        <f ca="1"/>
        <v>6.2630030216658028E-2</v>
      </c>
      <c r="N104">
        <f ca="1"/>
        <v>0.59244384603664579</v>
      </c>
      <c r="O104">
        <f ca="1"/>
        <v>0</v>
      </c>
      <c r="P104">
        <f ca="1"/>
        <v>19.997823117556688</v>
      </c>
      <c r="Q104">
        <f ca="1"/>
        <v>12.841312413503173</v>
      </c>
      <c r="R104">
        <f ca="1"/>
        <v>0.84302416040611494</v>
      </c>
      <c r="S104">
        <f ca="1"/>
        <v>1</v>
      </c>
      <c r="T104">
        <f ca="1"/>
        <v>3.4299999999999926</v>
      </c>
      <c r="U104">
        <f ca="1"/>
        <v>0</v>
      </c>
      <c r="V104">
        <f ca="1"/>
        <v>0.51965658765608991</v>
      </c>
      <c r="X104" s="2">
        <f t="shared" ca="1" si="8"/>
        <v>45514</v>
      </c>
      <c r="Y104">
        <f t="shared" ca="1" si="9"/>
        <v>0</v>
      </c>
      <c r="AA104" s="63">
        <f t="shared" ca="1" si="11"/>
        <v>45.918012510411685</v>
      </c>
      <c r="AB104" s="63">
        <f t="shared" ca="1" si="12"/>
        <v>45.918012510411685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45515</v>
      </c>
      <c r="K105">
        <f ca="1"/>
        <v>43.924242738600007</v>
      </c>
      <c r="L105">
        <f ca="1"/>
        <v>0.47776549016819203</v>
      </c>
      <c r="M105">
        <f ca="1"/>
        <v>6.2998945028208908E-2</v>
      </c>
      <c r="N105">
        <f ca="1"/>
        <v>0.61773232176766324</v>
      </c>
      <c r="O105">
        <f ca="1"/>
        <v>0</v>
      </c>
      <c r="P105">
        <f ca="1"/>
        <v>20.47558860772488</v>
      </c>
      <c r="Q105">
        <f ca="1"/>
        <v>13.148102601793921</v>
      </c>
      <c r="R105">
        <f ca="1"/>
        <v>0.90713110003630448</v>
      </c>
      <c r="S105">
        <f ca="1"/>
        <v>1</v>
      </c>
      <c r="T105">
        <f ca="1"/>
        <v>3.75</v>
      </c>
      <c r="U105">
        <f ca="1"/>
        <v>0</v>
      </c>
      <c r="V105">
        <f ca="1"/>
        <v>0.5351326000657689</v>
      </c>
      <c r="X105" s="2">
        <f t="shared" ca="1" si="8"/>
        <v>45515</v>
      </c>
      <c r="Y105">
        <f t="shared" ca="1" si="9"/>
        <v>0</v>
      </c>
      <c r="AA105" s="63">
        <f t="shared" ca="1" si="11"/>
        <v>45.309139328804505</v>
      </c>
      <c r="AB105" s="63">
        <f t="shared" ca="1" si="12"/>
        <v>45.309139328804498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45516</v>
      </c>
      <c r="K106">
        <f ca="1"/>
        <v>43.657450005621619</v>
      </c>
      <c r="L106">
        <f ca="1"/>
        <v>0.50468066372762266</v>
      </c>
      <c r="M106">
        <f ca="1"/>
        <v>6.2849686549418138E-2</v>
      </c>
      <c r="N106">
        <f ca="1"/>
        <v>0.6366683242592589</v>
      </c>
      <c r="O106">
        <f ca="1"/>
        <v>0</v>
      </c>
      <c r="P106">
        <f ca="1"/>
        <v>20.980269271452503</v>
      </c>
      <c r="Q106">
        <f ca="1"/>
        <v>13.472175978875192</v>
      </c>
      <c r="R106">
        <f ca="1"/>
        <v>0.46163008005944289</v>
      </c>
      <c r="S106">
        <f ca="1"/>
        <v>1</v>
      </c>
      <c r="T106">
        <f ca="1"/>
        <v>1.9200000000000017</v>
      </c>
      <c r="U106">
        <f ca="1"/>
        <v>0</v>
      </c>
      <c r="V106">
        <f ca="1"/>
        <v>0.55104224618434283</v>
      </c>
      <c r="X106" s="2">
        <f t="shared" ca="1" si="8"/>
        <v>45516</v>
      </c>
      <c r="Y106">
        <f t="shared" ca="1" si="9"/>
        <v>0</v>
      </c>
      <c r="AA106" s="63">
        <f t="shared" ca="1" si="11"/>
        <v>44.623760749408689</v>
      </c>
      <c r="AB106" s="63">
        <f t="shared" ca="1" si="12"/>
        <v>44.623760749408682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45517</v>
      </c>
      <c r="K107">
        <f ca="1"/>
        <v>42.540274689276231</v>
      </c>
      <c r="L107">
        <f ca="1"/>
        <v>0.53183401986072099</v>
      </c>
      <c r="M107">
        <f ca="1"/>
        <v>6.2580757120640484E-2</v>
      </c>
      <c r="N107">
        <f ca="1"/>
        <v>0.65467348789473667</v>
      </c>
      <c r="O107">
        <f ca="1"/>
        <v>0</v>
      </c>
      <c r="P107">
        <f ca="1"/>
        <v>21.512103291313224</v>
      </c>
      <c r="Q107">
        <f ca="1"/>
        <v>13.813685490236205</v>
      </c>
      <c r="R107">
        <f ca="1"/>
        <v>1.3025955415000414</v>
      </c>
      <c r="S107">
        <f ca="1"/>
        <v>1</v>
      </c>
      <c r="T107">
        <f ca="1"/>
        <v>5.5600000000000023</v>
      </c>
      <c r="U107">
        <f ca="1"/>
        <v>0</v>
      </c>
      <c r="V107">
        <f ca="1"/>
        <v>0.56731208943549127</v>
      </c>
      <c r="X107" s="2">
        <f t="shared" ca="1" si="8"/>
        <v>45517</v>
      </c>
      <c r="Y107">
        <f t="shared" ca="1" si="9"/>
        <v>0</v>
      </c>
      <c r="AA107" s="63">
        <f t="shared" ca="1" si="11"/>
        <v>44.374704250636995</v>
      </c>
      <c r="AB107" s="63">
        <f t="shared" ca="1" si="12"/>
        <v>44.374704250636995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45518</v>
      </c>
      <c r="K108">
        <f ca="1"/>
        <v>42.232937501491655</v>
      </c>
      <c r="L108">
        <f ca="1"/>
        <v>0.52540227939167039</v>
      </c>
      <c r="M108">
        <f ca="1"/>
        <v>5.9691179238132719E-2</v>
      </c>
      <c r="N108">
        <f ca="1"/>
        <v>0.63285178412484966</v>
      </c>
      <c r="O108">
        <f ca="1"/>
        <v>0</v>
      </c>
      <c r="P108">
        <f ca="1"/>
        <v>22.037505570704894</v>
      </c>
      <c r="Q108">
        <f ca="1"/>
        <v>14.151064952629383</v>
      </c>
      <c r="R108">
        <f ca="1"/>
        <v>0.47447787175589029</v>
      </c>
      <c r="S108">
        <f ca="1"/>
        <v>1</v>
      </c>
      <c r="T108">
        <f ca="1"/>
        <v>2.0400000000000063</v>
      </c>
      <c r="U108">
        <f ca="1"/>
        <v>0</v>
      </c>
      <c r="V108">
        <f ca="1"/>
        <v>0.58288020294223775</v>
      </c>
      <c r="X108" s="2">
        <f t="shared" ca="1" si="8"/>
        <v>45518</v>
      </c>
      <c r="Y108">
        <f t="shared" ca="1" si="9"/>
        <v>0</v>
      </c>
      <c r="AA108" s="63">
        <f t="shared" ca="1" si="11"/>
        <v>43.232817652639213</v>
      </c>
      <c r="AB108" s="63">
        <f t="shared" ca="1" si="12"/>
        <v>43.232817652639213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45519</v>
      </c>
      <c r="K109">
        <f ca="1"/>
        <v>42.319404221968767</v>
      </c>
      <c r="L109">
        <f ca="1"/>
        <v>0.55246428756060695</v>
      </c>
      <c r="M109">
        <f ca="1"/>
        <v>5.9353631538700213E-2</v>
      </c>
      <c r="N109">
        <f ca="1"/>
        <v>0.64949639217008948</v>
      </c>
      <c r="O109">
        <f ca="1"/>
        <v>0</v>
      </c>
      <c r="P109">
        <f ca="1"/>
        <v>22.589969858265501</v>
      </c>
      <c r="Q109">
        <f ca="1"/>
        <v>14.50582189153044</v>
      </c>
      <c r="R109">
        <f ca="1"/>
        <v>6.9919015671078166E-2</v>
      </c>
      <c r="S109">
        <f ca="1"/>
        <v>1</v>
      </c>
      <c r="T109">
        <f ca="1"/>
        <v>0.29999999999999716</v>
      </c>
      <c r="U109">
        <f ca="1"/>
        <v>0</v>
      </c>
      <c r="V109">
        <f ca="1"/>
        <v>0.59870650607277098</v>
      </c>
      <c r="X109" s="2">
        <f t="shared" ca="1" si="8"/>
        <v>45519</v>
      </c>
      <c r="Y109">
        <f t="shared" ca="1" si="9"/>
        <v>0</v>
      </c>
      <c r="AA109" s="63">
        <f t="shared" ca="1" si="11"/>
        <v>42.941787525200446</v>
      </c>
      <c r="AB109" s="63">
        <f t="shared" ca="1" si="12"/>
        <v>42.941787525200454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45520</v>
      </c>
      <c r="K110">
        <f ca="1"/>
        <v>41.271864146010927</v>
      </c>
      <c r="L110">
        <f ca="1"/>
        <v>0.56076810689489776</v>
      </c>
      <c r="M110">
        <f ca="1"/>
        <v>5.7631821465015776E-2</v>
      </c>
      <c r="N110">
        <f ca="1"/>
        <v>0.64434552546887836</v>
      </c>
      <c r="O110">
        <f ca="1"/>
        <v>0</v>
      </c>
      <c r="P110">
        <f ca="1"/>
        <v>23.150737965160399</v>
      </c>
      <c r="Q110">
        <f ca="1"/>
        <v>14.865911007722499</v>
      </c>
      <c r="R110">
        <f ca="1"/>
        <v>1.1887493159968401</v>
      </c>
      <c r="S110">
        <f ca="1"/>
        <v>1</v>
      </c>
      <c r="T110">
        <f ca="1"/>
        <v>5.2299999999999898</v>
      </c>
      <c r="U110">
        <f ca="1"/>
        <v>0</v>
      </c>
      <c r="V110">
        <f ca="1"/>
        <v>0.61420170480324343</v>
      </c>
      <c r="X110" s="2">
        <f t="shared" ca="1" si="8"/>
        <v>45520</v>
      </c>
      <c r="Y110">
        <f t="shared" ca="1" si="9"/>
        <v>0</v>
      </c>
      <c r="AA110" s="63">
        <f t="shared" ca="1" si="11"/>
        <v>43.021381568902662</v>
      </c>
      <c r="AB110" s="63">
        <f t="shared" ca="1" si="12"/>
        <v>43.021381568902662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45521</v>
      </c>
      <c r="K111">
        <f ca="1"/>
        <v>40.962957830433787</v>
      </c>
      <c r="L111">
        <f ca="1"/>
        <v>0.52621196456875907</v>
      </c>
      <c r="M111">
        <f ca="1"/>
        <v>5.3307364295891446E-2</v>
      </c>
      <c r="N111">
        <f ca="1"/>
        <v>0.59488110778745396</v>
      </c>
      <c r="O111">
        <f ca="1"/>
        <v>0</v>
      </c>
      <c r="P111">
        <f ca="1"/>
        <v>23.676949929729158</v>
      </c>
      <c r="Q111">
        <f ca="1"/>
        <v>15.203810397722521</v>
      </c>
      <c r="R111">
        <f ca="1"/>
        <v>0.4308828230917216</v>
      </c>
      <c r="S111">
        <f ca="1"/>
        <v>1</v>
      </c>
      <c r="T111">
        <f ca="1"/>
        <v>1.9099999999999966</v>
      </c>
      <c r="U111">
        <f ca="1"/>
        <v>0</v>
      </c>
      <c r="V111">
        <f ca="1"/>
        <v>0.62822437010044485</v>
      </c>
      <c r="X111" s="2">
        <f t="shared" ca="1" si="8"/>
        <v>45521</v>
      </c>
      <c r="Y111">
        <f t="shared" ca="1" si="9"/>
        <v>0</v>
      </c>
      <c r="AA111" s="63">
        <f t="shared" ca="1" si="11"/>
        <v>41.920052618094267</v>
      </c>
      <c r="AB111" s="63">
        <f t="shared" ca="1" si="12"/>
        <v>41.920052618094267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45522</v>
      </c>
      <c r="K112">
        <f ca="1"/>
        <v>140.634341152084</v>
      </c>
      <c r="L112">
        <f ca="1"/>
        <v>0.57743216617254589</v>
      </c>
      <c r="M112">
        <f ca="1"/>
        <v>5.4487020656846852E-2</v>
      </c>
      <c r="N112">
        <f ca="1"/>
        <v>0.63539451147076209</v>
      </c>
      <c r="O112">
        <f ca="1"/>
        <v>100</v>
      </c>
      <c r="P112">
        <f ca="1"/>
        <v>24.254382095901704</v>
      </c>
      <c r="Q112">
        <f ca="1"/>
        <v>15.574600098173349</v>
      </c>
      <c r="R112">
        <f ca="1"/>
        <v>0.44106604430483343</v>
      </c>
      <c r="S112">
        <f ca="1"/>
        <v>1</v>
      </c>
      <c r="T112">
        <f ca="1"/>
        <v>0.56999999999999318</v>
      </c>
      <c r="U112">
        <f ca="1"/>
        <v>0</v>
      </c>
      <c r="V112">
        <f ca="1"/>
        <v>0.64304206213413351</v>
      </c>
      <c r="X112" s="2">
        <f t="shared" ca="1" si="8"/>
        <v>45522</v>
      </c>
      <c r="Y112">
        <f t="shared" ca="1" si="9"/>
        <v>100</v>
      </c>
      <c r="AA112" s="63">
        <f t="shared" ca="1" si="11"/>
        <v>141.65283936256139</v>
      </c>
      <c r="AB112" s="63">
        <f t="shared" ca="1" si="12"/>
        <v>141.65283936256139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45523</v>
      </c>
      <c r="K113">
        <f ca="1"/>
        <v>139.03924614795173</v>
      </c>
      <c r="L113">
        <f ca="1"/>
        <v>0.57674976254091703</v>
      </c>
      <c r="M113">
        <f ca="1"/>
        <v>5.2413223521620367E-2</v>
      </c>
      <c r="N113">
        <f ca="1"/>
        <v>0.62149021481529321</v>
      </c>
      <c r="O113">
        <f ca="1"/>
        <v>0</v>
      </c>
      <c r="P113">
        <f ca="1"/>
        <v>24.831131858442621</v>
      </c>
      <c r="Q113">
        <f ca="1"/>
        <v>15.944951603017872</v>
      </c>
      <c r="R113">
        <f ca="1"/>
        <v>1.692248679928265</v>
      </c>
      <c r="S113">
        <f ca="1"/>
        <v>1</v>
      </c>
      <c r="T113">
        <f ca="1"/>
        <v>2.210000000000008</v>
      </c>
      <c r="U113">
        <f ca="1"/>
        <v>0</v>
      </c>
      <c r="V113">
        <f ca="1"/>
        <v>0.65725664050579469</v>
      </c>
      <c r="X113" s="2">
        <f t="shared" ca="1" si="8"/>
        <v>45523</v>
      </c>
      <c r="Y113">
        <f t="shared" ca="1" si="9"/>
        <v>0</v>
      </c>
      <c r="AA113" s="63">
        <f t="shared" ca="1" si="11"/>
        <v>141.30824459042091</v>
      </c>
      <c r="AB113" s="63">
        <f t="shared" ca="1" si="12"/>
        <v>141.30824459042091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45524</v>
      </c>
      <c r="K114">
        <f ca="1"/>
        <v>138.61242557070955</v>
      </c>
      <c r="L114">
        <f ca="1"/>
        <v>0.62240603274189255</v>
      </c>
      <c r="M114">
        <f ca="1"/>
        <v>5.3020301817834792E-2</v>
      </c>
      <c r="N114">
        <f ca="1"/>
        <v>0.65402491528048512</v>
      </c>
      <c r="O114">
        <f ca="1"/>
        <v>0</v>
      </c>
      <c r="P114">
        <f ca="1"/>
        <v>25.453537891184514</v>
      </c>
      <c r="Q114">
        <f ca="1"/>
        <v>16.344620620365607</v>
      </c>
      <c r="R114">
        <f ca="1"/>
        <v>0.51145976159859052</v>
      </c>
      <c r="S114">
        <f ca="1"/>
        <v>1</v>
      </c>
      <c r="T114">
        <f ca="1"/>
        <v>0.67000000000000171</v>
      </c>
      <c r="U114">
        <f ca="1"/>
        <v>0</v>
      </c>
      <c r="V114">
        <f ca="1"/>
        <v>0.67195383855370061</v>
      </c>
      <c r="X114" s="2">
        <f t="shared" ca="1" si="8"/>
        <v>45524</v>
      </c>
      <c r="Y114">
        <f t="shared" ca="1" si="9"/>
        <v>0</v>
      </c>
      <c r="AA114" s="63">
        <f t="shared" ca="1" si="11"/>
        <v>139.74629136505004</v>
      </c>
      <c r="AB114" s="63">
        <f t="shared" ca="1" si="12"/>
        <v>139.74629136505001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45525</v>
      </c>
      <c r="K115">
        <f ca="1"/>
        <v>136.58215807026531</v>
      </c>
      <c r="L115">
        <f ca="1"/>
        <v>0.62046586711019813</v>
      </c>
      <c r="M115">
        <f ca="1"/>
        <v>5.0869146615205807E-2</v>
      </c>
      <c r="N115">
        <f ca="1"/>
        <v>0.63794377057385421</v>
      </c>
      <c r="O115">
        <f ca="1"/>
        <v>0</v>
      </c>
      <c r="P115">
        <f ca="1"/>
        <v>26.074003758294712</v>
      </c>
      <c r="Q115">
        <f ca="1"/>
        <v>16.743043788459449</v>
      </c>
      <c r="R115">
        <f ca="1"/>
        <v>2.0986145505231137</v>
      </c>
      <c r="S115">
        <f ca="1"/>
        <v>1</v>
      </c>
      <c r="T115">
        <f ca="1"/>
        <v>2.789999999999992</v>
      </c>
      <c r="U115">
        <f ca="1"/>
        <v>0</v>
      </c>
      <c r="V115">
        <f ca="1"/>
        <v>0.68595820585476763</v>
      </c>
      <c r="X115" s="2">
        <f t="shared" ca="1" si="8"/>
        <v>45525</v>
      </c>
      <c r="Y115">
        <f t="shared" ca="1" si="9"/>
        <v>0</v>
      </c>
      <c r="AA115" s="63">
        <f t="shared" ca="1" si="11"/>
        <v>139.30123848789862</v>
      </c>
      <c r="AB115" s="63">
        <f t="shared" ca="1" si="12"/>
        <v>139.30123848789862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45526</v>
      </c>
      <c r="K116">
        <f ca="1"/>
        <v>136.60513433062786</v>
      </c>
      <c r="L116">
        <f ca="1"/>
        <v>0.63858236520660583</v>
      </c>
      <c r="M116">
        <f ca="1"/>
        <v>4.9871434294658457E-2</v>
      </c>
      <c r="N116">
        <f ca="1"/>
        <v>0.64177991651835986</v>
      </c>
      <c r="O116">
        <f ca="1"/>
        <v>0</v>
      </c>
      <c r="P116">
        <f ca="1"/>
        <v>26.712586123501318</v>
      </c>
      <c r="Q116">
        <f ca="1"/>
        <v>17.153100203358559</v>
      </c>
      <c r="R116">
        <f ca="1"/>
        <v>3.0092725243853164E-2</v>
      </c>
      <c r="S116">
        <f ca="1"/>
        <v>1</v>
      </c>
      <c r="T116">
        <f ca="1"/>
        <v>4.0000000000006253E-2</v>
      </c>
      <c r="U116">
        <f ca="1"/>
        <v>0</v>
      </c>
      <c r="V116">
        <f ca="1"/>
        <v>0.69971706289302182</v>
      </c>
      <c r="X116" s="2">
        <f t="shared" ca="1" si="8"/>
        <v>45526</v>
      </c>
      <c r="Y116">
        <f t="shared" ca="1" si="9"/>
        <v>0</v>
      </c>
      <c r="AA116" s="63">
        <f t="shared" ca="1" si="11"/>
        <v>137.27380942107834</v>
      </c>
      <c r="AB116" s="63">
        <f t="shared" ca="1" si="12"/>
        <v>137.27380942107834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45527</v>
      </c>
      <c r="K117">
        <f ca="1"/>
        <v>136.64221545664802</v>
      </c>
      <c r="L117">
        <f ca="1"/>
        <v>0.67448450549420969</v>
      </c>
      <c r="M117">
        <f ca="1"/>
        <v>4.973074303870284E-2</v>
      </c>
      <c r="N117">
        <f ca="1"/>
        <v>0.6618348884756482</v>
      </c>
      <c r="O117">
        <f ca="1"/>
        <v>0</v>
      </c>
      <c r="P117">
        <f ca="1"/>
        <v>27.387070628995527</v>
      </c>
      <c r="Q117">
        <f ca="1"/>
        <v>17.586210657541663</v>
      </c>
      <c r="R117">
        <f ca="1"/>
        <v>0</v>
      </c>
      <c r="S117">
        <f ca="1"/>
        <v>0.98304347826086957</v>
      </c>
      <c r="T117">
        <f ca="1"/>
        <v>0</v>
      </c>
      <c r="U117">
        <f ca="1"/>
        <v>0</v>
      </c>
      <c r="V117">
        <f ca="1"/>
        <v>0.71355307038237148</v>
      </c>
      <c r="X117" s="2">
        <f t="shared" ca="1" si="8"/>
        <v>45527</v>
      </c>
      <c r="Y117">
        <f t="shared" ca="1" si="9"/>
        <v>0</v>
      </c>
      <c r="AA117" s="63">
        <f t="shared" ca="1" si="11"/>
        <v>137.31669996214222</v>
      </c>
      <c r="AB117" s="63">
        <f t="shared" ca="1" si="12"/>
        <v>137.31669996214222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45528</v>
      </c>
      <c r="K118">
        <f ca="1"/>
        <v>136.66269907985759</v>
      </c>
      <c r="L118">
        <f ca="1"/>
        <v>0.67826492436772412</v>
      </c>
      <c r="M118">
        <f ca="1"/>
        <v>4.7960341876502E-2</v>
      </c>
      <c r="N118">
        <f ca="1"/>
        <v>0.65078820570080542</v>
      </c>
      <c r="O118">
        <f ca="1"/>
        <v>0</v>
      </c>
      <c r="P118">
        <f ca="1"/>
        <v>28.065335553363251</v>
      </c>
      <c r="Q118">
        <f ca="1"/>
        <v>18.021748652938793</v>
      </c>
      <c r="R118">
        <f ca="1"/>
        <v>0</v>
      </c>
      <c r="S118">
        <f ca="1"/>
        <v>0.99777919075951782</v>
      </c>
      <c r="T118">
        <f ca="1"/>
        <v>0</v>
      </c>
      <c r="U118">
        <f ca="1"/>
        <v>0</v>
      </c>
      <c r="V118">
        <f ca="1"/>
        <v>0.7267725055232056</v>
      </c>
      <c r="X118" s="2">
        <f t="shared" ca="1" si="8"/>
        <v>45528</v>
      </c>
      <c r="Y118">
        <f t="shared" ca="1" si="9"/>
        <v>0</v>
      </c>
      <c r="AA118" s="63">
        <f t="shared" ca="1" si="11"/>
        <v>137.3409640042253</v>
      </c>
      <c r="AB118" s="63">
        <f t="shared" ca="1" si="12"/>
        <v>137.34096400422533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45529</v>
      </c>
      <c r="K119">
        <f ca="1"/>
        <v>135.59812572714793</v>
      </c>
      <c r="L119">
        <f ca="1"/>
        <v>0.76606874153570459</v>
      </c>
      <c r="M119">
        <f ca="1"/>
        <v>5.0122303232736698E-2</v>
      </c>
      <c r="N119">
        <f ca="1"/>
        <v>0.71748127119442984</v>
      </c>
      <c r="O119">
        <f ca="1"/>
        <v>0</v>
      </c>
      <c r="P119">
        <f ca="1"/>
        <v>28.831404294898956</v>
      </c>
      <c r="Q119">
        <f ca="1"/>
        <v>18.513668597547298</v>
      </c>
      <c r="R119">
        <f ca="1"/>
        <v>1.0661081856011454</v>
      </c>
      <c r="S119">
        <f ca="1"/>
        <v>1</v>
      </c>
      <c r="T119">
        <f ca="1"/>
        <v>1.4276215182490262</v>
      </c>
      <c r="U119">
        <f ca="1"/>
        <v>0</v>
      </c>
      <c r="V119">
        <f ca="1"/>
        <v>0.74090228233821454</v>
      </c>
      <c r="X119" s="2">
        <f t="shared" ca="1" si="8"/>
        <v>45529</v>
      </c>
      <c r="Y119">
        <f t="shared" ca="1" si="9"/>
        <v>0</v>
      </c>
      <c r="AA119" s="63">
        <f t="shared" ca="1" si="11"/>
        <v>137.43030265428476</v>
      </c>
      <c r="AB119" s="63">
        <f t="shared" ca="1" si="12"/>
        <v>137.43030265428479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45530</v>
      </c>
      <c r="K120">
        <f ca="1"/>
        <v>135.57902182967695</v>
      </c>
      <c r="L120">
        <f ca="1"/>
        <v>0.78757973761140576</v>
      </c>
      <c r="M120">
        <f ca="1"/>
        <v>4.8929724188321089E-2</v>
      </c>
      <c r="N120">
        <f ca="1"/>
        <v>0.71954611595208495</v>
      </c>
      <c r="O120">
        <f ca="1"/>
        <v>0</v>
      </c>
      <c r="P120">
        <f ca="1"/>
        <v>29.618984032510362</v>
      </c>
      <c r="Q120">
        <f ca="1"/>
        <v>19.019401516663578</v>
      </c>
      <c r="R120">
        <f ca="1"/>
        <v>0</v>
      </c>
      <c r="S120">
        <f ca="1"/>
        <v>0.99101449275362308</v>
      </c>
      <c r="T120">
        <f ca="1"/>
        <v>0</v>
      </c>
      <c r="U120">
        <f ca="1"/>
        <v>0</v>
      </c>
      <c r="V120">
        <f ca="1"/>
        <v>0.7545856289362769</v>
      </c>
      <c r="X120" s="2">
        <f t="shared" ca="1" si="8"/>
        <v>45530</v>
      </c>
      <c r="Y120">
        <f t="shared" ca="1" si="9"/>
        <v>0</v>
      </c>
      <c r="AA120" s="63">
        <f t="shared" ca="1" si="11"/>
        <v>136.36660156728834</v>
      </c>
      <c r="AB120" s="63">
        <f t="shared" ca="1" si="12"/>
        <v>136.36660156728834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45531</v>
      </c>
      <c r="K121">
        <f ca="1"/>
        <v>135.53780592921834</v>
      </c>
      <c r="L121">
        <f ca="1"/>
        <v>0.83247489901338767</v>
      </c>
      <c r="M121">
        <f ca="1"/>
        <v>4.8751600855482025E-2</v>
      </c>
      <c r="N121">
        <f ca="1"/>
        <v>0.74250739769927476</v>
      </c>
      <c r="O121">
        <f ca="1"/>
        <v>0</v>
      </c>
      <c r="P121">
        <f ca="1"/>
        <v>30.451458931523749</v>
      </c>
      <c r="Q121">
        <f ca="1"/>
        <v>19.553963213293709</v>
      </c>
      <c r="R121">
        <f ca="1"/>
        <v>0</v>
      </c>
      <c r="S121">
        <f ca="1"/>
        <v>0.99483212035634616</v>
      </c>
      <c r="T121">
        <f ca="1"/>
        <v>0</v>
      </c>
      <c r="U121">
        <f ca="1"/>
        <v>0</v>
      </c>
      <c r="V121">
        <f ca="1"/>
        <v>0.76816973193958904</v>
      </c>
      <c r="X121" s="2">
        <f t="shared" ca="1" si="8"/>
        <v>45531</v>
      </c>
      <c r="Y121">
        <f t="shared" ca="1" si="9"/>
        <v>0</v>
      </c>
      <c r="AA121" s="63">
        <f t="shared" ca="1" si="11"/>
        <v>136.37028082823173</v>
      </c>
      <c r="AB121" s="63">
        <f t="shared" ca="1" si="12"/>
        <v>136.37028082823173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45532</v>
      </c>
      <c r="K122">
        <f ca="1"/>
        <v>134.62022931341383</v>
      </c>
      <c r="L122">
        <f ca="1"/>
        <v>0.81493888292947148</v>
      </c>
      <c r="M122">
        <f ca="1"/>
        <v>4.5864041767060826E-2</v>
      </c>
      <c r="N122">
        <f ca="1"/>
        <v>0.70789488667172806</v>
      </c>
      <c r="O122">
        <f ca="1"/>
        <v>0</v>
      </c>
      <c r="P122">
        <f ca="1"/>
        <v>31.266397814453221</v>
      </c>
      <c r="Q122">
        <f ca="1"/>
        <v>20.07726441123366</v>
      </c>
      <c r="R122">
        <f ca="1"/>
        <v>0.8563966613138374</v>
      </c>
      <c r="S122">
        <f ca="1"/>
        <v>1</v>
      </c>
      <c r="T122">
        <f ca="1"/>
        <v>1.1551280597596048</v>
      </c>
      <c r="U122">
        <f ca="1"/>
        <v>0</v>
      </c>
      <c r="V122">
        <f ca="1"/>
        <v>0.7806425894803064</v>
      </c>
      <c r="X122" s="2">
        <f t="shared" ca="1" si="8"/>
        <v>45532</v>
      </c>
      <c r="Y122">
        <f t="shared" ca="1" si="9"/>
        <v>0</v>
      </c>
      <c r="AA122" s="63">
        <f t="shared" ca="1" si="11"/>
        <v>136.29156485765714</v>
      </c>
      <c r="AB122" s="63">
        <f t="shared" ca="1" si="12"/>
        <v>136.29156485765714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45533</v>
      </c>
      <c r="K123">
        <f ca="1"/>
        <v>134.53386546099063</v>
      </c>
      <c r="L123">
        <f ca="1"/>
        <v>0.87805539225406193</v>
      </c>
      <c r="M123">
        <f ca="1"/>
        <v>4.6370001737390254E-2</v>
      </c>
      <c r="N123">
        <f ca="1"/>
        <v>0.74532153809345358</v>
      </c>
      <c r="O123">
        <f ca="1"/>
        <v>0</v>
      </c>
      <c r="P123">
        <f ca="1"/>
        <v>32.144453206707283</v>
      </c>
      <c r="Q123">
        <f ca="1"/>
        <v>20.641094961289706</v>
      </c>
      <c r="R123">
        <f ca="1"/>
        <v>0</v>
      </c>
      <c r="S123">
        <f ca="1"/>
        <v>0.9969565217391303</v>
      </c>
      <c r="T123">
        <f ca="1"/>
        <v>0</v>
      </c>
      <c r="U123">
        <f ca="1"/>
        <v>0</v>
      </c>
      <c r="V123">
        <f ca="1"/>
        <v>0.79322399238353081</v>
      </c>
      <c r="X123" s="2">
        <f t="shared" ca="1" si="8"/>
        <v>45533</v>
      </c>
      <c r="Y123">
        <f t="shared" ca="1" si="9"/>
        <v>0</v>
      </c>
      <c r="AA123" s="63">
        <f t="shared" ca="1" si="11"/>
        <v>135.41192085324468</v>
      </c>
      <c r="AB123" s="63">
        <f t="shared" ca="1" si="12"/>
        <v>135.41192085324468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45534</v>
      </c>
      <c r="K124">
        <f ca="1"/>
        <v>134.4280093935493</v>
      </c>
      <c r="L124">
        <f ca="1"/>
        <v>0.86367185774433608</v>
      </c>
      <c r="M124">
        <f ca="1"/>
        <v>4.3767594222462236E-2</v>
      </c>
      <c r="N124">
        <f ca="1"/>
        <v>0.71404819608056869</v>
      </c>
      <c r="O124">
        <f ca="1"/>
        <v>0</v>
      </c>
      <c r="P124">
        <f ca="1"/>
        <v>33.008125064451619</v>
      </c>
      <c r="Q124">
        <f ca="1"/>
        <v>21.195689333029542</v>
      </c>
      <c r="R124">
        <f ca="1"/>
        <v>0</v>
      </c>
      <c r="S124">
        <f ca="1"/>
        <v>0.99581268650236898</v>
      </c>
      <c r="T124">
        <f ca="1"/>
        <v>0</v>
      </c>
      <c r="U124">
        <f ca="1"/>
        <v>0</v>
      </c>
      <c r="V124">
        <f ca="1"/>
        <v>0.80478706187935445</v>
      </c>
      <c r="X124" s="2">
        <f t="shared" ca="1" si="8"/>
        <v>45534</v>
      </c>
      <c r="Y124">
        <f t="shared" ca="1" si="9"/>
        <v>0</v>
      </c>
      <c r="AA124" s="63">
        <f t="shared" ca="1" si="11"/>
        <v>135.29168125129365</v>
      </c>
      <c r="AB124" s="63">
        <f t="shared" ca="1" si="12"/>
        <v>135.29168125129365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45535</v>
      </c>
      <c r="K125">
        <f ca="1"/>
        <v>134.30737999485032</v>
      </c>
      <c r="L125">
        <f ca="1"/>
        <v>0.8386611247354665</v>
      </c>
      <c r="M125">
        <f ca="1"/>
        <v>4.1062123336040202E-2</v>
      </c>
      <c r="N125">
        <f ca="1"/>
        <v>0.67696960270042861</v>
      </c>
      <c r="O125">
        <f ca="1"/>
        <v>0</v>
      </c>
      <c r="P125">
        <f ca="1"/>
        <v>33.846786189187085</v>
      </c>
      <c r="Q125">
        <f ca="1"/>
        <v>21.734223424889432</v>
      </c>
      <c r="R125">
        <f ca="1"/>
        <v>0</v>
      </c>
      <c r="S125">
        <f ca="1"/>
        <v>0.98134010896563084</v>
      </c>
      <c r="T125">
        <f ca="1"/>
        <v>0</v>
      </c>
      <c r="U125">
        <f ca="1"/>
        <v>0</v>
      </c>
      <c r="V125">
        <f ca="1"/>
        <v>0.8152952608638967</v>
      </c>
      <c r="X125" s="2">
        <f t="shared" ca="1" si="8"/>
        <v>45535</v>
      </c>
      <c r="Y125">
        <f t="shared" ca="1" si="9"/>
        <v>0</v>
      </c>
      <c r="AA125" s="63">
        <f t="shared" ca="1" si="11"/>
        <v>135.14604111958579</v>
      </c>
      <c r="AB125" s="63">
        <f t="shared" ca="1" si="12"/>
        <v>135.14604111958579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45536</v>
      </c>
      <c r="K126">
        <f ca="1"/>
        <v>133.91844591480017</v>
      </c>
      <c r="L126">
        <f ca="1"/>
        <v>0.81857925347440386</v>
      </c>
      <c r="M126">
        <f ca="1"/>
        <v>3.8798649479748093E-2</v>
      </c>
      <c r="N126">
        <f ca="1"/>
        <v>0.64691768248284565</v>
      </c>
      <c r="O126">
        <f ca="1"/>
        <v>0</v>
      </c>
      <c r="P126">
        <f ca="1"/>
        <v>34.665365442661489</v>
      </c>
      <c r="Q126">
        <f ca="1"/>
        <v>22.259862234038035</v>
      </c>
      <c r="R126">
        <f ca="1"/>
        <v>0.25607115853832974</v>
      </c>
      <c r="S126">
        <f ca="1"/>
        <v>1</v>
      </c>
      <c r="T126">
        <f ca="1"/>
        <v>0.34720483127756552</v>
      </c>
      <c r="U126">
        <f ca="1"/>
        <v>0</v>
      </c>
      <c r="V126">
        <f ca="1"/>
        <v>0.82491258037201043</v>
      </c>
      <c r="X126" s="2">
        <f t="shared" ca="1" si="8"/>
        <v>45536</v>
      </c>
      <c r="Y126">
        <f t="shared" ca="1" si="9"/>
        <v>0</v>
      </c>
      <c r="AA126" s="63">
        <f t="shared" ca="1" si="11"/>
        <v>134.99309632681292</v>
      </c>
      <c r="AB126" s="63">
        <f t="shared" ca="1" si="12"/>
        <v>134.99309632681292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45537</v>
      </c>
      <c r="K127">
        <f ca="1"/>
        <v>133.76488827592044</v>
      </c>
      <c r="L127">
        <f ca="1"/>
        <v>0.84438285009390768</v>
      </c>
      <c r="M127">
        <f ca="1"/>
        <v>3.8096210250715856E-2</v>
      </c>
      <c r="N127">
        <f ca="1"/>
        <v>0.65272900096344622</v>
      </c>
      <c r="O127">
        <f ca="1"/>
        <v>0</v>
      </c>
      <c r="P127">
        <f ca="1"/>
        <v>35.509748292755397</v>
      </c>
      <c r="Q127">
        <f ca="1"/>
        <v>22.802070448948225</v>
      </c>
      <c r="R127">
        <f ca="1"/>
        <v>0</v>
      </c>
      <c r="S127">
        <f ca="1"/>
        <v>0.99014492753623196</v>
      </c>
      <c r="T127">
        <f ca="1"/>
        <v>0</v>
      </c>
      <c r="U127">
        <f ca="1"/>
        <v>0</v>
      </c>
      <c r="V127">
        <f ca="1"/>
        <v>0.83421504573411553</v>
      </c>
      <c r="X127" s="2">
        <f t="shared" ca="1" si="8"/>
        <v>45537</v>
      </c>
      <c r="Y127">
        <f t="shared" ca="1" si="9"/>
        <v>0</v>
      </c>
      <c r="AA127" s="63">
        <f t="shared" ca="1" si="11"/>
        <v>134.60927112601433</v>
      </c>
      <c r="AB127" s="63">
        <f t="shared" ca="1" si="12"/>
        <v>134.60927112601433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45538</v>
      </c>
      <c r="K128">
        <f ca="1"/>
        <v>133.58515779995474</v>
      </c>
      <c r="L128">
        <f ca="1"/>
        <v>0.89069867347891574</v>
      </c>
      <c r="M128">
        <f ca="1"/>
        <v>3.7967798023128552E-2</v>
      </c>
      <c r="N128">
        <f ca="1"/>
        <v>0.67300039949008261</v>
      </c>
      <c r="O128">
        <f ca="1"/>
        <v>0</v>
      </c>
      <c r="P128">
        <f ca="1"/>
        <v>36.400446966234313</v>
      </c>
      <c r="Q128">
        <f ca="1"/>
        <v>23.374019698884037</v>
      </c>
      <c r="R128">
        <f ca="1"/>
        <v>0</v>
      </c>
      <c r="S128">
        <f ca="1"/>
        <v>0.99960547909342867</v>
      </c>
      <c r="T128">
        <f ca="1"/>
        <v>0</v>
      </c>
      <c r="U128">
        <f ca="1"/>
        <v>0</v>
      </c>
      <c r="V128">
        <f ca="1"/>
        <v>0.84339382041410338</v>
      </c>
      <c r="X128" s="2">
        <f t="shared" ca="1" si="8"/>
        <v>45538</v>
      </c>
      <c r="Y128">
        <f t="shared" ca="1" si="9"/>
        <v>0</v>
      </c>
      <c r="AA128" s="63">
        <f t="shared" ca="1" si="11"/>
        <v>134.47585647343365</v>
      </c>
      <c r="AB128" s="63">
        <f t="shared" ca="1" si="12"/>
        <v>134.47585647343365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45539</v>
      </c>
      <c r="K129">
        <f ca="1"/>
        <v>132.17327248552741</v>
      </c>
      <c r="L129">
        <f ca="1"/>
        <v>0.88518399982671525</v>
      </c>
      <c r="M129">
        <f ca="1"/>
        <v>3.6322160556368388E-2</v>
      </c>
      <c r="N129">
        <f ca="1"/>
        <v>0.65467348789473667</v>
      </c>
      <c r="O129">
        <f ca="1"/>
        <v>0</v>
      </c>
      <c r="P129">
        <f ca="1"/>
        <v>37.285630966061028</v>
      </c>
      <c r="Q129">
        <f ca="1"/>
        <v>23.94242778102323</v>
      </c>
      <c r="R129">
        <f ca="1"/>
        <v>1.2176969630517309</v>
      </c>
      <c r="S129">
        <f ca="1"/>
        <v>1</v>
      </c>
      <c r="T129">
        <f ca="1"/>
        <v>1.6728656906703065</v>
      </c>
      <c r="U129">
        <f ca="1"/>
        <v>0</v>
      </c>
      <c r="V129">
        <f ca="1"/>
        <v>0.8519162149057079</v>
      </c>
      <c r="X129" s="2">
        <f t="shared" ca="1" si="8"/>
        <v>45539</v>
      </c>
      <c r="Y129">
        <f t="shared" ca="1" si="9"/>
        <v>0</v>
      </c>
      <c r="AA129" s="63">
        <f t="shared" ca="1" si="11"/>
        <v>134.27615344840586</v>
      </c>
      <c r="AB129" s="63">
        <f t="shared" ca="1" si="12"/>
        <v>134.27615344840586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45540</v>
      </c>
      <c r="K130">
        <f ca="1"/>
        <v>128.78191369287626</v>
      </c>
      <c r="L130">
        <f ca="1"/>
        <v>0.95595190037136035</v>
      </c>
      <c r="M130">
        <f ca="1"/>
        <v>3.6796606373652452E-2</v>
      </c>
      <c r="N130">
        <f ca="1"/>
        <v>0.690978926371002</v>
      </c>
      <c r="O130">
        <f ca="1"/>
        <v>0</v>
      </c>
      <c r="P130">
        <f ca="1"/>
        <v>38.241582866432388</v>
      </c>
      <c r="Q130">
        <f ca="1"/>
        <v>24.556278445307456</v>
      </c>
      <c r="R130">
        <f ca="1"/>
        <v>3.1631824250244507</v>
      </c>
      <c r="S130">
        <f ca="1"/>
        <v>1</v>
      </c>
      <c r="T130">
        <f ca="1"/>
        <v>4.460000000000008</v>
      </c>
      <c r="U130">
        <f ca="1"/>
        <v>0</v>
      </c>
      <c r="V130">
        <f ca="1"/>
        <v>0.86049800148895483</v>
      </c>
      <c r="X130" s="2">
        <f t="shared" ca="1" si="8"/>
        <v>45540</v>
      </c>
      <c r="Y130">
        <f t="shared" ca="1" si="9"/>
        <v>0</v>
      </c>
      <c r="AA130" s="63">
        <f t="shared" ca="1" si="11"/>
        <v>132.90104801827206</v>
      </c>
      <c r="AB130" s="63">
        <f t="shared" ca="1" si="12"/>
        <v>132.90104801827206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45541</v>
      </c>
      <c r="K131">
        <f ca="1"/>
        <v>128.5197786502782</v>
      </c>
      <c r="L131">
        <f ca="1"/>
        <v>1.0200212376756781</v>
      </c>
      <c r="M131">
        <f ca="1"/>
        <v>3.6961431702675185E-2</v>
      </c>
      <c r="N131">
        <f ca="1"/>
        <v>0.72092476337492706</v>
      </c>
      <c r="O131">
        <f ca="1"/>
        <v>0</v>
      </c>
      <c r="P131">
        <f ca="1"/>
        <v>39.261604104108066</v>
      </c>
      <c r="Q131">
        <f ca="1"/>
        <v>25.211270306391683</v>
      </c>
      <c r="R131">
        <f ca="1"/>
        <v>0</v>
      </c>
      <c r="S131">
        <f ca="1"/>
        <v>0.9910144927536233</v>
      </c>
      <c r="T131">
        <f ca="1"/>
        <v>0</v>
      </c>
      <c r="U131">
        <f ca="1"/>
        <v>0</v>
      </c>
      <c r="V131">
        <f ca="1"/>
        <v>0.8689975819401029</v>
      </c>
      <c r="X131" s="2">
        <f t="shared" ca="1" si="8"/>
        <v>45541</v>
      </c>
      <c r="Y131">
        <f t="shared" ca="1" si="9"/>
        <v>0</v>
      </c>
      <c r="AA131" s="63">
        <f t="shared" ca="1" si="11"/>
        <v>129.53979988795388</v>
      </c>
      <c r="AB131" s="63">
        <f t="shared" ca="1" si="12"/>
        <v>129.53979988795388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45542</v>
      </c>
      <c r="K132">
        <f ca="1"/>
        <v>128.23756868800433</v>
      </c>
      <c r="L132">
        <f ca="1"/>
        <v>1.0256372235310849</v>
      </c>
      <c r="M132">
        <f ca="1"/>
        <v>3.5532374585464765E-2</v>
      </c>
      <c r="N132">
        <f ca="1"/>
        <v>0.70789488667172806</v>
      </c>
      <c r="O132">
        <f ca="1"/>
        <v>0</v>
      </c>
      <c r="P132">
        <f ca="1"/>
        <v>40.287241327639151</v>
      </c>
      <c r="Q132">
        <f ca="1"/>
        <v>25.869868391436142</v>
      </c>
      <c r="R132">
        <f ca="1"/>
        <v>0</v>
      </c>
      <c r="S132">
        <f ca="1"/>
        <v>0.97655187312418756</v>
      </c>
      <c r="T132">
        <f ca="1"/>
        <v>0</v>
      </c>
      <c r="U132">
        <f ca="1"/>
        <v>0</v>
      </c>
      <c r="V132">
        <f ca="1"/>
        <v>0.87691494144054916</v>
      </c>
      <c r="X132" s="2">
        <f t="shared" ca="1" si="8"/>
        <v>45542</v>
      </c>
      <c r="Y132">
        <f t="shared" ca="1" si="9"/>
        <v>0</v>
      </c>
      <c r="AA132" s="63">
        <f t="shared" ca="1" si="11"/>
        <v>129.26320591153541</v>
      </c>
      <c r="AB132" s="63">
        <f t="shared" ca="1" si="12"/>
        <v>129.26320591153541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45543</v>
      </c>
      <c r="K133">
        <f ca="1"/>
        <v>127.32536061191249</v>
      </c>
      <c r="L133">
        <f ca="1"/>
        <v>0.95222016341485727</v>
      </c>
      <c r="M133">
        <f ca="1"/>
        <v>3.2393675749476714E-2</v>
      </c>
      <c r="N133">
        <f ca="1"/>
        <v>0.64370350953085254</v>
      </c>
      <c r="O133">
        <f ca="1"/>
        <v>0</v>
      </c>
      <c r="P133">
        <f ca="1"/>
        <v>41.239461491054008</v>
      </c>
      <c r="Q133">
        <f ca="1"/>
        <v>26.481322774894117</v>
      </c>
      <c r="R133">
        <f ca="1"/>
        <v>0.63608509795733459</v>
      </c>
      <c r="S133">
        <f ca="1"/>
        <v>1</v>
      </c>
      <c r="T133">
        <f ca="1"/>
        <v>0.90712221012964278</v>
      </c>
      <c r="U133">
        <f ca="1"/>
        <v>0</v>
      </c>
      <c r="V133">
        <f ca="1"/>
        <v>0.8837465012021819</v>
      </c>
      <c r="X133" s="2">
        <f t="shared" ca="1" si="8"/>
        <v>45543</v>
      </c>
      <c r="Y133">
        <f t="shared" ca="1" si="9"/>
        <v>0</v>
      </c>
      <c r="AA133" s="63">
        <f t="shared" ca="1" si="11"/>
        <v>128.91366587328469</v>
      </c>
      <c r="AB133" s="63">
        <f t="shared" ca="1" si="12"/>
        <v>128.91366587328469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45544</v>
      </c>
      <c r="K134">
        <f ca="1"/>
        <v>125.78563980098295</v>
      </c>
      <c r="L134">
        <f ca="1"/>
        <v>1.0212364697529708</v>
      </c>
      <c r="M134">
        <f ca="1"/>
        <v>3.2669055235137634E-2</v>
      </c>
      <c r="N134">
        <f ca="1"/>
        <v>0.67498314460483333</v>
      </c>
      <c r="O134">
        <f ca="1"/>
        <v>0</v>
      </c>
      <c r="P134">
        <f ca="1"/>
        <v>42.260697960806979</v>
      </c>
      <c r="Q134">
        <f ca="1"/>
        <v>27.137094979652126</v>
      </c>
      <c r="R134">
        <f ca="1"/>
        <v>1.226136541016535</v>
      </c>
      <c r="S134">
        <f ca="1"/>
        <v>1</v>
      </c>
      <c r="T134">
        <f ca="1"/>
        <v>1.769999999999996</v>
      </c>
      <c r="U134">
        <f ca="1"/>
        <v>0</v>
      </c>
      <c r="V134">
        <f ca="1"/>
        <v>0.89056249725287784</v>
      </c>
      <c r="X134" s="2">
        <f t="shared" ca="1" si="8"/>
        <v>45544</v>
      </c>
      <c r="Y134">
        <f t="shared" ca="1" si="9"/>
        <v>0</v>
      </c>
      <c r="AA134" s="63">
        <f t="shared" ca="1" si="11"/>
        <v>128.03301281175246</v>
      </c>
      <c r="AB134" s="63">
        <f t="shared" ca="1" si="12"/>
        <v>128.03301281175246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45545</v>
      </c>
      <c r="K135">
        <f ca="1"/>
        <v>171.03015381363184</v>
      </c>
      <c r="L135">
        <f ca="1"/>
        <v>1.1010811479578209</v>
      </c>
      <c r="M135">
        <f ca="1"/>
        <v>3.3077188778134925E-2</v>
      </c>
      <c r="N135">
        <f ca="1"/>
        <v>0.71199334792503333</v>
      </c>
      <c r="O135">
        <f ca="1"/>
        <v>50</v>
      </c>
      <c r="P135">
        <f ca="1"/>
        <v>43.3617791087648</v>
      </c>
      <c r="Q135">
        <f ca="1"/>
        <v>27.844138287837598</v>
      </c>
      <c r="R135">
        <f ca="1"/>
        <v>4.3994753760964809</v>
      </c>
      <c r="S135">
        <f ca="1"/>
        <v>1</v>
      </c>
      <c r="T135">
        <f ca="1"/>
        <v>4.7600000000000051</v>
      </c>
      <c r="U135">
        <f ca="1"/>
        <v>0</v>
      </c>
      <c r="V135">
        <f ca="1"/>
        <v>0.89736782937756687</v>
      </c>
      <c r="X135" s="2">
        <f t="shared" ca="1" si="8"/>
        <v>45545</v>
      </c>
      <c r="Y135">
        <f t="shared" ca="1" si="9"/>
        <v>50</v>
      </c>
      <c r="AA135" s="63">
        <f t="shared" ca="1" si="11"/>
        <v>176.53071033768612</v>
      </c>
      <c r="AB135" s="63">
        <f t="shared" ca="1" si="12"/>
        <v>176.53071033768614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45546</v>
      </c>
      <c r="K136">
        <f ca="1"/>
        <v>170.56113799327539</v>
      </c>
      <c r="L136">
        <f ca="1"/>
        <v>1.1059555907382972</v>
      </c>
      <c r="M136">
        <f ca="1"/>
        <v>3.1805772017312606E-2</v>
      </c>
      <c r="N136">
        <f ca="1"/>
        <v>0.69906621928832946</v>
      </c>
      <c r="O136">
        <f ca="1"/>
        <v>0</v>
      </c>
      <c r="P136">
        <f ca="1"/>
        <v>44.467734699503097</v>
      </c>
      <c r="Q136">
        <f ca="1"/>
        <v>28.554311648840205</v>
      </c>
      <c r="R136">
        <f ca="1"/>
        <v>9.3932220923827484E-2</v>
      </c>
      <c r="S136">
        <f ca="1"/>
        <v>1</v>
      </c>
      <c r="T136">
        <f ca="1"/>
        <v>9.9999999999994316E-2</v>
      </c>
      <c r="U136">
        <f ca="1"/>
        <v>0</v>
      </c>
      <c r="V136">
        <f ca="1"/>
        <v>0.90368412799367193</v>
      </c>
      <c r="X136" s="2">
        <f t="shared" ca="1" si="8"/>
        <v>45546</v>
      </c>
      <c r="Y136">
        <f t="shared" ca="1" si="9"/>
        <v>0</v>
      </c>
      <c r="AA136" s="63">
        <f t="shared" ca="1" si="11"/>
        <v>171.7610258049375</v>
      </c>
      <c r="AB136" s="63">
        <f t="shared" ca="1" si="12"/>
        <v>171.7610258049375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45547</v>
      </c>
      <c r="K137">
        <f ca="1"/>
        <v>170.13124898714861</v>
      </c>
      <c r="L137">
        <f ca="1"/>
        <v>1.2149455035957715</v>
      </c>
      <c r="M137">
        <f ca="1"/>
        <v>3.267026087506153E-2</v>
      </c>
      <c r="N137">
        <f ca="1"/>
        <v>0.75238623659392923</v>
      </c>
      <c r="O137">
        <f ca="1"/>
        <v>0</v>
      </c>
      <c r="P137">
        <f ca="1"/>
        <v>45.682680203098869</v>
      </c>
      <c r="Q137">
        <f ca="1"/>
        <v>29.334471303485678</v>
      </c>
      <c r="R137">
        <f ca="1"/>
        <v>0</v>
      </c>
      <c r="S137">
        <f ca="1"/>
        <v>0.99449275362318845</v>
      </c>
      <c r="T137">
        <f ca="1"/>
        <v>0</v>
      </c>
      <c r="U137">
        <f ca="1"/>
        <v>0</v>
      </c>
      <c r="V137">
        <f ca="1"/>
        <v>0.9100770630870727</v>
      </c>
      <c r="X137" s="2">
        <f t="shared" ca="1" si="8"/>
        <v>45547</v>
      </c>
      <c r="Y137">
        <f t="shared" ca="1" si="9"/>
        <v>0</v>
      </c>
      <c r="AA137" s="63">
        <f t="shared" ca="1" si="11"/>
        <v>171.34619449074438</v>
      </c>
      <c r="AB137" s="63">
        <f t="shared" ca="1" si="12"/>
        <v>171.34619449074438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45548</v>
      </c>
      <c r="K138">
        <f ca="1"/>
        <v>169.31191885593742</v>
      </c>
      <c r="L138">
        <f ca="1"/>
        <v>1.2304115808517224</v>
      </c>
      <c r="M138">
        <f ca="1"/>
        <v>3.153192021307305E-2</v>
      </c>
      <c r="N138">
        <f ca="1"/>
        <v>0.74391362987167331</v>
      </c>
      <c r="O138">
        <f ca="1"/>
        <v>0</v>
      </c>
      <c r="P138">
        <f ca="1"/>
        <v>46.913091783950591</v>
      </c>
      <c r="Q138">
        <f ca="1"/>
        <v>30.124562275589433</v>
      </c>
      <c r="R138">
        <f ca="1"/>
        <v>0.36436410044423145</v>
      </c>
      <c r="S138">
        <f ca="1"/>
        <v>1</v>
      </c>
      <c r="T138">
        <f ca="1"/>
        <v>0.39076309727373371</v>
      </c>
      <c r="U138">
        <f ca="1"/>
        <v>0</v>
      </c>
      <c r="V138">
        <f ca="1"/>
        <v>0.91602278805812487</v>
      </c>
      <c r="X138" s="2">
        <f t="shared" ca="1" si="8"/>
        <v>45548</v>
      </c>
      <c r="Y138">
        <f t="shared" ca="1" si="9"/>
        <v>0</v>
      </c>
      <c r="AA138" s="63">
        <f t="shared" ca="1" si="11"/>
        <v>170.90669453723336</v>
      </c>
      <c r="AB138" s="63">
        <f t="shared" ca="1" si="12"/>
        <v>170.90669453723336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45549</v>
      </c>
      <c r="K139">
        <f ca="1"/>
        <v>168.81609386219395</v>
      </c>
      <c r="L139">
        <f ca="1"/>
        <v>1.2901500468757234</v>
      </c>
      <c r="M139">
        <f ca="1"/>
        <v>3.126305260586193E-2</v>
      </c>
      <c r="N139">
        <f ca="1"/>
        <v>0.76306200052639228</v>
      </c>
      <c r="O139">
        <f ca="1"/>
        <v>0</v>
      </c>
      <c r="P139">
        <f ca="1"/>
        <v>48.203241830826315</v>
      </c>
      <c r="Q139">
        <f ca="1"/>
        <v>30.953013438240333</v>
      </c>
      <c r="R139">
        <f ca="1"/>
        <v>0</v>
      </c>
      <c r="S139">
        <f ca="1"/>
        <v>0.99275362318840576</v>
      </c>
      <c r="T139">
        <f ca="1"/>
        <v>0</v>
      </c>
      <c r="U139">
        <f ca="1"/>
        <v>0</v>
      </c>
      <c r="V139">
        <f ca="1"/>
        <v>0.92174080034514283</v>
      </c>
      <c r="X139" s="2">
        <f t="shared" ref="X139:X202" ca="1" si="15">IFERROR(J139,$X$9)</f>
        <v>45549</v>
      </c>
      <c r="Y139">
        <f t="shared" ref="Y139:Y202" ca="1" si="16">IFERROR(O139,0)</f>
        <v>0</v>
      </c>
      <c r="AA139" s="63">
        <f t="shared" ca="1" si="11"/>
        <v>170.10624390906966</v>
      </c>
      <c r="AB139" s="63">
        <f t="shared" ca="1" si="12"/>
        <v>170.10624390906969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45550</v>
      </c>
      <c r="K140">
        <f ca="1"/>
        <v>168.09698691143927</v>
      </c>
      <c r="L140">
        <f ca="1"/>
        <v>1.3113793246256051</v>
      </c>
      <c r="M140">
        <f ca="1"/>
        <v>3.0248437371161785E-2</v>
      </c>
      <c r="N140">
        <f ca="1"/>
        <v>0.75735649553547946</v>
      </c>
      <c r="O140">
        <f ca="1"/>
        <v>0</v>
      </c>
      <c r="P140">
        <f ca="1"/>
        <v>49.51462115545192</v>
      </c>
      <c r="Q140">
        <f ca="1"/>
        <v>31.795096674057241</v>
      </c>
      <c r="R140">
        <f ca="1"/>
        <v>0.19533255903570132</v>
      </c>
      <c r="S140">
        <f ca="1"/>
        <v>1</v>
      </c>
      <c r="T140">
        <f ca="1"/>
        <v>0.21099890669169952</v>
      </c>
      <c r="U140">
        <f ca="1"/>
        <v>0</v>
      </c>
      <c r="V140">
        <f ca="1"/>
        <v>0.92706395584277779</v>
      </c>
      <c r="X140" s="2">
        <f t="shared" ca="1" si="15"/>
        <v>45550</v>
      </c>
      <c r="Y140">
        <f t="shared" ca="1" si="16"/>
        <v>0</v>
      </c>
      <c r="AA140" s="63">
        <f t="shared" ca="1" si="11"/>
        <v>169.6036987951006</v>
      </c>
      <c r="AB140" s="63">
        <f t="shared" ca="1" si="12"/>
        <v>169.60369879510057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45551</v>
      </c>
      <c r="K141">
        <f ca="1"/>
        <v>165.17149716167208</v>
      </c>
      <c r="L141">
        <f ca="1"/>
        <v>1.4527535167519119</v>
      </c>
      <c r="M141">
        <f ca="1"/>
        <v>3.1342063684610011E-2</v>
      </c>
      <c r="N141">
        <f ca="1"/>
        <v>0.8246004342982739</v>
      </c>
      <c r="O141">
        <f ca="1"/>
        <v>0</v>
      </c>
      <c r="P141">
        <f ca="1"/>
        <v>50.967374672203832</v>
      </c>
      <c r="Q141">
        <f ca="1"/>
        <v>32.727961299309804</v>
      </c>
      <c r="R141">
        <f ca="1"/>
        <v>2.3286787309981851</v>
      </c>
      <c r="S141">
        <f ca="1"/>
        <v>1</v>
      </c>
      <c r="T141">
        <f ca="1"/>
        <v>2.5600000000000023</v>
      </c>
      <c r="U141">
        <f ca="1"/>
        <v>0</v>
      </c>
      <c r="V141">
        <f ca="1"/>
        <v>0.93244392941140253</v>
      </c>
      <c r="X141" s="2">
        <f t="shared" ca="1" si="15"/>
        <v>45551</v>
      </c>
      <c r="Y141">
        <f t="shared" ca="1" si="16"/>
        <v>0</v>
      </c>
      <c r="AA141" s="63">
        <f t="shared" ref="AA141:AA204" ca="1" si="18">K140+M141+N141+O141</f>
        <v>168.95292940942215</v>
      </c>
      <c r="AB141" s="63">
        <f t="shared" ref="AB141:AB204" ca="1" si="19">K141+L141+R141</f>
        <v>168.95292940942218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45552</v>
      </c>
      <c r="K142">
        <f ca="1"/>
        <v>162.85673154464388</v>
      </c>
      <c r="L142">
        <f ca="1"/>
        <v>1.3830701683859417</v>
      </c>
      <c r="M142">
        <f ca="1"/>
        <v>2.8704367390783858E-2</v>
      </c>
      <c r="N142">
        <f ca="1"/>
        <v>0.76163310186510647</v>
      </c>
      <c r="O142">
        <f ca="1"/>
        <v>0</v>
      </c>
      <c r="P142">
        <f ca="1"/>
        <v>52.350444840589773</v>
      </c>
      <c r="Q142">
        <f ca="1"/>
        <v>33.61607977188735</v>
      </c>
      <c r="R142">
        <f ca="1"/>
        <v>1.7220329178981488</v>
      </c>
      <c r="S142">
        <f ca="1"/>
        <v>1</v>
      </c>
      <c r="T142">
        <f ca="1"/>
        <v>1.9200000000000017</v>
      </c>
      <c r="U142">
        <f ca="1"/>
        <v>0</v>
      </c>
      <c r="V142">
        <f ca="1"/>
        <v>0.93711262248938576</v>
      </c>
      <c r="X142" s="2">
        <f t="shared" ca="1" si="15"/>
        <v>45552</v>
      </c>
      <c r="Y142">
        <f t="shared" ca="1" si="16"/>
        <v>0</v>
      </c>
      <c r="AA142" s="63">
        <f t="shared" ca="1" si="18"/>
        <v>165.96183463092797</v>
      </c>
      <c r="AB142" s="63">
        <f t="shared" ca="1" si="19"/>
        <v>165.96183463092797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45553</v>
      </c>
      <c r="K143">
        <f ca="1"/>
        <v>156.42814199702917</v>
      </c>
      <c r="L143">
        <f ca="1"/>
        <v>1.3078876652177627</v>
      </c>
      <c r="M143">
        <f ca="1"/>
        <v>2.6350244758639008E-2</v>
      </c>
      <c r="N143">
        <f ca="1"/>
        <v>0.70245355372461293</v>
      </c>
      <c r="O143">
        <f ca="1"/>
        <v>0</v>
      </c>
      <c r="P143">
        <f ca="1"/>
        <v>53.658332505807536</v>
      </c>
      <c r="Q143">
        <f ca="1"/>
        <v>34.455920889197948</v>
      </c>
      <c r="R143">
        <f ca="1"/>
        <v>5.8495056808802177</v>
      </c>
      <c r="S143">
        <f ca="1"/>
        <v>1</v>
      </c>
      <c r="T143">
        <f ca="1"/>
        <v>6.7900000000000063</v>
      </c>
      <c r="U143">
        <f ca="1"/>
        <v>0</v>
      </c>
      <c r="V143">
        <f ca="1"/>
        <v>0.94116202507189006</v>
      </c>
      <c r="X143" s="2">
        <f t="shared" ca="1" si="15"/>
        <v>45553</v>
      </c>
      <c r="Y143">
        <f t="shared" ca="1" si="16"/>
        <v>0</v>
      </c>
      <c r="AA143" s="63">
        <f t="shared" ca="1" si="18"/>
        <v>163.58553534312713</v>
      </c>
      <c r="AB143" s="63">
        <f t="shared" ca="1" si="19"/>
        <v>163.58553534312716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45554</v>
      </c>
      <c r="K144">
        <f ca="1"/>
        <v>154.33135453545822</v>
      </c>
      <c r="L144">
        <f ca="1"/>
        <v>1.3213921152852492</v>
      </c>
      <c r="M144">
        <f ca="1"/>
        <v>2.5485338833791005E-2</v>
      </c>
      <c r="N144">
        <f ca="1"/>
        <v>0.69501511072565969</v>
      </c>
      <c r="O144">
        <f ca="1"/>
        <v>0</v>
      </c>
      <c r="P144">
        <f ca="1"/>
        <v>54.979724621092785</v>
      </c>
      <c r="Q144">
        <f ca="1"/>
        <v>35.304433693485166</v>
      </c>
      <c r="R144">
        <f ca="1"/>
        <v>1.4958957958451293</v>
      </c>
      <c r="S144">
        <f ca="1"/>
        <v>1</v>
      </c>
      <c r="T144">
        <f ca="1"/>
        <v>1.7599999999999909</v>
      </c>
      <c r="U144">
        <f ca="1"/>
        <v>0</v>
      </c>
      <c r="V144">
        <f ca="1"/>
        <v>0.94492737025313167</v>
      </c>
      <c r="X144" s="2">
        <f t="shared" ca="1" si="15"/>
        <v>45554</v>
      </c>
      <c r="Y144">
        <f t="shared" ca="1" si="16"/>
        <v>0</v>
      </c>
      <c r="AA144" s="63">
        <f t="shared" ca="1" si="18"/>
        <v>157.14864244658861</v>
      </c>
      <c r="AB144" s="63">
        <f t="shared" ca="1" si="19"/>
        <v>157.14864244658861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45555</v>
      </c>
      <c r="K145">
        <f ca="1"/>
        <v>153.73652069839514</v>
      </c>
      <c r="L145">
        <f ca="1"/>
        <v>1.2779978699043752</v>
      </c>
      <c r="M145">
        <f ca="1"/>
        <v>2.3939041534292826E-2</v>
      </c>
      <c r="N145">
        <f ca="1"/>
        <v>0.65922499130699241</v>
      </c>
      <c r="O145">
        <f ca="1"/>
        <v>0</v>
      </c>
      <c r="P145">
        <f ca="1"/>
        <v>56.25772249099716</v>
      </c>
      <c r="Q145">
        <f ca="1"/>
        <v>36.12508151173823</v>
      </c>
      <c r="R145">
        <f ca="1"/>
        <v>0</v>
      </c>
      <c r="S145">
        <f ca="1"/>
        <v>0.99507246376811587</v>
      </c>
      <c r="T145">
        <f ca="1"/>
        <v>0</v>
      </c>
      <c r="U145">
        <f ca="1"/>
        <v>0</v>
      </c>
      <c r="V145">
        <f ca="1"/>
        <v>0.94828650288296568</v>
      </c>
      <c r="X145" s="2">
        <f t="shared" ca="1" si="15"/>
        <v>45555</v>
      </c>
      <c r="Y145">
        <f t="shared" ca="1" si="16"/>
        <v>0</v>
      </c>
      <c r="AA145" s="63">
        <f t="shared" ca="1" si="18"/>
        <v>155.01451856829951</v>
      </c>
      <c r="AB145" s="63">
        <f t="shared" ca="1" si="19"/>
        <v>155.01451856829951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45556</v>
      </c>
      <c r="K146">
        <f ca="1"/>
        <v>152.02359466399011</v>
      </c>
      <c r="L146">
        <f ca="1"/>
        <v>1.3442887209102281</v>
      </c>
      <c r="M146">
        <f ca="1"/>
        <v>2.3856617665268587E-2</v>
      </c>
      <c r="N146">
        <f ca="1"/>
        <v>0.67962399241853055</v>
      </c>
      <c r="O146">
        <f ca="1"/>
        <v>0</v>
      </c>
      <c r="P146">
        <f ca="1"/>
        <v>57.602011211907389</v>
      </c>
      <c r="Q146">
        <f ca="1"/>
        <v>36.988297039632442</v>
      </c>
      <c r="R146">
        <f ca="1"/>
        <v>1.0721179235785858</v>
      </c>
      <c r="S146">
        <f ca="1"/>
        <v>1</v>
      </c>
      <c r="T146">
        <f ca="1"/>
        <v>1.2805515120761015</v>
      </c>
      <c r="U146">
        <f ca="1"/>
        <v>0</v>
      </c>
      <c r="V146">
        <f ca="1"/>
        <v>0.95154783135891641</v>
      </c>
      <c r="X146" s="2">
        <f t="shared" ca="1" si="15"/>
        <v>45556</v>
      </c>
      <c r="Y146">
        <f t="shared" ca="1" si="16"/>
        <v>0</v>
      </c>
      <c r="AA146" s="63">
        <f t="shared" ca="1" si="18"/>
        <v>154.44000130847894</v>
      </c>
      <c r="AB146" s="63">
        <f t="shared" ca="1" si="19"/>
        <v>154.44000130847891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45557</v>
      </c>
      <c r="K147">
        <f ca="1"/>
        <v>151.30212753424635</v>
      </c>
      <c r="L147">
        <f ca="1"/>
        <v>1.480144498143666</v>
      </c>
      <c r="M147">
        <f ca="1"/>
        <v>2.4572193581796853E-2</v>
      </c>
      <c r="N147">
        <f ca="1"/>
        <v>0.73410517481809712</v>
      </c>
      <c r="O147">
        <f ca="1"/>
        <v>0</v>
      </c>
      <c r="P147">
        <f ca="1"/>
        <v>59.082155710051055</v>
      </c>
      <c r="Q147">
        <f ca="1"/>
        <v>37.93875038678221</v>
      </c>
      <c r="R147">
        <f ca="1"/>
        <v>0</v>
      </c>
      <c r="S147">
        <f ca="1"/>
        <v>0.99507246376811609</v>
      </c>
      <c r="T147">
        <f ca="1"/>
        <v>0</v>
      </c>
      <c r="U147">
        <f ca="1"/>
        <v>0</v>
      </c>
      <c r="V147">
        <f ca="1"/>
        <v>0.95484670094339197</v>
      </c>
      <c r="X147" s="2">
        <f t="shared" ca="1" si="15"/>
        <v>45557</v>
      </c>
      <c r="Y147">
        <f t="shared" ca="1" si="16"/>
        <v>0</v>
      </c>
      <c r="AA147" s="63">
        <f t="shared" ca="1" si="18"/>
        <v>152.78227203239001</v>
      </c>
      <c r="AB147" s="63">
        <f t="shared" ca="1" si="19"/>
        <v>152.78227203239001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45558</v>
      </c>
      <c r="K148">
        <f ca="1"/>
        <v>147.6561944426623</v>
      </c>
      <c r="L148">
        <f ca="1"/>
        <v>1.6078512350104788</v>
      </c>
      <c r="M148">
        <f ca="1"/>
        <v>2.5083287617691852E-2</v>
      </c>
      <c r="N148">
        <f ca="1"/>
        <v>0.78324343852350387</v>
      </c>
      <c r="O148">
        <f ca="1"/>
        <v>0</v>
      </c>
      <c r="P148">
        <f ca="1"/>
        <v>60.690006945061533</v>
      </c>
      <c r="Q148">
        <f ca="1"/>
        <v>38.971208764968381</v>
      </c>
      <c r="R148">
        <f ca="1"/>
        <v>2.8464085827147456</v>
      </c>
      <c r="S148">
        <f ca="1"/>
        <v>1</v>
      </c>
      <c r="T148">
        <f ca="1"/>
        <v>3.5003467086542344</v>
      </c>
      <c r="U148">
        <f ca="1"/>
        <v>0</v>
      </c>
      <c r="V148">
        <f ca="1"/>
        <v>0.95811817727347748</v>
      </c>
      <c r="X148" s="2">
        <f t="shared" ca="1" si="15"/>
        <v>45558</v>
      </c>
      <c r="Y148">
        <f t="shared" ca="1" si="16"/>
        <v>0</v>
      </c>
      <c r="AA148" s="63">
        <f t="shared" ca="1" si="18"/>
        <v>152.11045426038754</v>
      </c>
      <c r="AB148" s="63">
        <f t="shared" ca="1" si="19"/>
        <v>152.11045426038754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45559</v>
      </c>
      <c r="K149">
        <f ca="1"/>
        <v>146.78901828190277</v>
      </c>
      <c r="L149">
        <f ca="1"/>
        <v>1.7094669337289972</v>
      </c>
      <c r="M149">
        <f ca="1"/>
        <v>2.517303490831857E-2</v>
      </c>
      <c r="N149">
        <f ca="1"/>
        <v>0.81711773806115839</v>
      </c>
      <c r="O149">
        <f ca="1"/>
        <v>0</v>
      </c>
      <c r="P149">
        <f ca="1"/>
        <v>62.399473878790531</v>
      </c>
      <c r="Q149">
        <f ca="1"/>
        <v>40.06891819201573</v>
      </c>
      <c r="R149">
        <f ca="1"/>
        <v>0</v>
      </c>
      <c r="S149">
        <f ca="1"/>
        <v>0.99130434782608678</v>
      </c>
      <c r="T149">
        <f ca="1"/>
        <v>0</v>
      </c>
      <c r="U149">
        <f ca="1"/>
        <v>0</v>
      </c>
      <c r="V149">
        <f ca="1"/>
        <v>0.96127800079301107</v>
      </c>
      <c r="X149" s="2">
        <f t="shared" ca="1" si="15"/>
        <v>45559</v>
      </c>
      <c r="Y149">
        <f t="shared" ca="1" si="16"/>
        <v>0</v>
      </c>
      <c r="AA149" s="63">
        <f t="shared" ca="1" si="18"/>
        <v>148.49848521563177</v>
      </c>
      <c r="AB149" s="63">
        <f t="shared" ca="1" si="19"/>
        <v>148.49848521563177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45560</v>
      </c>
      <c r="K150">
        <f ca="1"/>
        <v>145.9114968799135</v>
      </c>
      <c r="L150">
        <f ca="1"/>
        <v>1.6874428827988766</v>
      </c>
      <c r="M150">
        <f ca="1"/>
        <v>2.3767989299155801E-2</v>
      </c>
      <c r="N150">
        <f ca="1"/>
        <v>0.78615349151045522</v>
      </c>
      <c r="O150">
        <f ca="1"/>
        <v>0</v>
      </c>
      <c r="P150">
        <f ca="1"/>
        <v>64.086916761589407</v>
      </c>
      <c r="Q150">
        <f ca="1"/>
        <v>41.152485193812986</v>
      </c>
      <c r="R150">
        <f ca="1"/>
        <v>0</v>
      </c>
      <c r="S150">
        <f ca="1"/>
        <v>0.97450288503620641</v>
      </c>
      <c r="T150">
        <f ca="1"/>
        <v>0</v>
      </c>
      <c r="U150">
        <f ca="1"/>
        <v>0</v>
      </c>
      <c r="V150">
        <f ca="1"/>
        <v>0.96411037397388644</v>
      </c>
      <c r="X150" s="2">
        <f t="shared" ca="1" si="15"/>
        <v>45560</v>
      </c>
      <c r="Y150">
        <f t="shared" ca="1" si="16"/>
        <v>0</v>
      </c>
      <c r="AA150" s="63">
        <f t="shared" ca="1" si="18"/>
        <v>147.59893976271238</v>
      </c>
      <c r="AB150" s="63">
        <f t="shared" ca="1" si="19"/>
        <v>147.59893976271238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45561</v>
      </c>
      <c r="K151">
        <f ca="1"/>
        <v>144.96335873551277</v>
      </c>
      <c r="L151">
        <f ca="1"/>
        <v>1.7781115846444635</v>
      </c>
      <c r="M151">
        <f ca="1"/>
        <v>2.3690438879185649E-2</v>
      </c>
      <c r="N151">
        <f ca="1"/>
        <v>0.806283001364552</v>
      </c>
      <c r="O151">
        <f ca="1"/>
        <v>0</v>
      </c>
      <c r="P151">
        <f ca="1"/>
        <v>65.865028346233871</v>
      </c>
      <c r="Q151">
        <f ca="1"/>
        <v>42.294273789014774</v>
      </c>
      <c r="R151">
        <f ca="1"/>
        <v>0</v>
      </c>
      <c r="S151">
        <f ca="1"/>
        <v>0.95424306819349392</v>
      </c>
      <c r="T151">
        <f ca="1"/>
        <v>0</v>
      </c>
      <c r="U151">
        <f ca="1"/>
        <v>0</v>
      </c>
      <c r="V151">
        <f ca="1"/>
        <v>0.96682077031022118</v>
      </c>
      <c r="X151" s="2">
        <f t="shared" ca="1" si="15"/>
        <v>45561</v>
      </c>
      <c r="Y151">
        <f t="shared" ca="1" si="16"/>
        <v>0</v>
      </c>
      <c r="AA151" s="63">
        <f t="shared" ca="1" si="18"/>
        <v>146.74147032015725</v>
      </c>
      <c r="AB151" s="63">
        <f t="shared" ca="1" si="19"/>
        <v>146.74147032015725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45562</v>
      </c>
      <c r="K152">
        <f ca="1"/>
        <v>143.95997904571891</v>
      </c>
      <c r="L152">
        <f ca="1"/>
        <v>1.860484140309282</v>
      </c>
      <c r="M152">
        <f ca="1"/>
        <v>2.3468659021315119E-2</v>
      </c>
      <c r="N152">
        <f ca="1"/>
        <v>0.83363579149412448</v>
      </c>
      <c r="O152">
        <f ca="1"/>
        <v>0</v>
      </c>
      <c r="P152">
        <f ca="1"/>
        <v>67.725512486543153</v>
      </c>
      <c r="Q152">
        <f ca="1"/>
        <v>43.48895672753445</v>
      </c>
      <c r="R152">
        <f ca="1"/>
        <v>0</v>
      </c>
      <c r="S152">
        <f ca="1"/>
        <v>0.99805442190367233</v>
      </c>
      <c r="T152">
        <f ca="1"/>
        <v>0</v>
      </c>
      <c r="U152">
        <f ca="1"/>
        <v>0</v>
      </c>
      <c r="V152">
        <f ca="1"/>
        <v>0.96938911680305595</v>
      </c>
      <c r="X152" s="2">
        <f t="shared" ca="1" si="15"/>
        <v>45562</v>
      </c>
      <c r="Y152">
        <f t="shared" ca="1" si="16"/>
        <v>0</v>
      </c>
      <c r="AA152" s="63">
        <f t="shared" ca="1" si="18"/>
        <v>145.82046318602821</v>
      </c>
      <c r="AB152" s="63">
        <f t="shared" ca="1" si="19"/>
        <v>145.82046318602818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45563</v>
      </c>
      <c r="K153">
        <f ca="1"/>
        <v>142.8889960659717</v>
      </c>
      <c r="L153">
        <f ca="1"/>
        <v>1.9523134199079522</v>
      </c>
      <c r="M153">
        <f ca="1"/>
        <v>2.3300417937628382E-2</v>
      </c>
      <c r="N153">
        <f ca="1"/>
        <v>0.85803002222311442</v>
      </c>
      <c r="O153">
        <f ca="1"/>
        <v>0</v>
      </c>
      <c r="P153">
        <f ca="1"/>
        <v>69.677825906451105</v>
      </c>
      <c r="Q153">
        <f ca="1"/>
        <v>44.74260650764991</v>
      </c>
      <c r="R153">
        <f ca="1"/>
        <v>0</v>
      </c>
      <c r="S153">
        <f ca="1"/>
        <v>0.99573741657776282</v>
      </c>
      <c r="T153">
        <f ca="1"/>
        <v>0</v>
      </c>
      <c r="U153">
        <f ca="1"/>
        <v>0</v>
      </c>
      <c r="V153">
        <f ca="1"/>
        <v>0.97182366029492606</v>
      </c>
      <c r="X153" s="2">
        <f t="shared" ca="1" si="15"/>
        <v>45563</v>
      </c>
      <c r="Y153">
        <f t="shared" ca="1" si="16"/>
        <v>0</v>
      </c>
      <c r="AA153" s="63">
        <f t="shared" ca="1" si="18"/>
        <v>144.84130948587966</v>
      </c>
      <c r="AB153" s="63">
        <f t="shared" ca="1" si="19"/>
        <v>144.84130948587966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45564</v>
      </c>
      <c r="K154">
        <f ca="1"/>
        <v>139.57266344042182</v>
      </c>
      <c r="L154">
        <f ca="1"/>
        <v>1.9760328589703278</v>
      </c>
      <c r="M154">
        <f ca="1"/>
        <v>2.2419644417510654E-2</v>
      </c>
      <c r="N154">
        <f ca="1"/>
        <v>0.84806718552572091</v>
      </c>
      <c r="O154">
        <f ca="1"/>
        <v>0</v>
      </c>
      <c r="P154">
        <f ca="1"/>
        <v>71.653858765421433</v>
      </c>
      <c r="Q154">
        <f ca="1"/>
        <v>46.011487381944093</v>
      </c>
      <c r="R154">
        <f ca="1"/>
        <v>2.2107865965227869</v>
      </c>
      <c r="S154">
        <f ca="1"/>
        <v>1</v>
      </c>
      <c r="T154">
        <f ca="1"/>
        <v>2.8761527734560843</v>
      </c>
      <c r="U154">
        <f ca="1"/>
        <v>0</v>
      </c>
      <c r="V154">
        <f ca="1"/>
        <v>0.97404758765467003</v>
      </c>
      <c r="X154" s="2">
        <f t="shared" ca="1" si="15"/>
        <v>45564</v>
      </c>
      <c r="Y154">
        <f t="shared" ca="1" si="16"/>
        <v>0</v>
      </c>
      <c r="AA154" s="63">
        <f t="shared" ca="1" si="18"/>
        <v>143.75948289591491</v>
      </c>
      <c r="AB154" s="63">
        <f t="shared" ca="1" si="19"/>
        <v>143.75948289591491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45565</v>
      </c>
      <c r="K155">
        <f ca="1"/>
        <v>138.49829490392472</v>
      </c>
      <c r="L155">
        <f ca="1"/>
        <v>1.878126797125546</v>
      </c>
      <c r="M155">
        <f ca="1"/>
        <v>2.0514822104962249E-2</v>
      </c>
      <c r="N155">
        <f ca="1"/>
        <v>0.78324343852350387</v>
      </c>
      <c r="O155">
        <f ca="1"/>
        <v>0</v>
      </c>
      <c r="P155">
        <f ca="1"/>
        <v>73.531985562546978</v>
      </c>
      <c r="Q155">
        <f ca="1"/>
        <v>47.217499296955367</v>
      </c>
      <c r="R155">
        <f ca="1"/>
        <v>0</v>
      </c>
      <c r="S155">
        <f ca="1"/>
        <v>0.99826086956521731</v>
      </c>
      <c r="T155">
        <f ca="1"/>
        <v>0</v>
      </c>
      <c r="U155">
        <f ca="1"/>
        <v>0</v>
      </c>
      <c r="V155">
        <f ca="1"/>
        <v>0.97596292938411267</v>
      </c>
      <c r="X155" s="2">
        <f t="shared" ca="1" si="15"/>
        <v>45565</v>
      </c>
      <c r="Y155">
        <f t="shared" ca="1" si="16"/>
        <v>0</v>
      </c>
      <c r="AA155" s="63">
        <f t="shared" ca="1" si="18"/>
        <v>140.37642170105028</v>
      </c>
      <c r="AB155" s="63">
        <f t="shared" ca="1" si="19"/>
        <v>140.37642170105028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45566</v>
      </c>
      <c r="K156">
        <f ca="1"/>
        <v>137.32102694808518</v>
      </c>
      <c r="L156">
        <f ca="1"/>
        <v>1.9778431990774834</v>
      </c>
      <c r="M156">
        <f ca="1"/>
        <v>2.0467970133573488E-2</v>
      </c>
      <c r="N156">
        <f ca="1"/>
        <v>0.81041961802088636</v>
      </c>
      <c r="O156">
        <f ca="1"/>
        <v>0</v>
      </c>
      <c r="P156">
        <f ca="1"/>
        <v>75.509828761624462</v>
      </c>
      <c r="Q156">
        <f ca="1"/>
        <v>48.487542654923601</v>
      </c>
      <c r="R156">
        <f ca="1"/>
        <v>3.0312344916537736E-2</v>
      </c>
      <c r="S156">
        <f ca="1"/>
        <v>1</v>
      </c>
      <c r="T156">
        <f ca="1"/>
        <v>4.0081870959895127E-2</v>
      </c>
      <c r="U156">
        <f ca="1"/>
        <v>0</v>
      </c>
      <c r="V156">
        <f ca="1"/>
        <v>0.97779443304524827</v>
      </c>
      <c r="X156" s="2">
        <f t="shared" ca="1" si="15"/>
        <v>45566</v>
      </c>
      <c r="Y156">
        <f t="shared" ca="1" si="16"/>
        <v>0</v>
      </c>
      <c r="AA156" s="63">
        <f t="shared" ca="1" si="18"/>
        <v>139.32918249207918</v>
      </c>
      <c r="AB156" s="63">
        <f t="shared" ca="1" si="19"/>
        <v>139.32918249207918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45567</v>
      </c>
      <c r="K157">
        <f ca="1"/>
        <v>134.83000077489731</v>
      </c>
      <c r="L157">
        <f ca="1"/>
        <v>2.1749610219940223</v>
      </c>
      <c r="M157">
        <f ca="1"/>
        <v>2.1188608803022646E-2</v>
      </c>
      <c r="N157">
        <f ca="1"/>
        <v>0.88051517453813799</v>
      </c>
      <c r="O157">
        <f ca="1"/>
        <v>0</v>
      </c>
      <c r="P157">
        <f ca="1"/>
        <v>77.684789783618484</v>
      </c>
      <c r="Q157">
        <f ca="1"/>
        <v>49.884162367301059</v>
      </c>
      <c r="R157">
        <f ca="1"/>
        <v>1.2177689345350149</v>
      </c>
      <c r="S157">
        <f ca="1"/>
        <v>1</v>
      </c>
      <c r="T157">
        <f ca="1"/>
        <v>1.6400000000000006</v>
      </c>
      <c r="U157">
        <f ca="1"/>
        <v>0</v>
      </c>
      <c r="V157">
        <f ca="1"/>
        <v>0.97961369717597069</v>
      </c>
      <c r="X157" s="2">
        <f t="shared" ca="1" si="15"/>
        <v>45567</v>
      </c>
      <c r="Y157">
        <f t="shared" ca="1" si="16"/>
        <v>0</v>
      </c>
      <c r="AA157" s="63">
        <f t="shared" ca="1" si="18"/>
        <v>138.22273073142634</v>
      </c>
      <c r="AB157" s="63">
        <f t="shared" ca="1" si="19"/>
        <v>138.22273073142634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45568</v>
      </c>
      <c r="K158">
        <f ca="1"/>
        <v>133.60357677291645</v>
      </c>
      <c r="L158">
        <f ca="1"/>
        <v>2.0508746068965991</v>
      </c>
      <c r="M158">
        <f ca="1"/>
        <v>1.9216881161227661E-2</v>
      </c>
      <c r="N158">
        <f ca="1"/>
        <v>0.8052337237544851</v>
      </c>
      <c r="O158">
        <f ca="1"/>
        <v>0</v>
      </c>
      <c r="P158">
        <f ca="1"/>
        <v>79.735664390515083</v>
      </c>
      <c r="Q158">
        <f ca="1"/>
        <v>51.201101785820008</v>
      </c>
      <c r="R158">
        <f ca="1"/>
        <v>0</v>
      </c>
      <c r="S158">
        <f ca="1"/>
        <v>0.98405797101449266</v>
      </c>
      <c r="T158">
        <f ca="1"/>
        <v>0</v>
      </c>
      <c r="U158">
        <f ca="1"/>
        <v>0</v>
      </c>
      <c r="V158">
        <f ca="1"/>
        <v>0.98116366709400238</v>
      </c>
      <c r="X158" s="2">
        <f t="shared" ca="1" si="15"/>
        <v>45568</v>
      </c>
      <c r="Y158">
        <f t="shared" ca="1" si="16"/>
        <v>0</v>
      </c>
      <c r="AA158" s="63">
        <f t="shared" ca="1" si="18"/>
        <v>135.65445137981305</v>
      </c>
      <c r="AB158" s="63">
        <f t="shared" ca="1" si="19"/>
        <v>135.65445137981305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45569</v>
      </c>
      <c r="K159">
        <f ca="1"/>
        <v>132.34092390858302</v>
      </c>
      <c r="L159">
        <f ca="1"/>
        <v>2.0828176704379331</v>
      </c>
      <c r="M159">
        <f ca="1"/>
        <v>1.8622577822073438E-2</v>
      </c>
      <c r="N159">
        <f ca="1"/>
        <v>0.80154222828245403</v>
      </c>
      <c r="O159">
        <f ca="1"/>
        <v>0</v>
      </c>
      <c r="P159">
        <f ca="1"/>
        <v>81.818482060953016</v>
      </c>
      <c r="Q159">
        <f ca="1"/>
        <v>52.538552979844077</v>
      </c>
      <c r="R159">
        <f ca="1"/>
        <v>0</v>
      </c>
      <c r="S159">
        <f ca="1"/>
        <v>0.98203787409558196</v>
      </c>
      <c r="T159">
        <f ca="1"/>
        <v>0</v>
      </c>
      <c r="U159">
        <f ca="1"/>
        <v>0</v>
      </c>
      <c r="V159">
        <f ca="1"/>
        <v>0.98259211473988217</v>
      </c>
      <c r="X159" s="2">
        <f t="shared" ca="1" si="15"/>
        <v>45569</v>
      </c>
      <c r="Y159">
        <f t="shared" ca="1" si="16"/>
        <v>0</v>
      </c>
      <c r="AA159" s="63">
        <f t="shared" ca="1" si="18"/>
        <v>134.42374157902097</v>
      </c>
      <c r="AB159" s="63">
        <f t="shared" ca="1" si="19"/>
        <v>134.42374157902094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45570</v>
      </c>
      <c r="K160">
        <f ca="1"/>
        <v>131.04458644811544</v>
      </c>
      <c r="L160">
        <f ca="1"/>
        <v>2.1107541188370647</v>
      </c>
      <c r="M160">
        <f ca="1"/>
        <v>1.8024737214208386E-2</v>
      </c>
      <c r="N160">
        <f ca="1"/>
        <v>0.79639192115528268</v>
      </c>
      <c r="O160">
        <f ca="1"/>
        <v>0</v>
      </c>
      <c r="P160">
        <f ca="1"/>
        <v>83.929236179790081</v>
      </c>
      <c r="Q160">
        <f ca="1"/>
        <v>53.893943159502143</v>
      </c>
      <c r="R160">
        <f ca="1"/>
        <v>0</v>
      </c>
      <c r="S160">
        <f ca="1"/>
        <v>0.96625133009067699</v>
      </c>
      <c r="T160">
        <f ca="1"/>
        <v>0</v>
      </c>
      <c r="U160">
        <f ca="1"/>
        <v>0</v>
      </c>
      <c r="V160">
        <f ca="1"/>
        <v>0.9839065329400678</v>
      </c>
      <c r="X160" s="2">
        <f t="shared" ca="1" si="15"/>
        <v>45570</v>
      </c>
      <c r="Y160">
        <f t="shared" ca="1" si="16"/>
        <v>0</v>
      </c>
      <c r="AA160" s="63">
        <f t="shared" ca="1" si="18"/>
        <v>133.1553405669525</v>
      </c>
      <c r="AB160" s="63">
        <f t="shared" ca="1" si="19"/>
        <v>133.1553405669525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45571</v>
      </c>
      <c r="K161">
        <f ca="1"/>
        <v>129.66637380881411</v>
      </c>
      <c r="L161">
        <f ca="1"/>
        <v>2.2059578178569126</v>
      </c>
      <c r="M161">
        <f ca="1"/>
        <v>1.7896366525256724E-2</v>
      </c>
      <c r="N161">
        <f ca="1"/>
        <v>0.80984881203030779</v>
      </c>
      <c r="O161">
        <f ca="1"/>
        <v>0</v>
      </c>
      <c r="P161">
        <f ca="1"/>
        <v>86.135193997646994</v>
      </c>
      <c r="Q161">
        <f ca="1"/>
        <v>55.310467015303274</v>
      </c>
      <c r="R161">
        <f ca="1"/>
        <v>0</v>
      </c>
      <c r="S161">
        <f ca="1"/>
        <v>0.95192158614907318</v>
      </c>
      <c r="T161">
        <f ca="1"/>
        <v>0</v>
      </c>
      <c r="U161">
        <f ca="1"/>
        <v>0</v>
      </c>
      <c r="V161">
        <f ca="1"/>
        <v>0.98515285197687097</v>
      </c>
      <c r="X161" s="2">
        <f t="shared" ca="1" si="15"/>
        <v>45571</v>
      </c>
      <c r="Y161">
        <f t="shared" ca="1" si="16"/>
        <v>0</v>
      </c>
      <c r="AA161" s="63">
        <f t="shared" ca="1" si="18"/>
        <v>131.87233162667101</v>
      </c>
      <c r="AB161" s="63">
        <f t="shared" ca="1" si="19"/>
        <v>131.87233162667104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45572</v>
      </c>
      <c r="K162">
        <f ca="1"/>
        <v>128.28324567741817</v>
      </c>
      <c r="L162">
        <f ca="1"/>
        <v>2.1995532695301989</v>
      </c>
      <c r="M162">
        <f ca="1"/>
        <v>1.7092724416894356E-2</v>
      </c>
      <c r="N162">
        <f ca="1"/>
        <v>0.79933241371734298</v>
      </c>
      <c r="O162">
        <f ca="1"/>
        <v>0</v>
      </c>
      <c r="P162">
        <f ca="1"/>
        <v>88.334747267177192</v>
      </c>
      <c r="Q162">
        <f ca="1"/>
        <v>56.72287828317684</v>
      </c>
      <c r="R162">
        <f ca="1"/>
        <v>0</v>
      </c>
      <c r="S162">
        <f ca="1"/>
        <v>0.98223142110134631</v>
      </c>
      <c r="T162">
        <f ca="1"/>
        <v>0</v>
      </c>
      <c r="U162">
        <f ca="1"/>
        <v>0</v>
      </c>
      <c r="V162">
        <f ca="1"/>
        <v>0.9862802706368502</v>
      </c>
      <c r="X162" s="2">
        <f t="shared" ca="1" si="15"/>
        <v>45572</v>
      </c>
      <c r="Y162">
        <f t="shared" ca="1" si="16"/>
        <v>0</v>
      </c>
      <c r="AA162" s="63">
        <f t="shared" ca="1" si="18"/>
        <v>130.48279894694835</v>
      </c>
      <c r="AB162" s="63">
        <f t="shared" ca="1" si="19"/>
        <v>130.48279894694838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45573</v>
      </c>
      <c r="K163">
        <f ca="1"/>
        <v>126.89879260077194</v>
      </c>
      <c r="L163">
        <f ca="1"/>
        <v>2.1752520526073056</v>
      </c>
      <c r="M163">
        <f ca="1"/>
        <v>1.6245182152436755E-2</v>
      </c>
      <c r="N163">
        <f ca="1"/>
        <v>0.77455379380864642</v>
      </c>
      <c r="O163">
        <f ca="1"/>
        <v>0</v>
      </c>
      <c r="P163">
        <f ca="1"/>
        <v>90.509999319784498</v>
      </c>
      <c r="Q163">
        <f ca="1"/>
        <v>58.119684876646566</v>
      </c>
      <c r="R163">
        <f ca="1"/>
        <v>0</v>
      </c>
      <c r="S163">
        <f ca="1"/>
        <v>0.98078973650995505</v>
      </c>
      <c r="T163">
        <f ca="1"/>
        <v>0</v>
      </c>
      <c r="U163">
        <f ca="1"/>
        <v>0</v>
      </c>
      <c r="V163">
        <f ca="1"/>
        <v>0.98729442581169991</v>
      </c>
      <c r="X163" s="2">
        <f t="shared" ca="1" si="15"/>
        <v>45573</v>
      </c>
      <c r="Y163">
        <f t="shared" ca="1" si="16"/>
        <v>0</v>
      </c>
      <c r="AA163" s="63">
        <f t="shared" ca="1" si="18"/>
        <v>129.07404465337925</v>
      </c>
      <c r="AB163" s="63">
        <f t="shared" ca="1" si="19"/>
        <v>129.07404465337925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45574</v>
      </c>
      <c r="K164">
        <f ca="1"/>
        <v>125.5011867630367</v>
      </c>
      <c r="L164">
        <f ca="1"/>
        <v>2.1726871463567505</v>
      </c>
      <c r="M164">
        <f ca="1"/>
        <v>1.5588401298007426E-2</v>
      </c>
      <c r="N164">
        <f ca="1"/>
        <v>0.7594929073235045</v>
      </c>
      <c r="O164">
        <f ca="1"/>
        <v>0</v>
      </c>
      <c r="P164">
        <f ca="1"/>
        <v>92.682686466141249</v>
      </c>
      <c r="Q164">
        <f ca="1"/>
        <v>59.514844452724383</v>
      </c>
      <c r="R164">
        <f ca="1"/>
        <v>0</v>
      </c>
      <c r="S164">
        <f ca="1"/>
        <v>0.98674019565344995</v>
      </c>
      <c r="T164">
        <f ca="1"/>
        <v>0</v>
      </c>
      <c r="U164">
        <f ca="1"/>
        <v>0</v>
      </c>
      <c r="V164">
        <f ca="1"/>
        <v>0.98821801787849928</v>
      </c>
      <c r="X164" s="2">
        <f t="shared" ca="1" si="15"/>
        <v>45574</v>
      </c>
      <c r="Y164">
        <f t="shared" ca="1" si="16"/>
        <v>0</v>
      </c>
      <c r="AA164" s="63">
        <f t="shared" ca="1" si="18"/>
        <v>127.67387390939345</v>
      </c>
      <c r="AB164" s="63">
        <f t="shared" ca="1" si="19"/>
        <v>127.67387390939345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45575</v>
      </c>
      <c r="K165">
        <f ca="1"/>
        <v>123.81326227651574</v>
      </c>
      <c r="L165">
        <f ca="1"/>
        <v>2.4358032956604774</v>
      </c>
      <c r="M165">
        <f ca="1"/>
        <v>1.6423119552632315E-2</v>
      </c>
      <c r="N165">
        <f ca="1"/>
        <v>0.84425453070851975</v>
      </c>
      <c r="O165">
        <f ca="1"/>
        <v>0</v>
      </c>
      <c r="P165">
        <f ca="1"/>
        <v>95.118489761801726</v>
      </c>
      <c r="Q165">
        <f ca="1"/>
        <v>61.078960252406418</v>
      </c>
      <c r="R165">
        <f ca="1"/>
        <v>0.11279884112163455</v>
      </c>
      <c r="S165">
        <f ca="1"/>
        <v>1</v>
      </c>
      <c r="T165">
        <f ca="1"/>
        <v>0.16542569397373086</v>
      </c>
      <c r="U165">
        <f ca="1"/>
        <v>0</v>
      </c>
      <c r="V165">
        <f ca="1"/>
        <v>0.98915876866301</v>
      </c>
      <c r="X165" s="2">
        <f t="shared" ca="1" si="15"/>
        <v>45575</v>
      </c>
      <c r="Y165">
        <f t="shared" ca="1" si="16"/>
        <v>0</v>
      </c>
      <c r="AA165" s="63">
        <f t="shared" ca="1" si="18"/>
        <v>126.36186441329785</v>
      </c>
      <c r="AB165" s="63">
        <f t="shared" ca="1" si="19"/>
        <v>126.36186441329785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45576</v>
      </c>
      <c r="K166">
        <f ca="1"/>
        <v>122.18107480878314</v>
      </c>
      <c r="L166">
        <f ca="1"/>
        <v>2.5001477633711175</v>
      </c>
      <c r="M166">
        <f ca="1"/>
        <v>1.6069788787444139E-2</v>
      </c>
      <c r="N166">
        <f ca="1"/>
        <v>0.85189050685106671</v>
      </c>
      <c r="O166">
        <f ca="1"/>
        <v>0</v>
      </c>
      <c r="P166">
        <f ca="1"/>
        <v>97.618637525172844</v>
      </c>
      <c r="Q166">
        <f ca="1"/>
        <v>62.684393919893125</v>
      </c>
      <c r="R166">
        <f ca="1"/>
        <v>0</v>
      </c>
      <c r="S166">
        <f ca="1"/>
        <v>0.98855072463768112</v>
      </c>
      <c r="T166">
        <f ca="1"/>
        <v>0</v>
      </c>
      <c r="U166">
        <f ca="1"/>
        <v>0</v>
      </c>
      <c r="V166">
        <f ca="1"/>
        <v>0.99003182509493171</v>
      </c>
      <c r="X166" s="2">
        <f t="shared" ca="1" si="15"/>
        <v>45576</v>
      </c>
      <c r="Y166">
        <f t="shared" ca="1" si="16"/>
        <v>0</v>
      </c>
      <c r="AA166" s="63">
        <f t="shared" ca="1" si="18"/>
        <v>124.68122257215425</v>
      </c>
      <c r="AB166" s="63">
        <f t="shared" ca="1" si="19"/>
        <v>124.68122257215425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45577</v>
      </c>
      <c r="K167">
        <f ca="1"/>
        <v>120.55976564067765</v>
      </c>
      <c r="L167">
        <f ca="1"/>
        <v>2.4550725392431758</v>
      </c>
      <c r="M167">
        <f ca="1"/>
        <v>1.515249244103245E-2</v>
      </c>
      <c r="N167">
        <f ca="1"/>
        <v>0.81861087869665961</v>
      </c>
      <c r="O167">
        <f ca="1"/>
        <v>0</v>
      </c>
      <c r="P167">
        <f ca="1"/>
        <v>100.07371006441602</v>
      </c>
      <c r="Q167">
        <f ca="1"/>
        <v>64.260883185195027</v>
      </c>
      <c r="R167">
        <f ca="1"/>
        <v>0</v>
      </c>
      <c r="S167">
        <f ca="1"/>
        <v>0.99927830596741685</v>
      </c>
      <c r="T167">
        <f ca="1"/>
        <v>0</v>
      </c>
      <c r="U167">
        <f ca="1"/>
        <v>0</v>
      </c>
      <c r="V167">
        <f ca="1"/>
        <v>0.99080821743824699</v>
      </c>
      <c r="X167" s="2">
        <f t="shared" ca="1" si="15"/>
        <v>45577</v>
      </c>
      <c r="Y167">
        <f t="shared" ca="1" si="16"/>
        <v>0</v>
      </c>
      <c r="AA167" s="63">
        <f t="shared" ca="1" si="18"/>
        <v>123.01483817992083</v>
      </c>
      <c r="AB167" s="63">
        <f t="shared" ca="1" si="19"/>
        <v>123.01483817992083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45578</v>
      </c>
      <c r="K168">
        <f ca="1"/>
        <v>117.93096196588226</v>
      </c>
      <c r="L168">
        <f ca="1"/>
        <v>2.6272794895882043</v>
      </c>
      <c r="M168">
        <f ca="1"/>
        <v>1.5385815163950767E-2</v>
      </c>
      <c r="N168">
        <f ca="1"/>
        <v>0.86651651131153773</v>
      </c>
      <c r="O168">
        <f ca="1"/>
        <v>0</v>
      </c>
      <c r="P168">
        <f ca="1"/>
        <v>102.70098955400422</v>
      </c>
      <c r="Q168">
        <f ca="1"/>
        <v>65.947952648959401</v>
      </c>
      <c r="R168">
        <f ca="1"/>
        <v>0.88342651168266861</v>
      </c>
      <c r="S168">
        <f ca="1"/>
        <v>1</v>
      </c>
      <c r="T168">
        <f ca="1"/>
        <v>1.3602166334834322</v>
      </c>
      <c r="U168">
        <f ca="1"/>
        <v>0</v>
      </c>
      <c r="V168">
        <f ca="1"/>
        <v>0.99156031524241106</v>
      </c>
      <c r="X168" s="2">
        <f t="shared" ca="1" si="15"/>
        <v>45578</v>
      </c>
      <c r="Y168">
        <f t="shared" ca="1" si="16"/>
        <v>0</v>
      </c>
      <c r="AA168" s="63">
        <f t="shared" ca="1" si="18"/>
        <v>121.44166796715314</v>
      </c>
      <c r="AB168" s="63">
        <f t="shared" ca="1" si="19"/>
        <v>121.44166796715314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45579</v>
      </c>
      <c r="K169">
        <f ca="1"/>
        <v>114.98513764077767</v>
      </c>
      <c r="L169">
        <f ca="1"/>
        <v>2.6558465843524317</v>
      </c>
      <c r="M169">
        <f ca="1"/>
        <v>1.4865598056083229E-2</v>
      </c>
      <c r="N169">
        <f ca="1"/>
        <v>0.86033938928496634</v>
      </c>
      <c r="O169">
        <f ca="1"/>
        <v>0</v>
      </c>
      <c r="P169">
        <f ca="1"/>
        <v>105.35683613835666</v>
      </c>
      <c r="Q169">
        <f ca="1"/>
        <v>67.653366058785153</v>
      </c>
      <c r="R169">
        <f ca="1"/>
        <v>1.1651827280932159</v>
      </c>
      <c r="S169">
        <f ca="1"/>
        <v>1</v>
      </c>
      <c r="T169">
        <f ca="1"/>
        <v>1.8400000000000034</v>
      </c>
      <c r="U169">
        <f ca="1"/>
        <v>0</v>
      </c>
      <c r="V169">
        <f ca="1"/>
        <v>0.99224720288368662</v>
      </c>
      <c r="X169" s="2">
        <f t="shared" ca="1" si="15"/>
        <v>45579</v>
      </c>
      <c r="Y169">
        <f t="shared" ca="1" si="16"/>
        <v>0</v>
      </c>
      <c r="AA169" s="63">
        <f t="shared" ca="1" si="18"/>
        <v>118.8061669532233</v>
      </c>
      <c r="AB169" s="63">
        <f t="shared" ca="1" si="19"/>
        <v>118.80616695322331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45580</v>
      </c>
      <c r="K170">
        <f ca="1"/>
        <v>113.21183466796217</v>
      </c>
      <c r="L170">
        <f ca="1"/>
        <v>2.6187490595314813</v>
      </c>
      <c r="M170">
        <f ca="1"/>
        <v>1.4074878546464831E-2</v>
      </c>
      <c r="N170">
        <f ca="1"/>
        <v>0.83137120816951871</v>
      </c>
      <c r="O170">
        <f ca="1"/>
        <v>0</v>
      </c>
      <c r="P170">
        <f ca="1"/>
        <v>107.97558519788814</v>
      </c>
      <c r="Q170">
        <f ca="1"/>
        <v>69.334957830465967</v>
      </c>
      <c r="R170">
        <f ca="1"/>
        <v>0</v>
      </c>
      <c r="S170">
        <f ca="1"/>
        <v>0.98101449275362318</v>
      </c>
      <c r="T170">
        <f ca="1"/>
        <v>0</v>
      </c>
      <c r="U170">
        <f ca="1"/>
        <v>0</v>
      </c>
      <c r="V170">
        <f ca="1"/>
        <v>0.99286042977480882</v>
      </c>
      <c r="X170" s="2">
        <f t="shared" ca="1" si="15"/>
        <v>45580</v>
      </c>
      <c r="Y170">
        <f t="shared" ca="1" si="16"/>
        <v>0</v>
      </c>
      <c r="AA170" s="63">
        <f t="shared" ca="1" si="18"/>
        <v>115.83058372749365</v>
      </c>
      <c r="AB170" s="63">
        <f t="shared" ca="1" si="19"/>
        <v>115.83058372749365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45581</v>
      </c>
      <c r="K171">
        <f ca="1"/>
        <v>111.30002729333611</v>
      </c>
      <c r="L171">
        <f ca="1"/>
        <v>2.8105846505979031</v>
      </c>
      <c r="M171">
        <f ca="1"/>
        <v>1.4348950127788029E-2</v>
      </c>
      <c r="N171">
        <f ca="1"/>
        <v>0.88442832584407161</v>
      </c>
      <c r="O171">
        <f ca="1"/>
        <v>0</v>
      </c>
      <c r="P171">
        <f ca="1"/>
        <v>110.78616984848604</v>
      </c>
      <c r="Q171">
        <f ca="1"/>
        <v>71.139734047895288</v>
      </c>
      <c r="R171">
        <f ca="1"/>
        <v>0</v>
      </c>
      <c r="S171">
        <f ca="1"/>
        <v>0.98246853982731885</v>
      </c>
      <c r="T171">
        <f ca="1"/>
        <v>0</v>
      </c>
      <c r="U171">
        <f ca="1"/>
        <v>0</v>
      </c>
      <c r="V171">
        <f ca="1"/>
        <v>0.99345582086576933</v>
      </c>
      <c r="X171" s="2">
        <f t="shared" ca="1" si="15"/>
        <v>45581</v>
      </c>
      <c r="Y171">
        <f t="shared" ca="1" si="16"/>
        <v>0</v>
      </c>
      <c r="AA171" s="63">
        <f t="shared" ca="1" si="18"/>
        <v>114.11061194393402</v>
      </c>
      <c r="AB171" s="63">
        <f t="shared" ca="1" si="19"/>
        <v>114.11061194393402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45582</v>
      </c>
      <c r="K172">
        <f ca="1"/>
        <v>109.37794663450377</v>
      </c>
      <c r="L172">
        <f ca="1"/>
        <v>2.8007511581941742</v>
      </c>
      <c r="M172">
        <f ca="1"/>
        <v>1.3700834376079385E-2</v>
      </c>
      <c r="N172">
        <f ca="1"/>
        <v>0.86496966498575589</v>
      </c>
      <c r="O172">
        <f ca="1"/>
        <v>0</v>
      </c>
      <c r="P172">
        <f ca="1"/>
        <v>113.58692100668021</v>
      </c>
      <c r="Q172">
        <f ca="1"/>
        <v>72.938195830631869</v>
      </c>
      <c r="R172">
        <f ca="1"/>
        <v>0</v>
      </c>
      <c r="S172">
        <f ca="1"/>
        <v>0.99464585710045461</v>
      </c>
      <c r="T172">
        <f ca="1"/>
        <v>0</v>
      </c>
      <c r="U172">
        <f ca="1"/>
        <v>0</v>
      </c>
      <c r="V172">
        <f ca="1"/>
        <v>0.99399179158509121</v>
      </c>
      <c r="X172" s="2">
        <f t="shared" ca="1" si="15"/>
        <v>45582</v>
      </c>
      <c r="Y172">
        <f t="shared" ca="1" si="16"/>
        <v>0</v>
      </c>
      <c r="AA172" s="63">
        <f t="shared" ca="1" si="18"/>
        <v>112.17869779269795</v>
      </c>
      <c r="AB172" s="63">
        <f t="shared" ca="1" si="19"/>
        <v>112.17869779269795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45583</v>
      </c>
      <c r="K173">
        <f ca="1"/>
        <v>107.49955720061831</v>
      </c>
      <c r="L173">
        <f ca="1"/>
        <v>2.7112840548166162</v>
      </c>
      <c r="M173">
        <f ca="1"/>
        <v>1.2788902701565519E-2</v>
      </c>
      <c r="N173">
        <f ca="1"/>
        <v>0.82010571822960532</v>
      </c>
      <c r="O173">
        <f ca="1"/>
        <v>0</v>
      </c>
      <c r="P173">
        <f ca="1"/>
        <v>116.29820506149683</v>
      </c>
      <c r="Q173">
        <f ca="1"/>
        <v>74.679207609013076</v>
      </c>
      <c r="R173">
        <f ca="1"/>
        <v>0</v>
      </c>
      <c r="S173">
        <f ca="1"/>
        <v>0.96725583758822253</v>
      </c>
      <c r="T173">
        <f ca="1"/>
        <v>0</v>
      </c>
      <c r="U173">
        <f ca="1"/>
        <v>0</v>
      </c>
      <c r="V173">
        <f ca="1"/>
        <v>0.99446222248243399</v>
      </c>
      <c r="X173" s="2">
        <f t="shared" ca="1" si="15"/>
        <v>45583</v>
      </c>
      <c r="Y173">
        <f t="shared" ca="1" si="16"/>
        <v>0</v>
      </c>
      <c r="AA173" s="63">
        <f t="shared" ca="1" si="18"/>
        <v>110.21084125543493</v>
      </c>
      <c r="AB173" s="63">
        <f t="shared" ca="1" si="19"/>
        <v>110.21084125543493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45584</v>
      </c>
      <c r="K174">
        <f ca="1"/>
        <v>105.48633782054479</v>
      </c>
      <c r="L174">
        <f ca="1"/>
        <v>2.8684862317311968</v>
      </c>
      <c r="M174">
        <f ca="1"/>
        <v>1.2894471746347946E-2</v>
      </c>
      <c r="N174">
        <f ca="1"/>
        <v>0.84237237991132574</v>
      </c>
      <c r="O174">
        <f ca="1"/>
        <v>0</v>
      </c>
      <c r="P174">
        <f ca="1"/>
        <v>119.16669129322803</v>
      </c>
      <c r="Q174">
        <f ca="1"/>
        <v>76.521164487967269</v>
      </c>
      <c r="R174">
        <f ca="1"/>
        <v>0</v>
      </c>
      <c r="S174">
        <f ca="1"/>
        <v>0.9443638279142792</v>
      </c>
      <c r="T174">
        <f ca="1"/>
        <v>0</v>
      </c>
      <c r="U174">
        <f ca="1"/>
        <v>0</v>
      </c>
      <c r="V174">
        <f ca="1"/>
        <v>0.99491380005171504</v>
      </c>
      <c r="X174" s="2">
        <f t="shared" ca="1" si="15"/>
        <v>45584</v>
      </c>
      <c r="Y174">
        <f t="shared" ca="1" si="16"/>
        <v>0</v>
      </c>
      <c r="AA174" s="63">
        <f t="shared" ca="1" si="18"/>
        <v>108.35482405227599</v>
      </c>
      <c r="AB174" s="63">
        <f t="shared" ca="1" si="19"/>
        <v>108.35482405227599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45585</v>
      </c>
      <c r="K175">
        <f ca="1"/>
        <v>103.43316326138489</v>
      </c>
      <c r="L175">
        <f ca="1"/>
        <v>2.868128317973742</v>
      </c>
      <c r="M175">
        <f ca="1"/>
        <v>1.2382185745810403E-2</v>
      </c>
      <c r="N175">
        <f ca="1"/>
        <v>0.80257157306803129</v>
      </c>
      <c r="O175">
        <f ca="1"/>
        <v>0</v>
      </c>
      <c r="P175">
        <f ca="1"/>
        <v>122.03481961120177</v>
      </c>
      <c r="Q175">
        <f ca="1"/>
        <v>78.362891537787078</v>
      </c>
      <c r="R175">
        <f ca="1"/>
        <v>0</v>
      </c>
      <c r="S175">
        <f ca="1"/>
        <v>0.91872028983094278</v>
      </c>
      <c r="T175">
        <f ca="1"/>
        <v>0</v>
      </c>
      <c r="U175">
        <f ca="1"/>
        <v>0</v>
      </c>
      <c r="V175">
        <f ca="1"/>
        <v>0.99532307466775094</v>
      </c>
      <c r="X175" s="2">
        <f t="shared" ca="1" si="15"/>
        <v>45585</v>
      </c>
      <c r="Y175">
        <f t="shared" ca="1" si="16"/>
        <v>0</v>
      </c>
      <c r="AA175" s="63">
        <f t="shared" ca="1" si="18"/>
        <v>106.30129157935863</v>
      </c>
      <c r="AB175" s="63">
        <f t="shared" ca="1" si="19"/>
        <v>106.30129157935863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45586</v>
      </c>
      <c r="K176">
        <f ca="1"/>
        <v>101.29140419833895</v>
      </c>
      <c r="L176">
        <f ca="1"/>
        <v>3.0105530675563585</v>
      </c>
      <c r="M176">
        <f ca="1"/>
        <v>1.2410374862639628E-2</v>
      </c>
      <c r="N176">
        <f ca="1"/>
        <v>0.85638362964777959</v>
      </c>
      <c r="O176">
        <f ca="1"/>
        <v>0</v>
      </c>
      <c r="P176">
        <f ca="1"/>
        <v>125.04537267875813</v>
      </c>
      <c r="Q176">
        <f ca="1"/>
        <v>80.296074577294092</v>
      </c>
      <c r="R176">
        <f ca="1"/>
        <v>0</v>
      </c>
      <c r="S176">
        <f ca="1"/>
        <v>0.93902186280607469</v>
      </c>
      <c r="T176">
        <f ca="1"/>
        <v>0</v>
      </c>
      <c r="U176">
        <f ca="1"/>
        <v>0</v>
      </c>
      <c r="V176">
        <f ca="1"/>
        <v>0.99571225602003377</v>
      </c>
      <c r="X176" s="2">
        <f t="shared" ca="1" si="15"/>
        <v>45586</v>
      </c>
      <c r="Y176">
        <f t="shared" ca="1" si="16"/>
        <v>0</v>
      </c>
      <c r="AA176" s="63">
        <f t="shared" ca="1" si="18"/>
        <v>104.30195726589531</v>
      </c>
      <c r="AB176" s="63">
        <f t="shared" ca="1" si="19"/>
        <v>104.30195726589531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45587</v>
      </c>
      <c r="K177">
        <f ca="1"/>
        <v>99.223247848656541</v>
      </c>
      <c r="L177">
        <f ca="1"/>
        <v>2.8854472964446387</v>
      </c>
      <c r="M177">
        <f ca="1"/>
        <v>1.1497431212422526E-2</v>
      </c>
      <c r="N177">
        <f ca="1"/>
        <v>0.80579351554980383</v>
      </c>
      <c r="O177">
        <f ca="1"/>
        <v>0</v>
      </c>
      <c r="P177">
        <f ca="1"/>
        <v>127.93081997520277</v>
      </c>
      <c r="Q177">
        <f ca="1"/>
        <v>82.148922758245021</v>
      </c>
      <c r="R177">
        <f ca="1"/>
        <v>0</v>
      </c>
      <c r="S177">
        <f ca="1"/>
        <v>0.94062555908535028</v>
      </c>
      <c r="T177">
        <f ca="1"/>
        <v>0</v>
      </c>
      <c r="U177">
        <f ca="1"/>
        <v>0</v>
      </c>
      <c r="V177">
        <f ca="1"/>
        <v>0.99605063810230154</v>
      </c>
      <c r="X177" s="2">
        <f t="shared" ca="1" si="15"/>
        <v>45587</v>
      </c>
      <c r="Y177">
        <f t="shared" ca="1" si="16"/>
        <v>0</v>
      </c>
      <c r="AA177" s="63">
        <f t="shared" ca="1" si="18"/>
        <v>102.10869514510118</v>
      </c>
      <c r="AB177" s="63">
        <f t="shared" ca="1" si="19"/>
        <v>102.10869514510118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45588</v>
      </c>
      <c r="K178">
        <f ca="1"/>
        <v>97.081815722959121</v>
      </c>
      <c r="L178">
        <f ca="1"/>
        <v>2.930983787965701</v>
      </c>
      <c r="M178">
        <f ca="1"/>
        <v>1.122048144252652E-2</v>
      </c>
      <c r="N178">
        <f ca="1"/>
        <v>0.77833118082575448</v>
      </c>
      <c r="O178">
        <f ca="1"/>
        <v>0</v>
      </c>
      <c r="P178">
        <f ca="1"/>
        <v>130.86180376316847</v>
      </c>
      <c r="Q178">
        <f ca="1"/>
        <v>84.031011537555088</v>
      </c>
      <c r="R178">
        <f ca="1"/>
        <v>0</v>
      </c>
      <c r="S178">
        <f ca="1"/>
        <v>0.91020000790715627</v>
      </c>
      <c r="T178">
        <f ca="1"/>
        <v>0</v>
      </c>
      <c r="U178">
        <f ca="1"/>
        <v>0</v>
      </c>
      <c r="V178">
        <f ca="1"/>
        <v>0.99636339152906939</v>
      </c>
      <c r="X178" s="2">
        <f t="shared" ca="1" si="15"/>
        <v>45588</v>
      </c>
      <c r="Y178">
        <f t="shared" ca="1" si="16"/>
        <v>0</v>
      </c>
      <c r="AA178" s="63">
        <f t="shared" ca="1" si="18"/>
        <v>100.01279951092482</v>
      </c>
      <c r="AB178" s="63">
        <f t="shared" ca="1" si="19"/>
        <v>100.01279951092482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45589</v>
      </c>
      <c r="K179">
        <f ca="1"/>
        <v>94.779699114844078</v>
      </c>
      <c r="L179">
        <f ca="1"/>
        <v>3.1096849746306532</v>
      </c>
      <c r="M179">
        <f ca="1"/>
        <v>1.1369942287329238E-2</v>
      </c>
      <c r="N179">
        <f ca="1"/>
        <v>0.79619842422828202</v>
      </c>
      <c r="O179">
        <f ca="1"/>
        <v>0</v>
      </c>
      <c r="P179">
        <f ca="1"/>
        <v>133.97148873779912</v>
      </c>
      <c r="Q179">
        <f ca="1"/>
        <v>86.027850695100724</v>
      </c>
      <c r="R179">
        <f ca="1"/>
        <v>0</v>
      </c>
      <c r="S179">
        <f ca="1"/>
        <v>0.88629859748147799</v>
      </c>
      <c r="T179">
        <f ca="1"/>
        <v>0</v>
      </c>
      <c r="U179">
        <f ca="1"/>
        <v>0</v>
      </c>
      <c r="V179">
        <f ca="1"/>
        <v>0.99666472468303646</v>
      </c>
      <c r="X179" s="2">
        <f t="shared" ca="1" si="15"/>
        <v>45589</v>
      </c>
      <c r="Y179">
        <f t="shared" ca="1" si="16"/>
        <v>0</v>
      </c>
      <c r="AA179" s="63">
        <f t="shared" ca="1" si="18"/>
        <v>97.889384089474731</v>
      </c>
      <c r="AB179" s="63">
        <f t="shared" ca="1" si="19"/>
        <v>97.889384089474731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45590</v>
      </c>
      <c r="K180">
        <f ca="1"/>
        <v>92.292269375293273</v>
      </c>
      <c r="L180">
        <f ca="1"/>
        <v>3.3712694200469286</v>
      </c>
      <c r="M180">
        <f ca="1"/>
        <v>1.1763586745104249E-2</v>
      </c>
      <c r="N180">
        <f ca="1"/>
        <v>0.87207609375101491</v>
      </c>
      <c r="O180">
        <f ca="1"/>
        <v>0</v>
      </c>
      <c r="P180">
        <f ca="1"/>
        <v>137.34275815784605</v>
      </c>
      <c r="Q180">
        <f ca="1"/>
        <v>88.192662514788509</v>
      </c>
      <c r="R180">
        <f ca="1"/>
        <v>0</v>
      </c>
      <c r="S180">
        <f ca="1"/>
        <v>0.89515375547355347</v>
      </c>
      <c r="T180">
        <f ca="1"/>
        <v>0</v>
      </c>
      <c r="U180">
        <f ca="1"/>
        <v>0</v>
      </c>
      <c r="V180">
        <f ca="1"/>
        <v>0.99695983871066984</v>
      </c>
      <c r="X180" s="2">
        <f t="shared" ca="1" si="15"/>
        <v>45590</v>
      </c>
      <c r="Y180">
        <f t="shared" ca="1" si="16"/>
        <v>0</v>
      </c>
      <c r="AA180" s="63">
        <f t="shared" ca="1" si="18"/>
        <v>95.663538795340202</v>
      </c>
      <c r="AB180" s="63">
        <f t="shared" ca="1" si="19"/>
        <v>95.663538795340202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45591</v>
      </c>
      <c r="K181">
        <f ca="1"/>
        <v>89.778527630283222</v>
      </c>
      <c r="L181">
        <f ca="1"/>
        <v>3.4451334381775496</v>
      </c>
      <c r="M181">
        <f ca="1"/>
        <v>1.15194756091892E-2</v>
      </c>
      <c r="N181">
        <f ca="1"/>
        <v>0.91987221755830351</v>
      </c>
      <c r="O181">
        <f ca="1"/>
        <v>0</v>
      </c>
      <c r="P181">
        <f ca="1"/>
        <v>140.7878915960236</v>
      </c>
      <c r="Q181">
        <f ca="1"/>
        <v>90.404905043676791</v>
      </c>
      <c r="R181">
        <f ca="1"/>
        <v>0</v>
      </c>
      <c r="S181">
        <f ca="1"/>
        <v>0.9284973959912558</v>
      </c>
      <c r="T181">
        <f ca="1"/>
        <v>0</v>
      </c>
      <c r="U181">
        <f ca="1"/>
        <v>0</v>
      </c>
      <c r="V181">
        <f ca="1"/>
        <v>0.99723133652279961</v>
      </c>
      <c r="X181" s="2">
        <f t="shared" ca="1" si="15"/>
        <v>45591</v>
      </c>
      <c r="Y181">
        <f t="shared" ca="1" si="16"/>
        <v>0</v>
      </c>
      <c r="AA181" s="63">
        <f t="shared" ca="1" si="18"/>
        <v>93.223661068460771</v>
      </c>
      <c r="AB181" s="63">
        <f t="shared" ca="1" si="19"/>
        <v>93.223661068460771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45592</v>
      </c>
      <c r="K182">
        <f ca="1"/>
        <v>87.341492137382531</v>
      </c>
      <c r="L182">
        <f ca="1"/>
        <v>3.3671883464376151</v>
      </c>
      <c r="M182">
        <f ca="1"/>
        <v>1.082590825947527E-2</v>
      </c>
      <c r="N182">
        <f ca="1"/>
        <v>0.91932694527745284</v>
      </c>
      <c r="O182">
        <f ca="1"/>
        <v>0</v>
      </c>
      <c r="P182">
        <f ca="1"/>
        <v>144.15507994246121</v>
      </c>
      <c r="Q182">
        <f ca="1"/>
        <v>92.56709626106742</v>
      </c>
      <c r="R182">
        <f ca="1"/>
        <v>0</v>
      </c>
      <c r="S182">
        <f ca="1"/>
        <v>0.97270705692631776</v>
      </c>
      <c r="T182">
        <f ca="1"/>
        <v>0</v>
      </c>
      <c r="U182">
        <f ca="1"/>
        <v>0</v>
      </c>
      <c r="V182">
        <f ca="1"/>
        <v>0.99747065904319476</v>
      </c>
      <c r="X182" s="2">
        <f t="shared" ca="1" si="15"/>
        <v>45592</v>
      </c>
      <c r="Y182">
        <f t="shared" ca="1" si="16"/>
        <v>0</v>
      </c>
      <c r="AA182" s="63">
        <f t="shared" ca="1" si="18"/>
        <v>90.708680483820146</v>
      </c>
      <c r="AB182" s="63">
        <f t="shared" ca="1" si="19"/>
        <v>90.708680483820146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45593</v>
      </c>
      <c r="K183">
        <f ca="1"/>
        <v>84.776382448041474</v>
      </c>
      <c r="L183">
        <f ca="1"/>
        <v>3.5384860115779304</v>
      </c>
      <c r="M183">
        <f ca="1"/>
        <v>1.0905007315262338E-2</v>
      </c>
      <c r="N183">
        <f ca="1"/>
        <v>0.96247131492161553</v>
      </c>
      <c r="O183">
        <f ca="1"/>
        <v>0</v>
      </c>
      <c r="P183">
        <f ca="1"/>
        <v>147.69356595403914</v>
      </c>
      <c r="Q183">
        <f ca="1"/>
        <v>94.839283792598835</v>
      </c>
      <c r="R183">
        <f ca="1"/>
        <v>0</v>
      </c>
      <c r="S183">
        <f ca="1"/>
        <v>0.98531840278580418</v>
      </c>
      <c r="T183">
        <f ca="1"/>
        <v>0</v>
      </c>
      <c r="U183">
        <f ca="1"/>
        <v>0</v>
      </c>
      <c r="V183">
        <f ca="1"/>
        <v>0.99769757453293317</v>
      </c>
      <c r="X183" s="2">
        <f t="shared" ca="1" si="15"/>
        <v>45593</v>
      </c>
      <c r="Y183">
        <f t="shared" ca="1" si="16"/>
        <v>0</v>
      </c>
      <c r="AA183" s="63">
        <f t="shared" ca="1" si="18"/>
        <v>88.314868459619404</v>
      </c>
      <c r="AB183" s="63">
        <f t="shared" ca="1" si="19"/>
        <v>88.314868459619404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45594</v>
      </c>
      <c r="K184">
        <f ca="1"/>
        <v>82.316660689417986</v>
      </c>
      <c r="L184">
        <f ca="1"/>
        <v>3.3415862842011848</v>
      </c>
      <c r="M184">
        <f ca="1"/>
        <v>9.946045813848059E-3</v>
      </c>
      <c r="N184">
        <f ca="1"/>
        <v>0.8719184797638474</v>
      </c>
      <c r="O184">
        <f ca="1"/>
        <v>0</v>
      </c>
      <c r="P184">
        <f ca="1"/>
        <v>151.03515223824033</v>
      </c>
      <c r="Q184">
        <f ca="1"/>
        <v>96.985035016612443</v>
      </c>
      <c r="R184">
        <f ca="1"/>
        <v>0</v>
      </c>
      <c r="S184">
        <f ca="1"/>
        <v>0.94488505148039936</v>
      </c>
      <c r="T184">
        <f ca="1"/>
        <v>0</v>
      </c>
      <c r="U184">
        <f ca="1"/>
        <v>0</v>
      </c>
      <c r="V184">
        <f ca="1"/>
        <v>0.99789129041396518</v>
      </c>
      <c r="X184" s="2">
        <f t="shared" ca="1" si="15"/>
        <v>45594</v>
      </c>
      <c r="Y184">
        <f t="shared" ca="1" si="16"/>
        <v>0</v>
      </c>
      <c r="AA184" s="63">
        <f t="shared" ca="1" si="18"/>
        <v>85.658246973619171</v>
      </c>
      <c r="AB184" s="63">
        <f t="shared" ca="1" si="19"/>
        <v>85.658246973619171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45595</v>
      </c>
      <c r="K185">
        <f ca="1"/>
        <v>79.90868056486994</v>
      </c>
      <c r="L185">
        <f ca="1"/>
        <v>3.2609511210401365</v>
      </c>
      <c r="M185">
        <f ca="1"/>
        <v>9.391812890271467E-3</v>
      </c>
      <c r="N185">
        <f ca="1"/>
        <v>0.84357918360181361</v>
      </c>
      <c r="O185">
        <f ca="1"/>
        <v>0</v>
      </c>
      <c r="P185">
        <f ca="1"/>
        <v>154.29610335928047</v>
      </c>
      <c r="Q185">
        <f ca="1"/>
        <v>99.079007538735439</v>
      </c>
      <c r="R185">
        <f ca="1"/>
        <v>0</v>
      </c>
      <c r="S185">
        <f ca="1"/>
        <v>0.94909286981828744</v>
      </c>
      <c r="T185">
        <f ca="1"/>
        <v>0</v>
      </c>
      <c r="U185">
        <f ca="1"/>
        <v>0</v>
      </c>
      <c r="V185">
        <f ca="1"/>
        <v>0.99806313710350247</v>
      </c>
      <c r="X185" s="2">
        <f t="shared" ca="1" si="15"/>
        <v>45595</v>
      </c>
      <c r="Y185">
        <f t="shared" ca="1" si="16"/>
        <v>0</v>
      </c>
      <c r="AA185" s="63">
        <f t="shared" ca="1" si="18"/>
        <v>83.169631685910076</v>
      </c>
      <c r="AB185" s="63">
        <f t="shared" ca="1" si="19"/>
        <v>83.169631685910076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45596</v>
      </c>
      <c r="K186">
        <f ca="1"/>
        <v>77.492682767982458</v>
      </c>
      <c r="L186">
        <f ca="1"/>
        <v>3.2517604352907767</v>
      </c>
      <c r="M186">
        <f ca="1"/>
        <v>9.0544131800687211E-3</v>
      </c>
      <c r="N186">
        <f ca="1"/>
        <v>0.82670822522322385</v>
      </c>
      <c r="O186">
        <f ca="1"/>
        <v>0</v>
      </c>
      <c r="P186">
        <f ca="1"/>
        <v>157.54786379457124</v>
      </c>
      <c r="Q186">
        <f ca="1"/>
        <v>101.16707839514672</v>
      </c>
      <c r="R186">
        <f ca="1"/>
        <v>0</v>
      </c>
      <c r="S186">
        <f ca="1"/>
        <v>0.94300998593407048</v>
      </c>
      <c r="T186">
        <f ca="1"/>
        <v>0</v>
      </c>
      <c r="U186">
        <f ca="1"/>
        <v>0</v>
      </c>
      <c r="V186">
        <f ca="1"/>
        <v>0.99821932549734371</v>
      </c>
      <c r="X186" s="2">
        <f t="shared" ca="1" si="15"/>
        <v>45596</v>
      </c>
      <c r="Y186">
        <f t="shared" ca="1" si="16"/>
        <v>0</v>
      </c>
      <c r="AA186" s="63">
        <f t="shared" ca="1" si="18"/>
        <v>80.744443203273235</v>
      </c>
      <c r="AB186" s="63">
        <f t="shared" ca="1" si="19"/>
        <v>80.744443203273235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45597</v>
      </c>
      <c r="K187">
        <f ca="1"/>
        <v>74.86713976895642</v>
      </c>
      <c r="L187">
        <f ca="1"/>
        <v>3.4958611463623015</v>
      </c>
      <c r="M187">
        <f ca="1"/>
        <v>9.3311246993952324E-3</v>
      </c>
      <c r="N187">
        <f ca="1"/>
        <v>0.86098702263686311</v>
      </c>
      <c r="O187">
        <f ca="1"/>
        <v>0</v>
      </c>
      <c r="P187">
        <f ca="1"/>
        <v>161.04372494093354</v>
      </c>
      <c r="Q187">
        <f ca="1"/>
        <v>103.41189498697136</v>
      </c>
      <c r="R187">
        <f ca="1"/>
        <v>0</v>
      </c>
      <c r="S187">
        <f ca="1"/>
        <v>0.91663788035644078</v>
      </c>
      <c r="T187">
        <f ca="1"/>
        <v>0</v>
      </c>
      <c r="U187">
        <f ca="1"/>
        <v>0</v>
      </c>
      <c r="V187">
        <f ca="1"/>
        <v>0.99837206997016592</v>
      </c>
      <c r="X187" s="2">
        <f t="shared" ca="1" si="15"/>
        <v>45597</v>
      </c>
      <c r="Y187">
        <f t="shared" ca="1" si="16"/>
        <v>0</v>
      </c>
      <c r="AA187" s="63">
        <f t="shared" ca="1" si="18"/>
        <v>78.363000915318722</v>
      </c>
      <c r="AB187" s="63">
        <f t="shared" ca="1" si="19"/>
        <v>78.363000915318722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45598</v>
      </c>
      <c r="K188">
        <f ca="1"/>
        <v>72.063539640717295</v>
      </c>
      <c r="L188">
        <f ca="1"/>
        <v>3.7990356342565974</v>
      </c>
      <c r="M188">
        <f ca="1"/>
        <v>9.7405560396666147E-3</v>
      </c>
      <c r="N188">
        <f ca="1"/>
        <v>0.98569494997781326</v>
      </c>
      <c r="O188">
        <f ca="1"/>
        <v>0</v>
      </c>
      <c r="P188">
        <f ca="1"/>
        <v>164.84276057519014</v>
      </c>
      <c r="Q188">
        <f ca="1"/>
        <v>105.85139068421506</v>
      </c>
      <c r="R188">
        <f ca="1"/>
        <v>0</v>
      </c>
      <c r="S188">
        <f ca="1"/>
        <v>0.95301936992863645</v>
      </c>
      <c r="T188">
        <f ca="1"/>
        <v>0</v>
      </c>
      <c r="U188">
        <f ca="1"/>
        <v>0</v>
      </c>
      <c r="V188">
        <f ca="1"/>
        <v>0.99852212662550144</v>
      </c>
      <c r="X188" s="2">
        <f t="shared" ca="1" si="15"/>
        <v>45598</v>
      </c>
      <c r="Y188">
        <f t="shared" ca="1" si="16"/>
        <v>0</v>
      </c>
      <c r="AA188" s="63">
        <f t="shared" ca="1" si="18"/>
        <v>75.862575274973892</v>
      </c>
      <c r="AB188" s="63">
        <f t="shared" ca="1" si="19"/>
        <v>75.862575274973892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45599</v>
      </c>
      <c r="K189">
        <f ca="1"/>
        <v>69.302877384140501</v>
      </c>
      <c r="L189">
        <f ca="1"/>
        <v>3.7019498413434064</v>
      </c>
      <c r="M189">
        <f ca="1"/>
        <v>9.1534910067370134E-3</v>
      </c>
      <c r="N189">
        <f ca="1"/>
        <v>0.93213409375986644</v>
      </c>
      <c r="O189">
        <f ca="1"/>
        <v>0</v>
      </c>
      <c r="P189">
        <f ca="1"/>
        <v>168.54471041653355</v>
      </c>
      <c r="Q189">
        <f ca="1"/>
        <v>108.22854414598731</v>
      </c>
      <c r="R189">
        <f ca="1"/>
        <v>0</v>
      </c>
      <c r="S189">
        <f ca="1"/>
        <v>0.94041318517321504</v>
      </c>
      <c r="T189">
        <f ca="1"/>
        <v>0</v>
      </c>
      <c r="U189">
        <f ca="1"/>
        <v>0</v>
      </c>
      <c r="V189">
        <f ca="1"/>
        <v>0.9986541131621105</v>
      </c>
      <c r="X189" s="2">
        <f t="shared" ca="1" si="15"/>
        <v>45599</v>
      </c>
      <c r="Y189">
        <f t="shared" ca="1" si="16"/>
        <v>0</v>
      </c>
      <c r="AA189" s="63">
        <f t="shared" ca="1" si="18"/>
        <v>73.004827225483908</v>
      </c>
      <c r="AB189" s="63">
        <f t="shared" ca="1" si="19"/>
        <v>73.004827225483908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45600</v>
      </c>
      <c r="K190">
        <f ca="1"/>
        <v>66.587453929499247</v>
      </c>
      <c r="L190">
        <f ca="1"/>
        <v>3.5756879732378479</v>
      </c>
      <c r="M190">
        <f ca="1"/>
        <v>8.5582854687036303E-3</v>
      </c>
      <c r="N190">
        <f ca="1"/>
        <v>0.85170623312789184</v>
      </c>
      <c r="O190">
        <f ca="1"/>
        <v>0</v>
      </c>
      <c r="P190">
        <f ca="1"/>
        <v>172.1203983897714</v>
      </c>
      <c r="Q190">
        <f ca="1"/>
        <v>110.52462037826692</v>
      </c>
      <c r="R190">
        <f ca="1"/>
        <v>0</v>
      </c>
      <c r="S190">
        <f ca="1"/>
        <v>0.90737332992371711</v>
      </c>
      <c r="T190">
        <f ca="1"/>
        <v>0</v>
      </c>
      <c r="U190">
        <f ca="1"/>
        <v>0</v>
      </c>
      <c r="V190">
        <f ca="1"/>
        <v>0.99876969089570156</v>
      </c>
      <c r="X190" s="2">
        <f t="shared" ca="1" si="15"/>
        <v>45600</v>
      </c>
      <c r="Y190">
        <f t="shared" ca="1" si="16"/>
        <v>0</v>
      </c>
      <c r="AA190" s="63">
        <f t="shared" ca="1" si="18"/>
        <v>70.163141902737095</v>
      </c>
      <c r="AB190" s="63">
        <f t="shared" ca="1" si="19"/>
        <v>70.163141902737095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45601</v>
      </c>
      <c r="K191">
        <f ca="1"/>
        <v>63.841902438302284</v>
      </c>
      <c r="L191">
        <f ca="1"/>
        <v>3.5501459213560622</v>
      </c>
      <c r="M191">
        <f ca="1"/>
        <v>8.2279616925511334E-3</v>
      </c>
      <c r="N191">
        <f ca="1"/>
        <v>0.79636646846654746</v>
      </c>
      <c r="O191">
        <f ca="1"/>
        <v>0</v>
      </c>
      <c r="P191">
        <f ca="1"/>
        <v>175.67054431112746</v>
      </c>
      <c r="Q191">
        <f ca="1"/>
        <v>112.80429515194933</v>
      </c>
      <c r="R191">
        <f ca="1"/>
        <v>0</v>
      </c>
      <c r="S191">
        <f ca="1"/>
        <v>0.86636382503026244</v>
      </c>
      <c r="T191">
        <f ca="1"/>
        <v>0</v>
      </c>
      <c r="U191">
        <f ca="1"/>
        <v>0</v>
      </c>
      <c r="V191">
        <f ca="1"/>
        <v>0.99887406487118047</v>
      </c>
      <c r="X191" s="2">
        <f t="shared" ca="1" si="15"/>
        <v>45601</v>
      </c>
      <c r="Y191">
        <f t="shared" ca="1" si="16"/>
        <v>0</v>
      </c>
      <c r="AA191" s="63">
        <f t="shared" ca="1" si="18"/>
        <v>67.392048359658347</v>
      </c>
      <c r="AB191" s="63">
        <f t="shared" ca="1" si="19"/>
        <v>67.392048359658347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45602</v>
      </c>
      <c r="K192">
        <f ca="1"/>
        <v>61.007845104028434</v>
      </c>
      <c r="L192">
        <f ca="1"/>
        <v>3.6414480420136499</v>
      </c>
      <c r="M192">
        <f ca="1"/>
        <v>8.1556062410772512E-3</v>
      </c>
      <c r="N192">
        <f ca="1"/>
        <v>0.79923510149871724</v>
      </c>
      <c r="O192">
        <f ca="1"/>
        <v>0</v>
      </c>
      <c r="P192">
        <f ca="1"/>
        <v>179.31199235314111</v>
      </c>
      <c r="Q192">
        <f ca="1"/>
        <v>115.1425982597503</v>
      </c>
      <c r="R192">
        <f ca="1"/>
        <v>0</v>
      </c>
      <c r="S192">
        <f ca="1"/>
        <v>0.85071848373437253</v>
      </c>
      <c r="T192">
        <f ca="1"/>
        <v>0</v>
      </c>
      <c r="U192">
        <f ca="1"/>
        <v>0</v>
      </c>
      <c r="V192">
        <f ca="1"/>
        <v>0.99897146749546817</v>
      </c>
      <c r="X192" s="2">
        <f t="shared" ca="1" si="15"/>
        <v>45602</v>
      </c>
      <c r="Y192">
        <f t="shared" ca="1" si="16"/>
        <v>0</v>
      </c>
      <c r="AA192" s="63">
        <f t="shared" ca="1" si="18"/>
        <v>64.649293146042083</v>
      </c>
      <c r="AB192" s="63">
        <f t="shared" ca="1" si="19"/>
        <v>64.649293146042083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45603</v>
      </c>
      <c r="K193">
        <f ca="1"/>
        <v>58.062793082733954</v>
      </c>
      <c r="L193">
        <f ca="1"/>
        <v>3.7807056589595902</v>
      </c>
      <c r="M193">
        <f ca="1"/>
        <v>8.1807424923479033E-3</v>
      </c>
      <c r="N193">
        <f ca="1"/>
        <v>0.82747289517275968</v>
      </c>
      <c r="O193">
        <f ca="1"/>
        <v>0</v>
      </c>
      <c r="P193">
        <f ca="1"/>
        <v>183.0926980121007</v>
      </c>
      <c r="Q193">
        <f ca="1"/>
        <v>117.57032362889693</v>
      </c>
      <c r="R193">
        <f ca="1"/>
        <v>0</v>
      </c>
      <c r="S193">
        <f ca="1"/>
        <v>0.84739143271757378</v>
      </c>
      <c r="T193">
        <f ca="1"/>
        <v>0</v>
      </c>
      <c r="U193">
        <f ca="1"/>
        <v>0</v>
      </c>
      <c r="V193">
        <f ca="1"/>
        <v>0.99906329859023391</v>
      </c>
      <c r="X193" s="2">
        <f t="shared" ca="1" si="15"/>
        <v>45603</v>
      </c>
      <c r="Y193">
        <f t="shared" ca="1" si="16"/>
        <v>0</v>
      </c>
      <c r="AA193" s="63">
        <f t="shared" ca="1" si="18"/>
        <v>61.843498741693544</v>
      </c>
      <c r="AB193" s="63">
        <f t="shared" ca="1" si="19"/>
        <v>61.843498741693544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45604</v>
      </c>
      <c r="K194">
        <f ca="1"/>
        <v>55.042795010973705</v>
      </c>
      <c r="L194">
        <f ca="1"/>
        <v>3.8751234480046151</v>
      </c>
      <c r="M194">
        <f ca="1"/>
        <v>8.1106616124007047E-3</v>
      </c>
      <c r="N194">
        <f ca="1"/>
        <v>0.84701471463196687</v>
      </c>
      <c r="O194">
        <f ca="1"/>
        <v>0</v>
      </c>
      <c r="P194">
        <f ca="1"/>
        <v>186.96782146010531</v>
      </c>
      <c r="Q194">
        <f ca="1"/>
        <v>120.05867801348151</v>
      </c>
      <c r="R194">
        <f ca="1"/>
        <v>0</v>
      </c>
      <c r="S194">
        <f ca="1"/>
        <v>0.84623822648398606</v>
      </c>
      <c r="T194">
        <f ca="1"/>
        <v>0</v>
      </c>
      <c r="U194">
        <f ca="1"/>
        <v>0</v>
      </c>
      <c r="V194">
        <f ca="1"/>
        <v>0.99914860436918873</v>
      </c>
      <c r="X194" s="2">
        <f t="shared" ca="1" si="15"/>
        <v>45604</v>
      </c>
      <c r="Y194">
        <f t="shared" ca="1" si="16"/>
        <v>0</v>
      </c>
      <c r="AA194" s="63">
        <f t="shared" ca="1" si="18"/>
        <v>58.91791845897832</v>
      </c>
      <c r="AB194" s="63">
        <f t="shared" ca="1" si="19"/>
        <v>58.91791845897832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45605</v>
      </c>
      <c r="K195">
        <f ca="1"/>
        <v>52.100120430082427</v>
      </c>
      <c r="L195">
        <f ca="1"/>
        <v>3.7531944158377257</v>
      </c>
      <c r="M195">
        <f ca="1"/>
        <v>7.6205000943438961E-3</v>
      </c>
      <c r="N195">
        <f ca="1"/>
        <v>0.80289933485210541</v>
      </c>
      <c r="O195">
        <f ca="1"/>
        <v>0</v>
      </c>
      <c r="P195">
        <f ca="1"/>
        <v>190.72101587594304</v>
      </c>
      <c r="Q195">
        <f ca="1"/>
        <v>122.46873743640315</v>
      </c>
      <c r="R195">
        <f ca="1"/>
        <v>0</v>
      </c>
      <c r="S195">
        <f ca="1"/>
        <v>0.83740224906848915</v>
      </c>
      <c r="T195">
        <f ca="1"/>
        <v>0</v>
      </c>
      <c r="U195">
        <f ca="1"/>
        <v>0</v>
      </c>
      <c r="V195">
        <f ca="1"/>
        <v>0.99922358575627701</v>
      </c>
      <c r="X195" s="2">
        <f t="shared" ca="1" si="15"/>
        <v>45605</v>
      </c>
      <c r="Y195">
        <f t="shared" ca="1" si="16"/>
        <v>0</v>
      </c>
      <c r="AA195" s="63">
        <f t="shared" ca="1" si="18"/>
        <v>55.85331484592016</v>
      </c>
      <c r="AB195" s="63">
        <f t="shared" ca="1" si="19"/>
        <v>55.853314845920153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45606</v>
      </c>
      <c r="K196">
        <f ca="1"/>
        <v>49.117197478080811</v>
      </c>
      <c r="L196">
        <f ca="1"/>
        <v>3.8259809468110291</v>
      </c>
      <c r="M196">
        <f ca="1"/>
        <v>7.5293713112021265E-3</v>
      </c>
      <c r="N196">
        <f ca="1"/>
        <v>0.83552862349821144</v>
      </c>
      <c r="O196">
        <f ca="1"/>
        <v>0</v>
      </c>
      <c r="P196">
        <f ca="1"/>
        <v>194.54699682275407</v>
      </c>
      <c r="Q196">
        <f ca="1"/>
        <v>124.92553567575642</v>
      </c>
      <c r="R196">
        <f ca="1"/>
        <v>0</v>
      </c>
      <c r="S196">
        <f ca="1"/>
        <v>0.85291429318758827</v>
      </c>
      <c r="T196">
        <f ca="1"/>
        <v>0</v>
      </c>
      <c r="U196">
        <f ca="1"/>
        <v>0</v>
      </c>
      <c r="V196">
        <f ca="1"/>
        <v>0.99929306581234301</v>
      </c>
      <c r="X196" s="2">
        <f t="shared" ca="1" si="15"/>
        <v>45606</v>
      </c>
      <c r="Y196">
        <f t="shared" ca="1" si="16"/>
        <v>0</v>
      </c>
      <c r="AA196" s="63">
        <f t="shared" ca="1" si="18"/>
        <v>52.94317842489184</v>
      </c>
      <c r="AB196" s="63">
        <f t="shared" ca="1" si="19"/>
        <v>52.94317842489184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45607</v>
      </c>
      <c r="K197">
        <f ca="1"/>
        <v>46.302003193264987</v>
      </c>
      <c r="L197">
        <f ca="1"/>
        <v>3.6012599286686111</v>
      </c>
      <c r="M197">
        <f ca="1"/>
        <v>6.9124093324273161E-3</v>
      </c>
      <c r="N197">
        <f ca="1"/>
        <v>0.77915323452035501</v>
      </c>
      <c r="O197">
        <f ca="1"/>
        <v>0</v>
      </c>
      <c r="P197">
        <f ca="1"/>
        <v>198.14825675142268</v>
      </c>
      <c r="Q197">
        <f ca="1"/>
        <v>127.23803256876394</v>
      </c>
      <c r="R197">
        <f ca="1"/>
        <v>0</v>
      </c>
      <c r="S197">
        <f ca="1"/>
        <v>0.85552697671605471</v>
      </c>
      <c r="T197">
        <f ca="1"/>
        <v>0</v>
      </c>
      <c r="U197">
        <f ca="1"/>
        <v>0</v>
      </c>
      <c r="V197">
        <f ca="1"/>
        <v>0.99935267488998336</v>
      </c>
      <c r="X197" s="2">
        <f t="shared" ca="1" si="15"/>
        <v>45607</v>
      </c>
      <c r="Y197">
        <f t="shared" ca="1" si="16"/>
        <v>0</v>
      </c>
      <c r="AA197" s="63">
        <f t="shared" ca="1" si="18"/>
        <v>49.903263121933598</v>
      </c>
      <c r="AB197" s="63">
        <f t="shared" ca="1" si="19"/>
        <v>49.903263121933598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45608</v>
      </c>
      <c r="K198">
        <f ca="1"/>
        <v>43.560313959492596</v>
      </c>
      <c r="L198">
        <f ca="1"/>
        <v>3.46443686336616</v>
      </c>
      <c r="M198">
        <f ca="1"/>
        <v>6.501800982304573E-3</v>
      </c>
      <c r="N198">
        <f ca="1"/>
        <v>0.71624582861146457</v>
      </c>
      <c r="O198">
        <f ca="1"/>
        <v>0</v>
      </c>
      <c r="P198">
        <f ca="1"/>
        <v>201.61269361478884</v>
      </c>
      <c r="Q198">
        <f ca="1"/>
        <v>129.46267051249515</v>
      </c>
      <c r="R198">
        <f ca="1"/>
        <v>0</v>
      </c>
      <c r="S198">
        <f ca="1"/>
        <v>0.82553104904848984</v>
      </c>
      <c r="T198">
        <f ca="1"/>
        <v>0</v>
      </c>
      <c r="U198">
        <f ca="1"/>
        <v>0</v>
      </c>
      <c r="V198">
        <f ca="1"/>
        <v>0.99940521802264237</v>
      </c>
      <c r="X198" s="2">
        <f t="shared" ca="1" si="15"/>
        <v>45608</v>
      </c>
      <c r="Y198">
        <f t="shared" ca="1" si="16"/>
        <v>0</v>
      </c>
      <c r="AA198" s="63">
        <f t="shared" ca="1" si="18"/>
        <v>47.024750822858756</v>
      </c>
      <c r="AB198" s="63">
        <f t="shared" ca="1" si="19"/>
        <v>47.024750822858756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ca="1" si="14"/>
        <v>1</v>
      </c>
      <c r="J199" s="2">
        <f ca="1"/>
        <v>45609</v>
      </c>
      <c r="K199">
        <f ca="1"/>
        <v>40.781713023664977</v>
      </c>
      <c r="L199">
        <f ca="1"/>
        <v>3.4772055060645357</v>
      </c>
      <c r="M199">
        <f ca="1"/>
        <v>6.3566911427823669E-3</v>
      </c>
      <c r="N199">
        <f ca="1"/>
        <v>0.69224787909412966</v>
      </c>
      <c r="O199">
        <f ca="1"/>
        <v>0</v>
      </c>
      <c r="P199">
        <f ca="1"/>
        <v>205.08989912085337</v>
      </c>
      <c r="Q199">
        <f ca="1"/>
        <v>131.6955076551603</v>
      </c>
      <c r="R199">
        <f ca="1"/>
        <v>0</v>
      </c>
      <c r="S199">
        <f ca="1"/>
        <v>0.79655003159726467</v>
      </c>
      <c r="T199">
        <f ca="1"/>
        <v>0</v>
      </c>
      <c r="U199">
        <f ca="1"/>
        <v>0</v>
      </c>
      <c r="V199">
        <f ca="1"/>
        <v>0.99945364602562081</v>
      </c>
      <c r="X199" s="2">
        <f t="shared" ca="1" si="15"/>
        <v>45609</v>
      </c>
      <c r="Y199">
        <f t="shared" ca="1" si="16"/>
        <v>0</v>
      </c>
      <c r="AA199" s="63">
        <f t="shared" ca="1" si="18"/>
        <v>44.258918529729513</v>
      </c>
      <c r="AB199" s="63">
        <f t="shared" ca="1" si="19"/>
        <v>44.258918529729513</v>
      </c>
      <c r="AC199" s="3">
        <f t="shared" ca="1" si="20"/>
        <v>0</v>
      </c>
    </row>
    <row r="200" spans="8:29">
      <c r="H200" t="b">
        <f t="shared" ca="1" si="17"/>
        <v>1</v>
      </c>
      <c r="I200" t="b">
        <f t="shared" ca="1" si="14"/>
        <v>1</v>
      </c>
      <c r="J200" s="2">
        <f ca="1"/>
        <v>45610</v>
      </c>
      <c r="K200">
        <f ca="1"/>
        <v>37.800359394849423</v>
      </c>
      <c r="L200">
        <f ca="1"/>
        <v>3.717132032027763</v>
      </c>
      <c r="M200">
        <f ca="1"/>
        <v>6.5782808482346411E-3</v>
      </c>
      <c r="N200">
        <f ca="1"/>
        <v>0.72920012236397747</v>
      </c>
      <c r="O200">
        <f ca="1"/>
        <v>0</v>
      </c>
      <c r="P200">
        <f ca="1"/>
        <v>208.80703115288114</v>
      </c>
      <c r="Q200">
        <f ca="1"/>
        <v>134.08241014074144</v>
      </c>
      <c r="R200">
        <f ca="1"/>
        <v>0</v>
      </c>
      <c r="S200">
        <f ca="1"/>
        <v>0.77742458391379288</v>
      </c>
      <c r="T200">
        <f ca="1"/>
        <v>0</v>
      </c>
      <c r="U200">
        <f ca="1"/>
        <v>0</v>
      </c>
      <c r="V200">
        <f ca="1"/>
        <v>0.99950106982879849</v>
      </c>
      <c r="X200" s="2">
        <f t="shared" ca="1" si="15"/>
        <v>45610</v>
      </c>
      <c r="Y200">
        <f t="shared" ca="1" si="16"/>
        <v>0</v>
      </c>
      <c r="AA200" s="63">
        <f t="shared" ca="1" si="18"/>
        <v>41.517491426877186</v>
      </c>
      <c r="AB200" s="63">
        <f t="shared" ca="1" si="19"/>
        <v>41.517491426877186</v>
      </c>
      <c r="AC200" s="3">
        <f t="shared" ca="1" si="20"/>
        <v>0</v>
      </c>
    </row>
    <row r="201" spans="8:29">
      <c r="H201" t="b">
        <f t="shared" ca="1" si="17"/>
        <v>1</v>
      </c>
      <c r="I201" t="b">
        <f t="shared" ca="1" si="14"/>
        <v>1</v>
      </c>
      <c r="J201" s="2">
        <f ca="1"/>
        <v>45611</v>
      </c>
      <c r="K201">
        <f ca="1"/>
        <v>73.402769654321617</v>
      </c>
      <c r="L201">
        <f ca="1"/>
        <v>4.0701110658694688</v>
      </c>
      <c r="M201">
        <f ca="1"/>
        <v>6.9954356043151478E-3</v>
      </c>
      <c r="N201">
        <f ca="1"/>
        <v>0.84278801025768701</v>
      </c>
      <c r="O201">
        <f ca="1"/>
        <v>38.822737879479654</v>
      </c>
      <c r="P201">
        <f ca="1"/>
        <v>212.87714221875061</v>
      </c>
      <c r="Q201">
        <f ca="1"/>
        <v>136.69597299942083</v>
      </c>
      <c r="R201">
        <f ca="1"/>
        <v>0</v>
      </c>
      <c r="S201">
        <f ca="1"/>
        <v>0.80395126218964497</v>
      </c>
      <c r="T201">
        <f ca="1"/>
        <v>0</v>
      </c>
      <c r="U201">
        <f ca="1"/>
        <v>0</v>
      </c>
      <c r="V201">
        <f ca="1"/>
        <v>0.99954832712357389</v>
      </c>
      <c r="X201" s="2">
        <f t="shared" ca="1" si="15"/>
        <v>45611</v>
      </c>
      <c r="Y201">
        <f t="shared" ca="1" si="16"/>
        <v>38.822737879479654</v>
      </c>
      <c r="AA201" s="63">
        <f t="shared" ca="1" si="18"/>
        <v>77.472880720191085</v>
      </c>
      <c r="AB201" s="63">
        <f t="shared" ca="1" si="19"/>
        <v>77.472880720191085</v>
      </c>
      <c r="AC201" s="3">
        <f t="shared" ca="1" si="20"/>
        <v>0</v>
      </c>
    </row>
    <row r="202" spans="8:29">
      <c r="H202" t="b">
        <f t="shared" ca="1" si="17"/>
        <v>1</v>
      </c>
      <c r="I202" t="b">
        <f t="shared" ca="1" si="14"/>
        <v>1</v>
      </c>
      <c r="J202" s="2">
        <f ca="1"/>
        <v>45612</v>
      </c>
      <c r="K202">
        <f ca="1"/>
        <v>70.188706604027601</v>
      </c>
      <c r="L202">
        <f ca="1"/>
        <v>4.1186089740407397</v>
      </c>
      <c r="M202">
        <f ca="1"/>
        <v>6.8887740471783587E-3</v>
      </c>
      <c r="N202">
        <f ca="1"/>
        <v>0.89765714969953458</v>
      </c>
      <c r="O202">
        <f ca="1"/>
        <v>0</v>
      </c>
      <c r="P202">
        <f ca="1"/>
        <v>216.99575119279135</v>
      </c>
      <c r="Q202">
        <f ca="1"/>
        <v>139.34067808726024</v>
      </c>
      <c r="R202">
        <f ca="1"/>
        <v>0</v>
      </c>
      <c r="S202">
        <f ca="1"/>
        <v>0.83975168182921167</v>
      </c>
      <c r="T202">
        <f ca="1"/>
        <v>0</v>
      </c>
      <c r="U202">
        <f ca="1"/>
        <v>0</v>
      </c>
      <c r="V202">
        <f ca="1"/>
        <v>0.99959166153176782</v>
      </c>
      <c r="X202" s="2">
        <f t="shared" ca="1" si="15"/>
        <v>45612</v>
      </c>
      <c r="Y202">
        <f t="shared" ca="1" si="16"/>
        <v>0</v>
      </c>
      <c r="AA202" s="63">
        <f t="shared" ca="1" si="18"/>
        <v>74.307315578068341</v>
      </c>
      <c r="AB202" s="63">
        <f t="shared" ca="1" si="19"/>
        <v>74.307315578068341</v>
      </c>
      <c r="AC202" s="3">
        <f t="shared" ca="1" si="20"/>
        <v>0</v>
      </c>
    </row>
    <row r="203" spans="8:29">
      <c r="H203" t="b">
        <f t="shared" ca="1" si="17"/>
        <v>1</v>
      </c>
      <c r="I203" t="b">
        <f t="shared" ref="I203:I266" ca="1" si="21">AND(IF(J203&gt;($J$7-1),TRUE,FALSE),IF(J203&lt;($J$8+1),TRUE,FALSE))</f>
        <v>1</v>
      </c>
      <c r="J203" s="2">
        <f ca="1"/>
        <v>45613</v>
      </c>
      <c r="K203">
        <f ca="1"/>
        <v>67.13089479705107</v>
      </c>
      <c r="L203">
        <f ca="1"/>
        <v>3.9713482316405759</v>
      </c>
      <c r="M203">
        <f ca="1"/>
        <v>6.4654111926714108E-3</v>
      </c>
      <c r="N203">
        <f ca="1"/>
        <v>0.90707101347137975</v>
      </c>
      <c r="O203">
        <f ca="1"/>
        <v>0</v>
      </c>
      <c r="P203">
        <f ca="1"/>
        <v>220.96709942443192</v>
      </c>
      <c r="Q203">
        <f ca="1"/>
        <v>141.89082182268203</v>
      </c>
      <c r="R203">
        <f ca="1"/>
        <v>0</v>
      </c>
      <c r="S203">
        <f ca="1"/>
        <v>0.88047913252512477</v>
      </c>
      <c r="T203">
        <f ca="1"/>
        <v>0</v>
      </c>
      <c r="U203">
        <f ca="1"/>
        <v>0</v>
      </c>
      <c r="V203">
        <f ca="1"/>
        <v>0.99962959241803251</v>
      </c>
      <c r="X203" s="2">
        <f t="shared" ref="X203:X266" ca="1" si="22">IFERROR(J203,$X$9)</f>
        <v>45613</v>
      </c>
      <c r="Y203">
        <f t="shared" ref="Y203:Y266" ca="1" si="23">IFERROR(O203,0)</f>
        <v>0</v>
      </c>
      <c r="AA203" s="63">
        <f t="shared" ca="1" si="18"/>
        <v>71.102243028691646</v>
      </c>
      <c r="AB203" s="63">
        <f t="shared" ca="1" si="19"/>
        <v>71.102243028691646</v>
      </c>
      <c r="AC203" s="3">
        <f t="shared" ca="1" si="20"/>
        <v>0</v>
      </c>
    </row>
    <row r="204" spans="8:29">
      <c r="H204" t="b">
        <f t="shared" ref="H204:H267" ca="1" si="24">IF(J204&lt;$J$8,TRUE,FALSE)</f>
        <v>1</v>
      </c>
      <c r="I204" t="b">
        <f t="shared" ca="1" si="21"/>
        <v>1</v>
      </c>
      <c r="J204" s="2">
        <f ca="1"/>
        <v>45614</v>
      </c>
      <c r="K204">
        <f ca="1"/>
        <v>64.144710517425565</v>
      </c>
      <c r="L204">
        <f ca="1"/>
        <v>3.8194989885826942</v>
      </c>
      <c r="M204">
        <f ca="1"/>
        <v>6.0708085445924098E-3</v>
      </c>
      <c r="N204">
        <f ca="1"/>
        <v>0.82724390041259843</v>
      </c>
      <c r="O204">
        <f ca="1"/>
        <v>0</v>
      </c>
      <c r="P204">
        <f ca="1"/>
        <v>224.78659841301462</v>
      </c>
      <c r="Q204">
        <f ca="1"/>
        <v>144.3434577664608</v>
      </c>
      <c r="R204">
        <f ca="1"/>
        <v>0</v>
      </c>
      <c r="S204">
        <f ca="1"/>
        <v>0.84251022050089419</v>
      </c>
      <c r="T204">
        <f ca="1"/>
        <v>0</v>
      </c>
      <c r="U204">
        <f ca="1"/>
        <v>0</v>
      </c>
      <c r="V204">
        <f ca="1"/>
        <v>0.99966284286409046</v>
      </c>
      <c r="X204" s="2">
        <f t="shared" ca="1" si="22"/>
        <v>45614</v>
      </c>
      <c r="Y204">
        <f t="shared" ca="1" si="23"/>
        <v>0</v>
      </c>
      <c r="AA204" s="63">
        <f t="shared" ca="1" si="18"/>
        <v>67.96420950600826</v>
      </c>
      <c r="AB204" s="63">
        <f t="shared" ca="1" si="19"/>
        <v>67.96420950600826</v>
      </c>
      <c r="AC204" s="3">
        <f t="shared" ca="1" si="20"/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45615</v>
      </c>
      <c r="K205">
        <f ca="1"/>
        <v>61.122510634991727</v>
      </c>
      <c r="L205">
        <f ca="1"/>
        <v>3.8543854664677895</v>
      </c>
      <c r="M205">
        <f ca="1"/>
        <v>5.9823656919828494E-3</v>
      </c>
      <c r="N205">
        <f ca="1"/>
        <v>0.82620321834197663</v>
      </c>
      <c r="O205">
        <f ca="1"/>
        <v>0</v>
      </c>
      <c r="P205">
        <f ca="1"/>
        <v>228.64098387948241</v>
      </c>
      <c r="Q205">
        <f ca="1"/>
        <v>146.81849555662538</v>
      </c>
      <c r="R205">
        <f ca="1"/>
        <v>0</v>
      </c>
      <c r="S205">
        <f ca="1"/>
        <v>0.82961395052247833</v>
      </c>
      <c r="T205">
        <f ca="1"/>
        <v>0</v>
      </c>
      <c r="U205">
        <f ca="1"/>
        <v>0</v>
      </c>
      <c r="V205">
        <f ca="1"/>
        <v>0.99969348193176955</v>
      </c>
      <c r="X205" s="2">
        <f t="shared" ca="1" si="22"/>
        <v>45615</v>
      </c>
      <c r="Y205">
        <f t="shared" ca="1" si="23"/>
        <v>0</v>
      </c>
      <c r="AA205" s="63">
        <f ca="1">K204+M205+N205+O205</f>
        <v>64.976896101459516</v>
      </c>
      <c r="AB205" s="63">
        <f ca="1">K205+L205+R205</f>
        <v>64.976896101459516</v>
      </c>
      <c r="AC205" s="3">
        <f ca="1">AB205-AA205</f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45616</v>
      </c>
      <c r="K206">
        <f ca="1"/>
        <v>58.073663361053555</v>
      </c>
      <c r="L206">
        <f ca="1"/>
        <v>3.8588562422648636</v>
      </c>
      <c r="M206">
        <f ca="1"/>
        <v>5.8539410049380791E-3</v>
      </c>
      <c r="N206">
        <f ca="1"/>
        <v>0.80415502732175725</v>
      </c>
      <c r="O206">
        <f ca="1"/>
        <v>0</v>
      </c>
      <c r="P206">
        <f ca="1"/>
        <v>232.49984012174727</v>
      </c>
      <c r="Q206">
        <f ca="1"/>
        <v>149.29640419070142</v>
      </c>
      <c r="R206">
        <f ca="1"/>
        <v>0</v>
      </c>
      <c r="S206">
        <f ca="1"/>
        <v>0.8035292085480974</v>
      </c>
      <c r="T206">
        <f ca="1"/>
        <v>0</v>
      </c>
      <c r="U206">
        <f ca="1"/>
        <v>0</v>
      </c>
      <c r="V206">
        <f ca="1"/>
        <v>0.99972148784251147</v>
      </c>
      <c r="X206" s="2">
        <f t="shared" ca="1" si="22"/>
        <v>45616</v>
      </c>
      <c r="Y206">
        <f t="shared" ca="1" si="23"/>
        <v>0</v>
      </c>
      <c r="AA206" s="63">
        <f ca="1">K205+M206+N206+O206</f>
        <v>61.932519603318418</v>
      </c>
      <c r="AB206" s="63">
        <f ca="1">K206+L206+R206</f>
        <v>61.932519603318418</v>
      </c>
      <c r="AC206" s="3">
        <f ca="1">AB206-AA206</f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45617</v>
      </c>
      <c r="K207">
        <f ca="1"/>
        <v>54.996603245542509</v>
      </c>
      <c r="L207">
        <f ca="1"/>
        <v>3.8630075528384396</v>
      </c>
      <c r="M207">
        <f ca="1"/>
        <v>5.7322078246837549E-3</v>
      </c>
      <c r="N207">
        <f ca="1"/>
        <v>0.78021522950270561</v>
      </c>
      <c r="O207">
        <f ca="1"/>
        <v>0</v>
      </c>
      <c r="P207">
        <f ca="1"/>
        <v>236.36284767458571</v>
      </c>
      <c r="Q207">
        <f ca="1"/>
        <v>151.77697852872376</v>
      </c>
      <c r="R207">
        <f ca="1"/>
        <v>0</v>
      </c>
      <c r="S207">
        <f ca="1"/>
        <v>0.77454602735041389</v>
      </c>
      <c r="T207">
        <f ca="1"/>
        <v>0</v>
      </c>
      <c r="U207">
        <f ca="1"/>
        <v>0</v>
      </c>
      <c r="V207">
        <f ca="1"/>
        <v>0.99974708919976663</v>
      </c>
      <c r="X207" s="2">
        <f t="shared" ca="1" si="22"/>
        <v>45617</v>
      </c>
      <c r="Y207">
        <f t="shared" ca="1" si="23"/>
        <v>0</v>
      </c>
      <c r="AA207" s="63">
        <f ca="1">K206+M207+N207+O207</f>
        <v>58.859610798380949</v>
      </c>
      <c r="AB207" s="63">
        <f ca="1">K207+L207+R207</f>
        <v>58.859610798380949</v>
      </c>
      <c r="AC207" s="3">
        <f ca="1">AB207-AA207</f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45618</v>
      </c>
      <c r="K208">
        <f ca="1"/>
        <v>51.770877071631119</v>
      </c>
      <c r="L208">
        <f ca="1"/>
        <v>3.9952825361118016</v>
      </c>
      <c r="M208">
        <f ca="1"/>
        <v>5.8041218026136931E-3</v>
      </c>
      <c r="N208">
        <f ca="1"/>
        <v>0.7637522403977961</v>
      </c>
      <c r="O208">
        <f ca="1"/>
        <v>0</v>
      </c>
      <c r="P208">
        <f ca="1"/>
        <v>240.35813021069751</v>
      </c>
      <c r="Q208">
        <f ca="1"/>
        <v>154.34249133103387</v>
      </c>
      <c r="R208">
        <f ca="1"/>
        <v>0</v>
      </c>
      <c r="S208">
        <f ca="1"/>
        <v>0.72136052924413219</v>
      </c>
      <c r="T208">
        <f ca="1"/>
        <v>0</v>
      </c>
      <c r="U208">
        <f ca="1"/>
        <v>0</v>
      </c>
      <c r="V208">
        <f ca="1"/>
        <v>0.99977123487235575</v>
      </c>
      <c r="X208" s="2">
        <f t="shared" ca="1" si="22"/>
        <v>45618</v>
      </c>
      <c r="Y208">
        <f t="shared" ca="1" si="23"/>
        <v>0</v>
      </c>
      <c r="AA208" s="63">
        <f t="shared" ref="AA208:AA271" ca="1" si="25">K207+M208+N208+O208</f>
        <v>55.766159607742921</v>
      </c>
      <c r="AB208" s="63">
        <f t="shared" ref="AB208:AB271" ca="1" si="26">K208+L208+R208</f>
        <v>55.766159607742921</v>
      </c>
      <c r="AC208" s="3">
        <f t="shared" ref="AC208:AC271" ca="1" si="27">AB208-AA208</f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45619</v>
      </c>
      <c r="K209">
        <f ca="1"/>
        <v>48.549043118821814</v>
      </c>
      <c r="L209">
        <f ca="1"/>
        <v>3.9700201684786123</v>
      </c>
      <c r="M209">
        <f ca="1"/>
        <v>5.646997743610882E-3</v>
      </c>
      <c r="N209">
        <f ca="1"/>
        <v>0.74253921792569877</v>
      </c>
      <c r="O209">
        <f ca="1"/>
        <v>0</v>
      </c>
      <c r="P209">
        <f ca="1"/>
        <v>244.32815037917612</v>
      </c>
      <c r="Q209">
        <f ca="1"/>
        <v>156.89178226993539</v>
      </c>
      <c r="R209">
        <f ca="1"/>
        <v>0</v>
      </c>
      <c r="S209">
        <f ca="1"/>
        <v>0.69947926202980282</v>
      </c>
      <c r="T209">
        <f ca="1"/>
        <v>0</v>
      </c>
      <c r="U209">
        <f ca="1"/>
        <v>0</v>
      </c>
      <c r="V209">
        <f ca="1"/>
        <v>0.9997930897711228</v>
      </c>
      <c r="X209" s="2">
        <f t="shared" ca="1" si="22"/>
        <v>45619</v>
      </c>
      <c r="Y209">
        <f t="shared" ca="1" si="23"/>
        <v>0</v>
      </c>
      <c r="AA209" s="63">
        <f t="shared" ca="1" si="25"/>
        <v>52.519063287300426</v>
      </c>
      <c r="AB209" s="63">
        <f t="shared" ca="1" si="26"/>
        <v>52.519063287300426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45620</v>
      </c>
      <c r="K210">
        <f ca="1"/>
        <v>45.152881097530638</v>
      </c>
      <c r="L210">
        <f ca="1"/>
        <v>4.1842978213486219</v>
      </c>
      <c r="M210">
        <f ca="1"/>
        <v>5.8514311698960597E-3</v>
      </c>
      <c r="N210">
        <f ca="1"/>
        <v>0.78228436888754982</v>
      </c>
      <c r="O210">
        <f ca="1"/>
        <v>0</v>
      </c>
      <c r="P210">
        <f ca="1"/>
        <v>248.51244820052474</v>
      </c>
      <c r="Q210">
        <f ca="1"/>
        <v>159.57866849946231</v>
      </c>
      <c r="R210">
        <f ca="1"/>
        <v>0</v>
      </c>
      <c r="S210">
        <f ca="1"/>
        <v>0.68136596862734988</v>
      </c>
      <c r="T210">
        <f ca="1"/>
        <v>0</v>
      </c>
      <c r="U210">
        <f ca="1"/>
        <v>0</v>
      </c>
      <c r="V210">
        <f ca="1"/>
        <v>0.99981402797642327</v>
      </c>
      <c r="X210" s="2">
        <f t="shared" ca="1" si="22"/>
        <v>45620</v>
      </c>
      <c r="Y210">
        <f t="shared" ca="1" si="23"/>
        <v>0</v>
      </c>
      <c r="AA210" s="63">
        <f t="shared" ca="1" si="25"/>
        <v>49.33717891887926</v>
      </c>
      <c r="AB210" s="63">
        <f t="shared" ca="1" si="26"/>
        <v>49.33717891887926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45621</v>
      </c>
      <c r="K211">
        <f ca="1"/>
        <v>80.636627505779558</v>
      </c>
      <c r="L211">
        <f ca="1"/>
        <v>4.1826923663450088</v>
      </c>
      <c r="M211">
        <f ca="1"/>
        <v>5.7350715759714177E-3</v>
      </c>
      <c r="N211">
        <f ca="1"/>
        <v>0.83188327279056884</v>
      </c>
      <c r="O211">
        <f ca="1"/>
        <v>38.828820430227395</v>
      </c>
      <c r="P211">
        <f ca="1"/>
        <v>252.69514056686975</v>
      </c>
      <c r="Q211">
        <f ca="1"/>
        <v>162.26452380931633</v>
      </c>
      <c r="R211">
        <f ca="1"/>
        <v>0</v>
      </c>
      <c r="S211">
        <f ca="1"/>
        <v>0.71919457728064273</v>
      </c>
      <c r="T211">
        <f ca="1"/>
        <v>0</v>
      </c>
      <c r="U211">
        <f ca="1"/>
        <v>0</v>
      </c>
      <c r="V211">
        <f ca="1"/>
        <v>0.99983300554833132</v>
      </c>
      <c r="X211" s="2">
        <f t="shared" ca="1" si="22"/>
        <v>45621</v>
      </c>
      <c r="Y211">
        <f t="shared" ca="1" si="23"/>
        <v>38.828820430227395</v>
      </c>
      <c r="AA211" s="63">
        <f t="shared" ca="1" si="25"/>
        <v>84.819319872124566</v>
      </c>
      <c r="AB211" s="63">
        <f t="shared" ca="1" si="26"/>
        <v>84.819319872124566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45622</v>
      </c>
      <c r="K212">
        <f ca="1"/>
        <v>77.243043477241656</v>
      </c>
      <c r="L212">
        <f ca="1"/>
        <v>4.2257848160007541</v>
      </c>
      <c r="M212">
        <f ca="1"/>
        <v>5.6938946370443944E-3</v>
      </c>
      <c r="N212">
        <f ca="1"/>
        <v>0.82650689282580259</v>
      </c>
      <c r="O212">
        <f ca="1"/>
        <v>0</v>
      </c>
      <c r="P212">
        <f ca="1"/>
        <v>256.92092538287051</v>
      </c>
      <c r="Q212">
        <f ca="1"/>
        <v>164.97805031145163</v>
      </c>
      <c r="R212">
        <f ca="1"/>
        <v>0</v>
      </c>
      <c r="S212">
        <f ca="1"/>
        <v>0.69441391097096505</v>
      </c>
      <c r="T212">
        <f ca="1"/>
        <v>0</v>
      </c>
      <c r="U212">
        <f ca="1"/>
        <v>0</v>
      </c>
      <c r="V212">
        <f ca="1"/>
        <v>0.99985038041326324</v>
      </c>
      <c r="X212" s="2">
        <f t="shared" ca="1" si="22"/>
        <v>45622</v>
      </c>
      <c r="Y212">
        <f t="shared" ca="1" si="23"/>
        <v>0</v>
      </c>
      <c r="AA212" s="63">
        <f t="shared" ca="1" si="25"/>
        <v>81.46882829324241</v>
      </c>
      <c r="AB212" s="63">
        <f t="shared" ca="1" si="26"/>
        <v>81.46882829324241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45623</v>
      </c>
      <c r="K213">
        <f ca="1"/>
        <v>74.008108094144987</v>
      </c>
      <c r="L213">
        <f ca="1"/>
        <v>4.1249873791311984</v>
      </c>
      <c r="M213">
        <f ca="1"/>
        <v>5.4457422579083925E-3</v>
      </c>
      <c r="N213">
        <f ca="1"/>
        <v>0.88460625377662216</v>
      </c>
      <c r="O213">
        <f ca="1"/>
        <v>0</v>
      </c>
      <c r="P213">
        <f ca="1"/>
        <v>261.04591276200171</v>
      </c>
      <c r="Q213">
        <f ca="1"/>
        <v>167.62685119971817</v>
      </c>
      <c r="R213">
        <f ca="1"/>
        <v>0</v>
      </c>
      <c r="S213">
        <f ca="1"/>
        <v>0.75847367152189027</v>
      </c>
      <c r="T213">
        <f ca="1"/>
        <v>0</v>
      </c>
      <c r="U213">
        <f ca="1"/>
        <v>0</v>
      </c>
      <c r="V213">
        <f ca="1"/>
        <v>0.9998657576459421</v>
      </c>
      <c r="X213" s="2">
        <f t="shared" ca="1" si="22"/>
        <v>45623</v>
      </c>
      <c r="Y213">
        <f t="shared" ca="1" si="23"/>
        <v>0</v>
      </c>
      <c r="AA213" s="63">
        <f t="shared" ca="1" si="25"/>
        <v>78.133095473276185</v>
      </c>
      <c r="AB213" s="63">
        <f t="shared" ca="1" si="26"/>
        <v>78.133095473276185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45624</v>
      </c>
      <c r="K214">
        <f ca="1"/>
        <v>70.959480082280933</v>
      </c>
      <c r="L214">
        <f ca="1"/>
        <v>3.813688185528008</v>
      </c>
      <c r="M214">
        <f ca="1"/>
        <v>4.9243016876125978E-3</v>
      </c>
      <c r="N214">
        <f ca="1"/>
        <v>0.76013587197634847</v>
      </c>
      <c r="O214">
        <f ca="1"/>
        <v>0</v>
      </c>
      <c r="P214">
        <f ca="1"/>
        <v>264.85960094752971</v>
      </c>
      <c r="Q214">
        <f ca="1"/>
        <v>170.07575582049446</v>
      </c>
      <c r="R214">
        <f ca="1"/>
        <v>0</v>
      </c>
      <c r="S214">
        <f ca="1"/>
        <v>0.70775080431484505</v>
      </c>
      <c r="T214">
        <f ca="1"/>
        <v>0</v>
      </c>
      <c r="U214">
        <f ca="1"/>
        <v>0</v>
      </c>
      <c r="V214">
        <f ca="1"/>
        <v>0.99987870632976716</v>
      </c>
      <c r="X214" s="2">
        <f t="shared" ca="1" si="22"/>
        <v>45624</v>
      </c>
      <c r="Y214">
        <f t="shared" ca="1" si="23"/>
        <v>0</v>
      </c>
      <c r="AA214" s="63">
        <f t="shared" ca="1" si="25"/>
        <v>74.773168267808941</v>
      </c>
      <c r="AB214" s="63">
        <f t="shared" ca="1" si="26"/>
        <v>74.773168267808941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45625</v>
      </c>
      <c r="K215">
        <f ca="1"/>
        <v>67.778978099179682</v>
      </c>
      <c r="L215">
        <f ca="1"/>
        <v>4.0398656593961277</v>
      </c>
      <c r="M215">
        <f ca="1"/>
        <v>5.1619728246627972E-3</v>
      </c>
      <c r="N215">
        <f ca="1"/>
        <v>0.85420170347021063</v>
      </c>
      <c r="O215">
        <f ca="1"/>
        <v>0</v>
      </c>
      <c r="P215">
        <f ca="1"/>
        <v>268.89946660692584</v>
      </c>
      <c r="Q215">
        <f ca="1"/>
        <v>172.66989702956155</v>
      </c>
      <c r="R215">
        <f ca="1"/>
        <v>0</v>
      </c>
      <c r="S215">
        <f ca="1"/>
        <v>0.72891196175348882</v>
      </c>
      <c r="T215">
        <f ca="1"/>
        <v>0</v>
      </c>
      <c r="U215">
        <f ca="1"/>
        <v>0</v>
      </c>
      <c r="V215">
        <f ca="1"/>
        <v>0.99989120938451748</v>
      </c>
      <c r="X215" s="2">
        <f t="shared" ca="1" si="22"/>
        <v>45625</v>
      </c>
      <c r="Y215">
        <f t="shared" ca="1" si="23"/>
        <v>0</v>
      </c>
      <c r="AA215" s="63">
        <f t="shared" ca="1" si="25"/>
        <v>71.818843758575809</v>
      </c>
      <c r="AB215" s="63">
        <f t="shared" ca="1" si="26"/>
        <v>71.818843758575809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45626</v>
      </c>
      <c r="K216">
        <f ca="1"/>
        <v>64.751834075063641</v>
      </c>
      <c r="L216">
        <f ca="1"/>
        <v>3.9285477739227304</v>
      </c>
      <c r="M216">
        <f ca="1"/>
        <v>4.9347743734493577E-3</v>
      </c>
      <c r="N216">
        <f ca="1"/>
        <v>0.89646897543324056</v>
      </c>
      <c r="O216">
        <f ca="1"/>
        <v>0</v>
      </c>
      <c r="P216">
        <f ca="1"/>
        <v>272.82801438084857</v>
      </c>
      <c r="Q216">
        <f ca="1"/>
        <v>175.192557071095</v>
      </c>
      <c r="R216">
        <f ca="1"/>
        <v>0</v>
      </c>
      <c r="S216">
        <f ca="1"/>
        <v>0.77963784728619689</v>
      </c>
      <c r="T216">
        <f ca="1"/>
        <v>0</v>
      </c>
      <c r="U216">
        <f ca="1"/>
        <v>0</v>
      </c>
      <c r="V216">
        <f ca="1"/>
        <v>0.99990227216060645</v>
      </c>
      <c r="X216" s="2">
        <f t="shared" ca="1" si="22"/>
        <v>45626</v>
      </c>
      <c r="Y216">
        <f t="shared" ca="1" si="23"/>
        <v>0</v>
      </c>
      <c r="AA216" s="63">
        <f t="shared" ca="1" si="25"/>
        <v>68.680381848986372</v>
      </c>
      <c r="AB216" s="63">
        <f t="shared" ca="1" si="26"/>
        <v>68.680381848986372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45627</v>
      </c>
      <c r="K217">
        <f ca="1"/>
        <v>61.689192344221112</v>
      </c>
      <c r="L217">
        <f ca="1"/>
        <v>3.935657594723466</v>
      </c>
      <c r="M217">
        <f ca="1"/>
        <v>4.8813857519114379E-3</v>
      </c>
      <c r="N217">
        <f ca="1"/>
        <v>0.868134478129025</v>
      </c>
      <c r="O217">
        <f ca="1"/>
        <v>0</v>
      </c>
      <c r="P217">
        <f ca="1"/>
        <v>276.76367197557204</v>
      </c>
      <c r="Q217">
        <f ca="1"/>
        <v>177.71978258105821</v>
      </c>
      <c r="R217">
        <f ca="1"/>
        <v>0</v>
      </c>
      <c r="S217">
        <f ca="1"/>
        <v>0.73934907254719551</v>
      </c>
      <c r="T217">
        <f ca="1"/>
        <v>0</v>
      </c>
      <c r="U217">
        <f ca="1"/>
        <v>0</v>
      </c>
      <c r="V217">
        <f ca="1"/>
        <v>0.99991236398765082</v>
      </c>
      <c r="X217" s="2">
        <f t="shared" ca="1" si="22"/>
        <v>45627</v>
      </c>
      <c r="Y217">
        <f t="shared" ca="1" si="23"/>
        <v>0</v>
      </c>
      <c r="AA217" s="63">
        <f t="shared" ca="1" si="25"/>
        <v>65.624849938944578</v>
      </c>
      <c r="AB217" s="63">
        <f t="shared" ca="1" si="26"/>
        <v>65.624849938944578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45628</v>
      </c>
      <c r="K218">
        <f ca="1"/>
        <v>58.683825581184465</v>
      </c>
      <c r="L218">
        <f ca="1"/>
        <v>3.8541891193252695</v>
      </c>
      <c r="M218">
        <f ca="1"/>
        <v>4.7129685921554199E-3</v>
      </c>
      <c r="N218">
        <f ca="1"/>
        <v>0.8441093876964666</v>
      </c>
      <c r="O218">
        <f ca="1"/>
        <v>0</v>
      </c>
      <c r="P218">
        <f ca="1"/>
        <v>280.61786109489731</v>
      </c>
      <c r="Q218">
        <f ca="1"/>
        <v>180.19469428974958</v>
      </c>
      <c r="R218">
        <f ca="1"/>
        <v>0</v>
      </c>
      <c r="S218">
        <f ca="1"/>
        <v>0.72355296916497669</v>
      </c>
      <c r="T218">
        <f ca="1"/>
        <v>0</v>
      </c>
      <c r="U218">
        <f ca="1"/>
        <v>0</v>
      </c>
      <c r="V218">
        <f ca="1"/>
        <v>0.99992136601963499</v>
      </c>
      <c r="X218" s="2">
        <f t="shared" ca="1" si="22"/>
        <v>45628</v>
      </c>
      <c r="Y218">
        <f t="shared" ca="1" si="23"/>
        <v>0</v>
      </c>
      <c r="AA218" s="63">
        <f t="shared" ca="1" si="25"/>
        <v>62.538014700509741</v>
      </c>
      <c r="AB218" s="63">
        <f t="shared" ca="1" si="26"/>
        <v>62.538014700509734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45629</v>
      </c>
      <c r="K219">
        <f ca="1"/>
        <v>55.63884238655875</v>
      </c>
      <c r="L219">
        <f ca="1"/>
        <v>3.9167051566138866</v>
      </c>
      <c r="M219">
        <f ca="1"/>
        <v>4.7490297913590496E-3</v>
      </c>
      <c r="N219">
        <f ca="1"/>
        <v>0.86697293219681382</v>
      </c>
      <c r="O219">
        <f ca="1"/>
        <v>0</v>
      </c>
      <c r="P219">
        <f ca="1"/>
        <v>284.53456625151119</v>
      </c>
      <c r="Q219">
        <f ca="1"/>
        <v>182.709749766138</v>
      </c>
      <c r="R219">
        <f ca="1"/>
        <v>0</v>
      </c>
      <c r="S219">
        <f ca="1"/>
        <v>0.71195984507814924</v>
      </c>
      <c r="T219">
        <f ca="1"/>
        <v>0</v>
      </c>
      <c r="U219">
        <f ca="1"/>
        <v>0</v>
      </c>
      <c r="V219">
        <f ca="1"/>
        <v>0.99992969535101872</v>
      </c>
      <c r="X219" s="2">
        <f t="shared" ca="1" si="22"/>
        <v>45629</v>
      </c>
      <c r="Y219">
        <f t="shared" ca="1" si="23"/>
        <v>0</v>
      </c>
      <c r="AA219" s="63">
        <f t="shared" ca="1" si="25"/>
        <v>59.555547543172636</v>
      </c>
      <c r="AB219" s="63">
        <f t="shared" ca="1" si="26"/>
        <v>59.555547543172636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45630</v>
      </c>
      <c r="K220">
        <f ca="1"/>
        <v>52.648786938568747</v>
      </c>
      <c r="L220">
        <f ca="1"/>
        <v>3.814297762687147</v>
      </c>
      <c r="M220">
        <f ca="1"/>
        <v>4.5642349704557716E-3</v>
      </c>
      <c r="N220">
        <f ca="1"/>
        <v>0.81967807972669116</v>
      </c>
      <c r="O220">
        <f ca="1"/>
        <v>0</v>
      </c>
      <c r="P220">
        <f ca="1"/>
        <v>288.34886401419834</v>
      </c>
      <c r="Q220">
        <f ca="1"/>
        <v>185.15904581805626</v>
      </c>
      <c r="R220">
        <f ca="1"/>
        <v>0</v>
      </c>
      <c r="S220">
        <f ca="1"/>
        <v>0.67862739955015872</v>
      </c>
      <c r="T220">
        <f ca="1"/>
        <v>0</v>
      </c>
      <c r="U220">
        <f ca="1"/>
        <v>0</v>
      </c>
      <c r="V220">
        <f ca="1"/>
        <v>0.99993707878373306</v>
      </c>
      <c r="X220" s="2">
        <f t="shared" ca="1" si="22"/>
        <v>45630</v>
      </c>
      <c r="Y220">
        <f t="shared" ca="1" si="23"/>
        <v>0</v>
      </c>
      <c r="AA220" s="63">
        <f t="shared" ca="1" si="25"/>
        <v>56.463084701255902</v>
      </c>
      <c r="AB220" s="63">
        <f t="shared" ca="1" si="26"/>
        <v>56.463084701255895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45631</v>
      </c>
      <c r="K221">
        <f ca="1"/>
        <v>49.72154427110128</v>
      </c>
      <c r="L221">
        <f ca="1"/>
        <v>3.747904578226894</v>
      </c>
      <c r="M221">
        <f ca="1"/>
        <v>4.437102735005638E-3</v>
      </c>
      <c r="N221">
        <f ca="1"/>
        <v>0.81622480802442354</v>
      </c>
      <c r="O221">
        <f ca="1"/>
        <v>0</v>
      </c>
      <c r="P221">
        <f ca="1"/>
        <v>292.09676859242524</v>
      </c>
      <c r="Q221">
        <f ca="1"/>
        <v>187.56570844838816</v>
      </c>
      <c r="R221">
        <f ca="1"/>
        <v>0</v>
      </c>
      <c r="S221">
        <f ca="1"/>
        <v>0.67486003893123481</v>
      </c>
      <c r="T221">
        <f ca="1"/>
        <v>0</v>
      </c>
      <c r="U221">
        <f ca="1"/>
        <v>0</v>
      </c>
      <c r="V221">
        <f ca="1"/>
        <v>0.99994369064848965</v>
      </c>
      <c r="X221" s="2">
        <f t="shared" ca="1" si="22"/>
        <v>45631</v>
      </c>
      <c r="Y221">
        <f t="shared" ca="1" si="23"/>
        <v>0</v>
      </c>
      <c r="AA221" s="63">
        <f t="shared" ca="1" si="25"/>
        <v>53.469448849328174</v>
      </c>
      <c r="AB221" s="63">
        <f t="shared" ca="1" si="26"/>
        <v>53.469448849328174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45632</v>
      </c>
      <c r="K222">
        <f ca="1"/>
        <v>46.949635466939853</v>
      </c>
      <c r="L222">
        <f ca="1"/>
        <v>3.5511883819787613</v>
      </c>
      <c r="M222">
        <f ca="1"/>
        <v>4.1466320840495285E-3</v>
      </c>
      <c r="N222">
        <f ca="1"/>
        <v>0.77513294573328606</v>
      </c>
      <c r="O222">
        <f ca="1"/>
        <v>0</v>
      </c>
      <c r="P222">
        <f ca="1"/>
        <v>295.647956974404</v>
      </c>
      <c r="Q222">
        <f ca="1"/>
        <v>189.84605262305769</v>
      </c>
      <c r="R222">
        <f ca="1"/>
        <v>0</v>
      </c>
      <c r="S222">
        <f ca="1"/>
        <v>0.67022317300480716</v>
      </c>
      <c r="T222">
        <f ca="1"/>
        <v>0</v>
      </c>
      <c r="U222">
        <f ca="1"/>
        <v>0</v>
      </c>
      <c r="V222">
        <f ca="1"/>
        <v>0.99994941352908273</v>
      </c>
      <c r="X222" s="2">
        <f t="shared" ca="1" si="22"/>
        <v>45632</v>
      </c>
      <c r="Y222">
        <f t="shared" ca="1" si="23"/>
        <v>0</v>
      </c>
      <c r="AA222" s="63">
        <f t="shared" ca="1" si="25"/>
        <v>50.500823848918614</v>
      </c>
      <c r="AB222" s="63">
        <f t="shared" ca="1" si="26"/>
        <v>50.500823848918614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45633</v>
      </c>
      <c r="K223">
        <f ca="1"/>
        <v>44.387989335664869</v>
      </c>
      <c r="L223">
        <f ca="1"/>
        <v>3.3493439022908547</v>
      </c>
      <c r="M223">
        <f ca="1"/>
        <v>3.8668806834003533E-3</v>
      </c>
      <c r="N223">
        <f ca="1"/>
        <v>0.78383089033247422</v>
      </c>
      <c r="O223">
        <f ca="1"/>
        <v>0</v>
      </c>
      <c r="P223">
        <f ca="1"/>
        <v>298.99730087669485</v>
      </c>
      <c r="Q223">
        <f ca="1"/>
        <v>191.99678528914566</v>
      </c>
      <c r="R223">
        <f ca="1"/>
        <v>0</v>
      </c>
      <c r="S223">
        <f ca="1"/>
        <v>0.71660061930022134</v>
      </c>
      <c r="T223">
        <f ca="1"/>
        <v>0</v>
      </c>
      <c r="U223">
        <f ca="1"/>
        <v>0</v>
      </c>
      <c r="V223">
        <f ca="1"/>
        <v>0.99995436423933215</v>
      </c>
      <c r="X223" s="2">
        <f t="shared" ca="1" si="22"/>
        <v>45633</v>
      </c>
      <c r="Y223">
        <f t="shared" ca="1" si="23"/>
        <v>0</v>
      </c>
      <c r="AA223" s="63">
        <f t="shared" ca="1" si="25"/>
        <v>47.737333237955731</v>
      </c>
      <c r="AB223" s="63">
        <f t="shared" ca="1" si="26"/>
        <v>47.737333237955724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45634</v>
      </c>
      <c r="K224">
        <f ca="1"/>
        <v>41.763331161094129</v>
      </c>
      <c r="L224">
        <f ca="1"/>
        <v>3.4248632375191619</v>
      </c>
      <c r="M224">
        <f ca="1"/>
        <v>3.9384504650197272E-3</v>
      </c>
      <c r="N224">
        <f ca="1"/>
        <v>0.7962666124834018</v>
      </c>
      <c r="O224">
        <f ca="1"/>
        <v>0</v>
      </c>
      <c r="P224">
        <f ca="1"/>
        <v>302.42216411421401</v>
      </c>
      <c r="Q224">
        <f ca="1"/>
        <v>194.19601160232841</v>
      </c>
      <c r="R224">
        <f ca="1"/>
        <v>0</v>
      </c>
      <c r="S224">
        <f ca="1"/>
        <v>0.68863022939665375</v>
      </c>
      <c r="T224">
        <f ca="1"/>
        <v>0</v>
      </c>
      <c r="U224">
        <f ca="1"/>
        <v>0</v>
      </c>
      <c r="V224">
        <f ca="1"/>
        <v>0.99995901067704052</v>
      </c>
      <c r="X224" s="2">
        <f t="shared" ca="1" si="22"/>
        <v>45634</v>
      </c>
      <c r="Y224">
        <f t="shared" ca="1" si="23"/>
        <v>0</v>
      </c>
      <c r="AA224" s="63">
        <f t="shared" ca="1" si="25"/>
        <v>45.188194398613291</v>
      </c>
      <c r="AB224" s="63">
        <f t="shared" ca="1" si="26"/>
        <v>45.188194398613291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45635</v>
      </c>
      <c r="K225">
        <f ca="1"/>
        <v>39.150143852821316</v>
      </c>
      <c r="L225">
        <f ca="1"/>
        <v>3.5242065821632877</v>
      </c>
      <c r="M225">
        <f ca="1"/>
        <v>4.0512290091658798E-3</v>
      </c>
      <c r="N225">
        <f ca="1"/>
        <v>0.906968044881311</v>
      </c>
      <c r="O225">
        <f ca="1"/>
        <v>0</v>
      </c>
      <c r="P225">
        <f ca="1"/>
        <v>305.9463706963773</v>
      </c>
      <c r="Q225">
        <f ca="1"/>
        <v>196.45902980512233</v>
      </c>
      <c r="R225">
        <f ca="1"/>
        <v>0</v>
      </c>
      <c r="S225">
        <f ca="1"/>
        <v>0.73834090140813147</v>
      </c>
      <c r="T225">
        <f ca="1"/>
        <v>0</v>
      </c>
      <c r="U225">
        <f ca="1"/>
        <v>0</v>
      </c>
      <c r="V225">
        <f ca="1"/>
        <v>0.99996338477173974</v>
      </c>
      <c r="X225" s="2">
        <f t="shared" ca="1" si="22"/>
        <v>45635</v>
      </c>
      <c r="Y225">
        <f t="shared" ca="1" si="23"/>
        <v>0</v>
      </c>
      <c r="AA225" s="63">
        <f t="shared" ca="1" si="25"/>
        <v>42.674350434984603</v>
      </c>
      <c r="AB225" s="63">
        <f t="shared" ca="1" si="26"/>
        <v>42.674350434984603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45636</v>
      </c>
      <c r="K226">
        <f ca="1"/>
        <v>36.489641338406912</v>
      </c>
      <c r="L226">
        <f ca="1"/>
        <v>3.6112648277199355</v>
      </c>
      <c r="M226">
        <f ca="1"/>
        <v>4.1614147381086042E-3</v>
      </c>
      <c r="N226">
        <f ca="1"/>
        <v>0.94660089856742613</v>
      </c>
      <c r="O226">
        <f ca="1"/>
        <v>0</v>
      </c>
      <c r="P226">
        <f ca="1"/>
        <v>309.55763552409724</v>
      </c>
      <c r="Q226">
        <f ca="1"/>
        <v>198.77795119911823</v>
      </c>
      <c r="R226">
        <f ca="1"/>
        <v>0</v>
      </c>
      <c r="S226">
        <f ca="1"/>
        <v>0.72326881634708762</v>
      </c>
      <c r="T226">
        <f ca="1"/>
        <v>0</v>
      </c>
      <c r="U226">
        <f ca="1"/>
        <v>0</v>
      </c>
      <c r="V226">
        <f ca="1"/>
        <v>0.99996747043245249</v>
      </c>
      <c r="X226" s="2">
        <f t="shared" ca="1" si="22"/>
        <v>45636</v>
      </c>
      <c r="Y226">
        <f t="shared" ca="1" si="23"/>
        <v>0</v>
      </c>
      <c r="AA226" s="63">
        <f t="shared" ca="1" si="25"/>
        <v>40.100906166126848</v>
      </c>
      <c r="AB226" s="63">
        <f t="shared" ca="1" si="26"/>
        <v>40.100906166126848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45637</v>
      </c>
      <c r="K227">
        <f ca="1"/>
        <v>72.73669753077489</v>
      </c>
      <c r="L227">
        <f ca="1"/>
        <v>3.4193825822259782</v>
      </c>
      <c r="M227">
        <f ca="1"/>
        <v>3.8951866956757897E-3</v>
      </c>
      <c r="N227">
        <f ca="1"/>
        <v>0.88922783672642736</v>
      </c>
      <c r="O227">
        <f ca="1"/>
        <v>38.77331575117185</v>
      </c>
      <c r="P227">
        <f ca="1"/>
        <v>312.97701810632321</v>
      </c>
      <c r="Q227">
        <f ca="1"/>
        <v>200.97365818890077</v>
      </c>
      <c r="R227">
        <f ca="1"/>
        <v>0</v>
      </c>
      <c r="S227">
        <f ca="1"/>
        <v>0.70689242350756742</v>
      </c>
      <c r="T227">
        <f ca="1"/>
        <v>0</v>
      </c>
      <c r="U227">
        <f ca="1"/>
        <v>0</v>
      </c>
      <c r="V227">
        <f ca="1"/>
        <v>0.9999709966498479</v>
      </c>
      <c r="X227" s="2">
        <f t="shared" ca="1" si="22"/>
        <v>45637</v>
      </c>
      <c r="Y227">
        <f t="shared" ca="1" si="23"/>
        <v>38.77331575117185</v>
      </c>
      <c r="AA227" s="63">
        <f t="shared" ca="1" si="25"/>
        <v>76.156080113000854</v>
      </c>
      <c r="AB227" s="63">
        <f t="shared" ca="1" si="26"/>
        <v>76.156080113000868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45638</v>
      </c>
      <c r="K228">
        <f ca="1"/>
        <v>70.267452673347805</v>
      </c>
      <c r="L228">
        <f ca="1"/>
        <v>3.3140092737312443</v>
      </c>
      <c r="M228">
        <f ca="1"/>
        <v>3.7543735265774814E-3</v>
      </c>
      <c r="N228">
        <f ca="1"/>
        <v>0.84101004277758107</v>
      </c>
      <c r="O228">
        <f ca="1"/>
        <v>0</v>
      </c>
      <c r="P228">
        <f ca="1"/>
        <v>316.29102738005446</v>
      </c>
      <c r="Q228">
        <f ca="1"/>
        <v>203.10170123513956</v>
      </c>
      <c r="R228">
        <f ca="1"/>
        <v>0</v>
      </c>
      <c r="S228">
        <f ca="1"/>
        <v>0.67196534241873218</v>
      </c>
      <c r="T228">
        <f ca="1"/>
        <v>0</v>
      </c>
      <c r="U228">
        <f ca="1"/>
        <v>0</v>
      </c>
      <c r="V228">
        <f ca="1"/>
        <v>0.99997411968133187</v>
      </c>
      <c r="X228" s="2">
        <f t="shared" ca="1" si="22"/>
        <v>45638</v>
      </c>
      <c r="Y228">
        <f t="shared" ca="1" si="23"/>
        <v>0</v>
      </c>
      <c r="AA228" s="63">
        <f t="shared" ca="1" si="25"/>
        <v>73.581461947079049</v>
      </c>
      <c r="AB228" s="63">
        <f t="shared" ca="1" si="26"/>
        <v>73.581461947079049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45639</v>
      </c>
      <c r="K229">
        <f ca="1"/>
        <v>67.931031929761275</v>
      </c>
      <c r="L229">
        <f ca="1"/>
        <v>3.102063904636907</v>
      </c>
      <c r="M229">
        <f ca="1"/>
        <v>3.481871760957489E-3</v>
      </c>
      <c r="N229">
        <f ca="1"/>
        <v>0.76216128928942606</v>
      </c>
      <c r="O229">
        <f ca="1"/>
        <v>0</v>
      </c>
      <c r="P229">
        <f ca="1"/>
        <v>319.39309128469137</v>
      </c>
      <c r="Q229">
        <f ca="1"/>
        <v>205.09364663299249</v>
      </c>
      <c r="R229">
        <f ca="1"/>
        <v>0</v>
      </c>
      <c r="S229">
        <f ca="1"/>
        <v>0.63892228440917143</v>
      </c>
      <c r="T229">
        <f ca="1"/>
        <v>0</v>
      </c>
      <c r="U229">
        <f ca="1"/>
        <v>0</v>
      </c>
      <c r="V229">
        <f ca="1"/>
        <v>0.99997679863911082</v>
      </c>
      <c r="X229" s="2">
        <f t="shared" ca="1" si="22"/>
        <v>45639</v>
      </c>
      <c r="Y229">
        <f t="shared" ca="1" si="23"/>
        <v>0</v>
      </c>
      <c r="AA229" s="63">
        <f t="shared" ca="1" si="25"/>
        <v>71.033095834398182</v>
      </c>
      <c r="AB229" s="63">
        <f t="shared" ca="1" si="26"/>
        <v>71.033095834398182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45640</v>
      </c>
      <c r="K230">
        <f ca="1"/>
        <v>65.73438215976428</v>
      </c>
      <c r="L230">
        <f ca="1"/>
        <v>2.945664440071937</v>
      </c>
      <c r="M230">
        <f ca="1"/>
        <v>3.2896936674369215E-3</v>
      </c>
      <c r="N230">
        <f ca="1"/>
        <v>0.74572497640749824</v>
      </c>
      <c r="O230">
        <f ca="1"/>
        <v>0</v>
      </c>
      <c r="P230">
        <f ca="1"/>
        <v>322.3387557247633</v>
      </c>
      <c r="Q230">
        <f ca="1"/>
        <v>206.98516238037908</v>
      </c>
      <c r="R230">
        <f ca="1"/>
        <v>0</v>
      </c>
      <c r="S230">
        <f ca="1"/>
        <v>0.64906767263770904</v>
      </c>
      <c r="T230">
        <f ca="1"/>
        <v>0</v>
      </c>
      <c r="U230">
        <f ca="1"/>
        <v>0</v>
      </c>
      <c r="V230">
        <f ca="1"/>
        <v>0.99997913843369701</v>
      </c>
      <c r="X230" s="2">
        <f t="shared" ca="1" si="22"/>
        <v>45640</v>
      </c>
      <c r="Y230">
        <f t="shared" ca="1" si="23"/>
        <v>0</v>
      </c>
      <c r="AA230" s="63">
        <f t="shared" ca="1" si="25"/>
        <v>68.680046599836217</v>
      </c>
      <c r="AB230" s="63">
        <f t="shared" ca="1" si="26"/>
        <v>68.680046599836217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45641</v>
      </c>
      <c r="K231">
        <f ca="1"/>
        <v>63.45083618147595</v>
      </c>
      <c r="L231">
        <f ca="1"/>
        <v>3.0581803100900515</v>
      </c>
      <c r="M231">
        <f ca="1"/>
        <v>3.4379077305732864E-3</v>
      </c>
      <c r="N231">
        <f ca="1"/>
        <v>0.77119642407114519</v>
      </c>
      <c r="O231">
        <f ca="1"/>
        <v>0</v>
      </c>
      <c r="P231">
        <f ca="1"/>
        <v>325.39693603485335</v>
      </c>
      <c r="Q231">
        <f ca="1"/>
        <v>208.94892856371999</v>
      </c>
      <c r="R231">
        <f ca="1"/>
        <v>0</v>
      </c>
      <c r="S231">
        <f ca="1"/>
        <v>0.61341588339681052</v>
      </c>
      <c r="T231">
        <f ca="1"/>
        <v>0</v>
      </c>
      <c r="U231">
        <f ca="1"/>
        <v>0</v>
      </c>
      <c r="V231">
        <f ca="1"/>
        <v>0.99998137096238415</v>
      </c>
      <c r="X231" s="2">
        <f t="shared" ca="1" si="22"/>
        <v>45641</v>
      </c>
      <c r="Y231">
        <f t="shared" ca="1" si="23"/>
        <v>0</v>
      </c>
      <c r="AA231" s="63">
        <f t="shared" ca="1" si="25"/>
        <v>66.509016491566001</v>
      </c>
      <c r="AB231" s="63">
        <f t="shared" ca="1" si="26"/>
        <v>66.509016491566001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45642</v>
      </c>
      <c r="K232">
        <f ca="1"/>
        <v>61.254282061475863</v>
      </c>
      <c r="L232">
        <f ca="1"/>
        <v>2.9775356137630524</v>
      </c>
      <c r="M232">
        <f ca="1"/>
        <v>3.3450390108793471E-3</v>
      </c>
      <c r="N232">
        <f ca="1"/>
        <v>0.77763645475208176</v>
      </c>
      <c r="O232">
        <f ca="1"/>
        <v>0</v>
      </c>
      <c r="P232">
        <f ca="1"/>
        <v>328.37447164861641</v>
      </c>
      <c r="Q232">
        <f ca="1"/>
        <v>210.86090992358584</v>
      </c>
      <c r="R232">
        <f ca="1"/>
        <v>0</v>
      </c>
      <c r="S232">
        <f ca="1"/>
        <v>0.61964813001348906</v>
      </c>
      <c r="T232">
        <f ca="1"/>
        <v>0</v>
      </c>
      <c r="U232">
        <f ca="1"/>
        <v>0</v>
      </c>
      <c r="V232">
        <f ca="1"/>
        <v>0.99998336457797377</v>
      </c>
      <c r="X232" s="2">
        <f t="shared" ca="1" si="22"/>
        <v>45642</v>
      </c>
      <c r="Y232">
        <f t="shared" ca="1" si="23"/>
        <v>0</v>
      </c>
      <c r="AA232" s="63">
        <f t="shared" ca="1" si="25"/>
        <v>64.231817675238915</v>
      </c>
      <c r="AB232" s="63">
        <f t="shared" ca="1" si="26"/>
        <v>64.231817675238915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45643</v>
      </c>
      <c r="K233">
        <f ca="1"/>
        <v>59.057648910418678</v>
      </c>
      <c r="L233">
        <f ca="1"/>
        <v>2.9686358631836924</v>
      </c>
      <c r="M233">
        <f ca="1"/>
        <v>3.3501445210681879E-3</v>
      </c>
      <c r="N233">
        <f ca="1"/>
        <v>0.76865256760544554</v>
      </c>
      <c r="O233">
        <f ca="1"/>
        <v>0</v>
      </c>
      <c r="P233">
        <f ca="1"/>
        <v>331.3431075118001</v>
      </c>
      <c r="Q233">
        <f ca="1"/>
        <v>212.76717643754478</v>
      </c>
      <c r="R233">
        <f ca="1"/>
        <v>0</v>
      </c>
      <c r="S233">
        <f ca="1"/>
        <v>0.58646001327488717</v>
      </c>
      <c r="T233">
        <f ca="1"/>
        <v>0</v>
      </c>
      <c r="U233">
        <f ca="1"/>
        <v>0</v>
      </c>
      <c r="V233">
        <f ca="1"/>
        <v>0.99998518689787452</v>
      </c>
      <c r="X233" s="2">
        <f t="shared" ca="1" si="22"/>
        <v>45643</v>
      </c>
      <c r="Y233">
        <f t="shared" ca="1" si="23"/>
        <v>0</v>
      </c>
      <c r="AA233" s="63">
        <f t="shared" ca="1" si="25"/>
        <v>62.02628477360237</v>
      </c>
      <c r="AB233" s="63">
        <f t="shared" ca="1" si="26"/>
        <v>62.02628477360237</v>
      </c>
      <c r="AC233" s="3">
        <f t="shared" ca="1" si="27"/>
        <v>0</v>
      </c>
    </row>
    <row r="234" spans="8:29">
      <c r="H234" t="b">
        <f t="shared" ca="1" si="24"/>
        <v>1</v>
      </c>
      <c r="I234" t="b">
        <f t="shared" ca="1" si="21"/>
        <v>1</v>
      </c>
      <c r="J234" s="2">
        <f ca="1"/>
        <v>45644</v>
      </c>
      <c r="K234">
        <f ca="1"/>
        <v>57.049162702768065</v>
      </c>
      <c r="L234">
        <f ca="1"/>
        <v>2.8084277006501566</v>
      </c>
      <c r="M234">
        <f ca="1"/>
        <v>3.157444537713161E-3</v>
      </c>
      <c r="N234">
        <f ca="1"/>
        <v>0.79678404846183082</v>
      </c>
      <c r="O234">
        <f ca="1"/>
        <v>0</v>
      </c>
      <c r="P234">
        <f ca="1"/>
        <v>334.15153521245026</v>
      </c>
      <c r="Q234">
        <f ca="1"/>
        <v>214.57056760081213</v>
      </c>
      <c r="R234">
        <f ca="1"/>
        <v>0</v>
      </c>
      <c r="S234">
        <f ca="1"/>
        <v>0.64022834491377234</v>
      </c>
      <c r="T234">
        <f ca="1"/>
        <v>0</v>
      </c>
      <c r="U234">
        <f ca="1"/>
        <v>0</v>
      </c>
      <c r="V234">
        <f ca="1"/>
        <v>0.99998676857886926</v>
      </c>
      <c r="X234" s="2">
        <f t="shared" ca="1" si="22"/>
        <v>45644</v>
      </c>
      <c r="Y234">
        <f t="shared" ca="1" si="23"/>
        <v>0</v>
      </c>
      <c r="AA234" s="63">
        <f t="shared" ca="1" si="25"/>
        <v>59.857590403418222</v>
      </c>
      <c r="AB234" s="63">
        <f t="shared" ca="1" si="26"/>
        <v>59.857590403418222</v>
      </c>
      <c r="AC234" s="3">
        <f t="shared" ca="1" si="27"/>
        <v>0</v>
      </c>
    </row>
    <row r="235" spans="8:29">
      <c r="H235" t="b">
        <f t="shared" ca="1" si="24"/>
        <v>1</v>
      </c>
      <c r="I235" t="b">
        <f t="shared" ca="1" si="21"/>
        <v>1</v>
      </c>
      <c r="J235" s="2">
        <f ca="1"/>
        <v>45645</v>
      </c>
      <c r="K235">
        <f ca="1"/>
        <v>55.205009629477019</v>
      </c>
      <c r="L235">
        <f ca="1"/>
        <v>2.6053782608609595</v>
      </c>
      <c r="M235">
        <f ca="1"/>
        <v>2.9164095457225869E-3</v>
      </c>
      <c r="N235">
        <f ca="1"/>
        <v>0.75830877802419261</v>
      </c>
      <c r="O235">
        <f ca="1"/>
        <v>0</v>
      </c>
      <c r="P235">
        <f ca="1"/>
        <v>336.75691347331122</v>
      </c>
      <c r="Q235">
        <f ca="1"/>
        <v>216.24357350782469</v>
      </c>
      <c r="R235">
        <f ca="1"/>
        <v>0</v>
      </c>
      <c r="S235">
        <f ca="1"/>
        <v>0.64892422814016515</v>
      </c>
      <c r="T235">
        <f ca="1"/>
        <v>0</v>
      </c>
      <c r="U235">
        <f ca="1"/>
        <v>0</v>
      </c>
      <c r="V235">
        <f ca="1"/>
        <v>0.99998811979461977</v>
      </c>
      <c r="X235" s="2">
        <f t="shared" ca="1" si="22"/>
        <v>45645</v>
      </c>
      <c r="Y235">
        <f t="shared" ca="1" si="23"/>
        <v>0</v>
      </c>
      <c r="AA235" s="63">
        <f t="shared" ca="1" si="25"/>
        <v>57.810387890337985</v>
      </c>
      <c r="AB235" s="63">
        <f t="shared" ca="1" si="26"/>
        <v>57.810387890337978</v>
      </c>
      <c r="AC235" s="3">
        <f t="shared" ca="1" si="27"/>
        <v>0</v>
      </c>
    </row>
    <row r="236" spans="8:29">
      <c r="H236" t="b">
        <f t="shared" ca="1" si="24"/>
        <v>1</v>
      </c>
      <c r="I236" t="b">
        <f t="shared" ca="1" si="21"/>
        <v>1</v>
      </c>
      <c r="J236" s="2">
        <f ca="1"/>
        <v>45646</v>
      </c>
      <c r="K236">
        <f ca="1"/>
        <v>53.38064656323354</v>
      </c>
      <c r="L236">
        <f ca="1"/>
        <v>2.5526631162113631</v>
      </c>
      <c r="M236">
        <f ca="1"/>
        <v>2.8673798925282767E-3</v>
      </c>
      <c r="N236">
        <f ca="1"/>
        <v>0.72543267007535772</v>
      </c>
      <c r="O236">
        <f ca="1"/>
        <v>0</v>
      </c>
      <c r="P236">
        <f ca="1"/>
        <v>339.30957658952258</v>
      </c>
      <c r="Q236">
        <f ca="1"/>
        <v>217.88272914836634</v>
      </c>
      <c r="R236">
        <f ca="1"/>
        <v>0</v>
      </c>
      <c r="S236">
        <f ca="1"/>
        <v>0.60848964564098029</v>
      </c>
      <c r="T236">
        <f ca="1"/>
        <v>0</v>
      </c>
      <c r="U236">
        <f ca="1"/>
        <v>0</v>
      </c>
      <c r="V236">
        <f ca="1"/>
        <v>0.99998934165936915</v>
      </c>
      <c r="X236" s="2">
        <f t="shared" ca="1" si="22"/>
        <v>45646</v>
      </c>
      <c r="Y236">
        <f t="shared" ca="1" si="23"/>
        <v>0</v>
      </c>
      <c r="AA236" s="63">
        <f t="shared" ca="1" si="25"/>
        <v>55.933309679444903</v>
      </c>
      <c r="AB236" s="63">
        <f t="shared" ca="1" si="26"/>
        <v>55.933309679444903</v>
      </c>
      <c r="AC236" s="3">
        <f t="shared" ca="1" si="27"/>
        <v>0</v>
      </c>
    </row>
    <row r="237" spans="8:29">
      <c r="H237" t="b">
        <f t="shared" ca="1" si="24"/>
        <v>1</v>
      </c>
      <c r="I237" t="b">
        <f t="shared" ca="1" si="21"/>
        <v>1</v>
      </c>
      <c r="J237" s="2">
        <f ca="1"/>
        <v>45647</v>
      </c>
      <c r="K237">
        <f ca="1"/>
        <v>51.582085891023574</v>
      </c>
      <c r="L237">
        <f ca="1"/>
        <v>2.4913919709688912</v>
      </c>
      <c r="M237">
        <f ca="1"/>
        <v>2.8094279393542365E-3</v>
      </c>
      <c r="N237">
        <f ca="1"/>
        <v>0.69002187081957145</v>
      </c>
      <c r="O237">
        <f ca="1"/>
        <v>0</v>
      </c>
      <c r="P237">
        <f ca="1"/>
        <v>341.80096856049147</v>
      </c>
      <c r="Q237">
        <f ca="1"/>
        <v>219.482540410604</v>
      </c>
      <c r="R237">
        <f ca="1"/>
        <v>0</v>
      </c>
      <c r="S237">
        <f ca="1"/>
        <v>0.56675071369008112</v>
      </c>
      <c r="T237">
        <f ca="1"/>
        <v>0</v>
      </c>
      <c r="U237">
        <f ca="1"/>
        <v>0</v>
      </c>
      <c r="V237">
        <f ca="1"/>
        <v>0.99999044237468138</v>
      </c>
      <c r="X237" s="2">
        <f t="shared" ca="1" si="22"/>
        <v>45647</v>
      </c>
      <c r="Y237">
        <f t="shared" ca="1" si="23"/>
        <v>0</v>
      </c>
      <c r="AA237" s="63">
        <f t="shared" ca="1" si="25"/>
        <v>54.073477861992465</v>
      </c>
      <c r="AB237" s="63">
        <f t="shared" ca="1" si="26"/>
        <v>54.073477861992465</v>
      </c>
      <c r="AC237" s="3">
        <f t="shared" ca="1" si="27"/>
        <v>0</v>
      </c>
    </row>
    <row r="238" spans="8:29">
      <c r="H238" t="b">
        <f t="shared" ca="1" si="24"/>
        <v>1</v>
      </c>
      <c r="I238" t="b">
        <f t="shared" ca="1" si="21"/>
        <v>1</v>
      </c>
      <c r="J238" s="2">
        <f ca="1"/>
        <v>45648</v>
      </c>
      <c r="K238">
        <f ca="1"/>
        <v>49.75664525613643</v>
      </c>
      <c r="L238">
        <f ca="1"/>
        <v>2.5184598436384817</v>
      </c>
      <c r="M238">
        <f ca="1"/>
        <v>2.8681466666480304E-3</v>
      </c>
      <c r="N238">
        <f ca="1"/>
        <v>0.69015106208469135</v>
      </c>
      <c r="O238">
        <f ca="1"/>
        <v>0</v>
      </c>
      <c r="P238">
        <f ca="1"/>
        <v>344.31942840412995</v>
      </c>
      <c r="Q238">
        <f ca="1"/>
        <v>221.09973291515377</v>
      </c>
      <c r="R238">
        <f ca="1"/>
        <v>0</v>
      </c>
      <c r="S238">
        <f ca="1"/>
        <v>0.52703186342024855</v>
      </c>
      <c r="T238">
        <f ca="1"/>
        <v>0</v>
      </c>
      <c r="U238">
        <f ca="1"/>
        <v>0</v>
      </c>
      <c r="V238">
        <f ca="1"/>
        <v>0.99999146808695705</v>
      </c>
      <c r="X238" s="2">
        <f t="shared" ca="1" si="22"/>
        <v>45648</v>
      </c>
      <c r="Y238">
        <f t="shared" ca="1" si="23"/>
        <v>0</v>
      </c>
      <c r="AA238" s="63">
        <f t="shared" ca="1" si="25"/>
        <v>52.275105099774919</v>
      </c>
      <c r="AB238" s="63">
        <f t="shared" ca="1" si="26"/>
        <v>52.275105099774912</v>
      </c>
      <c r="AC238" s="3">
        <f t="shared" ca="1" si="27"/>
        <v>0</v>
      </c>
    </row>
    <row r="239" spans="8:29">
      <c r="H239" t="b">
        <f t="shared" ca="1" si="24"/>
        <v>1</v>
      </c>
      <c r="I239" t="b">
        <f t="shared" ca="1" si="21"/>
        <v>1</v>
      </c>
      <c r="J239" s="2">
        <f ca="1"/>
        <v>45649</v>
      </c>
      <c r="K239">
        <f ca="1"/>
        <v>48.009915871044043</v>
      </c>
      <c r="L239">
        <f ca="1"/>
        <v>2.4501499469921555</v>
      </c>
      <c r="M239">
        <f ca="1"/>
        <v>2.8055359077985287E-3</v>
      </c>
      <c r="N239">
        <f ca="1"/>
        <v>0.70061502599197301</v>
      </c>
      <c r="O239">
        <f ca="1"/>
        <v>0</v>
      </c>
      <c r="P239">
        <f ca="1"/>
        <v>346.76957835112211</v>
      </c>
      <c r="Q239">
        <f ca="1"/>
        <v>222.6730612091535</v>
      </c>
      <c r="R239">
        <f ca="1"/>
        <v>0</v>
      </c>
      <c r="S239">
        <f ca="1"/>
        <v>0.53485813876636501</v>
      </c>
      <c r="T239">
        <f ca="1"/>
        <v>0</v>
      </c>
      <c r="U239">
        <f ca="1"/>
        <v>0</v>
      </c>
      <c r="V239">
        <f ca="1"/>
        <v>0.99999238680564506</v>
      </c>
      <c r="X239" s="2">
        <f t="shared" ca="1" si="22"/>
        <v>45649</v>
      </c>
      <c r="Y239">
        <f t="shared" ca="1" si="23"/>
        <v>0</v>
      </c>
      <c r="AA239" s="63">
        <f t="shared" ca="1" si="25"/>
        <v>50.460065818036199</v>
      </c>
      <c r="AB239" s="63">
        <f t="shared" ca="1" si="26"/>
        <v>50.460065818036199</v>
      </c>
      <c r="AC239" s="3">
        <f t="shared" ca="1" si="27"/>
        <v>0</v>
      </c>
    </row>
    <row r="240" spans="8:29">
      <c r="H240" t="b">
        <f t="shared" ca="1" si="24"/>
        <v>1</v>
      </c>
      <c r="I240" t="b">
        <f t="shared" ca="1" si="21"/>
        <v>1</v>
      </c>
      <c r="J240" s="2">
        <f ca="1"/>
        <v>45650</v>
      </c>
      <c r="K240">
        <f ca="1"/>
        <v>46.315290652507933</v>
      </c>
      <c r="L240">
        <f ca="1"/>
        <v>2.4457200248323261</v>
      </c>
      <c r="M240">
        <f ca="1"/>
        <v>2.8322171183585709E-3</v>
      </c>
      <c r="N240">
        <f ca="1"/>
        <v>0.74826258917785649</v>
      </c>
      <c r="O240">
        <f ca="1"/>
        <v>0</v>
      </c>
      <c r="P240">
        <f ca="1"/>
        <v>349.21529837595443</v>
      </c>
      <c r="Q240">
        <f ca="1"/>
        <v>224.24354489281308</v>
      </c>
      <c r="R240">
        <f ca="1"/>
        <v>0</v>
      </c>
      <c r="S240">
        <f ca="1"/>
        <v>0.55412573345529081</v>
      </c>
      <c r="T240">
        <f ca="1"/>
        <v>0</v>
      </c>
      <c r="U240">
        <f ca="1"/>
        <v>0</v>
      </c>
      <c r="V240">
        <f ca="1"/>
        <v>0.99999323039828036</v>
      </c>
      <c r="X240" s="2">
        <f t="shared" ca="1" si="22"/>
        <v>45650</v>
      </c>
      <c r="Y240">
        <f t="shared" ca="1" si="23"/>
        <v>0</v>
      </c>
      <c r="AA240" s="63">
        <f t="shared" ca="1" si="25"/>
        <v>48.761010677340259</v>
      </c>
      <c r="AB240" s="63">
        <f t="shared" ca="1" si="26"/>
        <v>48.761010677340259</v>
      </c>
      <c r="AC240" s="3">
        <f t="shared" ca="1" si="27"/>
        <v>0</v>
      </c>
    </row>
    <row r="241" spans="8:29">
      <c r="H241" t="b">
        <f t="shared" ca="1" si="24"/>
        <v>1</v>
      </c>
      <c r="I241" t="b">
        <f t="shared" ca="1" si="21"/>
        <v>1</v>
      </c>
      <c r="J241" s="2">
        <f ca="1"/>
        <v>45651</v>
      </c>
      <c r="K241">
        <f ca="1"/>
        <v>44.614149468871531</v>
      </c>
      <c r="L241">
        <f ca="1"/>
        <v>2.4353525252813597</v>
      </c>
      <c r="M241">
        <f ca="1"/>
        <v>2.8569242356315527E-3</v>
      </c>
      <c r="N241">
        <f ca="1"/>
        <v>0.73135441740932561</v>
      </c>
      <c r="O241">
        <f ca="1"/>
        <v>0</v>
      </c>
      <c r="P241">
        <f ca="1"/>
        <v>351.65065090123579</v>
      </c>
      <c r="Q241">
        <f ca="1"/>
        <v>225.80737123682633</v>
      </c>
      <c r="R241">
        <f ca="1"/>
        <v>0</v>
      </c>
      <c r="S241">
        <f ca="1"/>
        <v>0.50697383120653261</v>
      </c>
      <c r="T241">
        <f ca="1"/>
        <v>0</v>
      </c>
      <c r="U241">
        <f ca="1"/>
        <v>0</v>
      </c>
      <c r="V241">
        <f ca="1"/>
        <v>0.99999400160548624</v>
      </c>
      <c r="X241" s="2">
        <f t="shared" ca="1" si="22"/>
        <v>45651</v>
      </c>
      <c r="Y241">
        <f t="shared" ca="1" si="23"/>
        <v>0</v>
      </c>
      <c r="AA241" s="63">
        <f t="shared" ca="1" si="25"/>
        <v>47.049501994152891</v>
      </c>
      <c r="AB241" s="63">
        <f t="shared" ca="1" si="26"/>
        <v>47.049501994152891</v>
      </c>
      <c r="AC241" s="3">
        <f t="shared" ca="1" si="27"/>
        <v>0</v>
      </c>
    </row>
    <row r="242" spans="8:29">
      <c r="H242" t="b">
        <f t="shared" ca="1" si="24"/>
        <v>1</v>
      </c>
      <c r="I242" t="b">
        <f t="shared" ca="1" si="21"/>
        <v>1</v>
      </c>
      <c r="J242" s="2">
        <f ca="1"/>
        <v>45652</v>
      </c>
      <c r="K242">
        <f ca="1"/>
        <v>42.994445542813615</v>
      </c>
      <c r="L242">
        <f ca="1"/>
        <v>2.3031187394234962</v>
      </c>
      <c r="M242">
        <f ca="1"/>
        <v>2.5708709452203493E-3</v>
      </c>
      <c r="N242">
        <f ca="1"/>
        <v>0.68084394242036128</v>
      </c>
      <c r="O242">
        <f ca="1"/>
        <v>0</v>
      </c>
      <c r="P242">
        <f ca="1"/>
        <v>353.95376964065929</v>
      </c>
      <c r="Q242">
        <f ca="1"/>
        <v>227.28628557087526</v>
      </c>
      <c r="R242">
        <f ca="1"/>
        <v>0</v>
      </c>
      <c r="S242">
        <f ca="1"/>
        <v>0.47440417300940818</v>
      </c>
      <c r="T242">
        <f ca="1"/>
        <v>0</v>
      </c>
      <c r="U242">
        <f ca="1"/>
        <v>0</v>
      </c>
      <c r="V242">
        <f ca="1"/>
        <v>0.9868258627094364</v>
      </c>
      <c r="X242" s="2">
        <f t="shared" ca="1" si="22"/>
        <v>45652</v>
      </c>
      <c r="Y242">
        <f t="shared" ca="1" si="23"/>
        <v>0</v>
      </c>
      <c r="AA242" s="63">
        <f t="shared" ca="1" si="25"/>
        <v>45.297564282237111</v>
      </c>
      <c r="AB242" s="63">
        <f t="shared" ca="1" si="26"/>
        <v>45.297564282237111</v>
      </c>
      <c r="AC242" s="3">
        <f t="shared" ca="1" si="27"/>
        <v>0</v>
      </c>
    </row>
    <row r="243" spans="8:29">
      <c r="H243" t="b">
        <f t="shared" ca="1" si="24"/>
        <v>1</v>
      </c>
      <c r="I243" t="b">
        <f t="shared" ca="1" si="21"/>
        <v>1</v>
      </c>
      <c r="J243" s="2">
        <f ca="1"/>
        <v>45653</v>
      </c>
      <c r="K243">
        <f ca="1"/>
        <v>41.470454440897711</v>
      </c>
      <c r="L243">
        <f ca="1"/>
        <v>2.1587850179700467</v>
      </c>
      <c r="M243">
        <f ca="1"/>
        <v>2.2898207074497634E-3</v>
      </c>
      <c r="N243">
        <f ca="1"/>
        <v>0.63250409534669827</v>
      </c>
      <c r="O243">
        <f ca="1"/>
        <v>0</v>
      </c>
      <c r="P243">
        <f ca="1"/>
        <v>356.11255465862934</v>
      </c>
      <c r="Q243">
        <f ca="1"/>
        <v>228.67251809660485</v>
      </c>
      <c r="R243">
        <f ca="1"/>
        <v>0</v>
      </c>
      <c r="S243">
        <f ca="1"/>
        <v>0.4491281186116971</v>
      </c>
      <c r="T243">
        <f ca="1"/>
        <v>0</v>
      </c>
      <c r="U243">
        <f ca="1"/>
        <v>0</v>
      </c>
      <c r="V243">
        <f ca="1"/>
        <v>0.97240713466710771</v>
      </c>
      <c r="X243" s="2">
        <f t="shared" ca="1" si="22"/>
        <v>45653</v>
      </c>
      <c r="Y243">
        <f t="shared" ca="1" si="23"/>
        <v>0</v>
      </c>
      <c r="AA243" s="63">
        <f t="shared" ca="1" si="25"/>
        <v>43.629239458867765</v>
      </c>
      <c r="AB243" s="63">
        <f t="shared" ca="1" si="26"/>
        <v>43.629239458867758</v>
      </c>
      <c r="AC243" s="3">
        <f t="shared" ca="1" si="27"/>
        <v>0</v>
      </c>
    </row>
    <row r="244" spans="8:29">
      <c r="H244" t="b">
        <f t="shared" ca="1" si="24"/>
        <v>1</v>
      </c>
      <c r="I244" t="b">
        <f t="shared" ca="1" si="21"/>
        <v>1</v>
      </c>
      <c r="J244" s="2">
        <f ca="1"/>
        <v>45654</v>
      </c>
      <c r="K244">
        <f ca="1"/>
        <v>40.025698414940777</v>
      </c>
      <c r="L244">
        <f ca="1"/>
        <v>2.0974694298764689</v>
      </c>
      <c r="M244">
        <f ca="1"/>
        <v>2.3313764107424362E-3</v>
      </c>
      <c r="N244">
        <f ca="1"/>
        <v>0.65038202750879159</v>
      </c>
      <c r="O244">
        <f ca="1"/>
        <v>0</v>
      </c>
      <c r="P244">
        <f ca="1"/>
        <v>358.2100240885058</v>
      </c>
      <c r="Q244">
        <f ca="1"/>
        <v>230.01937770569751</v>
      </c>
      <c r="R244">
        <f ca="1"/>
        <v>0</v>
      </c>
      <c r="S244">
        <f ca="1"/>
        <v>0.46524435879923837</v>
      </c>
      <c r="T244">
        <f ca="1"/>
        <v>0</v>
      </c>
      <c r="U244">
        <f ca="1"/>
        <v>0</v>
      </c>
      <c r="V244">
        <f ca="1"/>
        <v>0.95791211705841783</v>
      </c>
      <c r="X244" s="2">
        <f t="shared" ca="1" si="22"/>
        <v>45654</v>
      </c>
      <c r="Y244">
        <f t="shared" ca="1" si="23"/>
        <v>0</v>
      </c>
      <c r="AA244" s="63">
        <f t="shared" ca="1" si="25"/>
        <v>42.123167844817246</v>
      </c>
      <c r="AB244" s="63">
        <f t="shared" ca="1" si="26"/>
        <v>42.123167844817246</v>
      </c>
      <c r="AC244" s="3">
        <f t="shared" ca="1" si="27"/>
        <v>0</v>
      </c>
    </row>
    <row r="245" spans="8:29">
      <c r="H245" t="b">
        <f t="shared" ca="1" si="24"/>
        <v>1</v>
      </c>
      <c r="I245" t="b">
        <f t="shared" ca="1" si="21"/>
        <v>1</v>
      </c>
      <c r="J245" s="2">
        <f ca="1"/>
        <v>45655</v>
      </c>
      <c r="K245">
        <f ca="1"/>
        <v>38.661431739380461</v>
      </c>
      <c r="L245">
        <f ca="1"/>
        <v>2.0202074086120092</v>
      </c>
      <c r="M245">
        <f ca="1"/>
        <v>2.301473344092031E-3</v>
      </c>
      <c r="N245">
        <f ca="1"/>
        <v>0.65363925970760173</v>
      </c>
      <c r="O245">
        <f ca="1"/>
        <v>0</v>
      </c>
      <c r="P245">
        <f ca="1"/>
        <v>360.23023149711781</v>
      </c>
      <c r="Q245">
        <f ca="1"/>
        <v>231.3166246271029</v>
      </c>
      <c r="R245">
        <f ca="1"/>
        <v>0</v>
      </c>
      <c r="S245">
        <f ca="1"/>
        <v>0.47205709856456812</v>
      </c>
      <c r="T245">
        <f ca="1"/>
        <v>0</v>
      </c>
      <c r="U245">
        <f ca="1"/>
        <v>0</v>
      </c>
      <c r="V245">
        <f ca="1"/>
        <v>0.94345948254215073</v>
      </c>
      <c r="X245" s="2">
        <f t="shared" ca="1" si="22"/>
        <v>45655</v>
      </c>
      <c r="Y245">
        <f t="shared" ca="1" si="23"/>
        <v>0</v>
      </c>
      <c r="AA245" s="63">
        <f t="shared" ca="1" si="25"/>
        <v>40.68163914799247</v>
      </c>
      <c r="AB245" s="63">
        <f t="shared" ca="1" si="26"/>
        <v>40.68163914799247</v>
      </c>
      <c r="AC245" s="3">
        <f t="shared" ca="1" si="27"/>
        <v>0</v>
      </c>
    </row>
    <row r="246" spans="8:29">
      <c r="H246" t="b">
        <f t="shared" ca="1" si="24"/>
        <v>1</v>
      </c>
      <c r="I246" t="b">
        <f t="shared" ca="1" si="21"/>
        <v>1</v>
      </c>
      <c r="J246" s="2">
        <f ca="1"/>
        <v>45656</v>
      </c>
      <c r="K246">
        <f ca="1"/>
        <v>37.404860510478152</v>
      </c>
      <c r="L246">
        <f ca="1"/>
        <v>1.9102288029727106</v>
      </c>
      <c r="M246">
        <f ca="1"/>
        <v>2.2786195042314716E-3</v>
      </c>
      <c r="N246">
        <f ca="1"/>
        <v>0.65137895456616735</v>
      </c>
      <c r="O246">
        <f ca="1"/>
        <v>0</v>
      </c>
      <c r="P246">
        <f ca="1"/>
        <v>362.14046030009052</v>
      </c>
      <c r="Q246">
        <f ca="1"/>
        <v>232.54325038011845</v>
      </c>
      <c r="R246">
        <f ca="1"/>
        <v>0</v>
      </c>
      <c r="S246">
        <f ca="1"/>
        <v>0.49088329981272061</v>
      </c>
      <c r="T246">
        <f ca="1"/>
        <v>0</v>
      </c>
      <c r="U246">
        <f ca="1"/>
        <v>0</v>
      </c>
      <c r="V246">
        <f ca="1"/>
        <v>0.92931200629132982</v>
      </c>
      <c r="X246" s="2">
        <f t="shared" ca="1" si="22"/>
        <v>45656</v>
      </c>
      <c r="Y246">
        <f t="shared" ca="1" si="23"/>
        <v>0</v>
      </c>
      <c r="AA246" s="63">
        <f t="shared" ca="1" si="25"/>
        <v>39.315089313450862</v>
      </c>
      <c r="AB246" s="63">
        <f t="shared" ca="1" si="26"/>
        <v>39.315089313450862</v>
      </c>
      <c r="AC246" s="3">
        <f t="shared" ca="1" si="27"/>
        <v>0</v>
      </c>
    </row>
    <row r="247" spans="8:29">
      <c r="H247" t="b">
        <f t="shared" ca="1" si="24"/>
        <v>1</v>
      </c>
      <c r="I247" t="b">
        <f t="shared" ca="1" si="21"/>
        <v>1</v>
      </c>
      <c r="J247" s="2">
        <f ca="1"/>
        <v>45657</v>
      </c>
      <c r="K247">
        <f ca="1"/>
        <v>36.245684418251784</v>
      </c>
      <c r="L247">
        <f ca="1"/>
        <v>1.713491672135433</v>
      </c>
      <c r="M247">
        <f ca="1"/>
        <v>1.8316906074336003E-3</v>
      </c>
      <c r="N247">
        <f ca="1"/>
        <v>0.55248388930163128</v>
      </c>
      <c r="O247">
        <f ca="1"/>
        <v>0</v>
      </c>
      <c r="P247">
        <f ca="1"/>
        <v>363.85395197222596</v>
      </c>
      <c r="Q247">
        <f ca="1"/>
        <v>233.64354423462851</v>
      </c>
      <c r="R247">
        <f ca="1"/>
        <v>0</v>
      </c>
      <c r="S247">
        <f ca="1"/>
        <v>0.4386766141093783</v>
      </c>
      <c r="T247">
        <f ca="1"/>
        <v>0</v>
      </c>
      <c r="U247">
        <f ca="1"/>
        <v>0</v>
      </c>
      <c r="V247">
        <f ca="1"/>
        <v>0.91619020087714731</v>
      </c>
      <c r="X247" s="2">
        <f t="shared" ca="1" si="22"/>
        <v>45657</v>
      </c>
      <c r="Y247">
        <f t="shared" ca="1" si="23"/>
        <v>0</v>
      </c>
      <c r="AA247" s="63">
        <f t="shared" ca="1" si="25"/>
        <v>37.959176090387217</v>
      </c>
      <c r="AB247" s="63">
        <f t="shared" ca="1" si="26"/>
        <v>37.959176090387217</v>
      </c>
      <c r="AC247" s="3">
        <f t="shared" ca="1" si="27"/>
        <v>0</v>
      </c>
    </row>
    <row r="248" spans="8:29">
      <c r="H248" t="b">
        <f t="shared" ca="1" si="24"/>
        <v>1</v>
      </c>
      <c r="I248" t="b">
        <f t="shared" ca="1" si="21"/>
        <v>1</v>
      </c>
      <c r="J248" s="2">
        <f ca="1"/>
        <v>45658</v>
      </c>
      <c r="K248">
        <f ca="1"/>
        <v>34.994343446183379</v>
      </c>
      <c r="L248">
        <f ca="1"/>
        <v>1.9141282630965861</v>
      </c>
      <c r="M248">
        <f ca="1"/>
        <v>2.077488575874753E-3</v>
      </c>
      <c r="N248">
        <f ca="1"/>
        <v>0.66070980245230404</v>
      </c>
      <c r="O248">
        <f ca="1"/>
        <v>0</v>
      </c>
      <c r="P248">
        <f ca="1"/>
        <v>365.76808023532254</v>
      </c>
      <c r="Q248">
        <f ca="1"/>
        <v>234.87267396947252</v>
      </c>
      <c r="R248">
        <f ca="1"/>
        <v>0</v>
      </c>
      <c r="S248">
        <f ca="1"/>
        <v>0.42946834311869725</v>
      </c>
      <c r="T248">
        <f ca="1"/>
        <v>0</v>
      </c>
      <c r="U248">
        <f ca="1"/>
        <v>0</v>
      </c>
      <c r="V248">
        <f ca="1"/>
        <v>0.90100857717120364</v>
      </c>
      <c r="X248" s="2">
        <f t="shared" ca="1" si="22"/>
        <v>45658</v>
      </c>
      <c r="Y248">
        <f t="shared" ca="1" si="23"/>
        <v>0</v>
      </c>
      <c r="AA248" s="63">
        <f t="shared" ca="1" si="25"/>
        <v>36.908471709279965</v>
      </c>
      <c r="AB248" s="63">
        <f t="shared" ca="1" si="26"/>
        <v>36.908471709279965</v>
      </c>
      <c r="AC248" s="3">
        <f t="shared" ca="1" si="27"/>
        <v>0</v>
      </c>
    </row>
    <row r="249" spans="8:29">
      <c r="H249" t="b">
        <f t="shared" ca="1" si="24"/>
        <v>1</v>
      </c>
      <c r="I249" t="b">
        <f t="shared" ca="1" si="21"/>
        <v>1</v>
      </c>
      <c r="J249" s="2">
        <f ca="1"/>
        <v>45659</v>
      </c>
      <c r="K249">
        <f ca="1"/>
        <v>33.780702366278639</v>
      </c>
      <c r="L249">
        <f ca="1"/>
        <v>1.8970708810431347</v>
      </c>
      <c r="M249">
        <f ca="1"/>
        <v>2.0706828226764173E-3</v>
      </c>
      <c r="N249">
        <f ca="1"/>
        <v>0.68135911831572193</v>
      </c>
      <c r="O249">
        <f ca="1"/>
        <v>0</v>
      </c>
      <c r="P249">
        <f ca="1"/>
        <v>367.66515111636568</v>
      </c>
      <c r="Q249">
        <f ca="1"/>
        <v>236.09085055353515</v>
      </c>
      <c r="R249">
        <f ca="1"/>
        <v>0</v>
      </c>
      <c r="S249">
        <f ca="1"/>
        <v>0.42191497345063944</v>
      </c>
      <c r="T249">
        <f ca="1"/>
        <v>0</v>
      </c>
      <c r="U249">
        <f ca="1"/>
        <v>0</v>
      </c>
      <c r="V249">
        <f ca="1"/>
        <v>0.88536921606709096</v>
      </c>
      <c r="X249" s="2">
        <f t="shared" ca="1" si="22"/>
        <v>45659</v>
      </c>
      <c r="Y249">
        <f t="shared" ca="1" si="23"/>
        <v>0</v>
      </c>
      <c r="AA249" s="63">
        <f t="shared" ca="1" si="25"/>
        <v>35.677773247321774</v>
      </c>
      <c r="AB249" s="63">
        <f t="shared" ca="1" si="26"/>
        <v>35.677773247321774</v>
      </c>
      <c r="AC249" s="3">
        <f t="shared" ca="1" si="27"/>
        <v>0</v>
      </c>
    </row>
    <row r="250" spans="8:29">
      <c r="H250" t="b">
        <f t="shared" ca="1" si="24"/>
        <v>1</v>
      </c>
      <c r="I250" t="b">
        <f t="shared" ca="1" si="21"/>
        <v>1</v>
      </c>
      <c r="J250" s="2">
        <f ca="1"/>
        <v>45660</v>
      </c>
      <c r="K250">
        <f ca="1"/>
        <v>32.685804050507386</v>
      </c>
      <c r="L250">
        <f ca="1"/>
        <v>1.827122225268397</v>
      </c>
      <c r="M250">
        <f ca="1"/>
        <v>2.2715083390671964E-3</v>
      </c>
      <c r="N250">
        <f ca="1"/>
        <v>0.72995240115807036</v>
      </c>
      <c r="O250">
        <f ca="1"/>
        <v>0</v>
      </c>
      <c r="P250">
        <f ca="1"/>
        <v>369.49227334163407</v>
      </c>
      <c r="Q250">
        <f ca="1"/>
        <v>237.2641106216137</v>
      </c>
      <c r="R250">
        <f ca="1"/>
        <v>0</v>
      </c>
      <c r="S250">
        <f ca="1"/>
        <v>0.47298986167462614</v>
      </c>
      <c r="T250">
        <f ca="1"/>
        <v>0</v>
      </c>
      <c r="U250">
        <f ca="1"/>
        <v>0</v>
      </c>
      <c r="V250">
        <f ca="1"/>
        <v>0.86969594848903975</v>
      </c>
      <c r="X250" s="2">
        <f t="shared" ca="1" si="22"/>
        <v>45660</v>
      </c>
      <c r="Y250">
        <f t="shared" ca="1" si="23"/>
        <v>0</v>
      </c>
      <c r="AA250" s="63">
        <f t="shared" ca="1" si="25"/>
        <v>34.512926275775783</v>
      </c>
      <c r="AB250" s="63">
        <f t="shared" ca="1" si="26"/>
        <v>34.512926275775783</v>
      </c>
      <c r="AC250" s="3">
        <f t="shared" ca="1" si="27"/>
        <v>0</v>
      </c>
    </row>
    <row r="251" spans="8:29">
      <c r="H251" t="b">
        <f t="shared" ca="1" si="24"/>
        <v>1</v>
      </c>
      <c r="I251" t="b">
        <f t="shared" ca="1" si="21"/>
        <v>1</v>
      </c>
      <c r="J251" s="2">
        <f ca="1"/>
        <v>45661</v>
      </c>
      <c r="K251">
        <f ca="1"/>
        <v>31.703345009909384</v>
      </c>
      <c r="L251">
        <f ca="1"/>
        <v>1.6162738399991667</v>
      </c>
      <c r="M251">
        <f ca="1"/>
        <v>1.8988005434756872E-3</v>
      </c>
      <c r="N251">
        <f ca="1"/>
        <v>0.63191599885769156</v>
      </c>
      <c r="O251">
        <f ca="1"/>
        <v>0</v>
      </c>
      <c r="P251">
        <f ca="1"/>
        <v>371.10854718163324</v>
      </c>
      <c r="Q251">
        <f ca="1"/>
        <v>238.30197745357799</v>
      </c>
      <c r="R251">
        <f ca="1"/>
        <v>0</v>
      </c>
      <c r="S251">
        <f ca="1"/>
        <v>0.44900938293878895</v>
      </c>
      <c r="T251">
        <f ca="1"/>
        <v>0</v>
      </c>
      <c r="U251">
        <f ca="1"/>
        <v>0</v>
      </c>
      <c r="V251">
        <f ca="1"/>
        <v>0.85528569706519586</v>
      </c>
      <c r="X251" s="2">
        <f t="shared" ca="1" si="22"/>
        <v>45661</v>
      </c>
      <c r="Y251">
        <f t="shared" ca="1" si="23"/>
        <v>0</v>
      </c>
      <c r="AA251" s="63">
        <f t="shared" ca="1" si="25"/>
        <v>33.319618849908551</v>
      </c>
      <c r="AB251" s="63">
        <f t="shared" ca="1" si="26"/>
        <v>33.319618849908551</v>
      </c>
      <c r="AC251" s="3">
        <f t="shared" ca="1" si="27"/>
        <v>0</v>
      </c>
    </row>
    <row r="252" spans="8:29">
      <c r="H252" t="b">
        <f t="shared" ca="1" si="24"/>
        <v>1</v>
      </c>
      <c r="I252" t="b">
        <f t="shared" ca="1" si="21"/>
        <v>1</v>
      </c>
      <c r="J252" s="2">
        <f ca="1"/>
        <v>45662</v>
      </c>
      <c r="K252">
        <f ca="1"/>
        <v>30.799448935133725</v>
      </c>
      <c r="L252">
        <f ca="1"/>
        <v>1.5048634860252719</v>
      </c>
      <c r="M252">
        <f ca="1"/>
        <v>1.7617998174657146E-3</v>
      </c>
      <c r="N252">
        <f ca="1"/>
        <v>0.59920561143214846</v>
      </c>
      <c r="O252">
        <f ca="1"/>
        <v>0</v>
      </c>
      <c r="P252">
        <f ca="1"/>
        <v>372.61341066765851</v>
      </c>
      <c r="Q252">
        <f ca="1"/>
        <v>239.26830374070067</v>
      </c>
      <c r="R252">
        <f ca="1"/>
        <v>0</v>
      </c>
      <c r="S252">
        <f ca="1"/>
        <v>0.44306448192707648</v>
      </c>
      <c r="T252">
        <f ca="1"/>
        <v>0</v>
      </c>
      <c r="U252">
        <f ca="1"/>
        <v>0</v>
      </c>
      <c r="V252">
        <f ca="1"/>
        <v>0.84136708951345951</v>
      </c>
      <c r="X252" s="2">
        <f t="shared" ca="1" si="22"/>
        <v>45662</v>
      </c>
      <c r="Y252">
        <f t="shared" ca="1" si="23"/>
        <v>0</v>
      </c>
      <c r="AA252" s="63">
        <f t="shared" ca="1" si="25"/>
        <v>32.304312421158997</v>
      </c>
      <c r="AB252" s="63">
        <f t="shared" ca="1" si="26"/>
        <v>32.304312421158997</v>
      </c>
      <c r="AC252" s="3">
        <f t="shared" ca="1" si="27"/>
        <v>0</v>
      </c>
    </row>
    <row r="253" spans="8:29">
      <c r="H253" t="b">
        <f t="shared" ca="1" si="24"/>
        <v>1</v>
      </c>
      <c r="I253" t="b">
        <f t="shared" ca="1" si="21"/>
        <v>1</v>
      </c>
      <c r="J253" s="2">
        <f ca="1"/>
        <v>45663</v>
      </c>
      <c r="K253">
        <f ca="1"/>
        <v>29.868639720233489</v>
      </c>
      <c r="L253">
        <f ca="1"/>
        <v>1.5559188850803025</v>
      </c>
      <c r="M253">
        <f ca="1"/>
        <v>1.6964973289468332E-3</v>
      </c>
      <c r="N253">
        <f ca="1"/>
        <v>0.62341317285112052</v>
      </c>
      <c r="O253">
        <f ca="1"/>
        <v>0</v>
      </c>
      <c r="P253">
        <f ca="1"/>
        <v>374.16932955273882</v>
      </c>
      <c r="Q253">
        <f ca="1"/>
        <v>240.26741451270485</v>
      </c>
      <c r="R253">
        <f ca="1"/>
        <v>0</v>
      </c>
      <c r="S253">
        <f ca="1"/>
        <v>0.40044243924112322</v>
      </c>
      <c r="T253">
        <f ca="1"/>
        <v>0</v>
      </c>
      <c r="U253">
        <f ca="1"/>
        <v>0</v>
      </c>
      <c r="V253">
        <f ca="1"/>
        <v>0.82642281112508487</v>
      </c>
      <c r="X253" s="2">
        <f t="shared" ca="1" si="22"/>
        <v>45663</v>
      </c>
      <c r="Y253">
        <f t="shared" ca="1" si="23"/>
        <v>0</v>
      </c>
      <c r="AA253" s="63">
        <f t="shared" ca="1" si="25"/>
        <v>31.424558605313791</v>
      </c>
      <c r="AB253" s="63">
        <f t="shared" ca="1" si="26"/>
        <v>31.424558605313791</v>
      </c>
      <c r="AC253" s="3">
        <f t="shared" ca="1" si="27"/>
        <v>0</v>
      </c>
    </row>
    <row r="254" spans="8:29">
      <c r="H254" t="b">
        <f t="shared" ca="1" si="24"/>
        <v>1</v>
      </c>
      <c r="I254" t="b">
        <f t="shared" ca="1" si="21"/>
        <v>1</v>
      </c>
      <c r="J254" s="2">
        <f ca="1"/>
        <v>45664</v>
      </c>
      <c r="K254">
        <f ca="1"/>
        <v>29.018089380485115</v>
      </c>
      <c r="L254">
        <f ca="1"/>
        <v>1.4433125921125338</v>
      </c>
      <c r="M254">
        <f ca="1"/>
        <v>1.5777354165571467E-3</v>
      </c>
      <c r="N254">
        <f ca="1"/>
        <v>0.59118451694760454</v>
      </c>
      <c r="O254">
        <f ca="1"/>
        <v>0</v>
      </c>
      <c r="P254">
        <f ca="1"/>
        <v>375.61264214485135</v>
      </c>
      <c r="Q254">
        <f ca="1"/>
        <v>241.19421678496764</v>
      </c>
      <c r="R254">
        <f ca="1"/>
        <v>0</v>
      </c>
      <c r="S254">
        <f ca="1"/>
        <v>0.3967714046588609</v>
      </c>
      <c r="T254">
        <f ca="1"/>
        <v>0</v>
      </c>
      <c r="U254">
        <f ca="1"/>
        <v>0</v>
      </c>
      <c r="V254">
        <f ca="1"/>
        <v>0.81201255970124109</v>
      </c>
      <c r="X254" s="2">
        <f t="shared" ca="1" si="22"/>
        <v>45664</v>
      </c>
      <c r="Y254">
        <f t="shared" ca="1" si="23"/>
        <v>0</v>
      </c>
      <c r="AA254" s="63">
        <f t="shared" ca="1" si="25"/>
        <v>30.461401972597649</v>
      </c>
      <c r="AB254" s="63">
        <f t="shared" ca="1" si="26"/>
        <v>30.461401972597649</v>
      </c>
      <c r="AC254" s="3">
        <f t="shared" ca="1" si="27"/>
        <v>0</v>
      </c>
    </row>
    <row r="255" spans="8:29">
      <c r="H255" t="b">
        <f t="shared" ca="1" si="24"/>
        <v>1</v>
      </c>
      <c r="I255" t="b">
        <f t="shared" ca="1" si="21"/>
        <v>1</v>
      </c>
      <c r="J255" s="2">
        <f ca="1"/>
        <v>45665</v>
      </c>
      <c r="K255">
        <f ca="1"/>
        <v>28.199606002058282</v>
      </c>
      <c r="L255">
        <f ca="1"/>
        <v>1.4234453618424823</v>
      </c>
      <c r="M255">
        <f ca="1"/>
        <v>1.5538865726174578E-3</v>
      </c>
      <c r="N255">
        <f ca="1"/>
        <v>0.60340809684303209</v>
      </c>
      <c r="O255">
        <f ca="1"/>
        <v>0</v>
      </c>
      <c r="P255">
        <f ca="1"/>
        <v>377.03608750669383</v>
      </c>
      <c r="Q255">
        <f ca="1"/>
        <v>242.10826160312206</v>
      </c>
      <c r="R255">
        <f ca="1"/>
        <v>0</v>
      </c>
      <c r="S255">
        <f ca="1"/>
        <v>0.38662009011106935</v>
      </c>
      <c r="T255">
        <f ca="1"/>
        <v>0</v>
      </c>
      <c r="U255">
        <f ca="1"/>
        <v>0</v>
      </c>
      <c r="V255">
        <f ca="1"/>
        <v>0.79723781368255886</v>
      </c>
      <c r="X255" s="2">
        <f t="shared" ca="1" si="22"/>
        <v>45665</v>
      </c>
      <c r="Y255">
        <f t="shared" ca="1" si="23"/>
        <v>0</v>
      </c>
      <c r="AA255" s="63">
        <f t="shared" ca="1" si="25"/>
        <v>29.623051363900764</v>
      </c>
      <c r="AB255" s="63">
        <f t="shared" ca="1" si="26"/>
        <v>29.623051363900764</v>
      </c>
      <c r="AC255" s="3">
        <f t="shared" ca="1" si="27"/>
        <v>0</v>
      </c>
    </row>
    <row r="256" spans="8:29">
      <c r="H256" t="b">
        <f t="shared" ca="1" si="24"/>
        <v>1</v>
      </c>
      <c r="I256" t="b">
        <f t="shared" ca="1" si="21"/>
        <v>1</v>
      </c>
      <c r="J256" s="2">
        <f ca="1"/>
        <v>45666</v>
      </c>
      <c r="K256">
        <f ca="1"/>
        <v>27.421374583045683</v>
      </c>
      <c r="L256">
        <f ca="1"/>
        <v>1.3365467310681538</v>
      </c>
      <c r="M256">
        <f ca="1"/>
        <v>1.332552608522164E-3</v>
      </c>
      <c r="N256">
        <f ca="1"/>
        <v>0.55698275944703624</v>
      </c>
      <c r="O256">
        <f ca="1"/>
        <v>0</v>
      </c>
      <c r="P256">
        <f ca="1"/>
        <v>378.37263423776199</v>
      </c>
      <c r="Q256">
        <f ca="1"/>
        <v>242.96650572439466</v>
      </c>
      <c r="R256">
        <f ca="1"/>
        <v>0</v>
      </c>
      <c r="S256">
        <f ca="1"/>
        <v>0.34725555073863779</v>
      </c>
      <c r="T256">
        <f ca="1"/>
        <v>0</v>
      </c>
      <c r="U256">
        <f ca="1"/>
        <v>0</v>
      </c>
      <c r="V256">
        <f ca="1"/>
        <v>0.78281060902174582</v>
      </c>
      <c r="X256" s="2">
        <f t="shared" ca="1" si="22"/>
        <v>45666</v>
      </c>
      <c r="Y256">
        <f t="shared" ca="1" si="23"/>
        <v>0</v>
      </c>
      <c r="AA256" s="63">
        <f t="shared" ca="1" si="25"/>
        <v>28.75792131411384</v>
      </c>
      <c r="AB256" s="63">
        <f t="shared" ca="1" si="26"/>
        <v>28.757921314113837</v>
      </c>
      <c r="AC256" s="3">
        <f t="shared" ca="1" si="27"/>
        <v>0</v>
      </c>
    </row>
    <row r="257" spans="8:29">
      <c r="H257" t="b">
        <f t="shared" ca="1" si="24"/>
        <v>1</v>
      </c>
      <c r="I257" t="b">
        <f t="shared" ca="1" si="21"/>
        <v>1</v>
      </c>
      <c r="J257" s="2">
        <f ca="1"/>
        <v>45667</v>
      </c>
      <c r="K257">
        <f ca="1"/>
        <v>26.658855594957053</v>
      </c>
      <c r="L257">
        <f ca="1"/>
        <v>1.3283194631948163</v>
      </c>
      <c r="M257">
        <f ca="1"/>
        <v>1.2624929349769332E-3</v>
      </c>
      <c r="N257">
        <f ca="1"/>
        <v>0.56453798217120799</v>
      </c>
      <c r="O257">
        <f ca="1"/>
        <v>0</v>
      </c>
      <c r="P257">
        <f ca="1"/>
        <v>379.7009537009568</v>
      </c>
      <c r="Q257">
        <f ca="1"/>
        <v>243.81946682478795</v>
      </c>
      <c r="R257">
        <f ca="1"/>
        <v>0</v>
      </c>
      <c r="S257">
        <f ca="1"/>
        <v>0.32121853126756172</v>
      </c>
      <c r="T257">
        <f ca="1"/>
        <v>0</v>
      </c>
      <c r="U257">
        <f ca="1"/>
        <v>0</v>
      </c>
      <c r="V257">
        <f ca="1"/>
        <v>0.76789176048882513</v>
      </c>
      <c r="X257" s="2">
        <f t="shared" ca="1" si="22"/>
        <v>45667</v>
      </c>
      <c r="Y257">
        <f t="shared" ca="1" si="23"/>
        <v>0</v>
      </c>
      <c r="AA257" s="63">
        <f t="shared" ca="1" si="25"/>
        <v>27.98717505815187</v>
      </c>
      <c r="AB257" s="63">
        <f t="shared" ca="1" si="26"/>
        <v>27.98717505815187</v>
      </c>
      <c r="AC257" s="3">
        <f t="shared" ca="1" si="27"/>
        <v>0</v>
      </c>
    </row>
    <row r="258" spans="8:29">
      <c r="H258" t="b">
        <f t="shared" ca="1" si="24"/>
        <v>1</v>
      </c>
      <c r="I258" t="b">
        <f t="shared" ca="1" si="21"/>
        <v>1</v>
      </c>
      <c r="J258" s="2">
        <f ca="1"/>
        <v>45668</v>
      </c>
      <c r="K258">
        <f ca="1"/>
        <v>25.927028982047304</v>
      </c>
      <c r="L258">
        <f ca="1"/>
        <v>1.2789444236934173</v>
      </c>
      <c r="M258">
        <f ca="1"/>
        <v>1.1233202060250136E-3</v>
      </c>
      <c r="N258">
        <f ca="1"/>
        <v>0.54599449057763927</v>
      </c>
      <c r="O258">
        <f ca="1"/>
        <v>0</v>
      </c>
      <c r="P258">
        <f ca="1"/>
        <v>380.97989812465022</v>
      </c>
      <c r="Q258">
        <f ca="1"/>
        <v>244.64072245884427</v>
      </c>
      <c r="R258">
        <f ca="1"/>
        <v>0</v>
      </c>
      <c r="S258">
        <f ca="1"/>
        <v>0.2891634969839641</v>
      </c>
      <c r="T258">
        <f ca="1"/>
        <v>0</v>
      </c>
      <c r="U258">
        <f ca="1"/>
        <v>0</v>
      </c>
      <c r="V258">
        <f ca="1"/>
        <v>0.75293052886348133</v>
      </c>
      <c r="X258" s="2">
        <f t="shared" ca="1" si="22"/>
        <v>45668</v>
      </c>
      <c r="Y258">
        <f t="shared" ca="1" si="23"/>
        <v>0</v>
      </c>
      <c r="AA258" s="63">
        <f t="shared" ca="1" si="25"/>
        <v>27.205973405740721</v>
      </c>
      <c r="AB258" s="63">
        <f t="shared" ca="1" si="26"/>
        <v>27.205973405740721</v>
      </c>
      <c r="AC258" s="3">
        <f t="shared" ca="1" si="27"/>
        <v>0</v>
      </c>
    </row>
    <row r="259" spans="8:29">
      <c r="H259" t="b">
        <f t="shared" ca="1" si="24"/>
        <v>1</v>
      </c>
      <c r="I259" t="b">
        <f t="shared" ca="1" si="21"/>
        <v>1</v>
      </c>
      <c r="J259" s="2">
        <f ca="1"/>
        <v>45669</v>
      </c>
      <c r="K259">
        <f ca="1"/>
        <v>25.220783259945577</v>
      </c>
      <c r="L259">
        <f ca="1"/>
        <v>1.2635609994989636</v>
      </c>
      <c r="M259">
        <f ca="1"/>
        <v>1.0734370257061698E-3</v>
      </c>
      <c r="N259">
        <f ca="1"/>
        <v>0.5562418403715309</v>
      </c>
      <c r="O259">
        <f ca="1"/>
        <v>0</v>
      </c>
      <c r="P259">
        <f ca="1"/>
        <v>382.24345912414918</v>
      </c>
      <c r="Q259">
        <f ca="1"/>
        <v>245.45209984990836</v>
      </c>
      <c r="R259">
        <f ca="1"/>
        <v>0</v>
      </c>
      <c r="S259">
        <f ca="1"/>
        <v>0.27013613894480026</v>
      </c>
      <c r="T259">
        <f ca="1"/>
        <v>0</v>
      </c>
      <c r="U259">
        <f ca="1"/>
        <v>0</v>
      </c>
      <c r="V259">
        <f ca="1"/>
        <v>0.7375200364584531</v>
      </c>
      <c r="X259" s="2">
        <f t="shared" ca="1" si="22"/>
        <v>45669</v>
      </c>
      <c r="Y259">
        <f t="shared" ca="1" si="23"/>
        <v>0</v>
      </c>
      <c r="AA259" s="63">
        <f t="shared" ca="1" si="25"/>
        <v>26.484344259444541</v>
      </c>
      <c r="AB259" s="63">
        <f t="shared" ca="1" si="26"/>
        <v>26.484344259444541</v>
      </c>
      <c r="AC259" s="3">
        <f t="shared" ca="1" si="27"/>
        <v>0</v>
      </c>
    </row>
    <row r="260" spans="8:29">
      <c r="H260" t="b">
        <f t="shared" ca="1" si="24"/>
        <v>1</v>
      </c>
      <c r="I260" t="b">
        <f t="shared" ca="1" si="21"/>
        <v>1</v>
      </c>
      <c r="J260" s="2">
        <f ca="1"/>
        <v>45670</v>
      </c>
      <c r="K260">
        <f ca="1"/>
        <v>24.582119831831555</v>
      </c>
      <c r="L260">
        <f ca="1"/>
        <v>1.1912899603004234</v>
      </c>
      <c r="M260">
        <f ca="1"/>
        <v>1.084945082277855E-3</v>
      </c>
      <c r="N260">
        <f ca="1"/>
        <v>0.55154158710412049</v>
      </c>
      <c r="O260">
        <f ca="1"/>
        <v>0</v>
      </c>
      <c r="P260">
        <f ca="1"/>
        <v>383.43474908444961</v>
      </c>
      <c r="Q260">
        <f ca="1"/>
        <v>246.21706944011629</v>
      </c>
      <c r="R260">
        <f ca="1"/>
        <v>0</v>
      </c>
      <c r="S260">
        <f ca="1"/>
        <v>0.28269863747406621</v>
      </c>
      <c r="T260">
        <f ca="1"/>
        <v>0</v>
      </c>
      <c r="U260">
        <f ca="1"/>
        <v>0</v>
      </c>
      <c r="V260">
        <f ca="1"/>
        <v>0.72236384260796305</v>
      </c>
      <c r="X260" s="2">
        <f t="shared" ca="1" si="22"/>
        <v>45670</v>
      </c>
      <c r="Y260">
        <f t="shared" ca="1" si="23"/>
        <v>0</v>
      </c>
      <c r="AA260" s="63">
        <f t="shared" ca="1" si="25"/>
        <v>25.773409792131975</v>
      </c>
      <c r="AB260" s="63">
        <f t="shared" ca="1" si="26"/>
        <v>25.773409792131979</v>
      </c>
      <c r="AC260" s="3">
        <f t="shared" ca="1" si="27"/>
        <v>0</v>
      </c>
    </row>
    <row r="261" spans="8:29">
      <c r="H261" t="b">
        <f t="shared" ca="1" si="24"/>
        <v>1</v>
      </c>
      <c r="I261" t="b">
        <f t="shared" ca="1" si="21"/>
        <v>1</v>
      </c>
      <c r="J261" s="2">
        <f ca="1"/>
        <v>45671</v>
      </c>
      <c r="K261">
        <f ca="1"/>
        <v>24.010446202843823</v>
      </c>
      <c r="L261">
        <f ca="1"/>
        <v>1.1045334033106542</v>
      </c>
      <c r="M261">
        <f ca="1"/>
        <v>1.0560588108052826E-3</v>
      </c>
      <c r="N261">
        <f ca="1"/>
        <v>0.53180371551211869</v>
      </c>
      <c r="O261">
        <f ca="1"/>
        <v>0</v>
      </c>
      <c r="P261">
        <f ca="1"/>
        <v>384.53928248776026</v>
      </c>
      <c r="Q261">
        <f ca="1"/>
        <v>246.92632956406496</v>
      </c>
      <c r="R261">
        <f ca="1"/>
        <v>0</v>
      </c>
      <c r="S261">
        <f ca="1"/>
        <v>0.2909108334132311</v>
      </c>
      <c r="T261">
        <f ca="1"/>
        <v>0</v>
      </c>
      <c r="U261">
        <f ca="1"/>
        <v>0</v>
      </c>
      <c r="V261">
        <f ca="1"/>
        <v>0.70771624586654991</v>
      </c>
      <c r="X261" s="2">
        <f t="shared" ca="1" si="22"/>
        <v>45671</v>
      </c>
      <c r="Y261">
        <f t="shared" ca="1" si="23"/>
        <v>0</v>
      </c>
      <c r="AA261" s="63">
        <f t="shared" ca="1" si="25"/>
        <v>25.114979606154478</v>
      </c>
      <c r="AB261" s="63">
        <f t="shared" ca="1" si="26"/>
        <v>25.114979606154478</v>
      </c>
      <c r="AC261" s="3">
        <f t="shared" ca="1" si="27"/>
        <v>0</v>
      </c>
    </row>
    <row r="262" spans="8:29">
      <c r="H262" t="b">
        <f t="shared" ca="1" si="24"/>
        <v>1</v>
      </c>
      <c r="I262" t="b">
        <f t="shared" ca="1" si="21"/>
        <v>1</v>
      </c>
      <c r="J262" s="2">
        <f ca="1"/>
        <v>45672</v>
      </c>
      <c r="K262">
        <f ca="1"/>
        <v>23.480411052827375</v>
      </c>
      <c r="L262">
        <f ca="1"/>
        <v>1.0745578423120037</v>
      </c>
      <c r="M262">
        <f ca="1"/>
        <v>1.0691294468685442E-3</v>
      </c>
      <c r="N262">
        <f ca="1"/>
        <v>0.54345356284868729</v>
      </c>
      <c r="O262">
        <f ca="1"/>
        <v>0</v>
      </c>
      <c r="P262">
        <f ca="1"/>
        <v>385.61384033007226</v>
      </c>
      <c r="Q262">
        <f ca="1"/>
        <v>247.61634131576375</v>
      </c>
      <c r="R262">
        <f ca="1"/>
        <v>0</v>
      </c>
      <c r="S262">
        <f ca="1"/>
        <v>0.29375948041256406</v>
      </c>
      <c r="T262">
        <f ca="1"/>
        <v>0</v>
      </c>
      <c r="U262">
        <f ca="1"/>
        <v>0</v>
      </c>
      <c r="V262">
        <f ca="1"/>
        <v>0.69286521028150605</v>
      </c>
      <c r="X262" s="2">
        <f t="shared" ca="1" si="22"/>
        <v>45672</v>
      </c>
      <c r="Y262">
        <f t="shared" ca="1" si="23"/>
        <v>0</v>
      </c>
      <c r="AA262" s="63">
        <f t="shared" ca="1" si="25"/>
        <v>24.554968895139378</v>
      </c>
      <c r="AB262" s="63">
        <f t="shared" ca="1" si="26"/>
        <v>24.554968895139378</v>
      </c>
      <c r="AC262" s="3">
        <f t="shared" ca="1" si="27"/>
        <v>0</v>
      </c>
    </row>
    <row r="263" spans="8:29">
      <c r="H263" t="b">
        <f t="shared" ca="1" si="24"/>
        <v>1</v>
      </c>
      <c r="I263" t="b">
        <f t="shared" ca="1" si="21"/>
        <v>1</v>
      </c>
      <c r="J263" s="2">
        <f ca="1"/>
        <v>45673</v>
      </c>
      <c r="K263">
        <f ca="1"/>
        <v>22.968050369187253</v>
      </c>
      <c r="L263">
        <f ca="1"/>
        <v>1.0564276651520004</v>
      </c>
      <c r="M263">
        <f ca="1"/>
        <v>9.7323094018975098E-4</v>
      </c>
      <c r="N263">
        <f ca="1"/>
        <v>0.54309375057168829</v>
      </c>
      <c r="O263">
        <f ca="1"/>
        <v>0</v>
      </c>
      <c r="P263">
        <f ca="1"/>
        <v>386.67026799522426</v>
      </c>
      <c r="Q263">
        <f ca="1"/>
        <v>248.29471103684477</v>
      </c>
      <c r="R263">
        <f ca="1"/>
        <v>0</v>
      </c>
      <c r="S263">
        <f ca="1"/>
        <v>0.26276563782184725</v>
      </c>
      <c r="T263">
        <f ca="1"/>
        <v>0</v>
      </c>
      <c r="U263">
        <f ca="1"/>
        <v>0</v>
      </c>
      <c r="V263">
        <f ca="1"/>
        <v>0.67763272686465492</v>
      </c>
      <c r="X263" s="2">
        <f t="shared" ca="1" si="22"/>
        <v>45673</v>
      </c>
      <c r="Y263">
        <f t="shared" ca="1" si="23"/>
        <v>0</v>
      </c>
      <c r="AA263" s="63">
        <f t="shared" ca="1" si="25"/>
        <v>24.024478034339253</v>
      </c>
      <c r="AB263" s="63">
        <f t="shared" ca="1" si="26"/>
        <v>24.024478034339253</v>
      </c>
      <c r="AC263" s="3">
        <f t="shared" ca="1" si="27"/>
        <v>0</v>
      </c>
    </row>
    <row r="264" spans="8:29">
      <c r="H264" t="b">
        <f t="shared" ca="1" si="24"/>
        <v>1</v>
      </c>
      <c r="I264" t="b">
        <f t="shared" ca="1" si="21"/>
        <v>1</v>
      </c>
      <c r="J264" s="2">
        <f ca="1"/>
        <v>45674</v>
      </c>
      <c r="K264">
        <f ca="1"/>
        <v>22.492842173420236</v>
      </c>
      <c r="L264">
        <f ca="1"/>
        <v>1.0283179125495963</v>
      </c>
      <c r="M264">
        <f ca="1"/>
        <v>9.6044536622663657E-4</v>
      </c>
      <c r="N264">
        <f ca="1"/>
        <v>0.55214927141635528</v>
      </c>
      <c r="O264">
        <f ca="1"/>
        <v>0</v>
      </c>
      <c r="P264">
        <f ca="1"/>
        <v>387.69858590777386</v>
      </c>
      <c r="Q264">
        <f ca="1"/>
        <v>248.95503048750831</v>
      </c>
      <c r="R264">
        <f ca="1"/>
        <v>0</v>
      </c>
      <c r="S264">
        <f ca="1"/>
        <v>0.25732057490386068</v>
      </c>
      <c r="T264">
        <f ca="1"/>
        <v>0</v>
      </c>
      <c r="U264">
        <f ca="1"/>
        <v>0</v>
      </c>
      <c r="V264">
        <f ca="1"/>
        <v>0.66214594489326495</v>
      </c>
      <c r="X264" s="2">
        <f t="shared" ca="1" si="22"/>
        <v>45674</v>
      </c>
      <c r="Y264">
        <f t="shared" ca="1" si="23"/>
        <v>0</v>
      </c>
      <c r="AA264" s="63">
        <f t="shared" ca="1" si="25"/>
        <v>23.521160085969832</v>
      </c>
      <c r="AB264" s="63">
        <f t="shared" ca="1" si="26"/>
        <v>23.521160085969832</v>
      </c>
      <c r="AC264" s="3">
        <f t="shared" ca="1" si="27"/>
        <v>0</v>
      </c>
    </row>
    <row r="265" spans="8:29">
      <c r="H265" t="b">
        <f t="shared" ca="1" si="24"/>
        <v>1</v>
      </c>
      <c r="I265" t="b">
        <f t="shared" ca="1" si="21"/>
        <v>1</v>
      </c>
      <c r="J265" s="2">
        <f ca="1"/>
        <v>45675</v>
      </c>
      <c r="K265">
        <f ca="1"/>
        <v>22.08373357717058</v>
      </c>
      <c r="L265">
        <f ca="1"/>
        <v>0.96705907496323107</v>
      </c>
      <c r="M265">
        <f ca="1"/>
        <v>1.0321070251215758E-3</v>
      </c>
      <c r="N265">
        <f ca="1"/>
        <v>0.55691837168845559</v>
      </c>
      <c r="O265">
        <f ca="1"/>
        <v>0</v>
      </c>
      <c r="P265">
        <f ca="1"/>
        <v>388.66564498273709</v>
      </c>
      <c r="Q265">
        <f ca="1"/>
        <v>249.57601346305094</v>
      </c>
      <c r="R265">
        <f ca="1"/>
        <v>0</v>
      </c>
      <c r="S265">
        <f ca="1"/>
        <v>0.28659832802504887</v>
      </c>
      <c r="T265">
        <f ca="1"/>
        <v>0</v>
      </c>
      <c r="U265">
        <f ca="1"/>
        <v>0</v>
      </c>
      <c r="V265">
        <f ca="1"/>
        <v>0.64693041471338297</v>
      </c>
      <c r="X265" s="2">
        <f t="shared" ca="1" si="22"/>
        <v>45675</v>
      </c>
      <c r="Y265">
        <f t="shared" ca="1" si="23"/>
        <v>0</v>
      </c>
      <c r="AA265" s="63">
        <f t="shared" ca="1" si="25"/>
        <v>23.050792652133815</v>
      </c>
      <c r="AB265" s="63">
        <f t="shared" ca="1" si="26"/>
        <v>23.050792652133811</v>
      </c>
      <c r="AC265" s="3">
        <f t="shared" ca="1" si="27"/>
        <v>0</v>
      </c>
    </row>
    <row r="266" spans="8:29">
      <c r="H266" t="b">
        <f t="shared" ca="1" si="24"/>
        <v>1</v>
      </c>
      <c r="I266" t="b">
        <f t="shared" ca="1" si="21"/>
        <v>1</v>
      </c>
      <c r="J266" s="2">
        <f ca="1"/>
        <v>45676</v>
      </c>
      <c r="K266">
        <f ca="1"/>
        <v>21.71296772280153</v>
      </c>
      <c r="L266">
        <f ca="1"/>
        <v>0.95102286796270619</v>
      </c>
      <c r="M266">
        <f ca="1"/>
        <v>1.0590536628338754E-3</v>
      </c>
      <c r="N266">
        <f ca="1"/>
        <v>0.57919795993081924</v>
      </c>
      <c r="O266">
        <f ca="1"/>
        <v>0</v>
      </c>
      <c r="P266">
        <f ca="1"/>
        <v>389.6166678506998</v>
      </c>
      <c r="Q266">
        <f ca="1"/>
        <v>250.18669902057908</v>
      </c>
      <c r="R266">
        <f ca="1"/>
        <v>0</v>
      </c>
      <c r="S266">
        <f ca="1"/>
        <v>0.28819652575392724</v>
      </c>
      <c r="T266">
        <f ca="1"/>
        <v>0</v>
      </c>
      <c r="U266">
        <f ca="1"/>
        <v>0</v>
      </c>
      <c r="V266">
        <f ca="1"/>
        <v>0.63129105360927018</v>
      </c>
      <c r="X266" s="2">
        <f t="shared" ca="1" si="22"/>
        <v>45676</v>
      </c>
      <c r="Y266">
        <f t="shared" ca="1" si="23"/>
        <v>0</v>
      </c>
      <c r="AA266" s="63">
        <f t="shared" ca="1" si="25"/>
        <v>22.663990590764232</v>
      </c>
      <c r="AB266" s="63">
        <f t="shared" ca="1" si="26"/>
        <v>22.663990590764236</v>
      </c>
      <c r="AC266" s="3">
        <f t="shared" ca="1" si="27"/>
        <v>0</v>
      </c>
    </row>
    <row r="267" spans="8:29">
      <c r="H267" t="b">
        <f t="shared" ca="1" si="24"/>
        <v>1</v>
      </c>
      <c r="I267" t="b">
        <f t="shared" ref="I267:I330" ca="1" si="28">AND(IF(J267&gt;($J$7-1),TRUE,FALSE),IF(J267&lt;($J$8+1),TRUE,FALSE))</f>
        <v>1</v>
      </c>
      <c r="J267" s="2">
        <f ca="1"/>
        <v>45677</v>
      </c>
      <c r="K267">
        <f ca="1"/>
        <v>21.393866081831412</v>
      </c>
      <c r="L267">
        <f ca="1"/>
        <v>0.8937212585474299</v>
      </c>
      <c r="M267">
        <f ca="1"/>
        <v>1.064082201768457E-3</v>
      </c>
      <c r="N267">
        <f ca="1"/>
        <v>0.57355553537554271</v>
      </c>
      <c r="O267">
        <f ca="1"/>
        <v>0</v>
      </c>
      <c r="P267">
        <f ca="1"/>
        <v>390.51038910924723</v>
      </c>
      <c r="Q267">
        <f ca="1"/>
        <v>250.76058917972955</v>
      </c>
      <c r="R267">
        <f ca="1"/>
        <v>0</v>
      </c>
      <c r="S267">
        <f ca="1"/>
        <v>0.30048301894785728</v>
      </c>
      <c r="T267">
        <f ca="1"/>
        <v>0</v>
      </c>
      <c r="U267">
        <f ca="1"/>
        <v>0</v>
      </c>
      <c r="V267">
        <f ca="1"/>
        <v>0.61592294429666483</v>
      </c>
      <c r="X267" s="2">
        <f t="shared" ref="X267:X330" ca="1" si="29">IFERROR(J267,$X$9)</f>
        <v>45677</v>
      </c>
      <c r="Y267">
        <f t="shared" ref="Y267:Y330" ca="1" si="30">IFERROR(O267,0)</f>
        <v>0</v>
      </c>
      <c r="AA267" s="63">
        <f t="shared" ca="1" si="25"/>
        <v>22.287587340378842</v>
      </c>
      <c r="AB267" s="63">
        <f t="shared" ca="1" si="26"/>
        <v>22.287587340378842</v>
      </c>
      <c r="AC267" s="3">
        <f t="shared" ca="1" si="27"/>
        <v>0</v>
      </c>
    </row>
    <row r="268" spans="8:29">
      <c r="H268" t="b">
        <f t="shared" ref="H268:H331" ca="1" si="31">IF(J268&lt;$J$8,TRUE,FALSE)</f>
        <v>1</v>
      </c>
      <c r="I268" t="b">
        <f t="shared" ca="1" si="28"/>
        <v>1</v>
      </c>
      <c r="J268" s="2">
        <f ca="1"/>
        <v>45678</v>
      </c>
      <c r="K268">
        <f ca="1"/>
        <v>21.113875533654536</v>
      </c>
      <c r="L268">
        <f ca="1"/>
        <v>0.83408885580962533</v>
      </c>
      <c r="M268">
        <f ca="1"/>
        <v>1.0094941713436612E-3</v>
      </c>
      <c r="N268">
        <f ca="1"/>
        <v>0.55308881346140415</v>
      </c>
      <c r="O268">
        <f ca="1"/>
        <v>0</v>
      </c>
      <c r="P268">
        <f ca="1"/>
        <v>391.34447796505685</v>
      </c>
      <c r="Q268">
        <f ca="1"/>
        <v>251.29618725533558</v>
      </c>
      <c r="R268">
        <f ca="1"/>
        <v>0</v>
      </c>
      <c r="S268">
        <f ca="1"/>
        <v>0.29843969828613004</v>
      </c>
      <c r="T268">
        <f ca="1"/>
        <v>0</v>
      </c>
      <c r="U268">
        <f ca="1"/>
        <v>0</v>
      </c>
      <c r="V268">
        <f ca="1"/>
        <v>0.60093628281586731</v>
      </c>
      <c r="X268" s="2">
        <f t="shared" ca="1" si="29"/>
        <v>45678</v>
      </c>
      <c r="Y268">
        <f t="shared" ca="1" si="30"/>
        <v>0</v>
      </c>
      <c r="AA268" s="63">
        <f t="shared" ca="1" si="25"/>
        <v>21.947964389464158</v>
      </c>
      <c r="AB268" s="63">
        <f t="shared" ca="1" si="26"/>
        <v>21.947964389464161</v>
      </c>
      <c r="AC268" s="3">
        <f t="shared" ca="1" si="27"/>
        <v>0</v>
      </c>
    </row>
    <row r="269" spans="8:29">
      <c r="H269" t="b">
        <f t="shared" ca="1" si="31"/>
        <v>1</v>
      </c>
      <c r="I269" t="b">
        <f t="shared" ca="1" si="28"/>
        <v>1</v>
      </c>
      <c r="J269" s="2">
        <f ca="1"/>
        <v>45679</v>
      </c>
      <c r="K269">
        <f ca="1"/>
        <v>20.872830803972512</v>
      </c>
      <c r="L269">
        <f ca="1"/>
        <v>0.78394797315075948</v>
      </c>
      <c r="M269">
        <f ca="1"/>
        <v>9.8629846661957288E-4</v>
      </c>
      <c r="N269">
        <f ca="1"/>
        <v>0.54191694500211784</v>
      </c>
      <c r="O269">
        <f ca="1"/>
        <v>0</v>
      </c>
      <c r="P269">
        <f ca="1"/>
        <v>392.12842593820761</v>
      </c>
      <c r="Q269">
        <f ca="1"/>
        <v>251.79958808951554</v>
      </c>
      <c r="R269">
        <f ca="1"/>
        <v>0</v>
      </c>
      <c r="S269">
        <f ca="1"/>
        <v>0.30261275198713805</v>
      </c>
      <c r="T269">
        <f ca="1"/>
        <v>0</v>
      </c>
      <c r="U269">
        <f ca="1"/>
        <v>0</v>
      </c>
      <c r="V269">
        <f ca="1"/>
        <v>0.58622934974506213</v>
      </c>
      <c r="X269" s="2">
        <f t="shared" ca="1" si="29"/>
        <v>45679</v>
      </c>
      <c r="Y269">
        <f t="shared" ca="1" si="30"/>
        <v>0</v>
      </c>
      <c r="AA269" s="63">
        <f t="shared" ca="1" si="25"/>
        <v>21.656778777123275</v>
      </c>
      <c r="AB269" s="63">
        <f t="shared" ca="1" si="26"/>
        <v>21.656778777123272</v>
      </c>
      <c r="AC269" s="3">
        <f t="shared" ca="1" si="27"/>
        <v>0</v>
      </c>
    </row>
    <row r="270" spans="8:29">
      <c r="H270" t="b">
        <f t="shared" ca="1" si="31"/>
        <v>1</v>
      </c>
      <c r="I270" t="b">
        <f t="shared" ca="1" si="28"/>
        <v>1</v>
      </c>
      <c r="J270" s="2">
        <f ca="1"/>
        <v>45680</v>
      </c>
      <c r="K270">
        <f ca="1"/>
        <v>20.694636218255038</v>
      </c>
      <c r="L270">
        <f ca="1"/>
        <v>0.75736046233083698</v>
      </c>
      <c r="M270">
        <f ca="1"/>
        <v>1.1266179740268001E-3</v>
      </c>
      <c r="N270">
        <f ca="1"/>
        <v>0.57803925863933647</v>
      </c>
      <c r="O270">
        <f ca="1"/>
        <v>0</v>
      </c>
      <c r="P270">
        <f ca="1"/>
        <v>392.88578640053845</v>
      </c>
      <c r="Q270">
        <f ca="1"/>
        <v>252.28591613878643</v>
      </c>
      <c r="R270">
        <f ca="1"/>
        <v>0</v>
      </c>
      <c r="S270">
        <f ca="1"/>
        <v>0.34735470935083229</v>
      </c>
      <c r="T270">
        <f ca="1"/>
        <v>0</v>
      </c>
      <c r="U270">
        <f ca="1"/>
        <v>0</v>
      </c>
      <c r="V270">
        <f ca="1"/>
        <v>0.57139526739698754</v>
      </c>
      <c r="X270" s="2">
        <f t="shared" ca="1" si="29"/>
        <v>45680</v>
      </c>
      <c r="Y270">
        <f t="shared" ca="1" si="30"/>
        <v>0</v>
      </c>
      <c r="AA270" s="63">
        <f t="shared" ca="1" si="25"/>
        <v>21.451996680585875</v>
      </c>
      <c r="AB270" s="63">
        <f t="shared" ca="1" si="26"/>
        <v>21.451996680585875</v>
      </c>
      <c r="AC270" s="3">
        <f t="shared" ca="1" si="27"/>
        <v>0</v>
      </c>
    </row>
    <row r="271" spans="8:29">
      <c r="H271" t="b">
        <f t="shared" ca="1" si="31"/>
        <v>1</v>
      </c>
      <c r="I271" t="b">
        <f t="shared" ca="1" si="28"/>
        <v>1</v>
      </c>
      <c r="J271" s="2">
        <f ca="1"/>
        <v>45681</v>
      </c>
      <c r="K271">
        <f ca="1"/>
        <v>20.53452970423043</v>
      </c>
      <c r="L271">
        <f ca="1"/>
        <v>0.73365232499611466</v>
      </c>
      <c r="M271">
        <f ca="1"/>
        <v>1.0557482328206191E-3</v>
      </c>
      <c r="N271">
        <f ca="1"/>
        <v>0.57249006273868641</v>
      </c>
      <c r="O271">
        <f ca="1"/>
        <v>0</v>
      </c>
      <c r="P271">
        <f ca="1"/>
        <v>393.61943872553456</v>
      </c>
      <c r="Q271">
        <f ca="1"/>
        <v>252.75702035111925</v>
      </c>
      <c r="R271">
        <f ca="1"/>
        <v>0</v>
      </c>
      <c r="S271">
        <f ca="1"/>
        <v>0.32596178489585748</v>
      </c>
      <c r="T271">
        <f ca="1"/>
        <v>0</v>
      </c>
      <c r="U271">
        <f ca="1"/>
        <v>0</v>
      </c>
      <c r="V271">
        <f ca="1"/>
        <v>0.55638317606073606</v>
      </c>
      <c r="X271" s="2">
        <f t="shared" ca="1" si="29"/>
        <v>45681</v>
      </c>
      <c r="Y271">
        <f t="shared" ca="1" si="30"/>
        <v>0</v>
      </c>
      <c r="AA271" s="63">
        <f t="shared" ca="1" si="25"/>
        <v>21.268182029226544</v>
      </c>
      <c r="AB271" s="63">
        <f t="shared" ca="1" si="26"/>
        <v>21.268182029226544</v>
      </c>
      <c r="AC271" s="3">
        <f t="shared" ca="1" si="27"/>
        <v>0</v>
      </c>
    </row>
    <row r="272" spans="8:29">
      <c r="H272" t="b">
        <f t="shared" ca="1" si="31"/>
        <v>1</v>
      </c>
      <c r="I272" t="b">
        <f t="shared" ca="1" si="28"/>
        <v>1</v>
      </c>
      <c r="J272" s="2">
        <f ca="1"/>
        <v>45682</v>
      </c>
      <c r="K272">
        <f ca="1"/>
        <v>20.383736239593588</v>
      </c>
      <c r="L272">
        <f ca="1"/>
        <v>0.70738100413024085</v>
      </c>
      <c r="M272">
        <f ca="1"/>
        <v>9.3848867816959114E-4</v>
      </c>
      <c r="N272">
        <f ca="1"/>
        <v>0.55564905081523164</v>
      </c>
      <c r="O272">
        <f ca="1"/>
        <v>0</v>
      </c>
      <c r="P272">
        <f ca="1"/>
        <v>394.32681972966481</v>
      </c>
      <c r="Q272">
        <f ca="1"/>
        <v>253.21125481534148</v>
      </c>
      <c r="R272">
        <f ca="1"/>
        <v>0</v>
      </c>
      <c r="S272">
        <f ca="1"/>
        <v>0.29122606942080603</v>
      </c>
      <c r="T272">
        <f ca="1"/>
        <v>0</v>
      </c>
      <c r="U272">
        <f ca="1"/>
        <v>0</v>
      </c>
      <c r="V272">
        <f ca="1"/>
        <v>0.54125241206570007</v>
      </c>
      <c r="X272" s="2">
        <f t="shared" ca="1" si="29"/>
        <v>45682</v>
      </c>
      <c r="Y272">
        <f t="shared" ca="1" si="30"/>
        <v>0</v>
      </c>
      <c r="AA272" s="63">
        <f t="shared" ref="AA272:AA335" ca="1" si="32">K271+M272+N272+O272</f>
        <v>21.091117243723829</v>
      </c>
      <c r="AB272" s="63">
        <f t="shared" ref="AB272:AB335" ca="1" si="33">K272+L272+R272</f>
        <v>21.091117243723829</v>
      </c>
      <c r="AC272" s="3">
        <f t="shared" ref="AC272:AC335" ca="1" si="34">AB272-AA272</f>
        <v>0</v>
      </c>
    </row>
    <row r="273" spans="8:29">
      <c r="H273" t="b">
        <f t="shared" ca="1" si="31"/>
        <v>1</v>
      </c>
      <c r="I273" t="b">
        <f t="shared" ca="1" si="28"/>
        <v>1</v>
      </c>
      <c r="J273" s="2">
        <f ca="1"/>
        <v>45683</v>
      </c>
      <c r="K273">
        <f ca="1"/>
        <v>20.262752411271272</v>
      </c>
      <c r="L273">
        <f ca="1"/>
        <v>0.71643482488281052</v>
      </c>
      <c r="M273">
        <f ca="1"/>
        <v>9.5864943420842508E-4</v>
      </c>
      <c r="N273">
        <f ca="1"/>
        <v>0.59449234712628851</v>
      </c>
      <c r="O273">
        <f ca="1"/>
        <v>0</v>
      </c>
      <c r="P273">
        <f ca="1"/>
        <v>395.04325455454762</v>
      </c>
      <c r="Q273">
        <f ca="1"/>
        <v>253.67130305940046</v>
      </c>
      <c r="R273">
        <f ca="1"/>
        <v>0</v>
      </c>
      <c r="S273">
        <f ca="1"/>
        <v>0.27997423648213726</v>
      </c>
      <c r="T273">
        <f ca="1"/>
        <v>0</v>
      </c>
      <c r="U273">
        <f ca="1"/>
        <v>0</v>
      </c>
      <c r="V273">
        <f ca="1"/>
        <v>0.52520617327432584</v>
      </c>
      <c r="X273" s="2">
        <f t="shared" ca="1" si="29"/>
        <v>45683</v>
      </c>
      <c r="Y273">
        <f t="shared" ca="1" si="30"/>
        <v>0</v>
      </c>
      <c r="AA273" s="63">
        <f t="shared" ca="1" si="32"/>
        <v>20.979187236154086</v>
      </c>
      <c r="AB273" s="63">
        <f t="shared" ca="1" si="33"/>
        <v>20.979187236154083</v>
      </c>
      <c r="AC273" s="3">
        <f t="shared" ca="1" si="34"/>
        <v>0</v>
      </c>
    </row>
    <row r="274" spans="8:29">
      <c r="H274" t="b">
        <f t="shared" ca="1" si="31"/>
        <v>1</v>
      </c>
      <c r="I274" t="b">
        <f t="shared" ca="1" si="28"/>
        <v>1</v>
      </c>
      <c r="J274" s="2">
        <f ca="1"/>
        <v>45684</v>
      </c>
      <c r="K274">
        <f ca="1"/>
        <v>20.192393474031107</v>
      </c>
      <c r="L274">
        <f ca="1"/>
        <v>0.66905474840234547</v>
      </c>
      <c r="M274">
        <f ca="1"/>
        <v>1.0180526539276258E-3</v>
      </c>
      <c r="N274">
        <f ca="1"/>
        <v>0.597677758508256</v>
      </c>
      <c r="O274">
        <f ca="1"/>
        <v>0</v>
      </c>
      <c r="P274">
        <f ca="1"/>
        <v>395.71230930294996</v>
      </c>
      <c r="Q274">
        <f ca="1"/>
        <v>254.10092687372597</v>
      </c>
      <c r="R274">
        <f ca="1"/>
        <v>0</v>
      </c>
      <c r="S274">
        <f ca="1"/>
        <v>0.31029221251800815</v>
      </c>
      <c r="T274">
        <f ca="1"/>
        <v>0</v>
      </c>
      <c r="U274">
        <f ca="1"/>
        <v>0</v>
      </c>
      <c r="V274">
        <f ca="1"/>
        <v>0.50949899922233577</v>
      </c>
      <c r="X274" s="2">
        <f t="shared" ca="1" si="29"/>
        <v>45684</v>
      </c>
      <c r="Y274">
        <f t="shared" ca="1" si="30"/>
        <v>0</v>
      </c>
      <c r="AA274" s="63">
        <f t="shared" ca="1" si="32"/>
        <v>20.861448222433452</v>
      </c>
      <c r="AB274" s="63">
        <f t="shared" ca="1" si="33"/>
        <v>20.861448222433452</v>
      </c>
      <c r="AC274" s="3">
        <f t="shared" ca="1" si="34"/>
        <v>0</v>
      </c>
    </row>
    <row r="275" spans="8:29">
      <c r="H275" t="b">
        <f t="shared" ca="1" si="31"/>
        <v>1</v>
      </c>
      <c r="I275" t="b">
        <f t="shared" ca="1" si="28"/>
        <v>1</v>
      </c>
      <c r="J275" s="2">
        <f ca="1"/>
        <v>45685</v>
      </c>
      <c r="K275">
        <f ca="1"/>
        <v>20.135571625240068</v>
      </c>
      <c r="L275">
        <f ca="1"/>
        <v>0.63009650149552954</v>
      </c>
      <c r="M275">
        <f ca="1"/>
        <v>9.1779173160766447E-4</v>
      </c>
      <c r="N275">
        <f ca="1"/>
        <v>0.57235686097288674</v>
      </c>
      <c r="O275">
        <f ca="1"/>
        <v>0</v>
      </c>
      <c r="P275">
        <f ca="1"/>
        <v>396.34240580444549</v>
      </c>
      <c r="Q275">
        <f ca="1"/>
        <v>254.50553421417473</v>
      </c>
      <c r="R275">
        <f ca="1"/>
        <v>0</v>
      </c>
      <c r="S275">
        <f ca="1"/>
        <v>0.28887483204793257</v>
      </c>
      <c r="T275">
        <f ca="1"/>
        <v>0</v>
      </c>
      <c r="U275">
        <f ca="1"/>
        <v>0</v>
      </c>
      <c r="V275">
        <f ca="1"/>
        <v>0.49400374063246111</v>
      </c>
      <c r="X275" s="2">
        <f t="shared" ca="1" si="29"/>
        <v>45685</v>
      </c>
      <c r="Y275">
        <f t="shared" ca="1" si="30"/>
        <v>0</v>
      </c>
      <c r="AA275" s="63">
        <f t="shared" ca="1" si="32"/>
        <v>20.765668126735601</v>
      </c>
      <c r="AB275" s="63">
        <f t="shared" ca="1" si="33"/>
        <v>20.765668126735598</v>
      </c>
      <c r="AC275" s="3">
        <f t="shared" ca="1" si="34"/>
        <v>0</v>
      </c>
    </row>
    <row r="276" spans="8:29">
      <c r="H276" t="b">
        <f t="shared" ca="1" si="31"/>
        <v>1</v>
      </c>
      <c r="I276" t="b">
        <f t="shared" ca="1" si="28"/>
        <v>1</v>
      </c>
      <c r="J276" s="2">
        <f ca="1"/>
        <v>45686</v>
      </c>
      <c r="K276">
        <f ca="1"/>
        <v>20.091461123940789</v>
      </c>
      <c r="L276">
        <f ca="1"/>
        <v>0.623146812422533</v>
      </c>
      <c r="M276">
        <f ca="1"/>
        <v>8.3242273309203085E-4</v>
      </c>
      <c r="N276">
        <f ca="1"/>
        <v>0.57820388839015946</v>
      </c>
      <c r="O276">
        <f ca="1"/>
        <v>0</v>
      </c>
      <c r="P276">
        <f ca="1"/>
        <v>396.96555261686802</v>
      </c>
      <c r="Q276">
        <f ca="1"/>
        <v>254.90567891246297</v>
      </c>
      <c r="R276">
        <f ca="1"/>
        <v>0</v>
      </c>
      <c r="S276">
        <f ca="1"/>
        <v>0.25352897106331646</v>
      </c>
      <c r="T276">
        <f ca="1"/>
        <v>0</v>
      </c>
      <c r="U276">
        <f ca="1"/>
        <v>0</v>
      </c>
      <c r="V276">
        <f ca="1"/>
        <v>0.47794054860411772</v>
      </c>
      <c r="X276" s="2">
        <f t="shared" ca="1" si="29"/>
        <v>45686</v>
      </c>
      <c r="Y276">
        <f t="shared" ca="1" si="30"/>
        <v>0</v>
      </c>
      <c r="AA276" s="63">
        <f t="shared" ca="1" si="32"/>
        <v>20.714607936363318</v>
      </c>
      <c r="AB276" s="63">
        <f t="shared" ca="1" si="33"/>
        <v>20.714607936363322</v>
      </c>
      <c r="AC276" s="3">
        <f t="shared" ca="1" si="34"/>
        <v>0</v>
      </c>
    </row>
    <row r="277" spans="8:29">
      <c r="H277" t="b">
        <f t="shared" ca="1" si="31"/>
        <v>1</v>
      </c>
      <c r="I277" t="b">
        <f t="shared" ca="1" si="28"/>
        <v>1</v>
      </c>
      <c r="J277" s="2">
        <f ca="1"/>
        <v>45687</v>
      </c>
      <c r="K277">
        <f ca="1"/>
        <v>20.070172069354705</v>
      </c>
      <c r="L277">
        <f ca="1"/>
        <v>0.59755596835782399</v>
      </c>
      <c r="M277">
        <f ca="1"/>
        <v>7.8778748784280594E-4</v>
      </c>
      <c r="N277">
        <f ca="1"/>
        <v>0.57547912628389886</v>
      </c>
      <c r="O277">
        <f ca="1"/>
        <v>0</v>
      </c>
      <c r="P277">
        <f ca="1"/>
        <v>397.56310858522585</v>
      </c>
      <c r="Q277">
        <f ca="1"/>
        <v>255.28939082096065</v>
      </c>
      <c r="R277">
        <f ca="1"/>
        <v>0</v>
      </c>
      <c r="S277">
        <f ca="1"/>
        <v>0.24098346242087898</v>
      </c>
      <c r="T277">
        <f ca="1"/>
        <v>0</v>
      </c>
      <c r="U277">
        <f ca="1"/>
        <v>0</v>
      </c>
      <c r="V277">
        <f ca="1"/>
        <v>0.46177563715395853</v>
      </c>
      <c r="X277" s="2">
        <f t="shared" ca="1" si="29"/>
        <v>45687</v>
      </c>
      <c r="Y277">
        <f t="shared" ca="1" si="30"/>
        <v>0</v>
      </c>
      <c r="AA277" s="63">
        <f t="shared" ca="1" si="32"/>
        <v>20.667728037712532</v>
      </c>
      <c r="AB277" s="63">
        <f t="shared" ca="1" si="33"/>
        <v>20.667728037712529</v>
      </c>
      <c r="AC277" s="3">
        <f t="shared" ca="1" si="34"/>
        <v>0</v>
      </c>
    </row>
    <row r="278" spans="8:29">
      <c r="H278" t="b">
        <f t="shared" ca="1" si="31"/>
        <v>1</v>
      </c>
      <c r="I278" t="b">
        <f t="shared" ca="1" si="28"/>
        <v>1</v>
      </c>
      <c r="J278" s="2">
        <f ca="1"/>
        <v>45688</v>
      </c>
      <c r="K278">
        <f ca="1"/>
        <v>20.054791015693471</v>
      </c>
      <c r="L278">
        <f ca="1"/>
        <v>0.55903750153726151</v>
      </c>
      <c r="M278">
        <f ca="1"/>
        <v>6.612466403481676E-4</v>
      </c>
      <c r="N278">
        <f ca="1"/>
        <v>0.54299520123568124</v>
      </c>
      <c r="O278">
        <f ca="1"/>
        <v>0</v>
      </c>
      <c r="P278">
        <f ca="1"/>
        <v>398.12214608676311</v>
      </c>
      <c r="Q278">
        <f ca="1"/>
        <v>255.64836865399295</v>
      </c>
      <c r="R278">
        <f ca="1"/>
        <v>0</v>
      </c>
      <c r="S278">
        <f ca="1"/>
        <v>0.20962778442856408</v>
      </c>
      <c r="T278">
        <f ca="1"/>
        <v>0</v>
      </c>
      <c r="U278">
        <f ca="1"/>
        <v>0</v>
      </c>
      <c r="V278">
        <f ca="1"/>
        <v>0.44590740735076129</v>
      </c>
      <c r="X278" s="2">
        <f t="shared" ca="1" si="29"/>
        <v>45688</v>
      </c>
      <c r="Y278">
        <f t="shared" ca="1" si="30"/>
        <v>0</v>
      </c>
      <c r="AA278" s="63">
        <f t="shared" ca="1" si="32"/>
        <v>20.613828517230733</v>
      </c>
      <c r="AB278" s="63">
        <f t="shared" ca="1" si="33"/>
        <v>20.613828517230733</v>
      </c>
      <c r="AC278" s="3">
        <f t="shared" ca="1" si="34"/>
        <v>0</v>
      </c>
    </row>
    <row r="279" spans="8:29">
      <c r="H279" t="b">
        <f t="shared" ca="1" si="31"/>
        <v>1</v>
      </c>
      <c r="I279" t="b">
        <f t="shared" ca="1" si="28"/>
        <v>1</v>
      </c>
      <c r="J279" s="2">
        <f ca="1"/>
        <v>45689</v>
      </c>
      <c r="K279">
        <f ca="1"/>
        <v>20.093562393463465</v>
      </c>
      <c r="L279">
        <f ca="1"/>
        <v>0.53294550212928016</v>
      </c>
      <c r="M279">
        <f ca="1"/>
        <v>8.0243800285728639E-4</v>
      </c>
      <c r="N279">
        <f ca="1"/>
        <v>0.57091444189641483</v>
      </c>
      <c r="O279">
        <f ca="1"/>
        <v>0</v>
      </c>
      <c r="P279">
        <f ca="1"/>
        <v>398.65509158889239</v>
      </c>
      <c r="Q279">
        <f ca="1"/>
        <v>255.99059188759111</v>
      </c>
      <c r="R279">
        <f ca="1"/>
        <v>0</v>
      </c>
      <c r="S279">
        <f ca="1"/>
        <v>0.25737571488396072</v>
      </c>
      <c r="T279">
        <f ca="1"/>
        <v>0</v>
      </c>
      <c r="U279">
        <f ca="1"/>
        <v>0</v>
      </c>
      <c r="V279">
        <f ca="1"/>
        <v>0.43003917754756393</v>
      </c>
      <c r="X279" s="2">
        <f t="shared" ca="1" si="29"/>
        <v>45689</v>
      </c>
      <c r="Y279">
        <f t="shared" ca="1" si="30"/>
        <v>0</v>
      </c>
      <c r="AA279" s="63">
        <f t="shared" ca="1" si="32"/>
        <v>20.626507895592745</v>
      </c>
      <c r="AB279" s="63">
        <f t="shared" ca="1" si="33"/>
        <v>20.626507895592745</v>
      </c>
      <c r="AC279" s="3">
        <f t="shared" ca="1" si="34"/>
        <v>0</v>
      </c>
    </row>
    <row r="280" spans="8:29">
      <c r="H280" t="b">
        <f t="shared" ca="1" si="31"/>
        <v>1</v>
      </c>
      <c r="I280" t="b">
        <f t="shared" ca="1" si="28"/>
        <v>1</v>
      </c>
      <c r="J280" s="2">
        <f ca="1"/>
        <v>45690</v>
      </c>
      <c r="K280">
        <f ca="1"/>
        <v>20.185847942772135</v>
      </c>
      <c r="L280">
        <f ca="1"/>
        <v>0.5037650079410696</v>
      </c>
      <c r="M280">
        <f ca="1"/>
        <v>9.2652626079470224E-4</v>
      </c>
      <c r="N280">
        <f ca="1"/>
        <v>0.59512403098894506</v>
      </c>
      <c r="O280">
        <f ca="1"/>
        <v>0</v>
      </c>
      <c r="P280">
        <f ca="1"/>
        <v>399.15885659683346</v>
      </c>
      <c r="Q280">
        <f ca="1"/>
        <v>256.31407728957379</v>
      </c>
      <c r="R280">
        <f ca="1"/>
        <v>0</v>
      </c>
      <c r="S280">
        <f ca="1"/>
        <v>0.3047058894651295</v>
      </c>
      <c r="T280">
        <f ca="1"/>
        <v>0</v>
      </c>
      <c r="U280">
        <f ca="1"/>
        <v>0</v>
      </c>
      <c r="V280">
        <f ca="1"/>
        <v>0.41430657364012036</v>
      </c>
      <c r="X280" s="2">
        <f t="shared" ca="1" si="29"/>
        <v>45690</v>
      </c>
      <c r="Y280">
        <f t="shared" ca="1" si="30"/>
        <v>0</v>
      </c>
      <c r="AA280" s="63">
        <f t="shared" ca="1" si="32"/>
        <v>20.689612950713204</v>
      </c>
      <c r="AB280" s="63">
        <f t="shared" ca="1" si="33"/>
        <v>20.689612950713204</v>
      </c>
      <c r="AC280" s="3">
        <f t="shared" ca="1" si="34"/>
        <v>0</v>
      </c>
    </row>
    <row r="281" spans="8:29">
      <c r="H281" t="b">
        <f t="shared" ca="1" si="31"/>
        <v>1</v>
      </c>
      <c r="I281" t="b">
        <f t="shared" ca="1" si="28"/>
        <v>1</v>
      </c>
      <c r="J281" s="2">
        <f ca="1"/>
        <v>45691</v>
      </c>
      <c r="K281">
        <f ca="1"/>
        <v>20.285527360245108</v>
      </c>
      <c r="L281">
        <f ca="1"/>
        <v>0.48739919804978626</v>
      </c>
      <c r="M281">
        <f ca="1"/>
        <v>8.3551895840727752E-4</v>
      </c>
      <c r="N281">
        <f ca="1"/>
        <v>0.58624309656435214</v>
      </c>
      <c r="O281">
        <f ca="1"/>
        <v>0</v>
      </c>
      <c r="P281">
        <f ca="1"/>
        <v>399.64625579488325</v>
      </c>
      <c r="Q281">
        <f ca="1"/>
        <v>256.62705362382059</v>
      </c>
      <c r="R281">
        <f ca="1"/>
        <v>0</v>
      </c>
      <c r="S281">
        <f ca="1"/>
        <v>0.27339040869878056</v>
      </c>
      <c r="T281">
        <f ca="1"/>
        <v>0</v>
      </c>
      <c r="U281">
        <f ca="1"/>
        <v>0</v>
      </c>
      <c r="V281">
        <f ca="1"/>
        <v>0.39833662441510731</v>
      </c>
      <c r="X281" s="2">
        <f t="shared" ca="1" si="29"/>
        <v>45691</v>
      </c>
      <c r="Y281">
        <f t="shared" ca="1" si="30"/>
        <v>0</v>
      </c>
      <c r="AA281" s="63">
        <f t="shared" ca="1" si="32"/>
        <v>20.772926558294895</v>
      </c>
      <c r="AB281" s="63">
        <f t="shared" ca="1" si="33"/>
        <v>20.772926558294895</v>
      </c>
      <c r="AC281" s="3">
        <f t="shared" ca="1" si="34"/>
        <v>0</v>
      </c>
    </row>
    <row r="282" spans="8:29">
      <c r="H282" t="b">
        <f t="shared" ca="1" si="31"/>
        <v>1</v>
      </c>
      <c r="I282" t="b">
        <f t="shared" ca="1" si="28"/>
        <v>1</v>
      </c>
      <c r="J282" s="2">
        <f ca="1"/>
        <v>45692</v>
      </c>
      <c r="K282">
        <f ca="1"/>
        <v>20.428658268988912</v>
      </c>
      <c r="L282">
        <f ca="1"/>
        <v>0.45470644496055002</v>
      </c>
      <c r="M282">
        <f ca="1"/>
        <v>9.2260299145685565E-4</v>
      </c>
      <c r="N282">
        <f ca="1"/>
        <v>0.59691475071289379</v>
      </c>
      <c r="O282">
        <f ca="1"/>
        <v>0</v>
      </c>
      <c r="P282">
        <f ca="1"/>
        <v>400.1009622398438</v>
      </c>
      <c r="Q282">
        <f ca="1"/>
        <v>256.9190367802795</v>
      </c>
      <c r="R282">
        <f ca="1"/>
        <v>0</v>
      </c>
      <c r="S282">
        <f ca="1"/>
        <v>0.31490268513905201</v>
      </c>
      <c r="T282">
        <f ca="1"/>
        <v>0</v>
      </c>
      <c r="U282">
        <f ca="1"/>
        <v>0</v>
      </c>
      <c r="V282">
        <f ca="1"/>
        <v>0.38270573992947898</v>
      </c>
      <c r="X282" s="2">
        <f t="shared" ca="1" si="29"/>
        <v>45692</v>
      </c>
      <c r="Y282">
        <f t="shared" ca="1" si="30"/>
        <v>0</v>
      </c>
      <c r="AA282" s="63">
        <f t="shared" ca="1" si="32"/>
        <v>20.883364713949458</v>
      </c>
      <c r="AB282" s="63">
        <f t="shared" ca="1" si="33"/>
        <v>20.883364713949462</v>
      </c>
      <c r="AC282" s="3">
        <f t="shared" ca="1" si="34"/>
        <v>0</v>
      </c>
    </row>
    <row r="283" spans="8:29">
      <c r="H283" t="b">
        <f t="shared" ca="1" si="31"/>
        <v>1</v>
      </c>
      <c r="I283" t="b">
        <f t="shared" ca="1" si="28"/>
        <v>1</v>
      </c>
      <c r="J283" s="2">
        <f ca="1"/>
        <v>45693</v>
      </c>
      <c r="K283">
        <f ca="1"/>
        <v>20.581993156858125</v>
      </c>
      <c r="L283">
        <f ca="1"/>
        <v>0.42301819450773337</v>
      </c>
      <c r="M283">
        <f ca="1"/>
        <v>8.75185375656784E-4</v>
      </c>
      <c r="N283">
        <f ca="1"/>
        <v>0.5754778970012937</v>
      </c>
      <c r="O283">
        <f ca="1"/>
        <v>0</v>
      </c>
      <c r="P283">
        <f ca="1"/>
        <v>400.52398043435153</v>
      </c>
      <c r="Q283">
        <f ca="1"/>
        <v>257.19067178576671</v>
      </c>
      <c r="R283">
        <f ca="1"/>
        <v>0</v>
      </c>
      <c r="S283">
        <f ca="1"/>
        <v>0.31305325913064058</v>
      </c>
      <c r="T283">
        <f ca="1"/>
        <v>0</v>
      </c>
      <c r="U283">
        <f ca="1"/>
        <v>0</v>
      </c>
      <c r="V283">
        <f ca="1"/>
        <v>0.36746477989414295</v>
      </c>
      <c r="X283" s="2">
        <f t="shared" ca="1" si="29"/>
        <v>45693</v>
      </c>
      <c r="Y283">
        <f t="shared" ca="1" si="30"/>
        <v>0</v>
      </c>
      <c r="AA283" s="63">
        <f t="shared" ca="1" si="32"/>
        <v>21.005011351365859</v>
      </c>
      <c r="AB283" s="63">
        <f t="shared" ca="1" si="33"/>
        <v>21.005011351365859</v>
      </c>
      <c r="AC283" s="3">
        <f t="shared" ca="1" si="34"/>
        <v>0</v>
      </c>
    </row>
    <row r="284" spans="8:29">
      <c r="H284" t="b">
        <f t="shared" ca="1" si="31"/>
        <v>1</v>
      </c>
      <c r="I284" t="b">
        <f t="shared" ca="1" si="28"/>
        <v>1</v>
      </c>
      <c r="J284" s="2">
        <f ca="1"/>
        <v>45694</v>
      </c>
      <c r="K284">
        <f ca="1"/>
        <v>20.724848895480314</v>
      </c>
      <c r="L284">
        <f ca="1"/>
        <v>0.39063275419255206</v>
      </c>
      <c r="M284">
        <f ca="1"/>
        <v>7.5568446529494793E-4</v>
      </c>
      <c r="N284">
        <f ca="1"/>
        <v>0.53273280834944614</v>
      </c>
      <c r="O284">
        <f ca="1"/>
        <v>0</v>
      </c>
      <c r="P284">
        <f ca="1"/>
        <v>400.91461318854408</v>
      </c>
      <c r="Q284">
        <f ca="1"/>
        <v>257.44151094991201</v>
      </c>
      <c r="R284">
        <f ca="1"/>
        <v>0</v>
      </c>
      <c r="S284">
        <f ca="1"/>
        <v>0.28568837172263883</v>
      </c>
      <c r="T284">
        <f ca="1"/>
        <v>0</v>
      </c>
      <c r="U284">
        <f ca="1"/>
        <v>0</v>
      </c>
      <c r="V284">
        <f ca="1"/>
        <v>0.3527324169678836</v>
      </c>
      <c r="X284" s="2">
        <f t="shared" ca="1" si="29"/>
        <v>45694</v>
      </c>
      <c r="Y284">
        <f t="shared" ca="1" si="30"/>
        <v>0</v>
      </c>
      <c r="AA284" s="63">
        <f t="shared" ca="1" si="32"/>
        <v>21.115481649672869</v>
      </c>
      <c r="AB284" s="63">
        <f t="shared" ca="1" si="33"/>
        <v>21.115481649672866</v>
      </c>
      <c r="AC284" s="3">
        <f t="shared" ca="1" si="34"/>
        <v>0</v>
      </c>
    </row>
    <row r="285" spans="8:29">
      <c r="H285" t="b">
        <f t="shared" ca="1" si="31"/>
        <v>1</v>
      </c>
      <c r="I285" t="b">
        <f t="shared" ca="1" si="28"/>
        <v>1</v>
      </c>
      <c r="J285" s="2">
        <f ca="1"/>
        <v>45695</v>
      </c>
      <c r="K285">
        <f ca="1"/>
        <v>20.886705282882183</v>
      </c>
      <c r="L285">
        <f ca="1"/>
        <v>0.36629248848385032</v>
      </c>
      <c r="M285">
        <f ca="1"/>
        <v>7.6457655234563049E-4</v>
      </c>
      <c r="N285">
        <f ca="1"/>
        <v>0.52738429933337316</v>
      </c>
      <c r="O285">
        <f ca="1"/>
        <v>0</v>
      </c>
      <c r="P285">
        <f ca="1"/>
        <v>401.28090567702793</v>
      </c>
      <c r="Q285">
        <f ca="1"/>
        <v>257.67672036504138</v>
      </c>
      <c r="R285">
        <f ca="1"/>
        <v>0</v>
      </c>
      <c r="S285">
        <f ca="1"/>
        <v>0.29980363777368041</v>
      </c>
      <c r="T285">
        <f ca="1"/>
        <v>0</v>
      </c>
      <c r="U285">
        <f ca="1"/>
        <v>0</v>
      </c>
      <c r="V285">
        <f ca="1"/>
        <v>0.3382882590701014</v>
      </c>
      <c r="X285" s="2">
        <f t="shared" ca="1" si="29"/>
        <v>45695</v>
      </c>
      <c r="Y285">
        <f t="shared" ca="1" si="30"/>
        <v>0</v>
      </c>
      <c r="AA285" s="63">
        <f t="shared" ca="1" si="32"/>
        <v>21.252997771366033</v>
      </c>
      <c r="AB285" s="63">
        <f t="shared" ca="1" si="33"/>
        <v>21.252997771366033</v>
      </c>
      <c r="AC285" s="3">
        <f t="shared" ca="1" si="34"/>
        <v>0</v>
      </c>
    </row>
    <row r="286" spans="8:29">
      <c r="H286" t="b">
        <f t="shared" ca="1" si="31"/>
        <v>1</v>
      </c>
      <c r="I286" t="b">
        <f t="shared" ca="1" si="28"/>
        <v>1</v>
      </c>
      <c r="J286" s="2">
        <f ca="1"/>
        <v>45696</v>
      </c>
      <c r="K286">
        <f ca="1"/>
        <v>21.080249529170096</v>
      </c>
      <c r="L286">
        <f ca="1"/>
        <v>0.35929372040578755</v>
      </c>
      <c r="M286">
        <f ca="1"/>
        <v>8.0398913372725644E-4</v>
      </c>
      <c r="N286">
        <f ca="1"/>
        <v>0.55203397755997674</v>
      </c>
      <c r="O286">
        <f ca="1"/>
        <v>0</v>
      </c>
      <c r="P286">
        <f ca="1"/>
        <v>401.64019939743372</v>
      </c>
      <c r="Q286">
        <f ca="1"/>
        <v>257.9074356226381</v>
      </c>
      <c r="R286">
        <f ca="1"/>
        <v>0</v>
      </c>
      <c r="S286">
        <f ca="1"/>
        <v>0.30994960305232411</v>
      </c>
      <c r="T286">
        <f ca="1"/>
        <v>0</v>
      </c>
      <c r="U286">
        <f ca="1"/>
        <v>0</v>
      </c>
      <c r="V286">
        <f ca="1"/>
        <v>0.32347112995899596</v>
      </c>
      <c r="X286" s="2">
        <f t="shared" ca="1" si="29"/>
        <v>45696</v>
      </c>
      <c r="Y286">
        <f t="shared" ca="1" si="30"/>
        <v>0</v>
      </c>
      <c r="AA286" s="63">
        <f t="shared" ca="1" si="32"/>
        <v>21.439543249575888</v>
      </c>
      <c r="AB286" s="63">
        <f t="shared" ca="1" si="33"/>
        <v>21.439543249575884</v>
      </c>
      <c r="AC286" s="3">
        <f t="shared" ca="1" si="34"/>
        <v>0</v>
      </c>
    </row>
    <row r="287" spans="8:29">
      <c r="H287" t="b">
        <f t="shared" ca="1" si="31"/>
        <v>1</v>
      </c>
      <c r="I287" t="b">
        <f t="shared" ca="1" si="28"/>
        <v>1</v>
      </c>
      <c r="J287" s="2">
        <f ca="1"/>
        <v>45697</v>
      </c>
      <c r="K287">
        <f ca="1"/>
        <v>21.277531031066658</v>
      </c>
      <c r="L287">
        <f ca="1"/>
        <v>0.34486739585287296</v>
      </c>
      <c r="M287">
        <f ca="1"/>
        <v>7.4060258211794405E-4</v>
      </c>
      <c r="N287">
        <f ca="1"/>
        <v>0.54140829516731681</v>
      </c>
      <c r="O287">
        <f ca="1"/>
        <v>0</v>
      </c>
      <c r="P287">
        <f ca="1"/>
        <v>401.98506679328659</v>
      </c>
      <c r="Q287">
        <f ca="1"/>
        <v>258.12888722491226</v>
      </c>
      <c r="R287">
        <f ca="1"/>
        <v>0</v>
      </c>
      <c r="S287">
        <f ca="1"/>
        <v>0.28777964177608101</v>
      </c>
      <c r="T287">
        <f ca="1"/>
        <v>0</v>
      </c>
      <c r="U287">
        <f ca="1"/>
        <v>0</v>
      </c>
      <c r="V287">
        <f ca="1"/>
        <v>0.3085861879000138</v>
      </c>
      <c r="X287" s="2">
        <f t="shared" ca="1" si="29"/>
        <v>45697</v>
      </c>
      <c r="Y287">
        <f t="shared" ca="1" si="30"/>
        <v>0</v>
      </c>
      <c r="AA287" s="63">
        <f t="shared" ca="1" si="32"/>
        <v>21.622398426919531</v>
      </c>
      <c r="AB287" s="63">
        <f t="shared" ca="1" si="33"/>
        <v>21.622398426919531</v>
      </c>
      <c r="AC287" s="3">
        <f t="shared" ca="1" si="34"/>
        <v>0</v>
      </c>
    </row>
    <row r="288" spans="8:29">
      <c r="H288" t="b">
        <f t="shared" ca="1" si="31"/>
        <v>1</v>
      </c>
      <c r="I288" t="b">
        <f t="shared" ca="1" si="28"/>
        <v>1</v>
      </c>
      <c r="J288" s="2">
        <f ca="1"/>
        <v>45698</v>
      </c>
      <c r="K288">
        <f ca="1"/>
        <v>21.502225951483354</v>
      </c>
      <c r="L288">
        <f ca="1"/>
        <v>0.33220118609756355</v>
      </c>
      <c r="M288">
        <f ca="1"/>
        <v>7.7288493425520244E-4</v>
      </c>
      <c r="N288">
        <f ca="1"/>
        <v>0.55612322158000027</v>
      </c>
      <c r="O288">
        <f ca="1"/>
        <v>0</v>
      </c>
      <c r="P288">
        <f ca="1"/>
        <v>402.31726797938416</v>
      </c>
      <c r="Q288">
        <f ca="1"/>
        <v>258.34220540408296</v>
      </c>
      <c r="R288">
        <f ca="1"/>
        <v>0</v>
      </c>
      <c r="S288">
        <f ca="1"/>
        <v>0.30120522443281389</v>
      </c>
      <c r="T288">
        <f ca="1"/>
        <v>0</v>
      </c>
      <c r="U288">
        <f ca="1"/>
        <v>0</v>
      </c>
      <c r="V288">
        <f ca="1"/>
        <v>0.29357409656376232</v>
      </c>
      <c r="X288" s="2">
        <f t="shared" ca="1" si="29"/>
        <v>45698</v>
      </c>
      <c r="Y288">
        <f t="shared" ca="1" si="30"/>
        <v>0</v>
      </c>
      <c r="AA288" s="63">
        <f t="shared" ca="1" si="32"/>
        <v>21.834427137580917</v>
      </c>
      <c r="AB288" s="63">
        <f t="shared" ca="1" si="33"/>
        <v>21.834427137580917</v>
      </c>
      <c r="AC288" s="3">
        <f t="shared" ca="1" si="34"/>
        <v>0</v>
      </c>
    </row>
    <row r="289" spans="8:29">
      <c r="H289" t="b">
        <f t="shared" ca="1" si="31"/>
        <v>1</v>
      </c>
      <c r="I289" t="b">
        <f t="shared" ca="1" si="28"/>
        <v>1</v>
      </c>
      <c r="J289" s="2">
        <f ca="1"/>
        <v>45699</v>
      </c>
      <c r="K289">
        <f ca="1"/>
        <v>21.774340498291394</v>
      </c>
      <c r="L289">
        <f ca="1"/>
        <v>0.31615276156196614</v>
      </c>
      <c r="M289">
        <f ca="1"/>
        <v>8.8412868155351987E-4</v>
      </c>
      <c r="N289">
        <f ca="1"/>
        <v>0.58738317968845455</v>
      </c>
      <c r="O289">
        <f ca="1"/>
        <v>0</v>
      </c>
      <c r="P289">
        <f ca="1"/>
        <v>402.63342074094612</v>
      </c>
      <c r="Q289">
        <f ca="1"/>
        <v>258.54521831992605</v>
      </c>
      <c r="R289">
        <f ca="1"/>
        <v>0</v>
      </c>
      <c r="S289">
        <f ca="1"/>
        <v>0.35114006357945621</v>
      </c>
      <c r="T289">
        <f ca="1"/>
        <v>0</v>
      </c>
      <c r="U289">
        <f ca="1"/>
        <v>0</v>
      </c>
      <c r="V289">
        <f ca="1"/>
        <v>0.27861286493841841</v>
      </c>
      <c r="X289" s="2">
        <f t="shared" ca="1" si="29"/>
        <v>45699</v>
      </c>
      <c r="Y289">
        <f t="shared" ca="1" si="30"/>
        <v>0</v>
      </c>
      <c r="AA289" s="63">
        <f t="shared" ca="1" si="32"/>
        <v>22.090493259853364</v>
      </c>
      <c r="AB289" s="63">
        <f t="shared" ca="1" si="33"/>
        <v>22.090493259853361</v>
      </c>
      <c r="AC289" s="3">
        <f t="shared" ca="1" si="34"/>
        <v>0</v>
      </c>
    </row>
    <row r="290" spans="8:29">
      <c r="H290" t="b">
        <f t="shared" ca="1" si="31"/>
        <v>1</v>
      </c>
      <c r="I290" t="b">
        <f t="shared" ca="1" si="28"/>
        <v>1</v>
      </c>
      <c r="J290" s="2">
        <f ca="1"/>
        <v>45700</v>
      </c>
      <c r="K290">
        <f ca="1"/>
        <v>22.077433145109545</v>
      </c>
      <c r="L290">
        <f ca="1"/>
        <v>0.31192407998361205</v>
      </c>
      <c r="M290">
        <f ca="1"/>
        <v>9.0533654656077545E-4</v>
      </c>
      <c r="N290">
        <f ca="1"/>
        <v>0.61411139025520423</v>
      </c>
      <c r="O290">
        <f ca="1"/>
        <v>0</v>
      </c>
      <c r="P290">
        <f ca="1"/>
        <v>402.94534482092973</v>
      </c>
      <c r="Q290">
        <f ca="1"/>
        <v>258.74551584915298</v>
      </c>
      <c r="R290">
        <f ca="1"/>
        <v>0</v>
      </c>
      <c r="S290">
        <f ca="1"/>
        <v>0.35052778645278049</v>
      </c>
      <c r="T290">
        <f ca="1"/>
        <v>0</v>
      </c>
      <c r="U290">
        <f ca="1"/>
        <v>0</v>
      </c>
      <c r="V290">
        <f ca="1"/>
        <v>0.26314303620399782</v>
      </c>
      <c r="X290" s="2">
        <f t="shared" ca="1" si="29"/>
        <v>45700</v>
      </c>
      <c r="Y290">
        <f t="shared" ca="1" si="30"/>
        <v>0</v>
      </c>
      <c r="AA290" s="63">
        <f t="shared" ca="1" si="32"/>
        <v>22.389357225093157</v>
      </c>
      <c r="AB290" s="63">
        <f t="shared" ca="1" si="33"/>
        <v>22.389357225093157</v>
      </c>
      <c r="AC290" s="3">
        <f t="shared" ca="1" si="34"/>
        <v>0</v>
      </c>
    </row>
    <row r="291" spans="8:29">
      <c r="H291" t="b">
        <f t="shared" ca="1" si="31"/>
        <v>1</v>
      </c>
      <c r="I291" t="b">
        <f t="shared" ca="1" si="28"/>
        <v>1</v>
      </c>
      <c r="J291" s="2">
        <f ca="1"/>
        <v>45701</v>
      </c>
      <c r="K291">
        <f ca="1"/>
        <v>22.394325262143163</v>
      </c>
      <c r="L291">
        <f ca="1"/>
        <v>0.30405474102371954</v>
      </c>
      <c r="M291">
        <f ca="1"/>
        <v>8.7037652331822812E-4</v>
      </c>
      <c r="N291">
        <f ca="1"/>
        <v>0.62007648153402228</v>
      </c>
      <c r="O291">
        <f ca="1"/>
        <v>0</v>
      </c>
      <c r="P291">
        <f ca="1"/>
        <v>403.24939956195345</v>
      </c>
      <c r="Q291">
        <f ca="1"/>
        <v>258.94076019636719</v>
      </c>
      <c r="R291">
        <f ca="1"/>
        <v>0</v>
      </c>
      <c r="S291">
        <f ca="1"/>
        <v>0.33267713744868749</v>
      </c>
      <c r="T291">
        <f ca="1"/>
        <v>0</v>
      </c>
      <c r="U291">
        <f ca="1"/>
        <v>0</v>
      </c>
      <c r="V291">
        <f ca="1"/>
        <v>0.24731718949322334</v>
      </c>
      <c r="X291" s="2">
        <f t="shared" ca="1" si="29"/>
        <v>45701</v>
      </c>
      <c r="Y291">
        <f t="shared" ca="1" si="30"/>
        <v>0</v>
      </c>
      <c r="AA291" s="63">
        <f t="shared" ca="1" si="32"/>
        <v>22.698380003166882</v>
      </c>
      <c r="AB291" s="63">
        <f t="shared" ca="1" si="33"/>
        <v>22.698380003166882</v>
      </c>
      <c r="AC291" s="3">
        <f t="shared" ca="1" si="34"/>
        <v>0</v>
      </c>
    </row>
    <row r="292" spans="8:29">
      <c r="H292" t="b">
        <f t="shared" ca="1" si="31"/>
        <v>1</v>
      </c>
      <c r="I292" t="b">
        <f t="shared" ca="1" si="28"/>
        <v>1</v>
      </c>
      <c r="J292" s="2">
        <f ca="1"/>
        <v>45702</v>
      </c>
      <c r="K292">
        <f ca="1"/>
        <v>22.717579607209448</v>
      </c>
      <c r="L292">
        <f ca="1"/>
        <v>0.28953450395192704</v>
      </c>
      <c r="M292">
        <f ca="1"/>
        <v>8.2824169964368366E-4</v>
      </c>
      <c r="N292">
        <f ca="1"/>
        <v>0.61196060731856949</v>
      </c>
      <c r="O292">
        <f ca="1"/>
        <v>0</v>
      </c>
      <c r="P292">
        <f ca="1"/>
        <v>403.53893406590538</v>
      </c>
      <c r="Q292">
        <f ca="1"/>
        <v>259.12668058369525</v>
      </c>
      <c r="R292">
        <f ca="1"/>
        <v>0</v>
      </c>
      <c r="S292">
        <f ca="1"/>
        <v>0.32158961302037209</v>
      </c>
      <c r="T292">
        <f ca="1"/>
        <v>0</v>
      </c>
      <c r="U292">
        <f ca="1"/>
        <v>0</v>
      </c>
      <c r="V292">
        <f ca="1"/>
        <v>0.23149134278244887</v>
      </c>
      <c r="X292" s="2">
        <f t="shared" ca="1" si="29"/>
        <v>45702</v>
      </c>
      <c r="Y292">
        <f t="shared" ca="1" si="30"/>
        <v>0</v>
      </c>
      <c r="AA292" s="63">
        <f t="shared" ca="1" si="32"/>
        <v>23.007114111161375</v>
      </c>
      <c r="AB292" s="63">
        <f t="shared" ca="1" si="33"/>
        <v>23.007114111161375</v>
      </c>
      <c r="AC292" s="3">
        <f t="shared" ca="1" si="34"/>
        <v>0</v>
      </c>
    </row>
    <row r="293" spans="8:29">
      <c r="H293" t="b">
        <f t="shared" ca="1" si="31"/>
        <v>1</v>
      </c>
      <c r="I293" t="b">
        <f t="shared" ca="1" si="28"/>
        <v>1</v>
      </c>
      <c r="J293" s="2">
        <f ca="1"/>
        <v>45703</v>
      </c>
      <c r="K293">
        <f ca="1"/>
        <v>23.039079076072962</v>
      </c>
      <c r="L293">
        <f ca="1"/>
        <v>0.26847969091039658</v>
      </c>
      <c r="M293">
        <f ca="1"/>
        <v>7.8643153736024374E-4</v>
      </c>
      <c r="N293">
        <f ca="1"/>
        <v>0.58919272823655156</v>
      </c>
      <c r="O293">
        <f ca="1"/>
        <v>0</v>
      </c>
      <c r="P293">
        <f ca="1"/>
        <v>403.80741375681578</v>
      </c>
      <c r="Q293">
        <f ca="1"/>
        <v>259.29908092784245</v>
      </c>
      <c r="R293">
        <f ca="1"/>
        <v>0</v>
      </c>
      <c r="S293">
        <f ca="1"/>
        <v>0.32094572623898576</v>
      </c>
      <c r="T293">
        <f ca="1"/>
        <v>0</v>
      </c>
      <c r="U293">
        <f ca="1"/>
        <v>0</v>
      </c>
      <c r="V293">
        <f ca="1"/>
        <v>0.21608932699590511</v>
      </c>
      <c r="X293" s="2">
        <f t="shared" ca="1" si="29"/>
        <v>45703</v>
      </c>
      <c r="Y293">
        <f t="shared" ca="1" si="30"/>
        <v>0</v>
      </c>
      <c r="AA293" s="63">
        <f t="shared" ca="1" si="32"/>
        <v>23.307558766983359</v>
      </c>
      <c r="AB293" s="63">
        <f t="shared" ca="1" si="33"/>
        <v>23.307558766983359</v>
      </c>
      <c r="AC293" s="3">
        <f t="shared" ca="1" si="34"/>
        <v>0</v>
      </c>
    </row>
    <row r="294" spans="8:29">
      <c r="H294" t="b">
        <f t="shared" ca="1" si="31"/>
        <v>1</v>
      </c>
      <c r="I294" t="b">
        <f t="shared" ca="1" si="28"/>
        <v>1</v>
      </c>
      <c r="J294" s="2">
        <f ca="1"/>
        <v>45704</v>
      </c>
      <c r="K294">
        <f ca="1"/>
        <v>23.354177452709926</v>
      </c>
      <c r="L294">
        <f ca="1"/>
        <v>0.2519694668703778</v>
      </c>
      <c r="M294">
        <f ca="1"/>
        <v>7.2396992820067396E-4</v>
      </c>
      <c r="N294">
        <f ca="1"/>
        <v>0.56634387357914229</v>
      </c>
      <c r="O294">
        <f ca="1"/>
        <v>0</v>
      </c>
      <c r="P294">
        <f ca="1"/>
        <v>404.05938322368615</v>
      </c>
      <c r="Q294">
        <f ca="1"/>
        <v>259.46087947080019</v>
      </c>
      <c r="R294">
        <f ca="1"/>
        <v>0</v>
      </c>
      <c r="S294">
        <f ca="1"/>
        <v>0.30580552205519884</v>
      </c>
      <c r="T294">
        <f ca="1"/>
        <v>0</v>
      </c>
      <c r="U294">
        <f ca="1"/>
        <v>0</v>
      </c>
      <c r="V294">
        <f ca="1"/>
        <v>0.20093313314541505</v>
      </c>
      <c r="X294" s="2">
        <f t="shared" ca="1" si="29"/>
        <v>45704</v>
      </c>
      <c r="Y294">
        <f t="shared" ca="1" si="30"/>
        <v>0</v>
      </c>
      <c r="AA294" s="63">
        <f t="shared" ca="1" si="32"/>
        <v>23.606146919580304</v>
      </c>
      <c r="AB294" s="63">
        <f t="shared" ca="1" si="33"/>
        <v>23.606146919580304</v>
      </c>
      <c r="AC294" s="3">
        <f t="shared" ca="1" si="34"/>
        <v>0</v>
      </c>
    </row>
    <row r="295" spans="8:29">
      <c r="H295" t="b">
        <f t="shared" ca="1" si="31"/>
        <v>1</v>
      </c>
      <c r="I295" t="b">
        <f t="shared" ca="1" si="28"/>
        <v>1</v>
      </c>
      <c r="J295" s="2">
        <f ca="1"/>
        <v>45705</v>
      </c>
      <c r="K295">
        <f ca="1"/>
        <v>23.704345014346025</v>
      </c>
      <c r="L295">
        <f ca="1"/>
        <v>0.24471908737149306</v>
      </c>
      <c r="M295">
        <f ca="1"/>
        <v>7.7699137183451228E-4</v>
      </c>
      <c r="N295">
        <f ca="1"/>
        <v>0.59410965763575785</v>
      </c>
      <c r="O295">
        <f ca="1"/>
        <v>0</v>
      </c>
      <c r="P295">
        <f ca="1"/>
        <v>404.30410231105765</v>
      </c>
      <c r="Q295">
        <f ca="1"/>
        <v>259.61802228759632</v>
      </c>
      <c r="R295">
        <f ca="1"/>
        <v>0</v>
      </c>
      <c r="S295">
        <f ca="1"/>
        <v>0.32543792666454463</v>
      </c>
      <c r="T295">
        <f ca="1"/>
        <v>0</v>
      </c>
      <c r="U295">
        <f ca="1"/>
        <v>0</v>
      </c>
      <c r="V295">
        <f ca="1"/>
        <v>0.18549721088493287</v>
      </c>
      <c r="X295" s="2">
        <f t="shared" ca="1" si="29"/>
        <v>45705</v>
      </c>
      <c r="Y295">
        <f t="shared" ca="1" si="30"/>
        <v>0</v>
      </c>
      <c r="AA295" s="63">
        <f t="shared" ca="1" si="32"/>
        <v>23.949064101717521</v>
      </c>
      <c r="AB295" s="63">
        <f t="shared" ca="1" si="33"/>
        <v>23.949064101717518</v>
      </c>
      <c r="AC295" s="3">
        <f t="shared" ca="1" si="34"/>
        <v>0</v>
      </c>
    </row>
    <row r="296" spans="8:29">
      <c r="H296" t="b">
        <f t="shared" ca="1" si="31"/>
        <v>1</v>
      </c>
      <c r="I296" t="b">
        <f t="shared" ca="1" si="28"/>
        <v>1</v>
      </c>
      <c r="J296" s="2">
        <f ca="1"/>
        <v>45706</v>
      </c>
      <c r="K296">
        <f ca="1"/>
        <v>24.090191764219938</v>
      </c>
      <c r="L296">
        <f ca="1"/>
        <v>0.23725402991283318</v>
      </c>
      <c r="M296">
        <f ca="1"/>
        <v>8.2729147395532721E-4</v>
      </c>
      <c r="N296">
        <f ca="1"/>
        <v>0.62227348831279339</v>
      </c>
      <c r="O296">
        <f ca="1"/>
        <v>0</v>
      </c>
      <c r="P296">
        <f ca="1"/>
        <v>404.54135634097048</v>
      </c>
      <c r="Q296">
        <f ca="1"/>
        <v>259.77037152588912</v>
      </c>
      <c r="R296">
        <f ca="1"/>
        <v>0</v>
      </c>
      <c r="S296">
        <f ca="1"/>
        <v>0.34423356990836723</v>
      </c>
      <c r="T296">
        <f ca="1"/>
        <v>0</v>
      </c>
      <c r="U296">
        <f ca="1"/>
        <v>0</v>
      </c>
      <c r="V296">
        <f ca="1"/>
        <v>0.16979003683294291</v>
      </c>
      <c r="X296" s="2">
        <f t="shared" ca="1" si="29"/>
        <v>45706</v>
      </c>
      <c r="Y296">
        <f t="shared" ca="1" si="30"/>
        <v>0</v>
      </c>
      <c r="AA296" s="63">
        <f t="shared" ca="1" si="32"/>
        <v>24.327445794132771</v>
      </c>
      <c r="AB296" s="63">
        <f t="shared" ca="1" si="33"/>
        <v>24.327445794132771</v>
      </c>
      <c r="AC296" s="3">
        <f t="shared" ca="1" si="34"/>
        <v>0</v>
      </c>
    </row>
    <row r="297" spans="8:29">
      <c r="H297" t="b">
        <f t="shared" ca="1" si="31"/>
        <v>1</v>
      </c>
      <c r="I297" t="b">
        <f t="shared" ca="1" si="28"/>
        <v>1</v>
      </c>
      <c r="J297" s="2">
        <f ca="1"/>
        <v>45707</v>
      </c>
      <c r="K297">
        <f ca="1"/>
        <v>24.527434645193772</v>
      </c>
      <c r="L297">
        <f ca="1"/>
        <v>0.23069173294345546</v>
      </c>
      <c r="M297">
        <f ca="1"/>
        <v>9.1541636285974448E-4</v>
      </c>
      <c r="N297">
        <f ca="1"/>
        <v>0.66701919755443273</v>
      </c>
      <c r="O297">
        <f ca="1"/>
        <v>0</v>
      </c>
      <c r="P297">
        <f ca="1"/>
        <v>404.77204807391394</v>
      </c>
      <c r="Q297">
        <f ca="1"/>
        <v>259.91850688024869</v>
      </c>
      <c r="R297">
        <f ca="1"/>
        <v>0</v>
      </c>
      <c r="S297">
        <f ca="1"/>
        <v>0.3769068374860382</v>
      </c>
      <c r="T297">
        <f ca="1"/>
        <v>0</v>
      </c>
      <c r="U297">
        <f ca="1"/>
        <v>0</v>
      </c>
      <c r="V297">
        <f ca="1"/>
        <v>0.15374379804156868</v>
      </c>
      <c r="X297" s="2">
        <f t="shared" ca="1" si="29"/>
        <v>45707</v>
      </c>
      <c r="Y297">
        <f t="shared" ca="1" si="30"/>
        <v>0</v>
      </c>
      <c r="AA297" s="63">
        <f t="shared" ca="1" si="32"/>
        <v>24.758126378137227</v>
      </c>
      <c r="AB297" s="63">
        <f t="shared" ca="1" si="33"/>
        <v>24.758126378137227</v>
      </c>
      <c r="AC297" s="3">
        <f t="shared" ca="1" si="34"/>
        <v>0</v>
      </c>
    </row>
    <row r="298" spans="8:29">
      <c r="H298" t="b">
        <f t="shared" ca="1" si="31"/>
        <v>1</v>
      </c>
      <c r="I298" t="b">
        <f t="shared" ca="1" si="28"/>
        <v>1</v>
      </c>
      <c r="J298" s="2">
        <f ca="1"/>
        <v>45708</v>
      </c>
      <c r="K298">
        <f ca="1"/>
        <v>24.979379417093782</v>
      </c>
      <c r="L298">
        <f ca="1"/>
        <v>0.22249300046922826</v>
      </c>
      <c r="M298">
        <f ca="1"/>
        <v>8.9642624319274944E-4</v>
      </c>
      <c r="N298">
        <f ca="1"/>
        <v>0.67354134612604466</v>
      </c>
      <c r="O298">
        <f ca="1"/>
        <v>0</v>
      </c>
      <c r="P298">
        <f ca="1"/>
        <v>404.99454107438316</v>
      </c>
      <c r="Q298">
        <f ca="1"/>
        <v>260.06137753732207</v>
      </c>
      <c r="R298">
        <f ca="1"/>
        <v>0</v>
      </c>
      <c r="S298">
        <f ca="1"/>
        <v>0.3688690129229123</v>
      </c>
      <c r="T298">
        <f ca="1"/>
        <v>0</v>
      </c>
      <c r="U298">
        <f ca="1"/>
        <v>0</v>
      </c>
      <c r="V298">
        <f ca="1"/>
        <v>0.13746869055110977</v>
      </c>
      <c r="X298" s="2">
        <f t="shared" ca="1" si="29"/>
        <v>45708</v>
      </c>
      <c r="Y298">
        <f t="shared" ca="1" si="30"/>
        <v>0</v>
      </c>
      <c r="AA298" s="63">
        <f t="shared" ca="1" si="32"/>
        <v>25.20187241756301</v>
      </c>
      <c r="AB298" s="63">
        <f t="shared" ca="1" si="33"/>
        <v>25.20187241756301</v>
      </c>
      <c r="AC298" s="3">
        <f t="shared" ca="1" si="34"/>
        <v>0</v>
      </c>
    </row>
    <row r="299" spans="8:29">
      <c r="H299" t="b">
        <f t="shared" ca="1" si="31"/>
        <v>1</v>
      </c>
      <c r="I299" t="b">
        <f t="shared" ca="1" si="28"/>
        <v>1</v>
      </c>
      <c r="J299" s="2">
        <f ca="1"/>
        <v>45709</v>
      </c>
      <c r="K299">
        <f ca="1"/>
        <v>25.428877327497396</v>
      </c>
      <c r="L299">
        <f ca="1"/>
        <v>0.20879493489292145</v>
      </c>
      <c r="M299">
        <f ca="1"/>
        <v>8.5407730155218076E-4</v>
      </c>
      <c r="N299">
        <f ca="1"/>
        <v>0.65743876799498535</v>
      </c>
      <c r="O299">
        <f ca="1"/>
        <v>0</v>
      </c>
      <c r="P299">
        <f ca="1"/>
        <v>405.20333600927609</v>
      </c>
      <c r="Q299">
        <f ca="1"/>
        <v>260.19545218002474</v>
      </c>
      <c r="R299">
        <f ca="1"/>
        <v>0</v>
      </c>
      <c r="S299">
        <f ca="1"/>
        <v>0.3639974292119309</v>
      </c>
      <c r="T299">
        <f ca="1"/>
        <v>0</v>
      </c>
      <c r="U299">
        <f ca="1"/>
        <v>0</v>
      </c>
      <c r="V299">
        <f ca="1"/>
        <v>0.12140549852276639</v>
      </c>
      <c r="X299" s="2">
        <f t="shared" ca="1" si="29"/>
        <v>45709</v>
      </c>
      <c r="Y299">
        <f t="shared" ca="1" si="30"/>
        <v>0</v>
      </c>
      <c r="AA299" s="63">
        <f t="shared" ca="1" si="32"/>
        <v>25.637672262390321</v>
      </c>
      <c r="AB299" s="63">
        <f t="shared" ca="1" si="33"/>
        <v>25.637672262390318</v>
      </c>
      <c r="AC299" s="3">
        <f t="shared" ca="1" si="34"/>
        <v>0</v>
      </c>
    </row>
    <row r="300" spans="8:29">
      <c r="H300" t="b">
        <f t="shared" ca="1" si="31"/>
        <v>1</v>
      </c>
      <c r="I300" t="b">
        <f t="shared" ca="1" si="28"/>
        <v>1</v>
      </c>
      <c r="J300" s="2">
        <f ca="1"/>
        <v>45710</v>
      </c>
      <c r="K300">
        <f ca="1"/>
        <v>25.947954825248992</v>
      </c>
      <c r="L300">
        <f ca="1"/>
        <v>0.19817216721503428</v>
      </c>
      <c r="M300">
        <f ca="1"/>
        <v>9.9732813106534479E-4</v>
      </c>
      <c r="N300">
        <f ca="1"/>
        <v>0.71625233683556155</v>
      </c>
      <c r="O300">
        <f ca="1"/>
        <v>0</v>
      </c>
      <c r="P300">
        <f ca="1"/>
        <v>405.40150817649112</v>
      </c>
      <c r="Q300">
        <f ca="1"/>
        <v>260.32270556635132</v>
      </c>
      <c r="R300">
        <f ca="1"/>
        <v>0</v>
      </c>
      <c r="S300">
        <f ca="1"/>
        <v>0.43444798090797815</v>
      </c>
      <c r="T300">
        <f ca="1"/>
        <v>0</v>
      </c>
      <c r="U300">
        <f ca="1"/>
        <v>0</v>
      </c>
      <c r="V300">
        <f ca="1"/>
        <v>0.1053762129683613</v>
      </c>
      <c r="X300" s="2">
        <f t="shared" ca="1" si="29"/>
        <v>45710</v>
      </c>
      <c r="Y300">
        <f t="shared" ca="1" si="30"/>
        <v>0</v>
      </c>
      <c r="AA300" s="63">
        <f t="shared" ca="1" si="32"/>
        <v>26.146126992464023</v>
      </c>
      <c r="AB300" s="63">
        <f t="shared" ca="1" si="33"/>
        <v>26.146126992464026</v>
      </c>
      <c r="AC300" s="3">
        <f t="shared" ca="1" si="34"/>
        <v>0</v>
      </c>
    </row>
    <row r="301" spans="8:29">
      <c r="H301" t="b">
        <f t="shared" ca="1" si="31"/>
        <v>1</v>
      </c>
      <c r="I301" t="b">
        <f t="shared" ca="1" si="28"/>
        <v>1</v>
      </c>
      <c r="J301" s="2">
        <f ca="1"/>
        <v>45711</v>
      </c>
      <c r="K301">
        <f ca="1"/>
        <v>26.4151236174072</v>
      </c>
      <c r="L301">
        <f ca="1"/>
        <v>0.17719599832128097</v>
      </c>
      <c r="M301">
        <f ca="1"/>
        <v>8.6886651808271154E-4</v>
      </c>
      <c r="N301">
        <f ca="1"/>
        <v>0.64349592396140598</v>
      </c>
      <c r="O301">
        <f ca="1"/>
        <v>0</v>
      </c>
      <c r="P301">
        <f ca="1"/>
        <v>405.5787041748124</v>
      </c>
      <c r="Q301">
        <f ca="1"/>
        <v>260.43648940969712</v>
      </c>
      <c r="R301">
        <f ca="1"/>
        <v>0</v>
      </c>
      <c r="S301">
        <f ca="1"/>
        <v>0.41827553572509235</v>
      </c>
      <c r="T301">
        <f ca="1"/>
        <v>0</v>
      </c>
      <c r="U301">
        <f ca="1"/>
        <v>0</v>
      </c>
      <c r="V301">
        <f ca="1"/>
        <v>9.0330215158171412E-2</v>
      </c>
      <c r="X301" s="2">
        <f t="shared" ca="1" si="29"/>
        <v>45711</v>
      </c>
      <c r="Y301">
        <f t="shared" ca="1" si="30"/>
        <v>0</v>
      </c>
      <c r="AA301" s="63">
        <f t="shared" ca="1" si="32"/>
        <v>26.592319615728481</v>
      </c>
      <c r="AB301" s="63">
        <f t="shared" ca="1" si="33"/>
        <v>26.592319615728481</v>
      </c>
      <c r="AC301" s="3">
        <f t="shared" ca="1" si="34"/>
        <v>0</v>
      </c>
    </row>
    <row r="302" spans="8:29">
      <c r="H302" t="b">
        <f t="shared" ca="1" si="31"/>
        <v>1</v>
      </c>
      <c r="I302" t="b">
        <f t="shared" ca="1" si="28"/>
        <v>1</v>
      </c>
      <c r="J302" s="2">
        <f ca="1"/>
        <v>45712</v>
      </c>
      <c r="K302">
        <f ca="1"/>
        <v>26.858890801709236</v>
      </c>
      <c r="L302">
        <f ca="1"/>
        <v>0.16159999520311885</v>
      </c>
      <c r="M302">
        <f ca="1"/>
        <v>8.060463027472764E-4</v>
      </c>
      <c r="N302">
        <f ca="1"/>
        <v>0.6045611332024089</v>
      </c>
      <c r="O302">
        <f ca="1"/>
        <v>0</v>
      </c>
      <c r="P302">
        <f ca="1"/>
        <v>405.74030417001552</v>
      </c>
      <c r="Q302">
        <f ca="1"/>
        <v>260.54025850557451</v>
      </c>
      <c r="R302">
        <f ca="1"/>
        <v>0</v>
      </c>
      <c r="S302">
        <f ca="1"/>
        <v>0.41753642054075213</v>
      </c>
      <c r="T302">
        <f ca="1"/>
        <v>0</v>
      </c>
      <c r="U302">
        <f ca="1"/>
        <v>0</v>
      </c>
      <c r="V302">
        <f ca="1"/>
        <v>7.5962346826750737E-2</v>
      </c>
      <c r="X302" s="2">
        <f t="shared" ca="1" si="29"/>
        <v>45712</v>
      </c>
      <c r="Y302">
        <f t="shared" ca="1" si="30"/>
        <v>0</v>
      </c>
      <c r="AA302" s="63">
        <f t="shared" ca="1" si="32"/>
        <v>27.020490796912355</v>
      </c>
      <c r="AB302" s="63">
        <f t="shared" ca="1" si="33"/>
        <v>27.020490796912355</v>
      </c>
      <c r="AC302" s="3">
        <f t="shared" ca="1" si="34"/>
        <v>0</v>
      </c>
    </row>
    <row r="303" spans="8:29">
      <c r="H303" t="b">
        <f t="shared" ca="1" si="31"/>
        <v>1</v>
      </c>
      <c r="I303" t="b">
        <f t="shared" ca="1" si="28"/>
        <v>1</v>
      </c>
      <c r="J303" s="2">
        <f ca="1"/>
        <v>45713</v>
      </c>
      <c r="K303">
        <f ca="1"/>
        <v>27.322507664917307</v>
      </c>
      <c r="L303">
        <f ca="1"/>
        <v>0.15938934722754539</v>
      </c>
      <c r="M303">
        <f ca="1"/>
        <v>8.017176814867355E-4</v>
      </c>
      <c r="N303">
        <f ca="1"/>
        <v>0.6222044927541277</v>
      </c>
      <c r="O303">
        <f ca="1"/>
        <v>0</v>
      </c>
      <c r="P303">
        <f ca="1"/>
        <v>405.89969351724307</v>
      </c>
      <c r="Q303">
        <f ca="1"/>
        <v>260.64260806587924</v>
      </c>
      <c r="R303">
        <f ca="1"/>
        <v>0</v>
      </c>
      <c r="S303">
        <f ca="1"/>
        <v>0.40676564643264373</v>
      </c>
      <c r="T303">
        <f ca="1"/>
        <v>0</v>
      </c>
      <c r="U303">
        <f ca="1"/>
        <v>0</v>
      </c>
      <c r="V303">
        <f ca="1"/>
        <v>6.1128264478676253E-2</v>
      </c>
      <c r="X303" s="2">
        <f t="shared" ca="1" si="29"/>
        <v>45713</v>
      </c>
      <c r="Y303">
        <f t="shared" ca="1" si="30"/>
        <v>0</v>
      </c>
      <c r="AA303" s="63">
        <f t="shared" ca="1" si="32"/>
        <v>27.481897012144852</v>
      </c>
      <c r="AB303" s="63">
        <f t="shared" ca="1" si="33"/>
        <v>27.481897012144852</v>
      </c>
      <c r="AC303" s="3">
        <f t="shared" ca="1" si="34"/>
        <v>0</v>
      </c>
    </row>
    <row r="304" spans="8:29">
      <c r="H304" t="b">
        <f t="shared" ca="1" si="31"/>
        <v>1</v>
      </c>
      <c r="I304" t="b">
        <f t="shared" ca="1" si="28"/>
        <v>1</v>
      </c>
      <c r="J304" s="2">
        <f ca="1"/>
        <v>45714</v>
      </c>
      <c r="K304">
        <f ca="1"/>
        <v>27.765211975025831</v>
      </c>
      <c r="L304">
        <f ca="1"/>
        <v>0.14747564579346317</v>
      </c>
      <c r="M304">
        <f ca="1"/>
        <v>7.4151984050274677E-4</v>
      </c>
      <c r="N304">
        <f ca="1"/>
        <v>0.58943843606148516</v>
      </c>
      <c r="O304">
        <f ca="1"/>
        <v>0</v>
      </c>
      <c r="P304">
        <f ca="1"/>
        <v>406.04716916303653</v>
      </c>
      <c r="Q304">
        <f ca="1"/>
        <v>260.73730741539765</v>
      </c>
      <c r="R304">
        <f ca="1"/>
        <v>0</v>
      </c>
      <c r="S304">
        <f ca="1"/>
        <v>0.39751108228007637</v>
      </c>
      <c r="T304">
        <f ca="1"/>
        <v>0</v>
      </c>
      <c r="U304">
        <f ca="1"/>
        <v>0</v>
      </c>
      <c r="V304">
        <f ca="1"/>
        <v>4.6760396147255578E-2</v>
      </c>
      <c r="X304" s="2">
        <f t="shared" ca="1" si="29"/>
        <v>45714</v>
      </c>
      <c r="Y304">
        <f t="shared" ca="1" si="30"/>
        <v>0</v>
      </c>
      <c r="AA304" s="63">
        <f t="shared" ca="1" si="32"/>
        <v>27.912687620819295</v>
      </c>
      <c r="AB304" s="63">
        <f t="shared" ca="1" si="33"/>
        <v>27.912687620819295</v>
      </c>
      <c r="AC304" s="3">
        <f t="shared" ca="1" si="34"/>
        <v>0</v>
      </c>
    </row>
    <row r="305" spans="8:29">
      <c r="H305" t="b">
        <f t="shared" ca="1" si="31"/>
        <v>1</v>
      </c>
      <c r="I305" t="b">
        <f t="shared" ca="1" si="28"/>
        <v>1</v>
      </c>
      <c r="J305" s="2">
        <f ca="1"/>
        <v>45715</v>
      </c>
      <c r="K305">
        <f ca="1"/>
        <v>28.198169863354718</v>
      </c>
      <c r="L305">
        <f ca="1"/>
        <v>0.14000320567458857</v>
      </c>
      <c r="M305">
        <f ca="1"/>
        <v>6.9431478578962924E-4</v>
      </c>
      <c r="N305">
        <f ca="1"/>
        <v>0.57226677921768343</v>
      </c>
      <c r="O305">
        <f ca="1"/>
        <v>0</v>
      </c>
      <c r="P305">
        <f ca="1"/>
        <v>406.18717236871112</v>
      </c>
      <c r="Q305">
        <f ca="1"/>
        <v>260.8272084457443</v>
      </c>
      <c r="R305">
        <f ca="1"/>
        <v>0</v>
      </c>
      <c r="S305">
        <f ca="1"/>
        <v>0.38135331847486026</v>
      </c>
      <c r="T305">
        <f ca="1"/>
        <v>0</v>
      </c>
      <c r="U305">
        <f ca="1"/>
        <v>0</v>
      </c>
      <c r="V305">
        <f ca="1"/>
        <v>3.2494247237650153E-2</v>
      </c>
      <c r="X305" s="2">
        <f t="shared" ca="1" si="29"/>
        <v>45715</v>
      </c>
      <c r="Y305">
        <f t="shared" ca="1" si="30"/>
        <v>0</v>
      </c>
      <c r="AA305" s="63">
        <f t="shared" ca="1" si="32"/>
        <v>28.338173069029306</v>
      </c>
      <c r="AB305" s="63">
        <f t="shared" ca="1" si="33"/>
        <v>28.338173069029306</v>
      </c>
      <c r="AC305" s="3">
        <f t="shared" ca="1" si="34"/>
        <v>0</v>
      </c>
    </row>
    <row r="306" spans="8:29">
      <c r="H306" t="b">
        <f t="shared" ca="1" si="31"/>
        <v>1</v>
      </c>
      <c r="I306" t="b">
        <f t="shared" ca="1" si="28"/>
        <v>1</v>
      </c>
      <c r="J306" s="2">
        <f ca="1"/>
        <v>45716</v>
      </c>
      <c r="K306">
        <f ca="1"/>
        <v>28.651368710861824</v>
      </c>
      <c r="L306">
        <f ca="1"/>
        <v>0.13915844925963938</v>
      </c>
      <c r="M306">
        <f ca="1"/>
        <v>6.8740185666094078E-4</v>
      </c>
      <c r="N306">
        <f ca="1"/>
        <v>0.59166989491008182</v>
      </c>
      <c r="O306">
        <f ca="1"/>
        <v>0</v>
      </c>
      <c r="P306">
        <f ca="1"/>
        <v>406.32633081797076</v>
      </c>
      <c r="Q306">
        <f ca="1"/>
        <v>260.91656702799685</v>
      </c>
      <c r="R306">
        <f ca="1"/>
        <v>0</v>
      </c>
      <c r="S306">
        <f ca="1"/>
        <v>0.36582561029610344</v>
      </c>
      <c r="T306">
        <f ca="1"/>
        <v>0</v>
      </c>
      <c r="U306">
        <f ca="1"/>
        <v>0</v>
      </c>
      <c r="V306">
        <f ca="1"/>
        <v>1.765168827109076E-2</v>
      </c>
      <c r="X306" s="2">
        <f t="shared" ca="1" si="29"/>
        <v>45716</v>
      </c>
      <c r="Y306">
        <f t="shared" ca="1" si="30"/>
        <v>0</v>
      </c>
      <c r="AA306" s="63">
        <f t="shared" ca="1" si="32"/>
        <v>28.790527160121464</v>
      </c>
      <c r="AB306" s="63">
        <f t="shared" ca="1" si="33"/>
        <v>28.790527160121464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1</v>
      </c>
      <c r="J307" s="2">
        <f ca="1"/>
        <v>45717</v>
      </c>
      <c r="K307">
        <f ca="1"/>
        <v>29.106876976577873</v>
      </c>
      <c r="L307">
        <f ca="1"/>
        <v>0.12993047459355012</v>
      </c>
      <c r="M307">
        <f ca="1"/>
        <v>6.852230036500373E-4</v>
      </c>
      <c r="N307">
        <f ca="1"/>
        <v>0.58475351730594738</v>
      </c>
      <c r="O307">
        <f ca="1"/>
        <v>0</v>
      </c>
      <c r="P307">
        <f ca="1"/>
        <v>406.45626129256431</v>
      </c>
      <c r="Q307">
        <f ca="1"/>
        <v>261</v>
      </c>
      <c r="R307">
        <f ca="1"/>
        <v>0</v>
      </c>
      <c r="S307">
        <f ca="1"/>
        <v>0.38057820080449623</v>
      </c>
      <c r="T307">
        <f ca="1"/>
        <v>0</v>
      </c>
      <c r="U307">
        <f ca="1"/>
        <v>0</v>
      </c>
      <c r="V307">
        <f ca="1"/>
        <v>3.1397174254316207E-3</v>
      </c>
      <c r="X307" s="2">
        <f t="shared" ca="1" si="29"/>
        <v>45717</v>
      </c>
      <c r="Y307">
        <f t="shared" ca="1" si="30"/>
        <v>0</v>
      </c>
      <c r="AA307" s="63">
        <f t="shared" ca="1" si="32"/>
        <v>29.236807451171423</v>
      </c>
      <c r="AB307" s="63">
        <f t="shared" ca="1" si="33"/>
        <v>29.236807451171423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45718</v>
      </c>
      <c r="K308">
        <f ca="1"/>
        <v>25.43638630828319</v>
      </c>
      <c r="L308">
        <f ca="1"/>
        <v>0</v>
      </c>
      <c r="M308">
        <f ca="1"/>
        <v>-4.2623739739298205</v>
      </c>
      <c r="N308">
        <f ca="1"/>
        <v>0.59188330563513791</v>
      </c>
      <c r="O308">
        <f ca="1"/>
        <v>0</v>
      </c>
      <c r="P308">
        <f ca="1"/>
        <v>0</v>
      </c>
      <c r="Q308">
        <f ca="1"/>
        <v>0</v>
      </c>
      <c r="R308">
        <f ca="1"/>
        <v>0</v>
      </c>
      <c r="S308">
        <f ca="1"/>
        <v>0.39523943158029617</v>
      </c>
      <c r="T308">
        <f ca="1"/>
        <v>0</v>
      </c>
      <c r="U308">
        <f ca="1"/>
        <v>0</v>
      </c>
      <c r="V308">
        <f ca="1"/>
        <v>0</v>
      </c>
      <c r="X308" s="2">
        <f t="shared" ca="1" si="29"/>
        <v>45718</v>
      </c>
      <c r="Y308">
        <f t="shared" ca="1" si="30"/>
        <v>0</v>
      </c>
      <c r="AA308" s="63">
        <f t="shared" ca="1" si="32"/>
        <v>25.436386308283193</v>
      </c>
      <c r="AB308" s="63">
        <f t="shared" ca="1" si="33"/>
        <v>25.43638630828319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45719</v>
      </c>
      <c r="K309">
        <f ca="1"/>
        <v>22.011361115117122</v>
      </c>
      <c r="L309">
        <f ca="1"/>
        <v>0</v>
      </c>
      <c r="M309">
        <f ca="1"/>
        <v>-4.017230641572425</v>
      </c>
      <c r="N309">
        <f ca="1"/>
        <v>0.59220544840635614</v>
      </c>
      <c r="O309">
        <f ca="1"/>
        <v>0</v>
      </c>
      <c r="P309">
        <f ca="1"/>
        <v>0</v>
      </c>
      <c r="Q309">
        <f ca="1"/>
        <v>0</v>
      </c>
      <c r="R309">
        <f ca="1"/>
        <v>0</v>
      </c>
      <c r="S309">
        <f ca="1"/>
        <v>0.3857804320195925</v>
      </c>
      <c r="T309">
        <f ca="1"/>
        <v>0</v>
      </c>
      <c r="U309">
        <f ca="1"/>
        <v>0</v>
      </c>
      <c r="V309">
        <f ca="1"/>
        <v>0</v>
      </c>
      <c r="X309" s="2">
        <f t="shared" ca="1" si="29"/>
        <v>45719</v>
      </c>
      <c r="Y309">
        <f t="shared" ca="1" si="30"/>
        <v>0</v>
      </c>
      <c r="AA309" s="63">
        <f t="shared" ca="1" si="32"/>
        <v>22.011361115117122</v>
      </c>
      <c r="AB309" s="63">
        <f t="shared" ca="1" si="33"/>
        <v>22.011361115117122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45720</v>
      </c>
      <c r="K310">
        <f ca="1"/>
        <v>18.638379374383231</v>
      </c>
      <c r="L310">
        <f ca="1"/>
        <v>0</v>
      </c>
      <c r="M310">
        <f ca="1"/>
        <v>-3.9628498657241025</v>
      </c>
      <c r="N310">
        <f ca="1"/>
        <v>0.58986812499020957</v>
      </c>
      <c r="O310">
        <f ca="1"/>
        <v>0</v>
      </c>
      <c r="P310">
        <f ca="1"/>
        <v>0</v>
      </c>
      <c r="Q310">
        <f ca="1"/>
        <v>0</v>
      </c>
      <c r="R310">
        <f ca="1"/>
        <v>0</v>
      </c>
      <c r="S310">
        <f ca="1"/>
        <v>0.41230979098689918</v>
      </c>
      <c r="T310">
        <f ca="1"/>
        <v>0</v>
      </c>
      <c r="U310">
        <f ca="1"/>
        <v>0</v>
      </c>
      <c r="V310">
        <f ca="1"/>
        <v>0</v>
      </c>
      <c r="X310" s="2">
        <f t="shared" ca="1" si="29"/>
        <v>45720</v>
      </c>
      <c r="Y310">
        <f t="shared" ca="1" si="30"/>
        <v>0</v>
      </c>
      <c r="AA310" s="63">
        <f t="shared" ca="1" si="32"/>
        <v>18.638379374383231</v>
      </c>
      <c r="AB310" s="63">
        <f t="shared" ca="1" si="33"/>
        <v>18.638379374383231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45721</v>
      </c>
      <c r="K311">
        <f ca="1"/>
        <v>15.112384467456495</v>
      </c>
      <c r="L311">
        <f ca="1"/>
        <v>0</v>
      </c>
      <c r="M311">
        <f ca="1"/>
        <v>-4.1567438409597575</v>
      </c>
      <c r="N311">
        <f ca="1"/>
        <v>0.63074893403302257</v>
      </c>
      <c r="O311">
        <f ca="1"/>
        <v>0</v>
      </c>
      <c r="P311">
        <f ca="1"/>
        <v>0</v>
      </c>
      <c r="Q311">
        <f ca="1"/>
        <v>0</v>
      </c>
      <c r="R311">
        <f ca="1"/>
        <v>0</v>
      </c>
      <c r="S311">
        <f ca="1"/>
        <v>0.44457012063690615</v>
      </c>
      <c r="T311">
        <f ca="1"/>
        <v>0</v>
      </c>
      <c r="U311">
        <f ca="1"/>
        <v>0</v>
      </c>
      <c r="V311">
        <f ca="1"/>
        <v>0</v>
      </c>
      <c r="X311" s="2">
        <f t="shared" ca="1" si="29"/>
        <v>45721</v>
      </c>
      <c r="Y311">
        <f t="shared" ca="1" si="30"/>
        <v>0</v>
      </c>
      <c r="AA311" s="63">
        <f t="shared" ca="1" si="32"/>
        <v>15.112384467456495</v>
      </c>
      <c r="AB311" s="63">
        <f t="shared" ca="1" si="33"/>
        <v>15.112384467456495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45722</v>
      </c>
      <c r="K312">
        <f ca="1"/>
        <v>11.81578662060091</v>
      </c>
      <c r="L312">
        <f ca="1"/>
        <v>0</v>
      </c>
      <c r="M312">
        <f ca="1"/>
        <v>-3.9131655432830392</v>
      </c>
      <c r="N312">
        <f ca="1"/>
        <v>0.61656769642745335</v>
      </c>
      <c r="O312">
        <f ca="1"/>
        <v>0</v>
      </c>
      <c r="P312">
        <f ca="1"/>
        <v>0</v>
      </c>
      <c r="Q312">
        <f ca="1"/>
        <v>0</v>
      </c>
      <c r="R312">
        <f ca="1"/>
        <v>0</v>
      </c>
      <c r="S312">
        <f ca="1"/>
        <v>0.4566107467882044</v>
      </c>
      <c r="T312">
        <f ca="1"/>
        <v>0</v>
      </c>
      <c r="U312">
        <f ca="1"/>
        <v>0</v>
      </c>
      <c r="V312">
        <f ca="1"/>
        <v>0</v>
      </c>
      <c r="X312" s="2">
        <f t="shared" ca="1" si="29"/>
        <v>45722</v>
      </c>
      <c r="Y312">
        <f t="shared" ca="1" si="30"/>
        <v>0</v>
      </c>
      <c r="AA312" s="63">
        <f t="shared" ca="1" si="32"/>
        <v>11.81578662060091</v>
      </c>
      <c r="AB312" s="63">
        <f t="shared" ca="1" si="33"/>
        <v>11.81578662060091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45723</v>
      </c>
      <c r="K313">
        <f ca="1"/>
        <v>8.4740428438327591</v>
      </c>
      <c r="L313">
        <f ca="1"/>
        <v>0</v>
      </c>
      <c r="M313">
        <f ca="1"/>
        <v>-3.9951488822963164</v>
      </c>
      <c r="N313">
        <f ca="1"/>
        <v>0.65340510552816433</v>
      </c>
      <c r="O313">
        <f ca="1"/>
        <v>0</v>
      </c>
      <c r="P313">
        <f ca="1"/>
        <v>0</v>
      </c>
      <c r="Q313">
        <f ca="1"/>
        <v>0</v>
      </c>
      <c r="R313">
        <f ca="1"/>
        <v>0</v>
      </c>
      <c r="S313">
        <f ca="1"/>
        <v>0.51362929030718796</v>
      </c>
      <c r="T313">
        <f ca="1"/>
        <v>0</v>
      </c>
      <c r="U313">
        <f ca="1"/>
        <v>0</v>
      </c>
      <c r="V313">
        <f ca="1"/>
        <v>0</v>
      </c>
      <c r="X313" s="2">
        <f t="shared" ca="1" si="29"/>
        <v>45723</v>
      </c>
      <c r="Y313">
        <f t="shared" ca="1" si="30"/>
        <v>0</v>
      </c>
      <c r="AA313" s="63">
        <f t="shared" ca="1" si="32"/>
        <v>8.4740428438327591</v>
      </c>
      <c r="AB313" s="63">
        <f t="shared" ca="1" si="33"/>
        <v>8.4740428438327591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45724</v>
      </c>
      <c r="K314">
        <f ca="1"/>
        <v>5.3484351128004537</v>
      </c>
      <c r="L314">
        <f ca="1"/>
        <v>0</v>
      </c>
      <c r="M314">
        <f ca="1"/>
        <v>-3.7822266818717996</v>
      </c>
      <c r="N314">
        <f ca="1"/>
        <v>0.65661895083949418</v>
      </c>
      <c r="O314">
        <f ca="1"/>
        <v>0</v>
      </c>
      <c r="P314">
        <f ca="1"/>
        <v>0</v>
      </c>
      <c r="Q314">
        <f ca="1"/>
        <v>0</v>
      </c>
      <c r="R314">
        <f ca="1"/>
        <v>0</v>
      </c>
      <c r="S314">
        <f ca="1"/>
        <v>0.51434438998067955</v>
      </c>
      <c r="T314">
        <f ca="1"/>
        <v>0</v>
      </c>
      <c r="U314">
        <f ca="1"/>
        <v>0</v>
      </c>
      <c r="V314">
        <f ca="1"/>
        <v>0</v>
      </c>
      <c r="X314" s="2">
        <f t="shared" ca="1" si="29"/>
        <v>45724</v>
      </c>
      <c r="Y314">
        <f t="shared" ca="1" si="30"/>
        <v>0</v>
      </c>
      <c r="AA314" s="63">
        <f t="shared" ca="1" si="32"/>
        <v>5.3484351128004537</v>
      </c>
      <c r="AB314" s="63">
        <f t="shared" ca="1" si="33"/>
        <v>5.3484351128004537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45725</v>
      </c>
      <c r="K315">
        <f ca="1"/>
        <v>2.486305232353228</v>
      </c>
      <c r="L315">
        <f ca="1"/>
        <v>0</v>
      </c>
      <c r="M315">
        <f ca="1"/>
        <v>-3.4925166107874013</v>
      </c>
      <c r="N315">
        <f ca="1"/>
        <v>0.630386730340176</v>
      </c>
      <c r="O315">
        <f ca="1"/>
        <v>0</v>
      </c>
      <c r="P315">
        <f ca="1"/>
        <v>0</v>
      </c>
      <c r="Q315">
        <f ca="1"/>
        <v>0</v>
      </c>
      <c r="R315">
        <f ca="1"/>
        <v>0</v>
      </c>
      <c r="S315">
        <f ca="1"/>
        <v>0.4972690689613305</v>
      </c>
      <c r="T315">
        <f ca="1"/>
        <v>0</v>
      </c>
      <c r="U315">
        <f ca="1"/>
        <v>0</v>
      </c>
      <c r="V315">
        <f ca="1"/>
        <v>0</v>
      </c>
      <c r="X315" s="2">
        <f t="shared" ca="1" si="29"/>
        <v>45725</v>
      </c>
      <c r="Y315">
        <f t="shared" ca="1" si="30"/>
        <v>0</v>
      </c>
      <c r="AA315" s="63">
        <f t="shared" ca="1" si="32"/>
        <v>2.4863052323532284</v>
      </c>
      <c r="AB315" s="63">
        <f t="shared" ca="1" si="33"/>
        <v>2.486305232353228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45726</v>
      </c>
      <c r="K316">
        <f ca="1"/>
        <v>-0.27117131652659898</v>
      </c>
      <c r="L316">
        <f ca="1"/>
        <v>0</v>
      </c>
      <c r="M316">
        <f ca="1"/>
        <v>-3.4166820912957885</v>
      </c>
      <c r="N316">
        <f ca="1"/>
        <v>0.65920554241596141</v>
      </c>
      <c r="O316">
        <f ca="1"/>
        <v>0</v>
      </c>
      <c r="P316">
        <f ca="1"/>
        <v>0</v>
      </c>
      <c r="Q316">
        <f ca="1"/>
        <v>0</v>
      </c>
      <c r="R316">
        <f ca="1"/>
        <v>0</v>
      </c>
      <c r="S316">
        <f ca="1"/>
        <v>0.50355870320940621</v>
      </c>
      <c r="T316">
        <f ca="1"/>
        <v>0</v>
      </c>
      <c r="U316">
        <f ca="1"/>
        <v>0</v>
      </c>
      <c r="V316">
        <f ca="1"/>
        <v>0</v>
      </c>
      <c r="X316" s="2">
        <f t="shared" ca="1" si="29"/>
        <v>45726</v>
      </c>
      <c r="Y316">
        <f t="shared" ca="1" si="30"/>
        <v>0</v>
      </c>
      <c r="AA316" s="63">
        <f t="shared" ca="1" si="32"/>
        <v>-0.27117131652659909</v>
      </c>
      <c r="AB316" s="63">
        <f t="shared" ca="1" si="33"/>
        <v>-0.27117131652659898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45727</v>
      </c>
      <c r="K317">
        <f ca="1"/>
        <v>-2.7408124846985134</v>
      </c>
      <c r="L317">
        <f ca="1"/>
        <v>0</v>
      </c>
      <c r="M317">
        <f ca="1"/>
        <v>-3.1374102540431075</v>
      </c>
      <c r="N317">
        <f ca="1"/>
        <v>0.66776908587119299</v>
      </c>
      <c r="O317">
        <f ca="1"/>
        <v>0</v>
      </c>
      <c r="P317">
        <f ca="1"/>
        <v>0</v>
      </c>
      <c r="Q317">
        <f ca="1"/>
        <v>0</v>
      </c>
      <c r="R317">
        <f ca="1"/>
        <v>0</v>
      </c>
      <c r="S317">
        <f ca="1"/>
        <v>0.53487594552511519</v>
      </c>
      <c r="T317">
        <f ca="1"/>
        <v>0</v>
      </c>
      <c r="U317">
        <f ca="1"/>
        <v>0</v>
      </c>
      <c r="V317">
        <f ca="1"/>
        <v>0</v>
      </c>
      <c r="X317" s="2">
        <f t="shared" ca="1" si="29"/>
        <v>45727</v>
      </c>
      <c r="Y317">
        <f t="shared" ca="1" si="30"/>
        <v>0</v>
      </c>
      <c r="AA317" s="63">
        <f t="shared" ca="1" si="32"/>
        <v>-2.7408124846985134</v>
      </c>
      <c r="AB317" s="63">
        <f t="shared" ca="1" si="33"/>
        <v>-2.7408124846985134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45728</v>
      </c>
      <c r="K318">
        <f ca="1"/>
        <v>-5.0453996207190199</v>
      </c>
      <c r="L318">
        <f ca="1"/>
        <v>0</v>
      </c>
      <c r="M318">
        <f ca="1"/>
        <v>-2.9800020195128774</v>
      </c>
      <c r="N318">
        <f ca="1"/>
        <v>0.67541488349237055</v>
      </c>
      <c r="O318">
        <f ca="1"/>
        <v>0</v>
      </c>
      <c r="P318">
        <f ca="1"/>
        <v>0</v>
      </c>
      <c r="Q318">
        <f ca="1"/>
        <v>0</v>
      </c>
      <c r="R318">
        <f ca="1"/>
        <v>0</v>
      </c>
      <c r="S318">
        <f ca="1"/>
        <v>0.53568179415197636</v>
      </c>
      <c r="T318">
        <f ca="1"/>
        <v>0</v>
      </c>
      <c r="U318">
        <f ca="1"/>
        <v>0</v>
      </c>
      <c r="V318">
        <f ca="1"/>
        <v>0</v>
      </c>
      <c r="X318" s="2">
        <f t="shared" ca="1" si="29"/>
        <v>45728</v>
      </c>
      <c r="Y318">
        <f t="shared" ca="1" si="30"/>
        <v>0</v>
      </c>
      <c r="AA318" s="63">
        <f t="shared" ca="1" si="32"/>
        <v>-5.0453996207190199</v>
      </c>
      <c r="AB318" s="63">
        <f t="shared" ca="1" si="33"/>
        <v>-5.0453996207190199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45729</v>
      </c>
      <c r="K319">
        <f ca="1"/>
        <v>-7.0346409967712411</v>
      </c>
      <c r="L319">
        <f ca="1"/>
        <v>0</v>
      </c>
      <c r="M319">
        <f ca="1"/>
        <v>-2.6077573895783459</v>
      </c>
      <c r="N319">
        <f ca="1"/>
        <v>0.61851601352612473</v>
      </c>
      <c r="O319">
        <f ca="1"/>
        <v>0</v>
      </c>
      <c r="P319">
        <f ca="1"/>
        <v>0</v>
      </c>
      <c r="Q319">
        <f ca="1"/>
        <v>0</v>
      </c>
      <c r="R319">
        <f ca="1"/>
        <v>0</v>
      </c>
      <c r="S319">
        <f ca="1"/>
        <v>0.53433215742852802</v>
      </c>
      <c r="T319">
        <f ca="1"/>
        <v>0</v>
      </c>
      <c r="U319">
        <f ca="1"/>
        <v>0</v>
      </c>
      <c r="V319">
        <f ca="1"/>
        <v>0</v>
      </c>
      <c r="X319" s="2">
        <f t="shared" ca="1" si="29"/>
        <v>45729</v>
      </c>
      <c r="Y319">
        <f t="shared" ca="1" si="30"/>
        <v>0</v>
      </c>
      <c r="AA319" s="63">
        <f t="shared" ca="1" si="32"/>
        <v>-7.0346409967712411</v>
      </c>
      <c r="AB319" s="63">
        <f t="shared" ca="1" si="33"/>
        <v>-7.0346409967712411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45730</v>
      </c>
      <c r="K320">
        <f ca="1"/>
        <v>-8.9498737889477802</v>
      </c>
      <c r="L320">
        <f ca="1"/>
        <v>0</v>
      </c>
      <c r="M320">
        <f ca="1"/>
        <v>-2.5457567640460788</v>
      </c>
      <c r="N320">
        <f ca="1"/>
        <v>0.63052397186953957</v>
      </c>
      <c r="O320">
        <f ca="1"/>
        <v>0</v>
      </c>
      <c r="P320">
        <f ca="1"/>
        <v>0</v>
      </c>
      <c r="Q320">
        <f ca="1"/>
        <v>0</v>
      </c>
      <c r="R320">
        <f ca="1"/>
        <v>0</v>
      </c>
      <c r="S320">
        <f ca="1"/>
        <v>0.51813428567908881</v>
      </c>
      <c r="T320">
        <f ca="1"/>
        <v>0</v>
      </c>
      <c r="U320">
        <f ca="1"/>
        <v>0</v>
      </c>
      <c r="V320">
        <f ca="1"/>
        <v>0</v>
      </c>
      <c r="X320" s="2">
        <f t="shared" ca="1" si="29"/>
        <v>45730</v>
      </c>
      <c r="Y320">
        <f t="shared" ca="1" si="30"/>
        <v>0</v>
      </c>
      <c r="AA320" s="63">
        <f t="shared" ca="1" si="32"/>
        <v>-8.9498737889477802</v>
      </c>
      <c r="AB320" s="63">
        <f t="shared" ca="1" si="33"/>
        <v>-8.9498737889477802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45731</v>
      </c>
      <c r="K321">
        <f ca="1"/>
        <v>-10.86225572413856</v>
      </c>
      <c r="L321">
        <f ca="1"/>
        <v>0</v>
      </c>
      <c r="M321">
        <f ca="1"/>
        <v>-2.5870007932383388</v>
      </c>
      <c r="N321">
        <f ca="1"/>
        <v>0.67461885804755939</v>
      </c>
      <c r="O321">
        <f ca="1"/>
        <v>0</v>
      </c>
      <c r="P321">
        <f ca="1"/>
        <v>0</v>
      </c>
      <c r="Q321">
        <f ca="1"/>
        <v>0</v>
      </c>
      <c r="R321">
        <f ca="1"/>
        <v>0</v>
      </c>
      <c r="S321">
        <f ca="1"/>
        <v>0.50092021652943453</v>
      </c>
      <c r="T321">
        <f ca="1"/>
        <v>0</v>
      </c>
      <c r="U321">
        <f ca="1"/>
        <v>0</v>
      </c>
      <c r="V321">
        <f ca="1"/>
        <v>0</v>
      </c>
      <c r="X321" s="2">
        <f t="shared" ca="1" si="29"/>
        <v>45731</v>
      </c>
      <c r="Y321">
        <f t="shared" ca="1" si="30"/>
        <v>0</v>
      </c>
      <c r="AA321" s="63">
        <f t="shared" ca="1" si="32"/>
        <v>-10.86225572413856</v>
      </c>
      <c r="AB321" s="63">
        <f t="shared" ca="1" si="33"/>
        <v>-10.86225572413856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45732</v>
      </c>
      <c r="K322">
        <f ca="1"/>
        <v>-12.68447615001128</v>
      </c>
      <c r="L322">
        <f ca="1"/>
        <v>0</v>
      </c>
      <c r="M322">
        <f ca="1"/>
        <v>-2.5541457990345151</v>
      </c>
      <c r="N322">
        <f ca="1"/>
        <v>0.73192537316179485</v>
      </c>
      <c r="O322">
        <f ca="1"/>
        <v>0</v>
      </c>
      <c r="P322">
        <f ca="1"/>
        <v>3.0416038153700913</v>
      </c>
      <c r="Q322">
        <f ca="1"/>
        <v>2.5961806624916259</v>
      </c>
      <c r="R322">
        <f ca="1"/>
        <v>0</v>
      </c>
      <c r="S322">
        <f ca="1"/>
        <v>0.5161694159855198</v>
      </c>
      <c r="T322">
        <f ca="1"/>
        <v>0</v>
      </c>
      <c r="U322">
        <f ca="1"/>
        <v>0</v>
      </c>
      <c r="V322">
        <f ca="1"/>
        <v>8.98220570981011E-3</v>
      </c>
      <c r="X322" s="2">
        <f t="shared" ca="1" si="29"/>
        <v>45732</v>
      </c>
      <c r="Y322">
        <f t="shared" ca="1" si="30"/>
        <v>0</v>
      </c>
      <c r="AA322" s="63">
        <f t="shared" ca="1" si="32"/>
        <v>-12.68447615001128</v>
      </c>
      <c r="AB322" s="63">
        <f t="shared" ca="1" si="33"/>
        <v>-12.68447615001128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45733</v>
      </c>
      <c r="K323">
        <f ca="1"/>
        <v>-14.439928702718223</v>
      </c>
      <c r="L323">
        <f ca="1"/>
        <v>0.27067022030394039</v>
      </c>
      <c r="M323">
        <f ca="1"/>
        <v>-2.1268366933286771</v>
      </c>
      <c r="N323">
        <f ca="1"/>
        <v>0.64205436092567547</v>
      </c>
      <c r="O323">
        <f ca="1"/>
        <v>0</v>
      </c>
      <c r="P323">
        <f ca="1"/>
        <v>3.3122740356740317</v>
      </c>
      <c r="Q323">
        <f ca="1"/>
        <v>2.8272129844246963</v>
      </c>
      <c r="R323">
        <f ca="1"/>
        <v>0</v>
      </c>
      <c r="S323">
        <f ca="1"/>
        <v>0.51543690520877272</v>
      </c>
      <c r="T323">
        <f ca="1"/>
        <v>0</v>
      </c>
      <c r="U323">
        <f ca="1"/>
        <v>0</v>
      </c>
      <c r="V323">
        <f ca="1"/>
        <v>1.1592341158338007E-2</v>
      </c>
      <c r="X323" s="2">
        <f t="shared" ca="1" si="29"/>
        <v>45733</v>
      </c>
      <c r="Y323">
        <f t="shared" ca="1" si="30"/>
        <v>0</v>
      </c>
      <c r="AA323" s="63">
        <f t="shared" ca="1" si="32"/>
        <v>-14.169258482414282</v>
      </c>
      <c r="AB323" s="63">
        <f t="shared" ca="1" si="33"/>
        <v>-14.169258482414282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45734</v>
      </c>
      <c r="K324">
        <f ca="1"/>
        <v>-15.982208980511265</v>
      </c>
      <c r="L324">
        <f ca="1"/>
        <v>0.27467530109684235</v>
      </c>
      <c r="M324">
        <f ca="1"/>
        <v>-1.9001663118451404</v>
      </c>
      <c r="N324">
        <f ca="1"/>
        <v>0.63256133514894097</v>
      </c>
      <c r="O324">
        <f ca="1"/>
        <v>0</v>
      </c>
      <c r="P324">
        <f ca="1"/>
        <v>3.586949336770874</v>
      </c>
      <c r="Q324">
        <f ca="1"/>
        <v>3.0616638690429223</v>
      </c>
      <c r="R324">
        <f ca="1"/>
        <v>0</v>
      </c>
      <c r="S324">
        <f ca="1"/>
        <v>0.54817067114976781</v>
      </c>
      <c r="T324">
        <f ca="1"/>
        <v>0</v>
      </c>
      <c r="U324">
        <f ca="1"/>
        <v>0</v>
      </c>
      <c r="V324">
        <f ca="1"/>
        <v>1.4705308846486324E-2</v>
      </c>
      <c r="X324" s="2">
        <f t="shared" ca="1" si="29"/>
        <v>45734</v>
      </c>
      <c r="Y324">
        <f t="shared" ca="1" si="30"/>
        <v>0</v>
      </c>
      <c r="AA324" s="63">
        <f t="shared" ca="1" si="32"/>
        <v>-15.707533679414423</v>
      </c>
      <c r="AB324" s="63">
        <f t="shared" ca="1" si="33"/>
        <v>-15.707533679414423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45735</v>
      </c>
      <c r="K325">
        <f ca="1"/>
        <v>-17.489309820752297</v>
      </c>
      <c r="L325">
        <f ca="1"/>
        <v>0.31155691364259264</v>
      </c>
      <c r="M325">
        <f ca="1"/>
        <v>-1.8442080709040596</v>
      </c>
      <c r="N325">
        <f ca="1"/>
        <v>0.64866414430562136</v>
      </c>
      <c r="O325">
        <f ca="1"/>
        <v>0</v>
      </c>
      <c r="P325">
        <f ca="1"/>
        <v>3.8985062504134667</v>
      </c>
      <c r="Q325">
        <f ca="1"/>
        <v>3.3275952932399466</v>
      </c>
      <c r="R325">
        <f ca="1"/>
        <v>0</v>
      </c>
      <c r="S325">
        <f ca="1"/>
        <v>0.53773805091565752</v>
      </c>
      <c r="T325">
        <f ca="1"/>
        <v>0</v>
      </c>
      <c r="U325">
        <f ca="1"/>
        <v>0</v>
      </c>
      <c r="V325">
        <f ca="1"/>
        <v>1.8843416736564669E-2</v>
      </c>
      <c r="X325" s="2">
        <f t="shared" ca="1" si="29"/>
        <v>45735</v>
      </c>
      <c r="Y325">
        <f t="shared" ca="1" si="30"/>
        <v>0</v>
      </c>
      <c r="AA325" s="63">
        <f t="shared" ca="1" si="32"/>
        <v>-17.177752907109706</v>
      </c>
      <c r="AB325" s="63">
        <f t="shared" ca="1" si="33"/>
        <v>-17.177752907109703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45736</v>
      </c>
      <c r="K326">
        <f ca="1"/>
        <v>-18.959700091258902</v>
      </c>
      <c r="L326">
        <f ca="1"/>
        <v>0.35003735238489453</v>
      </c>
      <c r="M326">
        <f ca="1"/>
        <v>-1.7699401925406164</v>
      </c>
      <c r="N326">
        <f ca="1"/>
        <v>0.64958727441890562</v>
      </c>
      <c r="O326">
        <f ca="1"/>
        <v>0</v>
      </c>
      <c r="P326">
        <f ca="1"/>
        <v>4.2485436027983612</v>
      </c>
      <c r="Q326">
        <f ca="1"/>
        <v>3.6263719454847938</v>
      </c>
      <c r="R326">
        <f ca="1"/>
        <v>0</v>
      </c>
      <c r="S326">
        <f ca="1"/>
        <v>0.51701791493263438</v>
      </c>
      <c r="T326">
        <f ca="1"/>
        <v>0</v>
      </c>
      <c r="U326">
        <f ca="1"/>
        <v>0</v>
      </c>
      <c r="V326">
        <f ca="1"/>
        <v>2.4315015542213912E-2</v>
      </c>
      <c r="X326" s="2">
        <f t="shared" ca="1" si="29"/>
        <v>45736</v>
      </c>
      <c r="Y326">
        <f t="shared" ca="1" si="30"/>
        <v>0</v>
      </c>
      <c r="AA326" s="63">
        <f t="shared" ca="1" si="32"/>
        <v>-18.609662738874007</v>
      </c>
      <c r="AB326" s="63">
        <f t="shared" ca="1" si="33"/>
        <v>-18.609662738874007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ca="1" si="28"/>
        <v>0</v>
      </c>
      <c r="J327" s="2">
        <f ca="1"/>
        <v>45737</v>
      </c>
      <c r="K327">
        <f ca="1"/>
        <v>-20.373006890351625</v>
      </c>
      <c r="L327">
        <f ca="1"/>
        <v>0.39033066782869064</v>
      </c>
      <c r="M327">
        <f ca="1"/>
        <v>-1.6825596673424954</v>
      </c>
      <c r="N327">
        <f ca="1"/>
        <v>0.65958353607846143</v>
      </c>
      <c r="O327">
        <f ca="1"/>
        <v>0</v>
      </c>
      <c r="P327">
        <f ca="1"/>
        <v>4.6388742706270518</v>
      </c>
      <c r="Q327">
        <f ca="1"/>
        <v>3.9595412184431744</v>
      </c>
      <c r="R327">
        <f ca="1"/>
        <v>0</v>
      </c>
      <c r="S327">
        <f ca="1"/>
        <v>0.5129631261132136</v>
      </c>
      <c r="T327">
        <f ca="1"/>
        <v>0</v>
      </c>
      <c r="U327">
        <f ca="1"/>
        <v>0</v>
      </c>
      <c r="V327">
        <f ca="1"/>
        <v>3.1508393221435546E-2</v>
      </c>
      <c r="X327" s="2">
        <f t="shared" ca="1" si="29"/>
        <v>45737</v>
      </c>
      <c r="Y327">
        <f t="shared" ca="1" si="30"/>
        <v>0</v>
      </c>
      <c r="AA327" s="63">
        <f t="shared" ca="1" si="32"/>
        <v>-19.982676222522937</v>
      </c>
      <c r="AB327" s="63">
        <f t="shared" ca="1" si="33"/>
        <v>-19.982676222522933</v>
      </c>
      <c r="AC327" s="3">
        <f t="shared" ca="1" si="34"/>
        <v>0</v>
      </c>
    </row>
    <row r="328" spans="8:29">
      <c r="H328" t="b">
        <f t="shared" ca="1" si="31"/>
        <v>0</v>
      </c>
      <c r="I328" t="b">
        <f t="shared" ca="1" si="28"/>
        <v>0</v>
      </c>
      <c r="J328" s="2">
        <f ca="1"/>
        <v>45738</v>
      </c>
      <c r="K328">
        <f ca="1"/>
        <v>-21.720562581308993</v>
      </c>
      <c r="L328">
        <f ca="1"/>
        <v>0.43349578060808369</v>
      </c>
      <c r="M328">
        <f ca="1"/>
        <v>-1.5890411810762899</v>
      </c>
      <c r="N328">
        <f ca="1"/>
        <v>0.67498127072700598</v>
      </c>
      <c r="O328">
        <f ca="1"/>
        <v>0</v>
      </c>
      <c r="P328">
        <f ca="1"/>
        <v>5.0723700512351355</v>
      </c>
      <c r="Q328">
        <f ca="1"/>
        <v>4.3295543533555128</v>
      </c>
      <c r="R328">
        <f ca="1"/>
        <v>0</v>
      </c>
      <c r="S328">
        <f ca="1"/>
        <v>0.51851425446273192</v>
      </c>
      <c r="T328">
        <f ca="1"/>
        <v>0</v>
      </c>
      <c r="U328">
        <f ca="1"/>
        <v>0</v>
      </c>
      <c r="V328">
        <f ca="1"/>
        <v>4.0922881896616012E-2</v>
      </c>
      <c r="X328" s="2">
        <f t="shared" ca="1" si="29"/>
        <v>45738</v>
      </c>
      <c r="Y328">
        <f t="shared" ca="1" si="30"/>
        <v>0</v>
      </c>
      <c r="AA328" s="63">
        <f t="shared" ca="1" si="32"/>
        <v>-21.287066800700909</v>
      </c>
      <c r="AB328" s="63">
        <f t="shared" ca="1" si="33"/>
        <v>-21.287066800700909</v>
      </c>
      <c r="AC328" s="3">
        <f t="shared" ca="1" si="34"/>
        <v>0</v>
      </c>
    </row>
    <row r="329" spans="8:29">
      <c r="H329" t="b">
        <f t="shared" ca="1" si="31"/>
        <v>0</v>
      </c>
      <c r="I329" t="b">
        <f t="shared" ca="1" si="28"/>
        <v>0</v>
      </c>
      <c r="J329" s="2">
        <f ca="1"/>
        <v>45739</v>
      </c>
      <c r="K329">
        <f ca="1"/>
        <v>-22.996171438029286</v>
      </c>
      <c r="L329">
        <f ca="1"/>
        <v>0.47853757897919813</v>
      </c>
      <c r="M329">
        <f ca="1"/>
        <v>-1.489101425610464</v>
      </c>
      <c r="N329">
        <f ca="1"/>
        <v>0.69203014786937034</v>
      </c>
      <c r="O329">
        <f ca="1"/>
        <v>0</v>
      </c>
      <c r="P329">
        <f ca="1"/>
        <v>5.5509076302143336</v>
      </c>
      <c r="Q329">
        <f ca="1"/>
        <v>4.7380132073795984</v>
      </c>
      <c r="R329">
        <f ca="1"/>
        <v>0</v>
      </c>
      <c r="S329">
        <f ca="1"/>
        <v>0.53026691429200634</v>
      </c>
      <c r="T329">
        <f ca="1"/>
        <v>0</v>
      </c>
      <c r="U329">
        <f ca="1"/>
        <v>0</v>
      </c>
      <c r="V329">
        <f ca="1"/>
        <v>5.3136440748823607E-2</v>
      </c>
      <c r="X329" s="2">
        <f t="shared" ca="1" si="29"/>
        <v>45739</v>
      </c>
      <c r="Y329">
        <f t="shared" ca="1" si="30"/>
        <v>0</v>
      </c>
      <c r="AA329" s="63">
        <f t="shared" ca="1" si="32"/>
        <v>-22.517633859050086</v>
      </c>
      <c r="AB329" s="63">
        <f t="shared" ca="1" si="33"/>
        <v>-22.517633859050086</v>
      </c>
      <c r="AC329" s="3">
        <f t="shared" ca="1" si="34"/>
        <v>0</v>
      </c>
    </row>
    <row r="330" spans="8:29">
      <c r="H330" t="b">
        <f t="shared" ca="1" si="31"/>
        <v>0</v>
      </c>
      <c r="I330" t="b">
        <f t="shared" ca="1" si="28"/>
        <v>0</v>
      </c>
      <c r="J330" s="2">
        <f ca="1"/>
        <v>45740</v>
      </c>
      <c r="K330">
        <f ca="1"/>
        <v>-24.128109997809055</v>
      </c>
      <c r="L330">
        <f ca="1"/>
        <v>0.49712626746689814</v>
      </c>
      <c r="M330">
        <f ca="1"/>
        <v>-1.3306018668443116</v>
      </c>
      <c r="N330">
        <f ca="1"/>
        <v>0.69578957453144297</v>
      </c>
      <c r="O330">
        <f ca="1"/>
        <v>0</v>
      </c>
      <c r="P330">
        <f ca="1"/>
        <v>6.0480338976812318</v>
      </c>
      <c r="Q330">
        <f ca="1"/>
        <v>5.162338557016616</v>
      </c>
      <c r="R330">
        <f ca="1"/>
        <v>0</v>
      </c>
      <c r="S330">
        <f ca="1"/>
        <v>0.56761426874957377</v>
      </c>
      <c r="T330">
        <f ca="1"/>
        <v>0</v>
      </c>
      <c r="U330">
        <f ca="1"/>
        <v>0</v>
      </c>
      <c r="V330">
        <f ca="1"/>
        <v>6.7906277268465251E-2</v>
      </c>
      <c r="X330" s="2">
        <f t="shared" ca="1" si="29"/>
        <v>45740</v>
      </c>
      <c r="Y330">
        <f t="shared" ca="1" si="30"/>
        <v>0</v>
      </c>
      <c r="AA330" s="63">
        <f t="shared" ca="1" si="32"/>
        <v>-23.630983730342155</v>
      </c>
      <c r="AB330" s="63">
        <f t="shared" ca="1" si="33"/>
        <v>-23.630983730342159</v>
      </c>
      <c r="AC330" s="3">
        <f t="shared" ca="1" si="34"/>
        <v>0</v>
      </c>
    </row>
    <row r="331" spans="8:29">
      <c r="H331" t="b">
        <f t="shared" ca="1" si="31"/>
        <v>0</v>
      </c>
      <c r="I331" t="b">
        <f t="shared" ref="I331:I394" ca="1" si="35">AND(IF(J331&gt;($J$7-1),TRUE,FALSE),IF(J331&lt;($J$8+1),TRUE,FALSE))</f>
        <v>0</v>
      </c>
      <c r="J331" s="2">
        <f ca="1"/>
        <v>45741</v>
      </c>
      <c r="K331">
        <f ca="1"/>
        <v>-25.23870672153317</v>
      </c>
      <c r="L331">
        <f ca="1"/>
        <v>0.57311941999170735</v>
      </c>
      <c r="M331">
        <f ca="1"/>
        <v>-1.2897207716260013</v>
      </c>
      <c r="N331">
        <f ca="1"/>
        <v>0.75224346789359475</v>
      </c>
      <c r="O331">
        <f ca="1"/>
        <v>0</v>
      </c>
      <c r="P331">
        <f ca="1"/>
        <v>6.6211533176729391</v>
      </c>
      <c r="Q331">
        <f ca="1"/>
        <v>5.6515283548338067</v>
      </c>
      <c r="R331">
        <f ca="1"/>
        <v>0</v>
      </c>
      <c r="S331">
        <f ca="1"/>
        <v>0.58831962609779664</v>
      </c>
      <c r="T331">
        <f ca="1"/>
        <v>0</v>
      </c>
      <c r="U331">
        <f ca="1"/>
        <v>0</v>
      </c>
      <c r="V331">
        <f ca="1"/>
        <v>8.7587231404979496E-2</v>
      </c>
      <c r="X331" s="2">
        <f t="shared" ref="X331:X394" ca="1" si="36">IFERROR(J331,$X$9)</f>
        <v>45741</v>
      </c>
      <c r="Y331">
        <f t="shared" ref="Y331:Y394" ca="1" si="37">IFERROR(O331,0)</f>
        <v>0</v>
      </c>
      <c r="AA331" s="63">
        <f t="shared" ca="1" si="32"/>
        <v>-24.665587301541461</v>
      </c>
      <c r="AB331" s="63">
        <f t="shared" ca="1" si="33"/>
        <v>-24.665587301541464</v>
      </c>
      <c r="AC331" s="3">
        <f t="shared" ca="1" si="34"/>
        <v>0</v>
      </c>
    </row>
    <row r="332" spans="8:29">
      <c r="H332" t="b">
        <f t="shared" ref="H332:H395" ca="1" si="38">IF(J332&lt;$J$8,TRUE,FALSE)</f>
        <v>0</v>
      </c>
      <c r="I332" t="b">
        <f t="shared" ca="1" si="35"/>
        <v>0</v>
      </c>
      <c r="J332" s="2">
        <f ca="1"/>
        <v>45742</v>
      </c>
      <c r="K332">
        <f ca="1"/>
        <v>-26.282638923388923</v>
      </c>
      <c r="L332">
        <f ca="1"/>
        <v>0.63473017501122353</v>
      </c>
      <c r="M332">
        <f ca="1"/>
        <v>-1.2035473210179504</v>
      </c>
      <c r="N332">
        <f ca="1"/>
        <v>0.79434529417342226</v>
      </c>
      <c r="O332">
        <f ca="1"/>
        <v>0</v>
      </c>
      <c r="P332">
        <f ca="1"/>
        <v>7.2558834926841627</v>
      </c>
      <c r="Q332">
        <f ca="1"/>
        <v>6.1933064121655619</v>
      </c>
      <c r="R332">
        <f ca="1"/>
        <v>0</v>
      </c>
      <c r="S332">
        <f ca="1"/>
        <v>0.62039346590946776</v>
      </c>
      <c r="T332">
        <f ca="1"/>
        <v>0</v>
      </c>
      <c r="U332">
        <f ca="1"/>
        <v>0</v>
      </c>
      <c r="V332">
        <f ca="1"/>
        <v>0.11263272075622582</v>
      </c>
      <c r="X332" s="2">
        <f t="shared" ca="1" si="36"/>
        <v>45742</v>
      </c>
      <c r="Y332">
        <f t="shared" ca="1" si="37"/>
        <v>0</v>
      </c>
      <c r="AA332" s="63">
        <f t="shared" ca="1" si="32"/>
        <v>-25.647908748377699</v>
      </c>
      <c r="AB332" s="63">
        <f t="shared" ca="1" si="33"/>
        <v>-25.647908748377699</v>
      </c>
      <c r="AC332" s="3">
        <f t="shared" ca="1" si="34"/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45743</v>
      </c>
      <c r="K333">
        <f ca="1"/>
        <v>-27.30879013722901</v>
      </c>
      <c r="L333">
        <f ca="1"/>
        <v>0.71069438857580014</v>
      </c>
      <c r="M333">
        <f ca="1"/>
        <v>-1.1287610761906564</v>
      </c>
      <c r="N333">
        <f ca="1"/>
        <v>0.81330425092636982</v>
      </c>
      <c r="O333">
        <f ca="1"/>
        <v>0</v>
      </c>
      <c r="P333">
        <f ca="1"/>
        <v>7.9665778812599628</v>
      </c>
      <c r="Q333">
        <f ca="1"/>
        <v>6.799924216640302</v>
      </c>
      <c r="R333">
        <f ca="1"/>
        <v>0</v>
      </c>
      <c r="S333">
        <f ca="1"/>
        <v>0.62243131288810072</v>
      </c>
      <c r="T333">
        <f ca="1"/>
        <v>0</v>
      </c>
      <c r="U333">
        <f ca="1"/>
        <v>0</v>
      </c>
      <c r="V333">
        <f ca="1"/>
        <v>0.14448513033092417</v>
      </c>
      <c r="X333" s="2">
        <f t="shared" ca="1" si="36"/>
        <v>45743</v>
      </c>
      <c r="Y333">
        <f t="shared" ca="1" si="37"/>
        <v>0</v>
      </c>
      <c r="AA333" s="63">
        <f t="shared" ca="1" si="32"/>
        <v>-26.598095748653211</v>
      </c>
      <c r="AB333" s="63">
        <f t="shared" ca="1" si="33"/>
        <v>-26.598095748653211</v>
      </c>
      <c r="AC333" s="3">
        <f t="shared" ca="1" si="34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45744</v>
      </c>
      <c r="K334">
        <f ca="1"/>
        <v>-28.220705332650191</v>
      </c>
      <c r="L334">
        <f ca="1"/>
        <v>0.69177607232700655</v>
      </c>
      <c r="M334">
        <f ca="1"/>
        <v>-0.94869238936587408</v>
      </c>
      <c r="N334">
        <f ca="1"/>
        <v>0.72855326627170092</v>
      </c>
      <c r="O334">
        <f ca="1"/>
        <v>0</v>
      </c>
      <c r="P334">
        <f ca="1"/>
        <v>8.6583539535869694</v>
      </c>
      <c r="Q334">
        <f ca="1"/>
        <v>7.3903941695888768</v>
      </c>
      <c r="R334">
        <f ca="1"/>
        <v>0</v>
      </c>
      <c r="S334">
        <f ca="1"/>
        <v>0.61771274093150774</v>
      </c>
      <c r="T334">
        <f ca="1"/>
        <v>0</v>
      </c>
      <c r="U334">
        <f ca="1"/>
        <v>0</v>
      </c>
      <c r="V334">
        <f ca="1"/>
        <v>0.17893542252485461</v>
      </c>
      <c r="X334" s="2">
        <f t="shared" ca="1" si="36"/>
        <v>45744</v>
      </c>
      <c r="Y334">
        <f t="shared" ca="1" si="37"/>
        <v>0</v>
      </c>
      <c r="AA334" s="63">
        <f t="shared" ca="1" si="32"/>
        <v>-27.528929260323185</v>
      </c>
      <c r="AB334" s="63">
        <f t="shared" ca="1" si="33"/>
        <v>-27.528929260323185</v>
      </c>
      <c r="AC334" s="3">
        <f t="shared" ca="1" si="34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45745</v>
      </c>
      <c r="K335">
        <f ca="1"/>
        <v>-29.137577283936473</v>
      </c>
      <c r="L335">
        <f ca="1"/>
        <v>0.78038068883508593</v>
      </c>
      <c r="M335">
        <f ca="1"/>
        <v>-0.89982189147327318</v>
      </c>
      <c r="N335">
        <f ca="1"/>
        <v>0.76333062902207616</v>
      </c>
      <c r="O335">
        <f ca="1"/>
        <v>0</v>
      </c>
      <c r="P335">
        <f ca="1"/>
        <v>9.4387346424220553</v>
      </c>
      <c r="Q335">
        <f ca="1"/>
        <v>8.0564931675903733</v>
      </c>
      <c r="R335">
        <f ca="1"/>
        <v>0</v>
      </c>
      <c r="S335">
        <f ca="1"/>
        <v>0.62756322664630249</v>
      </c>
      <c r="T335">
        <f ca="1"/>
        <v>0</v>
      </c>
      <c r="U335">
        <f ca="1"/>
        <v>0</v>
      </c>
      <c r="V335">
        <f ca="1"/>
        <v>0.22116769888190368</v>
      </c>
      <c r="X335" s="2">
        <f t="shared" ca="1" si="36"/>
        <v>45745</v>
      </c>
      <c r="Y335">
        <f t="shared" ca="1" si="37"/>
        <v>0</v>
      </c>
      <c r="AA335" s="63">
        <f t="shared" ca="1" si="32"/>
        <v>-28.357196595101389</v>
      </c>
      <c r="AB335" s="63">
        <f t="shared" ca="1" si="33"/>
        <v>-28.357196595101385</v>
      </c>
      <c r="AC335" s="3">
        <f t="shared" ca="1" si="34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45746</v>
      </c>
      <c r="K336">
        <f ca="1"/>
        <v>-30.059731096936709</v>
      </c>
      <c r="L336">
        <f ca="1"/>
        <v>0.86679405364125905</v>
      </c>
      <c r="M336">
        <f ca="1"/>
        <v>-0.83850460410157268</v>
      </c>
      <c r="N336">
        <f ca="1"/>
        <v>0.78314484474259916</v>
      </c>
      <c r="O336">
        <f ca="1"/>
        <v>0</v>
      </c>
      <c r="P336">
        <f ca="1"/>
        <v>10.305528696063314</v>
      </c>
      <c r="Q336">
        <f ca="1"/>
        <v>8.7963508535435828</v>
      </c>
      <c r="R336">
        <f ca="1"/>
        <v>0</v>
      </c>
      <c r="S336">
        <f ca="1"/>
        <v>0.63316868421207495</v>
      </c>
      <c r="T336">
        <f ca="1"/>
        <v>0</v>
      </c>
      <c r="U336">
        <f ca="1"/>
        <v>0</v>
      </c>
      <c r="V336">
        <f ca="1"/>
        <v>0.27114288934304298</v>
      </c>
      <c r="X336" s="2">
        <f t="shared" ca="1" si="36"/>
        <v>45746</v>
      </c>
      <c r="Y336">
        <f t="shared" ca="1" si="37"/>
        <v>0</v>
      </c>
      <c r="AA336" s="63">
        <f t="shared" ref="AA336:AA399" ca="1" si="39">K335+M336+N336+O336</f>
        <v>-29.192937043295448</v>
      </c>
      <c r="AB336" s="63">
        <f t="shared" ref="AB336:AB399" ca="1" si="40">K336+L336+R336</f>
        <v>-29.192937043295451</v>
      </c>
      <c r="AC336" s="3">
        <f t="shared" ref="AC336:AC399" ca="1" si="41">AB336-AA336</f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45747</v>
      </c>
      <c r="K337">
        <f ca="1"/>
        <v>-30.94541625479885</v>
      </c>
      <c r="L337">
        <f ca="1"/>
        <v>0.90021359312858884</v>
      </c>
      <c r="M337">
        <f ca="1"/>
        <v>-0.74021715304218816</v>
      </c>
      <c r="N337">
        <f ca="1"/>
        <v>0.75474558830863869</v>
      </c>
      <c r="O337">
        <f ca="1"/>
        <v>0</v>
      </c>
      <c r="P337">
        <f ca="1"/>
        <v>11.205742289191903</v>
      </c>
      <c r="Q337">
        <f ca="1"/>
        <v>9.5647340041637996</v>
      </c>
      <c r="R337">
        <f ca="1"/>
        <v>0</v>
      </c>
      <c r="S337">
        <f ca="1"/>
        <v>0.63638020112116955</v>
      </c>
      <c r="T337">
        <f ca="1"/>
        <v>0</v>
      </c>
      <c r="U337">
        <f ca="1"/>
        <v>0</v>
      </c>
      <c r="V337">
        <f ca="1"/>
        <v>0.32500534671932252</v>
      </c>
      <c r="X337" s="2">
        <f t="shared" ca="1" si="36"/>
        <v>45747</v>
      </c>
      <c r="Y337">
        <f t="shared" ca="1" si="37"/>
        <v>0</v>
      </c>
      <c r="AA337" s="63">
        <f t="shared" ca="1" si="39"/>
        <v>-30.04520266167026</v>
      </c>
      <c r="AB337" s="63">
        <f t="shared" ca="1" si="40"/>
        <v>-30.04520266167026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45748</v>
      </c>
      <c r="K338">
        <f ca="1"/>
        <v>-31.831211834020369</v>
      </c>
      <c r="L338">
        <f ca="1"/>
        <v>0.95361032237083521</v>
      </c>
      <c r="M338">
        <f ca="1"/>
        <v>-0.66525864602532891</v>
      </c>
      <c r="N338">
        <f ca="1"/>
        <v>0.73307338917464659</v>
      </c>
      <c r="O338">
        <f ca="1"/>
        <v>0</v>
      </c>
      <c r="P338">
        <f ca="1"/>
        <v>12.159352611562738</v>
      </c>
      <c r="Q338">
        <f ca="1"/>
        <v>10.378694279325517</v>
      </c>
      <c r="R338">
        <f ca="1"/>
        <v>0</v>
      </c>
      <c r="S338">
        <f ca="1"/>
        <v>0.629581240324115</v>
      </c>
      <c r="T338">
        <f ca="1"/>
        <v>0</v>
      </c>
      <c r="U338">
        <f ca="1"/>
        <v>0</v>
      </c>
      <c r="V338">
        <f ca="1"/>
        <v>0.38255929231046715</v>
      </c>
      <c r="X338" s="2">
        <f t="shared" ca="1" si="36"/>
        <v>45748</v>
      </c>
      <c r="Y338">
        <f t="shared" ca="1" si="37"/>
        <v>0</v>
      </c>
      <c r="AA338" s="63">
        <f t="shared" ca="1" si="39"/>
        <v>-30.877601511649534</v>
      </c>
      <c r="AB338" s="63">
        <f t="shared" ca="1" si="40"/>
        <v>-30.877601511649534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45749</v>
      </c>
      <c r="K339">
        <f ca="1"/>
        <v>-32.709913957156445</v>
      </c>
      <c r="L339">
        <f ca="1"/>
        <v>0.976858669916016</v>
      </c>
      <c r="M339">
        <f ca="1"/>
        <v>-0.58464958808799139</v>
      </c>
      <c r="N339">
        <f ca="1"/>
        <v>0.68280613486793185</v>
      </c>
      <c r="O339">
        <f ca="1"/>
        <v>0</v>
      </c>
      <c r="P339">
        <f ca="1"/>
        <v>13.136211281478754</v>
      </c>
      <c r="Q339">
        <f ca="1"/>
        <v>11.212498332308227</v>
      </c>
      <c r="R339">
        <f ca="1"/>
        <v>0</v>
      </c>
      <c r="S339">
        <f ca="1"/>
        <v>0.610472832299088</v>
      </c>
      <c r="T339">
        <f ca="1"/>
        <v>0</v>
      </c>
      <c r="U339">
        <f ca="1"/>
        <v>0</v>
      </c>
      <c r="V339">
        <f ca="1"/>
        <v>0.4404000677890455</v>
      </c>
      <c r="X339" s="2">
        <f t="shared" ca="1" si="36"/>
        <v>45749</v>
      </c>
      <c r="Y339">
        <f t="shared" ca="1" si="37"/>
        <v>0</v>
      </c>
      <c r="AA339" s="63">
        <f t="shared" ca="1" si="39"/>
        <v>-31.733055287240433</v>
      </c>
      <c r="AB339" s="63">
        <f t="shared" ca="1" si="40"/>
        <v>-31.733055287240429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45750</v>
      </c>
      <c r="K340">
        <f ca="1"/>
        <v>-33.657497930035746</v>
      </c>
      <c r="L340">
        <f ca="1"/>
        <v>1.1557680735738778</v>
      </c>
      <c r="M340">
        <f ca="1"/>
        <v>-0.56837651086759422</v>
      </c>
      <c r="N340">
        <f ca="1"/>
        <v>0.77656061156216794</v>
      </c>
      <c r="O340">
        <f ca="1"/>
        <v>0</v>
      </c>
      <c r="P340">
        <f ca="1"/>
        <v>14.291979355052632</v>
      </c>
      <c r="Q340">
        <f ca="1"/>
        <v>12.199011667074213</v>
      </c>
      <c r="R340">
        <f ca="1"/>
        <v>0</v>
      </c>
      <c r="S340">
        <f ca="1"/>
        <v>0.64818021817608518</v>
      </c>
      <c r="T340">
        <f ca="1"/>
        <v>0</v>
      </c>
      <c r="U340">
        <f ca="1"/>
        <v>0</v>
      </c>
      <c r="V340">
        <f ca="1"/>
        <v>0.50553606806381557</v>
      </c>
      <c r="X340" s="2">
        <f t="shared" ca="1" si="36"/>
        <v>45750</v>
      </c>
      <c r="Y340">
        <f t="shared" ca="1" si="37"/>
        <v>0</v>
      </c>
      <c r="AA340" s="63">
        <f t="shared" ca="1" si="39"/>
        <v>-32.501729856461871</v>
      </c>
      <c r="AB340" s="63">
        <f t="shared" ca="1" si="40"/>
        <v>-32.501729856461864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45751</v>
      </c>
      <c r="K341">
        <f ca="1"/>
        <v>-34.56761141588597</v>
      </c>
      <c r="L341">
        <f ca="1"/>
        <v>1.2234183227978122</v>
      </c>
      <c r="M341">
        <f ca="1"/>
        <v>-0.50389520276974764</v>
      </c>
      <c r="N341">
        <f ca="1"/>
        <v>0.81720003971733757</v>
      </c>
      <c r="O341">
        <f ca="1"/>
        <v>0</v>
      </c>
      <c r="P341">
        <f ca="1"/>
        <v>15.515397677850444</v>
      </c>
      <c r="Q341">
        <f ca="1"/>
        <v>13.243268310801216</v>
      </c>
      <c r="R341">
        <f ca="1"/>
        <v>0</v>
      </c>
      <c r="S341">
        <f ca="1"/>
        <v>0.70212334119858399</v>
      </c>
      <c r="T341">
        <f ca="1"/>
        <v>0</v>
      </c>
      <c r="U341">
        <f ca="1"/>
        <v>0</v>
      </c>
      <c r="V341">
        <f ca="1"/>
        <v>0.56900478310650837</v>
      </c>
      <c r="X341" s="2">
        <f t="shared" ca="1" si="36"/>
        <v>45751</v>
      </c>
      <c r="Y341">
        <f t="shared" ca="1" si="37"/>
        <v>0</v>
      </c>
      <c r="AA341" s="63">
        <f t="shared" ca="1" si="39"/>
        <v>-33.344193093088158</v>
      </c>
      <c r="AB341" s="63">
        <f t="shared" ca="1" si="40"/>
        <v>-33.344193093088158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45752</v>
      </c>
      <c r="K342">
        <f ca="1"/>
        <v>-35.391834426270087</v>
      </c>
      <c r="L342">
        <f ca="1"/>
        <v>1.1743430225784408</v>
      </c>
      <c r="M342">
        <f ca="1"/>
        <v>-0.41855309996339685</v>
      </c>
      <c r="N342">
        <f ca="1"/>
        <v>0.76867311215772116</v>
      </c>
      <c r="O342">
        <f ca="1"/>
        <v>0</v>
      </c>
      <c r="P342">
        <f ca="1"/>
        <v>16.689740700428885</v>
      </c>
      <c r="Q342">
        <f ca="1"/>
        <v>14.2456364137552</v>
      </c>
      <c r="R342">
        <f ca="1"/>
        <v>0</v>
      </c>
      <c r="S342">
        <f ca="1"/>
        <v>0.72999695631286643</v>
      </c>
      <c r="T342">
        <f ca="1"/>
        <v>0</v>
      </c>
      <c r="U342">
        <f ca="1"/>
        <v>0</v>
      </c>
      <c r="V342">
        <f ca="1"/>
        <v>0.62376860812028478</v>
      </c>
      <c r="X342" s="2">
        <f t="shared" ca="1" si="36"/>
        <v>45752</v>
      </c>
      <c r="Y342">
        <f t="shared" ca="1" si="37"/>
        <v>0</v>
      </c>
      <c r="AA342" s="63">
        <f t="shared" ca="1" si="39"/>
        <v>-34.217491403691646</v>
      </c>
      <c r="AB342" s="63">
        <f t="shared" ca="1" si="40"/>
        <v>-34.217491403691646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45753</v>
      </c>
      <c r="K343">
        <f ca="1"/>
        <v>-36.221695285413368</v>
      </c>
      <c r="L343">
        <f ca="1"/>
        <v>1.1889146270241469</v>
      </c>
      <c r="M343">
        <f ca="1"/>
        <v>-0.3645408825234</v>
      </c>
      <c r="N343">
        <f ca="1"/>
        <v>0.72359465040426696</v>
      </c>
      <c r="O343">
        <f ca="1"/>
        <v>0</v>
      </c>
      <c r="P343">
        <f ca="1"/>
        <v>17.878655327453032</v>
      </c>
      <c r="Q343">
        <f ca="1"/>
        <v>15.260442204185852</v>
      </c>
      <c r="R343">
        <f ca="1"/>
        <v>0</v>
      </c>
      <c r="S343">
        <f ca="1"/>
        <v>0.71801390546016186</v>
      </c>
      <c r="T343">
        <f ca="1"/>
        <v>0</v>
      </c>
      <c r="U343">
        <f ca="1"/>
        <v>0</v>
      </c>
      <c r="V343">
        <f ca="1"/>
        <v>0.67283864593119536</v>
      </c>
      <c r="X343" s="2">
        <f t="shared" ca="1" si="36"/>
        <v>45753</v>
      </c>
      <c r="Y343">
        <f t="shared" ca="1" si="37"/>
        <v>0</v>
      </c>
      <c r="AA343" s="63">
        <f t="shared" ca="1" si="39"/>
        <v>-35.032780658389221</v>
      </c>
      <c r="AB343" s="63">
        <f t="shared" ca="1" si="40"/>
        <v>-35.032780658389221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45754</v>
      </c>
      <c r="K344">
        <f ca="1"/>
        <v>-36.999598158635081</v>
      </c>
      <c r="L344">
        <f ca="1"/>
        <v>1.1258792431583196</v>
      </c>
      <c r="M344">
        <f ca="1"/>
        <v>-0.30688564444719191</v>
      </c>
      <c r="N344">
        <f ca="1"/>
        <v>0.65486201438379643</v>
      </c>
      <c r="O344">
        <f ca="1"/>
        <v>0</v>
      </c>
      <c r="P344">
        <f ca="1"/>
        <v>19.004534570611352</v>
      </c>
      <c r="Q344">
        <f ca="1"/>
        <v>16.221443733910945</v>
      </c>
      <c r="R344">
        <f ca="1"/>
        <v>0</v>
      </c>
      <c r="S344">
        <f ca="1"/>
        <v>0.70913699948213627</v>
      </c>
      <c r="T344">
        <f ca="1"/>
        <v>0</v>
      </c>
      <c r="U344">
        <f ca="1"/>
        <v>0</v>
      </c>
      <c r="V344">
        <f ca="1"/>
        <v>0.71358200777324399</v>
      </c>
      <c r="X344" s="2">
        <f t="shared" ca="1" si="36"/>
        <v>45754</v>
      </c>
      <c r="Y344">
        <f t="shared" ca="1" si="37"/>
        <v>0</v>
      </c>
      <c r="AA344" s="63">
        <f t="shared" ca="1" si="39"/>
        <v>-35.873718915476765</v>
      </c>
      <c r="AB344" s="63">
        <f t="shared" ca="1" si="40"/>
        <v>-35.873718915476758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45755</v>
      </c>
      <c r="K345">
        <f ca="1"/>
        <v>-37.837506270917423</v>
      </c>
      <c r="L345">
        <f ca="1"/>
        <v>1.2840233889065154</v>
      </c>
      <c r="M345">
        <f ca="1"/>
        <v>-0.28799774316679105</v>
      </c>
      <c r="N345">
        <f ca="1"/>
        <v>0.73411301979096732</v>
      </c>
      <c r="O345">
        <f ca="1"/>
        <v>0</v>
      </c>
      <c r="P345">
        <f ca="1"/>
        <v>20.288557959517867</v>
      </c>
      <c r="Q345">
        <f ca="1"/>
        <v>17.317430224860441</v>
      </c>
      <c r="R345">
        <f ca="1"/>
        <v>0</v>
      </c>
      <c r="S345">
        <f ca="1"/>
        <v>0.75548733834536663</v>
      </c>
      <c r="T345">
        <f ca="1"/>
        <v>0</v>
      </c>
      <c r="U345">
        <f ca="1"/>
        <v>0</v>
      </c>
      <c r="V345">
        <f ca="1"/>
        <v>0.75376644288643313</v>
      </c>
      <c r="X345" s="2">
        <f t="shared" ca="1" si="36"/>
        <v>45755</v>
      </c>
      <c r="Y345">
        <f t="shared" ca="1" si="37"/>
        <v>0</v>
      </c>
      <c r="AA345" s="63">
        <f t="shared" ca="1" si="39"/>
        <v>-36.553482882010904</v>
      </c>
      <c r="AB345" s="63">
        <f t="shared" ca="1" si="40"/>
        <v>-36.553482882010911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45756</v>
      </c>
      <c r="K346">
        <f ca="1"/>
        <v>-38.747417575858726</v>
      </c>
      <c r="L346">
        <f ca="1"/>
        <v>1.4503115227831316</v>
      </c>
      <c r="M346">
        <f ca="1"/>
        <v>-0.26569765127857892</v>
      </c>
      <c r="N346">
        <f ca="1"/>
        <v>0.80609786912040948</v>
      </c>
      <c r="O346">
        <f ca="1"/>
        <v>0</v>
      </c>
      <c r="P346">
        <f ca="1"/>
        <v>21.738869482300998</v>
      </c>
      <c r="Q346">
        <f ca="1"/>
        <v>18.555353030918006</v>
      </c>
      <c r="R346">
        <f ca="1"/>
        <v>0</v>
      </c>
      <c r="S346">
        <f ca="1"/>
        <v>0.79237288152561569</v>
      </c>
      <c r="T346">
        <f ca="1"/>
        <v>0</v>
      </c>
      <c r="U346">
        <f ca="1"/>
        <v>0</v>
      </c>
      <c r="V346">
        <f ca="1"/>
        <v>0.79200692294891339</v>
      </c>
      <c r="X346" s="2">
        <f t="shared" ca="1" si="36"/>
        <v>45756</v>
      </c>
      <c r="Y346">
        <f t="shared" ca="1" si="37"/>
        <v>0</v>
      </c>
      <c r="AA346" s="63">
        <f t="shared" ca="1" si="39"/>
        <v>-37.297106053075595</v>
      </c>
      <c r="AB346" s="63">
        <f t="shared" ca="1" si="40"/>
        <v>-37.297106053075595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45757</v>
      </c>
      <c r="K347">
        <f ca="1"/>
        <v>-39.699298175072613</v>
      </c>
      <c r="L347">
        <f ca="1"/>
        <v>1.5716402455570169</v>
      </c>
      <c r="M347">
        <f ca="1"/>
        <v>-0.23575307436284731</v>
      </c>
      <c r="N347">
        <f ca="1"/>
        <v>0.85551272070597428</v>
      </c>
      <c r="O347">
        <f ca="1"/>
        <v>0</v>
      </c>
      <c r="P347">
        <f ca="1"/>
        <v>23.310509727858015</v>
      </c>
      <c r="Q347">
        <f ca="1"/>
        <v>19.896836755159143</v>
      </c>
      <c r="R347">
        <f ca="1"/>
        <v>0</v>
      </c>
      <c r="S347">
        <f ca="1"/>
        <v>0.82905562520229292</v>
      </c>
      <c r="T347">
        <f ca="1"/>
        <v>0</v>
      </c>
      <c r="U347">
        <f ca="1"/>
        <v>0</v>
      </c>
      <c r="V347">
        <f ca="1"/>
        <v>0.82614940386691937</v>
      </c>
      <c r="X347" s="2">
        <f t="shared" ca="1" si="36"/>
        <v>45757</v>
      </c>
      <c r="Y347">
        <f t="shared" ca="1" si="37"/>
        <v>0</v>
      </c>
      <c r="AA347" s="63">
        <f t="shared" ca="1" si="39"/>
        <v>-38.1276579295156</v>
      </c>
      <c r="AB347" s="63">
        <f t="shared" ca="1" si="40"/>
        <v>-38.127657929515593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45758</v>
      </c>
      <c r="K348">
        <f ca="1"/>
        <v>-40.698664325135255</v>
      </c>
      <c r="L348">
        <f ca="1"/>
        <v>1.6307942835583269</v>
      </c>
      <c r="M348">
        <f ca="1"/>
        <v>-0.20127517566707809</v>
      </c>
      <c r="N348">
        <f ca="1"/>
        <v>0.8327033091627698</v>
      </c>
      <c r="O348">
        <f ca="1"/>
        <v>0</v>
      </c>
      <c r="P348">
        <f ca="1"/>
        <v>24.941304011416342</v>
      </c>
      <c r="Q348">
        <f ca="1"/>
        <v>21.28881179217127</v>
      </c>
      <c r="R348">
        <f ca="1"/>
        <v>0</v>
      </c>
      <c r="S348">
        <f ca="1"/>
        <v>0.82515216720287354</v>
      </c>
      <c r="T348">
        <f ca="1"/>
        <v>0</v>
      </c>
      <c r="U348">
        <f ca="1"/>
        <v>0</v>
      </c>
      <c r="V348">
        <f ca="1"/>
        <v>0.85496138483863748</v>
      </c>
      <c r="X348" s="2">
        <f t="shared" ca="1" si="36"/>
        <v>45758</v>
      </c>
      <c r="Y348">
        <f t="shared" ca="1" si="37"/>
        <v>0</v>
      </c>
      <c r="AA348" s="63">
        <f t="shared" ca="1" si="39"/>
        <v>-39.067870041576924</v>
      </c>
      <c r="AB348" s="63">
        <f t="shared" ca="1" si="40"/>
        <v>-39.067870041576924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45759</v>
      </c>
      <c r="K349">
        <f ca="1"/>
        <v>-41.86091077358423</v>
      </c>
      <c r="L349">
        <f ca="1"/>
        <v>1.9094407945965095</v>
      </c>
      <c r="M349">
        <f ca="1"/>
        <v>-0.18281445610907809</v>
      </c>
      <c r="N349">
        <f ca="1"/>
        <v>0.93000880225660909</v>
      </c>
      <c r="O349">
        <f ca="1"/>
        <v>0</v>
      </c>
      <c r="P349">
        <f ca="1"/>
        <v>26.850744806012852</v>
      </c>
      <c r="Q349">
        <f ca="1"/>
        <v>22.918627365801768</v>
      </c>
      <c r="R349">
        <f ca="1"/>
        <v>0</v>
      </c>
      <c r="S349">
        <f ca="1"/>
        <v>0.85310926288181987</v>
      </c>
      <c r="T349">
        <f ca="1"/>
        <v>0</v>
      </c>
      <c r="U349">
        <f ca="1"/>
        <v>0</v>
      </c>
      <c r="V349">
        <f ca="1"/>
        <v>0.88186371164665733</v>
      </c>
      <c r="X349" s="2">
        <f t="shared" ca="1" si="36"/>
        <v>45759</v>
      </c>
      <c r="Y349">
        <f t="shared" ca="1" si="37"/>
        <v>0</v>
      </c>
      <c r="AA349" s="63">
        <f t="shared" ca="1" si="39"/>
        <v>-39.951469978987724</v>
      </c>
      <c r="AB349" s="63">
        <f t="shared" ca="1" si="40"/>
        <v>-39.951469978987717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45760</v>
      </c>
      <c r="K350">
        <f ca="1"/>
        <v>-43.010273244302837</v>
      </c>
      <c r="L350">
        <f ca="1"/>
        <v>1.9429745238275373</v>
      </c>
      <c r="M350">
        <f ca="1"/>
        <v>-0.14762625967360776</v>
      </c>
      <c r="N350">
        <f ca="1"/>
        <v>0.94123831278253789</v>
      </c>
      <c r="O350">
        <f ca="1"/>
        <v>0</v>
      </c>
      <c r="P350">
        <f ca="1"/>
        <v>28.793719329840389</v>
      </c>
      <c r="Q350">
        <f ca="1"/>
        <v>24.577065871495563</v>
      </c>
      <c r="R350">
        <f ca="1"/>
        <v>0</v>
      </c>
      <c r="S350">
        <f ca="1"/>
        <v>0.89432862497965149</v>
      </c>
      <c r="T350">
        <f ca="1"/>
        <v>0</v>
      </c>
      <c r="U350">
        <f ca="1"/>
        <v>0</v>
      </c>
      <c r="V350">
        <f ca="1"/>
        <v>0.90334558620234484</v>
      </c>
      <c r="X350" s="2">
        <f t="shared" ca="1" si="36"/>
        <v>45760</v>
      </c>
      <c r="Y350">
        <f t="shared" ca="1" si="37"/>
        <v>0</v>
      </c>
      <c r="AA350" s="63">
        <f t="shared" ca="1" si="39"/>
        <v>-41.0672987204753</v>
      </c>
      <c r="AB350" s="63">
        <f t="shared" ca="1" si="40"/>
        <v>-41.0672987204753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45761</v>
      </c>
      <c r="K351">
        <f ca="1"/>
        <v>-44.038796713818073</v>
      </c>
      <c r="L351">
        <f ca="1"/>
        <v>1.8125351940661041</v>
      </c>
      <c r="M351">
        <f ca="1"/>
        <v>-0.11199516072153415</v>
      </c>
      <c r="N351">
        <f ca="1"/>
        <v>0.89600688527239736</v>
      </c>
      <c r="O351">
        <f ca="1"/>
        <v>0</v>
      </c>
      <c r="P351">
        <f ca="1"/>
        <v>30.606254523906493</v>
      </c>
      <c r="Q351">
        <f ca="1"/>
        <v>26.124167041326047</v>
      </c>
      <c r="R351">
        <f ca="1"/>
        <v>0</v>
      </c>
      <c r="S351">
        <f ca="1"/>
        <v>0.93511854265203331</v>
      </c>
      <c r="T351">
        <f ca="1"/>
        <v>0</v>
      </c>
      <c r="U351">
        <f ca="1"/>
        <v>0</v>
      </c>
      <c r="V351">
        <f ca="1"/>
        <v>0.91925956690479027</v>
      </c>
      <c r="X351" s="2">
        <f t="shared" ca="1" si="36"/>
        <v>45761</v>
      </c>
      <c r="Y351">
        <f t="shared" ca="1" si="37"/>
        <v>0</v>
      </c>
      <c r="AA351" s="63">
        <f t="shared" ca="1" si="39"/>
        <v>-42.226261519751972</v>
      </c>
      <c r="AB351" s="63">
        <f t="shared" ca="1" si="40"/>
        <v>-42.226261519751972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45762</v>
      </c>
      <c r="K352">
        <f ca="1"/>
        <v>-45.213393480869634</v>
      </c>
      <c r="L352">
        <f ca="1"/>
        <v>1.9819259361231474</v>
      </c>
      <c r="M352">
        <f ca="1"/>
        <v>-9.1618719673377313E-2</v>
      </c>
      <c r="N352">
        <f ca="1"/>
        <v>0.89894788874496634</v>
      </c>
      <c r="O352">
        <f ca="1"/>
        <v>0</v>
      </c>
      <c r="P352">
        <f ca="1"/>
        <v>32.588180460029641</v>
      </c>
      <c r="Q352">
        <f ca="1"/>
        <v>27.815852777598522</v>
      </c>
      <c r="R352">
        <f ca="1"/>
        <v>0</v>
      </c>
      <c r="S352">
        <f ca="1"/>
        <v>0.91843642975631623</v>
      </c>
      <c r="T352">
        <f ca="1"/>
        <v>0</v>
      </c>
      <c r="U352">
        <f ca="1"/>
        <v>0</v>
      </c>
      <c r="V352">
        <f ca="1"/>
        <v>0.93315508902207278</v>
      </c>
      <c r="X352" s="2">
        <f t="shared" ca="1" si="36"/>
        <v>45762</v>
      </c>
      <c r="Y352">
        <f t="shared" ca="1" si="37"/>
        <v>0</v>
      </c>
      <c r="AA352" s="63">
        <f t="shared" ca="1" si="39"/>
        <v>-43.231467544746486</v>
      </c>
      <c r="AB352" s="63">
        <f t="shared" ca="1" si="40"/>
        <v>-43.231467544746486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45763</v>
      </c>
      <c r="K353">
        <f ca="1"/>
        <v>-46.457763160127548</v>
      </c>
      <c r="L353">
        <f ca="1"/>
        <v>2.1330303100455481</v>
      </c>
      <c r="M353">
        <f ca="1"/>
        <v>-7.0512165405318683E-2</v>
      </c>
      <c r="N353">
        <f ca="1"/>
        <v>0.95917279619295259</v>
      </c>
      <c r="O353">
        <f ca="1"/>
        <v>0</v>
      </c>
      <c r="P353">
        <f ca="1"/>
        <v>34.721210770075189</v>
      </c>
      <c r="Q353">
        <f ca="1"/>
        <v>29.636514632198072</v>
      </c>
      <c r="R353">
        <f ca="1"/>
        <v>0</v>
      </c>
      <c r="S353">
        <f ca="1"/>
        <v>1</v>
      </c>
      <c r="T353">
        <f ca="1"/>
        <v>0.26978860492023671</v>
      </c>
      <c r="U353">
        <f ca="1"/>
        <v>0</v>
      </c>
      <c r="V353">
        <f ca="1"/>
        <v>0.9449720524165901</v>
      </c>
      <c r="X353" s="2">
        <f t="shared" ca="1" si="36"/>
        <v>45763</v>
      </c>
      <c r="Y353">
        <f t="shared" ca="1" si="37"/>
        <v>0</v>
      </c>
      <c r="AA353" s="63">
        <f t="shared" ca="1" si="39"/>
        <v>-44.324732850082</v>
      </c>
      <c r="AB353" s="63">
        <f t="shared" ca="1" si="40"/>
        <v>-44.324732850082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45764</v>
      </c>
      <c r="K354">
        <f ca="1"/>
        <v>-47.756380630268495</v>
      </c>
      <c r="L354">
        <f ca="1"/>
        <v>2.1861537830287006</v>
      </c>
      <c r="M354">
        <f ca="1"/>
        <v>-4.874052641524429E-2</v>
      </c>
      <c r="N354">
        <f ca="1"/>
        <v>0.93627683930299921</v>
      </c>
      <c r="O354">
        <f ca="1"/>
        <v>0</v>
      </c>
      <c r="P354">
        <f ca="1"/>
        <v>36.907364553103889</v>
      </c>
      <c r="Q354">
        <f ca="1"/>
        <v>31.502520371687002</v>
      </c>
      <c r="R354">
        <f ca="1"/>
        <v>0</v>
      </c>
      <c r="S354">
        <f ca="1"/>
        <v>1</v>
      </c>
      <c r="T354">
        <f ca="1"/>
        <v>1.9799999999999898</v>
      </c>
      <c r="U354">
        <f ca="1"/>
        <v>0</v>
      </c>
      <c r="V354">
        <f ca="1"/>
        <v>0.95451976958436746</v>
      </c>
      <c r="X354" s="2">
        <f t="shared" ca="1" si="36"/>
        <v>45764</v>
      </c>
      <c r="Y354">
        <f t="shared" ca="1" si="37"/>
        <v>0</v>
      </c>
      <c r="AA354" s="63">
        <f t="shared" ca="1" si="39"/>
        <v>-45.570226847239795</v>
      </c>
      <c r="AB354" s="63">
        <f t="shared" ca="1" si="40"/>
        <v>-45.570226847239795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45765</v>
      </c>
      <c r="K355">
        <f ca="1"/>
        <v>-49.166912050388888</v>
      </c>
      <c r="L355">
        <f ca="1"/>
        <v>2.3204786520612757</v>
      </c>
      <c r="M355">
        <f ca="1"/>
        <v>-2.9579724525326867E-2</v>
      </c>
      <c r="N355">
        <f ca="1"/>
        <v>0.9395269564662081</v>
      </c>
      <c r="O355">
        <f ca="1"/>
        <v>0</v>
      </c>
      <c r="P355">
        <f ca="1"/>
        <v>39.227843205165165</v>
      </c>
      <c r="Q355">
        <f ca="1"/>
        <v>33.483179974283239</v>
      </c>
      <c r="R355">
        <f ca="1"/>
        <v>0</v>
      </c>
      <c r="S355">
        <f ca="1"/>
        <v>1</v>
      </c>
      <c r="T355">
        <f ca="1"/>
        <v>0.78000000000000114</v>
      </c>
      <c r="U355">
        <f ca="1"/>
        <v>0</v>
      </c>
      <c r="V355">
        <f ca="1"/>
        <v>0.96251020335764792</v>
      </c>
      <c r="X355" s="2">
        <f t="shared" ca="1" si="36"/>
        <v>45765</v>
      </c>
      <c r="Y355">
        <f t="shared" ca="1" si="37"/>
        <v>0</v>
      </c>
      <c r="AA355" s="63">
        <f t="shared" ca="1" si="39"/>
        <v>-46.846433398327612</v>
      </c>
      <c r="AB355" s="63">
        <f t="shared" ca="1" si="40"/>
        <v>-46.846433398327612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45766</v>
      </c>
      <c r="K356">
        <f ca="1"/>
        <v>-50.535674092395347</v>
      </c>
      <c r="L356">
        <f ca="1"/>
        <v>2.2389776839372786</v>
      </c>
      <c r="M356">
        <f ca="1"/>
        <v>-1.1081305473489067E-2</v>
      </c>
      <c r="N356">
        <f ca="1"/>
        <v>0.88129694740430908</v>
      </c>
      <c r="O356">
        <f ca="1"/>
        <v>0</v>
      </c>
      <c r="P356">
        <f ca="1"/>
        <v>41.466820889102443</v>
      </c>
      <c r="Q356">
        <f ca="1"/>
        <v>35.394273896974468</v>
      </c>
      <c r="R356">
        <f ca="1"/>
        <v>0</v>
      </c>
      <c r="S356">
        <f ca="1"/>
        <v>0.99855072463768102</v>
      </c>
      <c r="T356">
        <f ca="1"/>
        <v>0</v>
      </c>
      <c r="U356">
        <f ca="1"/>
        <v>0</v>
      </c>
      <c r="V356">
        <f ca="1"/>
        <v>0.96863122113240718</v>
      </c>
      <c r="X356" s="2">
        <f t="shared" ca="1" si="36"/>
        <v>45766</v>
      </c>
      <c r="Y356">
        <f t="shared" ca="1" si="37"/>
        <v>0</v>
      </c>
      <c r="AA356" s="63">
        <f t="shared" ca="1" si="39"/>
        <v>-48.296696408458068</v>
      </c>
      <c r="AB356" s="63">
        <f t="shared" ca="1" si="40"/>
        <v>-48.296696408458068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45767</v>
      </c>
      <c r="K357">
        <f ca="1"/>
        <v>-52.299263002786077</v>
      </c>
      <c r="L357">
        <f ca="1"/>
        <v>2.7595297808696913</v>
      </c>
      <c r="M357">
        <f ca="1"/>
        <v>5.9923657886713499E-3</v>
      </c>
      <c r="N357">
        <f ca="1"/>
        <v>0.98994850469028883</v>
      </c>
      <c r="O357">
        <f ca="1"/>
        <v>0</v>
      </c>
      <c r="P357">
        <f ca="1"/>
        <v>44.226350669972135</v>
      </c>
      <c r="Q357">
        <f ca="1"/>
        <v>37.749688437967848</v>
      </c>
      <c r="R357">
        <f ca="1"/>
        <v>0</v>
      </c>
      <c r="S357">
        <f ca="1"/>
        <v>0.99072554061567919</v>
      </c>
      <c r="T357">
        <f ca="1"/>
        <v>0</v>
      </c>
      <c r="U357">
        <f ca="1"/>
        <v>0</v>
      </c>
      <c r="V357">
        <f ca="1"/>
        <v>0.97456289201701651</v>
      </c>
      <c r="X357" s="2">
        <f t="shared" ca="1" si="36"/>
        <v>45767</v>
      </c>
      <c r="Y357">
        <f t="shared" ca="1" si="37"/>
        <v>0</v>
      </c>
      <c r="AA357" s="63">
        <f t="shared" ca="1" si="39"/>
        <v>-49.539733221916386</v>
      </c>
      <c r="AB357" s="63">
        <f t="shared" ca="1" si="40"/>
        <v>-49.539733221916386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45768</v>
      </c>
      <c r="K358">
        <f ca="1"/>
        <v>-54.202737584785275</v>
      </c>
      <c r="L358">
        <f ca="1"/>
        <v>2.9165714134088532</v>
      </c>
      <c r="M358">
        <f ca="1"/>
        <v>2.3987905320325353E-2</v>
      </c>
      <c r="N358">
        <f ca="1"/>
        <v>0.9891089260893321</v>
      </c>
      <c r="O358">
        <f ca="1"/>
        <v>0</v>
      </c>
      <c r="P358">
        <f ca="1"/>
        <v>47.142922083380988</v>
      </c>
      <c r="Q358">
        <f ca="1"/>
        <v>40.239146882885862</v>
      </c>
      <c r="R358">
        <f ca="1"/>
        <v>0</v>
      </c>
      <c r="S358">
        <f ca="1"/>
        <v>0.99884569298408854</v>
      </c>
      <c r="T358">
        <f ca="1"/>
        <v>0</v>
      </c>
      <c r="U358">
        <f ca="1"/>
        <v>0</v>
      </c>
      <c r="V358">
        <f ca="1"/>
        <v>0.9793920872109525</v>
      </c>
      <c r="X358" s="2">
        <f t="shared" ca="1" si="36"/>
        <v>45768</v>
      </c>
      <c r="Y358">
        <f t="shared" ca="1" si="37"/>
        <v>0</v>
      </c>
      <c r="AA358" s="63">
        <f t="shared" ca="1" si="39"/>
        <v>-51.286166171376422</v>
      </c>
      <c r="AB358" s="63">
        <f t="shared" ca="1" si="40"/>
        <v>-51.286166171376422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45769</v>
      </c>
      <c r="K359">
        <f ca="1"/>
        <v>-56.081921861247764</v>
      </c>
      <c r="L359">
        <f ca="1"/>
        <v>2.8509873313925951</v>
      </c>
      <c r="M359">
        <f ca="1"/>
        <v>3.8769428107585213E-2</v>
      </c>
      <c r="N359">
        <f ca="1"/>
        <v>0.93303362682251911</v>
      </c>
      <c r="O359">
        <f ca="1"/>
        <v>0</v>
      </c>
      <c r="P359">
        <f ca="1"/>
        <v>49.993909414773583</v>
      </c>
      <c r="Q359">
        <f ca="1"/>
        <v>42.672625609262809</v>
      </c>
      <c r="R359">
        <f ca="1"/>
        <v>0</v>
      </c>
      <c r="S359">
        <f ca="1"/>
        <v>0.98594761271020048</v>
      </c>
      <c r="T359">
        <f ca="1"/>
        <v>0</v>
      </c>
      <c r="U359">
        <f ca="1"/>
        <v>0</v>
      </c>
      <c r="V359">
        <f ca="1"/>
        <v>0.98305920323874429</v>
      </c>
      <c r="X359" s="2">
        <f t="shared" ca="1" si="36"/>
        <v>45769</v>
      </c>
      <c r="Y359">
        <f t="shared" ca="1" si="37"/>
        <v>0</v>
      </c>
      <c r="AA359" s="63">
        <f t="shared" ca="1" si="39"/>
        <v>-53.230934529855169</v>
      </c>
      <c r="AB359" s="63">
        <f t="shared" ca="1" si="40"/>
        <v>-53.230934529855169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45770</v>
      </c>
      <c r="K360">
        <f ca="1"/>
        <v>-58.178036266265046</v>
      </c>
      <c r="L360">
        <f ca="1"/>
        <v>3.1092490793996532</v>
      </c>
      <c r="M360">
        <f ca="1"/>
        <v>5.4785426257225822E-2</v>
      </c>
      <c r="N360">
        <f ca="1"/>
        <v>0.95834924812514766</v>
      </c>
      <c r="O360">
        <f ca="1"/>
        <v>0</v>
      </c>
      <c r="P360">
        <f ca="1"/>
        <v>53.103158494173236</v>
      </c>
      <c r="Q360">
        <f ca="1"/>
        <v>45.326545325570457</v>
      </c>
      <c r="R360">
        <f ca="1"/>
        <v>0</v>
      </c>
      <c r="S360">
        <f ca="1"/>
        <v>0.96609724004410147</v>
      </c>
      <c r="T360">
        <f ca="1"/>
        <v>0</v>
      </c>
      <c r="U360">
        <f ca="1"/>
        <v>0</v>
      </c>
      <c r="V360">
        <f ca="1"/>
        <v>0.98618147557502034</v>
      </c>
      <c r="X360" s="2">
        <f t="shared" ca="1" si="36"/>
        <v>45770</v>
      </c>
      <c r="Y360">
        <f t="shared" ca="1" si="37"/>
        <v>0</v>
      </c>
      <c r="AA360" s="63">
        <f t="shared" ca="1" si="39"/>
        <v>-55.068787186865393</v>
      </c>
      <c r="AB360" s="63">
        <f t="shared" ca="1" si="40"/>
        <v>-55.068787186865393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45771</v>
      </c>
      <c r="K361">
        <f ca="1"/>
        <v>-60.68477597622396</v>
      </c>
      <c r="L361">
        <f ca="1"/>
        <v>3.6161141260095491</v>
      </c>
      <c r="M361">
        <f ca="1"/>
        <v>7.4306478003848042E-2</v>
      </c>
      <c r="N361">
        <f ca="1"/>
        <v>1.0350679380467873</v>
      </c>
      <c r="O361">
        <f ca="1"/>
        <v>0</v>
      </c>
      <c r="P361">
        <f ca="1"/>
        <v>56.719272620182785</v>
      </c>
      <c r="Q361">
        <f ca="1"/>
        <v>48.413102989612085</v>
      </c>
      <c r="R361">
        <f ca="1"/>
        <v>0</v>
      </c>
      <c r="S361">
        <f ca="1"/>
        <v>0.97987392052892752</v>
      </c>
      <c r="T361">
        <f ca="1"/>
        <v>0</v>
      </c>
      <c r="U361">
        <f ca="1"/>
        <v>0</v>
      </c>
      <c r="V361">
        <f ca="1"/>
        <v>0.98896782523682591</v>
      </c>
      <c r="X361" s="2">
        <f t="shared" ca="1" si="36"/>
        <v>45771</v>
      </c>
      <c r="Y361">
        <f t="shared" ca="1" si="37"/>
        <v>0</v>
      </c>
      <c r="AA361" s="63">
        <f t="shared" ca="1" si="39"/>
        <v>-57.068661850214411</v>
      </c>
      <c r="AB361" s="63">
        <f t="shared" ca="1" si="40"/>
        <v>-57.068661850214411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45772</v>
      </c>
      <c r="K362">
        <f ca="1"/>
        <v>-63.257798609486635</v>
      </c>
      <c r="L362">
        <f ca="1"/>
        <v>3.66110627729892</v>
      </c>
      <c r="M362">
        <f ca="1"/>
        <v>8.7181118073068831E-2</v>
      </c>
      <c r="N362">
        <f ca="1"/>
        <v>1.0009025259631787</v>
      </c>
      <c r="O362">
        <f ca="1"/>
        <v>0</v>
      </c>
      <c r="P362">
        <f ca="1"/>
        <v>60.380378897481705</v>
      </c>
      <c r="Q362">
        <f ca="1"/>
        <v>51.538063996176852</v>
      </c>
      <c r="R362">
        <f ca="1"/>
        <v>0</v>
      </c>
      <c r="S362">
        <f ca="1"/>
        <v>1</v>
      </c>
      <c r="T362">
        <f ca="1"/>
        <v>4.5315615662287314</v>
      </c>
      <c r="U362">
        <f ca="1"/>
        <v>0</v>
      </c>
      <c r="V362">
        <f ca="1"/>
        <v>0.99111594550427529</v>
      </c>
      <c r="X362" s="2">
        <f t="shared" ca="1" si="36"/>
        <v>45772</v>
      </c>
      <c r="Y362">
        <f t="shared" ca="1" si="37"/>
        <v>0</v>
      </c>
      <c r="AA362" s="63">
        <f t="shared" ca="1" si="39"/>
        <v>-59.596692332187715</v>
      </c>
      <c r="AB362" s="63">
        <f t="shared" ca="1" si="40"/>
        <v>-59.596692332187715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45773</v>
      </c>
      <c r="K363">
        <f ca="1"/>
        <v>-65.852973995932444</v>
      </c>
      <c r="L363">
        <f ca="1"/>
        <v>3.6535187378952259</v>
      </c>
      <c r="M363">
        <f ca="1"/>
        <v>9.7522161257394657E-2</v>
      </c>
      <c r="N363">
        <f ca="1"/>
        <v>0.96082119019201961</v>
      </c>
      <c r="O363">
        <f ca="1"/>
        <v>0</v>
      </c>
      <c r="P363">
        <f ca="1"/>
        <v>64.033897635376931</v>
      </c>
      <c r="Q363">
        <f ca="1"/>
        <v>54.656548609275703</v>
      </c>
      <c r="R363">
        <f ca="1"/>
        <v>0</v>
      </c>
      <c r="S363">
        <f ca="1"/>
        <v>0.98840579710144927</v>
      </c>
      <c r="T363">
        <f ca="1"/>
        <v>0</v>
      </c>
      <c r="U363">
        <f ca="1"/>
        <v>0</v>
      </c>
      <c r="V363">
        <f ca="1"/>
        <v>0.99276925215998646</v>
      </c>
      <c r="X363" s="2">
        <f t="shared" ca="1" si="36"/>
        <v>45773</v>
      </c>
      <c r="Y363">
        <f t="shared" ca="1" si="37"/>
        <v>0</v>
      </c>
      <c r="AA363" s="63">
        <f t="shared" ca="1" si="39"/>
        <v>-62.199455258037219</v>
      </c>
      <c r="AB363" s="63">
        <f t="shared" ca="1" si="40"/>
        <v>-62.199455258037219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45774</v>
      </c>
      <c r="K364">
        <f ca="1"/>
        <v>-68.912813991058485</v>
      </c>
      <c r="L364">
        <f ca="1"/>
        <v>4.2100749332240071</v>
      </c>
      <c r="M364">
        <f ca="1"/>
        <v>0.11689180804789601</v>
      </c>
      <c r="N364">
        <f ca="1"/>
        <v>1.0333431300500728</v>
      </c>
      <c r="O364">
        <f ca="1"/>
        <v>0</v>
      </c>
      <c r="P364">
        <f ca="1"/>
        <v>68.243972568600938</v>
      </c>
      <c r="Q364">
        <f ca="1"/>
        <v>58.250085372362307</v>
      </c>
      <c r="R364">
        <f ca="1"/>
        <v>0</v>
      </c>
      <c r="S364">
        <f ca="1"/>
        <v>1</v>
      </c>
      <c r="T364">
        <f ca="1"/>
        <v>2.2101049878788217</v>
      </c>
      <c r="U364">
        <f ca="1"/>
        <v>0</v>
      </c>
      <c r="V364">
        <f ca="1"/>
        <v>0.99423235379099539</v>
      </c>
      <c r="X364" s="2">
        <f t="shared" ca="1" si="36"/>
        <v>45774</v>
      </c>
      <c r="Y364">
        <f t="shared" ca="1" si="37"/>
        <v>0</v>
      </c>
      <c r="AA364" s="63">
        <f t="shared" ca="1" si="39"/>
        <v>-64.702739057834478</v>
      </c>
      <c r="AB364" s="63">
        <f t="shared" ca="1" si="40"/>
        <v>-64.702739057834478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45775</v>
      </c>
      <c r="K365">
        <f ca="1"/>
        <v>-71.924361616084994</v>
      </c>
      <c r="L365">
        <f ca="1"/>
        <v>4.1099687419079061</v>
      </c>
      <c r="M365">
        <f ca="1"/>
        <v>0.12351866997690308</v>
      </c>
      <c r="N365">
        <f ca="1"/>
        <v>0.9749024469044919</v>
      </c>
      <c r="O365">
        <f ca="1"/>
        <v>0</v>
      </c>
      <c r="P365">
        <f ca="1"/>
        <v>72.353941310508844</v>
      </c>
      <c r="Q365">
        <f ca="1"/>
        <v>61.758175846626798</v>
      </c>
      <c r="R365">
        <f ca="1"/>
        <v>0</v>
      </c>
      <c r="S365">
        <f ca="1"/>
        <v>1</v>
      </c>
      <c r="T365">
        <f ca="1"/>
        <v>4.2800000000000011</v>
      </c>
      <c r="U365">
        <f ca="1"/>
        <v>0</v>
      </c>
      <c r="V365">
        <f ca="1"/>
        <v>0.99532684388872783</v>
      </c>
      <c r="X365" s="2">
        <f t="shared" ca="1" si="36"/>
        <v>45775</v>
      </c>
      <c r="Y365">
        <f t="shared" ca="1" si="37"/>
        <v>0</v>
      </c>
      <c r="AA365" s="63">
        <f t="shared" ca="1" si="39"/>
        <v>-67.814392874177088</v>
      </c>
      <c r="AB365" s="63">
        <f t="shared" ca="1" si="40"/>
        <v>-67.814392874177088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45776</v>
      </c>
      <c r="K366">
        <f ca="1"/>
        <v>-75.011727840868602</v>
      </c>
      <c r="L366">
        <f ca="1"/>
        <v>4.1719895289467104</v>
      </c>
      <c r="M366">
        <f ca="1"/>
        <v>0.13202678258501521</v>
      </c>
      <c r="N366">
        <f ca="1"/>
        <v>0.95259652157808161</v>
      </c>
      <c r="O366">
        <f ca="1"/>
        <v>0</v>
      </c>
      <c r="P366">
        <f ca="1"/>
        <v>76.525930839455555</v>
      </c>
      <c r="Q366">
        <f ca="1"/>
        <v>65.31920456589512</v>
      </c>
      <c r="R366">
        <f ca="1"/>
        <v>0</v>
      </c>
      <c r="S366">
        <f ca="1"/>
        <v>1</v>
      </c>
      <c r="T366">
        <f ca="1"/>
        <v>3.1700000000000017</v>
      </c>
      <c r="U366">
        <f ca="1"/>
        <v>0</v>
      </c>
      <c r="V366">
        <f ca="1"/>
        <v>0.99619071366075485</v>
      </c>
      <c r="X366" s="2">
        <f t="shared" ca="1" si="36"/>
        <v>45776</v>
      </c>
      <c r="Y366">
        <f t="shared" ca="1" si="37"/>
        <v>0</v>
      </c>
      <c r="AA366" s="63">
        <f t="shared" ca="1" si="39"/>
        <v>-70.839738311921892</v>
      </c>
      <c r="AB366" s="63">
        <f t="shared" ca="1" si="40"/>
        <v>-70.839738311921892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45777</v>
      </c>
      <c r="K367">
        <f ca="1"/>
        <v>-78.194172716146028</v>
      </c>
      <c r="L367">
        <f ca="1"/>
        <v>4.2597125580792436</v>
      </c>
      <c r="M367">
        <f ca="1"/>
        <v>0.14017896161988119</v>
      </c>
      <c r="N367">
        <f ca="1"/>
        <v>0.93708872118192987</v>
      </c>
      <c r="O367">
        <f ca="1"/>
        <v>0</v>
      </c>
      <c r="P367">
        <f ca="1"/>
        <v>80.785643397534798</v>
      </c>
      <c r="Q367">
        <f ca="1"/>
        <v>68.955109845594563</v>
      </c>
      <c r="R367">
        <f ca="1"/>
        <v>0</v>
      </c>
      <c r="S367">
        <f ca="1"/>
        <v>1</v>
      </c>
      <c r="T367">
        <f ca="1"/>
        <v>3.8000000000000114</v>
      </c>
      <c r="U367">
        <f ca="1"/>
        <v>0</v>
      </c>
      <c r="V367">
        <f ca="1"/>
        <v>0.996881704321674</v>
      </c>
      <c r="X367" s="2">
        <f t="shared" ca="1" si="36"/>
        <v>45777</v>
      </c>
      <c r="Y367">
        <f t="shared" ca="1" si="37"/>
        <v>0</v>
      </c>
      <c r="AA367" s="63">
        <f t="shared" ca="1" si="39"/>
        <v>-73.934460158066784</v>
      </c>
      <c r="AB367" s="63">
        <f t="shared" ca="1" si="40"/>
        <v>-73.934460158066784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45778</v>
      </c>
      <c r="K368">
        <f ca="1"/>
        <v>-80.776703738862196</v>
      </c>
      <c r="L368">
        <f ca="1"/>
        <v>3.5143139097240521</v>
      </c>
      <c r="M368">
        <f ca="1"/>
        <v>0.13171429187143247</v>
      </c>
      <c r="N368">
        <f ca="1"/>
        <v>0.80006859513645323</v>
      </c>
      <c r="O368">
        <f ca="1"/>
        <v>0</v>
      </c>
      <c r="P368">
        <f ca="1"/>
        <v>84.29995730725885</v>
      </c>
      <c r="Q368">
        <f ca="1"/>
        <v>71.954775274815077</v>
      </c>
      <c r="R368">
        <f ca="1"/>
        <v>0</v>
      </c>
      <c r="S368">
        <f ca="1"/>
        <v>0.97927536231884049</v>
      </c>
      <c r="T368">
        <f ca="1"/>
        <v>0</v>
      </c>
      <c r="U368">
        <f ca="1"/>
        <v>0</v>
      </c>
      <c r="V368">
        <f ca="1"/>
        <v>0.99734087544965688</v>
      </c>
      <c r="X368" s="2">
        <f t="shared" ca="1" si="36"/>
        <v>45778</v>
      </c>
      <c r="Y368">
        <f t="shared" ca="1" si="37"/>
        <v>0</v>
      </c>
      <c r="AA368" s="63">
        <f t="shared" ca="1" si="39"/>
        <v>-77.262389829138144</v>
      </c>
      <c r="AB368" s="63">
        <f t="shared" ca="1" si="40"/>
        <v>-77.262389829138144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45779</v>
      </c>
      <c r="K369">
        <f ca="1"/>
        <v>-83.451522948260916</v>
      </c>
      <c r="L369">
        <f ca="1"/>
        <v>3.6105473218166679</v>
      </c>
      <c r="M369">
        <f ca="1"/>
        <v>0.1382708367206078</v>
      </c>
      <c r="N369">
        <f ca="1"/>
        <v>0.79745727569733871</v>
      </c>
      <c r="O369">
        <f ca="1"/>
        <v>0</v>
      </c>
      <c r="P369">
        <f ca="1"/>
        <v>87.910504629075518</v>
      </c>
      <c r="Q369">
        <f ca="1"/>
        <v>75.036581357035175</v>
      </c>
      <c r="R369">
        <f ca="1"/>
        <v>0</v>
      </c>
      <c r="S369">
        <f ca="1"/>
        <v>0.96014591572134389</v>
      </c>
      <c r="T369">
        <f ca="1"/>
        <v>0</v>
      </c>
      <c r="U369">
        <f ca="1"/>
        <v>0</v>
      </c>
      <c r="V369">
        <f ca="1"/>
        <v>0.99773101069720538</v>
      </c>
      <c r="X369" s="2">
        <f t="shared" ca="1" si="36"/>
        <v>45779</v>
      </c>
      <c r="Y369">
        <f t="shared" ca="1" si="37"/>
        <v>0</v>
      </c>
      <c r="AA369" s="63">
        <f t="shared" ca="1" si="39"/>
        <v>-79.840975626444248</v>
      </c>
      <c r="AB369" s="63">
        <f t="shared" ca="1" si="40"/>
        <v>-79.840975626444248</v>
      </c>
      <c r="AC369" s="3">
        <f t="shared" ca="1" si="41"/>
        <v>0</v>
      </c>
    </row>
    <row r="370" spans="8:29">
      <c r="H370" t="b">
        <f t="shared" ca="1" si="38"/>
        <v>0</v>
      </c>
      <c r="I370" t="b">
        <f t="shared" ca="1" si="35"/>
        <v>0</v>
      </c>
      <c r="J370" s="2">
        <f ca="1"/>
        <v>45780</v>
      </c>
      <c r="K370">
        <f ca="1"/>
        <v>-86.808800915813109</v>
      </c>
      <c r="L370">
        <f ca="1"/>
        <v>4.4075894969372058</v>
      </c>
      <c r="M370">
        <f ca="1"/>
        <v>0.15802473311926946</v>
      </c>
      <c r="N370">
        <f ca="1"/>
        <v>0.8922867962657407</v>
      </c>
      <c r="O370">
        <f ca="1"/>
        <v>0</v>
      </c>
      <c r="P370">
        <f ca="1"/>
        <v>92.318094126012724</v>
      </c>
      <c r="Q370">
        <f ca="1"/>
        <v>78.798707956931366</v>
      </c>
      <c r="R370">
        <f ca="1"/>
        <v>0</v>
      </c>
      <c r="S370">
        <f ca="1"/>
        <v>0.97029239700583259</v>
      </c>
      <c r="T370">
        <f ca="1"/>
        <v>0</v>
      </c>
      <c r="U370">
        <f ca="1"/>
        <v>0</v>
      </c>
      <c r="V370">
        <f ca="1"/>
        <v>0.99811886106290282</v>
      </c>
      <c r="X370" s="2">
        <f t="shared" ca="1" si="36"/>
        <v>45780</v>
      </c>
      <c r="Y370">
        <f t="shared" ca="1" si="37"/>
        <v>0</v>
      </c>
      <c r="AA370" s="63">
        <f t="shared" ca="1" si="39"/>
        <v>-82.401211418875917</v>
      </c>
      <c r="AB370" s="63">
        <f t="shared" ca="1" si="40"/>
        <v>-82.401211418875903</v>
      </c>
      <c r="AC370" s="3">
        <f t="shared" ca="1" si="41"/>
        <v>0</v>
      </c>
    </row>
    <row r="371" spans="8:29">
      <c r="H371" t="b">
        <f t="shared" ca="1" si="38"/>
        <v>0</v>
      </c>
      <c r="I371" t="b">
        <f t="shared" ca="1" si="35"/>
        <v>0</v>
      </c>
      <c r="J371" s="2">
        <f ca="1"/>
        <v>45781</v>
      </c>
      <c r="K371">
        <f ca="1"/>
        <v>-90.337924793571815</v>
      </c>
      <c r="L371">
        <f ca="1"/>
        <v>4.5911873269099459</v>
      </c>
      <c r="M371">
        <f ca="1"/>
        <v>0.16583132279519219</v>
      </c>
      <c r="N371">
        <f ca="1"/>
        <v>0.89623212635605998</v>
      </c>
      <c r="O371">
        <f ca="1"/>
        <v>0</v>
      </c>
      <c r="P371">
        <f ca="1"/>
        <v>96.90928145292267</v>
      </c>
      <c r="Q371">
        <f ca="1"/>
        <v>82.717545675298012</v>
      </c>
      <c r="R371">
        <f ca="1"/>
        <v>0</v>
      </c>
      <c r="S371">
        <f ca="1"/>
        <v>0.99695984162580575</v>
      </c>
      <c r="T371">
        <f ca="1"/>
        <v>0</v>
      </c>
      <c r="U371">
        <f ca="1"/>
        <v>0</v>
      </c>
      <c r="V371">
        <f ca="1"/>
        <v>0.9984423243854591</v>
      </c>
      <c r="X371" s="2">
        <f t="shared" ca="1" si="36"/>
        <v>45781</v>
      </c>
      <c r="Y371">
        <f t="shared" ca="1" si="37"/>
        <v>0</v>
      </c>
      <c r="AA371" s="63">
        <f t="shared" ca="1" si="39"/>
        <v>-85.746737466661855</v>
      </c>
      <c r="AB371" s="63">
        <f t="shared" ca="1" si="40"/>
        <v>-85.74673746666187</v>
      </c>
      <c r="AC371" s="3">
        <f t="shared" ca="1" si="41"/>
        <v>0</v>
      </c>
    </row>
    <row r="372" spans="8:29">
      <c r="H372" t="b">
        <f t="shared" ca="1" si="38"/>
        <v>0</v>
      </c>
      <c r="I372" t="b">
        <f t="shared" ca="1" si="35"/>
        <v>0</v>
      </c>
      <c r="J372" s="2">
        <f ca="1"/>
        <v>45782</v>
      </c>
      <c r="K372">
        <f ca="1"/>
        <v>-94.241292284478561</v>
      </c>
      <c r="L372">
        <f ca="1"/>
        <v>5.013834119820217</v>
      </c>
      <c r="M372">
        <f ca="1"/>
        <v>0.1782427266488682</v>
      </c>
      <c r="N372">
        <f ca="1"/>
        <v>0.93222390226459795</v>
      </c>
      <c r="O372">
        <f ca="1"/>
        <v>0</v>
      </c>
      <c r="P372">
        <f ca="1"/>
        <v>101.92311557274289</v>
      </c>
      <c r="Q372">
        <f ca="1"/>
        <v>86.997136304767992</v>
      </c>
      <c r="R372">
        <f ca="1"/>
        <v>0</v>
      </c>
      <c r="S372">
        <f ca="1"/>
        <v>1</v>
      </c>
      <c r="T372">
        <f ca="1"/>
        <v>3.3402341166617759</v>
      </c>
      <c r="U372">
        <f ca="1"/>
        <v>0</v>
      </c>
      <c r="V372">
        <f ca="1"/>
        <v>0.99872362894620426</v>
      </c>
      <c r="X372" s="2">
        <f t="shared" ca="1" si="36"/>
        <v>45782</v>
      </c>
      <c r="Y372">
        <f t="shared" ca="1" si="37"/>
        <v>0</v>
      </c>
      <c r="AA372" s="63">
        <f t="shared" ca="1" si="39"/>
        <v>-89.227458164658358</v>
      </c>
      <c r="AB372" s="63">
        <f t="shared" ca="1" si="40"/>
        <v>-89.227458164658344</v>
      </c>
      <c r="AC372" s="3">
        <f t="shared" ca="1" si="41"/>
        <v>0</v>
      </c>
    </row>
    <row r="373" spans="8:29">
      <c r="H373" t="b">
        <f t="shared" ca="1" si="38"/>
        <v>0</v>
      </c>
      <c r="I373" t="b">
        <f t="shared" ca="1" si="35"/>
        <v>0</v>
      </c>
      <c r="J373" s="2">
        <f ca="1"/>
        <v>45783</v>
      </c>
      <c r="K373">
        <f ca="1"/>
        <v>-98.142682680688097</v>
      </c>
      <c r="L373">
        <f ca="1"/>
        <v>4.9888576302138574</v>
      </c>
      <c r="M373">
        <f ca="1"/>
        <v>0.18092698616838021</v>
      </c>
      <c r="N373">
        <f ca="1"/>
        <v>0.90654024783594822</v>
      </c>
      <c r="O373">
        <f ca="1"/>
        <v>0</v>
      </c>
      <c r="P373">
        <f ca="1"/>
        <v>106.91197320295674</v>
      </c>
      <c r="Q373">
        <f ca="1"/>
        <v>91.255408089553029</v>
      </c>
      <c r="R373">
        <f ca="1"/>
        <v>0</v>
      </c>
      <c r="S373">
        <f ca="1"/>
        <v>1</v>
      </c>
      <c r="T373">
        <f ca="1"/>
        <v>1.0700000000000074</v>
      </c>
      <c r="U373">
        <f ca="1"/>
        <v>0</v>
      </c>
      <c r="V373">
        <f ca="1"/>
        <v>0.99894639384305861</v>
      </c>
      <c r="X373" s="2">
        <f t="shared" ca="1" si="36"/>
        <v>45783</v>
      </c>
      <c r="Y373">
        <f t="shared" ca="1" si="37"/>
        <v>0</v>
      </c>
      <c r="AA373" s="63">
        <f t="shared" ca="1" si="39"/>
        <v>-93.153825050474239</v>
      </c>
      <c r="AB373" s="63">
        <f t="shared" ca="1" si="40"/>
        <v>-93.153825050474239</v>
      </c>
      <c r="AC373" s="3">
        <f t="shared" ca="1" si="41"/>
        <v>0</v>
      </c>
    </row>
    <row r="374" spans="8:29">
      <c r="H374" t="b">
        <f t="shared" ca="1" si="38"/>
        <v>0</v>
      </c>
      <c r="I374" t="b">
        <f t="shared" ca="1" si="35"/>
        <v>0</v>
      </c>
      <c r="J374" s="2">
        <f ca="1"/>
        <v>45784</v>
      </c>
      <c r="K374">
        <f ca="1"/>
        <v>-101.87557716918728</v>
      </c>
      <c r="L374">
        <f ca="1"/>
        <v>4.7726595030802486</v>
      </c>
      <c r="M374">
        <f ca="1"/>
        <v>0.17942562529611195</v>
      </c>
      <c r="N374">
        <f ca="1"/>
        <v>0.86033938928496634</v>
      </c>
      <c r="O374">
        <f ca="1"/>
        <v>0</v>
      </c>
      <c r="P374">
        <f ca="1"/>
        <v>111.68463270603699</v>
      </c>
      <c r="Q374">
        <f ca="1"/>
        <v>95.329142560801458</v>
      </c>
      <c r="R374">
        <f ca="1"/>
        <v>0</v>
      </c>
      <c r="S374">
        <f ca="1"/>
        <v>1</v>
      </c>
      <c r="T374">
        <f ca="1"/>
        <v>4.1099999999999994</v>
      </c>
      <c r="U374">
        <f ca="1"/>
        <v>0</v>
      </c>
      <c r="V374">
        <f ca="1"/>
        <v>0.99911832778239418</v>
      </c>
      <c r="X374" s="2">
        <f t="shared" ca="1" si="36"/>
        <v>45784</v>
      </c>
      <c r="Y374">
        <f t="shared" ca="1" si="37"/>
        <v>0</v>
      </c>
      <c r="AA374" s="63">
        <f t="shared" ca="1" si="39"/>
        <v>-97.102917666107018</v>
      </c>
      <c r="AB374" s="63">
        <f t="shared" ca="1" si="40"/>
        <v>-97.102917666107032</v>
      </c>
      <c r="AC374" s="3">
        <f t="shared" ca="1" si="41"/>
        <v>0</v>
      </c>
    </row>
    <row r="375" spans="8:29">
      <c r="H375" t="b">
        <f t="shared" ca="1" si="38"/>
        <v>0</v>
      </c>
      <c r="I375" t="b">
        <f t="shared" ca="1" si="35"/>
        <v>0</v>
      </c>
      <c r="J375" s="2">
        <f ca="1"/>
        <v>45785</v>
      </c>
      <c r="K375">
        <f ca="1"/>
        <v>-105.8016417618927</v>
      </c>
      <c r="L375">
        <f ca="1"/>
        <v>4.9819456592653495</v>
      </c>
      <c r="M375">
        <f ca="1"/>
        <v>0.18626572873829872</v>
      </c>
      <c r="N375">
        <f ca="1"/>
        <v>0.86961533782162848</v>
      </c>
      <c r="O375">
        <f ca="1"/>
        <v>0</v>
      </c>
      <c r="P375">
        <f ca="1"/>
        <v>116.66657836530234</v>
      </c>
      <c r="Q375">
        <f ca="1"/>
        <v>99.581514587956789</v>
      </c>
      <c r="R375">
        <f ca="1"/>
        <v>0</v>
      </c>
      <c r="S375">
        <f ca="1"/>
        <v>1</v>
      </c>
      <c r="T375">
        <f ca="1"/>
        <v>0.90000000000000568</v>
      </c>
      <c r="U375">
        <f ca="1"/>
        <v>0</v>
      </c>
      <c r="V375">
        <f ca="1"/>
        <v>0.99926427652437755</v>
      </c>
      <c r="X375" s="2">
        <f t="shared" ca="1" si="36"/>
        <v>45785</v>
      </c>
      <c r="Y375">
        <f t="shared" ca="1" si="37"/>
        <v>0</v>
      </c>
      <c r="AA375" s="63">
        <f t="shared" ca="1" si="39"/>
        <v>-100.81969610262736</v>
      </c>
      <c r="AB375" s="63">
        <f t="shared" ca="1" si="40"/>
        <v>-100.81969610262735</v>
      </c>
      <c r="AC375" s="3">
        <f t="shared" ca="1" si="41"/>
        <v>0</v>
      </c>
    </row>
    <row r="376" spans="8:29">
      <c r="H376" t="b">
        <f t="shared" ca="1" si="38"/>
        <v>0</v>
      </c>
      <c r="I376" t="b">
        <f t="shared" ca="1" si="35"/>
        <v>0</v>
      </c>
      <c r="J376" s="2">
        <f ca="1"/>
        <v>45786</v>
      </c>
      <c r="K376">
        <f ca="1"/>
        <v>-110.5969423640563</v>
      </c>
      <c r="L376">
        <f ca="1"/>
        <v>5.9789415903284464</v>
      </c>
      <c r="M376">
        <f ca="1"/>
        <v>0.2095703151389614</v>
      </c>
      <c r="N376">
        <f ca="1"/>
        <v>0.97407067302587558</v>
      </c>
      <c r="O376">
        <f ca="1"/>
        <v>0</v>
      </c>
      <c r="P376">
        <f ca="1"/>
        <v>122.64551995563079</v>
      </c>
      <c r="Q376">
        <f ca="1"/>
        <v>104.68487895794428</v>
      </c>
      <c r="R376">
        <f ca="1"/>
        <v>0</v>
      </c>
      <c r="S376">
        <f ca="1"/>
        <v>0.99811594202898557</v>
      </c>
      <c r="T376">
        <f ca="1"/>
        <v>0</v>
      </c>
      <c r="U376">
        <f ca="1"/>
        <v>0</v>
      </c>
      <c r="V376">
        <f ca="1"/>
        <v>0.99940432390984235</v>
      </c>
      <c r="X376" s="2">
        <f t="shared" ca="1" si="36"/>
        <v>45786</v>
      </c>
      <c r="Y376">
        <f t="shared" ca="1" si="37"/>
        <v>0</v>
      </c>
      <c r="AA376" s="63">
        <f t="shared" ca="1" si="39"/>
        <v>-104.61800077372786</v>
      </c>
      <c r="AB376" s="63">
        <f t="shared" ca="1" si="40"/>
        <v>-104.61800077372786</v>
      </c>
      <c r="AC376" s="3">
        <f t="shared" ca="1" si="41"/>
        <v>0</v>
      </c>
    </row>
    <row r="377" spans="8:29">
      <c r="H377" t="b">
        <f t="shared" ca="1" si="38"/>
        <v>0</v>
      </c>
      <c r="I377" t="b">
        <f t="shared" ca="1" si="35"/>
        <v>0</v>
      </c>
      <c r="J377" s="2">
        <f ca="1"/>
        <v>45787</v>
      </c>
      <c r="K377">
        <f ca="1"/>
        <v>-115.34790611708117</v>
      </c>
      <c r="L377">
        <f ca="1"/>
        <v>5.9051635280048629</v>
      </c>
      <c r="M377">
        <f ca="1"/>
        <v>0.20978469103307873</v>
      </c>
      <c r="N377">
        <f ca="1"/>
        <v>0.94441508394691931</v>
      </c>
      <c r="O377">
        <f ca="1"/>
        <v>0</v>
      </c>
      <c r="P377">
        <f ca="1"/>
        <v>128.55068348363565</v>
      </c>
      <c r="Q377">
        <f ca="1"/>
        <v>109.72526958435847</v>
      </c>
      <c r="R377">
        <f ca="1"/>
        <v>0</v>
      </c>
      <c r="S377">
        <f ca="1"/>
        <v>1</v>
      </c>
      <c r="T377">
        <f ca="1"/>
        <v>0.24000109950740978</v>
      </c>
      <c r="U377">
        <f ca="1"/>
        <v>0</v>
      </c>
      <c r="V377">
        <f ca="1"/>
        <v>0.99951367941301017</v>
      </c>
      <c r="X377" s="2">
        <f t="shared" ca="1" si="36"/>
        <v>45787</v>
      </c>
      <c r="Y377">
        <f t="shared" ca="1" si="37"/>
        <v>0</v>
      </c>
      <c r="AA377" s="63">
        <f t="shared" ca="1" si="39"/>
        <v>-109.4427425890763</v>
      </c>
      <c r="AB377" s="63">
        <f t="shared" ca="1" si="40"/>
        <v>-109.4427425890763</v>
      </c>
      <c r="AC377" s="3">
        <f t="shared" ca="1" si="41"/>
        <v>0</v>
      </c>
    </row>
    <row r="378" spans="8:29">
      <c r="H378" t="b">
        <f t="shared" ca="1" si="38"/>
        <v>0</v>
      </c>
      <c r="I378" t="b">
        <f t="shared" ca="1" si="35"/>
        <v>0</v>
      </c>
      <c r="J378" s="2">
        <f ca="1"/>
        <v>45788</v>
      </c>
      <c r="K378">
        <f ca="1"/>
        <v>-119.85821135296686</v>
      </c>
      <c r="L378">
        <f ca="1"/>
        <v>5.6086768207827902</v>
      </c>
      <c r="M378">
        <f ca="1"/>
        <v>0.20529658132645068</v>
      </c>
      <c r="N378">
        <f ca="1"/>
        <v>0.89307500357064784</v>
      </c>
      <c r="O378">
        <f ca="1"/>
        <v>0</v>
      </c>
      <c r="P378">
        <f ca="1"/>
        <v>134.15936030441844</v>
      </c>
      <c r="Q378">
        <f ca="1"/>
        <v>114.51259205900152</v>
      </c>
      <c r="R378">
        <f ca="1"/>
        <v>0</v>
      </c>
      <c r="S378">
        <f ca="1"/>
        <v>1</v>
      </c>
      <c r="T378">
        <f ca="1"/>
        <v>2.6400000000000006</v>
      </c>
      <c r="U378">
        <f ca="1"/>
        <v>0</v>
      </c>
      <c r="V378">
        <f ca="1"/>
        <v>0.99959702541259454</v>
      </c>
      <c r="X378" s="2">
        <f t="shared" ca="1" si="36"/>
        <v>45788</v>
      </c>
      <c r="Y378">
        <f t="shared" ca="1" si="37"/>
        <v>0</v>
      </c>
      <c r="AA378" s="63">
        <f t="shared" ca="1" si="39"/>
        <v>-114.24953453218407</v>
      </c>
      <c r="AB378" s="63">
        <f t="shared" ca="1" si="40"/>
        <v>-114.24953453218407</v>
      </c>
      <c r="AC378" s="3">
        <f t="shared" ca="1" si="41"/>
        <v>0</v>
      </c>
    </row>
    <row r="379" spans="8:29">
      <c r="H379" t="b">
        <f t="shared" ca="1" si="38"/>
        <v>0</v>
      </c>
      <c r="I379" t="b">
        <f t="shared" ca="1" si="35"/>
        <v>0</v>
      </c>
      <c r="J379" s="2">
        <f ca="1"/>
        <v>45789</v>
      </c>
      <c r="K379">
        <f ca="1"/>
        <v>-124.78000126974584</v>
      </c>
      <c r="L379">
        <f ca="1"/>
        <v>6.0688838721461593</v>
      </c>
      <c r="M379">
        <f ca="1"/>
        <v>0.21648820822013448</v>
      </c>
      <c r="N379">
        <f ca="1"/>
        <v>0.9306057471470609</v>
      </c>
      <c r="O379">
        <f ca="1"/>
        <v>0</v>
      </c>
      <c r="P379">
        <f ca="1"/>
        <v>140.2282441765646</v>
      </c>
      <c r="Q379">
        <f ca="1"/>
        <v>119.69272724694217</v>
      </c>
      <c r="R379">
        <f ca="1"/>
        <v>0</v>
      </c>
      <c r="S379">
        <f ca="1"/>
        <v>1</v>
      </c>
      <c r="T379">
        <f ca="1"/>
        <v>4.9399999999999977</v>
      </c>
      <c r="U379">
        <f ca="1"/>
        <v>0</v>
      </c>
      <c r="V379">
        <f ca="1"/>
        <v>0.9996697152629902</v>
      </c>
      <c r="X379" s="2">
        <f t="shared" ca="1" si="36"/>
        <v>45789</v>
      </c>
      <c r="Y379">
        <f t="shared" ca="1" si="37"/>
        <v>0</v>
      </c>
      <c r="AA379" s="63">
        <f t="shared" ca="1" si="39"/>
        <v>-118.71111739759966</v>
      </c>
      <c r="AB379" s="63">
        <f t="shared" ca="1" si="40"/>
        <v>-118.71111739759968</v>
      </c>
      <c r="AC379" s="3">
        <f t="shared" ca="1" si="41"/>
        <v>0</v>
      </c>
    </row>
    <row r="380" spans="8:29">
      <c r="H380" t="b">
        <f t="shared" ca="1" si="38"/>
        <v>0</v>
      </c>
      <c r="I380" t="b">
        <f t="shared" ca="1" si="35"/>
        <v>0</v>
      </c>
      <c r="J380" s="2">
        <f ca="1"/>
        <v>45790</v>
      </c>
      <c r="K380">
        <f ca="1"/>
        <v>-129.39536811490458</v>
      </c>
      <c r="L380">
        <f ca="1"/>
        <v>5.7023545257031856</v>
      </c>
      <c r="M380">
        <f ca="1"/>
        <v>0.21037494210830943</v>
      </c>
      <c r="N380">
        <f ca="1"/>
        <v>0.8766127384361353</v>
      </c>
      <c r="O380">
        <f ca="1"/>
        <v>0</v>
      </c>
      <c r="P380">
        <f ca="1"/>
        <v>145.93059870226779</v>
      </c>
      <c r="Q380">
        <f ca="1"/>
        <v>124.56000893415327</v>
      </c>
      <c r="R380">
        <f ca="1"/>
        <v>0</v>
      </c>
      <c r="S380">
        <f ca="1"/>
        <v>1</v>
      </c>
      <c r="T380">
        <f ca="1"/>
        <v>3.8299999999999983</v>
      </c>
      <c r="U380">
        <f ca="1"/>
        <v>0</v>
      </c>
      <c r="V380">
        <f ca="1"/>
        <v>0.99972498969341783</v>
      </c>
      <c r="X380" s="2">
        <f t="shared" ca="1" si="36"/>
        <v>45790</v>
      </c>
      <c r="Y380">
        <f t="shared" ca="1" si="37"/>
        <v>0</v>
      </c>
      <c r="AA380" s="63">
        <f t="shared" ca="1" si="39"/>
        <v>-123.6930135892014</v>
      </c>
      <c r="AB380" s="63">
        <f t="shared" ca="1" si="40"/>
        <v>-123.6930135892014</v>
      </c>
      <c r="AC380" s="3">
        <f t="shared" ca="1" si="41"/>
        <v>0</v>
      </c>
    </row>
    <row r="381" spans="8:29">
      <c r="H381" t="b">
        <f t="shared" ca="1" si="38"/>
        <v>0</v>
      </c>
      <c r="I381" t="b">
        <f t="shared" ca="1" si="35"/>
        <v>0</v>
      </c>
      <c r="J381" s="2">
        <f ca="1"/>
        <v>45791</v>
      </c>
      <c r="K381">
        <f ca="1"/>
        <v>-134.18102849011069</v>
      </c>
      <c r="L381">
        <f ca="1"/>
        <v>5.8863742017261984</v>
      </c>
      <c r="M381">
        <f ca="1"/>
        <v>0.21550158410001785</v>
      </c>
      <c r="N381">
        <f ca="1"/>
        <v>0.88521224242005803</v>
      </c>
      <c r="O381">
        <f ca="1"/>
        <v>0</v>
      </c>
      <c r="P381">
        <f ca="1"/>
        <v>151.81697290399399</v>
      </c>
      <c r="Q381">
        <f ca="1"/>
        <v>129.58436180926682</v>
      </c>
      <c r="R381">
        <f ca="1"/>
        <v>0</v>
      </c>
      <c r="S381">
        <f ca="1"/>
        <v>1</v>
      </c>
      <c r="T381">
        <f ca="1"/>
        <v>3.6800000000000068</v>
      </c>
      <c r="U381">
        <f ca="1"/>
        <v>0</v>
      </c>
      <c r="V381">
        <f ca="1"/>
        <v>0.99977159983162156</v>
      </c>
      <c r="X381" s="2">
        <f t="shared" ca="1" si="36"/>
        <v>45791</v>
      </c>
      <c r="Y381">
        <f t="shared" ca="1" si="37"/>
        <v>0</v>
      </c>
      <c r="AA381" s="63">
        <f t="shared" ca="1" si="39"/>
        <v>-128.29465428838449</v>
      </c>
      <c r="AB381" s="63">
        <f t="shared" ca="1" si="40"/>
        <v>-128.29465428838449</v>
      </c>
      <c r="AC381" s="3">
        <f t="shared" ca="1" si="41"/>
        <v>0</v>
      </c>
    </row>
    <row r="382" spans="8:29">
      <c r="H382" t="b">
        <f t="shared" ca="1" si="38"/>
        <v>0</v>
      </c>
      <c r="I382" t="b">
        <f t="shared" ca="1" si="35"/>
        <v>0</v>
      </c>
      <c r="J382" s="2">
        <f ca="1"/>
        <v>45792</v>
      </c>
      <c r="K382">
        <f ca="1"/>
        <v>-139.36972125798334</v>
      </c>
      <c r="L382">
        <f ca="1"/>
        <v>6.3372867196111144</v>
      </c>
      <c r="M382">
        <f ca="1"/>
        <v>0.22605311056405952</v>
      </c>
      <c r="N382">
        <f ca="1"/>
        <v>0.92254084117440827</v>
      </c>
      <c r="O382">
        <f ca="1"/>
        <v>0</v>
      </c>
      <c r="P382">
        <f ca="1"/>
        <v>158.1542596236051</v>
      </c>
      <c r="Q382">
        <f ca="1"/>
        <v>134.99359398834912</v>
      </c>
      <c r="R382">
        <f ca="1"/>
        <v>0</v>
      </c>
      <c r="S382">
        <f ca="1"/>
        <v>1</v>
      </c>
      <c r="T382">
        <f ca="1"/>
        <v>7.6099999999999994</v>
      </c>
      <c r="U382">
        <f ca="1"/>
        <v>0</v>
      </c>
      <c r="V382">
        <f ca="1"/>
        <v>0.99981237020469371</v>
      </c>
      <c r="X382" s="2">
        <f t="shared" ca="1" si="36"/>
        <v>45792</v>
      </c>
      <c r="Y382">
        <f t="shared" ca="1" si="37"/>
        <v>0</v>
      </c>
      <c r="AA382" s="63">
        <f t="shared" ca="1" si="39"/>
        <v>-133.03243453837223</v>
      </c>
      <c r="AB382" s="63">
        <f t="shared" ca="1" si="40"/>
        <v>-133.03243453837223</v>
      </c>
      <c r="AC382" s="3">
        <f t="shared" ca="1" si="41"/>
        <v>0</v>
      </c>
    </row>
    <row r="383" spans="8:29">
      <c r="H383" t="b">
        <f t="shared" ca="1" si="38"/>
        <v>0</v>
      </c>
      <c r="I383" t="b">
        <f t="shared" ca="1" si="35"/>
        <v>0</v>
      </c>
      <c r="J383" s="2">
        <f ca="1"/>
        <v>45793</v>
      </c>
      <c r="K383">
        <f ca="1"/>
        <v>-144.25053299578758</v>
      </c>
      <c r="L383">
        <f ca="1"/>
        <v>5.9757062128160214</v>
      </c>
      <c r="M383">
        <f ca="1"/>
        <v>0.21983971201471775</v>
      </c>
      <c r="N383">
        <f ca="1"/>
        <v>0.87505476299706531</v>
      </c>
      <c r="O383">
        <f ca="1"/>
        <v>0</v>
      </c>
      <c r="P383">
        <f ca="1"/>
        <v>164.12996583642112</v>
      </c>
      <c r="Q383">
        <f ca="1"/>
        <v>140.09419678087826</v>
      </c>
      <c r="R383">
        <f ca="1"/>
        <v>0</v>
      </c>
      <c r="S383">
        <f ca="1"/>
        <v>1</v>
      </c>
      <c r="T383">
        <f ca="1"/>
        <v>3.6300000000000097</v>
      </c>
      <c r="U383">
        <f ca="1"/>
        <v>0</v>
      </c>
      <c r="V383">
        <f ca="1"/>
        <v>0.99984370195379235</v>
      </c>
      <c r="X383" s="2">
        <f t="shared" ca="1" si="36"/>
        <v>45793</v>
      </c>
      <c r="Y383">
        <f t="shared" ca="1" si="37"/>
        <v>0</v>
      </c>
      <c r="AA383" s="63">
        <f t="shared" ca="1" si="39"/>
        <v>-138.27482678297159</v>
      </c>
      <c r="AB383" s="63">
        <f t="shared" ca="1" si="40"/>
        <v>-138.27482678297156</v>
      </c>
      <c r="AC383" s="3">
        <f t="shared" ca="1" si="41"/>
        <v>0</v>
      </c>
    </row>
    <row r="384" spans="8:29">
      <c r="H384" t="b">
        <f t="shared" ca="1" si="38"/>
        <v>0</v>
      </c>
      <c r="I384" t="b">
        <f t="shared" ca="1" si="35"/>
        <v>0</v>
      </c>
      <c r="J384" s="2">
        <f ca="1"/>
        <v>45794</v>
      </c>
      <c r="K384">
        <f ca="1"/>
        <v>-148.77400086163729</v>
      </c>
      <c r="L384">
        <f ca="1"/>
        <v>5.5632849461517537</v>
      </c>
      <c r="M384">
        <f ca="1"/>
        <v>0.21296354937805262</v>
      </c>
      <c r="N384">
        <f ca="1"/>
        <v>0.82685353092399017</v>
      </c>
      <c r="O384">
        <f ca="1"/>
        <v>0</v>
      </c>
      <c r="P384">
        <f ca="1"/>
        <v>169.69325078257287</v>
      </c>
      <c r="Q384">
        <f ca="1"/>
        <v>144.84277472654756</v>
      </c>
      <c r="R384">
        <f ca="1"/>
        <v>0</v>
      </c>
      <c r="S384">
        <f ca="1"/>
        <v>1</v>
      </c>
      <c r="T384">
        <f ca="1"/>
        <v>2.4099999999999966</v>
      </c>
      <c r="U384">
        <f ca="1"/>
        <v>0</v>
      </c>
      <c r="V384">
        <f ca="1"/>
        <v>0.99986788407476157</v>
      </c>
      <c r="X384" s="2">
        <f t="shared" ca="1" si="36"/>
        <v>45794</v>
      </c>
      <c r="Y384">
        <f t="shared" ca="1" si="37"/>
        <v>0</v>
      </c>
      <c r="AA384" s="63">
        <f t="shared" ca="1" si="39"/>
        <v>-143.21071591548554</v>
      </c>
      <c r="AB384" s="63">
        <f t="shared" ca="1" si="40"/>
        <v>-143.21071591548554</v>
      </c>
      <c r="AC384" s="3">
        <f t="shared" ca="1" si="41"/>
        <v>0</v>
      </c>
    </row>
    <row r="385" spans="8:29">
      <c r="H385" t="b">
        <f t="shared" ca="1" si="38"/>
        <v>0</v>
      </c>
      <c r="I385" t="b">
        <f t="shared" ca="1" si="35"/>
        <v>0</v>
      </c>
      <c r="J385" s="2">
        <f ca="1"/>
        <v>45795</v>
      </c>
      <c r="K385">
        <f ca="1"/>
        <v>-152.90834450183232</v>
      </c>
      <c r="L385">
        <f ca="1"/>
        <v>5.1197926261112059</v>
      </c>
      <c r="M385">
        <f ca="1"/>
        <v>0.2058336151899951</v>
      </c>
      <c r="N385">
        <f ca="1"/>
        <v>0.77961537072619613</v>
      </c>
      <c r="O385">
        <f ca="1"/>
        <v>0</v>
      </c>
      <c r="P385">
        <f ca="1"/>
        <v>174.81304340868408</v>
      </c>
      <c r="Q385">
        <f ca="1"/>
        <v>149.2128069262408</v>
      </c>
      <c r="R385">
        <f ca="1"/>
        <v>0</v>
      </c>
      <c r="S385">
        <f ca="1"/>
        <v>1</v>
      </c>
      <c r="T385">
        <f ca="1"/>
        <v>1.2900000000000063</v>
      </c>
      <c r="U385">
        <f ca="1"/>
        <v>0</v>
      </c>
      <c r="V385">
        <f ca="1"/>
        <v>0.99988665346075001</v>
      </c>
      <c r="X385" s="2">
        <f t="shared" ca="1" si="36"/>
        <v>45795</v>
      </c>
      <c r="Y385">
        <f t="shared" ca="1" si="37"/>
        <v>0</v>
      </c>
      <c r="AA385" s="63">
        <f t="shared" ca="1" si="39"/>
        <v>-147.78855187572111</v>
      </c>
      <c r="AB385" s="63">
        <f t="shared" ca="1" si="40"/>
        <v>-147.78855187572111</v>
      </c>
      <c r="AC385" s="3">
        <f t="shared" ca="1" si="41"/>
        <v>0</v>
      </c>
    </row>
    <row r="386" spans="8:29">
      <c r="H386" t="b">
        <f t="shared" ca="1" si="38"/>
        <v>0</v>
      </c>
      <c r="I386" t="b">
        <f t="shared" ca="1" si="35"/>
        <v>0</v>
      </c>
      <c r="J386" s="2">
        <f ca="1"/>
        <v>45796</v>
      </c>
      <c r="K386">
        <f ca="1"/>
        <v>-157.28957967691693</v>
      </c>
      <c r="L386">
        <f ca="1"/>
        <v>5.3948827541473179</v>
      </c>
      <c r="M386">
        <f ca="1"/>
        <v>0.21210535078026282</v>
      </c>
      <c r="N386">
        <f ca="1"/>
        <v>0.80154222828245403</v>
      </c>
      <c r="O386">
        <f ca="1"/>
        <v>0</v>
      </c>
      <c r="P386">
        <f ca="1"/>
        <v>180.2079261628314</v>
      </c>
      <c r="Q386">
        <f ca="1"/>
        <v>153.81764408877658</v>
      </c>
      <c r="R386">
        <f ca="1"/>
        <v>0</v>
      </c>
      <c r="S386">
        <f ca="1"/>
        <v>1</v>
      </c>
      <c r="T386">
        <f ca="1"/>
        <v>1.0499999999999972</v>
      </c>
      <c r="U386">
        <f ca="1"/>
        <v>0</v>
      </c>
      <c r="V386">
        <f ca="1"/>
        <v>0.99990343154935091</v>
      </c>
      <c r="X386" s="2">
        <f t="shared" ca="1" si="36"/>
        <v>45796</v>
      </c>
      <c r="Y386">
        <f t="shared" ca="1" si="37"/>
        <v>0</v>
      </c>
      <c r="AA386" s="63">
        <f t="shared" ca="1" si="39"/>
        <v>-151.89469692276961</v>
      </c>
      <c r="AB386" s="63">
        <f t="shared" ca="1" si="40"/>
        <v>-151.89469692276961</v>
      </c>
      <c r="AC386" s="3">
        <f t="shared" ca="1" si="41"/>
        <v>0</v>
      </c>
    </row>
    <row r="387" spans="8:29">
      <c r="H387" t="b">
        <f t="shared" ca="1" si="38"/>
        <v>0</v>
      </c>
      <c r="I387" t="b">
        <f t="shared" ca="1" si="35"/>
        <v>0</v>
      </c>
      <c r="J387" s="2">
        <f ca="1"/>
        <v>45797</v>
      </c>
      <c r="K387">
        <f ca="1"/>
        <v>-161.60703983549101</v>
      </c>
      <c r="L387">
        <f ca="1"/>
        <v>5.320545258510208</v>
      </c>
      <c r="M387">
        <f ca="1"/>
        <v>0.21182275153453389</v>
      </c>
      <c r="N387">
        <f ca="1"/>
        <v>0.7912623484015936</v>
      </c>
      <c r="O387">
        <f ca="1"/>
        <v>0</v>
      </c>
      <c r="P387">
        <f ca="1"/>
        <v>185.52847142134161</v>
      </c>
      <c r="Q387">
        <f ca="1"/>
        <v>158.35902999980624</v>
      </c>
      <c r="R387">
        <f ca="1"/>
        <v>0</v>
      </c>
      <c r="S387">
        <f ca="1"/>
        <v>0.9862318840579708</v>
      </c>
      <c r="T387">
        <f ca="1"/>
        <v>0</v>
      </c>
      <c r="U387">
        <f ca="1"/>
        <v>0</v>
      </c>
      <c r="V387">
        <f ca="1"/>
        <v>0.99991745840789015</v>
      </c>
      <c r="X387" s="2">
        <f t="shared" ca="1" si="36"/>
        <v>45797</v>
      </c>
      <c r="Y387">
        <f t="shared" ca="1" si="37"/>
        <v>0</v>
      </c>
      <c r="AA387" s="63">
        <f t="shared" ca="1" si="39"/>
        <v>-156.2864945769808</v>
      </c>
      <c r="AB387" s="63">
        <f t="shared" ca="1" si="40"/>
        <v>-156.2864945769808</v>
      </c>
      <c r="AC387" s="3">
        <f t="shared" ca="1" si="41"/>
        <v>0</v>
      </c>
    </row>
    <row r="388" spans="8:29">
      <c r="H388" t="b">
        <f t="shared" ca="1" si="38"/>
        <v>0</v>
      </c>
      <c r="I388" t="b">
        <f t="shared" ca="1" si="35"/>
        <v>0</v>
      </c>
      <c r="J388" s="2">
        <f ca="1"/>
        <v>45798</v>
      </c>
      <c r="K388">
        <f ca="1"/>
        <v>-165.84483502220155</v>
      </c>
      <c r="L388">
        <f ca="1"/>
        <v>5.2293345338813992</v>
      </c>
      <c r="M388">
        <f ca="1"/>
        <v>0.21119920689590543</v>
      </c>
      <c r="N388">
        <f ca="1"/>
        <v>0.78034014027493936</v>
      </c>
      <c r="O388">
        <f ca="1"/>
        <v>0</v>
      </c>
      <c r="P388">
        <f ca="1"/>
        <v>190.75780595522301</v>
      </c>
      <c r="Q388">
        <f ca="1"/>
        <v>162.82256240529492</v>
      </c>
      <c r="R388">
        <f ca="1"/>
        <v>0</v>
      </c>
      <c r="S388">
        <f ca="1"/>
        <v>0.99985508743830231</v>
      </c>
      <c r="T388">
        <f ca="1"/>
        <v>0</v>
      </c>
      <c r="U388">
        <f ca="1"/>
        <v>0</v>
      </c>
      <c r="V388">
        <f ca="1"/>
        <v>0.9999292018282937</v>
      </c>
      <c r="X388" s="2">
        <f t="shared" ca="1" si="36"/>
        <v>45798</v>
      </c>
      <c r="Y388">
        <f t="shared" ca="1" si="37"/>
        <v>0</v>
      </c>
      <c r="AA388" s="63">
        <f t="shared" ca="1" si="39"/>
        <v>-160.61550048832015</v>
      </c>
      <c r="AB388" s="63">
        <f t="shared" ca="1" si="40"/>
        <v>-160.61550048832015</v>
      </c>
      <c r="AC388" s="3">
        <f t="shared" ca="1" si="41"/>
        <v>0</v>
      </c>
    </row>
    <row r="389" spans="8:29">
      <c r="H389" t="b">
        <f t="shared" ca="1" si="38"/>
        <v>0</v>
      </c>
      <c r="I389" t="b">
        <f t="shared" ca="1" si="35"/>
        <v>0</v>
      </c>
      <c r="J389" s="2">
        <f ca="1"/>
        <v>45799</v>
      </c>
      <c r="K389">
        <f ca="1"/>
        <v>-169.07645970601527</v>
      </c>
      <c r="L389">
        <f ca="1"/>
        <v>4.104265247333359</v>
      </c>
      <c r="M389">
        <f ca="1"/>
        <v>0.19235194126869715</v>
      </c>
      <c r="N389">
        <f ca="1"/>
        <v>0.68028862225092768</v>
      </c>
      <c r="O389">
        <f ca="1"/>
        <v>0</v>
      </c>
      <c r="P389">
        <f ca="1"/>
        <v>194.86207120255636</v>
      </c>
      <c r="Q389">
        <f ca="1"/>
        <v>166.32578462477613</v>
      </c>
      <c r="R389">
        <f ca="1"/>
        <v>0</v>
      </c>
      <c r="S389">
        <f ca="1"/>
        <v>1</v>
      </c>
      <c r="T389">
        <f ca="1"/>
        <v>1.8100010433428366</v>
      </c>
      <c r="U389">
        <f ca="1"/>
        <v>0</v>
      </c>
      <c r="V389">
        <f ca="1"/>
        <v>0.99993720996502744</v>
      </c>
      <c r="X389" s="2">
        <f t="shared" ca="1" si="36"/>
        <v>45799</v>
      </c>
      <c r="Y389">
        <f t="shared" ca="1" si="37"/>
        <v>0</v>
      </c>
      <c r="AA389" s="63">
        <f t="shared" ca="1" si="39"/>
        <v>-164.97219445868191</v>
      </c>
      <c r="AB389" s="63">
        <f t="shared" ca="1" si="40"/>
        <v>-164.97219445868191</v>
      </c>
      <c r="AC389" s="3">
        <f t="shared" ca="1" si="41"/>
        <v>0</v>
      </c>
    </row>
    <row r="390" spans="8:29">
      <c r="H390" t="b">
        <f t="shared" ca="1" si="38"/>
        <v>0</v>
      </c>
      <c r="I390" t="b">
        <f t="shared" ca="1" si="35"/>
        <v>0</v>
      </c>
      <c r="J390" s="2">
        <f ca="1"/>
        <v>45800</v>
      </c>
      <c r="K390">
        <f ca="1"/>
        <v>-172.72342071570537</v>
      </c>
      <c r="L390">
        <f ca="1"/>
        <v>4.5670257455585386</v>
      </c>
      <c r="M390">
        <f ca="1"/>
        <v>0.20120731828976091</v>
      </c>
      <c r="N390">
        <f ca="1"/>
        <v>0.71885741757866928</v>
      </c>
      <c r="O390">
        <f ca="1"/>
        <v>0</v>
      </c>
      <c r="P390">
        <f ca="1"/>
        <v>199.4290969481149</v>
      </c>
      <c r="Q390">
        <f ca="1"/>
        <v>170.22399906868384</v>
      </c>
      <c r="R390">
        <f ca="1"/>
        <v>0</v>
      </c>
      <c r="S390">
        <f ca="1"/>
        <v>1</v>
      </c>
      <c r="T390">
        <f ca="1"/>
        <v>1.8500000000000085</v>
      </c>
      <c r="U390">
        <f ca="1"/>
        <v>0</v>
      </c>
      <c r="V390">
        <f ca="1"/>
        <v>0.99994504447071331</v>
      </c>
      <c r="X390" s="2">
        <f t="shared" ca="1" si="36"/>
        <v>45800</v>
      </c>
      <c r="Y390">
        <f t="shared" ca="1" si="37"/>
        <v>0</v>
      </c>
      <c r="AA390" s="63">
        <f t="shared" ca="1" si="39"/>
        <v>-168.15639497014683</v>
      </c>
      <c r="AB390" s="63">
        <f t="shared" ca="1" si="40"/>
        <v>-168.15639497014683</v>
      </c>
      <c r="AC390" s="3">
        <f t="shared" ca="1" si="41"/>
        <v>0</v>
      </c>
    </row>
    <row r="391" spans="8:29">
      <c r="H391" t="b">
        <f t="shared" ca="1" si="38"/>
        <v>0</v>
      </c>
      <c r="I391" t="b">
        <f t="shared" ca="1" si="35"/>
        <v>0</v>
      </c>
      <c r="J391" s="2">
        <f ca="1"/>
        <v>45801</v>
      </c>
      <c r="K391">
        <f ca="1"/>
        <v>-176.54709202836824</v>
      </c>
      <c r="L391">
        <f ca="1"/>
        <v>4.7647883096247199</v>
      </c>
      <c r="M391">
        <f ca="1"/>
        <v>0.20561563617454226</v>
      </c>
      <c r="N391">
        <f ca="1"/>
        <v>0.73550136078731698</v>
      </c>
      <c r="O391">
        <f ca="1"/>
        <v>0</v>
      </c>
      <c r="P391">
        <f ca="1"/>
        <v>204.19388525773962</v>
      </c>
      <c r="Q391">
        <f ca="1"/>
        <v>174.29101503171083</v>
      </c>
      <c r="R391">
        <f ca="1"/>
        <v>0</v>
      </c>
      <c r="S391">
        <f ca="1"/>
        <v>1</v>
      </c>
      <c r="T391">
        <f ca="1"/>
        <v>4.6600000000000108</v>
      </c>
      <c r="U391">
        <f ca="1"/>
        <v>0</v>
      </c>
      <c r="V391">
        <f ca="1"/>
        <v>0.99995216876740844</v>
      </c>
      <c r="X391" s="2">
        <f t="shared" ca="1" si="36"/>
        <v>45801</v>
      </c>
      <c r="Y391">
        <f t="shared" ca="1" si="37"/>
        <v>0</v>
      </c>
      <c r="AA391" s="63">
        <f t="shared" ca="1" si="39"/>
        <v>-171.78230371874352</v>
      </c>
      <c r="AB391" s="63">
        <f t="shared" ca="1" si="40"/>
        <v>-171.78230371874352</v>
      </c>
      <c r="AC391" s="3">
        <f t="shared" ca="1" si="41"/>
        <v>0</v>
      </c>
    </row>
    <row r="392" spans="8:29">
      <c r="H392" t="b">
        <f t="shared" ca="1" si="38"/>
        <v>0</v>
      </c>
      <c r="I392" t="b">
        <f t="shared" ca="1" si="35"/>
        <v>0</v>
      </c>
      <c r="J392" s="2">
        <f ca="1"/>
        <v>45802</v>
      </c>
      <c r="K392">
        <f ca="1"/>
        <v>-180.22195866375586</v>
      </c>
      <c r="L392">
        <f ca="1"/>
        <v>4.5993389294430074</v>
      </c>
      <c r="M392">
        <f ca="1"/>
        <v>0.20354753068045284</v>
      </c>
      <c r="N392">
        <f ca="1"/>
        <v>0.72092476337492706</v>
      </c>
      <c r="O392">
        <f ca="1"/>
        <v>0</v>
      </c>
      <c r="P392">
        <f ca="1"/>
        <v>208.79322418718263</v>
      </c>
      <c r="Q392">
        <f ca="1"/>
        <v>178.21681060328561</v>
      </c>
      <c r="R392">
        <f ca="1"/>
        <v>0</v>
      </c>
      <c r="S392">
        <f ca="1"/>
        <v>1</v>
      </c>
      <c r="T392">
        <f ca="1"/>
        <v>2.1800000000000068</v>
      </c>
      <c r="U392">
        <f ca="1"/>
        <v>0</v>
      </c>
      <c r="V392">
        <f ca="1"/>
        <v>0.99995816604531129</v>
      </c>
      <c r="X392" s="2">
        <f t="shared" ca="1" si="36"/>
        <v>45802</v>
      </c>
      <c r="Y392">
        <f t="shared" ca="1" si="37"/>
        <v>0</v>
      </c>
      <c r="AA392" s="63">
        <f t="shared" ca="1" si="39"/>
        <v>-175.62261973431285</v>
      </c>
      <c r="AB392" s="63">
        <f t="shared" ca="1" si="40"/>
        <v>-175.62261973431285</v>
      </c>
      <c r="AC392" s="3">
        <f t="shared" ca="1" si="41"/>
        <v>0</v>
      </c>
    </row>
    <row r="393" spans="8:29">
      <c r="H393" t="b">
        <f t="shared" ca="1" si="38"/>
        <v>0</v>
      </c>
      <c r="I393" t="b">
        <f t="shared" ca="1" si="35"/>
        <v>0</v>
      </c>
      <c r="J393" s="2">
        <f ca="1"/>
        <v>45803</v>
      </c>
      <c r="K393">
        <f ca="1"/>
        <v>-184.18510127392705</v>
      </c>
      <c r="L393">
        <f ca="1"/>
        <v>4.9229320783891239</v>
      </c>
      <c r="M393">
        <f ca="1"/>
        <v>0.21023414439879673</v>
      </c>
      <c r="N393">
        <f ca="1"/>
        <v>0.7495553238191357</v>
      </c>
      <c r="O393">
        <f ca="1"/>
        <v>0</v>
      </c>
      <c r="P393">
        <f ca="1"/>
        <v>213.71615626557175</v>
      </c>
      <c r="Q393">
        <f ca="1"/>
        <v>182.41881120576002</v>
      </c>
      <c r="R393">
        <f ca="1"/>
        <v>0</v>
      </c>
      <c r="S393">
        <f ca="1"/>
        <v>1</v>
      </c>
      <c r="T393">
        <f ca="1"/>
        <v>5.1200000000000045</v>
      </c>
      <c r="U393">
        <f ca="1"/>
        <v>0</v>
      </c>
      <c r="V393">
        <f ca="1"/>
        <v>0.99996375804524829</v>
      </c>
      <c r="X393" s="2">
        <f t="shared" ca="1" si="36"/>
        <v>45803</v>
      </c>
      <c r="Y393">
        <f t="shared" ca="1" si="37"/>
        <v>0</v>
      </c>
      <c r="AA393" s="63">
        <f t="shared" ca="1" si="39"/>
        <v>-179.26216919553795</v>
      </c>
      <c r="AB393" s="63">
        <f t="shared" ca="1" si="40"/>
        <v>-179.26216919553792</v>
      </c>
      <c r="AC393" s="3">
        <f t="shared" ca="1" si="41"/>
        <v>0</v>
      </c>
    </row>
    <row r="394" spans="8:29">
      <c r="H394" t="b">
        <f t="shared" ca="1" si="38"/>
        <v>0</v>
      </c>
      <c r="I394" t="b">
        <f t="shared" ca="1" si="35"/>
        <v>0</v>
      </c>
      <c r="J394" s="2">
        <f ca="1"/>
        <v>45804</v>
      </c>
      <c r="K394">
        <f ca="1"/>
        <v>-187.70529017045408</v>
      </c>
      <c r="L394">
        <f ca="1"/>
        <v>4.429606489962282</v>
      </c>
      <c r="M394">
        <f ca="1"/>
        <v>0.20220432798674892</v>
      </c>
      <c r="N394">
        <f ca="1"/>
        <v>0.70721326544850838</v>
      </c>
      <c r="O394">
        <f ca="1"/>
        <v>0</v>
      </c>
      <c r="P394">
        <f ca="1"/>
        <v>218.14576275553404</v>
      </c>
      <c r="Q394">
        <f ca="1"/>
        <v>186.19973055284078</v>
      </c>
      <c r="R394">
        <f ca="1"/>
        <v>0</v>
      </c>
      <c r="S394">
        <f ca="1"/>
        <v>1</v>
      </c>
      <c r="T394">
        <f ca="1"/>
        <v>1.7099999999999937</v>
      </c>
      <c r="U394">
        <f ca="1"/>
        <v>0</v>
      </c>
      <c r="V394">
        <f ca="1"/>
        <v>0.99996815471883649</v>
      </c>
      <c r="X394" s="2">
        <f t="shared" ca="1" si="36"/>
        <v>45804</v>
      </c>
      <c r="Y394">
        <f t="shared" ca="1" si="37"/>
        <v>0</v>
      </c>
      <c r="AA394" s="63">
        <f t="shared" ca="1" si="39"/>
        <v>-183.2756836804918</v>
      </c>
      <c r="AB394" s="63">
        <f t="shared" ca="1" si="40"/>
        <v>-183.2756836804918</v>
      </c>
      <c r="AC394" s="3">
        <f t="shared" ca="1" si="41"/>
        <v>0</v>
      </c>
    </row>
    <row r="395" spans="8:29">
      <c r="H395" t="b">
        <f t="shared" ca="1" si="38"/>
        <v>0</v>
      </c>
      <c r="I395" t="b">
        <f t="shared" ref="I395:I458" ca="1" si="42">AND(IF(J395&gt;($J$7-1),TRUE,FALSE),IF(J395&lt;($J$8+1),TRUE,FALSE))</f>
        <v>0</v>
      </c>
      <c r="J395" s="2">
        <f ca="1"/>
        <v>45805</v>
      </c>
      <c r="K395">
        <f ca="1"/>
        <v>-191.00759133390611</v>
      </c>
      <c r="L395">
        <f ca="1"/>
        <v>4.1886530477354995</v>
      </c>
      <c r="M395">
        <f ca="1"/>
        <v>0.19872505470765844</v>
      </c>
      <c r="N395">
        <f ca="1"/>
        <v>0.68762682957579846</v>
      </c>
      <c r="O395">
        <f ca="1"/>
        <v>0</v>
      </c>
      <c r="P395">
        <f ca="1"/>
        <v>222.33441580326954</v>
      </c>
      <c r="Q395">
        <f ca="1"/>
        <v>189.77498252664009</v>
      </c>
      <c r="R395">
        <f ca="1"/>
        <v>0</v>
      </c>
      <c r="S395">
        <f ca="1"/>
        <v>1</v>
      </c>
      <c r="T395">
        <f ca="1"/>
        <v>1.7700000000000102</v>
      </c>
      <c r="U395">
        <f ca="1"/>
        <v>0</v>
      </c>
      <c r="V395">
        <f ca="1"/>
        <v>0.99997182897580328</v>
      </c>
      <c r="X395" s="2">
        <f t="shared" ref="X395:X458" ca="1" si="43">IFERROR(J395,$X$9)</f>
        <v>45805</v>
      </c>
      <c r="Y395">
        <f t="shared" ref="Y395:Y458" ca="1" si="44">IFERROR(O395,0)</f>
        <v>0</v>
      </c>
      <c r="AA395" s="63">
        <f t="shared" ca="1" si="39"/>
        <v>-186.81893828617061</v>
      </c>
      <c r="AB395" s="63">
        <f t="shared" ca="1" si="40"/>
        <v>-186.81893828617061</v>
      </c>
      <c r="AC395" s="3">
        <f t="shared" ca="1" si="41"/>
        <v>0</v>
      </c>
    </row>
    <row r="396" spans="8:29">
      <c r="H396" t="b">
        <f t="shared" ref="H396:H459" ca="1" si="45">IF(J396&lt;$J$8,TRUE,FALSE)</f>
        <v>0</v>
      </c>
      <c r="I396" t="b">
        <f t="shared" ca="1" si="42"/>
        <v>0</v>
      </c>
      <c r="J396" s="2">
        <f ca="1"/>
        <v>45806</v>
      </c>
      <c r="K396">
        <f ca="1"/>
        <v>-194.66351506812609</v>
      </c>
      <c r="L396">
        <f ca="1"/>
        <v>4.5854123734500263</v>
      </c>
      <c r="M396">
        <f ca="1"/>
        <v>0.20649277709306801</v>
      </c>
      <c r="N396">
        <f ca="1"/>
        <v>0.72299586213697042</v>
      </c>
      <c r="O396">
        <f ca="1"/>
        <v>0</v>
      </c>
      <c r="P396">
        <f ca="1"/>
        <v>226.91982817671956</v>
      </c>
      <c r="Q396">
        <f ca="1"/>
        <v>193.68889099602839</v>
      </c>
      <c r="R396">
        <f ca="1"/>
        <v>0</v>
      </c>
      <c r="S396">
        <f ca="1"/>
        <v>1</v>
      </c>
      <c r="T396">
        <f ca="1"/>
        <v>2.1400000000000006</v>
      </c>
      <c r="U396">
        <f ca="1"/>
        <v>0</v>
      </c>
      <c r="V396">
        <f ca="1"/>
        <v>0.99997537839274153</v>
      </c>
      <c r="X396" s="2">
        <f t="shared" ca="1" si="43"/>
        <v>45806</v>
      </c>
      <c r="Y396">
        <f t="shared" ca="1" si="44"/>
        <v>0</v>
      </c>
      <c r="AA396" s="63">
        <f t="shared" ca="1" si="39"/>
        <v>-190.07810269467606</v>
      </c>
      <c r="AB396" s="63">
        <f t="shared" ca="1" si="40"/>
        <v>-190.07810269467606</v>
      </c>
      <c r="AC396" s="3">
        <f t="shared" ca="1" si="41"/>
        <v>0</v>
      </c>
    </row>
    <row r="397" spans="8:29">
      <c r="H397" t="b">
        <f t="shared" ca="1" si="45"/>
        <v>0</v>
      </c>
      <c r="I397" t="b">
        <f t="shared" ca="1" si="42"/>
        <v>0</v>
      </c>
      <c r="J397" s="2">
        <f ca="1"/>
        <v>45807</v>
      </c>
      <c r="K397">
        <f ca="1"/>
        <v>-197.49467956329352</v>
      </c>
      <c r="L397">
        <f ca="1"/>
        <v>3.6692344187563606</v>
      </c>
      <c r="M397">
        <f ca="1"/>
        <v>0.19115224110609574</v>
      </c>
      <c r="N397">
        <f ca="1"/>
        <v>0.64691768248284565</v>
      </c>
      <c r="O397">
        <f ca="1"/>
        <v>0</v>
      </c>
      <c r="P397">
        <f ca="1"/>
        <v>230.58906259547592</v>
      </c>
      <c r="Q397">
        <f ca="1"/>
        <v>196.82078983044809</v>
      </c>
      <c r="R397">
        <f ca="1"/>
        <v>0</v>
      </c>
      <c r="S397">
        <f ca="1"/>
        <v>1</v>
      </c>
      <c r="T397">
        <f ca="1"/>
        <v>0.85999999999998522</v>
      </c>
      <c r="U397">
        <f ca="1"/>
        <v>0</v>
      </c>
      <c r="V397">
        <f ca="1"/>
        <v>0.99997790339301573</v>
      </c>
      <c r="X397" s="2">
        <f t="shared" ca="1" si="43"/>
        <v>45807</v>
      </c>
      <c r="Y397">
        <f t="shared" ca="1" si="44"/>
        <v>0</v>
      </c>
      <c r="AA397" s="63">
        <f t="shared" ca="1" si="39"/>
        <v>-193.82544514453716</v>
      </c>
      <c r="AB397" s="63">
        <f t="shared" ca="1" si="40"/>
        <v>-193.82544514453716</v>
      </c>
      <c r="AC397" s="3">
        <f t="shared" ca="1" si="41"/>
        <v>0</v>
      </c>
    </row>
    <row r="398" spans="8:29">
      <c r="H398" t="b">
        <f t="shared" ca="1" si="45"/>
        <v>0</v>
      </c>
      <c r="I398" t="b">
        <f t="shared" ca="1" si="42"/>
        <v>0</v>
      </c>
      <c r="J398" s="2">
        <f ca="1"/>
        <v>45808</v>
      </c>
      <c r="K398">
        <f ca="1"/>
        <v>-200.35207133339739</v>
      </c>
      <c r="L398">
        <f ca="1"/>
        <v>3.7003911634915312</v>
      </c>
      <c r="M398">
        <f ca="1"/>
        <v>0.19221118768687262</v>
      </c>
      <c r="N398">
        <f ca="1"/>
        <v>0.65078820570080542</v>
      </c>
      <c r="O398">
        <f ca="1"/>
        <v>0</v>
      </c>
      <c r="P398">
        <f ca="1"/>
        <v>234.28945375896745</v>
      </c>
      <c r="Q398">
        <f ca="1"/>
        <v>199.979282706399</v>
      </c>
      <c r="R398">
        <f ca="1"/>
        <v>0</v>
      </c>
      <c r="S398">
        <f ca="1"/>
        <v>1</v>
      </c>
      <c r="T398">
        <f ca="1"/>
        <v>3.6000000000000085</v>
      </c>
      <c r="U398">
        <f ca="1"/>
        <v>0</v>
      </c>
      <c r="V398">
        <f ca="1"/>
        <v>0.99998019706159946</v>
      </c>
      <c r="X398" s="2">
        <f t="shared" ca="1" si="43"/>
        <v>45808</v>
      </c>
      <c r="Y398">
        <f t="shared" ca="1" si="44"/>
        <v>0</v>
      </c>
      <c r="AA398" s="63">
        <f t="shared" ca="1" si="39"/>
        <v>-196.65168016990586</v>
      </c>
      <c r="AB398" s="63">
        <f t="shared" ca="1" si="40"/>
        <v>-196.65168016990586</v>
      </c>
      <c r="AC398" s="3">
        <f t="shared" ca="1" si="41"/>
        <v>0</v>
      </c>
    </row>
    <row r="399" spans="8:29">
      <c r="H399" t="b">
        <f t="shared" ca="1" si="45"/>
        <v>0</v>
      </c>
      <c r="I399" t="b">
        <f t="shared" ca="1" si="42"/>
        <v>0</v>
      </c>
      <c r="J399" s="2">
        <f ca="1"/>
        <v>45809</v>
      </c>
      <c r="K399">
        <f ca="1"/>
        <v>-203.38649801763626</v>
      </c>
      <c r="L399">
        <f ca="1"/>
        <v>3.899649140367103</v>
      </c>
      <c r="M399">
        <f ca="1"/>
        <v>0.19617641531193897</v>
      </c>
      <c r="N399">
        <f ca="1"/>
        <v>0.66904604081632513</v>
      </c>
      <c r="O399">
        <f ca="1"/>
        <v>0</v>
      </c>
      <c r="P399">
        <f ca="1"/>
        <v>238.18910289933456</v>
      </c>
      <c r="Q399">
        <f ca="1"/>
        <v>203.30785352077092</v>
      </c>
      <c r="R399">
        <f ca="1"/>
        <v>0</v>
      </c>
      <c r="S399">
        <f ca="1"/>
        <v>1</v>
      </c>
      <c r="T399">
        <f ca="1"/>
        <v>1.3299999999999983</v>
      </c>
      <c r="U399">
        <f ca="1"/>
        <v>0</v>
      </c>
      <c r="V399">
        <f ca="1"/>
        <v>0.99998236765477144</v>
      </c>
      <c r="X399" s="2">
        <f t="shared" ca="1" si="43"/>
        <v>45809</v>
      </c>
      <c r="Y399">
        <f t="shared" ca="1" si="44"/>
        <v>0</v>
      </c>
      <c r="AA399" s="63">
        <f t="shared" ca="1" si="39"/>
        <v>-199.48684887726913</v>
      </c>
      <c r="AB399" s="63">
        <f t="shared" ca="1" si="40"/>
        <v>-199.48684887726915</v>
      </c>
      <c r="AC399" s="3">
        <f t="shared" ca="1" si="41"/>
        <v>0</v>
      </c>
    </row>
    <row r="400" spans="8:29">
      <c r="H400" t="b">
        <f t="shared" ca="1" si="45"/>
        <v>0</v>
      </c>
      <c r="I400" t="b">
        <f t="shared" ca="1" si="42"/>
        <v>0</v>
      </c>
      <c r="J400" s="2">
        <f ca="1"/>
        <v>45810</v>
      </c>
      <c r="K400">
        <f ca="1"/>
        <v>-206.39727647831469</v>
      </c>
      <c r="L400">
        <f ca="1"/>
        <v>3.8761304071695406</v>
      </c>
      <c r="M400">
        <f ca="1"/>
        <v>0.19630590567477668</v>
      </c>
      <c r="N400">
        <f ca="1"/>
        <v>0.66904604081632513</v>
      </c>
      <c r="O400">
        <f ca="1"/>
        <v>0</v>
      </c>
      <c r="P400">
        <f ca="1"/>
        <v>242.0652333065041</v>
      </c>
      <c r="Q400">
        <f ca="1"/>
        <v>206.61634976789472</v>
      </c>
      <c r="R400">
        <f ca="1"/>
        <v>0</v>
      </c>
      <c r="S400">
        <f ca="1"/>
        <v>1</v>
      </c>
      <c r="T400">
        <f ca="1"/>
        <v>1.75</v>
      </c>
      <c r="U400">
        <f ca="1"/>
        <v>0</v>
      </c>
      <c r="V400">
        <f ca="1"/>
        <v>0.99998430033371821</v>
      </c>
      <c r="X400" s="2">
        <f t="shared" ca="1" si="43"/>
        <v>45810</v>
      </c>
      <c r="Y400">
        <f t="shared" ca="1" si="44"/>
        <v>0</v>
      </c>
      <c r="AA400" s="63">
        <f t="shared" ref="AA400:AA463" ca="1" si="46">K399+M400+N400+O400</f>
        <v>-202.52114607114518</v>
      </c>
      <c r="AB400" s="63">
        <f t="shared" ref="AB400:AB463" ca="1" si="47">K400+L400+R400</f>
        <v>-202.52114607114515</v>
      </c>
      <c r="AC400" s="3">
        <f t="shared" ref="AC400:AC463" ca="1" si="48">AB400-AA400</f>
        <v>0</v>
      </c>
    </row>
    <row r="401" spans="8:29">
      <c r="H401" t="b">
        <f t="shared" ca="1" si="45"/>
        <v>0</v>
      </c>
      <c r="I401" t="b">
        <f t="shared" ca="1" si="42"/>
        <v>0</v>
      </c>
      <c r="J401" s="2">
        <f ca="1"/>
        <v>45811</v>
      </c>
      <c r="K401">
        <f ca="1"/>
        <v>-209.31300129648372</v>
      </c>
      <c r="L401">
        <f ca="1"/>
        <v>3.7732236725732946</v>
      </c>
      <c r="M401">
        <f ca="1"/>
        <v>0.19501046388037224</v>
      </c>
      <c r="N401">
        <f ca="1"/>
        <v>0.6624883905238893</v>
      </c>
      <c r="O401">
        <f ca="1"/>
        <v>0</v>
      </c>
      <c r="P401">
        <f ca="1"/>
        <v>245.83845697907739</v>
      </c>
      <c r="Q401">
        <f ca="1"/>
        <v>209.83700930431709</v>
      </c>
      <c r="R401">
        <f ca="1"/>
        <v>0</v>
      </c>
      <c r="S401">
        <f ca="1"/>
        <v>1</v>
      </c>
      <c r="T401">
        <f ca="1"/>
        <v>0.81000000000000227</v>
      </c>
      <c r="U401">
        <f ca="1"/>
        <v>0</v>
      </c>
      <c r="V401">
        <f ca="1"/>
        <v>0.99998598867956479</v>
      </c>
      <c r="X401" s="2">
        <f t="shared" ca="1" si="43"/>
        <v>45811</v>
      </c>
      <c r="Y401">
        <f t="shared" ca="1" si="44"/>
        <v>0</v>
      </c>
      <c r="AA401" s="63">
        <f t="shared" ca="1" si="46"/>
        <v>-205.53977762391042</v>
      </c>
      <c r="AB401" s="63">
        <f t="shared" ca="1" si="47"/>
        <v>-205.53977762391042</v>
      </c>
      <c r="AC401" s="3">
        <f t="shared" ca="1" si="48"/>
        <v>0</v>
      </c>
    </row>
    <row r="402" spans="8:29">
      <c r="H402" t="b">
        <f t="shared" ca="1" si="45"/>
        <v>0</v>
      </c>
      <c r="I402" t="b">
        <f t="shared" ca="1" si="42"/>
        <v>0</v>
      </c>
      <c r="J402" s="2">
        <f ca="1"/>
        <v>45812</v>
      </c>
      <c r="K402">
        <f ca="1"/>
        <v>-212.91433130972746</v>
      </c>
      <c r="L402">
        <f ca="1"/>
        <v>4.5444638689160683</v>
      </c>
      <c r="M402">
        <f ca="1"/>
        <v>0.20972614655618571</v>
      </c>
      <c r="N402">
        <f ca="1"/>
        <v>0.73340770911614794</v>
      </c>
      <c r="O402">
        <f ca="1"/>
        <v>0</v>
      </c>
      <c r="P402">
        <f ca="1"/>
        <v>250.38292084799346</v>
      </c>
      <c r="Q402">
        <f ca="1"/>
        <v>213.71596591209484</v>
      </c>
      <c r="R402">
        <f ca="1"/>
        <v>0</v>
      </c>
      <c r="S402">
        <f ca="1"/>
        <v>1</v>
      </c>
      <c r="T402">
        <f ca="1"/>
        <v>1.4900000000000091</v>
      </c>
      <c r="U402">
        <f ca="1"/>
        <v>0</v>
      </c>
      <c r="V402">
        <f ca="1"/>
        <v>0.99998779663904991</v>
      </c>
      <c r="X402" s="2">
        <f t="shared" ca="1" si="43"/>
        <v>45812</v>
      </c>
      <c r="Y402">
        <f t="shared" ca="1" si="44"/>
        <v>0</v>
      </c>
      <c r="AA402" s="63">
        <f t="shared" ca="1" si="46"/>
        <v>-208.36986744081139</v>
      </c>
      <c r="AB402" s="63">
        <f t="shared" ca="1" si="47"/>
        <v>-208.36986744081139</v>
      </c>
      <c r="AC402" s="3">
        <f t="shared" ca="1" si="48"/>
        <v>0</v>
      </c>
    </row>
    <row r="403" spans="8:29">
      <c r="H403" t="b">
        <f t="shared" ca="1" si="45"/>
        <v>0</v>
      </c>
      <c r="I403" t="b">
        <f t="shared" ca="1" si="42"/>
        <v>0</v>
      </c>
      <c r="J403" s="2">
        <f ca="1"/>
        <v>45813</v>
      </c>
      <c r="K403">
        <f ca="1"/>
        <v>-216.29697045853675</v>
      </c>
      <c r="L403">
        <f ca="1"/>
        <v>4.303960486518946</v>
      </c>
      <c r="M403">
        <f ca="1"/>
        <v>0.20590116112788337</v>
      </c>
      <c r="N403">
        <f ca="1"/>
        <v>0.7154201765817686</v>
      </c>
      <c r="O403">
        <f ca="1"/>
        <v>0</v>
      </c>
      <c r="P403">
        <f ca="1"/>
        <v>254.68688133451241</v>
      </c>
      <c r="Q403">
        <f ca="1"/>
        <v>217.38963929807753</v>
      </c>
      <c r="R403">
        <f ca="1"/>
        <v>0</v>
      </c>
      <c r="S403">
        <f ca="1"/>
        <v>1</v>
      </c>
      <c r="T403">
        <f ca="1"/>
        <v>3.289999999999992</v>
      </c>
      <c r="U403">
        <f ca="1"/>
        <v>0</v>
      </c>
      <c r="V403">
        <f ca="1"/>
        <v>0.99998930695030275</v>
      </c>
      <c r="X403" s="2">
        <f t="shared" ca="1" si="43"/>
        <v>45813</v>
      </c>
      <c r="Y403">
        <f t="shared" ca="1" si="44"/>
        <v>0</v>
      </c>
      <c r="AA403" s="63">
        <f t="shared" ca="1" si="46"/>
        <v>-211.9930099720178</v>
      </c>
      <c r="AB403" s="63">
        <f t="shared" ca="1" si="47"/>
        <v>-211.9930099720178</v>
      </c>
      <c r="AC403" s="3">
        <f t="shared" ca="1" si="48"/>
        <v>0</v>
      </c>
    </row>
    <row r="404" spans="8:29">
      <c r="H404" t="b">
        <f t="shared" ca="1" si="45"/>
        <v>0</v>
      </c>
      <c r="I404" t="b">
        <f t="shared" ca="1" si="42"/>
        <v>0</v>
      </c>
      <c r="J404" s="2">
        <f ca="1"/>
        <v>45814</v>
      </c>
      <c r="K404">
        <f ca="1"/>
        <v>-219.54912537853716</v>
      </c>
      <c r="L404">
        <f ca="1"/>
        <v>4.1625946048714013</v>
      </c>
      <c r="M404">
        <f ca="1"/>
        <v>0.20390762491571479</v>
      </c>
      <c r="N404">
        <f ca="1"/>
        <v>0.70653205995527057</v>
      </c>
      <c r="O404">
        <f ca="1"/>
        <v>0</v>
      </c>
      <c r="P404">
        <f ca="1"/>
        <v>258.84947593938381</v>
      </c>
      <c r="Q404">
        <f ca="1"/>
        <v>220.94264891897194</v>
      </c>
      <c r="R404">
        <f ca="1"/>
        <v>0</v>
      </c>
      <c r="S404">
        <f ca="1"/>
        <v>1</v>
      </c>
      <c r="T404">
        <f ca="1"/>
        <v>4.3699999999999903</v>
      </c>
      <c r="U404">
        <f ca="1"/>
        <v>0</v>
      </c>
      <c r="V404">
        <f ca="1"/>
        <v>0.99999060201920864</v>
      </c>
      <c r="X404" s="2">
        <f t="shared" ca="1" si="43"/>
        <v>45814</v>
      </c>
      <c r="Y404">
        <f t="shared" ca="1" si="44"/>
        <v>0</v>
      </c>
      <c r="AA404" s="63">
        <f t="shared" ca="1" si="46"/>
        <v>-215.38653077366578</v>
      </c>
      <c r="AB404" s="63">
        <f t="shared" ca="1" si="47"/>
        <v>-215.38653077366575</v>
      </c>
      <c r="AC404" s="3">
        <f t="shared" ca="1" si="48"/>
        <v>0</v>
      </c>
    </row>
    <row r="405" spans="8:29">
      <c r="H405" t="b">
        <f t="shared" ca="1" si="45"/>
        <v>0</v>
      </c>
      <c r="I405" t="b">
        <f t="shared" ca="1" si="42"/>
        <v>0</v>
      </c>
      <c r="J405" s="2">
        <f ca="1"/>
        <v>45815</v>
      </c>
      <c r="K405">
        <f ca="1"/>
        <v>-222.69035206127083</v>
      </c>
      <c r="L405">
        <f ca="1"/>
        <v>4.0432598584609423</v>
      </c>
      <c r="M405">
        <f ca="1"/>
        <v>0.2022903197200776</v>
      </c>
      <c r="N405">
        <f ca="1"/>
        <v>0.69974285600719321</v>
      </c>
      <c r="O405">
        <f ca="1"/>
        <v>0</v>
      </c>
      <c r="P405">
        <f ca="1"/>
        <v>262.89273579784475</v>
      </c>
      <c r="Q405">
        <f ca="1"/>
        <v>224.39379959313948</v>
      </c>
      <c r="R405">
        <f ca="1"/>
        <v>0</v>
      </c>
      <c r="S405">
        <f ca="1"/>
        <v>1</v>
      </c>
      <c r="T405">
        <f ca="1"/>
        <v>1.4500000000000028</v>
      </c>
      <c r="U405">
        <f ca="1"/>
        <v>0</v>
      </c>
      <c r="V405">
        <f ca="1"/>
        <v>0.99999172103866518</v>
      </c>
      <c r="X405" s="2">
        <f t="shared" ca="1" si="43"/>
        <v>45815</v>
      </c>
      <c r="Y405">
        <f t="shared" ca="1" si="44"/>
        <v>0</v>
      </c>
      <c r="AA405" s="63">
        <f t="shared" ca="1" si="46"/>
        <v>-218.64709220280989</v>
      </c>
      <c r="AB405" s="63">
        <f t="shared" ca="1" si="47"/>
        <v>-218.64709220280989</v>
      </c>
      <c r="AC405" s="3">
        <f t="shared" ca="1" si="48"/>
        <v>0</v>
      </c>
    </row>
    <row r="406" spans="8:29">
      <c r="H406" t="b">
        <f t="shared" ca="1" si="45"/>
        <v>0</v>
      </c>
      <c r="I406" t="b">
        <f t="shared" ca="1" si="42"/>
        <v>0</v>
      </c>
      <c r="J406" s="2">
        <f ca="1"/>
        <v>45816</v>
      </c>
      <c r="K406">
        <f ca="1"/>
        <v>-225.22053753663243</v>
      </c>
      <c r="L406">
        <f ca="1"/>
        <v>3.3628130908803655</v>
      </c>
      <c r="M406">
        <f ca="1"/>
        <v>0.19020691039080617</v>
      </c>
      <c r="N406">
        <f ca="1"/>
        <v>0.64242070512796057</v>
      </c>
      <c r="O406">
        <f ca="1"/>
        <v>0</v>
      </c>
      <c r="P406">
        <f ca="1"/>
        <v>266.25554888872512</v>
      </c>
      <c r="Q406">
        <f ca="1"/>
        <v>227.26415051589927</v>
      </c>
      <c r="R406">
        <f ca="1"/>
        <v>0</v>
      </c>
      <c r="S406">
        <f ca="1"/>
        <v>1</v>
      </c>
      <c r="T406">
        <f ca="1"/>
        <v>0.65000000000000568</v>
      </c>
      <c r="U406">
        <f ca="1"/>
        <v>0</v>
      </c>
      <c r="V406">
        <f ca="1"/>
        <v>0.99999255799084596</v>
      </c>
      <c r="X406" s="2">
        <f t="shared" ca="1" si="43"/>
        <v>45816</v>
      </c>
      <c r="Y406">
        <f t="shared" ca="1" si="44"/>
        <v>0</v>
      </c>
      <c r="AA406" s="63">
        <f t="shared" ca="1" si="46"/>
        <v>-221.85772444575207</v>
      </c>
      <c r="AB406" s="63">
        <f t="shared" ca="1" si="47"/>
        <v>-221.85772444575207</v>
      </c>
      <c r="AC406" s="3">
        <f t="shared" ca="1" si="48"/>
        <v>0</v>
      </c>
    </row>
    <row r="407" spans="8:29">
      <c r="H407" t="b">
        <f t="shared" ca="1" si="45"/>
        <v>0</v>
      </c>
      <c r="I407" t="b">
        <f t="shared" ca="1" si="42"/>
        <v>0</v>
      </c>
      <c r="J407" s="2">
        <f ca="1"/>
        <v>45817</v>
      </c>
      <c r="K407">
        <f ca="1"/>
        <v>-227.6518157801267</v>
      </c>
      <c r="L407">
        <f ca="1"/>
        <v>3.2559179960289271</v>
      </c>
      <c r="M407">
        <f ca="1"/>
        <v>0.18860853882378592</v>
      </c>
      <c r="N407">
        <f ca="1"/>
        <v>0.63603121371087012</v>
      </c>
      <c r="O407">
        <f ca="1"/>
        <v>0</v>
      </c>
      <c r="P407">
        <f ca="1"/>
        <v>269.51146688475404</v>
      </c>
      <c r="Q407">
        <f ca="1"/>
        <v>230.0432604371959</v>
      </c>
      <c r="R407">
        <f ca="1"/>
        <v>0</v>
      </c>
      <c r="S407">
        <f ca="1"/>
        <v>1</v>
      </c>
      <c r="T407">
        <f ca="1"/>
        <v>0.59999999999999432</v>
      </c>
      <c r="U407">
        <f ca="1"/>
        <v>0</v>
      </c>
      <c r="V407">
        <f ca="1"/>
        <v>0.99999329478184973</v>
      </c>
      <c r="X407" s="2">
        <f t="shared" ca="1" si="43"/>
        <v>45817</v>
      </c>
      <c r="Y407">
        <f t="shared" ca="1" si="44"/>
        <v>0</v>
      </c>
      <c r="AA407" s="63">
        <f t="shared" ca="1" si="46"/>
        <v>-224.39589778409777</v>
      </c>
      <c r="AB407" s="63">
        <f t="shared" ca="1" si="47"/>
        <v>-224.39589778409777</v>
      </c>
      <c r="AC407" s="3">
        <f t="shared" ca="1" si="48"/>
        <v>0</v>
      </c>
    </row>
    <row r="408" spans="8:29">
      <c r="H408" t="b">
        <f t="shared" ca="1" si="45"/>
        <v>0</v>
      </c>
      <c r="I408" t="b">
        <f t="shared" ca="1" si="42"/>
        <v>0</v>
      </c>
      <c r="J408" s="2">
        <f ca="1"/>
        <v>45818</v>
      </c>
      <c r="K408">
        <f ca="1"/>
        <v>-230.93969528160136</v>
      </c>
      <c r="L408">
        <f ca="1"/>
        <v>4.2253951223311219</v>
      </c>
      <c r="M408">
        <f ca="1"/>
        <v>0.20758896986301067</v>
      </c>
      <c r="N408">
        <f ca="1"/>
        <v>0.72992665099342668</v>
      </c>
      <c r="O408">
        <f ca="1"/>
        <v>0</v>
      </c>
      <c r="P408">
        <f ca="1"/>
        <v>273.73686200708516</v>
      </c>
      <c r="Q408">
        <f ca="1"/>
        <v>233.64987384705179</v>
      </c>
      <c r="R408">
        <f ca="1"/>
        <v>0</v>
      </c>
      <c r="S408">
        <f ca="1"/>
        <v>1</v>
      </c>
      <c r="T408">
        <f ca="1"/>
        <v>4.0700000000000074</v>
      </c>
      <c r="U408">
        <f ca="1"/>
        <v>0</v>
      </c>
      <c r="V408">
        <f ca="1"/>
        <v>0.99999415321537644</v>
      </c>
      <c r="X408" s="2">
        <f t="shared" ca="1" si="43"/>
        <v>45818</v>
      </c>
      <c r="Y408">
        <f t="shared" ca="1" si="44"/>
        <v>0</v>
      </c>
      <c r="AA408" s="63">
        <f t="shared" ca="1" si="46"/>
        <v>-226.71430015927024</v>
      </c>
      <c r="AB408" s="63">
        <f t="shared" ca="1" si="47"/>
        <v>-226.71430015927024</v>
      </c>
      <c r="AC408" s="3">
        <f t="shared" ca="1" si="48"/>
        <v>0</v>
      </c>
    </row>
    <row r="409" spans="8:29">
      <c r="H409" t="b">
        <f t="shared" ca="1" si="45"/>
        <v>0</v>
      </c>
      <c r="I409" t="b">
        <f t="shared" ca="1" si="42"/>
        <v>0</v>
      </c>
      <c r="J409" s="2">
        <f ca="1"/>
        <v>45819</v>
      </c>
      <c r="K409">
        <f ca="1"/>
        <v>-234.16505489510965</v>
      </c>
      <c r="L409">
        <f ca="1"/>
        <v>4.1624155343351958</v>
      </c>
      <c r="M409">
        <f ca="1"/>
        <v>0.20712926983347302</v>
      </c>
      <c r="N409">
        <f ca="1"/>
        <v>0.72992665099342668</v>
      </c>
      <c r="O409">
        <f ca="1"/>
        <v>0</v>
      </c>
      <c r="P409">
        <f ca="1"/>
        <v>277.89927754142036</v>
      </c>
      <c r="Q409">
        <f ca="1"/>
        <v>237.20273062112864</v>
      </c>
      <c r="R409">
        <f ca="1"/>
        <v>0</v>
      </c>
      <c r="S409">
        <f ca="1"/>
        <v>1</v>
      </c>
      <c r="T409">
        <f ca="1"/>
        <v>6.3800000000000097</v>
      </c>
      <c r="U409">
        <f ca="1"/>
        <v>0</v>
      </c>
      <c r="V409">
        <f ca="1"/>
        <v>0.99999490174877059</v>
      </c>
      <c r="X409" s="2">
        <f t="shared" ca="1" si="43"/>
        <v>45819</v>
      </c>
      <c r="Y409">
        <f t="shared" ca="1" si="44"/>
        <v>0</v>
      </c>
      <c r="AA409" s="63">
        <f t="shared" ca="1" si="46"/>
        <v>-230.00263936077445</v>
      </c>
      <c r="AB409" s="63">
        <f t="shared" ca="1" si="47"/>
        <v>-230.00263936077445</v>
      </c>
      <c r="AC409" s="3">
        <f t="shared" ca="1" si="48"/>
        <v>0</v>
      </c>
    </row>
    <row r="410" spans="8:29">
      <c r="H410" t="b">
        <f t="shared" ca="1" si="45"/>
        <v>0</v>
      </c>
      <c r="I410" t="b">
        <f t="shared" ca="1" si="42"/>
        <v>0</v>
      </c>
      <c r="J410" s="2">
        <f ca="1"/>
        <v>45820</v>
      </c>
      <c r="K410">
        <f ca="1"/>
        <v>-237.89043946118269</v>
      </c>
      <c r="L410">
        <f ca="1"/>
        <v>4.7430146041683088</v>
      </c>
      <c r="M410">
        <f ca="1"/>
        <v>0.22050362865968509</v>
      </c>
      <c r="N410">
        <f ca="1"/>
        <v>0.79712640943559065</v>
      </c>
      <c r="O410">
        <f ca="1"/>
        <v>0</v>
      </c>
      <c r="P410">
        <f ca="1"/>
        <v>282.64229214558867</v>
      </c>
      <c r="Q410">
        <f ca="1"/>
        <v>241.25116149665311</v>
      </c>
      <c r="R410">
        <f ca="1"/>
        <v>0</v>
      </c>
      <c r="S410">
        <f ca="1"/>
        <v>0.99985507246376804</v>
      </c>
      <c r="T410">
        <f ca="1"/>
        <v>0</v>
      </c>
      <c r="U410">
        <f ca="1"/>
        <v>0</v>
      </c>
      <c r="V410">
        <f ca="1"/>
        <v>0.99999565043009198</v>
      </c>
      <c r="X410" s="2">
        <f t="shared" ca="1" si="43"/>
        <v>45820</v>
      </c>
      <c r="Y410">
        <f t="shared" ca="1" si="44"/>
        <v>0</v>
      </c>
      <c r="AA410" s="63">
        <f t="shared" ca="1" si="46"/>
        <v>-233.14742485701439</v>
      </c>
      <c r="AB410" s="63">
        <f t="shared" ca="1" si="47"/>
        <v>-233.14742485701439</v>
      </c>
      <c r="AC410" s="3">
        <f t="shared" ca="1" si="48"/>
        <v>0</v>
      </c>
    </row>
    <row r="411" spans="8:29">
      <c r="H411" t="b">
        <f t="shared" ca="1" si="45"/>
        <v>0</v>
      </c>
      <c r="I411" t="b">
        <f t="shared" ca="1" si="42"/>
        <v>0</v>
      </c>
      <c r="J411" s="2">
        <f ca="1"/>
        <v>45821</v>
      </c>
      <c r="K411">
        <f ca="1"/>
        <v>-240.72857296386229</v>
      </c>
      <c r="L411">
        <f ca="1"/>
        <v>3.7401481388383218</v>
      </c>
      <c r="M411">
        <f ca="1"/>
        <v>0.2002393796196742</v>
      </c>
      <c r="N411">
        <f ca="1"/>
        <v>0.70177525653905748</v>
      </c>
      <c r="O411">
        <f ca="1"/>
        <v>0</v>
      </c>
      <c r="P411">
        <f ca="1"/>
        <v>286.38244028442699</v>
      </c>
      <c r="Q411">
        <f ca="1"/>
        <v>244.4435891967494</v>
      </c>
      <c r="R411">
        <f ca="1"/>
        <v>0</v>
      </c>
      <c r="S411">
        <f ca="1"/>
        <v>1</v>
      </c>
      <c r="T411">
        <f ca="1"/>
        <v>4.5600000004161956</v>
      </c>
      <c r="U411">
        <f ca="1"/>
        <v>0</v>
      </c>
      <c r="V411">
        <f ca="1"/>
        <v>0.99999617100469551</v>
      </c>
      <c r="X411" s="2">
        <f t="shared" ca="1" si="43"/>
        <v>45821</v>
      </c>
      <c r="Y411">
        <f t="shared" ca="1" si="44"/>
        <v>0</v>
      </c>
      <c r="AA411" s="63">
        <f t="shared" ca="1" si="46"/>
        <v>-236.98842482502397</v>
      </c>
      <c r="AB411" s="63">
        <f t="shared" ca="1" si="47"/>
        <v>-236.98842482502397</v>
      </c>
      <c r="AC411" s="3">
        <f t="shared" ca="1" si="48"/>
        <v>0</v>
      </c>
    </row>
    <row r="412" spans="8:29">
      <c r="H412" t="b">
        <f t="shared" ca="1" si="45"/>
        <v>0</v>
      </c>
      <c r="I412" t="b">
        <f t="shared" ca="1" si="42"/>
        <v>0</v>
      </c>
      <c r="J412" s="2">
        <f ca="1"/>
        <v>45822</v>
      </c>
      <c r="K412">
        <f ca="1"/>
        <v>-243.29553930193075</v>
      </c>
      <c r="L412">
        <f ca="1"/>
        <v>3.4393366862581161</v>
      </c>
      <c r="M412">
        <f ca="1"/>
        <v>0.19473776736595028</v>
      </c>
      <c r="N412">
        <f ca="1"/>
        <v>0.67763258082370947</v>
      </c>
      <c r="O412">
        <f ca="1"/>
        <v>0</v>
      </c>
      <c r="P412">
        <f ca="1"/>
        <v>289.82177697068511</v>
      </c>
      <c r="Q412">
        <f ca="1"/>
        <v>247.37925733062659</v>
      </c>
      <c r="R412">
        <f ca="1"/>
        <v>0</v>
      </c>
      <c r="S412">
        <f ca="1"/>
        <v>1</v>
      </c>
      <c r="T412">
        <f ca="1"/>
        <v>0.10999999999999943</v>
      </c>
      <c r="U412">
        <f ca="1"/>
        <v>0</v>
      </c>
      <c r="V412">
        <f ca="1"/>
        <v>0.99999660098102738</v>
      </c>
      <c r="X412" s="2">
        <f t="shared" ca="1" si="43"/>
        <v>45822</v>
      </c>
      <c r="Y412">
        <f t="shared" ca="1" si="44"/>
        <v>0</v>
      </c>
      <c r="AA412" s="63">
        <f t="shared" ca="1" si="46"/>
        <v>-239.85620261567263</v>
      </c>
      <c r="AB412" s="63">
        <f t="shared" ca="1" si="47"/>
        <v>-239.85620261567263</v>
      </c>
      <c r="AC412" s="3">
        <f t="shared" ca="1" si="48"/>
        <v>0</v>
      </c>
    </row>
    <row r="413" spans="8:29">
      <c r="H413" t="b">
        <f t="shared" ca="1" si="45"/>
        <v>0</v>
      </c>
      <c r="I413" t="b">
        <f t="shared" ca="1" si="42"/>
        <v>0</v>
      </c>
      <c r="J413" s="2">
        <f ca="1"/>
        <v>45823</v>
      </c>
      <c r="K413">
        <f ca="1"/>
        <v>-245.17173014341785</v>
      </c>
      <c r="L413">
        <f ca="1"/>
        <v>2.6632605777834897</v>
      </c>
      <c r="M413">
        <f ca="1"/>
        <v>0.17990543116950164</v>
      </c>
      <c r="N413">
        <f ca="1"/>
        <v>0.60716430512688691</v>
      </c>
      <c r="O413">
        <f ca="1"/>
        <v>0</v>
      </c>
      <c r="P413">
        <f ca="1"/>
        <v>292.4850375484686</v>
      </c>
      <c r="Q413">
        <f ca="1"/>
        <v>249.65250066898574</v>
      </c>
      <c r="R413">
        <f ca="1"/>
        <v>0</v>
      </c>
      <c r="S413">
        <f ca="1"/>
        <v>1</v>
      </c>
      <c r="T413">
        <f ca="1"/>
        <v>1.289999999999992</v>
      </c>
      <c r="U413">
        <f ca="1"/>
        <v>0</v>
      </c>
      <c r="V413">
        <f ca="1"/>
        <v>0.99999690461411017</v>
      </c>
      <c r="X413" s="2">
        <f t="shared" ca="1" si="43"/>
        <v>45823</v>
      </c>
      <c r="Y413">
        <f t="shared" ca="1" si="44"/>
        <v>0</v>
      </c>
      <c r="AA413" s="63">
        <f t="shared" ca="1" si="46"/>
        <v>-242.50846956563436</v>
      </c>
      <c r="AB413" s="63">
        <f t="shared" ca="1" si="47"/>
        <v>-242.50846956563436</v>
      </c>
      <c r="AC413" s="3">
        <f t="shared" ca="1" si="48"/>
        <v>0</v>
      </c>
    </row>
    <row r="414" spans="8:29">
      <c r="H414" t="b">
        <f t="shared" ca="1" si="45"/>
        <v>0</v>
      </c>
      <c r="I414" t="b">
        <f t="shared" ca="1" si="42"/>
        <v>0</v>
      </c>
      <c r="J414" s="2">
        <f ca="1"/>
        <v>45824</v>
      </c>
      <c r="K414">
        <f ca="1"/>
        <v>-247.64054925436335</v>
      </c>
      <c r="L414">
        <f ca="1"/>
        <v>3.3399944736842144</v>
      </c>
      <c r="M414">
        <f ca="1"/>
        <v>0.19354278191498508</v>
      </c>
      <c r="N414">
        <f ca="1"/>
        <v>0.67763258082370947</v>
      </c>
      <c r="O414">
        <f ca="1"/>
        <v>0</v>
      </c>
      <c r="P414">
        <f ca="1"/>
        <v>295.82503202215281</v>
      </c>
      <c r="Q414">
        <f ca="1"/>
        <v>252.50337461305091</v>
      </c>
      <c r="R414">
        <f ca="1"/>
        <v>0</v>
      </c>
      <c r="S414">
        <f ca="1"/>
        <v>1</v>
      </c>
      <c r="T414">
        <f ca="1"/>
        <v>1.8300000000000125</v>
      </c>
      <c r="U414">
        <f ca="1"/>
        <v>0</v>
      </c>
      <c r="V414">
        <f ca="1"/>
        <v>0.99999725221013258</v>
      </c>
      <c r="X414" s="2">
        <f t="shared" ca="1" si="43"/>
        <v>45824</v>
      </c>
      <c r="Y414">
        <f t="shared" ca="1" si="44"/>
        <v>0</v>
      </c>
      <c r="AA414" s="63">
        <f t="shared" ca="1" si="46"/>
        <v>-244.30055478067916</v>
      </c>
      <c r="AB414" s="63">
        <f t="shared" ca="1" si="47"/>
        <v>-244.30055478067914</v>
      </c>
      <c r="AC414" s="3">
        <f t="shared" ca="1" si="48"/>
        <v>0</v>
      </c>
    </row>
    <row r="415" spans="8:29">
      <c r="H415" t="b">
        <f t="shared" ca="1" si="45"/>
        <v>0</v>
      </c>
      <c r="I415" t="b">
        <f t="shared" ca="1" si="42"/>
        <v>0</v>
      </c>
      <c r="J415" s="2">
        <f ca="1"/>
        <v>45825</v>
      </c>
      <c r="K415">
        <f ca="1"/>
        <v>-250.10813147192505</v>
      </c>
      <c r="L415">
        <f ca="1"/>
        <v>3.3460721894891776</v>
      </c>
      <c r="M415">
        <f ca="1"/>
        <v>0.19420489329837665</v>
      </c>
      <c r="N415">
        <f ca="1"/>
        <v>0.68428507862910293</v>
      </c>
      <c r="O415">
        <f ca="1"/>
        <v>0</v>
      </c>
      <c r="P415">
        <f ca="1"/>
        <v>299.17110421164199</v>
      </c>
      <c r="Q415">
        <f ca="1"/>
        <v>255.3594362308576</v>
      </c>
      <c r="R415">
        <f ca="1"/>
        <v>0</v>
      </c>
      <c r="S415">
        <f ca="1"/>
        <v>1</v>
      </c>
      <c r="T415">
        <f ca="1"/>
        <v>1.6099999999999994</v>
      </c>
      <c r="U415">
        <f ca="1"/>
        <v>0</v>
      </c>
      <c r="V415">
        <f ca="1"/>
        <v>0.9999975664301709</v>
      </c>
      <c r="X415" s="2">
        <f t="shared" ca="1" si="43"/>
        <v>45825</v>
      </c>
      <c r="Y415">
        <f t="shared" ca="1" si="44"/>
        <v>0</v>
      </c>
      <c r="AA415" s="63">
        <f t="shared" ca="1" si="46"/>
        <v>-246.76205928243587</v>
      </c>
      <c r="AB415" s="63">
        <f t="shared" ca="1" si="47"/>
        <v>-246.76205928243587</v>
      </c>
      <c r="AC415" s="3">
        <f t="shared" ca="1" si="48"/>
        <v>0</v>
      </c>
    </row>
    <row r="416" spans="8:29">
      <c r="H416" t="b">
        <f t="shared" ca="1" si="45"/>
        <v>0</v>
      </c>
      <c r="I416" t="b">
        <f t="shared" ca="1" si="42"/>
        <v>0</v>
      </c>
      <c r="J416" s="2">
        <f ca="1"/>
        <v>45826</v>
      </c>
      <c r="K416">
        <f ca="1"/>
        <v>-252.56449522996411</v>
      </c>
      <c r="L416">
        <f ca="1"/>
        <v>3.3413611988157186</v>
      </c>
      <c r="M416">
        <f ca="1"/>
        <v>0.19468976183166831</v>
      </c>
      <c r="N416">
        <f ca="1"/>
        <v>0.69030767894500022</v>
      </c>
      <c r="O416">
        <f ca="1"/>
        <v>0</v>
      </c>
      <c r="P416">
        <f ca="1"/>
        <v>302.51246541045771</v>
      </c>
      <c r="Q416">
        <f ca="1"/>
        <v>258.21147675202246</v>
      </c>
      <c r="R416">
        <f ca="1"/>
        <v>0</v>
      </c>
      <c r="S416">
        <f ca="1"/>
        <v>1</v>
      </c>
      <c r="T416">
        <f ca="1"/>
        <v>4.75</v>
      </c>
      <c r="U416">
        <f ca="1"/>
        <v>0</v>
      </c>
      <c r="V416">
        <f ca="1"/>
        <v>0.99999784921734958</v>
      </c>
      <c r="X416" s="2">
        <f t="shared" ca="1" si="43"/>
        <v>45826</v>
      </c>
      <c r="Y416">
        <f t="shared" ca="1" si="44"/>
        <v>0</v>
      </c>
      <c r="AA416" s="63">
        <f t="shared" ca="1" si="46"/>
        <v>-249.22313403114836</v>
      </c>
      <c r="AB416" s="63">
        <f t="shared" ca="1" si="47"/>
        <v>-249.22313403114839</v>
      </c>
      <c r="AC416" s="3">
        <f t="shared" ca="1" si="48"/>
        <v>0</v>
      </c>
    </row>
    <row r="417" spans="8:29">
      <c r="H417" t="b">
        <f t="shared" ca="1" si="45"/>
        <v>0</v>
      </c>
      <c r="I417" t="b">
        <f t="shared" ca="1" si="42"/>
        <v>0</v>
      </c>
      <c r="J417" s="2">
        <f ca="1"/>
        <v>45827</v>
      </c>
      <c r="K417">
        <f ca="1"/>
        <v>-255.14265326699876</v>
      </c>
      <c r="L417">
        <f ca="1"/>
        <v>3.490879364734667</v>
      </c>
      <c r="M417">
        <f ca="1"/>
        <v>0.19867313161945788</v>
      </c>
      <c r="N417">
        <f ca="1"/>
        <v>0.71404819608056869</v>
      </c>
      <c r="O417">
        <f ca="1"/>
        <v>0</v>
      </c>
      <c r="P417">
        <f ca="1"/>
        <v>306.00334477519237</v>
      </c>
      <c r="Q417">
        <f ca="1"/>
        <v>261.19113947338593</v>
      </c>
      <c r="R417">
        <f ca="1"/>
        <v>0</v>
      </c>
      <c r="S417">
        <f ca="1"/>
        <v>1</v>
      </c>
      <c r="T417">
        <f ca="1"/>
        <v>11.159999999999997</v>
      </c>
      <c r="U417">
        <f ca="1"/>
        <v>0</v>
      </c>
      <c r="V417">
        <f ca="1"/>
        <v>0.99999811452927323</v>
      </c>
      <c r="X417" s="2">
        <f t="shared" ca="1" si="43"/>
        <v>45827</v>
      </c>
      <c r="Y417">
        <f t="shared" ca="1" si="44"/>
        <v>0</v>
      </c>
      <c r="AA417" s="63">
        <f t="shared" ca="1" si="46"/>
        <v>-251.6517739022641</v>
      </c>
      <c r="AB417" s="63">
        <f t="shared" ca="1" si="47"/>
        <v>-251.6517739022641</v>
      </c>
      <c r="AC417" s="3">
        <f t="shared" ca="1" si="48"/>
        <v>0</v>
      </c>
    </row>
    <row r="418" spans="8:29">
      <c r="H418" t="b">
        <f t="shared" ca="1" si="45"/>
        <v>0</v>
      </c>
      <c r="I418" t="b">
        <f t="shared" ca="1" si="42"/>
        <v>0</v>
      </c>
      <c r="J418" s="2">
        <f ca="1"/>
        <v>45828</v>
      </c>
      <c r="K418">
        <f ca="1"/>
        <v>-257.62236137822117</v>
      </c>
      <c r="L418">
        <f ca="1"/>
        <v>3.3874798962820023</v>
      </c>
      <c r="M418">
        <f ca="1"/>
        <v>0.1971462549142089</v>
      </c>
      <c r="N418">
        <f ca="1"/>
        <v>0.71062553014540031</v>
      </c>
      <c r="O418">
        <f ca="1"/>
        <v>0</v>
      </c>
      <c r="P418">
        <f ca="1"/>
        <v>309.39082467147438</v>
      </c>
      <c r="Q418">
        <f ca="1"/>
        <v>264.08254490786931</v>
      </c>
      <c r="R418">
        <f ca="1"/>
        <v>0</v>
      </c>
      <c r="S418">
        <f ca="1"/>
        <v>1</v>
      </c>
      <c r="T418">
        <f ca="1"/>
        <v>8.1899999999999977</v>
      </c>
      <c r="U418">
        <f ca="1"/>
        <v>0</v>
      </c>
      <c r="V418">
        <f ca="1"/>
        <v>0.99999834519336483</v>
      </c>
      <c r="X418" s="2">
        <f t="shared" ca="1" si="43"/>
        <v>45828</v>
      </c>
      <c r="Y418">
        <f t="shared" ca="1" si="44"/>
        <v>0</v>
      </c>
      <c r="AA418" s="63">
        <f t="shared" ca="1" si="46"/>
        <v>-254.23488148193917</v>
      </c>
      <c r="AB418" s="63">
        <f t="shared" ca="1" si="47"/>
        <v>-254.23488148193917</v>
      </c>
      <c r="AC418" s="3">
        <f t="shared" ca="1" si="48"/>
        <v>0</v>
      </c>
    </row>
    <row r="419" spans="8:29">
      <c r="H419" t="b">
        <f t="shared" ca="1" si="45"/>
        <v>0</v>
      </c>
      <c r="I419" t="b">
        <f t="shared" ca="1" si="42"/>
        <v>0</v>
      </c>
      <c r="J419" s="2">
        <f ca="1"/>
        <v>45829</v>
      </c>
      <c r="K419">
        <f ca="1"/>
        <v>-259.73275025957435</v>
      </c>
      <c r="L419">
        <f ca="1"/>
        <v>2.9698359958824199</v>
      </c>
      <c r="M419">
        <f ca="1"/>
        <v>0.18842574901805165</v>
      </c>
      <c r="N419">
        <f ca="1"/>
        <v>0.67102136551119118</v>
      </c>
      <c r="O419">
        <f ca="1"/>
        <v>0</v>
      </c>
      <c r="P419">
        <f ca="1"/>
        <v>312.3606606673568</v>
      </c>
      <c r="Q419">
        <f ca="1"/>
        <v>266.61746768259746</v>
      </c>
      <c r="R419">
        <f ca="1"/>
        <v>0</v>
      </c>
      <c r="S419">
        <f ca="1"/>
        <v>1</v>
      </c>
      <c r="T419">
        <f ca="1"/>
        <v>1</v>
      </c>
      <c r="U419">
        <f ca="1"/>
        <v>0</v>
      </c>
      <c r="V419">
        <f ca="1"/>
        <v>0.9999985276050779</v>
      </c>
      <c r="X419" s="2">
        <f t="shared" ca="1" si="43"/>
        <v>45829</v>
      </c>
      <c r="Y419">
        <f t="shared" ca="1" si="44"/>
        <v>0</v>
      </c>
      <c r="AA419" s="63">
        <f t="shared" ca="1" si="46"/>
        <v>-256.76291426369193</v>
      </c>
      <c r="AB419" s="63">
        <f t="shared" ca="1" si="47"/>
        <v>-256.76291426369193</v>
      </c>
      <c r="AC419" s="3">
        <f t="shared" ca="1" si="48"/>
        <v>0</v>
      </c>
    </row>
    <row r="420" spans="8:29">
      <c r="H420" t="b">
        <f t="shared" ca="1" si="45"/>
        <v>0</v>
      </c>
      <c r="I420" t="b">
        <f t="shared" ca="1" si="42"/>
        <v>0</v>
      </c>
      <c r="J420" s="2">
        <f ca="1"/>
        <v>45830</v>
      </c>
      <c r="K420">
        <f ca="1"/>
        <v>-261.25722874209947</v>
      </c>
      <c r="L420">
        <f ca="1"/>
        <v>2.3022721163542883</v>
      </c>
      <c r="M420">
        <f ca="1"/>
        <v>0.17433126314154634</v>
      </c>
      <c r="N420">
        <f ca="1"/>
        <v>0.60346237068763786</v>
      </c>
      <c r="O420">
        <f ca="1"/>
        <v>0</v>
      </c>
      <c r="P420">
        <f ca="1"/>
        <v>314.66293278371108</v>
      </c>
      <c r="Q420">
        <f ca="1"/>
        <v>268.58258697856513</v>
      </c>
      <c r="R420">
        <f ca="1"/>
        <v>0</v>
      </c>
      <c r="S420">
        <f ca="1"/>
        <v>1</v>
      </c>
      <c r="T420">
        <f ca="1"/>
        <v>1.0599999999999881</v>
      </c>
      <c r="U420">
        <f ca="1"/>
        <v>0</v>
      </c>
      <c r="V420">
        <f ca="1"/>
        <v>0.99999865726443804</v>
      </c>
      <c r="X420" s="2">
        <f t="shared" ca="1" si="43"/>
        <v>45830</v>
      </c>
      <c r="Y420">
        <f t="shared" ca="1" si="44"/>
        <v>0</v>
      </c>
      <c r="AA420" s="63">
        <f t="shared" ca="1" si="46"/>
        <v>-258.95495662574518</v>
      </c>
      <c r="AB420" s="63">
        <f t="shared" ca="1" si="47"/>
        <v>-258.95495662574518</v>
      </c>
      <c r="AC420" s="3">
        <f t="shared" ca="1" si="48"/>
        <v>0</v>
      </c>
    </row>
    <row r="421" spans="8:29">
      <c r="H421" t="b">
        <f t="shared" ca="1" si="45"/>
        <v>0</v>
      </c>
      <c r="I421" t="b">
        <f t="shared" ca="1" si="42"/>
        <v>0</v>
      </c>
      <c r="J421" s="2">
        <f ca="1"/>
        <v>45831</v>
      </c>
      <c r="K421">
        <f ca="1"/>
        <v>-262.77003695215927</v>
      </c>
      <c r="L421">
        <f ca="1"/>
        <v>2.2935450388825416</v>
      </c>
      <c r="M421">
        <f ca="1"/>
        <v>0.17419052443202077</v>
      </c>
      <c r="N421">
        <f ca="1"/>
        <v>0.60654630439072499</v>
      </c>
      <c r="O421">
        <f ca="1"/>
        <v>0</v>
      </c>
      <c r="P421">
        <f ca="1"/>
        <v>316.95647782259363</v>
      </c>
      <c r="Q421">
        <f ca="1"/>
        <v>270.54025722095855</v>
      </c>
      <c r="R421">
        <f ca="1"/>
        <v>0</v>
      </c>
      <c r="S421">
        <f ca="1"/>
        <v>1</v>
      </c>
      <c r="T421">
        <f ca="1"/>
        <v>2.1899999999999977</v>
      </c>
      <c r="U421">
        <f ca="1"/>
        <v>0</v>
      </c>
      <c r="V421">
        <f ca="1"/>
        <v>0.99999877692676575</v>
      </c>
      <c r="X421" s="2">
        <f t="shared" ca="1" si="43"/>
        <v>45831</v>
      </c>
      <c r="Y421">
        <f t="shared" ca="1" si="44"/>
        <v>0</v>
      </c>
      <c r="AA421" s="63">
        <f t="shared" ca="1" si="46"/>
        <v>-260.47649191327667</v>
      </c>
      <c r="AB421" s="63">
        <f t="shared" ca="1" si="47"/>
        <v>-260.47649191327673</v>
      </c>
      <c r="AC421" s="3">
        <f t="shared" ca="1" si="48"/>
        <v>0</v>
      </c>
    </row>
    <row r="422" spans="8:29">
      <c r="H422" t="b">
        <f t="shared" ca="1" si="45"/>
        <v>0</v>
      </c>
      <c r="I422" t="b">
        <f t="shared" ca="1" si="42"/>
        <v>0</v>
      </c>
      <c r="J422" s="2">
        <f ca="1"/>
        <v>45832</v>
      </c>
      <c r="K422">
        <f ca="1"/>
        <v>-264.88551980729943</v>
      </c>
      <c r="L422">
        <f ca="1"/>
        <v>2.9987373742915793</v>
      </c>
      <c r="M422">
        <f ca="1"/>
        <v>0.19025936524167264</v>
      </c>
      <c r="N422">
        <f ca="1"/>
        <v>0.69299515390972399</v>
      </c>
      <c r="O422">
        <f ca="1"/>
        <v>0</v>
      </c>
      <c r="P422">
        <f ca="1"/>
        <v>319.95521519688521</v>
      </c>
      <c r="Q422">
        <f ca="1"/>
        <v>273.09984895466351</v>
      </c>
      <c r="R422">
        <f ca="1"/>
        <v>0</v>
      </c>
      <c r="S422">
        <f ca="1"/>
        <v>1</v>
      </c>
      <c r="T422">
        <f ca="1"/>
        <v>2.8599999999999994</v>
      </c>
      <c r="U422">
        <f ca="1"/>
        <v>0</v>
      </c>
      <c r="V422">
        <f ca="1"/>
        <v>0.99999892005472268</v>
      </c>
      <c r="X422" s="2">
        <f t="shared" ca="1" si="43"/>
        <v>45832</v>
      </c>
      <c r="Y422">
        <f t="shared" ca="1" si="44"/>
        <v>0</v>
      </c>
      <c r="AA422" s="63">
        <f t="shared" ca="1" si="46"/>
        <v>-261.88678243300785</v>
      </c>
      <c r="AB422" s="63">
        <f t="shared" ca="1" si="47"/>
        <v>-261.88678243300785</v>
      </c>
      <c r="AC422" s="3">
        <f t="shared" ca="1" si="48"/>
        <v>0</v>
      </c>
    </row>
    <row r="423" spans="8:29">
      <c r="H423" t="b">
        <f t="shared" ca="1" si="45"/>
        <v>0</v>
      </c>
      <c r="I423" t="b">
        <f t="shared" ca="1" si="42"/>
        <v>0</v>
      </c>
      <c r="J423" s="2">
        <f ca="1"/>
        <v>45833</v>
      </c>
      <c r="K423">
        <f ca="1"/>
        <v>-266.54020063762908</v>
      </c>
      <c r="L423">
        <f ca="1"/>
        <v>2.4704881217190291</v>
      </c>
      <c r="M423">
        <f ca="1"/>
        <v>0.17850144820015146</v>
      </c>
      <c r="N423">
        <f ca="1"/>
        <v>0.63730584318919359</v>
      </c>
      <c r="O423">
        <f ca="1"/>
        <v>0</v>
      </c>
      <c r="P423">
        <f ca="1"/>
        <v>322.42570331860423</v>
      </c>
      <c r="Q423">
        <f ca="1"/>
        <v>275.20855011295089</v>
      </c>
      <c r="R423">
        <f ca="1"/>
        <v>0</v>
      </c>
      <c r="S423">
        <f ca="1"/>
        <v>1</v>
      </c>
      <c r="T423">
        <f ca="1"/>
        <v>2.1299999999999955</v>
      </c>
      <c r="U423">
        <f ca="1"/>
        <v>0</v>
      </c>
      <c r="V423">
        <f ca="1"/>
        <v>0.99999902742633373</v>
      </c>
      <c r="X423" s="2">
        <f t="shared" ca="1" si="43"/>
        <v>45833</v>
      </c>
      <c r="Y423">
        <f t="shared" ca="1" si="44"/>
        <v>0</v>
      </c>
      <c r="AA423" s="63">
        <f t="shared" ca="1" si="46"/>
        <v>-264.06971251591006</v>
      </c>
      <c r="AB423" s="63">
        <f t="shared" ca="1" si="47"/>
        <v>-264.06971251591006</v>
      </c>
      <c r="AC423" s="3">
        <f t="shared" ca="1" si="48"/>
        <v>0</v>
      </c>
    </row>
    <row r="424" spans="8:29">
      <c r="H424" t="b">
        <f t="shared" ca="1" si="45"/>
        <v>0</v>
      </c>
      <c r="I424" t="b">
        <f t="shared" ca="1" si="42"/>
        <v>0</v>
      </c>
      <c r="J424" s="2">
        <f ca="1"/>
        <v>45834</v>
      </c>
      <c r="K424">
        <f ca="1"/>
        <v>-267.97380299316995</v>
      </c>
      <c r="L424">
        <f ca="1"/>
        <v>2.2199954125593422</v>
      </c>
      <c r="M424">
        <f ca="1"/>
        <v>0.17302646530627896</v>
      </c>
      <c r="N424">
        <f ca="1"/>
        <v>0.6133665917122002</v>
      </c>
      <c r="O424">
        <f ca="1"/>
        <v>0</v>
      </c>
      <c r="P424">
        <f ca="1"/>
        <v>324.64569873116358</v>
      </c>
      <c r="Q424">
        <f ca="1"/>
        <v>277.1034415948007</v>
      </c>
      <c r="R424">
        <f ca="1"/>
        <v>0</v>
      </c>
      <c r="S424">
        <f ca="1"/>
        <v>1</v>
      </c>
      <c r="T424">
        <f ca="1"/>
        <v>0.25</v>
      </c>
      <c r="U424">
        <f ca="1"/>
        <v>0</v>
      </c>
      <c r="V424">
        <f ca="1"/>
        <v>0.99999911636031358</v>
      </c>
      <c r="X424" s="2">
        <f t="shared" ca="1" si="43"/>
        <v>45834</v>
      </c>
      <c r="Y424">
        <f t="shared" ca="1" si="44"/>
        <v>0</v>
      </c>
      <c r="AA424" s="63">
        <f t="shared" ca="1" si="46"/>
        <v>-265.75380758061061</v>
      </c>
      <c r="AB424" s="63">
        <f t="shared" ca="1" si="47"/>
        <v>-265.75380758061061</v>
      </c>
      <c r="AC424" s="3">
        <f t="shared" ca="1" si="48"/>
        <v>0</v>
      </c>
    </row>
    <row r="425" spans="8:29">
      <c r="H425" t="b">
        <f t="shared" ca="1" si="45"/>
        <v>0</v>
      </c>
      <c r="I425" t="b">
        <f t="shared" ca="1" si="42"/>
        <v>0</v>
      </c>
      <c r="J425" s="2">
        <f ca="1"/>
        <v>45835</v>
      </c>
      <c r="K425">
        <f ca="1"/>
        <v>-269.20574915633034</v>
      </c>
      <c r="L425">
        <f ca="1"/>
        <v>1.9911243417851665</v>
      </c>
      <c r="M425">
        <f ca="1"/>
        <v>0.1679505453435155</v>
      </c>
      <c r="N425">
        <f ca="1"/>
        <v>0.59122763328126904</v>
      </c>
      <c r="O425">
        <f ca="1"/>
        <v>0</v>
      </c>
      <c r="P425">
        <f ca="1"/>
        <v>326.63682307294874</v>
      </c>
      <c r="Q425">
        <f ca="1"/>
        <v>278.80297868988094</v>
      </c>
      <c r="R425">
        <f ca="1"/>
        <v>0</v>
      </c>
      <c r="S425">
        <f ca="1"/>
        <v>1</v>
      </c>
      <c r="T425">
        <f ca="1"/>
        <v>2.0900000000000034</v>
      </c>
      <c r="U425">
        <f ca="1"/>
        <v>0</v>
      </c>
      <c r="V425">
        <f ca="1"/>
        <v>0.99999919042294871</v>
      </c>
      <c r="X425" s="2">
        <f t="shared" ca="1" si="43"/>
        <v>45835</v>
      </c>
      <c r="Y425">
        <f t="shared" ca="1" si="44"/>
        <v>0</v>
      </c>
      <c r="AA425" s="63">
        <f t="shared" ca="1" si="46"/>
        <v>-267.21462481454518</v>
      </c>
      <c r="AB425" s="63">
        <f t="shared" ca="1" si="47"/>
        <v>-267.21462481454518</v>
      </c>
      <c r="AC425" s="3">
        <f t="shared" ca="1" si="48"/>
        <v>0</v>
      </c>
    </row>
    <row r="426" spans="8:29">
      <c r="H426" t="b">
        <f t="shared" ca="1" si="45"/>
        <v>0</v>
      </c>
      <c r="I426" t="b">
        <f t="shared" ca="1" si="42"/>
        <v>0</v>
      </c>
      <c r="J426" s="2">
        <f ca="1"/>
        <v>45836</v>
      </c>
      <c r="K426">
        <f ca="1"/>
        <v>-270.43572506130204</v>
      </c>
      <c r="L426">
        <f ca="1"/>
        <v>1.9934102884836875</v>
      </c>
      <c r="M426">
        <f ca="1"/>
        <v>0.16794295227511213</v>
      </c>
      <c r="N426">
        <f ca="1"/>
        <v>0.59549143123687776</v>
      </c>
      <c r="O426">
        <f ca="1"/>
        <v>0</v>
      </c>
      <c r="P426">
        <f ca="1"/>
        <v>328.63023336143243</v>
      </c>
      <c r="Q426">
        <f ca="1"/>
        <v>280.50446696959091</v>
      </c>
      <c r="R426">
        <f ca="1"/>
        <v>0</v>
      </c>
      <c r="S426">
        <f ca="1"/>
        <v>0.99942028985507259</v>
      </c>
      <c r="T426">
        <f ca="1"/>
        <v>0</v>
      </c>
      <c r="U426">
        <f ca="1"/>
        <v>0</v>
      </c>
      <c r="V426">
        <f ca="1"/>
        <v>0.99999925948258606</v>
      </c>
      <c r="X426" s="2">
        <f t="shared" ca="1" si="43"/>
        <v>45836</v>
      </c>
      <c r="Y426">
        <f t="shared" ca="1" si="44"/>
        <v>0</v>
      </c>
      <c r="AA426" s="63">
        <f t="shared" ca="1" si="46"/>
        <v>-268.44231477281835</v>
      </c>
      <c r="AB426" s="63">
        <f t="shared" ca="1" si="47"/>
        <v>-268.44231477281835</v>
      </c>
      <c r="AC426" s="3">
        <f t="shared" ca="1" si="48"/>
        <v>0</v>
      </c>
    </row>
    <row r="427" spans="8:29">
      <c r="H427" t="b">
        <f t="shared" ca="1" si="45"/>
        <v>0</v>
      </c>
      <c r="I427" t="b">
        <f t="shared" ca="1" si="42"/>
        <v>0</v>
      </c>
      <c r="J427" s="2">
        <f ca="1"/>
        <v>45837</v>
      </c>
      <c r="K427">
        <f ca="1"/>
        <v>-271.57524795096731</v>
      </c>
      <c r="L427">
        <f ca="1"/>
        <v>1.8927167932303064</v>
      </c>
      <c r="M427">
        <f ca="1"/>
        <v>0.16560524369495511</v>
      </c>
      <c r="N427">
        <f ca="1"/>
        <v>0.58758865987009357</v>
      </c>
      <c r="O427">
        <f ca="1"/>
        <v>0</v>
      </c>
      <c r="P427">
        <f ca="1"/>
        <v>330.52295015466274</v>
      </c>
      <c r="Q427">
        <f ca="1"/>
        <v>282.12000766339418</v>
      </c>
      <c r="R427">
        <f ca="1"/>
        <v>0</v>
      </c>
      <c r="S427">
        <f ca="1"/>
        <v>1</v>
      </c>
      <c r="T427">
        <f ca="1"/>
        <v>0.81000000036628705</v>
      </c>
      <c r="U427">
        <f ca="1"/>
        <v>0</v>
      </c>
      <c r="V427">
        <f ca="1"/>
        <v>0.99999932060352026</v>
      </c>
      <c r="X427" s="2">
        <f t="shared" ca="1" si="43"/>
        <v>45837</v>
      </c>
      <c r="Y427">
        <f t="shared" ca="1" si="44"/>
        <v>0</v>
      </c>
      <c r="AA427" s="63">
        <f t="shared" ca="1" si="46"/>
        <v>-269.682531157737</v>
      </c>
      <c r="AB427" s="63">
        <f t="shared" ca="1" si="47"/>
        <v>-269.682531157737</v>
      </c>
      <c r="AC427" s="3">
        <f t="shared" ca="1" si="48"/>
        <v>0</v>
      </c>
    </row>
    <row r="428" spans="8:29">
      <c r="H428" t="b">
        <f t="shared" ca="1" si="45"/>
        <v>0</v>
      </c>
      <c r="I428" t="b">
        <f t="shared" ca="1" si="42"/>
        <v>0</v>
      </c>
      <c r="J428" s="2">
        <f ca="1"/>
        <v>45838</v>
      </c>
      <c r="K428">
        <f ca="1"/>
        <v>-272.60640849131386</v>
      </c>
      <c r="L428">
        <f ca="1"/>
        <v>1.770644300649451</v>
      </c>
      <c r="M428">
        <f ca="1"/>
        <v>0.16272518686845672</v>
      </c>
      <c r="N428">
        <f ca="1"/>
        <v>0.57675857343444648</v>
      </c>
      <c r="O428">
        <f ca="1"/>
        <v>0</v>
      </c>
      <c r="P428">
        <f ca="1"/>
        <v>332.29359445531219</v>
      </c>
      <c r="Q428">
        <f ca="1"/>
        <v>283.63135258947148</v>
      </c>
      <c r="R428">
        <f ca="1"/>
        <v>0</v>
      </c>
      <c r="S428">
        <f ca="1"/>
        <v>1</v>
      </c>
      <c r="T428">
        <f ca="1"/>
        <v>1.7499999999999858</v>
      </c>
      <c r="U428">
        <f ca="1"/>
        <v>0</v>
      </c>
      <c r="V428">
        <f ca="1"/>
        <v>0.9999993740690255</v>
      </c>
      <c r="X428" s="2">
        <f t="shared" ca="1" si="43"/>
        <v>45838</v>
      </c>
      <c r="Y428">
        <f t="shared" ca="1" si="44"/>
        <v>0</v>
      </c>
      <c r="AA428" s="63">
        <f t="shared" ca="1" si="46"/>
        <v>-270.83576419066441</v>
      </c>
      <c r="AB428" s="63">
        <f t="shared" ca="1" si="47"/>
        <v>-270.83576419066441</v>
      </c>
      <c r="AC428" s="3">
        <f t="shared" ca="1" si="48"/>
        <v>0</v>
      </c>
    </row>
    <row r="429" spans="8:29">
      <c r="H429" t="b">
        <f t="shared" ca="1" si="45"/>
        <v>0</v>
      </c>
      <c r="I429" t="b">
        <f t="shared" ca="1" si="42"/>
        <v>0</v>
      </c>
      <c r="J429" s="2">
        <f ca="1"/>
        <v>45839</v>
      </c>
      <c r="K429">
        <f ca="1"/>
        <v>-273.72993996917717</v>
      </c>
      <c r="L429">
        <f ca="1"/>
        <v>1.8829710479649862</v>
      </c>
      <c r="M429">
        <f ca="1"/>
        <v>0.16516838247993348</v>
      </c>
      <c r="N429">
        <f ca="1"/>
        <v>0.59427118762176234</v>
      </c>
      <c r="O429">
        <f ca="1"/>
        <v>0</v>
      </c>
      <c r="P429">
        <f ca="1"/>
        <v>334.17656550327717</v>
      </c>
      <c r="Q429">
        <f ca="1"/>
        <v>285.23857473919895</v>
      </c>
      <c r="R429">
        <f ca="1"/>
        <v>0</v>
      </c>
      <c r="S429">
        <f ca="1"/>
        <v>1</v>
      </c>
      <c r="T429">
        <f ca="1"/>
        <v>1.3199999999999932</v>
      </c>
      <c r="U429">
        <f ca="1"/>
        <v>0</v>
      </c>
      <c r="V429">
        <f ca="1"/>
        <v>0.99999942719710366</v>
      </c>
      <c r="X429" s="2">
        <f t="shared" ca="1" si="43"/>
        <v>45839</v>
      </c>
      <c r="Y429">
        <f t="shared" ca="1" si="44"/>
        <v>0</v>
      </c>
      <c r="AA429" s="63">
        <f t="shared" ca="1" si="46"/>
        <v>-271.84696892121218</v>
      </c>
      <c r="AB429" s="63">
        <f t="shared" ca="1" si="47"/>
        <v>-271.84696892121218</v>
      </c>
      <c r="AC429" s="3">
        <f t="shared" ca="1" si="48"/>
        <v>0</v>
      </c>
    </row>
    <row r="430" spans="8:29">
      <c r="H430" t="b">
        <f t="shared" ca="1" si="45"/>
        <v>0</v>
      </c>
      <c r="I430" t="b">
        <f t="shared" ca="1" si="42"/>
        <v>0</v>
      </c>
      <c r="J430" s="2">
        <f ca="1"/>
        <v>45840</v>
      </c>
      <c r="K430">
        <f ca="1"/>
        <v>-274.57857960286503</v>
      </c>
      <c r="L430">
        <f ca="1"/>
        <v>1.5653558391907154</v>
      </c>
      <c r="M430">
        <f ca="1"/>
        <v>0.15771938347202763</v>
      </c>
      <c r="N430">
        <f ca="1"/>
        <v>0.55899682203078382</v>
      </c>
      <c r="O430">
        <f ca="1"/>
        <v>0</v>
      </c>
      <c r="P430">
        <f ca="1"/>
        <v>335.74192134246789</v>
      </c>
      <c r="Q430">
        <f ca="1"/>
        <v>286.57469436762949</v>
      </c>
      <c r="R430">
        <f ca="1"/>
        <v>0</v>
      </c>
      <c r="S430">
        <f ca="1"/>
        <v>0.99739130434782619</v>
      </c>
      <c r="T430">
        <f ca="1"/>
        <v>0</v>
      </c>
      <c r="U430">
        <f ca="1"/>
        <v>0</v>
      </c>
      <c r="V430">
        <f ca="1"/>
        <v>0.99999946858527888</v>
      </c>
      <c r="X430" s="2">
        <f t="shared" ca="1" si="43"/>
        <v>45840</v>
      </c>
      <c r="Y430">
        <f t="shared" ca="1" si="44"/>
        <v>0</v>
      </c>
      <c r="AA430" s="63">
        <f t="shared" ca="1" si="46"/>
        <v>-273.01322376367438</v>
      </c>
      <c r="AB430" s="63">
        <f t="shared" ca="1" si="47"/>
        <v>-273.01322376367432</v>
      </c>
      <c r="AC430" s="3">
        <f t="shared" ca="1" si="48"/>
        <v>0</v>
      </c>
    </row>
    <row r="431" spans="8:29">
      <c r="H431" t="b">
        <f t="shared" ca="1" si="45"/>
        <v>0</v>
      </c>
      <c r="I431" t="b">
        <f t="shared" ca="1" si="42"/>
        <v>0</v>
      </c>
      <c r="J431" s="2">
        <f ca="1"/>
        <v>45841</v>
      </c>
      <c r="K431">
        <f ca="1"/>
        <v>-275.6446080842004</v>
      </c>
      <c r="L431">
        <f ca="1"/>
        <v>1.8244479527652402</v>
      </c>
      <c r="M431">
        <f ca="1"/>
        <v>0.1635383636424379</v>
      </c>
      <c r="N431">
        <f ca="1"/>
        <v>0.59488110778745396</v>
      </c>
      <c r="O431">
        <f ca="1"/>
        <v>0</v>
      </c>
      <c r="P431">
        <f ca="1"/>
        <v>337.56636929523313</v>
      </c>
      <c r="Q431">
        <f ca="1"/>
        <v>288.13196374990611</v>
      </c>
      <c r="R431">
        <f ca="1"/>
        <v>0</v>
      </c>
      <c r="S431">
        <f ca="1"/>
        <v>1</v>
      </c>
      <c r="T431">
        <f ca="1"/>
        <v>2.500000001128825</v>
      </c>
      <c r="U431">
        <f ca="1"/>
        <v>0</v>
      </c>
      <c r="V431">
        <f ca="1"/>
        <v>0.99999951380386898</v>
      </c>
      <c r="X431" s="2">
        <f t="shared" ca="1" si="43"/>
        <v>45841</v>
      </c>
      <c r="Y431">
        <f t="shared" ca="1" si="44"/>
        <v>0</v>
      </c>
      <c r="AA431" s="63">
        <f t="shared" ca="1" si="46"/>
        <v>-273.82016013143516</v>
      </c>
      <c r="AB431" s="63">
        <f t="shared" ca="1" si="47"/>
        <v>-273.82016013143516</v>
      </c>
      <c r="AC431" s="3">
        <f t="shared" ca="1" si="48"/>
        <v>0</v>
      </c>
    </row>
    <row r="432" spans="8:29">
      <c r="H432" t="b">
        <f t="shared" ca="1" si="45"/>
        <v>0</v>
      </c>
      <c r="I432" t="b">
        <f t="shared" ca="1" si="42"/>
        <v>0</v>
      </c>
      <c r="J432" s="2">
        <f ca="1"/>
        <v>45842</v>
      </c>
      <c r="K432">
        <f ca="1"/>
        <v>-276.58727158644655</v>
      </c>
      <c r="L432">
        <f ca="1"/>
        <v>1.6836826139358436</v>
      </c>
      <c r="M432">
        <f ca="1"/>
        <v>0.16006429773685937</v>
      </c>
      <c r="N432">
        <f ca="1"/>
        <v>0.58095481395279547</v>
      </c>
      <c r="O432">
        <f ca="1"/>
        <v>0</v>
      </c>
      <c r="P432">
        <f ca="1"/>
        <v>339.25005190916897</v>
      </c>
      <c r="Q432">
        <f ca="1"/>
        <v>289.56908196431158</v>
      </c>
      <c r="R432">
        <f ca="1"/>
        <v>0</v>
      </c>
      <c r="S432">
        <f ca="1"/>
        <v>0.99797101449275361</v>
      </c>
      <c r="T432">
        <f ca="1"/>
        <v>0</v>
      </c>
      <c r="U432">
        <f ca="1"/>
        <v>0</v>
      </c>
      <c r="V432">
        <f ca="1"/>
        <v>0.99999955279283148</v>
      </c>
      <c r="X432" s="2">
        <f t="shared" ca="1" si="43"/>
        <v>45842</v>
      </c>
      <c r="Y432">
        <f t="shared" ca="1" si="44"/>
        <v>0</v>
      </c>
      <c r="AA432" s="63">
        <f t="shared" ca="1" si="46"/>
        <v>-274.9035889725107</v>
      </c>
      <c r="AB432" s="63">
        <f t="shared" ca="1" si="47"/>
        <v>-274.9035889725107</v>
      </c>
      <c r="AC432" s="3">
        <f t="shared" ca="1" si="48"/>
        <v>0</v>
      </c>
    </row>
    <row r="433" spans="8:29">
      <c r="H433" t="b">
        <f t="shared" ca="1" si="45"/>
        <v>0</v>
      </c>
      <c r="I433" t="b">
        <f t="shared" ca="1" si="42"/>
        <v>0</v>
      </c>
      <c r="J433" s="2">
        <f ca="1"/>
        <v>45843</v>
      </c>
      <c r="K433">
        <f ca="1"/>
        <v>-277.80574008435866</v>
      </c>
      <c r="L433">
        <f ca="1"/>
        <v>2.0170054387365326</v>
      </c>
      <c r="M433">
        <f ca="1"/>
        <v>0.16822135699634799</v>
      </c>
      <c r="N433">
        <f ca="1"/>
        <v>0.63031558382804642</v>
      </c>
      <c r="O433">
        <f ca="1"/>
        <v>0</v>
      </c>
      <c r="P433">
        <f ca="1"/>
        <v>341.26705734790551</v>
      </c>
      <c r="Q433">
        <f ca="1"/>
        <v>291.29071003754274</v>
      </c>
      <c r="R433">
        <f ca="1"/>
        <v>0</v>
      </c>
      <c r="S433">
        <f ca="1"/>
        <v>0.9853623188520968</v>
      </c>
      <c r="T433">
        <f ca="1"/>
        <v>0</v>
      </c>
      <c r="U433">
        <f ca="1"/>
        <v>0</v>
      </c>
      <c r="V433">
        <f ca="1"/>
        <v>0.99999959622564094</v>
      </c>
      <c r="X433" s="2">
        <f t="shared" ca="1" si="43"/>
        <v>45843</v>
      </c>
      <c r="Y433">
        <f t="shared" ca="1" si="44"/>
        <v>0</v>
      </c>
      <c r="AA433" s="63">
        <f t="shared" ca="1" si="46"/>
        <v>-275.78873464562213</v>
      </c>
      <c r="AB433" s="63">
        <f t="shared" ca="1" si="47"/>
        <v>-275.78873464562213</v>
      </c>
      <c r="AC433" s="3">
        <f t="shared" ca="1" si="48"/>
        <v>0</v>
      </c>
    </row>
    <row r="434" spans="8:29">
      <c r="H434" t="b">
        <f t="shared" ca="1" si="45"/>
        <v>0</v>
      </c>
      <c r="I434" t="b">
        <f t="shared" ca="1" si="42"/>
        <v>0</v>
      </c>
      <c r="J434" s="2">
        <f ca="1"/>
        <v>45844</v>
      </c>
      <c r="K434">
        <f ca="1"/>
        <v>-278.87719019157009</v>
      </c>
      <c r="L434">
        <f ca="1"/>
        <v>1.8482031781305182</v>
      </c>
      <c r="M434">
        <f ca="1"/>
        <v>0.16400853186384978</v>
      </c>
      <c r="N434">
        <f ca="1"/>
        <v>0.61274453905525339</v>
      </c>
      <c r="O434">
        <f ca="1"/>
        <v>0</v>
      </c>
      <c r="P434">
        <f ca="1"/>
        <v>343.11526052603602</v>
      </c>
      <c r="Q434">
        <f ca="1"/>
        <v>292.86825584649102</v>
      </c>
      <c r="R434">
        <f ca="1"/>
        <v>0</v>
      </c>
      <c r="S434">
        <f ca="1"/>
        <v>1</v>
      </c>
      <c r="T434">
        <f ca="1"/>
        <v>0.32000000536012863</v>
      </c>
      <c r="U434">
        <f ca="1"/>
        <v>0</v>
      </c>
      <c r="V434">
        <f ca="1"/>
        <v>0.99999963306236184</v>
      </c>
      <c r="X434" s="2">
        <f t="shared" ca="1" si="43"/>
        <v>45844</v>
      </c>
      <c r="Y434">
        <f t="shared" ca="1" si="44"/>
        <v>0</v>
      </c>
      <c r="AA434" s="63">
        <f t="shared" ca="1" si="46"/>
        <v>-277.02898701343958</v>
      </c>
      <c r="AB434" s="63">
        <f t="shared" ca="1" si="47"/>
        <v>-277.02898701343958</v>
      </c>
      <c r="AC434" s="3">
        <f t="shared" ca="1" si="48"/>
        <v>0</v>
      </c>
    </row>
    <row r="435" spans="8:29">
      <c r="H435" t="b">
        <f t="shared" ca="1" si="45"/>
        <v>0</v>
      </c>
      <c r="I435" t="b">
        <f t="shared" ca="1" si="42"/>
        <v>0</v>
      </c>
      <c r="J435" s="2">
        <f ca="1"/>
        <v>45845</v>
      </c>
      <c r="K435">
        <f ca="1"/>
        <v>-280.10472200368525</v>
      </c>
      <c r="L435">
        <f ca="1"/>
        <v>2.0436753525206655</v>
      </c>
      <c r="M435">
        <f ca="1"/>
        <v>0.16922585792266887</v>
      </c>
      <c r="N435">
        <f ca="1"/>
        <v>0.64691768248284565</v>
      </c>
      <c r="O435">
        <f ca="1"/>
        <v>0</v>
      </c>
      <c r="P435">
        <f ca="1"/>
        <v>345.15893587855669</v>
      </c>
      <c r="Q435">
        <f ca="1"/>
        <v>294.61264819759651</v>
      </c>
      <c r="R435">
        <f ca="1"/>
        <v>0</v>
      </c>
      <c r="S435">
        <f ca="1"/>
        <v>1</v>
      </c>
      <c r="T435">
        <f ca="1"/>
        <v>3.7599999999999909</v>
      </c>
      <c r="U435">
        <f ca="1"/>
        <v>0</v>
      </c>
      <c r="V435">
        <f ca="1"/>
        <v>0.9999996706934472</v>
      </c>
      <c r="X435" s="2">
        <f t="shared" ca="1" si="43"/>
        <v>45845</v>
      </c>
      <c r="Y435">
        <f t="shared" ca="1" si="44"/>
        <v>0</v>
      </c>
      <c r="AA435" s="63">
        <f t="shared" ca="1" si="46"/>
        <v>-278.06104665116453</v>
      </c>
      <c r="AB435" s="63">
        <f t="shared" ca="1" si="47"/>
        <v>-278.06104665116459</v>
      </c>
      <c r="AC435" s="3">
        <f t="shared" ca="1" si="48"/>
        <v>0</v>
      </c>
    </row>
    <row r="436" spans="8:29">
      <c r="H436" t="b">
        <f t="shared" ca="1" si="45"/>
        <v>0</v>
      </c>
      <c r="I436" t="b">
        <f t="shared" ca="1" si="42"/>
        <v>0</v>
      </c>
      <c r="J436" s="2">
        <f ca="1"/>
        <v>45846</v>
      </c>
      <c r="K436">
        <f ca="1"/>
        <v>-280.88776778364536</v>
      </c>
      <c r="L436">
        <f ca="1"/>
        <v>1.5153307588639109</v>
      </c>
      <c r="M436">
        <f ca="1"/>
        <v>0.15552640546933816</v>
      </c>
      <c r="N436">
        <f ca="1"/>
        <v>0.57675857343444648</v>
      </c>
      <c r="O436">
        <f ca="1"/>
        <v>0</v>
      </c>
      <c r="P436">
        <f ca="1"/>
        <v>346.6742666374206</v>
      </c>
      <c r="Q436">
        <f ca="1"/>
        <v>295.90606859428368</v>
      </c>
      <c r="R436">
        <f ca="1"/>
        <v>0</v>
      </c>
      <c r="S436">
        <f ca="1"/>
        <v>1</v>
      </c>
      <c r="T436">
        <f ca="1"/>
        <v>2.6900000000000119</v>
      </c>
      <c r="U436">
        <f ca="1"/>
        <v>0</v>
      </c>
      <c r="V436">
        <f ca="1"/>
        <v>0.99999969660842825</v>
      </c>
      <c r="X436" s="2">
        <f t="shared" ca="1" si="43"/>
        <v>45846</v>
      </c>
      <c r="Y436">
        <f t="shared" ca="1" si="44"/>
        <v>0</v>
      </c>
      <c r="AA436" s="63">
        <f t="shared" ca="1" si="46"/>
        <v>-279.37243702478145</v>
      </c>
      <c r="AB436" s="63">
        <f t="shared" ca="1" si="47"/>
        <v>-279.37243702478145</v>
      </c>
      <c r="AC436" s="3">
        <f t="shared" ca="1" si="48"/>
        <v>0</v>
      </c>
    </row>
    <row r="437" spans="8:29">
      <c r="H437" t="b">
        <f t="shared" ca="1" si="45"/>
        <v>0</v>
      </c>
      <c r="I437" t="b">
        <f t="shared" ca="1" si="42"/>
        <v>0</v>
      </c>
      <c r="J437" s="2">
        <f ca="1"/>
        <v>45847</v>
      </c>
      <c r="K437">
        <f ca="1"/>
        <v>-281.51489258773415</v>
      </c>
      <c r="L437">
        <f ca="1"/>
        <v>1.3327301287044406</v>
      </c>
      <c r="M437">
        <f ca="1"/>
        <v>0.15070123669805469</v>
      </c>
      <c r="N437">
        <f ca="1"/>
        <v>0.55490408791756807</v>
      </c>
      <c r="O437">
        <f ca="1"/>
        <v>0</v>
      </c>
      <c r="P437">
        <f ca="1"/>
        <v>348.00699676612504</v>
      </c>
      <c r="Q437">
        <f ca="1"/>
        <v>297.04362903886829</v>
      </c>
      <c r="R437">
        <f ca="1"/>
        <v>0</v>
      </c>
      <c r="S437">
        <f ca="1"/>
        <v>1</v>
      </c>
      <c r="T437">
        <f ca="1"/>
        <v>3.2900000000000063</v>
      </c>
      <c r="U437">
        <f ca="1"/>
        <v>0</v>
      </c>
      <c r="V437">
        <f ca="1"/>
        <v>0.9999997180722886</v>
      </c>
      <c r="X437" s="2">
        <f t="shared" ca="1" si="43"/>
        <v>45847</v>
      </c>
      <c r="Y437">
        <f t="shared" ca="1" si="44"/>
        <v>0</v>
      </c>
      <c r="AA437" s="63">
        <f t="shared" ca="1" si="46"/>
        <v>-280.18216245902971</v>
      </c>
      <c r="AB437" s="63">
        <f t="shared" ca="1" si="47"/>
        <v>-280.18216245902971</v>
      </c>
      <c r="AC437" s="3">
        <f t="shared" ca="1" si="48"/>
        <v>0</v>
      </c>
    </row>
    <row r="438" spans="8:29">
      <c r="H438" t="b">
        <f t="shared" ca="1" si="45"/>
        <v>0</v>
      </c>
      <c r="I438" t="b">
        <f t="shared" ca="1" si="42"/>
        <v>0</v>
      </c>
      <c r="J438" s="2">
        <f ca="1"/>
        <v>45848</v>
      </c>
      <c r="K438">
        <f ca="1"/>
        <v>-282.14799442631301</v>
      </c>
      <c r="L438">
        <f ca="1"/>
        <v>1.3433336014923043</v>
      </c>
      <c r="M438">
        <f ca="1"/>
        <v>0.15064867168820939</v>
      </c>
      <c r="N438">
        <f ca="1"/>
        <v>0.55958309122524053</v>
      </c>
      <c r="O438">
        <f ca="1"/>
        <v>0</v>
      </c>
      <c r="P438">
        <f ca="1"/>
        <v>349.35033036761735</v>
      </c>
      <c r="Q438">
        <f ca="1"/>
        <v>298.19024014641809</v>
      </c>
      <c r="R438">
        <f ca="1"/>
        <v>0</v>
      </c>
      <c r="S438">
        <f ca="1"/>
        <v>1</v>
      </c>
      <c r="T438">
        <f ca="1"/>
        <v>1.2099999999999937</v>
      </c>
      <c r="U438">
        <f ca="1"/>
        <v>0</v>
      </c>
      <c r="V438">
        <f ca="1"/>
        <v>0.9999997385038546</v>
      </c>
      <c r="X438" s="2">
        <f t="shared" ca="1" si="43"/>
        <v>45848</v>
      </c>
      <c r="Y438">
        <f t="shared" ca="1" si="44"/>
        <v>0</v>
      </c>
      <c r="AA438" s="63">
        <f t="shared" ca="1" si="46"/>
        <v>-280.8046608248207</v>
      </c>
      <c r="AB438" s="63">
        <f t="shared" ca="1" si="47"/>
        <v>-280.8046608248207</v>
      </c>
      <c r="AC438" s="3">
        <f t="shared" ca="1" si="48"/>
        <v>0</v>
      </c>
    </row>
    <row r="439" spans="8:29">
      <c r="H439" t="b">
        <f t="shared" ca="1" si="45"/>
        <v>0</v>
      </c>
      <c r="I439" t="b">
        <f t="shared" ca="1" si="42"/>
        <v>0</v>
      </c>
      <c r="J439" s="2">
        <f ca="1"/>
        <v>45849</v>
      </c>
      <c r="K439">
        <f ca="1"/>
        <v>-282.6882793769575</v>
      </c>
      <c r="L439">
        <f ca="1"/>
        <v>1.2352311507204945</v>
      </c>
      <c r="M439">
        <f ca="1"/>
        <v>0.14759121212756554</v>
      </c>
      <c r="N439">
        <f ca="1"/>
        <v>0.54735498794846438</v>
      </c>
      <c r="O439">
        <f ca="1"/>
        <v>0</v>
      </c>
      <c r="P439">
        <f ca="1"/>
        <v>350.58556151833784</v>
      </c>
      <c r="Q439">
        <f ca="1"/>
        <v>299.24457970602896</v>
      </c>
      <c r="R439">
        <f ca="1"/>
        <v>0</v>
      </c>
      <c r="S439">
        <f ca="1"/>
        <v>1</v>
      </c>
      <c r="T439">
        <f ca="1"/>
        <v>3.6200000000000045</v>
      </c>
      <c r="U439">
        <f ca="1"/>
        <v>0</v>
      </c>
      <c r="V439">
        <f ca="1"/>
        <v>0.9999997562691646</v>
      </c>
      <c r="X439" s="2">
        <f t="shared" ca="1" si="43"/>
        <v>45849</v>
      </c>
      <c r="Y439">
        <f t="shared" ca="1" si="44"/>
        <v>0</v>
      </c>
      <c r="AA439" s="63">
        <f t="shared" ca="1" si="46"/>
        <v>-281.453048226237</v>
      </c>
      <c r="AB439" s="63">
        <f t="shared" ca="1" si="47"/>
        <v>-281.453048226237</v>
      </c>
      <c r="AC439" s="3">
        <f t="shared" ca="1" si="48"/>
        <v>0</v>
      </c>
    </row>
    <row r="440" spans="8:29">
      <c r="H440" t="b">
        <f t="shared" ca="1" si="45"/>
        <v>0</v>
      </c>
      <c r="I440" t="b">
        <f t="shared" ca="1" si="42"/>
        <v>0</v>
      </c>
      <c r="J440" s="2">
        <f ca="1"/>
        <v>45850</v>
      </c>
      <c r="K440">
        <f ca="1"/>
        <v>-283.32099492237353</v>
      </c>
      <c r="L440">
        <f ca="1"/>
        <v>1.3501551559510858</v>
      </c>
      <c r="M440">
        <f ca="1"/>
        <v>0.1501987280047743</v>
      </c>
      <c r="N440">
        <f ca="1"/>
        <v>0.56724088253026428</v>
      </c>
      <c r="O440">
        <f ca="1"/>
        <v>0</v>
      </c>
      <c r="P440">
        <f ca="1"/>
        <v>351.93571667428893</v>
      </c>
      <c r="Q440">
        <f ca="1"/>
        <v>300.39701339562737</v>
      </c>
      <c r="R440">
        <f ca="1"/>
        <v>0</v>
      </c>
      <c r="S440">
        <f ca="1"/>
        <v>1</v>
      </c>
      <c r="T440">
        <f ca="1"/>
        <v>0.62000000000000455</v>
      </c>
      <c r="U440">
        <f ca="1"/>
        <v>0</v>
      </c>
      <c r="V440">
        <f ca="1"/>
        <v>0.9999997746139313</v>
      </c>
      <c r="X440" s="2">
        <f t="shared" ca="1" si="43"/>
        <v>45850</v>
      </c>
      <c r="Y440">
        <f t="shared" ca="1" si="44"/>
        <v>0</v>
      </c>
      <c r="AA440" s="63">
        <f t="shared" ca="1" si="46"/>
        <v>-281.97083976642244</v>
      </c>
      <c r="AB440" s="63">
        <f t="shared" ca="1" si="47"/>
        <v>-281.97083976642244</v>
      </c>
      <c r="AC440" s="3">
        <f t="shared" ca="1" si="48"/>
        <v>0</v>
      </c>
    </row>
    <row r="441" spans="8:29">
      <c r="H441" t="b">
        <f t="shared" ca="1" si="45"/>
        <v>0</v>
      </c>
      <c r="I441" t="b">
        <f t="shared" ca="1" si="42"/>
        <v>0</v>
      </c>
      <c r="J441" s="2">
        <f ca="1"/>
        <v>45851</v>
      </c>
      <c r="K441">
        <f ca="1"/>
        <v>-283.8399985189622</v>
      </c>
      <c r="L441">
        <f ca="1"/>
        <v>1.2162439093210651</v>
      </c>
      <c r="M441">
        <f ca="1"/>
        <v>0.14640946670748889</v>
      </c>
      <c r="N441">
        <f ca="1"/>
        <v>0.55083084602490195</v>
      </c>
      <c r="O441">
        <f ca="1"/>
        <v>0</v>
      </c>
      <c r="P441">
        <f ca="1"/>
        <v>353.15196058360999</v>
      </c>
      <c r="Q441">
        <f ca="1"/>
        <v>301.4351462722027</v>
      </c>
      <c r="R441">
        <f ca="1"/>
        <v>0</v>
      </c>
      <c r="S441">
        <f ca="1"/>
        <v>1</v>
      </c>
      <c r="T441">
        <f ca="1"/>
        <v>4.2000000000000028</v>
      </c>
      <c r="U441">
        <f ca="1"/>
        <v>0</v>
      </c>
      <c r="V441">
        <f ca="1"/>
        <v>0.99999979021848984</v>
      </c>
      <c r="X441" s="2">
        <f t="shared" ca="1" si="43"/>
        <v>45851</v>
      </c>
      <c r="Y441">
        <f t="shared" ca="1" si="44"/>
        <v>0</v>
      </c>
      <c r="AA441" s="63">
        <f t="shared" ca="1" si="46"/>
        <v>-282.62375460964114</v>
      </c>
      <c r="AB441" s="63">
        <f t="shared" ca="1" si="47"/>
        <v>-282.62375460964114</v>
      </c>
      <c r="AC441" s="3">
        <f t="shared" ca="1" si="48"/>
        <v>0</v>
      </c>
    </row>
    <row r="442" spans="8:29">
      <c r="H442" t="b">
        <f t="shared" ca="1" si="45"/>
        <v>0</v>
      </c>
      <c r="I442" t="b">
        <f t="shared" ca="1" si="42"/>
        <v>0</v>
      </c>
      <c r="J442" s="2">
        <f ca="1"/>
        <v>45852</v>
      </c>
      <c r="K442">
        <f ca="1"/>
        <v>-284.28556005213505</v>
      </c>
      <c r="L442">
        <f ca="1"/>
        <v>1.1303923575664498</v>
      </c>
      <c r="M442">
        <f ca="1"/>
        <v>0.1438111656369685</v>
      </c>
      <c r="N442">
        <f ca="1"/>
        <v>0.54101965875664937</v>
      </c>
      <c r="O442">
        <f ca="1"/>
        <v>0</v>
      </c>
      <c r="P442">
        <f ca="1"/>
        <v>354.28235294117644</v>
      </c>
      <c r="Q442">
        <f ca="1"/>
        <v>302.40000000000003</v>
      </c>
      <c r="R442">
        <f ca="1"/>
        <v>0</v>
      </c>
      <c r="S442">
        <f ca="1"/>
        <v>1</v>
      </c>
      <c r="T442">
        <f ca="1"/>
        <v>3.3700000000000045</v>
      </c>
      <c r="U442">
        <f ca="1"/>
        <v>0</v>
      </c>
      <c r="V442">
        <f ca="1"/>
        <v>0.99999980397040544</v>
      </c>
      <c r="X442" s="2">
        <f t="shared" ca="1" si="43"/>
        <v>45852</v>
      </c>
      <c r="Y442">
        <f t="shared" ca="1" si="44"/>
        <v>0</v>
      </c>
      <c r="AA442" s="63">
        <f t="shared" ca="1" si="46"/>
        <v>-283.1551676945686</v>
      </c>
      <c r="AB442" s="63">
        <f t="shared" ca="1" si="47"/>
        <v>-283.1551676945686</v>
      </c>
      <c r="AC442" s="3">
        <f t="shared" ca="1" si="48"/>
        <v>0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E14" sqref="E14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2025-08-06T01:38:34Z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