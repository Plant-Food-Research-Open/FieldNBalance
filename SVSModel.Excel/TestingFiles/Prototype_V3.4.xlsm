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F59CD504-2943-4F98-B32E-467631F9F421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Interface'!$P$7:$AB$1000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P4" i="3" s="1"/>
  <c r="B21" i="1"/>
  <c r="J5" i="3"/>
  <c r="J4" i="3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2" i="3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Q6" i="3" l="1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AE18" i="3" s="1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AE42" i="3" s="1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AE7" i="3" s="1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AE31" i="3" s="1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AE55" i="3" s="1"/>
  <c r="P56" i="3"/>
  <c r="X56" i="3"/>
  <c r="S57" i="3"/>
  <c r="AA57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AE27" i="3" s="1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AE43" i="3" s="1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R7" i="3"/>
  <c r="U8" i="3"/>
  <c r="AE8" i="3" s="1"/>
  <c r="X9" i="3"/>
  <c r="AA10" i="3"/>
  <c r="Q12" i="3"/>
  <c r="T13" i="3"/>
  <c r="W14" i="3"/>
  <c r="Z15" i="3"/>
  <c r="P17" i="3"/>
  <c r="S18" i="3"/>
  <c r="V19" i="3"/>
  <c r="Y20" i="3"/>
  <c r="AB21" i="3"/>
  <c r="R23" i="3"/>
  <c r="U24" i="3"/>
  <c r="AE24" i="3" s="1"/>
  <c r="X25" i="3"/>
  <c r="AA26" i="3"/>
  <c r="Q28" i="3"/>
  <c r="T29" i="3"/>
  <c r="W30" i="3"/>
  <c r="Z31" i="3"/>
  <c r="P33" i="3"/>
  <c r="S34" i="3"/>
  <c r="V35" i="3"/>
  <c r="Y36" i="3"/>
  <c r="AB37" i="3"/>
  <c r="R39" i="3"/>
  <c r="U40" i="3"/>
  <c r="X41" i="3"/>
  <c r="AA42" i="3"/>
  <c r="Q44" i="3"/>
  <c r="T45" i="3"/>
  <c r="W46" i="3"/>
  <c r="Z47" i="3"/>
  <c r="P49" i="3"/>
  <c r="S50" i="3"/>
  <c r="V51" i="3"/>
  <c r="Y52" i="3"/>
  <c r="AB53" i="3"/>
  <c r="AA54" i="3"/>
  <c r="X55" i="3"/>
  <c r="U56" i="3"/>
  <c r="AE56" i="3" s="1"/>
  <c r="T57" i="3"/>
  <c r="Q58" i="3"/>
  <c r="Y58" i="3"/>
  <c r="T59" i="3"/>
  <c r="AB59" i="3"/>
  <c r="W60" i="3"/>
  <c r="R61" i="3"/>
  <c r="Z61" i="3"/>
  <c r="U62" i="3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AE78" i="3" s="1"/>
  <c r="P79" i="3"/>
  <c r="S6" i="3"/>
  <c r="V7" i="3"/>
  <c r="Y8" i="3"/>
  <c r="AB9" i="3"/>
  <c r="R11" i="3"/>
  <c r="U12" i="3"/>
  <c r="X13" i="3"/>
  <c r="AA14" i="3"/>
  <c r="Q16" i="3"/>
  <c r="T17" i="3"/>
  <c r="W18" i="3"/>
  <c r="Z19" i="3"/>
  <c r="P21" i="3"/>
  <c r="S22" i="3"/>
  <c r="V23" i="3"/>
  <c r="Y24" i="3"/>
  <c r="AB25" i="3"/>
  <c r="R27" i="3"/>
  <c r="U28" i="3"/>
  <c r="AE28" i="3" s="1"/>
  <c r="X29" i="3"/>
  <c r="AA30" i="3"/>
  <c r="Q32" i="3"/>
  <c r="T33" i="3"/>
  <c r="W34" i="3"/>
  <c r="Z35" i="3"/>
  <c r="P37" i="3"/>
  <c r="S38" i="3"/>
  <c r="V39" i="3"/>
  <c r="Y40" i="3"/>
  <c r="AB41" i="3"/>
  <c r="R43" i="3"/>
  <c r="U44" i="3"/>
  <c r="X45" i="3"/>
  <c r="AA46" i="3"/>
  <c r="Q48" i="3"/>
  <c r="T49" i="3"/>
  <c r="W50" i="3"/>
  <c r="Z51" i="3"/>
  <c r="P53" i="3"/>
  <c r="S54" i="3"/>
  <c r="P55" i="3"/>
  <c r="Z55" i="3"/>
  <c r="Y56" i="3"/>
  <c r="V57" i="3"/>
  <c r="S58" i="3"/>
  <c r="AA58" i="3"/>
  <c r="V59" i="3"/>
  <c r="Q60" i="3"/>
  <c r="Y60" i="3"/>
  <c r="T61" i="3"/>
  <c r="AB61" i="3"/>
  <c r="W62" i="3"/>
  <c r="R63" i="3"/>
  <c r="Z63" i="3"/>
  <c r="U64" i="3"/>
  <c r="AE64" i="3" s="1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AE72" i="3" s="1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Q92" i="3"/>
  <c r="Y92" i="3"/>
  <c r="T93" i="3"/>
  <c r="AB93" i="3"/>
  <c r="W94" i="3"/>
  <c r="R95" i="3"/>
  <c r="Z95" i="3"/>
  <c r="U96" i="3"/>
  <c r="AE96" i="3" s="1"/>
  <c r="P97" i="3"/>
  <c r="X97" i="3"/>
  <c r="S98" i="3"/>
  <c r="AA98" i="3"/>
  <c r="V99" i="3"/>
  <c r="Q100" i="3"/>
  <c r="Y100" i="3"/>
  <c r="T101" i="3"/>
  <c r="AB101" i="3"/>
  <c r="W102" i="3"/>
  <c r="R103" i="3"/>
  <c r="T6" i="3"/>
  <c r="W7" i="3"/>
  <c r="Z8" i="3"/>
  <c r="P10" i="3"/>
  <c r="S11" i="3"/>
  <c r="V12" i="3"/>
  <c r="Y13" i="3"/>
  <c r="AB14" i="3"/>
  <c r="R16" i="3"/>
  <c r="U17" i="3"/>
  <c r="AE17" i="3" s="1"/>
  <c r="X18" i="3"/>
  <c r="AA19" i="3"/>
  <c r="Q21" i="3"/>
  <c r="T22" i="3"/>
  <c r="W23" i="3"/>
  <c r="Z24" i="3"/>
  <c r="P26" i="3"/>
  <c r="S27" i="3"/>
  <c r="V28" i="3"/>
  <c r="Y29" i="3"/>
  <c r="AB30" i="3"/>
  <c r="R32" i="3"/>
  <c r="U33" i="3"/>
  <c r="AE33" i="3" s="1"/>
  <c r="X34" i="3"/>
  <c r="AA35" i="3"/>
  <c r="Q37" i="3"/>
  <c r="T38" i="3"/>
  <c r="W39" i="3"/>
  <c r="Z40" i="3"/>
  <c r="P42" i="3"/>
  <c r="S43" i="3"/>
  <c r="V44" i="3"/>
  <c r="Y45" i="3"/>
  <c r="AB46" i="3"/>
  <c r="R48" i="3"/>
  <c r="U49" i="3"/>
  <c r="AE49" i="3" s="1"/>
  <c r="X50" i="3"/>
  <c r="AA51" i="3"/>
  <c r="Q53" i="3"/>
  <c r="T54" i="3"/>
  <c r="Q55" i="3"/>
  <c r="AA55" i="3"/>
  <c r="Z56" i="3"/>
  <c r="W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AE69" i="3" s="1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AE77" i="3" s="1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AE85" i="3" s="1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X102" i="3"/>
  <c r="S103" i="3"/>
  <c r="W6" i="3"/>
  <c r="Z7" i="3"/>
  <c r="P9" i="3"/>
  <c r="S10" i="3"/>
  <c r="V11" i="3"/>
  <c r="Y12" i="3"/>
  <c r="AB13" i="3"/>
  <c r="R15" i="3"/>
  <c r="U16" i="3"/>
  <c r="AE16" i="3" s="1"/>
  <c r="X17" i="3"/>
  <c r="AA18" i="3"/>
  <c r="Q20" i="3"/>
  <c r="T21" i="3"/>
  <c r="W22" i="3"/>
  <c r="Z23" i="3"/>
  <c r="P25" i="3"/>
  <c r="S26" i="3"/>
  <c r="V27" i="3"/>
  <c r="Y28" i="3"/>
  <c r="AB29" i="3"/>
  <c r="R31" i="3"/>
  <c r="U32" i="3"/>
  <c r="AE32" i="3" s="1"/>
  <c r="X33" i="3"/>
  <c r="AA34" i="3"/>
  <c r="Q36" i="3"/>
  <c r="T37" i="3"/>
  <c r="W38" i="3"/>
  <c r="Z39" i="3"/>
  <c r="P41" i="3"/>
  <c r="S42" i="3"/>
  <c r="V43" i="3"/>
  <c r="Y44" i="3"/>
  <c r="AB45" i="3"/>
  <c r="R47" i="3"/>
  <c r="U48" i="3"/>
  <c r="AE48" i="3" s="1"/>
  <c r="X49" i="3"/>
  <c r="AA50" i="3"/>
  <c r="Q52" i="3"/>
  <c r="T53" i="3"/>
  <c r="U54" i="3"/>
  <c r="AE54" i="3" s="1"/>
  <c r="R55" i="3"/>
  <c r="Q56" i="3"/>
  <c r="AA56" i="3"/>
  <c r="X57" i="3"/>
  <c r="U58" i="3"/>
  <c r="AE58" i="3" s="1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AE74" i="3" s="1"/>
  <c r="P75" i="3"/>
  <c r="X75" i="3"/>
  <c r="S76" i="3"/>
  <c r="AA76" i="3"/>
  <c r="V77" i="3"/>
  <c r="Q78" i="3"/>
  <c r="Y78" i="3"/>
  <c r="T79" i="3"/>
  <c r="AB79" i="3"/>
  <c r="W80" i="3"/>
  <c r="R81" i="3"/>
  <c r="AA6" i="3"/>
  <c r="Q8" i="3"/>
  <c r="T9" i="3"/>
  <c r="W10" i="3"/>
  <c r="Z11" i="3"/>
  <c r="P13" i="3"/>
  <c r="S14" i="3"/>
  <c r="V15" i="3"/>
  <c r="Y16" i="3"/>
  <c r="AB17" i="3"/>
  <c r="R19" i="3"/>
  <c r="U20" i="3"/>
  <c r="AE20" i="3" s="1"/>
  <c r="X21" i="3"/>
  <c r="AA22" i="3"/>
  <c r="Q24" i="3"/>
  <c r="T25" i="3"/>
  <c r="W26" i="3"/>
  <c r="Z27" i="3"/>
  <c r="P29" i="3"/>
  <c r="S30" i="3"/>
  <c r="V31" i="3"/>
  <c r="Y32" i="3"/>
  <c r="AB33" i="3"/>
  <c r="R35" i="3"/>
  <c r="U36" i="3"/>
  <c r="AE36" i="3" s="1"/>
  <c r="X37" i="3"/>
  <c r="AA38" i="3"/>
  <c r="Q40" i="3"/>
  <c r="T41" i="3"/>
  <c r="W42" i="3"/>
  <c r="Z43" i="3"/>
  <c r="P45" i="3"/>
  <c r="O45" i="3" s="1" a="1"/>
  <c r="O45" i="3" s="1"/>
  <c r="S46" i="3"/>
  <c r="V47" i="3"/>
  <c r="Y48" i="3"/>
  <c r="AB49" i="3"/>
  <c r="R51" i="3"/>
  <c r="U52" i="3"/>
  <c r="AE52" i="3" s="1"/>
  <c r="X53" i="3"/>
  <c r="W54" i="3"/>
  <c r="V55" i="3"/>
  <c r="S56" i="3"/>
  <c r="P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AE68" i="3" s="1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P77" i="3"/>
  <c r="X77" i="3"/>
  <c r="S78" i="3"/>
  <c r="AA78" i="3"/>
  <c r="AB6" i="3"/>
  <c r="R8" i="3"/>
  <c r="U9" i="3"/>
  <c r="AE9" i="3" s="1"/>
  <c r="X10" i="3"/>
  <c r="AA11" i="3"/>
  <c r="Q13" i="3"/>
  <c r="T14" i="3"/>
  <c r="W15" i="3"/>
  <c r="Z16" i="3"/>
  <c r="P18" i="3"/>
  <c r="S19" i="3"/>
  <c r="V20" i="3"/>
  <c r="Y21" i="3"/>
  <c r="AB22" i="3"/>
  <c r="R24" i="3"/>
  <c r="U25" i="3"/>
  <c r="AE25" i="3" s="1"/>
  <c r="X26" i="3"/>
  <c r="AA27" i="3"/>
  <c r="Q29" i="3"/>
  <c r="T30" i="3"/>
  <c r="W31" i="3"/>
  <c r="Z32" i="3"/>
  <c r="P34" i="3"/>
  <c r="S35" i="3"/>
  <c r="V36" i="3"/>
  <c r="Y37" i="3"/>
  <c r="AB38" i="3"/>
  <c r="R40" i="3"/>
  <c r="U41" i="3"/>
  <c r="AE41" i="3" s="1"/>
  <c r="X42" i="3"/>
  <c r="AA43" i="3"/>
  <c r="Q45" i="3"/>
  <c r="T46" i="3"/>
  <c r="W47" i="3"/>
  <c r="Z48" i="3"/>
  <c r="P50" i="3"/>
  <c r="S51" i="3"/>
  <c r="V52" i="3"/>
  <c r="Y53" i="3"/>
  <c r="X54" i="3"/>
  <c r="W55" i="3"/>
  <c r="T56" i="3"/>
  <c r="Q57" i="3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X82" i="3"/>
  <c r="S83" i="3"/>
  <c r="S7" i="3"/>
  <c r="R12" i="3"/>
  <c r="Q17" i="3"/>
  <c r="P22" i="3"/>
  <c r="AB26" i="3"/>
  <c r="AA31" i="3"/>
  <c r="Z36" i="3"/>
  <c r="Y41" i="3"/>
  <c r="X46" i="3"/>
  <c r="W51" i="3"/>
  <c r="Y55" i="3"/>
  <c r="Z58" i="3"/>
  <c r="S61" i="3"/>
  <c r="Y63" i="3"/>
  <c r="R66" i="3"/>
  <c r="X68" i="3"/>
  <c r="Q71" i="3"/>
  <c r="W73" i="3"/>
  <c r="P76" i="3"/>
  <c r="V78" i="3"/>
  <c r="Q80" i="3"/>
  <c r="T81" i="3"/>
  <c r="U82" i="3"/>
  <c r="T83" i="3"/>
  <c r="S84" i="3"/>
  <c r="P85" i="3"/>
  <c r="Z85" i="3"/>
  <c r="Y86" i="3"/>
  <c r="V87" i="3"/>
  <c r="S88" i="3"/>
  <c r="R89" i="3"/>
  <c r="AB89" i="3"/>
  <c r="Y90" i="3"/>
  <c r="X91" i="3"/>
  <c r="U92" i="3"/>
  <c r="AE92" i="3" s="1"/>
  <c r="R93" i="3"/>
  <c r="Q94" i="3"/>
  <c r="AA94" i="3"/>
  <c r="X95" i="3"/>
  <c r="W96" i="3"/>
  <c r="T97" i="3"/>
  <c r="Q98" i="3"/>
  <c r="P99" i="3"/>
  <c r="Z99" i="3"/>
  <c r="W100" i="3"/>
  <c r="V101" i="3"/>
  <c r="S102" i="3"/>
  <c r="P103" i="3"/>
  <c r="Z103" i="3"/>
  <c r="U104" i="3"/>
  <c r="AE104" i="3" s="1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E128" i="3" s="1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AE136" i="3" s="1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A7" i="3"/>
  <c r="Z12" i="3"/>
  <c r="Y17" i="3"/>
  <c r="X22" i="3"/>
  <c r="W27" i="3"/>
  <c r="V32" i="3"/>
  <c r="U37" i="3"/>
  <c r="AE37" i="3" s="1"/>
  <c r="T42" i="3"/>
  <c r="S47" i="3"/>
  <c r="R52" i="3"/>
  <c r="R56" i="3"/>
  <c r="Q59" i="3"/>
  <c r="W61" i="3"/>
  <c r="P64" i="3"/>
  <c r="V66" i="3"/>
  <c r="AB68" i="3"/>
  <c r="U71" i="3"/>
  <c r="AE71" i="3" s="1"/>
  <c r="AA73" i="3"/>
  <c r="T76" i="3"/>
  <c r="Z78" i="3"/>
  <c r="S80" i="3"/>
  <c r="V81" i="3"/>
  <c r="V82" i="3"/>
  <c r="U83" i="3"/>
  <c r="AE83" i="3" s="1"/>
  <c r="T84" i="3"/>
  <c r="Q85" i="3"/>
  <c r="AA85" i="3"/>
  <c r="Z86" i="3"/>
  <c r="W87" i="3"/>
  <c r="T88" i="3"/>
  <c r="S89" i="3"/>
  <c r="P90" i="3"/>
  <c r="Z90" i="3"/>
  <c r="Y91" i="3"/>
  <c r="V92" i="3"/>
  <c r="S93" i="3"/>
  <c r="R94" i="3"/>
  <c r="AB94" i="3"/>
  <c r="Y95" i="3"/>
  <c r="X96" i="3"/>
  <c r="U97" i="3"/>
  <c r="AE97" i="3" s="1"/>
  <c r="R98" i="3"/>
  <c r="Q99" i="3"/>
  <c r="AA99" i="3"/>
  <c r="X100" i="3"/>
  <c r="W101" i="3"/>
  <c r="T102" i="3"/>
  <c r="Q103" i="3"/>
  <c r="AA103" i="3"/>
  <c r="V104" i="3"/>
  <c r="Q105" i="3"/>
  <c r="Y105" i="3"/>
  <c r="T106" i="3"/>
  <c r="AB106" i="3"/>
  <c r="W107" i="3"/>
  <c r="R108" i="3"/>
  <c r="Z108" i="3"/>
  <c r="U109" i="3"/>
  <c r="AE109" i="3" s="1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AE133" i="3" s="1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Y9" i="3"/>
  <c r="X14" i="3"/>
  <c r="W19" i="3"/>
  <c r="V24" i="3"/>
  <c r="U29" i="3"/>
  <c r="AE29" i="3" s="1"/>
  <c r="T34" i="3"/>
  <c r="S39" i="3"/>
  <c r="R44" i="3"/>
  <c r="Q49" i="3"/>
  <c r="P54" i="3"/>
  <c r="U57" i="3"/>
  <c r="AE57" i="3" s="1"/>
  <c r="P60" i="3"/>
  <c r="V62" i="3"/>
  <c r="AB64" i="3"/>
  <c r="U67" i="3"/>
  <c r="AA69" i="3"/>
  <c r="T72" i="3"/>
  <c r="Z74" i="3"/>
  <c r="S77" i="3"/>
  <c r="V79" i="3"/>
  <c r="Y80" i="3"/>
  <c r="AA81" i="3"/>
  <c r="Z82" i="3"/>
  <c r="Z83" i="3"/>
  <c r="W84" i="3"/>
  <c r="V85" i="3"/>
  <c r="S86" i="3"/>
  <c r="P87" i="3"/>
  <c r="AB87" i="3"/>
  <c r="Y88" i="3"/>
  <c r="V89" i="3"/>
  <c r="U90" i="3"/>
  <c r="AE90" i="3" s="1"/>
  <c r="R91" i="3"/>
  <c r="AB91" i="3"/>
  <c r="AA92" i="3"/>
  <c r="X93" i="3"/>
  <c r="U94" i="3"/>
  <c r="AE94" i="3" s="1"/>
  <c r="T95" i="3"/>
  <c r="Q96" i="3"/>
  <c r="AA96" i="3"/>
  <c r="Z97" i="3"/>
  <c r="W98" i="3"/>
  <c r="T99" i="3"/>
  <c r="S100" i="3"/>
  <c r="P101" i="3"/>
  <c r="Z101" i="3"/>
  <c r="Y102" i="3"/>
  <c r="V103" i="3"/>
  <c r="Q104" i="3"/>
  <c r="Y104" i="3"/>
  <c r="T105" i="3"/>
  <c r="AB105" i="3"/>
  <c r="W106" i="3"/>
  <c r="R107" i="3"/>
  <c r="Z107" i="3"/>
  <c r="U108" i="3"/>
  <c r="AE108" i="3" s="1"/>
  <c r="P109" i="3"/>
  <c r="X109" i="3"/>
  <c r="S110" i="3"/>
  <c r="AA110" i="3"/>
  <c r="V111" i="3"/>
  <c r="Q112" i="3"/>
  <c r="Y112" i="3"/>
  <c r="T113" i="3"/>
  <c r="AB113" i="3"/>
  <c r="W114" i="3"/>
  <c r="R115" i="3"/>
  <c r="Z115" i="3"/>
  <c r="U116" i="3"/>
  <c r="AE116" i="3" s="1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T10" i="3"/>
  <c r="S15" i="3"/>
  <c r="R20" i="3"/>
  <c r="Q25" i="3"/>
  <c r="P30" i="3"/>
  <c r="AB34" i="3"/>
  <c r="AA39" i="3"/>
  <c r="Z44" i="3"/>
  <c r="Y49" i="3"/>
  <c r="V54" i="3"/>
  <c r="Y57" i="3"/>
  <c r="T60" i="3"/>
  <c r="Z62" i="3"/>
  <c r="S65" i="3"/>
  <c r="Y67" i="3"/>
  <c r="R70" i="3"/>
  <c r="X72" i="3"/>
  <c r="Q75" i="3"/>
  <c r="W77" i="3"/>
  <c r="X79" i="3"/>
  <c r="AA80" i="3"/>
  <c r="AB81" i="3"/>
  <c r="P83" i="3"/>
  <c r="AA83" i="3"/>
  <c r="X84" i="3"/>
  <c r="W85" i="3"/>
  <c r="T86" i="3"/>
  <c r="Q87" i="3"/>
  <c r="P88" i="3"/>
  <c r="Z88" i="3"/>
  <c r="W89" i="3"/>
  <c r="V90" i="3"/>
  <c r="S91" i="3"/>
  <c r="P92" i="3"/>
  <c r="AB92" i="3"/>
  <c r="Y93" i="3"/>
  <c r="V94" i="3"/>
  <c r="U95" i="3"/>
  <c r="AE95" i="3" s="1"/>
  <c r="R96" i="3"/>
  <c r="AB96" i="3"/>
  <c r="AA97" i="3"/>
  <c r="X98" i="3"/>
  <c r="U99" i="3"/>
  <c r="T100" i="3"/>
  <c r="Q101" i="3"/>
  <c r="AA101" i="3"/>
  <c r="Z102" i="3"/>
  <c r="W103" i="3"/>
  <c r="R104" i="3"/>
  <c r="Z104" i="3"/>
  <c r="U105" i="3"/>
  <c r="AE105" i="3" s="1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AE113" i="3" s="1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V8" i="3"/>
  <c r="T18" i="3"/>
  <c r="R28" i="3"/>
  <c r="P38" i="3"/>
  <c r="AA47" i="3"/>
  <c r="V56" i="3"/>
  <c r="AA61" i="3"/>
  <c r="Z66" i="3"/>
  <c r="Y71" i="3"/>
  <c r="X76" i="3"/>
  <c r="T80" i="3"/>
  <c r="W82" i="3"/>
  <c r="U84" i="3"/>
  <c r="AE84" i="3" s="1"/>
  <c r="Q86" i="3"/>
  <c r="X87" i="3"/>
  <c r="T89" i="3"/>
  <c r="P91" i="3"/>
  <c r="W92" i="3"/>
  <c r="S94" i="3"/>
  <c r="AB95" i="3"/>
  <c r="V97" i="3"/>
  <c r="R99" i="3"/>
  <c r="AA100" i="3"/>
  <c r="U102" i="3"/>
  <c r="AE102" i="3" s="1"/>
  <c r="AB103" i="3"/>
  <c r="R105" i="3"/>
  <c r="U106" i="3"/>
  <c r="AE106" i="3" s="1"/>
  <c r="X107" i="3"/>
  <c r="AA108" i="3"/>
  <c r="Q110" i="3"/>
  <c r="T111" i="3"/>
  <c r="W112" i="3"/>
  <c r="Z113" i="3"/>
  <c r="P115" i="3"/>
  <c r="S116" i="3"/>
  <c r="V117" i="3"/>
  <c r="Y118" i="3"/>
  <c r="AB119" i="3"/>
  <c r="R121" i="3"/>
  <c r="U122" i="3"/>
  <c r="AE122" i="3" s="1"/>
  <c r="X123" i="3"/>
  <c r="AA124" i="3"/>
  <c r="Q126" i="3"/>
  <c r="Q127" i="3"/>
  <c r="Q128" i="3"/>
  <c r="R129" i="3"/>
  <c r="Q130" i="3"/>
  <c r="Q131" i="3"/>
  <c r="AB131" i="3"/>
  <c r="AA132" i="3"/>
  <c r="X133" i="3"/>
  <c r="U134" i="3"/>
  <c r="AE134" i="3" s="1"/>
  <c r="T135" i="3"/>
  <c r="Q136" i="3"/>
  <c r="AA136" i="3"/>
  <c r="Z137" i="3"/>
  <c r="W138" i="3"/>
  <c r="T139" i="3"/>
  <c r="S140" i="3"/>
  <c r="P141" i="3"/>
  <c r="Z141" i="3"/>
  <c r="Y142" i="3"/>
  <c r="V143" i="3"/>
  <c r="S144" i="3"/>
  <c r="R145" i="3"/>
  <c r="AB145" i="3"/>
  <c r="Y146" i="3"/>
  <c r="X147" i="3"/>
  <c r="U148" i="3"/>
  <c r="R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AE160" i="3" s="1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AE176" i="3" s="1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AE200" i="3" s="1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AE208" i="3" s="1"/>
  <c r="P209" i="3"/>
  <c r="X209" i="3"/>
  <c r="S210" i="3"/>
  <c r="AA210" i="3"/>
  <c r="Q9" i="3"/>
  <c r="AB18" i="3"/>
  <c r="Z28" i="3"/>
  <c r="X38" i="3"/>
  <c r="V48" i="3"/>
  <c r="AB56" i="3"/>
  <c r="R62" i="3"/>
  <c r="Q67" i="3"/>
  <c r="P72" i="3"/>
  <c r="AB76" i="3"/>
  <c r="X80" i="3"/>
  <c r="Y82" i="3"/>
  <c r="V84" i="3"/>
  <c r="R86" i="3"/>
  <c r="Y87" i="3"/>
  <c r="U89" i="3"/>
  <c r="AE89" i="3" s="1"/>
  <c r="Q91" i="3"/>
  <c r="X92" i="3"/>
  <c r="T94" i="3"/>
  <c r="P96" i="3"/>
  <c r="W97" i="3"/>
  <c r="S99" i="3"/>
  <c r="AB100" i="3"/>
  <c r="V102" i="3"/>
  <c r="P104" i="3"/>
  <c r="S105" i="3"/>
  <c r="V106" i="3"/>
  <c r="Y107" i="3"/>
  <c r="AB108" i="3"/>
  <c r="R110" i="3"/>
  <c r="U111" i="3"/>
  <c r="AE111" i="3" s="1"/>
  <c r="X112" i="3"/>
  <c r="AA113" i="3"/>
  <c r="Q115" i="3"/>
  <c r="T116" i="3"/>
  <c r="W117" i="3"/>
  <c r="Z118" i="3"/>
  <c r="P120" i="3"/>
  <c r="S121" i="3"/>
  <c r="V122" i="3"/>
  <c r="Y123" i="3"/>
  <c r="AB124" i="3"/>
  <c r="R126" i="3"/>
  <c r="T127" i="3"/>
  <c r="S128" i="3"/>
  <c r="S129" i="3"/>
  <c r="R130" i="3"/>
  <c r="R131" i="3"/>
  <c r="P132" i="3"/>
  <c r="AB132" i="3"/>
  <c r="Y133" i="3"/>
  <c r="V134" i="3"/>
  <c r="U135" i="3"/>
  <c r="AE135" i="3" s="1"/>
  <c r="R136" i="3"/>
  <c r="AB136" i="3"/>
  <c r="AA137" i="3"/>
  <c r="X138" i="3"/>
  <c r="U139" i="3"/>
  <c r="AE139" i="3" s="1"/>
  <c r="T140" i="3"/>
  <c r="Q141" i="3"/>
  <c r="AA141" i="3"/>
  <c r="Z142" i="3"/>
  <c r="W143" i="3"/>
  <c r="T144" i="3"/>
  <c r="S145" i="3"/>
  <c r="P146" i="3"/>
  <c r="Z146" i="3"/>
  <c r="Y147" i="3"/>
  <c r="V148" i="3"/>
  <c r="S149" i="3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AE189" i="3" s="1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AE197" i="3" s="1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U13" i="3"/>
  <c r="AE13" i="3" s="1"/>
  <c r="S23" i="3"/>
  <c r="Q33" i="3"/>
  <c r="AB42" i="3"/>
  <c r="Z52" i="3"/>
  <c r="U59" i="3"/>
  <c r="AE59" i="3" s="1"/>
  <c r="T64" i="3"/>
  <c r="S69" i="3"/>
  <c r="R74" i="3"/>
  <c r="Q79" i="3"/>
  <c r="W81" i="3"/>
  <c r="X83" i="3"/>
  <c r="R85" i="3"/>
  <c r="AA86" i="3"/>
  <c r="W88" i="3"/>
  <c r="Q90" i="3"/>
  <c r="Z91" i="3"/>
  <c r="V93" i="3"/>
  <c r="P95" i="3"/>
  <c r="Y96" i="3"/>
  <c r="U98" i="3"/>
  <c r="AE98" i="3" s="1"/>
  <c r="AB99" i="3"/>
  <c r="X101" i="3"/>
  <c r="T103" i="3"/>
  <c r="W104" i="3"/>
  <c r="Z105" i="3"/>
  <c r="P107" i="3"/>
  <c r="S108" i="3"/>
  <c r="V109" i="3"/>
  <c r="Y110" i="3"/>
  <c r="AB111" i="3"/>
  <c r="R113" i="3"/>
  <c r="U114" i="3"/>
  <c r="AE114" i="3" s="1"/>
  <c r="X115" i="3"/>
  <c r="AA116" i="3"/>
  <c r="Q118" i="3"/>
  <c r="T119" i="3"/>
  <c r="W120" i="3"/>
  <c r="Z121" i="3"/>
  <c r="P123" i="3"/>
  <c r="S124" i="3"/>
  <c r="V125" i="3"/>
  <c r="Y126" i="3"/>
  <c r="X127" i="3"/>
  <c r="X128" i="3"/>
  <c r="W129" i="3"/>
  <c r="W130" i="3"/>
  <c r="X131" i="3"/>
  <c r="U132" i="3"/>
  <c r="AE132" i="3" s="1"/>
  <c r="R133" i="3"/>
  <c r="Q134" i="3"/>
  <c r="AA134" i="3"/>
  <c r="X135" i="3"/>
  <c r="W136" i="3"/>
  <c r="T137" i="3"/>
  <c r="Q138" i="3"/>
  <c r="P139" i="3"/>
  <c r="Z139" i="3"/>
  <c r="W140" i="3"/>
  <c r="V141" i="3"/>
  <c r="S142" i="3"/>
  <c r="P143" i="3"/>
  <c r="AB143" i="3"/>
  <c r="Y144" i="3"/>
  <c r="V145" i="3"/>
  <c r="U146" i="3"/>
  <c r="AE146" i="3" s="1"/>
  <c r="R147" i="3"/>
  <c r="AB147" i="3"/>
  <c r="AA148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AE156" i="3" s="1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AE164" i="3" s="1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W210" i="3"/>
  <c r="R211" i="3"/>
  <c r="P14" i="3"/>
  <c r="AA23" i="3"/>
  <c r="Y33" i="3"/>
  <c r="W43" i="3"/>
  <c r="U53" i="3"/>
  <c r="AE53" i="3" s="1"/>
  <c r="Y59" i="3"/>
  <c r="X64" i="3"/>
  <c r="W69" i="3"/>
  <c r="V74" i="3"/>
  <c r="U79" i="3"/>
  <c r="AE79" i="3" s="1"/>
  <c r="Z81" i="3"/>
  <c r="Y83" i="3"/>
  <c r="S85" i="3"/>
  <c r="AB86" i="3"/>
  <c r="X88" i="3"/>
  <c r="R90" i="3"/>
  <c r="AA91" i="3"/>
  <c r="W93" i="3"/>
  <c r="Q95" i="3"/>
  <c r="Z96" i="3"/>
  <c r="V98" i="3"/>
  <c r="P100" i="3"/>
  <c r="Y101" i="3"/>
  <c r="U103" i="3"/>
  <c r="AE103" i="3" s="1"/>
  <c r="X104" i="3"/>
  <c r="AA105" i="3"/>
  <c r="Q107" i="3"/>
  <c r="T108" i="3"/>
  <c r="W109" i="3"/>
  <c r="Z110" i="3"/>
  <c r="P112" i="3"/>
  <c r="S113" i="3"/>
  <c r="V114" i="3"/>
  <c r="Y115" i="3"/>
  <c r="AB116" i="3"/>
  <c r="R118" i="3"/>
  <c r="U119" i="3"/>
  <c r="AE119" i="3" s="1"/>
  <c r="X120" i="3"/>
  <c r="AA121" i="3"/>
  <c r="Q123" i="3"/>
  <c r="T124" i="3"/>
  <c r="W125" i="3"/>
  <c r="Z126" i="3"/>
  <c r="Y127" i="3"/>
  <c r="Y128" i="3"/>
  <c r="Z129" i="3"/>
  <c r="Y130" i="3"/>
  <c r="Y131" i="3"/>
  <c r="V132" i="3"/>
  <c r="S133" i="3"/>
  <c r="R134" i="3"/>
  <c r="AB134" i="3"/>
  <c r="Y135" i="3"/>
  <c r="X136" i="3"/>
  <c r="U137" i="3"/>
  <c r="AE137" i="3" s="1"/>
  <c r="R138" i="3"/>
  <c r="Q139" i="3"/>
  <c r="AA139" i="3"/>
  <c r="X140" i="3"/>
  <c r="W141" i="3"/>
  <c r="T142" i="3"/>
  <c r="Q143" i="3"/>
  <c r="P144" i="3"/>
  <c r="Z144" i="3"/>
  <c r="W145" i="3"/>
  <c r="V146" i="3"/>
  <c r="S147" i="3"/>
  <c r="P148" i="3"/>
  <c r="AB148" i="3"/>
  <c r="Y149" i="3"/>
  <c r="T150" i="3"/>
  <c r="AB150" i="3"/>
  <c r="W151" i="3"/>
  <c r="R152" i="3"/>
  <c r="Z152" i="3"/>
  <c r="U153" i="3"/>
  <c r="AE153" i="3" s="1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AE201" i="3" s="1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AE209" i="3" s="1"/>
  <c r="P210" i="3"/>
  <c r="X210" i="3"/>
  <c r="S211" i="3"/>
  <c r="P6" i="3"/>
  <c r="R17" i="1" s="1"/>
  <c r="Y25" i="3"/>
  <c r="U45" i="3"/>
  <c r="AE45" i="3" s="1"/>
  <c r="X60" i="3"/>
  <c r="V70" i="3"/>
  <c r="Y79" i="3"/>
  <c r="AB83" i="3"/>
  <c r="T87" i="3"/>
  <c r="W90" i="3"/>
  <c r="Z93" i="3"/>
  <c r="R97" i="3"/>
  <c r="U100" i="3"/>
  <c r="AE100" i="3" s="1"/>
  <c r="X103" i="3"/>
  <c r="Q106" i="3"/>
  <c r="W108" i="3"/>
  <c r="P111" i="3"/>
  <c r="V113" i="3"/>
  <c r="AB115" i="3"/>
  <c r="U118" i="3"/>
  <c r="AE118" i="3" s="1"/>
  <c r="AA120" i="3"/>
  <c r="T123" i="3"/>
  <c r="Z125" i="3"/>
  <c r="AB127" i="3"/>
  <c r="AA129" i="3"/>
  <c r="Z131" i="3"/>
  <c r="V133" i="3"/>
  <c r="P135" i="3"/>
  <c r="Y136" i="3"/>
  <c r="U138" i="3"/>
  <c r="AE138" i="3" s="1"/>
  <c r="AB139" i="3"/>
  <c r="X141" i="3"/>
  <c r="X6" i="3"/>
  <c r="T26" i="3"/>
  <c r="P46" i="3"/>
  <c r="AB60" i="3"/>
  <c r="AB10" i="3"/>
  <c r="X30" i="3"/>
  <c r="T50" i="3"/>
  <c r="Q63" i="3"/>
  <c r="AB72" i="3"/>
  <c r="AB80" i="3"/>
  <c r="AA84" i="3"/>
  <c r="Q88" i="3"/>
  <c r="T91" i="3"/>
  <c r="Y94" i="3"/>
  <c r="AB97" i="3"/>
  <c r="R101" i="3"/>
  <c r="S104" i="3"/>
  <c r="Y106" i="3"/>
  <c r="R109" i="3"/>
  <c r="X111" i="3"/>
  <c r="Q114" i="3"/>
  <c r="W116" i="3"/>
  <c r="P119" i="3"/>
  <c r="V121" i="3"/>
  <c r="AB123" i="3"/>
  <c r="U126" i="3"/>
  <c r="AE126" i="3" s="1"/>
  <c r="T128" i="3"/>
  <c r="U130" i="3"/>
  <c r="AE130" i="3" s="1"/>
  <c r="S132" i="3"/>
  <c r="Z133" i="3"/>
  <c r="V135" i="3"/>
  <c r="R137" i="3"/>
  <c r="Y138" i="3"/>
  <c r="U140" i="3"/>
  <c r="AE140" i="3" s="1"/>
  <c r="Q142" i="3"/>
  <c r="X143" i="3"/>
  <c r="T145" i="3"/>
  <c r="P147" i="3"/>
  <c r="W148" i="3"/>
  <c r="Q150" i="3"/>
  <c r="T151" i="3"/>
  <c r="W152" i="3"/>
  <c r="Z153" i="3"/>
  <c r="P155" i="3"/>
  <c r="S156" i="3"/>
  <c r="V157" i="3"/>
  <c r="Y158" i="3"/>
  <c r="AB159" i="3"/>
  <c r="R161" i="3"/>
  <c r="U162" i="3"/>
  <c r="AE162" i="3" s="1"/>
  <c r="X163" i="3"/>
  <c r="AA164" i="3"/>
  <c r="Q166" i="3"/>
  <c r="T167" i="3"/>
  <c r="W168" i="3"/>
  <c r="Z169" i="3"/>
  <c r="P171" i="3"/>
  <c r="S172" i="3"/>
  <c r="V173" i="3"/>
  <c r="Y174" i="3"/>
  <c r="AB175" i="3"/>
  <c r="R177" i="3"/>
  <c r="U178" i="3"/>
  <c r="AE178" i="3" s="1"/>
  <c r="X179" i="3"/>
  <c r="AA180" i="3"/>
  <c r="Q182" i="3"/>
  <c r="T183" i="3"/>
  <c r="W184" i="3"/>
  <c r="Z185" i="3"/>
  <c r="P187" i="3"/>
  <c r="S188" i="3"/>
  <c r="V189" i="3"/>
  <c r="Y190" i="3"/>
  <c r="AB191" i="3"/>
  <c r="R193" i="3"/>
  <c r="U194" i="3"/>
  <c r="AE194" i="3" s="1"/>
  <c r="X195" i="3"/>
  <c r="AA196" i="3"/>
  <c r="Q198" i="3"/>
  <c r="T199" i="3"/>
  <c r="W200" i="3"/>
  <c r="Z201" i="3"/>
  <c r="P203" i="3"/>
  <c r="S204" i="3"/>
  <c r="V205" i="3"/>
  <c r="Y206" i="3"/>
  <c r="AB207" i="3"/>
  <c r="R209" i="3"/>
  <c r="U210" i="3"/>
  <c r="AE210" i="3" s="1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AE224" i="3" s="1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AE248" i="3" s="1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AE256" i="3" s="1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AE272" i="3" s="1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AE280" i="3" s="1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AE368" i="3" s="1"/>
  <c r="W11" i="3"/>
  <c r="S31" i="3"/>
  <c r="AB50" i="3"/>
  <c r="U63" i="3"/>
  <c r="AE63" i="3" s="1"/>
  <c r="S73" i="3"/>
  <c r="S81" i="3"/>
  <c r="AB84" i="3"/>
  <c r="R88" i="3"/>
  <c r="U91" i="3"/>
  <c r="AE91" i="3" s="1"/>
  <c r="Z94" i="3"/>
  <c r="P98" i="3"/>
  <c r="S101" i="3"/>
  <c r="T104" i="3"/>
  <c r="Z106" i="3"/>
  <c r="S109" i="3"/>
  <c r="Y111" i="3"/>
  <c r="R114" i="3"/>
  <c r="X116" i="3"/>
  <c r="Q119" i="3"/>
  <c r="W121" i="3"/>
  <c r="P124" i="3"/>
  <c r="V126" i="3"/>
  <c r="W128" i="3"/>
  <c r="V130" i="3"/>
  <c r="T132" i="3"/>
  <c r="AA133" i="3"/>
  <c r="W135" i="3"/>
  <c r="S137" i="3"/>
  <c r="Z138" i="3"/>
  <c r="V140" i="3"/>
  <c r="R142" i="3"/>
  <c r="Y143" i="3"/>
  <c r="U145" i="3"/>
  <c r="AE145" i="3" s="1"/>
  <c r="Q147" i="3"/>
  <c r="X148" i="3"/>
  <c r="R150" i="3"/>
  <c r="U151" i="3"/>
  <c r="AE151" i="3" s="1"/>
  <c r="X152" i="3"/>
  <c r="AA153" i="3"/>
  <c r="Q155" i="3"/>
  <c r="T156" i="3"/>
  <c r="W157" i="3"/>
  <c r="Z158" i="3"/>
  <c r="P160" i="3"/>
  <c r="S161" i="3"/>
  <c r="V162" i="3"/>
  <c r="Y163" i="3"/>
  <c r="AB164" i="3"/>
  <c r="R166" i="3"/>
  <c r="U167" i="3"/>
  <c r="AE167" i="3" s="1"/>
  <c r="X168" i="3"/>
  <c r="AA169" i="3"/>
  <c r="Q171" i="3"/>
  <c r="T172" i="3"/>
  <c r="W173" i="3"/>
  <c r="Z174" i="3"/>
  <c r="P176" i="3"/>
  <c r="S177" i="3"/>
  <c r="V178" i="3"/>
  <c r="Y179" i="3"/>
  <c r="AB180" i="3"/>
  <c r="R182" i="3"/>
  <c r="U183" i="3"/>
  <c r="AE183" i="3" s="1"/>
  <c r="X184" i="3"/>
  <c r="AA185" i="3"/>
  <c r="Q187" i="3"/>
  <c r="T188" i="3"/>
  <c r="W189" i="3"/>
  <c r="Z190" i="3"/>
  <c r="P192" i="3"/>
  <c r="S193" i="3"/>
  <c r="V194" i="3"/>
  <c r="Y195" i="3"/>
  <c r="AB196" i="3"/>
  <c r="R198" i="3"/>
  <c r="U199" i="3"/>
  <c r="AE199" i="3" s="1"/>
  <c r="X200" i="3"/>
  <c r="AA201" i="3"/>
  <c r="Q203" i="3"/>
  <c r="T204" i="3"/>
  <c r="W205" i="3"/>
  <c r="Z206" i="3"/>
  <c r="P208" i="3"/>
  <c r="S209" i="3"/>
  <c r="V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AE221" i="3" s="1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AE237" i="3" s="1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X262" i="3"/>
  <c r="S263" i="3"/>
  <c r="AA263" i="3"/>
  <c r="V264" i="3"/>
  <c r="Q265" i="3"/>
  <c r="Y265" i="3"/>
  <c r="T266" i="3"/>
  <c r="AB266" i="3"/>
  <c r="W267" i="3"/>
  <c r="R268" i="3"/>
  <c r="Z268" i="3"/>
  <c r="U269" i="3"/>
  <c r="AE269" i="3" s="1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AE333" i="3" s="1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AE357" i="3" s="1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AE365" i="3" s="1"/>
  <c r="P366" i="3"/>
  <c r="X366" i="3"/>
  <c r="S367" i="3"/>
  <c r="AA367" i="3"/>
  <c r="V368" i="3"/>
  <c r="AA15" i="3"/>
  <c r="W35" i="3"/>
  <c r="AB54" i="3"/>
  <c r="W65" i="3"/>
  <c r="U75" i="3"/>
  <c r="AE75" i="3" s="1"/>
  <c r="Q82" i="3"/>
  <c r="X85" i="3"/>
  <c r="AA88" i="3"/>
  <c r="S92" i="3"/>
  <c r="V95" i="3"/>
  <c r="Y98" i="3"/>
  <c r="Q102" i="3"/>
  <c r="AA104" i="3"/>
  <c r="T107" i="3"/>
  <c r="Z109" i="3"/>
  <c r="S112" i="3"/>
  <c r="Y114" i="3"/>
  <c r="R117" i="3"/>
  <c r="X119" i="3"/>
  <c r="Q122" i="3"/>
  <c r="W124" i="3"/>
  <c r="AA126" i="3"/>
  <c r="AA128" i="3"/>
  <c r="Z130" i="3"/>
  <c r="W132" i="3"/>
  <c r="S134" i="3"/>
  <c r="AB135" i="3"/>
  <c r="V137" i="3"/>
  <c r="R139" i="3"/>
  <c r="AA140" i="3"/>
  <c r="V16" i="3"/>
  <c r="R36" i="3"/>
  <c r="S55" i="3"/>
  <c r="Z20" i="3"/>
  <c r="V40" i="3"/>
  <c r="R58" i="3"/>
  <c r="P68" i="3"/>
  <c r="AA77" i="3"/>
  <c r="Q83" i="3"/>
  <c r="U86" i="3"/>
  <c r="AE86" i="3" s="1"/>
  <c r="Z89" i="3"/>
  <c r="P93" i="3"/>
  <c r="S96" i="3"/>
  <c r="X99" i="3"/>
  <c r="AA102" i="3"/>
  <c r="V105" i="3"/>
  <c r="AB107" i="3"/>
  <c r="U110" i="3"/>
  <c r="AE110" i="3" s="1"/>
  <c r="AA112" i="3"/>
  <c r="T115" i="3"/>
  <c r="Z117" i="3"/>
  <c r="S120" i="3"/>
  <c r="Y122" i="3"/>
  <c r="R125" i="3"/>
  <c r="U127" i="3"/>
  <c r="AE127" i="3" s="1"/>
  <c r="T129" i="3"/>
  <c r="T131" i="3"/>
  <c r="P133" i="3"/>
  <c r="Y134" i="3"/>
  <c r="S136" i="3"/>
  <c r="AB137" i="3"/>
  <c r="X139" i="3"/>
  <c r="R141" i="3"/>
  <c r="AA142" i="3"/>
  <c r="W144" i="3"/>
  <c r="Q146" i="3"/>
  <c r="Z147" i="3"/>
  <c r="V149" i="3"/>
  <c r="Y150" i="3"/>
  <c r="AB151" i="3"/>
  <c r="R153" i="3"/>
  <c r="U154" i="3"/>
  <c r="AE154" i="3" s="1"/>
  <c r="X155" i="3"/>
  <c r="AA156" i="3"/>
  <c r="Q158" i="3"/>
  <c r="T159" i="3"/>
  <c r="W160" i="3"/>
  <c r="Z161" i="3"/>
  <c r="P163" i="3"/>
  <c r="S164" i="3"/>
  <c r="V165" i="3"/>
  <c r="Y166" i="3"/>
  <c r="AB167" i="3"/>
  <c r="R169" i="3"/>
  <c r="U170" i="3"/>
  <c r="AE170" i="3" s="1"/>
  <c r="X171" i="3"/>
  <c r="AA172" i="3"/>
  <c r="Q174" i="3"/>
  <c r="T175" i="3"/>
  <c r="W176" i="3"/>
  <c r="Z177" i="3"/>
  <c r="P179" i="3"/>
  <c r="S180" i="3"/>
  <c r="V181" i="3"/>
  <c r="Y182" i="3"/>
  <c r="AB183" i="3"/>
  <c r="R185" i="3"/>
  <c r="U186" i="3"/>
  <c r="AE186" i="3" s="1"/>
  <c r="X187" i="3"/>
  <c r="AA188" i="3"/>
  <c r="Q190" i="3"/>
  <c r="T191" i="3"/>
  <c r="W192" i="3"/>
  <c r="Z193" i="3"/>
  <c r="P195" i="3"/>
  <c r="S196" i="3"/>
  <c r="V197" i="3"/>
  <c r="Y198" i="3"/>
  <c r="AB199" i="3"/>
  <c r="R201" i="3"/>
  <c r="U202" i="3"/>
  <c r="AE202" i="3" s="1"/>
  <c r="X203" i="3"/>
  <c r="AA204" i="3"/>
  <c r="Q206" i="3"/>
  <c r="T207" i="3"/>
  <c r="W208" i="3"/>
  <c r="Z209" i="3"/>
  <c r="P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AE228" i="3" s="1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AE276" i="3" s="1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AE332" i="3" s="1"/>
  <c r="P333" i="3"/>
  <c r="X333" i="3"/>
  <c r="S334" i="3"/>
  <c r="AA334" i="3"/>
  <c r="V335" i="3"/>
  <c r="Q336" i="3"/>
  <c r="Y336" i="3"/>
  <c r="T337" i="3"/>
  <c r="AB337" i="3"/>
  <c r="W338" i="3"/>
  <c r="R339" i="3"/>
  <c r="Z339" i="3"/>
  <c r="U340" i="3"/>
  <c r="AE340" i="3" s="1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AE348" i="3" s="1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U21" i="3"/>
  <c r="AE21" i="3" s="1"/>
  <c r="Q41" i="3"/>
  <c r="V58" i="3"/>
  <c r="T68" i="3"/>
  <c r="R78" i="3"/>
  <c r="R83" i="3"/>
  <c r="V86" i="3"/>
  <c r="AA89" i="3"/>
  <c r="Q93" i="3"/>
  <c r="T96" i="3"/>
  <c r="Y99" i="3"/>
  <c r="AB102" i="3"/>
  <c r="W105" i="3"/>
  <c r="P108" i="3"/>
  <c r="V110" i="3"/>
  <c r="AB112" i="3"/>
  <c r="U115" i="3"/>
  <c r="AE115" i="3" s="1"/>
  <c r="AA117" i="3"/>
  <c r="T120" i="3"/>
  <c r="Z122" i="3"/>
  <c r="S125" i="3"/>
  <c r="V127" i="3"/>
  <c r="V129" i="3"/>
  <c r="U131" i="3"/>
  <c r="AE131" i="3" s="1"/>
  <c r="Q133" i="3"/>
  <c r="Z134" i="3"/>
  <c r="T136" i="3"/>
  <c r="P138" i="3"/>
  <c r="Y139" i="3"/>
  <c r="S141" i="3"/>
  <c r="AB142" i="3"/>
  <c r="X144" i="3"/>
  <c r="R146" i="3"/>
  <c r="AA147" i="3"/>
  <c r="W149" i="3"/>
  <c r="Z150" i="3"/>
  <c r="P152" i="3"/>
  <c r="S153" i="3"/>
  <c r="V154" i="3"/>
  <c r="Y155" i="3"/>
  <c r="AB156" i="3"/>
  <c r="R158" i="3"/>
  <c r="U159" i="3"/>
  <c r="AE159" i="3" s="1"/>
  <c r="X160" i="3"/>
  <c r="AA161" i="3"/>
  <c r="Q163" i="3"/>
  <c r="T164" i="3"/>
  <c r="W165" i="3"/>
  <c r="Z166" i="3"/>
  <c r="P168" i="3"/>
  <c r="S169" i="3"/>
  <c r="V170" i="3"/>
  <c r="Y171" i="3"/>
  <c r="AB172" i="3"/>
  <c r="R174" i="3"/>
  <c r="U175" i="3"/>
  <c r="AE175" i="3" s="1"/>
  <c r="X176" i="3"/>
  <c r="AA177" i="3"/>
  <c r="Q179" i="3"/>
  <c r="T180" i="3"/>
  <c r="W181" i="3"/>
  <c r="Z182" i="3"/>
  <c r="P184" i="3"/>
  <c r="S185" i="3"/>
  <c r="V186" i="3"/>
  <c r="Y187" i="3"/>
  <c r="AB188" i="3"/>
  <c r="R190" i="3"/>
  <c r="U191" i="3"/>
  <c r="AE191" i="3" s="1"/>
  <c r="X192" i="3"/>
  <c r="AA193" i="3"/>
  <c r="Q195" i="3"/>
  <c r="T196" i="3"/>
  <c r="W197" i="3"/>
  <c r="Z198" i="3"/>
  <c r="P200" i="3"/>
  <c r="S201" i="3"/>
  <c r="V202" i="3"/>
  <c r="Y203" i="3"/>
  <c r="AB204" i="3"/>
  <c r="R206" i="3"/>
  <c r="U207" i="3"/>
  <c r="AE207" i="3" s="1"/>
  <c r="X208" i="3"/>
  <c r="AA209" i="3"/>
  <c r="Q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AE225" i="3" s="1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AE265" i="3" s="1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AE273" i="3" s="1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AE305" i="3" s="1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AE313" i="3" s="1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AE321" i="3" s="1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AE329" i="3" s="1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AE337" i="3" s="1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AE361" i="3" s="1"/>
  <c r="P362" i="3"/>
  <c r="X362" i="3"/>
  <c r="S363" i="3"/>
  <c r="AA363" i="3"/>
  <c r="V364" i="3"/>
  <c r="Q365" i="3"/>
  <c r="Y365" i="3"/>
  <c r="T366" i="3"/>
  <c r="AB366" i="3"/>
  <c r="W367" i="3"/>
  <c r="R368" i="3"/>
  <c r="Z368" i="3"/>
  <c r="AA65" i="3"/>
  <c r="AB88" i="3"/>
  <c r="R102" i="3"/>
  <c r="T112" i="3"/>
  <c r="R122" i="3"/>
  <c r="P131" i="3"/>
  <c r="W137" i="3"/>
  <c r="T143" i="3"/>
  <c r="W146" i="3"/>
  <c r="Z149" i="3"/>
  <c r="S152" i="3"/>
  <c r="Y154" i="3"/>
  <c r="R157" i="3"/>
  <c r="X159" i="3"/>
  <c r="Q162" i="3"/>
  <c r="W164" i="3"/>
  <c r="P167" i="3"/>
  <c r="V169" i="3"/>
  <c r="AB171" i="3"/>
  <c r="U174" i="3"/>
  <c r="AE174" i="3" s="1"/>
  <c r="AA176" i="3"/>
  <c r="T179" i="3"/>
  <c r="Z181" i="3"/>
  <c r="S184" i="3"/>
  <c r="Y186" i="3"/>
  <c r="R189" i="3"/>
  <c r="X191" i="3"/>
  <c r="Q194" i="3"/>
  <c r="W196" i="3"/>
  <c r="P199" i="3"/>
  <c r="V201" i="3"/>
  <c r="AB203" i="3"/>
  <c r="U206" i="3"/>
  <c r="AE206" i="3" s="1"/>
  <c r="AA208" i="3"/>
  <c r="T211" i="3"/>
  <c r="W212" i="3"/>
  <c r="Z213" i="3"/>
  <c r="P215" i="3"/>
  <c r="S216" i="3"/>
  <c r="V217" i="3"/>
  <c r="Y218" i="3"/>
  <c r="AB219" i="3"/>
  <c r="R221" i="3"/>
  <c r="U222" i="3"/>
  <c r="AE222" i="3" s="1"/>
  <c r="X223" i="3"/>
  <c r="AA224" i="3"/>
  <c r="Q226" i="3"/>
  <c r="T227" i="3"/>
  <c r="W228" i="3"/>
  <c r="Z229" i="3"/>
  <c r="P231" i="3"/>
  <c r="S232" i="3"/>
  <c r="V233" i="3"/>
  <c r="Y234" i="3"/>
  <c r="AB235" i="3"/>
  <c r="R237" i="3"/>
  <c r="U238" i="3"/>
  <c r="AE238" i="3" s="1"/>
  <c r="X239" i="3"/>
  <c r="AA240" i="3"/>
  <c r="Q242" i="3"/>
  <c r="T243" i="3"/>
  <c r="W244" i="3"/>
  <c r="Z245" i="3"/>
  <c r="P247" i="3"/>
  <c r="S248" i="3"/>
  <c r="V249" i="3"/>
  <c r="Y250" i="3"/>
  <c r="AB251" i="3"/>
  <c r="R253" i="3"/>
  <c r="U254" i="3"/>
  <c r="AE254" i="3" s="1"/>
  <c r="X255" i="3"/>
  <c r="AA256" i="3"/>
  <c r="Q258" i="3"/>
  <c r="T259" i="3"/>
  <c r="W260" i="3"/>
  <c r="Z261" i="3"/>
  <c r="P263" i="3"/>
  <c r="S264" i="3"/>
  <c r="V265" i="3"/>
  <c r="Y266" i="3"/>
  <c r="AB267" i="3"/>
  <c r="R269" i="3"/>
  <c r="U270" i="3"/>
  <c r="AE270" i="3" s="1"/>
  <c r="X271" i="3"/>
  <c r="AA272" i="3"/>
  <c r="Z70" i="3"/>
  <c r="X90" i="3"/>
  <c r="Y103" i="3"/>
  <c r="W113" i="3"/>
  <c r="U123" i="3"/>
  <c r="AE123" i="3" s="1"/>
  <c r="AA131" i="3"/>
  <c r="V138" i="3"/>
  <c r="U143" i="3"/>
  <c r="AE143" i="3" s="1"/>
  <c r="X146" i="3"/>
  <c r="AA149" i="3"/>
  <c r="T152" i="3"/>
  <c r="Z154" i="3"/>
  <c r="S157" i="3"/>
  <c r="Y159" i="3"/>
  <c r="R162" i="3"/>
  <c r="X164" i="3"/>
  <c r="Q167" i="3"/>
  <c r="W169" i="3"/>
  <c r="P172" i="3"/>
  <c r="V174" i="3"/>
  <c r="AB176" i="3"/>
  <c r="U179" i="3"/>
  <c r="AE179" i="3" s="1"/>
  <c r="AA181" i="3"/>
  <c r="T184" i="3"/>
  <c r="Z186" i="3"/>
  <c r="S189" i="3"/>
  <c r="Y191" i="3"/>
  <c r="R194" i="3"/>
  <c r="X196" i="3"/>
  <c r="Q199" i="3"/>
  <c r="W201" i="3"/>
  <c r="P204" i="3"/>
  <c r="V206" i="3"/>
  <c r="AB208" i="3"/>
  <c r="U211" i="3"/>
  <c r="AE211" i="3" s="1"/>
  <c r="X212" i="3"/>
  <c r="AA213" i="3"/>
  <c r="Q215" i="3"/>
  <c r="T216" i="3"/>
  <c r="W217" i="3"/>
  <c r="Z218" i="3"/>
  <c r="P220" i="3"/>
  <c r="S221" i="3"/>
  <c r="V222" i="3"/>
  <c r="Y223" i="3"/>
  <c r="AB224" i="3"/>
  <c r="R226" i="3"/>
  <c r="U227" i="3"/>
  <c r="AE227" i="3" s="1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AE243" i="3" s="1"/>
  <c r="X244" i="3"/>
  <c r="AA245" i="3"/>
  <c r="Q247" i="3"/>
  <c r="T248" i="3"/>
  <c r="W249" i="3"/>
  <c r="Z250" i="3"/>
  <c r="P252" i="3"/>
  <c r="S253" i="3"/>
  <c r="V254" i="3"/>
  <c r="Y255" i="3"/>
  <c r="AB256" i="3"/>
  <c r="R258" i="3"/>
  <c r="U259" i="3"/>
  <c r="AE259" i="3" s="1"/>
  <c r="X260" i="3"/>
  <c r="AA261" i="3"/>
  <c r="Q263" i="3"/>
  <c r="T264" i="3"/>
  <c r="W265" i="3"/>
  <c r="Z266" i="3"/>
  <c r="P268" i="3"/>
  <c r="S269" i="3"/>
  <c r="V270" i="3"/>
  <c r="Y271" i="3"/>
  <c r="AB272" i="3"/>
  <c r="Y75" i="3"/>
  <c r="T92" i="3"/>
  <c r="AB104" i="3"/>
  <c r="Z114" i="3"/>
  <c r="X124" i="3"/>
  <c r="X132" i="3"/>
  <c r="S139" i="3"/>
  <c r="Q144" i="3"/>
  <c r="T147" i="3"/>
  <c r="U150" i="3"/>
  <c r="AE150" i="3" s="1"/>
  <c r="AA152" i="3"/>
  <c r="T155" i="3"/>
  <c r="Z157" i="3"/>
  <c r="S160" i="3"/>
  <c r="Y162" i="3"/>
  <c r="R165" i="3"/>
  <c r="X167" i="3"/>
  <c r="Q170" i="3"/>
  <c r="W172" i="3"/>
  <c r="P175" i="3"/>
  <c r="V177" i="3"/>
  <c r="AB179" i="3"/>
  <c r="U182" i="3"/>
  <c r="AE182" i="3" s="1"/>
  <c r="AA184" i="3"/>
  <c r="T187" i="3"/>
  <c r="Z189" i="3"/>
  <c r="S192" i="3"/>
  <c r="Y194" i="3"/>
  <c r="R197" i="3"/>
  <c r="X199" i="3"/>
  <c r="Q202" i="3"/>
  <c r="W204" i="3"/>
  <c r="P207" i="3"/>
  <c r="V209" i="3"/>
  <c r="X211" i="3"/>
  <c r="AA212" i="3"/>
  <c r="Q214" i="3"/>
  <c r="T215" i="3"/>
  <c r="W216" i="3"/>
  <c r="Z217" i="3"/>
  <c r="P219" i="3"/>
  <c r="S220" i="3"/>
  <c r="V221" i="3"/>
  <c r="Y222" i="3"/>
  <c r="AB223" i="3"/>
  <c r="R225" i="3"/>
  <c r="U226" i="3"/>
  <c r="AE226" i="3" s="1"/>
  <c r="X227" i="3"/>
  <c r="AA228" i="3"/>
  <c r="Q230" i="3"/>
  <c r="T231" i="3"/>
  <c r="W232" i="3"/>
  <c r="Z233" i="3"/>
  <c r="P235" i="3"/>
  <c r="S236" i="3"/>
  <c r="V237" i="3"/>
  <c r="Y238" i="3"/>
  <c r="AB239" i="3"/>
  <c r="R241" i="3"/>
  <c r="U242" i="3"/>
  <c r="AE242" i="3" s="1"/>
  <c r="X243" i="3"/>
  <c r="AA244" i="3"/>
  <c r="Q246" i="3"/>
  <c r="T247" i="3"/>
  <c r="W248" i="3"/>
  <c r="Z249" i="3"/>
  <c r="P251" i="3"/>
  <c r="S252" i="3"/>
  <c r="V253" i="3"/>
  <c r="Y254" i="3"/>
  <c r="AB255" i="3"/>
  <c r="R257" i="3"/>
  <c r="U258" i="3"/>
  <c r="AE258" i="3" s="1"/>
  <c r="X259" i="3"/>
  <c r="AA260" i="3"/>
  <c r="Q262" i="3"/>
  <c r="T263" i="3"/>
  <c r="W264" i="3"/>
  <c r="Z265" i="3"/>
  <c r="P267" i="3"/>
  <c r="S268" i="3"/>
  <c r="V269" i="3"/>
  <c r="Y270" i="3"/>
  <c r="AB271" i="3"/>
  <c r="R273" i="3"/>
  <c r="U274" i="3"/>
  <c r="AE274" i="3" s="1"/>
  <c r="X275" i="3"/>
  <c r="AA276" i="3"/>
  <c r="Q278" i="3"/>
  <c r="T279" i="3"/>
  <c r="W280" i="3"/>
  <c r="Z281" i="3"/>
  <c r="P283" i="3"/>
  <c r="S284" i="3"/>
  <c r="V285" i="3"/>
  <c r="Y286" i="3"/>
  <c r="AB287" i="3"/>
  <c r="R289" i="3"/>
  <c r="U290" i="3"/>
  <c r="AE290" i="3" s="1"/>
  <c r="X291" i="3"/>
  <c r="AA292" i="3"/>
  <c r="Q294" i="3"/>
  <c r="T295" i="3"/>
  <c r="W296" i="3"/>
  <c r="Z297" i="3"/>
  <c r="P299" i="3"/>
  <c r="S300" i="3"/>
  <c r="V301" i="3"/>
  <c r="Y302" i="3"/>
  <c r="AB303" i="3"/>
  <c r="R305" i="3"/>
  <c r="U306" i="3"/>
  <c r="AE306" i="3" s="1"/>
  <c r="X307" i="3"/>
  <c r="AA308" i="3"/>
  <c r="Q310" i="3"/>
  <c r="T311" i="3"/>
  <c r="W312" i="3"/>
  <c r="Z313" i="3"/>
  <c r="P315" i="3"/>
  <c r="S316" i="3"/>
  <c r="V317" i="3"/>
  <c r="Y318" i="3"/>
  <c r="AB319" i="3"/>
  <c r="R321" i="3"/>
  <c r="U322" i="3"/>
  <c r="AE322" i="3" s="1"/>
  <c r="X323" i="3"/>
  <c r="AA324" i="3"/>
  <c r="Q326" i="3"/>
  <c r="T327" i="3"/>
  <c r="W328" i="3"/>
  <c r="Z329" i="3"/>
  <c r="P331" i="3"/>
  <c r="S332" i="3"/>
  <c r="V333" i="3"/>
  <c r="Y334" i="3"/>
  <c r="AB335" i="3"/>
  <c r="R337" i="3"/>
  <c r="U338" i="3"/>
  <c r="AE338" i="3" s="1"/>
  <c r="X339" i="3"/>
  <c r="AA340" i="3"/>
  <c r="Q342" i="3"/>
  <c r="T343" i="3"/>
  <c r="W344" i="3"/>
  <c r="Z345" i="3"/>
  <c r="P347" i="3"/>
  <c r="S348" i="3"/>
  <c r="V349" i="3"/>
  <c r="Y350" i="3"/>
  <c r="AB351" i="3"/>
  <c r="R353" i="3"/>
  <c r="U354" i="3"/>
  <c r="AE354" i="3" s="1"/>
  <c r="X355" i="3"/>
  <c r="AA356" i="3"/>
  <c r="Q358" i="3"/>
  <c r="T359" i="3"/>
  <c r="W360" i="3"/>
  <c r="Z361" i="3"/>
  <c r="P363" i="3"/>
  <c r="S364" i="3"/>
  <c r="V365" i="3"/>
  <c r="Y366" i="3"/>
  <c r="AB367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AE376" i="3" s="1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AE408" i="3" s="1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AE416" i="3" s="1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AE424" i="3" s="1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AE456" i="3" s="1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AE464" i="3" s="1"/>
  <c r="P465" i="3"/>
  <c r="X465" i="3"/>
  <c r="S466" i="3"/>
  <c r="AA466" i="3"/>
  <c r="V467" i="3"/>
  <c r="Q468" i="3"/>
  <c r="Y468" i="3"/>
  <c r="T469" i="3"/>
  <c r="AB469" i="3"/>
  <c r="W470" i="3"/>
  <c r="P80" i="3"/>
  <c r="AA93" i="3"/>
  <c r="R106" i="3"/>
  <c r="P116" i="3"/>
  <c r="AA125" i="3"/>
  <c r="W133" i="3"/>
  <c r="P140" i="3"/>
  <c r="R144" i="3"/>
  <c r="U147" i="3"/>
  <c r="AE147" i="3" s="1"/>
  <c r="V150" i="3"/>
  <c r="AB152" i="3"/>
  <c r="U155" i="3"/>
  <c r="AE155" i="3" s="1"/>
  <c r="AA157" i="3"/>
  <c r="T160" i="3"/>
  <c r="Z162" i="3"/>
  <c r="S165" i="3"/>
  <c r="Y167" i="3"/>
  <c r="R170" i="3"/>
  <c r="X172" i="3"/>
  <c r="Q175" i="3"/>
  <c r="W177" i="3"/>
  <c r="P180" i="3"/>
  <c r="V182" i="3"/>
  <c r="AB184" i="3"/>
  <c r="U187" i="3"/>
  <c r="AE187" i="3" s="1"/>
  <c r="AA189" i="3"/>
  <c r="T192" i="3"/>
  <c r="Z194" i="3"/>
  <c r="S197" i="3"/>
  <c r="Y199" i="3"/>
  <c r="R202" i="3"/>
  <c r="X204" i="3"/>
  <c r="Q207" i="3"/>
  <c r="W209" i="3"/>
  <c r="Y211" i="3"/>
  <c r="AB212" i="3"/>
  <c r="R214" i="3"/>
  <c r="U215" i="3"/>
  <c r="AE215" i="3" s="1"/>
  <c r="X216" i="3"/>
  <c r="AA217" i="3"/>
  <c r="Q219" i="3"/>
  <c r="T220" i="3"/>
  <c r="W221" i="3"/>
  <c r="Z222" i="3"/>
  <c r="P224" i="3"/>
  <c r="S225" i="3"/>
  <c r="V226" i="3"/>
  <c r="Y227" i="3"/>
  <c r="AB228" i="3"/>
  <c r="R230" i="3"/>
  <c r="U231" i="3"/>
  <c r="AE231" i="3" s="1"/>
  <c r="X232" i="3"/>
  <c r="AA233" i="3"/>
  <c r="Q235" i="3"/>
  <c r="T236" i="3"/>
  <c r="W237" i="3"/>
  <c r="Z238" i="3"/>
  <c r="P240" i="3"/>
  <c r="S241" i="3"/>
  <c r="V242" i="3"/>
  <c r="Y243" i="3"/>
  <c r="AB244" i="3"/>
  <c r="R246" i="3"/>
  <c r="U247" i="3"/>
  <c r="AE247" i="3" s="1"/>
  <c r="X248" i="3"/>
  <c r="AA249" i="3"/>
  <c r="Q251" i="3"/>
  <c r="T252" i="3"/>
  <c r="W253" i="3"/>
  <c r="Z254" i="3"/>
  <c r="P256" i="3"/>
  <c r="S257" i="3"/>
  <c r="V258" i="3"/>
  <c r="Y259" i="3"/>
  <c r="AB260" i="3"/>
  <c r="R262" i="3"/>
  <c r="U263" i="3"/>
  <c r="AE263" i="3" s="1"/>
  <c r="X264" i="3"/>
  <c r="AA265" i="3"/>
  <c r="Q267" i="3"/>
  <c r="T268" i="3"/>
  <c r="W269" i="3"/>
  <c r="Z270" i="3"/>
  <c r="P272" i="3"/>
  <c r="S273" i="3"/>
  <c r="V274" i="3"/>
  <c r="Y275" i="3"/>
  <c r="AB276" i="3"/>
  <c r="R278" i="3"/>
  <c r="U279" i="3"/>
  <c r="AE279" i="3" s="1"/>
  <c r="X280" i="3"/>
  <c r="AA281" i="3"/>
  <c r="Q283" i="3"/>
  <c r="T284" i="3"/>
  <c r="W285" i="3"/>
  <c r="Z286" i="3"/>
  <c r="P288" i="3"/>
  <c r="S289" i="3"/>
  <c r="V290" i="3"/>
  <c r="Y291" i="3"/>
  <c r="AB292" i="3"/>
  <c r="R294" i="3"/>
  <c r="U295" i="3"/>
  <c r="AE295" i="3" s="1"/>
  <c r="X296" i="3"/>
  <c r="AA297" i="3"/>
  <c r="Q299" i="3"/>
  <c r="T300" i="3"/>
  <c r="W301" i="3"/>
  <c r="Z302" i="3"/>
  <c r="P304" i="3"/>
  <c r="S305" i="3"/>
  <c r="V306" i="3"/>
  <c r="Y307" i="3"/>
  <c r="AB308" i="3"/>
  <c r="R310" i="3"/>
  <c r="U311" i="3"/>
  <c r="AE311" i="3" s="1"/>
  <c r="X312" i="3"/>
  <c r="AA313" i="3"/>
  <c r="Q315" i="3"/>
  <c r="T316" i="3"/>
  <c r="W317" i="3"/>
  <c r="Z318" i="3"/>
  <c r="P320" i="3"/>
  <c r="S321" i="3"/>
  <c r="V322" i="3"/>
  <c r="Y323" i="3"/>
  <c r="AB324" i="3"/>
  <c r="R326" i="3"/>
  <c r="U327" i="3"/>
  <c r="AE327" i="3" s="1"/>
  <c r="X328" i="3"/>
  <c r="AA329" i="3"/>
  <c r="Q331" i="3"/>
  <c r="T332" i="3"/>
  <c r="W333" i="3"/>
  <c r="Z334" i="3"/>
  <c r="P336" i="3"/>
  <c r="S337" i="3"/>
  <c r="V338" i="3"/>
  <c r="Y339" i="3"/>
  <c r="AB340" i="3"/>
  <c r="R342" i="3"/>
  <c r="U343" i="3"/>
  <c r="AE343" i="3" s="1"/>
  <c r="X344" i="3"/>
  <c r="AA345" i="3"/>
  <c r="Q347" i="3"/>
  <c r="T348" i="3"/>
  <c r="W349" i="3"/>
  <c r="Z350" i="3"/>
  <c r="P352" i="3"/>
  <c r="S353" i="3"/>
  <c r="V354" i="3"/>
  <c r="Y355" i="3"/>
  <c r="AB356" i="3"/>
  <c r="R358" i="3"/>
  <c r="U359" i="3"/>
  <c r="AE359" i="3" s="1"/>
  <c r="X360" i="3"/>
  <c r="AA361" i="3"/>
  <c r="Q363" i="3"/>
  <c r="T364" i="3"/>
  <c r="W365" i="3"/>
  <c r="Z366" i="3"/>
  <c r="P368" i="3"/>
  <c r="Q369" i="3"/>
  <c r="Y369" i="3"/>
  <c r="T370" i="3"/>
  <c r="AB370" i="3"/>
  <c r="W371" i="3"/>
  <c r="R372" i="3"/>
  <c r="Z372" i="3"/>
  <c r="U373" i="3"/>
  <c r="AE373" i="3" s="1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AE405" i="3" s="1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AE453" i="3" s="1"/>
  <c r="P454" i="3"/>
  <c r="X454" i="3"/>
  <c r="S455" i="3"/>
  <c r="AA455" i="3"/>
  <c r="V456" i="3"/>
  <c r="Q457" i="3"/>
  <c r="Y457" i="3"/>
  <c r="T458" i="3"/>
  <c r="R82" i="3"/>
  <c r="W95" i="3"/>
  <c r="U107" i="3"/>
  <c r="AE107" i="3" s="1"/>
  <c r="S117" i="3"/>
  <c r="P127" i="3"/>
  <c r="T134" i="3"/>
  <c r="AB140" i="3"/>
  <c r="AA144" i="3"/>
  <c r="S148" i="3"/>
  <c r="P151" i="3"/>
  <c r="V153" i="3"/>
  <c r="AB155" i="3"/>
  <c r="U158" i="3"/>
  <c r="AE158" i="3" s="1"/>
  <c r="AA160" i="3"/>
  <c r="T163" i="3"/>
  <c r="Z165" i="3"/>
  <c r="S168" i="3"/>
  <c r="Y170" i="3"/>
  <c r="R173" i="3"/>
  <c r="X175" i="3"/>
  <c r="Q178" i="3"/>
  <c r="W180" i="3"/>
  <c r="P183" i="3"/>
  <c r="V185" i="3"/>
  <c r="AB187" i="3"/>
  <c r="U190" i="3"/>
  <c r="AE190" i="3" s="1"/>
  <c r="AA192" i="3"/>
  <c r="T195" i="3"/>
  <c r="Z197" i="3"/>
  <c r="S200" i="3"/>
  <c r="Y202" i="3"/>
  <c r="R205" i="3"/>
  <c r="X207" i="3"/>
  <c r="Q210" i="3"/>
  <c r="AB211" i="3"/>
  <c r="R213" i="3"/>
  <c r="U214" i="3"/>
  <c r="AE214" i="3" s="1"/>
  <c r="X215" i="3"/>
  <c r="AA216" i="3"/>
  <c r="Q218" i="3"/>
  <c r="T219" i="3"/>
  <c r="W220" i="3"/>
  <c r="Z221" i="3"/>
  <c r="P223" i="3"/>
  <c r="S224" i="3"/>
  <c r="V225" i="3"/>
  <c r="Y226" i="3"/>
  <c r="AB227" i="3"/>
  <c r="R229" i="3"/>
  <c r="U230" i="3"/>
  <c r="AE230" i="3" s="1"/>
  <c r="X231" i="3"/>
  <c r="AA232" i="3"/>
  <c r="Q234" i="3"/>
  <c r="T235" i="3"/>
  <c r="W236" i="3"/>
  <c r="Z237" i="3"/>
  <c r="P239" i="3"/>
  <c r="S240" i="3"/>
  <c r="V241" i="3"/>
  <c r="Y242" i="3"/>
  <c r="AB243" i="3"/>
  <c r="R245" i="3"/>
  <c r="U246" i="3"/>
  <c r="AE246" i="3" s="1"/>
  <c r="X247" i="3"/>
  <c r="AA248" i="3"/>
  <c r="Q250" i="3"/>
  <c r="T251" i="3"/>
  <c r="W252" i="3"/>
  <c r="Z253" i="3"/>
  <c r="P255" i="3"/>
  <c r="S256" i="3"/>
  <c r="V257" i="3"/>
  <c r="Y258" i="3"/>
  <c r="AB259" i="3"/>
  <c r="R261" i="3"/>
  <c r="U262" i="3"/>
  <c r="AE262" i="3" s="1"/>
  <c r="X263" i="3"/>
  <c r="AA264" i="3"/>
  <c r="Q266" i="3"/>
  <c r="T267" i="3"/>
  <c r="W268" i="3"/>
  <c r="Z269" i="3"/>
  <c r="P271" i="3"/>
  <c r="S272" i="3"/>
  <c r="V273" i="3"/>
  <c r="P84" i="3"/>
  <c r="S97" i="3"/>
  <c r="X108" i="3"/>
  <c r="V118" i="3"/>
  <c r="P128" i="3"/>
  <c r="Q135" i="3"/>
  <c r="Y141" i="3"/>
  <c r="AB144" i="3"/>
  <c r="T148" i="3"/>
  <c r="Q151" i="3"/>
  <c r="W153" i="3"/>
  <c r="P156" i="3"/>
  <c r="V158" i="3"/>
  <c r="AB160" i="3"/>
  <c r="U163" i="3"/>
  <c r="AE163" i="3" s="1"/>
  <c r="AA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E195" i="3" s="1"/>
  <c r="AA197" i="3"/>
  <c r="T200" i="3"/>
  <c r="Z202" i="3"/>
  <c r="S205" i="3"/>
  <c r="Y207" i="3"/>
  <c r="R210" i="3"/>
  <c r="P212" i="3"/>
  <c r="S213" i="3"/>
  <c r="V214" i="3"/>
  <c r="Y215" i="3"/>
  <c r="AB216" i="3"/>
  <c r="R218" i="3"/>
  <c r="U219" i="3"/>
  <c r="AE219" i="3" s="1"/>
  <c r="X220" i="3"/>
  <c r="AA221" i="3"/>
  <c r="Q223" i="3"/>
  <c r="T224" i="3"/>
  <c r="W225" i="3"/>
  <c r="Z226" i="3"/>
  <c r="P228" i="3"/>
  <c r="S229" i="3"/>
  <c r="V230" i="3"/>
  <c r="Y231" i="3"/>
  <c r="AB232" i="3"/>
  <c r="R234" i="3"/>
  <c r="U235" i="3"/>
  <c r="AE235" i="3" s="1"/>
  <c r="X236" i="3"/>
  <c r="AA237" i="3"/>
  <c r="Q239" i="3"/>
  <c r="T240" i="3"/>
  <c r="W241" i="3"/>
  <c r="Z242" i="3"/>
  <c r="P244" i="3"/>
  <c r="S245" i="3"/>
  <c r="V246" i="3"/>
  <c r="Y247" i="3"/>
  <c r="AB248" i="3"/>
  <c r="R250" i="3"/>
  <c r="U251" i="3"/>
  <c r="AE251" i="3" s="1"/>
  <c r="X252" i="3"/>
  <c r="AA253" i="3"/>
  <c r="Q255" i="3"/>
  <c r="T256" i="3"/>
  <c r="W257" i="3"/>
  <c r="Z258" i="3"/>
  <c r="P260" i="3"/>
  <c r="S261" i="3"/>
  <c r="V262" i="3"/>
  <c r="Y263" i="3"/>
  <c r="AB264" i="3"/>
  <c r="R266" i="3"/>
  <c r="U267" i="3"/>
  <c r="AE267" i="3" s="1"/>
  <c r="X268" i="3"/>
  <c r="AA269" i="3"/>
  <c r="Q271" i="3"/>
  <c r="T272" i="3"/>
  <c r="W273" i="3"/>
  <c r="Y85" i="3"/>
  <c r="Z98" i="3"/>
  <c r="AA109" i="3"/>
  <c r="Y119" i="3"/>
  <c r="AB128" i="3"/>
  <c r="P136" i="3"/>
  <c r="U142" i="3"/>
  <c r="AE142" i="3" s="1"/>
  <c r="Z145" i="3"/>
  <c r="P149" i="3"/>
  <c r="X151" i="3"/>
  <c r="Q154" i="3"/>
  <c r="W156" i="3"/>
  <c r="P159" i="3"/>
  <c r="V161" i="3"/>
  <c r="AB163" i="3"/>
  <c r="U166" i="3"/>
  <c r="AE166" i="3" s="1"/>
  <c r="AA168" i="3"/>
  <c r="T171" i="3"/>
  <c r="Z173" i="3"/>
  <c r="S176" i="3"/>
  <c r="Y178" i="3"/>
  <c r="R181" i="3"/>
  <c r="X183" i="3"/>
  <c r="Q186" i="3"/>
  <c r="W188" i="3"/>
  <c r="P191" i="3"/>
  <c r="V193" i="3"/>
  <c r="AB195" i="3"/>
  <c r="U198" i="3"/>
  <c r="AE198" i="3" s="1"/>
  <c r="AA200" i="3"/>
  <c r="T203" i="3"/>
  <c r="Z205" i="3"/>
  <c r="S208" i="3"/>
  <c r="Y210" i="3"/>
  <c r="S212" i="3"/>
  <c r="V213" i="3"/>
  <c r="Y214" i="3"/>
  <c r="AB215" i="3"/>
  <c r="R217" i="3"/>
  <c r="U218" i="3"/>
  <c r="AE218" i="3" s="1"/>
  <c r="X219" i="3"/>
  <c r="AA220" i="3"/>
  <c r="Q222" i="3"/>
  <c r="T223" i="3"/>
  <c r="W224" i="3"/>
  <c r="Z225" i="3"/>
  <c r="P227" i="3"/>
  <c r="S228" i="3"/>
  <c r="V229" i="3"/>
  <c r="Y230" i="3"/>
  <c r="AB231" i="3"/>
  <c r="R233" i="3"/>
  <c r="U234" i="3"/>
  <c r="AE234" i="3" s="1"/>
  <c r="X235" i="3"/>
  <c r="AA236" i="3"/>
  <c r="Q238" i="3"/>
  <c r="T239" i="3"/>
  <c r="W240" i="3"/>
  <c r="Z241" i="3"/>
  <c r="P243" i="3"/>
  <c r="S244" i="3"/>
  <c r="V245" i="3"/>
  <c r="Y246" i="3"/>
  <c r="AB247" i="3"/>
  <c r="R249" i="3"/>
  <c r="U250" i="3"/>
  <c r="AE250" i="3" s="1"/>
  <c r="X251" i="3"/>
  <c r="AA252" i="3"/>
  <c r="Q254" i="3"/>
  <c r="T255" i="3"/>
  <c r="W256" i="3"/>
  <c r="Z257" i="3"/>
  <c r="P259" i="3"/>
  <c r="S260" i="3"/>
  <c r="V261" i="3"/>
  <c r="Y262" i="3"/>
  <c r="AB263" i="3"/>
  <c r="R265" i="3"/>
  <c r="U266" i="3"/>
  <c r="AE266" i="3" s="1"/>
  <c r="X267" i="3"/>
  <c r="AA268" i="3"/>
  <c r="Q270" i="3"/>
  <c r="T271" i="3"/>
  <c r="W272" i="3"/>
  <c r="Z273" i="3"/>
  <c r="P275" i="3"/>
  <c r="S276" i="3"/>
  <c r="V277" i="3"/>
  <c r="Y278" i="3"/>
  <c r="AB279" i="3"/>
  <c r="R281" i="3"/>
  <c r="U282" i="3"/>
  <c r="AE282" i="3" s="1"/>
  <c r="X283" i="3"/>
  <c r="AA284" i="3"/>
  <c r="Q286" i="3"/>
  <c r="T287" i="3"/>
  <c r="W288" i="3"/>
  <c r="Z289" i="3"/>
  <c r="P291" i="3"/>
  <c r="S292" i="3"/>
  <c r="V293" i="3"/>
  <c r="Y294" i="3"/>
  <c r="AB295" i="3"/>
  <c r="R297" i="3"/>
  <c r="U298" i="3"/>
  <c r="AE298" i="3" s="1"/>
  <c r="X299" i="3"/>
  <c r="AA300" i="3"/>
  <c r="Q302" i="3"/>
  <c r="T303" i="3"/>
  <c r="W304" i="3"/>
  <c r="Z305" i="3"/>
  <c r="P307" i="3"/>
  <c r="S308" i="3"/>
  <c r="V309" i="3"/>
  <c r="Y310" i="3"/>
  <c r="AB311" i="3"/>
  <c r="R313" i="3"/>
  <c r="U314" i="3"/>
  <c r="AE314" i="3" s="1"/>
  <c r="X315" i="3"/>
  <c r="AA316" i="3"/>
  <c r="Q318" i="3"/>
  <c r="T319" i="3"/>
  <c r="W320" i="3"/>
  <c r="Z321" i="3"/>
  <c r="P323" i="3"/>
  <c r="S324" i="3"/>
  <c r="V325" i="3"/>
  <c r="Y326" i="3"/>
  <c r="AB327" i="3"/>
  <c r="R329" i="3"/>
  <c r="U330" i="3"/>
  <c r="AE330" i="3" s="1"/>
  <c r="X331" i="3"/>
  <c r="AA332" i="3"/>
  <c r="Q334" i="3"/>
  <c r="T335" i="3"/>
  <c r="W336" i="3"/>
  <c r="Z337" i="3"/>
  <c r="P339" i="3"/>
  <c r="S340" i="3"/>
  <c r="V341" i="3"/>
  <c r="Y342" i="3"/>
  <c r="AB343" i="3"/>
  <c r="R345" i="3"/>
  <c r="U346" i="3"/>
  <c r="AE346" i="3" s="1"/>
  <c r="X347" i="3"/>
  <c r="AA348" i="3"/>
  <c r="Q350" i="3"/>
  <c r="T351" i="3"/>
  <c r="W352" i="3"/>
  <c r="Z353" i="3"/>
  <c r="P355" i="3"/>
  <c r="S356" i="3"/>
  <c r="V357" i="3"/>
  <c r="Y358" i="3"/>
  <c r="AB359" i="3"/>
  <c r="R361" i="3"/>
  <c r="U362" i="3"/>
  <c r="AE362" i="3" s="1"/>
  <c r="X363" i="3"/>
  <c r="AA364" i="3"/>
  <c r="Q366" i="3"/>
  <c r="T367" i="3"/>
  <c r="W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Y464" i="3"/>
  <c r="T465" i="3"/>
  <c r="AB465" i="3"/>
  <c r="W466" i="3"/>
  <c r="R467" i="3"/>
  <c r="Z467" i="3"/>
  <c r="U87" i="3"/>
  <c r="AE87" i="3" s="1"/>
  <c r="V100" i="3"/>
  <c r="Q111" i="3"/>
  <c r="AB120" i="3"/>
  <c r="AB129" i="3"/>
  <c r="Z136" i="3"/>
  <c r="V142" i="3"/>
  <c r="AA145" i="3"/>
  <c r="Q149" i="3"/>
  <c r="Y151" i="3"/>
  <c r="R154" i="3"/>
  <c r="X156" i="3"/>
  <c r="Q159" i="3"/>
  <c r="W161" i="3"/>
  <c r="P164" i="3"/>
  <c r="V166" i="3"/>
  <c r="AB168" i="3"/>
  <c r="U171" i="3"/>
  <c r="AE171" i="3" s="1"/>
  <c r="AA173" i="3"/>
  <c r="T176" i="3"/>
  <c r="Z178" i="3"/>
  <c r="S181" i="3"/>
  <c r="Y183" i="3"/>
  <c r="R186" i="3"/>
  <c r="X188" i="3"/>
  <c r="Q191" i="3"/>
  <c r="W193" i="3"/>
  <c r="P196" i="3"/>
  <c r="V198" i="3"/>
  <c r="AB200" i="3"/>
  <c r="U203" i="3"/>
  <c r="AE203" i="3" s="1"/>
  <c r="AA205" i="3"/>
  <c r="T208" i="3"/>
  <c r="Z210" i="3"/>
  <c r="T212" i="3"/>
  <c r="W213" i="3"/>
  <c r="Z214" i="3"/>
  <c r="P216" i="3"/>
  <c r="S217" i="3"/>
  <c r="V218" i="3"/>
  <c r="Y219" i="3"/>
  <c r="AB220" i="3"/>
  <c r="R222" i="3"/>
  <c r="U223" i="3"/>
  <c r="AE223" i="3" s="1"/>
  <c r="X224" i="3"/>
  <c r="AA225" i="3"/>
  <c r="Q227" i="3"/>
  <c r="T228" i="3"/>
  <c r="W229" i="3"/>
  <c r="Z230" i="3"/>
  <c r="P232" i="3"/>
  <c r="S233" i="3"/>
  <c r="V234" i="3"/>
  <c r="Y235" i="3"/>
  <c r="AB236" i="3"/>
  <c r="R238" i="3"/>
  <c r="U239" i="3"/>
  <c r="AE239" i="3" s="1"/>
  <c r="X240" i="3"/>
  <c r="AA241" i="3"/>
  <c r="Q243" i="3"/>
  <c r="T244" i="3"/>
  <c r="W245" i="3"/>
  <c r="Z246" i="3"/>
  <c r="P248" i="3"/>
  <c r="S249" i="3"/>
  <c r="V250" i="3"/>
  <c r="Y251" i="3"/>
  <c r="AB252" i="3"/>
  <c r="R254" i="3"/>
  <c r="U255" i="3"/>
  <c r="AE255" i="3" s="1"/>
  <c r="X256" i="3"/>
  <c r="AA257" i="3"/>
  <c r="Q259" i="3"/>
  <c r="T260" i="3"/>
  <c r="W261" i="3"/>
  <c r="Z262" i="3"/>
  <c r="P264" i="3"/>
  <c r="S265" i="3"/>
  <c r="V266" i="3"/>
  <c r="Y267" i="3"/>
  <c r="AB268" i="3"/>
  <c r="R270" i="3"/>
  <c r="U271" i="3"/>
  <c r="AE271" i="3" s="1"/>
  <c r="X272" i="3"/>
  <c r="AA273" i="3"/>
  <c r="Q275" i="3"/>
  <c r="T276" i="3"/>
  <c r="W277" i="3"/>
  <c r="Z278" i="3"/>
  <c r="P280" i="3"/>
  <c r="S281" i="3"/>
  <c r="V282" i="3"/>
  <c r="Y283" i="3"/>
  <c r="AB284" i="3"/>
  <c r="R286" i="3"/>
  <c r="U287" i="3"/>
  <c r="AE287" i="3" s="1"/>
  <c r="X288" i="3"/>
  <c r="AA289" i="3"/>
  <c r="Q291" i="3"/>
  <c r="T292" i="3"/>
  <c r="W293" i="3"/>
  <c r="Z294" i="3"/>
  <c r="P296" i="3"/>
  <c r="S297" i="3"/>
  <c r="V298" i="3"/>
  <c r="Y299" i="3"/>
  <c r="AB300" i="3"/>
  <c r="R302" i="3"/>
  <c r="U303" i="3"/>
  <c r="AE303" i="3" s="1"/>
  <c r="X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AE319" i="3" s="1"/>
  <c r="X320" i="3"/>
  <c r="AA321" i="3"/>
  <c r="Q323" i="3"/>
  <c r="T324" i="3"/>
  <c r="W325" i="3"/>
  <c r="Z326" i="3"/>
  <c r="P328" i="3"/>
  <c r="S329" i="3"/>
  <c r="V330" i="3"/>
  <c r="Y331" i="3"/>
  <c r="AB332" i="3"/>
  <c r="R334" i="3"/>
  <c r="U335" i="3"/>
  <c r="AE335" i="3" s="1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AE351" i="3" s="1"/>
  <c r="X352" i="3"/>
  <c r="AA353" i="3"/>
  <c r="Q355" i="3"/>
  <c r="T356" i="3"/>
  <c r="W357" i="3"/>
  <c r="Z358" i="3"/>
  <c r="P360" i="3"/>
  <c r="S361" i="3"/>
  <c r="V362" i="3"/>
  <c r="Y363" i="3"/>
  <c r="AB364" i="3"/>
  <c r="R366" i="3"/>
  <c r="U367" i="3"/>
  <c r="AE367" i="3" s="1"/>
  <c r="X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AE417" i="3" s="1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AE465" i="3" s="1"/>
  <c r="P466" i="3"/>
  <c r="X466" i="3"/>
  <c r="S467" i="3"/>
  <c r="AA467" i="3"/>
  <c r="V468" i="3"/>
  <c r="Q469" i="3"/>
  <c r="Y469" i="3"/>
  <c r="T470" i="3"/>
  <c r="AB470" i="3"/>
  <c r="W471" i="3"/>
  <c r="R472" i="3"/>
  <c r="Q274" i="3"/>
  <c r="W276" i="3"/>
  <c r="P279" i="3"/>
  <c r="V281" i="3"/>
  <c r="AB283" i="3"/>
  <c r="U286" i="3"/>
  <c r="AE286" i="3" s="1"/>
  <c r="AA288" i="3"/>
  <c r="T291" i="3"/>
  <c r="Z293" i="3"/>
  <c r="S296" i="3"/>
  <c r="Y298" i="3"/>
  <c r="R301" i="3"/>
  <c r="X303" i="3"/>
  <c r="Q306" i="3"/>
  <c r="W308" i="3"/>
  <c r="P311" i="3"/>
  <c r="V313" i="3"/>
  <c r="AB315" i="3"/>
  <c r="U318" i="3"/>
  <c r="AE318" i="3" s="1"/>
  <c r="AA320" i="3"/>
  <c r="T323" i="3"/>
  <c r="Z325" i="3"/>
  <c r="S328" i="3"/>
  <c r="Y330" i="3"/>
  <c r="R333" i="3"/>
  <c r="X335" i="3"/>
  <c r="Q338" i="3"/>
  <c r="W340" i="3"/>
  <c r="P343" i="3"/>
  <c r="V345" i="3"/>
  <c r="AB347" i="3"/>
  <c r="U350" i="3"/>
  <c r="AE350" i="3" s="1"/>
  <c r="AA352" i="3"/>
  <c r="T355" i="3"/>
  <c r="Z357" i="3"/>
  <c r="S360" i="3"/>
  <c r="Y362" i="3"/>
  <c r="R365" i="3"/>
  <c r="X367" i="3"/>
  <c r="V369" i="3"/>
  <c r="Y370" i="3"/>
  <c r="AB371" i="3"/>
  <c r="R373" i="3"/>
  <c r="U374" i="3"/>
  <c r="AE374" i="3" s="1"/>
  <c r="X375" i="3"/>
  <c r="AA376" i="3"/>
  <c r="Q378" i="3"/>
  <c r="T379" i="3"/>
  <c r="W380" i="3"/>
  <c r="Z381" i="3"/>
  <c r="P383" i="3"/>
  <c r="S384" i="3"/>
  <c r="V385" i="3"/>
  <c r="Y386" i="3"/>
  <c r="AB387" i="3"/>
  <c r="R389" i="3"/>
  <c r="U390" i="3"/>
  <c r="AE390" i="3" s="1"/>
  <c r="X391" i="3"/>
  <c r="AA392" i="3"/>
  <c r="Q394" i="3"/>
  <c r="T395" i="3"/>
  <c r="W396" i="3"/>
  <c r="Z397" i="3"/>
  <c r="P399" i="3"/>
  <c r="S400" i="3"/>
  <c r="V401" i="3"/>
  <c r="Y402" i="3"/>
  <c r="AB403" i="3"/>
  <c r="R405" i="3"/>
  <c r="U406" i="3"/>
  <c r="AE406" i="3" s="1"/>
  <c r="X407" i="3"/>
  <c r="AA408" i="3"/>
  <c r="Q410" i="3"/>
  <c r="T411" i="3"/>
  <c r="W412" i="3"/>
  <c r="Z413" i="3"/>
  <c r="P415" i="3"/>
  <c r="S416" i="3"/>
  <c r="V417" i="3"/>
  <c r="Y418" i="3"/>
  <c r="AB419" i="3"/>
  <c r="R421" i="3"/>
  <c r="U422" i="3"/>
  <c r="AE422" i="3" s="1"/>
  <c r="X423" i="3"/>
  <c r="AA424" i="3"/>
  <c r="Q426" i="3"/>
  <c r="T427" i="3"/>
  <c r="W428" i="3"/>
  <c r="Z429" i="3"/>
  <c r="P431" i="3"/>
  <c r="S432" i="3"/>
  <c r="V433" i="3"/>
  <c r="Y434" i="3"/>
  <c r="AB435" i="3"/>
  <c r="R437" i="3"/>
  <c r="U438" i="3"/>
  <c r="AE438" i="3" s="1"/>
  <c r="X439" i="3"/>
  <c r="AA440" i="3"/>
  <c r="Q442" i="3"/>
  <c r="T443" i="3"/>
  <c r="W444" i="3"/>
  <c r="Z445" i="3"/>
  <c r="P447" i="3"/>
  <c r="S448" i="3"/>
  <c r="V449" i="3"/>
  <c r="Y450" i="3"/>
  <c r="AB451" i="3"/>
  <c r="R453" i="3"/>
  <c r="U454" i="3"/>
  <c r="AE454" i="3" s="1"/>
  <c r="X455" i="3"/>
  <c r="AA456" i="3"/>
  <c r="Q458" i="3"/>
  <c r="Q459" i="3"/>
  <c r="R460" i="3"/>
  <c r="R461" i="3"/>
  <c r="Q462" i="3"/>
  <c r="Q463" i="3"/>
  <c r="P464" i="3"/>
  <c r="Q465" i="3"/>
  <c r="Q466" i="3"/>
  <c r="P467" i="3"/>
  <c r="P468" i="3"/>
  <c r="AA468" i="3"/>
  <c r="X469" i="3"/>
  <c r="V470" i="3"/>
  <c r="S471" i="3"/>
  <c r="AB471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R274" i="3"/>
  <c r="X276" i="3"/>
  <c r="Q279" i="3"/>
  <c r="W281" i="3"/>
  <c r="P284" i="3"/>
  <c r="V286" i="3"/>
  <c r="AB288" i="3"/>
  <c r="U291" i="3"/>
  <c r="AE291" i="3" s="1"/>
  <c r="AA293" i="3"/>
  <c r="T296" i="3"/>
  <c r="Z298" i="3"/>
  <c r="S301" i="3"/>
  <c r="Y303" i="3"/>
  <c r="R306" i="3"/>
  <c r="X308" i="3"/>
  <c r="Q311" i="3"/>
  <c r="W313" i="3"/>
  <c r="P316" i="3"/>
  <c r="V318" i="3"/>
  <c r="AB320" i="3"/>
  <c r="U323" i="3"/>
  <c r="AE323" i="3" s="1"/>
  <c r="AA325" i="3"/>
  <c r="T328" i="3"/>
  <c r="Z330" i="3"/>
  <c r="S333" i="3"/>
  <c r="Y335" i="3"/>
  <c r="R338" i="3"/>
  <c r="X340" i="3"/>
  <c r="Q343" i="3"/>
  <c r="W345" i="3"/>
  <c r="P348" i="3"/>
  <c r="V350" i="3"/>
  <c r="AB352" i="3"/>
  <c r="U355" i="3"/>
  <c r="AE355" i="3" s="1"/>
  <c r="AA357" i="3"/>
  <c r="T360" i="3"/>
  <c r="Z362" i="3"/>
  <c r="S365" i="3"/>
  <c r="Y367" i="3"/>
  <c r="W369" i="3"/>
  <c r="Z370" i="3"/>
  <c r="P372" i="3"/>
  <c r="S373" i="3"/>
  <c r="V374" i="3"/>
  <c r="Y375" i="3"/>
  <c r="AB376" i="3"/>
  <c r="R378" i="3"/>
  <c r="U379" i="3"/>
  <c r="AE379" i="3" s="1"/>
  <c r="X380" i="3"/>
  <c r="AA381" i="3"/>
  <c r="Q383" i="3"/>
  <c r="T384" i="3"/>
  <c r="W385" i="3"/>
  <c r="Z386" i="3"/>
  <c r="P388" i="3"/>
  <c r="S389" i="3"/>
  <c r="V390" i="3"/>
  <c r="Y391" i="3"/>
  <c r="AB392" i="3"/>
  <c r="R394" i="3"/>
  <c r="U395" i="3"/>
  <c r="AE395" i="3" s="1"/>
  <c r="X396" i="3"/>
  <c r="AA397" i="3"/>
  <c r="Q399" i="3"/>
  <c r="T400" i="3"/>
  <c r="W401" i="3"/>
  <c r="Z402" i="3"/>
  <c r="P404" i="3"/>
  <c r="S405" i="3"/>
  <c r="V406" i="3"/>
  <c r="Y407" i="3"/>
  <c r="AB408" i="3"/>
  <c r="R410" i="3"/>
  <c r="U411" i="3"/>
  <c r="AE411" i="3" s="1"/>
  <c r="X412" i="3"/>
  <c r="AA413" i="3"/>
  <c r="Q415" i="3"/>
  <c r="T416" i="3"/>
  <c r="W417" i="3"/>
  <c r="Z418" i="3"/>
  <c r="P420" i="3"/>
  <c r="S421" i="3"/>
  <c r="V422" i="3"/>
  <c r="Y423" i="3"/>
  <c r="AB424" i="3"/>
  <c r="R426" i="3"/>
  <c r="U427" i="3"/>
  <c r="AE427" i="3" s="1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AE443" i="3" s="1"/>
  <c r="X444" i="3"/>
  <c r="AA445" i="3"/>
  <c r="Q447" i="3"/>
  <c r="T448" i="3"/>
  <c r="W449" i="3"/>
  <c r="Z450" i="3"/>
  <c r="P452" i="3"/>
  <c r="S453" i="3"/>
  <c r="V454" i="3"/>
  <c r="Y455" i="3"/>
  <c r="AB456" i="3"/>
  <c r="R458" i="3"/>
  <c r="T459" i="3"/>
  <c r="S460" i="3"/>
  <c r="S461" i="3"/>
  <c r="R462" i="3"/>
  <c r="S463" i="3"/>
  <c r="S464" i="3"/>
  <c r="R465" i="3"/>
  <c r="R466" i="3"/>
  <c r="Q467" i="3"/>
  <c r="R468" i="3"/>
  <c r="AB468" i="3"/>
  <c r="Z469" i="3"/>
  <c r="X470" i="3"/>
  <c r="T471" i="3"/>
  <c r="P472" i="3"/>
  <c r="Y472" i="3"/>
  <c r="T473" i="3"/>
  <c r="AB473" i="3"/>
  <c r="W474" i="3"/>
  <c r="R475" i="3"/>
  <c r="Z475" i="3"/>
  <c r="U476" i="3"/>
  <c r="AE476" i="3" s="1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Q496" i="3"/>
  <c r="Y496" i="3"/>
  <c r="T497" i="3"/>
  <c r="AB497" i="3"/>
  <c r="W498" i="3"/>
  <c r="Y274" i="3"/>
  <c r="R277" i="3"/>
  <c r="X279" i="3"/>
  <c r="Q282" i="3"/>
  <c r="W284" i="3"/>
  <c r="P287" i="3"/>
  <c r="V289" i="3"/>
  <c r="AB291" i="3"/>
  <c r="U294" i="3"/>
  <c r="AE294" i="3" s="1"/>
  <c r="AA296" i="3"/>
  <c r="T299" i="3"/>
  <c r="Z301" i="3"/>
  <c r="S304" i="3"/>
  <c r="Y306" i="3"/>
  <c r="R309" i="3"/>
  <c r="X311" i="3"/>
  <c r="Q314" i="3"/>
  <c r="W316" i="3"/>
  <c r="P319" i="3"/>
  <c r="V321" i="3"/>
  <c r="AB323" i="3"/>
  <c r="U326" i="3"/>
  <c r="AE326" i="3" s="1"/>
  <c r="AA328" i="3"/>
  <c r="T331" i="3"/>
  <c r="Z333" i="3"/>
  <c r="S336" i="3"/>
  <c r="Y338" i="3"/>
  <c r="R341" i="3"/>
  <c r="X343" i="3"/>
  <c r="Q346" i="3"/>
  <c r="W348" i="3"/>
  <c r="P351" i="3"/>
  <c r="V353" i="3"/>
  <c r="AB355" i="3"/>
  <c r="U358" i="3"/>
  <c r="AE358" i="3" s="1"/>
  <c r="AA360" i="3"/>
  <c r="T363" i="3"/>
  <c r="Z365" i="3"/>
  <c r="S368" i="3"/>
  <c r="Z369" i="3"/>
  <c r="P371" i="3"/>
  <c r="S372" i="3"/>
  <c r="V373" i="3"/>
  <c r="Y374" i="3"/>
  <c r="AB375" i="3"/>
  <c r="R377" i="3"/>
  <c r="U378" i="3"/>
  <c r="AE378" i="3" s="1"/>
  <c r="X379" i="3"/>
  <c r="AA380" i="3"/>
  <c r="Q382" i="3"/>
  <c r="T383" i="3"/>
  <c r="W384" i="3"/>
  <c r="Z385" i="3"/>
  <c r="P387" i="3"/>
  <c r="S388" i="3"/>
  <c r="V389" i="3"/>
  <c r="Y390" i="3"/>
  <c r="AB391" i="3"/>
  <c r="R393" i="3"/>
  <c r="U394" i="3"/>
  <c r="AE394" i="3" s="1"/>
  <c r="X395" i="3"/>
  <c r="AA396" i="3"/>
  <c r="Q398" i="3"/>
  <c r="T399" i="3"/>
  <c r="W400" i="3"/>
  <c r="Z401" i="3"/>
  <c r="P403" i="3"/>
  <c r="S404" i="3"/>
  <c r="V405" i="3"/>
  <c r="Y406" i="3"/>
  <c r="AB407" i="3"/>
  <c r="R409" i="3"/>
  <c r="U410" i="3"/>
  <c r="AE410" i="3" s="1"/>
  <c r="X411" i="3"/>
  <c r="AA412" i="3"/>
  <c r="Q414" i="3"/>
  <c r="T415" i="3"/>
  <c r="W416" i="3"/>
  <c r="Z417" i="3"/>
  <c r="P419" i="3"/>
  <c r="S420" i="3"/>
  <c r="V421" i="3"/>
  <c r="Y422" i="3"/>
  <c r="AB423" i="3"/>
  <c r="R425" i="3"/>
  <c r="U426" i="3"/>
  <c r="AE426" i="3" s="1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AE442" i="3" s="1"/>
  <c r="X443" i="3"/>
  <c r="AA444" i="3"/>
  <c r="Q446" i="3"/>
  <c r="T447" i="3"/>
  <c r="W448" i="3"/>
  <c r="Z449" i="3"/>
  <c r="P451" i="3"/>
  <c r="S452" i="3"/>
  <c r="V453" i="3"/>
  <c r="Y454" i="3"/>
  <c r="AB455" i="3"/>
  <c r="R457" i="3"/>
  <c r="U458" i="3"/>
  <c r="AE458" i="3" s="1"/>
  <c r="U459" i="3"/>
  <c r="AE459" i="3" s="1"/>
  <c r="T460" i="3"/>
  <c r="U461" i="3"/>
  <c r="AE461" i="3" s="1"/>
  <c r="U462" i="3"/>
  <c r="AE462" i="3" s="1"/>
  <c r="T463" i="3"/>
  <c r="T464" i="3"/>
  <c r="S465" i="3"/>
  <c r="T466" i="3"/>
  <c r="T467" i="3"/>
  <c r="S468" i="3"/>
  <c r="P469" i="3"/>
  <c r="AA469" i="3"/>
  <c r="Y470" i="3"/>
  <c r="U471" i="3"/>
  <c r="AE471" i="3" s="1"/>
  <c r="Q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AE633" i="3" s="1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Z274" i="3"/>
  <c r="S277" i="3"/>
  <c r="Y279" i="3"/>
  <c r="R282" i="3"/>
  <c r="X284" i="3"/>
  <c r="Q287" i="3"/>
  <c r="W289" i="3"/>
  <c r="P292" i="3"/>
  <c r="V294" i="3"/>
  <c r="AB296" i="3"/>
  <c r="U299" i="3"/>
  <c r="AE299" i="3" s="1"/>
  <c r="AA301" i="3"/>
  <c r="T304" i="3"/>
  <c r="Z306" i="3"/>
  <c r="S309" i="3"/>
  <c r="Y311" i="3"/>
  <c r="R314" i="3"/>
  <c r="X316" i="3"/>
  <c r="Q319" i="3"/>
  <c r="W321" i="3"/>
  <c r="P324" i="3"/>
  <c r="V326" i="3"/>
  <c r="AB328" i="3"/>
  <c r="U331" i="3"/>
  <c r="AE331" i="3" s="1"/>
  <c r="AA333" i="3"/>
  <c r="T336" i="3"/>
  <c r="Z338" i="3"/>
  <c r="S341" i="3"/>
  <c r="Y343" i="3"/>
  <c r="R346" i="3"/>
  <c r="X348" i="3"/>
  <c r="Q351" i="3"/>
  <c r="W353" i="3"/>
  <c r="P356" i="3"/>
  <c r="V358" i="3"/>
  <c r="AB360" i="3"/>
  <c r="U363" i="3"/>
  <c r="AE363" i="3" s="1"/>
  <c r="AA365" i="3"/>
  <c r="T368" i="3"/>
  <c r="AA369" i="3"/>
  <c r="Q371" i="3"/>
  <c r="T372" i="3"/>
  <c r="W373" i="3"/>
  <c r="Z374" i="3"/>
  <c r="P376" i="3"/>
  <c r="S377" i="3"/>
  <c r="V378" i="3"/>
  <c r="Y379" i="3"/>
  <c r="AB380" i="3"/>
  <c r="R382" i="3"/>
  <c r="U383" i="3"/>
  <c r="AE383" i="3" s="1"/>
  <c r="X384" i="3"/>
  <c r="AA385" i="3"/>
  <c r="Q387" i="3"/>
  <c r="T388" i="3"/>
  <c r="W389" i="3"/>
  <c r="Z390" i="3"/>
  <c r="P392" i="3"/>
  <c r="S393" i="3"/>
  <c r="V394" i="3"/>
  <c r="Y395" i="3"/>
  <c r="AB396" i="3"/>
  <c r="R398" i="3"/>
  <c r="U399" i="3"/>
  <c r="AE399" i="3" s="1"/>
  <c r="X400" i="3"/>
  <c r="AA401" i="3"/>
  <c r="Q403" i="3"/>
  <c r="T404" i="3"/>
  <c r="W405" i="3"/>
  <c r="Z406" i="3"/>
  <c r="P408" i="3"/>
  <c r="S409" i="3"/>
  <c r="V410" i="3"/>
  <c r="Y411" i="3"/>
  <c r="AB412" i="3"/>
  <c r="R414" i="3"/>
  <c r="U415" i="3"/>
  <c r="AE415" i="3" s="1"/>
  <c r="X416" i="3"/>
  <c r="AA417" i="3"/>
  <c r="Q419" i="3"/>
  <c r="T420" i="3"/>
  <c r="W421" i="3"/>
  <c r="Z422" i="3"/>
  <c r="P424" i="3"/>
  <c r="S425" i="3"/>
  <c r="V426" i="3"/>
  <c r="Y427" i="3"/>
  <c r="AB428" i="3"/>
  <c r="R430" i="3"/>
  <c r="U431" i="3"/>
  <c r="AE431" i="3" s="1"/>
  <c r="X432" i="3"/>
  <c r="AA433" i="3"/>
  <c r="Q435" i="3"/>
  <c r="T436" i="3"/>
  <c r="W437" i="3"/>
  <c r="Z438" i="3"/>
  <c r="P440" i="3"/>
  <c r="S441" i="3"/>
  <c r="V442" i="3"/>
  <c r="Y443" i="3"/>
  <c r="AB444" i="3"/>
  <c r="R446" i="3"/>
  <c r="U447" i="3"/>
  <c r="X448" i="3"/>
  <c r="AA449" i="3"/>
  <c r="Q451" i="3"/>
  <c r="T452" i="3"/>
  <c r="W453" i="3"/>
  <c r="Z454" i="3"/>
  <c r="P456" i="3"/>
  <c r="S457" i="3"/>
  <c r="V458" i="3"/>
  <c r="W459" i="3"/>
  <c r="W460" i="3"/>
  <c r="V461" i="3"/>
  <c r="V462" i="3"/>
  <c r="U463" i="3"/>
  <c r="AE463" i="3" s="1"/>
  <c r="V464" i="3"/>
  <c r="V465" i="3"/>
  <c r="U466" i="3"/>
  <c r="AE466" i="3" s="1"/>
  <c r="U467" i="3"/>
  <c r="AE467" i="3" s="1"/>
  <c r="T468" i="3"/>
  <c r="R469" i="3"/>
  <c r="P470" i="3"/>
  <c r="Z470" i="3"/>
  <c r="V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AE526" i="3" s="1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AE574" i="3" s="1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AE598" i="3" s="1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T275" i="3"/>
  <c r="Z277" i="3"/>
  <c r="S280" i="3"/>
  <c r="Y282" i="3"/>
  <c r="R285" i="3"/>
  <c r="X287" i="3"/>
  <c r="Q290" i="3"/>
  <c r="W292" i="3"/>
  <c r="P295" i="3"/>
  <c r="V297" i="3"/>
  <c r="AB299" i="3"/>
  <c r="U302" i="3"/>
  <c r="AE302" i="3" s="1"/>
  <c r="AA304" i="3"/>
  <c r="T307" i="3"/>
  <c r="Z309" i="3"/>
  <c r="S312" i="3"/>
  <c r="Y314" i="3"/>
  <c r="R317" i="3"/>
  <c r="X319" i="3"/>
  <c r="Q322" i="3"/>
  <c r="W324" i="3"/>
  <c r="P327" i="3"/>
  <c r="V329" i="3"/>
  <c r="AB331" i="3"/>
  <c r="U334" i="3"/>
  <c r="AE334" i="3" s="1"/>
  <c r="AA336" i="3"/>
  <c r="T339" i="3"/>
  <c r="Z341" i="3"/>
  <c r="S344" i="3"/>
  <c r="Y346" i="3"/>
  <c r="R349" i="3"/>
  <c r="X351" i="3"/>
  <c r="Q354" i="3"/>
  <c r="W356" i="3"/>
  <c r="P359" i="3"/>
  <c r="V361" i="3"/>
  <c r="AB363" i="3"/>
  <c r="U366" i="3"/>
  <c r="AE366" i="3" s="1"/>
  <c r="AA368" i="3"/>
  <c r="Q370" i="3"/>
  <c r="T371" i="3"/>
  <c r="W372" i="3"/>
  <c r="Z373" i="3"/>
  <c r="P375" i="3"/>
  <c r="S376" i="3"/>
  <c r="V377" i="3"/>
  <c r="Y378" i="3"/>
  <c r="AB379" i="3"/>
  <c r="R381" i="3"/>
  <c r="U382" i="3"/>
  <c r="AE382" i="3" s="1"/>
  <c r="X383" i="3"/>
  <c r="AA384" i="3"/>
  <c r="Q386" i="3"/>
  <c r="T387" i="3"/>
  <c r="W388" i="3"/>
  <c r="Z389" i="3"/>
  <c r="P391" i="3"/>
  <c r="S392" i="3"/>
  <c r="V393" i="3"/>
  <c r="Y394" i="3"/>
  <c r="AB395" i="3"/>
  <c r="R397" i="3"/>
  <c r="U398" i="3"/>
  <c r="AE398" i="3" s="1"/>
  <c r="X399" i="3"/>
  <c r="AA400" i="3"/>
  <c r="Q402" i="3"/>
  <c r="T403" i="3"/>
  <c r="W404" i="3"/>
  <c r="Z405" i="3"/>
  <c r="P407" i="3"/>
  <c r="S408" i="3"/>
  <c r="V409" i="3"/>
  <c r="Y410" i="3"/>
  <c r="AB411" i="3"/>
  <c r="R413" i="3"/>
  <c r="U414" i="3"/>
  <c r="AE414" i="3" s="1"/>
  <c r="X415" i="3"/>
  <c r="AA416" i="3"/>
  <c r="Q418" i="3"/>
  <c r="T419" i="3"/>
  <c r="W420" i="3"/>
  <c r="Z421" i="3"/>
  <c r="P423" i="3"/>
  <c r="S424" i="3"/>
  <c r="V425" i="3"/>
  <c r="Y426" i="3"/>
  <c r="AB427" i="3"/>
  <c r="R429" i="3"/>
  <c r="U430" i="3"/>
  <c r="AE430" i="3" s="1"/>
  <c r="X431" i="3"/>
  <c r="AA432" i="3"/>
  <c r="Q434" i="3"/>
  <c r="T435" i="3"/>
  <c r="W436" i="3"/>
  <c r="Z437" i="3"/>
  <c r="P439" i="3"/>
  <c r="S440" i="3"/>
  <c r="V441" i="3"/>
  <c r="Y442" i="3"/>
  <c r="AB443" i="3"/>
  <c r="R445" i="3"/>
  <c r="U446" i="3"/>
  <c r="AE446" i="3" s="1"/>
  <c r="X447" i="3"/>
  <c r="AA448" i="3"/>
  <c r="Q450" i="3"/>
  <c r="T451" i="3"/>
  <c r="W452" i="3"/>
  <c r="Z453" i="3"/>
  <c r="P455" i="3"/>
  <c r="S456" i="3"/>
  <c r="V457" i="3"/>
  <c r="Y458" i="3"/>
  <c r="X459" i="3"/>
  <c r="X460" i="3"/>
  <c r="W461" i="3"/>
  <c r="X462" i="3"/>
  <c r="X463" i="3"/>
  <c r="W464" i="3"/>
  <c r="W465" i="3"/>
  <c r="V466" i="3"/>
  <c r="W467" i="3"/>
  <c r="U468" i="3"/>
  <c r="AE468" i="3" s="1"/>
  <c r="S469" i="3"/>
  <c r="Q470" i="3"/>
  <c r="AA470" i="3"/>
  <c r="X471" i="3"/>
  <c r="T472" i="3"/>
  <c r="AB472" i="3"/>
  <c r="W473" i="3"/>
  <c r="R474" i="3"/>
  <c r="Z474" i="3"/>
  <c r="U475" i="3"/>
  <c r="AE475" i="3" s="1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R498" i="3"/>
  <c r="Z498" i="3"/>
  <c r="U275" i="3"/>
  <c r="AE275" i="3" s="1"/>
  <c r="AA277" i="3"/>
  <c r="T280" i="3"/>
  <c r="Z282" i="3"/>
  <c r="S285" i="3"/>
  <c r="Y287" i="3"/>
  <c r="R290" i="3"/>
  <c r="X292" i="3"/>
  <c r="Q295" i="3"/>
  <c r="W297" i="3"/>
  <c r="P300" i="3"/>
  <c r="V302" i="3"/>
  <c r="AB304" i="3"/>
  <c r="U307" i="3"/>
  <c r="AE307" i="3" s="1"/>
  <c r="AA309" i="3"/>
  <c r="T312" i="3"/>
  <c r="Z314" i="3"/>
  <c r="S317" i="3"/>
  <c r="Y319" i="3"/>
  <c r="R322" i="3"/>
  <c r="X324" i="3"/>
  <c r="Q327" i="3"/>
  <c r="W329" i="3"/>
  <c r="P332" i="3"/>
  <c r="V334" i="3"/>
  <c r="AB336" i="3"/>
  <c r="U339" i="3"/>
  <c r="AE339" i="3" s="1"/>
  <c r="AA341" i="3"/>
  <c r="T344" i="3"/>
  <c r="Z346" i="3"/>
  <c r="S349" i="3"/>
  <c r="Y351" i="3"/>
  <c r="R354" i="3"/>
  <c r="X356" i="3"/>
  <c r="Q359" i="3"/>
  <c r="W361" i="3"/>
  <c r="P364" i="3"/>
  <c r="V366" i="3"/>
  <c r="AB368" i="3"/>
  <c r="R370" i="3"/>
  <c r="U371" i="3"/>
  <c r="AE371" i="3" s="1"/>
  <c r="X372" i="3"/>
  <c r="AA373" i="3"/>
  <c r="Q375" i="3"/>
  <c r="T376" i="3"/>
  <c r="W377" i="3"/>
  <c r="Z378" i="3"/>
  <c r="P380" i="3"/>
  <c r="S381" i="3"/>
  <c r="V382" i="3"/>
  <c r="Y383" i="3"/>
  <c r="AB384" i="3"/>
  <c r="R386" i="3"/>
  <c r="U387" i="3"/>
  <c r="AE387" i="3" s="1"/>
  <c r="X388" i="3"/>
  <c r="AA389" i="3"/>
  <c r="Q391" i="3"/>
  <c r="T392" i="3"/>
  <c r="W393" i="3"/>
  <c r="Z394" i="3"/>
  <c r="P396" i="3"/>
  <c r="S397" i="3"/>
  <c r="V398" i="3"/>
  <c r="Y399" i="3"/>
  <c r="AB400" i="3"/>
  <c r="R402" i="3"/>
  <c r="U403" i="3"/>
  <c r="AE403" i="3" s="1"/>
  <c r="X404" i="3"/>
  <c r="AA405" i="3"/>
  <c r="Q407" i="3"/>
  <c r="T408" i="3"/>
  <c r="W409" i="3"/>
  <c r="Z410" i="3"/>
  <c r="P412" i="3"/>
  <c r="S413" i="3"/>
  <c r="V414" i="3"/>
  <c r="Y415" i="3"/>
  <c r="AB416" i="3"/>
  <c r="R418" i="3"/>
  <c r="U419" i="3"/>
  <c r="AE419" i="3" s="1"/>
  <c r="X420" i="3"/>
  <c r="AA421" i="3"/>
  <c r="Q423" i="3"/>
  <c r="T424" i="3"/>
  <c r="W425" i="3"/>
  <c r="Z426" i="3"/>
  <c r="P428" i="3"/>
  <c r="S429" i="3"/>
  <c r="V430" i="3"/>
  <c r="Y431" i="3"/>
  <c r="AB432" i="3"/>
  <c r="R434" i="3"/>
  <c r="U435" i="3"/>
  <c r="AE435" i="3" s="1"/>
  <c r="X436" i="3"/>
  <c r="AA437" i="3"/>
  <c r="Q439" i="3"/>
  <c r="T440" i="3"/>
  <c r="W441" i="3"/>
  <c r="Z442" i="3"/>
  <c r="P444" i="3"/>
  <c r="S445" i="3"/>
  <c r="V446" i="3"/>
  <c r="Y447" i="3"/>
  <c r="AB448" i="3"/>
  <c r="R450" i="3"/>
  <c r="U451" i="3"/>
  <c r="AE451" i="3" s="1"/>
  <c r="X452" i="3"/>
  <c r="AA453" i="3"/>
  <c r="Q455" i="3"/>
  <c r="T456" i="3"/>
  <c r="W457" i="3"/>
  <c r="Z458" i="3"/>
  <c r="Y459" i="3"/>
  <c r="Z460" i="3"/>
  <c r="Z461" i="3"/>
  <c r="Y462" i="3"/>
  <c r="Y463" i="3"/>
  <c r="X464" i="3"/>
  <c r="Y465" i="3"/>
  <c r="Y466" i="3"/>
  <c r="X467" i="3"/>
  <c r="W468" i="3"/>
  <c r="U469" i="3"/>
  <c r="AE469" i="3" s="1"/>
  <c r="R470" i="3"/>
  <c r="P471" i="3"/>
  <c r="Y471" i="3"/>
  <c r="U472" i="3"/>
  <c r="AE472" i="3" s="1"/>
  <c r="P473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AE480" i="3" s="1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AE488" i="3" s="1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AB275" i="3"/>
  <c r="U278" i="3"/>
  <c r="AE278" i="3" s="1"/>
  <c r="AA280" i="3"/>
  <c r="T283" i="3"/>
  <c r="Z285" i="3"/>
  <c r="S288" i="3"/>
  <c r="Y290" i="3"/>
  <c r="R293" i="3"/>
  <c r="X295" i="3"/>
  <c r="Q298" i="3"/>
  <c r="W300" i="3"/>
  <c r="P303" i="3"/>
  <c r="V305" i="3"/>
  <c r="AB307" i="3"/>
  <c r="U310" i="3"/>
  <c r="AE310" i="3" s="1"/>
  <c r="AA312" i="3"/>
  <c r="T315" i="3"/>
  <c r="Z317" i="3"/>
  <c r="S320" i="3"/>
  <c r="Y322" i="3"/>
  <c r="R325" i="3"/>
  <c r="X327" i="3"/>
  <c r="Q330" i="3"/>
  <c r="W332" i="3"/>
  <c r="P335" i="3"/>
  <c r="V337" i="3"/>
  <c r="AB339" i="3"/>
  <c r="U342" i="3"/>
  <c r="AE342" i="3" s="1"/>
  <c r="AA344" i="3"/>
  <c r="T347" i="3"/>
  <c r="Z349" i="3"/>
  <c r="S352" i="3"/>
  <c r="Y354" i="3"/>
  <c r="R357" i="3"/>
  <c r="X359" i="3"/>
  <c r="Q362" i="3"/>
  <c r="W364" i="3"/>
  <c r="P367" i="3"/>
  <c r="R369" i="3"/>
  <c r="U370" i="3"/>
  <c r="AE370" i="3" s="1"/>
  <c r="X371" i="3"/>
  <c r="AA372" i="3"/>
  <c r="Q374" i="3"/>
  <c r="T375" i="3"/>
  <c r="W376" i="3"/>
  <c r="Z377" i="3"/>
  <c r="P379" i="3"/>
  <c r="S380" i="3"/>
  <c r="V381" i="3"/>
  <c r="Y382" i="3"/>
  <c r="AB383" i="3"/>
  <c r="R385" i="3"/>
  <c r="U386" i="3"/>
  <c r="AE386" i="3" s="1"/>
  <c r="X387" i="3"/>
  <c r="AA388" i="3"/>
  <c r="Q390" i="3"/>
  <c r="T391" i="3"/>
  <c r="W392" i="3"/>
  <c r="Z393" i="3"/>
  <c r="P395" i="3"/>
  <c r="S396" i="3"/>
  <c r="V397" i="3"/>
  <c r="Y398" i="3"/>
  <c r="AB399" i="3"/>
  <c r="R401" i="3"/>
  <c r="U402" i="3"/>
  <c r="AE402" i="3" s="1"/>
  <c r="X403" i="3"/>
  <c r="AA404" i="3"/>
  <c r="Q406" i="3"/>
  <c r="T407" i="3"/>
  <c r="W408" i="3"/>
  <c r="Z409" i="3"/>
  <c r="P411" i="3"/>
  <c r="S412" i="3"/>
  <c r="V413" i="3"/>
  <c r="Y414" i="3"/>
  <c r="AB415" i="3"/>
  <c r="R417" i="3"/>
  <c r="U418" i="3"/>
  <c r="AE418" i="3" s="1"/>
  <c r="X419" i="3"/>
  <c r="AA420" i="3"/>
  <c r="Q422" i="3"/>
  <c r="T423" i="3"/>
  <c r="W424" i="3"/>
  <c r="Z425" i="3"/>
  <c r="P427" i="3"/>
  <c r="S428" i="3"/>
  <c r="V429" i="3"/>
  <c r="Y430" i="3"/>
  <c r="AB431" i="3"/>
  <c r="R433" i="3"/>
  <c r="U434" i="3"/>
  <c r="AE434" i="3" s="1"/>
  <c r="X435" i="3"/>
  <c r="AA436" i="3"/>
  <c r="Q438" i="3"/>
  <c r="T439" i="3"/>
  <c r="W440" i="3"/>
  <c r="Z441" i="3"/>
  <c r="P443" i="3"/>
  <c r="S444" i="3"/>
  <c r="V445" i="3"/>
  <c r="Y446" i="3"/>
  <c r="AB447" i="3"/>
  <c r="R449" i="3"/>
  <c r="U450" i="3"/>
  <c r="AE450" i="3" s="1"/>
  <c r="X451" i="3"/>
  <c r="AA452" i="3"/>
  <c r="Q454" i="3"/>
  <c r="T455" i="3"/>
  <c r="W456" i="3"/>
  <c r="Z457" i="3"/>
  <c r="AB458" i="3"/>
  <c r="AB459" i="3"/>
  <c r="AA460" i="3"/>
  <c r="AA461" i="3"/>
  <c r="Z462" i="3"/>
  <c r="AA463" i="3"/>
  <c r="AA464" i="3"/>
  <c r="Z465" i="3"/>
  <c r="Z466" i="3"/>
  <c r="Y467" i="3"/>
  <c r="X468" i="3"/>
  <c r="V469" i="3"/>
  <c r="S470" i="3"/>
  <c r="Q471" i="3"/>
  <c r="Z471" i="3"/>
  <c r="V472" i="3"/>
  <c r="Q473" i="3"/>
  <c r="Y473" i="3"/>
  <c r="T474" i="3"/>
  <c r="AB474" i="3"/>
  <c r="W475" i="3"/>
  <c r="R476" i="3"/>
  <c r="Z476" i="3"/>
  <c r="U477" i="3"/>
  <c r="AE477" i="3" s="1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AE493" i="3" s="1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AE509" i="3" s="1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AE557" i="3" s="1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AE565" i="3" s="1"/>
  <c r="P566" i="3"/>
  <c r="X566" i="3"/>
  <c r="S567" i="3"/>
  <c r="AA567" i="3"/>
  <c r="V568" i="3"/>
  <c r="Q569" i="3"/>
  <c r="Y569" i="3"/>
  <c r="T570" i="3"/>
  <c r="AB570" i="3"/>
  <c r="W571" i="3"/>
  <c r="R572" i="3"/>
  <c r="Z572" i="3"/>
  <c r="U573" i="3"/>
  <c r="AE573" i="3" s="1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AE581" i="3" s="1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AE613" i="3" s="1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P276" i="3"/>
  <c r="V278" i="3"/>
  <c r="AB280" i="3"/>
  <c r="U283" i="3"/>
  <c r="AE283" i="3" s="1"/>
  <c r="AA285" i="3"/>
  <c r="T288" i="3"/>
  <c r="Z290" i="3"/>
  <c r="S293" i="3"/>
  <c r="Y295" i="3"/>
  <c r="R298" i="3"/>
  <c r="X300" i="3"/>
  <c r="Q303" i="3"/>
  <c r="W305" i="3"/>
  <c r="P308" i="3"/>
  <c r="V310" i="3"/>
  <c r="AB312" i="3"/>
  <c r="U315" i="3"/>
  <c r="AE315" i="3" s="1"/>
  <c r="AA317" i="3"/>
  <c r="T320" i="3"/>
  <c r="Z322" i="3"/>
  <c r="S325" i="3"/>
  <c r="Y327" i="3"/>
  <c r="R330" i="3"/>
  <c r="X332" i="3"/>
  <c r="Q335" i="3"/>
  <c r="W337" i="3"/>
  <c r="P340" i="3"/>
  <c r="V342" i="3"/>
  <c r="AB344" i="3"/>
  <c r="U347" i="3"/>
  <c r="AE347" i="3" s="1"/>
  <c r="AA349" i="3"/>
  <c r="T352" i="3"/>
  <c r="Z354" i="3"/>
  <c r="S357" i="3"/>
  <c r="Y359" i="3"/>
  <c r="R362" i="3"/>
  <c r="X364" i="3"/>
  <c r="Q367" i="3"/>
  <c r="S369" i="3"/>
  <c r="V370" i="3"/>
  <c r="Y371" i="3"/>
  <c r="AB372" i="3"/>
  <c r="R374" i="3"/>
  <c r="U375" i="3"/>
  <c r="AE375" i="3" s="1"/>
  <c r="X376" i="3"/>
  <c r="AA377" i="3"/>
  <c r="Q379" i="3"/>
  <c r="T380" i="3"/>
  <c r="W381" i="3"/>
  <c r="Z382" i="3"/>
  <c r="P384" i="3"/>
  <c r="S385" i="3"/>
  <c r="V386" i="3"/>
  <c r="Y387" i="3"/>
  <c r="AB388" i="3"/>
  <c r="R390" i="3"/>
  <c r="U391" i="3"/>
  <c r="AE391" i="3" s="1"/>
  <c r="X392" i="3"/>
  <c r="AA393" i="3"/>
  <c r="Q395" i="3"/>
  <c r="T396" i="3"/>
  <c r="W397" i="3"/>
  <c r="Z398" i="3"/>
  <c r="P400" i="3"/>
  <c r="S401" i="3"/>
  <c r="V402" i="3"/>
  <c r="Y403" i="3"/>
  <c r="AB404" i="3"/>
  <c r="R406" i="3"/>
  <c r="U407" i="3"/>
  <c r="AE407" i="3" s="1"/>
  <c r="X408" i="3"/>
  <c r="AA409" i="3"/>
  <c r="Q411" i="3"/>
  <c r="T412" i="3"/>
  <c r="W413" i="3"/>
  <c r="Z414" i="3"/>
  <c r="P416" i="3"/>
  <c r="S417" i="3"/>
  <c r="V418" i="3"/>
  <c r="Y419" i="3"/>
  <c r="AB420" i="3"/>
  <c r="R422" i="3"/>
  <c r="U423" i="3"/>
  <c r="AE423" i="3" s="1"/>
  <c r="X424" i="3"/>
  <c r="AA425" i="3"/>
  <c r="Q427" i="3"/>
  <c r="T428" i="3"/>
  <c r="W429" i="3"/>
  <c r="Z430" i="3"/>
  <c r="P432" i="3"/>
  <c r="S433" i="3"/>
  <c r="V434" i="3"/>
  <c r="Y435" i="3"/>
  <c r="AB436" i="3"/>
  <c r="R438" i="3"/>
  <c r="U439" i="3"/>
  <c r="AE439" i="3" s="1"/>
  <c r="X440" i="3"/>
  <c r="AA441" i="3"/>
  <c r="Q443" i="3"/>
  <c r="T444" i="3"/>
  <c r="W445" i="3"/>
  <c r="Z446" i="3"/>
  <c r="P448" i="3"/>
  <c r="S449" i="3"/>
  <c r="V450" i="3"/>
  <c r="Y451" i="3"/>
  <c r="AB452" i="3"/>
  <c r="R454" i="3"/>
  <c r="U455" i="3"/>
  <c r="AE455" i="3" s="1"/>
  <c r="X456" i="3"/>
  <c r="AA457" i="3"/>
  <c r="P459" i="3"/>
  <c r="P460" i="3"/>
  <c r="AB460" i="3"/>
  <c r="P462" i="3"/>
  <c r="P463" i="3"/>
  <c r="AB463" i="3"/>
  <c r="AB464" i="3"/>
  <c r="AA465" i="3"/>
  <c r="AB466" i="3"/>
  <c r="AB467" i="3"/>
  <c r="Z468" i="3"/>
  <c r="W469" i="3"/>
  <c r="U470" i="3"/>
  <c r="AE470" i="3" s="1"/>
  <c r="R471" i="3"/>
  <c r="AA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AE522" i="3" s="1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AE538" i="3" s="1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AE562" i="3" s="1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AE578" i="3" s="1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Z494" i="3"/>
  <c r="S498" i="3"/>
  <c r="Z499" i="3"/>
  <c r="P501" i="3"/>
  <c r="S502" i="3"/>
  <c r="V503" i="3"/>
  <c r="Y504" i="3"/>
  <c r="AB505" i="3"/>
  <c r="R507" i="3"/>
  <c r="U508" i="3"/>
  <c r="AE508" i="3" s="1"/>
  <c r="X509" i="3"/>
  <c r="AA510" i="3"/>
  <c r="Q512" i="3"/>
  <c r="T513" i="3"/>
  <c r="W514" i="3"/>
  <c r="Z515" i="3"/>
  <c r="P517" i="3"/>
  <c r="S518" i="3"/>
  <c r="V519" i="3"/>
  <c r="Y520" i="3"/>
  <c r="AB521" i="3"/>
  <c r="R523" i="3"/>
  <c r="U524" i="3"/>
  <c r="AE524" i="3" s="1"/>
  <c r="X525" i="3"/>
  <c r="AA526" i="3"/>
  <c r="Q528" i="3"/>
  <c r="T529" i="3"/>
  <c r="W530" i="3"/>
  <c r="Z531" i="3"/>
  <c r="P533" i="3"/>
  <c r="S534" i="3"/>
  <c r="V535" i="3"/>
  <c r="Y536" i="3"/>
  <c r="AB537" i="3"/>
  <c r="R539" i="3"/>
  <c r="U540" i="3"/>
  <c r="AE540" i="3" s="1"/>
  <c r="X541" i="3"/>
  <c r="AA542" i="3"/>
  <c r="Q544" i="3"/>
  <c r="T545" i="3"/>
  <c r="W546" i="3"/>
  <c r="Z547" i="3"/>
  <c r="P549" i="3"/>
  <c r="S550" i="3"/>
  <c r="V551" i="3"/>
  <c r="Y552" i="3"/>
  <c r="AB553" i="3"/>
  <c r="R555" i="3"/>
  <c r="U556" i="3"/>
  <c r="AE556" i="3" s="1"/>
  <c r="X557" i="3"/>
  <c r="AA558" i="3"/>
  <c r="Q560" i="3"/>
  <c r="T561" i="3"/>
  <c r="W562" i="3"/>
  <c r="Z563" i="3"/>
  <c r="P565" i="3"/>
  <c r="S566" i="3"/>
  <c r="V567" i="3"/>
  <c r="Y568" i="3"/>
  <c r="AB569" i="3"/>
  <c r="R571" i="3"/>
  <c r="U572" i="3"/>
  <c r="AE572" i="3" s="1"/>
  <c r="X573" i="3"/>
  <c r="AA574" i="3"/>
  <c r="Q576" i="3"/>
  <c r="T577" i="3"/>
  <c r="W578" i="3"/>
  <c r="Z579" i="3"/>
  <c r="P581" i="3"/>
  <c r="S582" i="3"/>
  <c r="V583" i="3"/>
  <c r="Y584" i="3"/>
  <c r="AB585" i="3"/>
  <c r="R587" i="3"/>
  <c r="U588" i="3"/>
  <c r="AE588" i="3" s="1"/>
  <c r="X589" i="3"/>
  <c r="AA590" i="3"/>
  <c r="Q592" i="3"/>
  <c r="T593" i="3"/>
  <c r="W594" i="3"/>
  <c r="Z595" i="3"/>
  <c r="P597" i="3"/>
  <c r="S598" i="3"/>
  <c r="V599" i="3"/>
  <c r="Y600" i="3"/>
  <c r="AB601" i="3"/>
  <c r="R603" i="3"/>
  <c r="U604" i="3"/>
  <c r="AE604" i="3" s="1"/>
  <c r="X605" i="3"/>
  <c r="AA606" i="3"/>
  <c r="Q608" i="3"/>
  <c r="T609" i="3"/>
  <c r="W610" i="3"/>
  <c r="Z611" i="3"/>
  <c r="P613" i="3"/>
  <c r="S614" i="3"/>
  <c r="V615" i="3"/>
  <c r="Y616" i="3"/>
  <c r="AB617" i="3"/>
  <c r="R619" i="3"/>
  <c r="U620" i="3"/>
  <c r="AE620" i="3" s="1"/>
  <c r="X621" i="3"/>
  <c r="AA622" i="3"/>
  <c r="Q624" i="3"/>
  <c r="T625" i="3"/>
  <c r="W626" i="3"/>
  <c r="Z627" i="3"/>
  <c r="P629" i="3"/>
  <c r="S630" i="3"/>
  <c r="V631" i="3"/>
  <c r="Y632" i="3"/>
  <c r="AB633" i="3"/>
  <c r="R635" i="3"/>
  <c r="U636" i="3"/>
  <c r="AE636" i="3" s="1"/>
  <c r="X637" i="3"/>
  <c r="AA638" i="3"/>
  <c r="Q640" i="3"/>
  <c r="T641" i="3"/>
  <c r="W642" i="3"/>
  <c r="Z643" i="3"/>
  <c r="P645" i="3"/>
  <c r="S646" i="3"/>
  <c r="V647" i="3"/>
  <c r="Y648" i="3"/>
  <c r="AB649" i="3"/>
  <c r="R651" i="3"/>
  <c r="U652" i="3"/>
  <c r="AE652" i="3" s="1"/>
  <c r="X653" i="3"/>
  <c r="AA654" i="3"/>
  <c r="Q656" i="3"/>
  <c r="T657" i="3"/>
  <c r="W658" i="3"/>
  <c r="Z659" i="3"/>
  <c r="P661" i="3"/>
  <c r="S662" i="3"/>
  <c r="V663" i="3"/>
  <c r="X664" i="3"/>
  <c r="W665" i="3"/>
  <c r="T666" i="3"/>
  <c r="R667" i="3"/>
  <c r="AB667" i="3"/>
  <c r="X668" i="3"/>
  <c r="T669" i="3"/>
  <c r="P670" i="3"/>
  <c r="Z670" i="3"/>
  <c r="V671" i="3"/>
  <c r="R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U495" i="3"/>
  <c r="AE495" i="3" s="1"/>
  <c r="V498" i="3"/>
  <c r="P500" i="3"/>
  <c r="S501" i="3"/>
  <c r="V502" i="3"/>
  <c r="Y503" i="3"/>
  <c r="AB504" i="3"/>
  <c r="R506" i="3"/>
  <c r="U507" i="3"/>
  <c r="AE507" i="3" s="1"/>
  <c r="X508" i="3"/>
  <c r="AA509" i="3"/>
  <c r="Q511" i="3"/>
  <c r="T512" i="3"/>
  <c r="W513" i="3"/>
  <c r="Z514" i="3"/>
  <c r="P516" i="3"/>
  <c r="S517" i="3"/>
  <c r="V518" i="3"/>
  <c r="Y519" i="3"/>
  <c r="AB520" i="3"/>
  <c r="R522" i="3"/>
  <c r="U523" i="3"/>
  <c r="AE523" i="3" s="1"/>
  <c r="X524" i="3"/>
  <c r="AA525" i="3"/>
  <c r="Q527" i="3"/>
  <c r="T528" i="3"/>
  <c r="W529" i="3"/>
  <c r="Z530" i="3"/>
  <c r="P532" i="3"/>
  <c r="S533" i="3"/>
  <c r="V534" i="3"/>
  <c r="Y535" i="3"/>
  <c r="AB536" i="3"/>
  <c r="R538" i="3"/>
  <c r="U539" i="3"/>
  <c r="AE539" i="3" s="1"/>
  <c r="X540" i="3"/>
  <c r="AA541" i="3"/>
  <c r="Q543" i="3"/>
  <c r="T544" i="3"/>
  <c r="W545" i="3"/>
  <c r="Z546" i="3"/>
  <c r="P548" i="3"/>
  <c r="S549" i="3"/>
  <c r="V550" i="3"/>
  <c r="Y551" i="3"/>
  <c r="AB552" i="3"/>
  <c r="R554" i="3"/>
  <c r="U555" i="3"/>
  <c r="AE555" i="3" s="1"/>
  <c r="X556" i="3"/>
  <c r="AA557" i="3"/>
  <c r="Q559" i="3"/>
  <c r="T560" i="3"/>
  <c r="W561" i="3"/>
  <c r="Z562" i="3"/>
  <c r="P564" i="3"/>
  <c r="S565" i="3"/>
  <c r="V566" i="3"/>
  <c r="Y567" i="3"/>
  <c r="AB568" i="3"/>
  <c r="R570" i="3"/>
  <c r="U571" i="3"/>
  <c r="AE571" i="3" s="1"/>
  <c r="X572" i="3"/>
  <c r="AA573" i="3"/>
  <c r="Q575" i="3"/>
  <c r="T576" i="3"/>
  <c r="W577" i="3"/>
  <c r="Z578" i="3"/>
  <c r="P496" i="3"/>
  <c r="AA498" i="3"/>
  <c r="Q500" i="3"/>
  <c r="T501" i="3"/>
  <c r="W502" i="3"/>
  <c r="Z503" i="3"/>
  <c r="P505" i="3"/>
  <c r="S506" i="3"/>
  <c r="V507" i="3"/>
  <c r="Y508" i="3"/>
  <c r="AB509" i="3"/>
  <c r="R511" i="3"/>
  <c r="U512" i="3"/>
  <c r="AE512" i="3" s="1"/>
  <c r="X513" i="3"/>
  <c r="AA514" i="3"/>
  <c r="Q516" i="3"/>
  <c r="T517" i="3"/>
  <c r="W518" i="3"/>
  <c r="Z519" i="3"/>
  <c r="P521" i="3"/>
  <c r="S522" i="3"/>
  <c r="V523" i="3"/>
  <c r="Y524" i="3"/>
  <c r="AB525" i="3"/>
  <c r="R527" i="3"/>
  <c r="U528" i="3"/>
  <c r="AE528" i="3" s="1"/>
  <c r="X529" i="3"/>
  <c r="AA530" i="3"/>
  <c r="Q532" i="3"/>
  <c r="T533" i="3"/>
  <c r="W534" i="3"/>
  <c r="Z535" i="3"/>
  <c r="P537" i="3"/>
  <c r="S538" i="3"/>
  <c r="V539" i="3"/>
  <c r="Y540" i="3"/>
  <c r="AB541" i="3"/>
  <c r="R543" i="3"/>
  <c r="U544" i="3"/>
  <c r="AE544" i="3" s="1"/>
  <c r="X545" i="3"/>
  <c r="AA546" i="3"/>
  <c r="Q548" i="3"/>
  <c r="T549" i="3"/>
  <c r="W550" i="3"/>
  <c r="Z551" i="3"/>
  <c r="P553" i="3"/>
  <c r="S554" i="3"/>
  <c r="V555" i="3"/>
  <c r="Y556" i="3"/>
  <c r="AB557" i="3"/>
  <c r="R559" i="3"/>
  <c r="U560" i="3"/>
  <c r="AE560" i="3" s="1"/>
  <c r="X561" i="3"/>
  <c r="AA562" i="3"/>
  <c r="Q564" i="3"/>
  <c r="T565" i="3"/>
  <c r="W566" i="3"/>
  <c r="Z567" i="3"/>
  <c r="P569" i="3"/>
  <c r="S570" i="3"/>
  <c r="V571" i="3"/>
  <c r="Y572" i="3"/>
  <c r="AB573" i="3"/>
  <c r="R575" i="3"/>
  <c r="U576" i="3"/>
  <c r="AE576" i="3" s="1"/>
  <c r="X577" i="3"/>
  <c r="AA578" i="3"/>
  <c r="Q580" i="3"/>
  <c r="T581" i="3"/>
  <c r="W582" i="3"/>
  <c r="Z583" i="3"/>
  <c r="P585" i="3"/>
  <c r="S586" i="3"/>
  <c r="V587" i="3"/>
  <c r="Y588" i="3"/>
  <c r="AB589" i="3"/>
  <c r="R591" i="3"/>
  <c r="U592" i="3"/>
  <c r="AE592" i="3" s="1"/>
  <c r="X593" i="3"/>
  <c r="AA594" i="3"/>
  <c r="Q596" i="3"/>
  <c r="T597" i="3"/>
  <c r="W598" i="3"/>
  <c r="Z599" i="3"/>
  <c r="P601" i="3"/>
  <c r="S602" i="3"/>
  <c r="V603" i="3"/>
  <c r="Y604" i="3"/>
  <c r="AB605" i="3"/>
  <c r="R607" i="3"/>
  <c r="U608" i="3"/>
  <c r="AE608" i="3" s="1"/>
  <c r="X609" i="3"/>
  <c r="AA610" i="3"/>
  <c r="Q612" i="3"/>
  <c r="T613" i="3"/>
  <c r="W614" i="3"/>
  <c r="Z615" i="3"/>
  <c r="P617" i="3"/>
  <c r="S618" i="3"/>
  <c r="V619" i="3"/>
  <c r="Y620" i="3"/>
  <c r="AB621" i="3"/>
  <c r="R623" i="3"/>
  <c r="U624" i="3"/>
  <c r="AE624" i="3" s="1"/>
  <c r="X625" i="3"/>
  <c r="AA626" i="3"/>
  <c r="Q628" i="3"/>
  <c r="T629" i="3"/>
  <c r="W630" i="3"/>
  <c r="Z631" i="3"/>
  <c r="P633" i="3"/>
  <c r="S634" i="3"/>
  <c r="V635" i="3"/>
  <c r="Y636" i="3"/>
  <c r="AB637" i="3"/>
  <c r="R639" i="3"/>
  <c r="U640" i="3"/>
  <c r="AE640" i="3" s="1"/>
  <c r="X641" i="3"/>
  <c r="AA642" i="3"/>
  <c r="Q644" i="3"/>
  <c r="T645" i="3"/>
  <c r="W646" i="3"/>
  <c r="Z647" i="3"/>
  <c r="P649" i="3"/>
  <c r="S650" i="3"/>
  <c r="V651" i="3"/>
  <c r="Y652" i="3"/>
  <c r="AB653" i="3"/>
  <c r="R655" i="3"/>
  <c r="U656" i="3"/>
  <c r="AE656" i="3" s="1"/>
  <c r="X657" i="3"/>
  <c r="AA658" i="3"/>
  <c r="Q660" i="3"/>
  <c r="T661" i="3"/>
  <c r="W662" i="3"/>
  <c r="Z663" i="3"/>
  <c r="Z664" i="3"/>
  <c r="Y665" i="3"/>
  <c r="W666" i="3"/>
  <c r="U667" i="3"/>
  <c r="AE667" i="3" s="1"/>
  <c r="Q668" i="3"/>
  <c r="Z668" i="3"/>
  <c r="W669" i="3"/>
  <c r="S670" i="3"/>
  <c r="AB670" i="3"/>
  <c r="X671" i="3"/>
  <c r="T672" i="3"/>
  <c r="P673" i="3"/>
  <c r="X673" i="3"/>
  <c r="S674" i="3"/>
  <c r="AA674" i="3"/>
  <c r="V675" i="3"/>
  <c r="Q676" i="3"/>
  <c r="Y676" i="3"/>
  <c r="T677" i="3"/>
  <c r="AB677" i="3"/>
  <c r="W678" i="3"/>
  <c r="R679" i="3"/>
  <c r="Z679" i="3"/>
  <c r="U680" i="3"/>
  <c r="AE680" i="3" s="1"/>
  <c r="P681" i="3"/>
  <c r="X681" i="3"/>
  <c r="S682" i="3"/>
  <c r="AA682" i="3"/>
  <c r="V683" i="3"/>
  <c r="Q684" i="3"/>
  <c r="Y684" i="3"/>
  <c r="T685" i="3"/>
  <c r="AB685" i="3"/>
  <c r="W686" i="3"/>
  <c r="R687" i="3"/>
  <c r="Z687" i="3"/>
  <c r="U688" i="3"/>
  <c r="AE688" i="3" s="1"/>
  <c r="P689" i="3"/>
  <c r="X689" i="3"/>
  <c r="S690" i="3"/>
  <c r="AA690" i="3"/>
  <c r="V691" i="3"/>
  <c r="Q692" i="3"/>
  <c r="Y692" i="3"/>
  <c r="T693" i="3"/>
  <c r="AB693" i="3"/>
  <c r="W694" i="3"/>
  <c r="R695" i="3"/>
  <c r="Z695" i="3"/>
  <c r="U696" i="3"/>
  <c r="AE696" i="3" s="1"/>
  <c r="P697" i="3"/>
  <c r="X697" i="3"/>
  <c r="S698" i="3"/>
  <c r="AA698" i="3"/>
  <c r="V699" i="3"/>
  <c r="Q700" i="3"/>
  <c r="Y700" i="3"/>
  <c r="T701" i="3"/>
  <c r="AB701" i="3"/>
  <c r="W702" i="3"/>
  <c r="R703" i="3"/>
  <c r="Z703" i="3"/>
  <c r="U704" i="3"/>
  <c r="AE704" i="3" s="1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AE712" i="3" s="1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AE728" i="3" s="1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AE736" i="3" s="1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AE760" i="3" s="1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AE768" i="3" s="1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AE784" i="3" s="1"/>
  <c r="P785" i="3"/>
  <c r="X785" i="3"/>
  <c r="S786" i="3"/>
  <c r="AA786" i="3"/>
  <c r="V787" i="3"/>
  <c r="Q788" i="3"/>
  <c r="Y788" i="3"/>
  <c r="T789" i="3"/>
  <c r="AB789" i="3"/>
  <c r="W790" i="3"/>
  <c r="R791" i="3"/>
  <c r="Z791" i="3"/>
  <c r="U792" i="3"/>
  <c r="AE792" i="3" s="1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AE800" i="3" s="1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AE808" i="3" s="1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AE816" i="3" s="1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AE824" i="3" s="1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AE832" i="3" s="1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X496" i="3"/>
  <c r="Q499" i="3"/>
  <c r="T500" i="3"/>
  <c r="W501" i="3"/>
  <c r="Z502" i="3"/>
  <c r="P504" i="3"/>
  <c r="S505" i="3"/>
  <c r="V506" i="3"/>
  <c r="Y507" i="3"/>
  <c r="AB508" i="3"/>
  <c r="R510" i="3"/>
  <c r="U511" i="3"/>
  <c r="AE511" i="3" s="1"/>
  <c r="X512" i="3"/>
  <c r="AA513" i="3"/>
  <c r="Q515" i="3"/>
  <c r="T516" i="3"/>
  <c r="W517" i="3"/>
  <c r="Z518" i="3"/>
  <c r="P520" i="3"/>
  <c r="S521" i="3"/>
  <c r="V522" i="3"/>
  <c r="Y523" i="3"/>
  <c r="AB524" i="3"/>
  <c r="R526" i="3"/>
  <c r="U527" i="3"/>
  <c r="AE527" i="3" s="1"/>
  <c r="X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AE543" i="3" s="1"/>
  <c r="X544" i="3"/>
  <c r="AA545" i="3"/>
  <c r="Q547" i="3"/>
  <c r="T548" i="3"/>
  <c r="W549" i="3"/>
  <c r="Z550" i="3"/>
  <c r="P552" i="3"/>
  <c r="S553" i="3"/>
  <c r="V554" i="3"/>
  <c r="Y555" i="3"/>
  <c r="AB556" i="3"/>
  <c r="R558" i="3"/>
  <c r="U559" i="3"/>
  <c r="AE559" i="3" s="1"/>
  <c r="X560" i="3"/>
  <c r="AA561" i="3"/>
  <c r="Q563" i="3"/>
  <c r="T564" i="3"/>
  <c r="W565" i="3"/>
  <c r="Z566" i="3"/>
  <c r="P568" i="3"/>
  <c r="S569" i="3"/>
  <c r="V570" i="3"/>
  <c r="Y571" i="3"/>
  <c r="AB572" i="3"/>
  <c r="R574" i="3"/>
  <c r="U575" i="3"/>
  <c r="AE575" i="3" s="1"/>
  <c r="X576" i="3"/>
  <c r="AA577" i="3"/>
  <c r="Q579" i="3"/>
  <c r="T580" i="3"/>
  <c r="W581" i="3"/>
  <c r="Z582" i="3"/>
  <c r="P584" i="3"/>
  <c r="S585" i="3"/>
  <c r="V586" i="3"/>
  <c r="Y587" i="3"/>
  <c r="AB588" i="3"/>
  <c r="R590" i="3"/>
  <c r="U591" i="3"/>
  <c r="AE591" i="3" s="1"/>
  <c r="X592" i="3"/>
  <c r="AA593" i="3"/>
  <c r="Q595" i="3"/>
  <c r="T596" i="3"/>
  <c r="W597" i="3"/>
  <c r="Z598" i="3"/>
  <c r="P600" i="3"/>
  <c r="S601" i="3"/>
  <c r="V602" i="3"/>
  <c r="Y603" i="3"/>
  <c r="AB604" i="3"/>
  <c r="R606" i="3"/>
  <c r="U607" i="3"/>
  <c r="AE607" i="3" s="1"/>
  <c r="X608" i="3"/>
  <c r="AA609" i="3"/>
  <c r="Q611" i="3"/>
  <c r="T612" i="3"/>
  <c r="W613" i="3"/>
  <c r="Z614" i="3"/>
  <c r="P616" i="3"/>
  <c r="S617" i="3"/>
  <c r="V618" i="3"/>
  <c r="Y619" i="3"/>
  <c r="AB620" i="3"/>
  <c r="R622" i="3"/>
  <c r="U623" i="3"/>
  <c r="AE623" i="3" s="1"/>
  <c r="X624" i="3"/>
  <c r="AA625" i="3"/>
  <c r="Q627" i="3"/>
  <c r="T628" i="3"/>
  <c r="W629" i="3"/>
  <c r="Z630" i="3"/>
  <c r="P632" i="3"/>
  <c r="S633" i="3"/>
  <c r="V634" i="3"/>
  <c r="Y635" i="3"/>
  <c r="AB636" i="3"/>
  <c r="R638" i="3"/>
  <c r="U639" i="3"/>
  <c r="AE639" i="3" s="1"/>
  <c r="X640" i="3"/>
  <c r="AA641" i="3"/>
  <c r="Q643" i="3"/>
  <c r="T644" i="3"/>
  <c r="W645" i="3"/>
  <c r="Z646" i="3"/>
  <c r="P648" i="3"/>
  <c r="S649" i="3"/>
  <c r="V650" i="3"/>
  <c r="Y651" i="3"/>
  <c r="AB652" i="3"/>
  <c r="R654" i="3"/>
  <c r="U655" i="3"/>
  <c r="AE655" i="3" s="1"/>
  <c r="X656" i="3"/>
  <c r="AA657" i="3"/>
  <c r="Q659" i="3"/>
  <c r="T660" i="3"/>
  <c r="W661" i="3"/>
  <c r="Z662" i="3"/>
  <c r="P664" i="3"/>
  <c r="AB664" i="3"/>
  <c r="AA665" i="3"/>
  <c r="X666" i="3"/>
  <c r="V667" i="3"/>
  <c r="R668" i="3"/>
  <c r="AB668" i="3"/>
  <c r="X669" i="3"/>
  <c r="T670" i="3"/>
  <c r="P671" i="3"/>
  <c r="Y671" i="3"/>
  <c r="U672" i="3"/>
  <c r="AE672" i="3" s="1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AE765" i="3" s="1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AE781" i="3" s="1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AE789" i="3" s="1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AE797" i="3" s="1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AE821" i="3" s="1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P497" i="3"/>
  <c r="R499" i="3"/>
  <c r="U500" i="3"/>
  <c r="AE500" i="3" s="1"/>
  <c r="X501" i="3"/>
  <c r="AA502" i="3"/>
  <c r="Q504" i="3"/>
  <c r="T505" i="3"/>
  <c r="W506" i="3"/>
  <c r="Z507" i="3"/>
  <c r="P509" i="3"/>
  <c r="S510" i="3"/>
  <c r="V511" i="3"/>
  <c r="Y512" i="3"/>
  <c r="AB513" i="3"/>
  <c r="R515" i="3"/>
  <c r="U516" i="3"/>
  <c r="AE516" i="3" s="1"/>
  <c r="X517" i="3"/>
  <c r="AA518" i="3"/>
  <c r="Q520" i="3"/>
  <c r="T521" i="3"/>
  <c r="W522" i="3"/>
  <c r="Z523" i="3"/>
  <c r="P525" i="3"/>
  <c r="S526" i="3"/>
  <c r="V527" i="3"/>
  <c r="Y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B545" i="3"/>
  <c r="R547" i="3"/>
  <c r="U548" i="3"/>
  <c r="AE548" i="3" s="1"/>
  <c r="X549" i="3"/>
  <c r="AA550" i="3"/>
  <c r="Q552" i="3"/>
  <c r="T553" i="3"/>
  <c r="W554" i="3"/>
  <c r="Z555" i="3"/>
  <c r="P557" i="3"/>
  <c r="S558" i="3"/>
  <c r="V559" i="3"/>
  <c r="Y560" i="3"/>
  <c r="AB561" i="3"/>
  <c r="R563" i="3"/>
  <c r="U564" i="3"/>
  <c r="AE564" i="3" s="1"/>
  <c r="X565" i="3"/>
  <c r="AA566" i="3"/>
  <c r="Q568" i="3"/>
  <c r="T569" i="3"/>
  <c r="W570" i="3"/>
  <c r="Z571" i="3"/>
  <c r="P573" i="3"/>
  <c r="S574" i="3"/>
  <c r="V575" i="3"/>
  <c r="Y576" i="3"/>
  <c r="AB577" i="3"/>
  <c r="R579" i="3"/>
  <c r="U580" i="3"/>
  <c r="AE580" i="3" s="1"/>
  <c r="X581" i="3"/>
  <c r="AA582" i="3"/>
  <c r="Q584" i="3"/>
  <c r="T585" i="3"/>
  <c r="W586" i="3"/>
  <c r="Z587" i="3"/>
  <c r="P589" i="3"/>
  <c r="S590" i="3"/>
  <c r="V591" i="3"/>
  <c r="Y592" i="3"/>
  <c r="AB593" i="3"/>
  <c r="R595" i="3"/>
  <c r="U596" i="3"/>
  <c r="AE596" i="3" s="1"/>
  <c r="X597" i="3"/>
  <c r="AA598" i="3"/>
  <c r="Q600" i="3"/>
  <c r="T601" i="3"/>
  <c r="W602" i="3"/>
  <c r="Z603" i="3"/>
  <c r="P605" i="3"/>
  <c r="S606" i="3"/>
  <c r="V607" i="3"/>
  <c r="Y608" i="3"/>
  <c r="AB609" i="3"/>
  <c r="R611" i="3"/>
  <c r="U612" i="3"/>
  <c r="AE612" i="3" s="1"/>
  <c r="X613" i="3"/>
  <c r="AA614" i="3"/>
  <c r="Q616" i="3"/>
  <c r="T617" i="3"/>
  <c r="W618" i="3"/>
  <c r="Z619" i="3"/>
  <c r="P621" i="3"/>
  <c r="S622" i="3"/>
  <c r="V623" i="3"/>
  <c r="Y624" i="3"/>
  <c r="AB625" i="3"/>
  <c r="R627" i="3"/>
  <c r="U628" i="3"/>
  <c r="AE628" i="3" s="1"/>
  <c r="X629" i="3"/>
  <c r="AA630" i="3"/>
  <c r="Q632" i="3"/>
  <c r="T633" i="3"/>
  <c r="W634" i="3"/>
  <c r="Z635" i="3"/>
  <c r="P637" i="3"/>
  <c r="S638" i="3"/>
  <c r="V639" i="3"/>
  <c r="Y640" i="3"/>
  <c r="AB641" i="3"/>
  <c r="R643" i="3"/>
  <c r="U644" i="3"/>
  <c r="AE644" i="3" s="1"/>
  <c r="X645" i="3"/>
  <c r="AA646" i="3"/>
  <c r="Q648" i="3"/>
  <c r="T649" i="3"/>
  <c r="W650" i="3"/>
  <c r="Z651" i="3"/>
  <c r="P653" i="3"/>
  <c r="S654" i="3"/>
  <c r="V655" i="3"/>
  <c r="Y656" i="3"/>
  <c r="AB657" i="3"/>
  <c r="R659" i="3"/>
  <c r="U660" i="3"/>
  <c r="AE660" i="3" s="1"/>
  <c r="X661" i="3"/>
  <c r="AA662" i="3"/>
  <c r="Q664" i="3"/>
  <c r="P665" i="3"/>
  <c r="AB665" i="3"/>
  <c r="Z666" i="3"/>
  <c r="W667" i="3"/>
  <c r="T668" i="3"/>
  <c r="P669" i="3"/>
  <c r="Y669" i="3"/>
  <c r="U670" i="3"/>
  <c r="AE670" i="3" s="1"/>
  <c r="Q671" i="3"/>
  <c r="Z671" i="3"/>
  <c r="V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S497" i="3"/>
  <c r="U499" i="3"/>
  <c r="AE499" i="3" s="1"/>
  <c r="X500" i="3"/>
  <c r="AA501" i="3"/>
  <c r="Q503" i="3"/>
  <c r="T504" i="3"/>
  <c r="W505" i="3"/>
  <c r="Z506" i="3"/>
  <c r="P508" i="3"/>
  <c r="S509" i="3"/>
  <c r="V510" i="3"/>
  <c r="Y511" i="3"/>
  <c r="AB512" i="3"/>
  <c r="R514" i="3"/>
  <c r="U515" i="3"/>
  <c r="AE515" i="3" s="1"/>
  <c r="X516" i="3"/>
  <c r="AA517" i="3"/>
  <c r="Q519" i="3"/>
  <c r="T520" i="3"/>
  <c r="W521" i="3"/>
  <c r="Z522" i="3"/>
  <c r="P524" i="3"/>
  <c r="S525" i="3"/>
  <c r="V526" i="3"/>
  <c r="Y527" i="3"/>
  <c r="AB528" i="3"/>
  <c r="R530" i="3"/>
  <c r="U531" i="3"/>
  <c r="AE531" i="3" s="1"/>
  <c r="X532" i="3"/>
  <c r="AA533" i="3"/>
  <c r="Q535" i="3"/>
  <c r="T536" i="3"/>
  <c r="W537" i="3"/>
  <c r="Z538" i="3"/>
  <c r="P540" i="3"/>
  <c r="S541" i="3"/>
  <c r="V542" i="3"/>
  <c r="Y543" i="3"/>
  <c r="AB544" i="3"/>
  <c r="R546" i="3"/>
  <c r="U547" i="3"/>
  <c r="AE547" i="3" s="1"/>
  <c r="X548" i="3"/>
  <c r="AA549" i="3"/>
  <c r="Q551" i="3"/>
  <c r="T552" i="3"/>
  <c r="W553" i="3"/>
  <c r="Z554" i="3"/>
  <c r="P556" i="3"/>
  <c r="S557" i="3"/>
  <c r="V558" i="3"/>
  <c r="Y559" i="3"/>
  <c r="AB560" i="3"/>
  <c r="R562" i="3"/>
  <c r="U563" i="3"/>
  <c r="AE563" i="3" s="1"/>
  <c r="X564" i="3"/>
  <c r="AA565" i="3"/>
  <c r="Q567" i="3"/>
  <c r="T568" i="3"/>
  <c r="W569" i="3"/>
  <c r="Z570" i="3"/>
  <c r="P572" i="3"/>
  <c r="S573" i="3"/>
  <c r="V574" i="3"/>
  <c r="Y575" i="3"/>
  <c r="AB576" i="3"/>
  <c r="X497" i="3"/>
  <c r="V499" i="3"/>
  <c r="Y500" i="3"/>
  <c r="AB501" i="3"/>
  <c r="R503" i="3"/>
  <c r="U504" i="3"/>
  <c r="AE504" i="3" s="1"/>
  <c r="X505" i="3"/>
  <c r="AA506" i="3"/>
  <c r="Q508" i="3"/>
  <c r="T509" i="3"/>
  <c r="W510" i="3"/>
  <c r="Z511" i="3"/>
  <c r="P513" i="3"/>
  <c r="S514" i="3"/>
  <c r="V515" i="3"/>
  <c r="Y516" i="3"/>
  <c r="AB517" i="3"/>
  <c r="R519" i="3"/>
  <c r="U520" i="3"/>
  <c r="AE520" i="3" s="1"/>
  <c r="X521" i="3"/>
  <c r="AA522" i="3"/>
  <c r="Q524" i="3"/>
  <c r="T525" i="3"/>
  <c r="W526" i="3"/>
  <c r="Z527" i="3"/>
  <c r="P529" i="3"/>
  <c r="S530" i="3"/>
  <c r="V531" i="3"/>
  <c r="Y532" i="3"/>
  <c r="AB533" i="3"/>
  <c r="R535" i="3"/>
  <c r="U536" i="3"/>
  <c r="AE536" i="3" s="1"/>
  <c r="X537" i="3"/>
  <c r="AA538" i="3"/>
  <c r="Q540" i="3"/>
  <c r="T541" i="3"/>
  <c r="W542" i="3"/>
  <c r="Z543" i="3"/>
  <c r="P545" i="3"/>
  <c r="S546" i="3"/>
  <c r="V547" i="3"/>
  <c r="Y548" i="3"/>
  <c r="AB549" i="3"/>
  <c r="R551" i="3"/>
  <c r="U552" i="3"/>
  <c r="AE552" i="3" s="1"/>
  <c r="X553" i="3"/>
  <c r="AA554" i="3"/>
  <c r="Q556" i="3"/>
  <c r="T557" i="3"/>
  <c r="W558" i="3"/>
  <c r="Z559" i="3"/>
  <c r="P561" i="3"/>
  <c r="S562" i="3"/>
  <c r="V563" i="3"/>
  <c r="Y564" i="3"/>
  <c r="AB565" i="3"/>
  <c r="R567" i="3"/>
  <c r="U568" i="3"/>
  <c r="AE568" i="3" s="1"/>
  <c r="X569" i="3"/>
  <c r="AA570" i="3"/>
  <c r="Q572" i="3"/>
  <c r="T573" i="3"/>
  <c r="W574" i="3"/>
  <c r="Z575" i="3"/>
  <c r="P577" i="3"/>
  <c r="S578" i="3"/>
  <c r="V579" i="3"/>
  <c r="Y580" i="3"/>
  <c r="AB581" i="3"/>
  <c r="R583" i="3"/>
  <c r="U584" i="3"/>
  <c r="AE584" i="3" s="1"/>
  <c r="X585" i="3"/>
  <c r="AA586" i="3"/>
  <c r="Q588" i="3"/>
  <c r="T589" i="3"/>
  <c r="W590" i="3"/>
  <c r="Z591" i="3"/>
  <c r="P593" i="3"/>
  <c r="S594" i="3"/>
  <c r="V595" i="3"/>
  <c r="Y596" i="3"/>
  <c r="AB597" i="3"/>
  <c r="R599" i="3"/>
  <c r="U600" i="3"/>
  <c r="AE600" i="3" s="1"/>
  <c r="X601" i="3"/>
  <c r="AA602" i="3"/>
  <c r="Q604" i="3"/>
  <c r="T605" i="3"/>
  <c r="W606" i="3"/>
  <c r="Z607" i="3"/>
  <c r="P609" i="3"/>
  <c r="S610" i="3"/>
  <c r="V611" i="3"/>
  <c r="Y612" i="3"/>
  <c r="AB613" i="3"/>
  <c r="R615" i="3"/>
  <c r="U616" i="3"/>
  <c r="AE616" i="3" s="1"/>
  <c r="X617" i="3"/>
  <c r="AA618" i="3"/>
  <c r="Q620" i="3"/>
  <c r="T621" i="3"/>
  <c r="W622" i="3"/>
  <c r="Z623" i="3"/>
  <c r="P625" i="3"/>
  <c r="S626" i="3"/>
  <c r="V627" i="3"/>
  <c r="Y628" i="3"/>
  <c r="AB629" i="3"/>
  <c r="R631" i="3"/>
  <c r="U632" i="3"/>
  <c r="AE632" i="3" s="1"/>
  <c r="X633" i="3"/>
  <c r="AA634" i="3"/>
  <c r="Q636" i="3"/>
  <c r="T637" i="3"/>
  <c r="W638" i="3"/>
  <c r="Z639" i="3"/>
  <c r="P641" i="3"/>
  <c r="S642" i="3"/>
  <c r="V643" i="3"/>
  <c r="Y644" i="3"/>
  <c r="AB645" i="3"/>
  <c r="R647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T664" i="3"/>
  <c r="T665" i="3"/>
  <c r="R666" i="3"/>
  <c r="AB666" i="3"/>
  <c r="Z667" i="3"/>
  <c r="V668" i="3"/>
  <c r="R669" i="3"/>
  <c r="AA669" i="3"/>
  <c r="W670" i="3"/>
  <c r="S671" i="3"/>
  <c r="P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AE708" i="3" s="1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AE756" i="3" s="1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AE788" i="3" s="1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AA497" i="3"/>
  <c r="Y499" i="3"/>
  <c r="AB500" i="3"/>
  <c r="R502" i="3"/>
  <c r="U503" i="3"/>
  <c r="AE503" i="3" s="1"/>
  <c r="X504" i="3"/>
  <c r="AA505" i="3"/>
  <c r="Q507" i="3"/>
  <c r="T508" i="3"/>
  <c r="W509" i="3"/>
  <c r="Z510" i="3"/>
  <c r="P512" i="3"/>
  <c r="S513" i="3"/>
  <c r="V514" i="3"/>
  <c r="Y515" i="3"/>
  <c r="AB516" i="3"/>
  <c r="R518" i="3"/>
  <c r="U519" i="3"/>
  <c r="AE519" i="3" s="1"/>
  <c r="X520" i="3"/>
  <c r="AA521" i="3"/>
  <c r="Q523" i="3"/>
  <c r="T524" i="3"/>
  <c r="W525" i="3"/>
  <c r="Z526" i="3"/>
  <c r="P528" i="3"/>
  <c r="S529" i="3"/>
  <c r="V530" i="3"/>
  <c r="Y531" i="3"/>
  <c r="AB532" i="3"/>
  <c r="R534" i="3"/>
  <c r="U535" i="3"/>
  <c r="AE535" i="3" s="1"/>
  <c r="X536" i="3"/>
  <c r="AA537" i="3"/>
  <c r="Q539" i="3"/>
  <c r="T540" i="3"/>
  <c r="W541" i="3"/>
  <c r="Z542" i="3"/>
  <c r="P544" i="3"/>
  <c r="S545" i="3"/>
  <c r="V546" i="3"/>
  <c r="Y547" i="3"/>
  <c r="AB548" i="3"/>
  <c r="R550" i="3"/>
  <c r="U551" i="3"/>
  <c r="AE551" i="3" s="1"/>
  <c r="X552" i="3"/>
  <c r="AA553" i="3"/>
  <c r="Q555" i="3"/>
  <c r="T556" i="3"/>
  <c r="W557" i="3"/>
  <c r="Z558" i="3"/>
  <c r="P560" i="3"/>
  <c r="S561" i="3"/>
  <c r="V562" i="3"/>
  <c r="Y563" i="3"/>
  <c r="AB564" i="3"/>
  <c r="R566" i="3"/>
  <c r="U567" i="3"/>
  <c r="AE567" i="3" s="1"/>
  <c r="X568" i="3"/>
  <c r="AA569" i="3"/>
  <c r="Q571" i="3"/>
  <c r="T572" i="3"/>
  <c r="W573" i="3"/>
  <c r="Z574" i="3"/>
  <c r="P576" i="3"/>
  <c r="S577" i="3"/>
  <c r="V578" i="3"/>
  <c r="Y579" i="3"/>
  <c r="AB580" i="3"/>
  <c r="R582" i="3"/>
  <c r="U583" i="3"/>
  <c r="AE583" i="3" s="1"/>
  <c r="X584" i="3"/>
  <c r="AA585" i="3"/>
  <c r="Q587" i="3"/>
  <c r="T588" i="3"/>
  <c r="W589" i="3"/>
  <c r="Z590" i="3"/>
  <c r="P592" i="3"/>
  <c r="S593" i="3"/>
  <c r="V594" i="3"/>
  <c r="Y595" i="3"/>
  <c r="AB596" i="3"/>
  <c r="R598" i="3"/>
  <c r="U599" i="3"/>
  <c r="AE599" i="3" s="1"/>
  <c r="X600" i="3"/>
  <c r="AA601" i="3"/>
  <c r="Q603" i="3"/>
  <c r="T604" i="3"/>
  <c r="W605" i="3"/>
  <c r="Z606" i="3"/>
  <c r="P608" i="3"/>
  <c r="S609" i="3"/>
  <c r="V610" i="3"/>
  <c r="Y611" i="3"/>
  <c r="AB612" i="3"/>
  <c r="R614" i="3"/>
  <c r="U615" i="3"/>
  <c r="AE615" i="3" s="1"/>
  <c r="X616" i="3"/>
  <c r="AA617" i="3"/>
  <c r="Q619" i="3"/>
  <c r="T620" i="3"/>
  <c r="W621" i="3"/>
  <c r="Z622" i="3"/>
  <c r="P624" i="3"/>
  <c r="S625" i="3"/>
  <c r="V626" i="3"/>
  <c r="Y627" i="3"/>
  <c r="AB628" i="3"/>
  <c r="R630" i="3"/>
  <c r="U631" i="3"/>
  <c r="AE631" i="3" s="1"/>
  <c r="X632" i="3"/>
  <c r="AA633" i="3"/>
  <c r="Q635" i="3"/>
  <c r="T636" i="3"/>
  <c r="W637" i="3"/>
  <c r="Z638" i="3"/>
  <c r="P640" i="3"/>
  <c r="S641" i="3"/>
  <c r="V642" i="3"/>
  <c r="Y643" i="3"/>
  <c r="AB644" i="3"/>
  <c r="R646" i="3"/>
  <c r="U647" i="3"/>
  <c r="AE647" i="3" s="1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AE663" i="3" s="1"/>
  <c r="U664" i="3"/>
  <c r="AE664" i="3" s="1"/>
  <c r="U665" i="3"/>
  <c r="AE665" i="3" s="1"/>
  <c r="S666" i="3"/>
  <c r="Q667" i="3"/>
  <c r="AA667" i="3"/>
  <c r="W668" i="3"/>
  <c r="S669" i="3"/>
  <c r="AB669" i="3"/>
  <c r="X670" i="3"/>
  <c r="U671" i="3"/>
  <c r="AE671" i="3" s="1"/>
  <c r="Q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578" i="3"/>
  <c r="W593" i="3"/>
  <c r="V598" i="3"/>
  <c r="U603" i="3"/>
  <c r="AE603" i="3" s="1"/>
  <c r="T608" i="3"/>
  <c r="S613" i="3"/>
  <c r="R618" i="3"/>
  <c r="Q623" i="3"/>
  <c r="P628" i="3"/>
  <c r="AB632" i="3"/>
  <c r="AA637" i="3"/>
  <c r="Z642" i="3"/>
  <c r="Y647" i="3"/>
  <c r="X652" i="3"/>
  <c r="W657" i="3"/>
  <c r="V662" i="3"/>
  <c r="V666" i="3"/>
  <c r="U669" i="3"/>
  <c r="AE669" i="3" s="1"/>
  <c r="S672" i="3"/>
  <c r="Z674" i="3"/>
  <c r="S677" i="3"/>
  <c r="Y679" i="3"/>
  <c r="R682" i="3"/>
  <c r="X684" i="3"/>
  <c r="P687" i="3"/>
  <c r="W688" i="3"/>
  <c r="Z689" i="3"/>
  <c r="P691" i="3"/>
  <c r="S692" i="3"/>
  <c r="V693" i="3"/>
  <c r="Y694" i="3"/>
  <c r="AB695" i="3"/>
  <c r="R697" i="3"/>
  <c r="U698" i="3"/>
  <c r="AE698" i="3" s="1"/>
  <c r="X699" i="3"/>
  <c r="AA700" i="3"/>
  <c r="Q702" i="3"/>
  <c r="T703" i="3"/>
  <c r="W704" i="3"/>
  <c r="Z705" i="3"/>
  <c r="P707" i="3"/>
  <c r="S708" i="3"/>
  <c r="V709" i="3"/>
  <c r="Y710" i="3"/>
  <c r="AB711" i="3"/>
  <c r="R713" i="3"/>
  <c r="U714" i="3"/>
  <c r="AE714" i="3" s="1"/>
  <c r="X715" i="3"/>
  <c r="AA716" i="3"/>
  <c r="Q718" i="3"/>
  <c r="T719" i="3"/>
  <c r="W720" i="3"/>
  <c r="Z721" i="3"/>
  <c r="P723" i="3"/>
  <c r="S724" i="3"/>
  <c r="V725" i="3"/>
  <c r="Y726" i="3"/>
  <c r="AB727" i="3"/>
  <c r="R729" i="3"/>
  <c r="U730" i="3"/>
  <c r="AE730" i="3" s="1"/>
  <c r="X731" i="3"/>
  <c r="AA732" i="3"/>
  <c r="Q734" i="3"/>
  <c r="T735" i="3"/>
  <c r="W736" i="3"/>
  <c r="Z737" i="3"/>
  <c r="P739" i="3"/>
  <c r="S740" i="3"/>
  <c r="V741" i="3"/>
  <c r="Y742" i="3"/>
  <c r="AB743" i="3"/>
  <c r="R745" i="3"/>
  <c r="U746" i="3"/>
  <c r="AE746" i="3" s="1"/>
  <c r="X747" i="3"/>
  <c r="AA748" i="3"/>
  <c r="Q750" i="3"/>
  <c r="T751" i="3"/>
  <c r="W752" i="3"/>
  <c r="Z753" i="3"/>
  <c r="P755" i="3"/>
  <c r="S756" i="3"/>
  <c r="V757" i="3"/>
  <c r="Y758" i="3"/>
  <c r="AB759" i="3"/>
  <c r="R761" i="3"/>
  <c r="U762" i="3"/>
  <c r="AE762" i="3" s="1"/>
  <c r="X763" i="3"/>
  <c r="AA764" i="3"/>
  <c r="Q766" i="3"/>
  <c r="T767" i="3"/>
  <c r="W768" i="3"/>
  <c r="Z769" i="3"/>
  <c r="P771" i="3"/>
  <c r="S772" i="3"/>
  <c r="V773" i="3"/>
  <c r="Y774" i="3"/>
  <c r="AB775" i="3"/>
  <c r="R777" i="3"/>
  <c r="U778" i="3"/>
  <c r="AE778" i="3" s="1"/>
  <c r="X779" i="3"/>
  <c r="AA780" i="3"/>
  <c r="Q782" i="3"/>
  <c r="Z785" i="3"/>
  <c r="P787" i="3"/>
  <c r="S788" i="3"/>
  <c r="V789" i="3"/>
  <c r="Y790" i="3"/>
  <c r="AB791" i="3"/>
  <c r="R793" i="3"/>
  <c r="U794" i="3"/>
  <c r="AE794" i="3" s="1"/>
  <c r="X795" i="3"/>
  <c r="AA796" i="3"/>
  <c r="Q798" i="3"/>
  <c r="T799" i="3"/>
  <c r="W800" i="3"/>
  <c r="Z801" i="3"/>
  <c r="P803" i="3"/>
  <c r="S804" i="3"/>
  <c r="V805" i="3"/>
  <c r="Y806" i="3"/>
  <c r="AB807" i="3"/>
  <c r="R809" i="3"/>
  <c r="U810" i="3"/>
  <c r="AE810" i="3" s="1"/>
  <c r="Q814" i="3"/>
  <c r="T815" i="3"/>
  <c r="W816" i="3"/>
  <c r="Z817" i="3"/>
  <c r="P819" i="3"/>
  <c r="S820" i="3"/>
  <c r="AB823" i="3"/>
  <c r="X827" i="3"/>
  <c r="S836" i="3"/>
  <c r="X843" i="3"/>
  <c r="P851" i="3"/>
  <c r="Q862" i="3"/>
  <c r="AB871" i="3"/>
  <c r="S884" i="3"/>
  <c r="U896" i="3"/>
  <c r="AE896" i="3" s="1"/>
  <c r="U579" i="3"/>
  <c r="AE579" i="3" s="1"/>
  <c r="T584" i="3"/>
  <c r="S589" i="3"/>
  <c r="R594" i="3"/>
  <c r="Q599" i="3"/>
  <c r="P604" i="3"/>
  <c r="AB608" i="3"/>
  <c r="AA613" i="3"/>
  <c r="Z618" i="3"/>
  <c r="Y623" i="3"/>
  <c r="X628" i="3"/>
  <c r="W633" i="3"/>
  <c r="V638" i="3"/>
  <c r="U643" i="3"/>
  <c r="AE643" i="3" s="1"/>
  <c r="T648" i="3"/>
  <c r="S653" i="3"/>
  <c r="R658" i="3"/>
  <c r="Q663" i="3"/>
  <c r="AA666" i="3"/>
  <c r="Z669" i="3"/>
  <c r="X672" i="3"/>
  <c r="Q675" i="3"/>
  <c r="W677" i="3"/>
  <c r="P680" i="3"/>
  <c r="V682" i="3"/>
  <c r="AB684" i="3"/>
  <c r="Q687" i="3"/>
  <c r="X688" i="3"/>
  <c r="AA689" i="3"/>
  <c r="Q691" i="3"/>
  <c r="T692" i="3"/>
  <c r="W693" i="3"/>
  <c r="Z694" i="3"/>
  <c r="P696" i="3"/>
  <c r="S697" i="3"/>
  <c r="V698" i="3"/>
  <c r="Y699" i="3"/>
  <c r="AB700" i="3"/>
  <c r="R702" i="3"/>
  <c r="U703" i="3"/>
  <c r="AE703" i="3" s="1"/>
  <c r="X704" i="3"/>
  <c r="AA705" i="3"/>
  <c r="Q707" i="3"/>
  <c r="T708" i="3"/>
  <c r="W709" i="3"/>
  <c r="Z710" i="3"/>
  <c r="P712" i="3"/>
  <c r="S713" i="3"/>
  <c r="V714" i="3"/>
  <c r="Y715" i="3"/>
  <c r="AB716" i="3"/>
  <c r="R718" i="3"/>
  <c r="U719" i="3"/>
  <c r="AE719" i="3" s="1"/>
  <c r="X720" i="3"/>
  <c r="AA721" i="3"/>
  <c r="Q723" i="3"/>
  <c r="T724" i="3"/>
  <c r="W725" i="3"/>
  <c r="Z726" i="3"/>
  <c r="P728" i="3"/>
  <c r="S729" i="3"/>
  <c r="V730" i="3"/>
  <c r="Y731" i="3"/>
  <c r="AB732" i="3"/>
  <c r="R734" i="3"/>
  <c r="U735" i="3"/>
  <c r="AE735" i="3" s="1"/>
  <c r="X736" i="3"/>
  <c r="AA737" i="3"/>
  <c r="Q739" i="3"/>
  <c r="T740" i="3"/>
  <c r="W741" i="3"/>
  <c r="Z742" i="3"/>
  <c r="P744" i="3"/>
  <c r="S745" i="3"/>
  <c r="V746" i="3"/>
  <c r="Y747" i="3"/>
  <c r="AB748" i="3"/>
  <c r="R750" i="3"/>
  <c r="U751" i="3"/>
  <c r="AE751" i="3" s="1"/>
  <c r="X752" i="3"/>
  <c r="AA753" i="3"/>
  <c r="Q755" i="3"/>
  <c r="T756" i="3"/>
  <c r="W757" i="3"/>
  <c r="Z758" i="3"/>
  <c r="P760" i="3"/>
  <c r="S761" i="3"/>
  <c r="V762" i="3"/>
  <c r="Y763" i="3"/>
  <c r="AB764" i="3"/>
  <c r="R766" i="3"/>
  <c r="U767" i="3"/>
  <c r="AE767" i="3" s="1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AE783" i="3" s="1"/>
  <c r="X784" i="3"/>
  <c r="AA785" i="3"/>
  <c r="Q787" i="3"/>
  <c r="T788" i="3"/>
  <c r="W789" i="3"/>
  <c r="Z790" i="3"/>
  <c r="P792" i="3"/>
  <c r="S793" i="3"/>
  <c r="V794" i="3"/>
  <c r="Y795" i="3"/>
  <c r="AB796" i="3"/>
  <c r="R798" i="3"/>
  <c r="U799" i="3"/>
  <c r="AE799" i="3" s="1"/>
  <c r="X800" i="3"/>
  <c r="AA801" i="3"/>
  <c r="Q803" i="3"/>
  <c r="T804" i="3"/>
  <c r="W805" i="3"/>
  <c r="Z806" i="3"/>
  <c r="P808" i="3"/>
  <c r="S809" i="3"/>
  <c r="V810" i="3"/>
  <c r="Y811" i="3"/>
  <c r="AB812" i="3"/>
  <c r="R814" i="3"/>
  <c r="U815" i="3"/>
  <c r="AE815" i="3" s="1"/>
  <c r="X816" i="3"/>
  <c r="AA817" i="3"/>
  <c r="Q819" i="3"/>
  <c r="T820" i="3"/>
  <c r="W821" i="3"/>
  <c r="Z822" i="3"/>
  <c r="P824" i="3"/>
  <c r="S825" i="3"/>
  <c r="V826" i="3"/>
  <c r="Y827" i="3"/>
  <c r="AB828" i="3"/>
  <c r="R830" i="3"/>
  <c r="U831" i="3"/>
  <c r="AE831" i="3" s="1"/>
  <c r="X832" i="3"/>
  <c r="AA833" i="3"/>
  <c r="Q835" i="3"/>
  <c r="T836" i="3"/>
  <c r="W837" i="3"/>
  <c r="Z838" i="3"/>
  <c r="P840" i="3"/>
  <c r="S841" i="3"/>
  <c r="V842" i="3"/>
  <c r="Y843" i="3"/>
  <c r="AB844" i="3"/>
  <c r="R846" i="3"/>
  <c r="U847" i="3"/>
  <c r="AE847" i="3" s="1"/>
  <c r="X848" i="3"/>
  <c r="AA849" i="3"/>
  <c r="Q851" i="3"/>
  <c r="T852" i="3"/>
  <c r="W853" i="3"/>
  <c r="Z854" i="3"/>
  <c r="P856" i="3"/>
  <c r="S857" i="3"/>
  <c r="V858" i="3"/>
  <c r="Y859" i="3"/>
  <c r="AB860" i="3"/>
  <c r="R862" i="3"/>
  <c r="U863" i="3"/>
  <c r="AE863" i="3" s="1"/>
  <c r="X864" i="3"/>
  <c r="AA865" i="3"/>
  <c r="Q867" i="3"/>
  <c r="T868" i="3"/>
  <c r="W869" i="3"/>
  <c r="Z870" i="3"/>
  <c r="P872" i="3"/>
  <c r="P580" i="3"/>
  <c r="AB584" i="3"/>
  <c r="AA589" i="3"/>
  <c r="Z594" i="3"/>
  <c r="Y599" i="3"/>
  <c r="X604" i="3"/>
  <c r="W609" i="3"/>
  <c r="V614" i="3"/>
  <c r="U619" i="3"/>
  <c r="AE619" i="3" s="1"/>
  <c r="T624" i="3"/>
  <c r="S629" i="3"/>
  <c r="R634" i="3"/>
  <c r="Q639" i="3"/>
  <c r="P644" i="3"/>
  <c r="AB648" i="3"/>
  <c r="AA653" i="3"/>
  <c r="Z658" i="3"/>
  <c r="Y663" i="3"/>
  <c r="S667" i="3"/>
  <c r="R670" i="3"/>
  <c r="AB672" i="3"/>
  <c r="U675" i="3"/>
  <c r="AE675" i="3" s="1"/>
  <c r="AA677" i="3"/>
  <c r="T680" i="3"/>
  <c r="Z682" i="3"/>
  <c r="S685" i="3"/>
  <c r="U687" i="3"/>
  <c r="AE687" i="3" s="1"/>
  <c r="AA688" i="3"/>
  <c r="Q690" i="3"/>
  <c r="T691" i="3"/>
  <c r="W692" i="3"/>
  <c r="Z693" i="3"/>
  <c r="P695" i="3"/>
  <c r="S696" i="3"/>
  <c r="V697" i="3"/>
  <c r="Y698" i="3"/>
  <c r="AB699" i="3"/>
  <c r="R701" i="3"/>
  <c r="U702" i="3"/>
  <c r="AE702" i="3" s="1"/>
  <c r="X703" i="3"/>
  <c r="AA704" i="3"/>
  <c r="Q706" i="3"/>
  <c r="T707" i="3"/>
  <c r="W708" i="3"/>
  <c r="Z709" i="3"/>
  <c r="P711" i="3"/>
  <c r="S712" i="3"/>
  <c r="V713" i="3"/>
  <c r="Y714" i="3"/>
  <c r="AB715" i="3"/>
  <c r="R717" i="3"/>
  <c r="U718" i="3"/>
  <c r="AE718" i="3" s="1"/>
  <c r="X719" i="3"/>
  <c r="AA720" i="3"/>
  <c r="Q722" i="3"/>
  <c r="T723" i="3"/>
  <c r="W724" i="3"/>
  <c r="Z725" i="3"/>
  <c r="P727" i="3"/>
  <c r="S728" i="3"/>
  <c r="V729" i="3"/>
  <c r="Y730" i="3"/>
  <c r="AB731" i="3"/>
  <c r="R733" i="3"/>
  <c r="U734" i="3"/>
  <c r="AE734" i="3" s="1"/>
  <c r="X735" i="3"/>
  <c r="AA736" i="3"/>
  <c r="Q738" i="3"/>
  <c r="T739" i="3"/>
  <c r="W740" i="3"/>
  <c r="Z741" i="3"/>
  <c r="P743" i="3"/>
  <c r="S744" i="3"/>
  <c r="V745" i="3"/>
  <c r="Y746" i="3"/>
  <c r="AB747" i="3"/>
  <c r="R749" i="3"/>
  <c r="U750" i="3"/>
  <c r="AE750" i="3" s="1"/>
  <c r="X751" i="3"/>
  <c r="AA752" i="3"/>
  <c r="Q754" i="3"/>
  <c r="T755" i="3"/>
  <c r="W756" i="3"/>
  <c r="Z757" i="3"/>
  <c r="P759" i="3"/>
  <c r="S760" i="3"/>
  <c r="V761" i="3"/>
  <c r="Y762" i="3"/>
  <c r="AB763" i="3"/>
  <c r="R765" i="3"/>
  <c r="U766" i="3"/>
  <c r="AE766" i="3" s="1"/>
  <c r="X767" i="3"/>
  <c r="AA768" i="3"/>
  <c r="Q770" i="3"/>
  <c r="T771" i="3"/>
  <c r="W772" i="3"/>
  <c r="Z773" i="3"/>
  <c r="P775" i="3"/>
  <c r="S776" i="3"/>
  <c r="V777" i="3"/>
  <c r="Y778" i="3"/>
  <c r="AB779" i="3"/>
  <c r="R781" i="3"/>
  <c r="U782" i="3"/>
  <c r="AE782" i="3" s="1"/>
  <c r="X783" i="3"/>
  <c r="AA784" i="3"/>
  <c r="Q786" i="3"/>
  <c r="T787" i="3"/>
  <c r="W788" i="3"/>
  <c r="Z789" i="3"/>
  <c r="P791" i="3"/>
  <c r="S792" i="3"/>
  <c r="V793" i="3"/>
  <c r="Y794" i="3"/>
  <c r="AB795" i="3"/>
  <c r="R797" i="3"/>
  <c r="U798" i="3"/>
  <c r="AE798" i="3" s="1"/>
  <c r="X799" i="3"/>
  <c r="AA800" i="3"/>
  <c r="Q802" i="3"/>
  <c r="T803" i="3"/>
  <c r="W804" i="3"/>
  <c r="Z805" i="3"/>
  <c r="P807" i="3"/>
  <c r="S808" i="3"/>
  <c r="V809" i="3"/>
  <c r="Y810" i="3"/>
  <c r="AB811" i="3"/>
  <c r="R813" i="3"/>
  <c r="U814" i="3"/>
  <c r="AE814" i="3" s="1"/>
  <c r="X815" i="3"/>
  <c r="AA816" i="3"/>
  <c r="Q818" i="3"/>
  <c r="T819" i="3"/>
  <c r="W820" i="3"/>
  <c r="Z821" i="3"/>
  <c r="P823" i="3"/>
  <c r="S824" i="3"/>
  <c r="V825" i="3"/>
  <c r="Y826" i="3"/>
  <c r="AB827" i="3"/>
  <c r="R829" i="3"/>
  <c r="U830" i="3"/>
  <c r="AE830" i="3" s="1"/>
  <c r="X831" i="3"/>
  <c r="AA832" i="3"/>
  <c r="Q834" i="3"/>
  <c r="T835" i="3"/>
  <c r="W836" i="3"/>
  <c r="Z837" i="3"/>
  <c r="P839" i="3"/>
  <c r="S840" i="3"/>
  <c r="V841" i="3"/>
  <c r="Y842" i="3"/>
  <c r="AB843" i="3"/>
  <c r="R845" i="3"/>
  <c r="U846" i="3"/>
  <c r="AE846" i="3" s="1"/>
  <c r="X847" i="3"/>
  <c r="AA848" i="3"/>
  <c r="Q850" i="3"/>
  <c r="T851" i="3"/>
  <c r="W852" i="3"/>
  <c r="Z853" i="3"/>
  <c r="P855" i="3"/>
  <c r="S856" i="3"/>
  <c r="V857" i="3"/>
  <c r="Y858" i="3"/>
  <c r="AB859" i="3"/>
  <c r="R861" i="3"/>
  <c r="U862" i="3"/>
  <c r="AE862" i="3" s="1"/>
  <c r="X863" i="3"/>
  <c r="AA864" i="3"/>
  <c r="Q866" i="3"/>
  <c r="T867" i="3"/>
  <c r="W868" i="3"/>
  <c r="Z869" i="3"/>
  <c r="P871" i="3"/>
  <c r="S872" i="3"/>
  <c r="V873" i="3"/>
  <c r="Y874" i="3"/>
  <c r="AB875" i="3"/>
  <c r="R877" i="3"/>
  <c r="U878" i="3"/>
  <c r="AE878" i="3" s="1"/>
  <c r="X879" i="3"/>
  <c r="AA880" i="3"/>
  <c r="Q882" i="3"/>
  <c r="T883" i="3"/>
  <c r="W884" i="3"/>
  <c r="Z885" i="3"/>
  <c r="P887" i="3"/>
  <c r="S888" i="3"/>
  <c r="V889" i="3"/>
  <c r="Y890" i="3"/>
  <c r="AB891" i="3"/>
  <c r="R893" i="3"/>
  <c r="U894" i="3"/>
  <c r="AE894" i="3" s="1"/>
  <c r="X895" i="3"/>
  <c r="X896" i="3"/>
  <c r="X897" i="3"/>
  <c r="Y898" i="3"/>
  <c r="X899" i="3"/>
  <c r="X900" i="3"/>
  <c r="U901" i="3"/>
  <c r="AE901" i="3" s="1"/>
  <c r="Q902" i="3"/>
  <c r="Z902" i="3"/>
  <c r="V903" i="3"/>
  <c r="R904" i="3"/>
  <c r="Z904" i="3"/>
  <c r="U905" i="3"/>
  <c r="AE905" i="3" s="1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AE913" i="3" s="1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R1000" i="3"/>
  <c r="Z1000" i="3"/>
  <c r="P596" i="3"/>
  <c r="X580" i="3"/>
  <c r="W585" i="3"/>
  <c r="V590" i="3"/>
  <c r="U595" i="3"/>
  <c r="AE595" i="3" s="1"/>
  <c r="T600" i="3"/>
  <c r="S605" i="3"/>
  <c r="R610" i="3"/>
  <c r="Q615" i="3"/>
  <c r="P620" i="3"/>
  <c r="AB624" i="3"/>
  <c r="AA629" i="3"/>
  <c r="Z634" i="3"/>
  <c r="Y639" i="3"/>
  <c r="X644" i="3"/>
  <c r="W649" i="3"/>
  <c r="V654" i="3"/>
  <c r="U659" i="3"/>
  <c r="AE659" i="3" s="1"/>
  <c r="R664" i="3"/>
  <c r="Y667" i="3"/>
  <c r="V670" i="3"/>
  <c r="S673" i="3"/>
  <c r="Y675" i="3"/>
  <c r="R678" i="3"/>
  <c r="X680" i="3"/>
  <c r="Q683" i="3"/>
  <c r="W685" i="3"/>
  <c r="X687" i="3"/>
  <c r="AB688" i="3"/>
  <c r="R690" i="3"/>
  <c r="U691" i="3"/>
  <c r="AE691" i="3" s="1"/>
  <c r="X692" i="3"/>
  <c r="AA693" i="3"/>
  <c r="Q695" i="3"/>
  <c r="T696" i="3"/>
  <c r="W697" i="3"/>
  <c r="Z698" i="3"/>
  <c r="P700" i="3"/>
  <c r="S701" i="3"/>
  <c r="V702" i="3"/>
  <c r="Y703" i="3"/>
  <c r="AB704" i="3"/>
  <c r="R706" i="3"/>
  <c r="U707" i="3"/>
  <c r="AE707" i="3" s="1"/>
  <c r="X708" i="3"/>
  <c r="AA709" i="3"/>
  <c r="Q711" i="3"/>
  <c r="T712" i="3"/>
  <c r="W713" i="3"/>
  <c r="Z714" i="3"/>
  <c r="P716" i="3"/>
  <c r="S717" i="3"/>
  <c r="V718" i="3"/>
  <c r="Y719" i="3"/>
  <c r="AB720" i="3"/>
  <c r="R722" i="3"/>
  <c r="U723" i="3"/>
  <c r="AE723" i="3" s="1"/>
  <c r="X724" i="3"/>
  <c r="AA725" i="3"/>
  <c r="Q727" i="3"/>
  <c r="T728" i="3"/>
  <c r="W729" i="3"/>
  <c r="Z730" i="3"/>
  <c r="P732" i="3"/>
  <c r="S733" i="3"/>
  <c r="V734" i="3"/>
  <c r="Y735" i="3"/>
  <c r="AB736" i="3"/>
  <c r="R738" i="3"/>
  <c r="U739" i="3"/>
  <c r="AE739" i="3" s="1"/>
  <c r="X740" i="3"/>
  <c r="AA741" i="3"/>
  <c r="Q743" i="3"/>
  <c r="T744" i="3"/>
  <c r="W745" i="3"/>
  <c r="Z746" i="3"/>
  <c r="P748" i="3"/>
  <c r="S749" i="3"/>
  <c r="V750" i="3"/>
  <c r="Y751" i="3"/>
  <c r="AB752" i="3"/>
  <c r="R754" i="3"/>
  <c r="U755" i="3"/>
  <c r="AE755" i="3" s="1"/>
  <c r="X756" i="3"/>
  <c r="AA757" i="3"/>
  <c r="Q759" i="3"/>
  <c r="T760" i="3"/>
  <c r="W761" i="3"/>
  <c r="Z762" i="3"/>
  <c r="P764" i="3"/>
  <c r="S765" i="3"/>
  <c r="V766" i="3"/>
  <c r="Y767" i="3"/>
  <c r="AB768" i="3"/>
  <c r="R770" i="3"/>
  <c r="U771" i="3"/>
  <c r="AE771" i="3" s="1"/>
  <c r="X772" i="3"/>
  <c r="AA773" i="3"/>
  <c r="Q775" i="3"/>
  <c r="T776" i="3"/>
  <c r="W777" i="3"/>
  <c r="Z778" i="3"/>
  <c r="P780" i="3"/>
  <c r="S781" i="3"/>
  <c r="V782" i="3"/>
  <c r="Y783" i="3"/>
  <c r="AB784" i="3"/>
  <c r="R786" i="3"/>
  <c r="U787" i="3"/>
  <c r="AE787" i="3" s="1"/>
  <c r="X788" i="3"/>
  <c r="AA789" i="3"/>
  <c r="Q791" i="3"/>
  <c r="T792" i="3"/>
  <c r="W793" i="3"/>
  <c r="Z794" i="3"/>
  <c r="P796" i="3"/>
  <c r="S797" i="3"/>
  <c r="V798" i="3"/>
  <c r="Y799" i="3"/>
  <c r="AB800" i="3"/>
  <c r="R802" i="3"/>
  <c r="U803" i="3"/>
  <c r="AE803" i="3" s="1"/>
  <c r="X804" i="3"/>
  <c r="AA805" i="3"/>
  <c r="Q807" i="3"/>
  <c r="T808" i="3"/>
  <c r="W809" i="3"/>
  <c r="Z810" i="3"/>
  <c r="P812" i="3"/>
  <c r="S813" i="3"/>
  <c r="V814" i="3"/>
  <c r="Y815" i="3"/>
  <c r="AB816" i="3"/>
  <c r="R818" i="3"/>
  <c r="U819" i="3"/>
  <c r="AE819" i="3" s="1"/>
  <c r="X820" i="3"/>
  <c r="AA821" i="3"/>
  <c r="Q823" i="3"/>
  <c r="T824" i="3"/>
  <c r="W825" i="3"/>
  <c r="Z826" i="3"/>
  <c r="P828" i="3"/>
  <c r="S829" i="3"/>
  <c r="V830" i="3"/>
  <c r="Y831" i="3"/>
  <c r="AB832" i="3"/>
  <c r="R834" i="3"/>
  <c r="U835" i="3"/>
  <c r="AE835" i="3" s="1"/>
  <c r="X836" i="3"/>
  <c r="AA837" i="3"/>
  <c r="Q839" i="3"/>
  <c r="T840" i="3"/>
  <c r="W841" i="3"/>
  <c r="Z842" i="3"/>
  <c r="P844" i="3"/>
  <c r="S845" i="3"/>
  <c r="V846" i="3"/>
  <c r="Y847" i="3"/>
  <c r="AB848" i="3"/>
  <c r="R850" i="3"/>
  <c r="U851" i="3"/>
  <c r="AE851" i="3" s="1"/>
  <c r="X852" i="3"/>
  <c r="AA853" i="3"/>
  <c r="Q855" i="3"/>
  <c r="T856" i="3"/>
  <c r="W857" i="3"/>
  <c r="Z858" i="3"/>
  <c r="P860" i="3"/>
  <c r="S861" i="3"/>
  <c r="V862" i="3"/>
  <c r="Y863" i="3"/>
  <c r="AB864" i="3"/>
  <c r="R866" i="3"/>
  <c r="U867" i="3"/>
  <c r="AE867" i="3" s="1"/>
  <c r="X868" i="3"/>
  <c r="AA869" i="3"/>
  <c r="Q871" i="3"/>
  <c r="T872" i="3"/>
  <c r="W873" i="3"/>
  <c r="Z874" i="3"/>
  <c r="P876" i="3"/>
  <c r="S877" i="3"/>
  <c r="V878" i="3"/>
  <c r="Y879" i="3"/>
  <c r="AB880" i="3"/>
  <c r="R882" i="3"/>
  <c r="U883" i="3"/>
  <c r="AE883" i="3" s="1"/>
  <c r="X884" i="3"/>
  <c r="AA885" i="3"/>
  <c r="Q887" i="3"/>
  <c r="T888" i="3"/>
  <c r="W889" i="3"/>
  <c r="Z890" i="3"/>
  <c r="P892" i="3"/>
  <c r="S893" i="3"/>
  <c r="V894" i="3"/>
  <c r="Y895" i="3"/>
  <c r="AA896" i="3"/>
  <c r="Z897" i="3"/>
  <c r="Z898" i="3"/>
  <c r="Y899" i="3"/>
  <c r="Y900" i="3"/>
  <c r="V901" i="3"/>
  <c r="R902" i="3"/>
  <c r="AA902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S1000" i="3"/>
  <c r="AA1000" i="3"/>
  <c r="Z761" i="3"/>
  <c r="S581" i="3"/>
  <c r="R586" i="3"/>
  <c r="Q591" i="3"/>
  <c r="AB600" i="3"/>
  <c r="AA605" i="3"/>
  <c r="Z610" i="3"/>
  <c r="Y615" i="3"/>
  <c r="X620" i="3"/>
  <c r="W625" i="3"/>
  <c r="V630" i="3"/>
  <c r="U635" i="3"/>
  <c r="AE635" i="3" s="1"/>
  <c r="T640" i="3"/>
  <c r="S645" i="3"/>
  <c r="R650" i="3"/>
  <c r="Q655" i="3"/>
  <c r="P660" i="3"/>
  <c r="Y664" i="3"/>
  <c r="P668" i="3"/>
  <c r="AA670" i="3"/>
  <c r="W673" i="3"/>
  <c r="P676" i="3"/>
  <c r="V678" i="3"/>
  <c r="AB680" i="3"/>
  <c r="U683" i="3"/>
  <c r="AE683" i="3" s="1"/>
  <c r="AA685" i="3"/>
  <c r="Y687" i="3"/>
  <c r="R689" i="3"/>
  <c r="U690" i="3"/>
  <c r="AE690" i="3" s="1"/>
  <c r="X691" i="3"/>
  <c r="AA692" i="3"/>
  <c r="Q694" i="3"/>
  <c r="T695" i="3"/>
  <c r="W696" i="3"/>
  <c r="Z697" i="3"/>
  <c r="P699" i="3"/>
  <c r="S700" i="3"/>
  <c r="V701" i="3"/>
  <c r="Y702" i="3"/>
  <c r="AB703" i="3"/>
  <c r="R705" i="3"/>
  <c r="U706" i="3"/>
  <c r="AE706" i="3" s="1"/>
  <c r="X707" i="3"/>
  <c r="AA708" i="3"/>
  <c r="Q710" i="3"/>
  <c r="T711" i="3"/>
  <c r="W712" i="3"/>
  <c r="Z713" i="3"/>
  <c r="P715" i="3"/>
  <c r="S716" i="3"/>
  <c r="V717" i="3"/>
  <c r="Y718" i="3"/>
  <c r="AB719" i="3"/>
  <c r="R721" i="3"/>
  <c r="U722" i="3"/>
  <c r="AE722" i="3" s="1"/>
  <c r="X723" i="3"/>
  <c r="AA724" i="3"/>
  <c r="Q726" i="3"/>
  <c r="T727" i="3"/>
  <c r="W728" i="3"/>
  <c r="Z729" i="3"/>
  <c r="P731" i="3"/>
  <c r="S732" i="3"/>
  <c r="V733" i="3"/>
  <c r="Y734" i="3"/>
  <c r="AB735" i="3"/>
  <c r="R737" i="3"/>
  <c r="U738" i="3"/>
  <c r="AE738" i="3" s="1"/>
  <c r="X739" i="3"/>
  <c r="AA740" i="3"/>
  <c r="Q742" i="3"/>
  <c r="T743" i="3"/>
  <c r="W744" i="3"/>
  <c r="Z745" i="3"/>
  <c r="P747" i="3"/>
  <c r="S748" i="3"/>
  <c r="V749" i="3"/>
  <c r="Y750" i="3"/>
  <c r="AB751" i="3"/>
  <c r="R753" i="3"/>
  <c r="U754" i="3"/>
  <c r="AE754" i="3" s="1"/>
  <c r="X755" i="3"/>
  <c r="AA756" i="3"/>
  <c r="Q758" i="3"/>
  <c r="T759" i="3"/>
  <c r="W760" i="3"/>
  <c r="P763" i="3"/>
  <c r="S764" i="3"/>
  <c r="V765" i="3"/>
  <c r="Y766" i="3"/>
  <c r="AB767" i="3"/>
  <c r="R769" i="3"/>
  <c r="U770" i="3"/>
  <c r="AE770" i="3" s="1"/>
  <c r="X771" i="3"/>
  <c r="AA772" i="3"/>
  <c r="Q774" i="3"/>
  <c r="T775" i="3"/>
  <c r="W776" i="3"/>
  <c r="Z777" i="3"/>
  <c r="P779" i="3"/>
  <c r="S780" i="3"/>
  <c r="V781" i="3"/>
  <c r="Y782" i="3"/>
  <c r="AB783" i="3"/>
  <c r="R785" i="3"/>
  <c r="U786" i="3"/>
  <c r="AE786" i="3" s="1"/>
  <c r="X787" i="3"/>
  <c r="AA788" i="3"/>
  <c r="Q790" i="3"/>
  <c r="T791" i="3"/>
  <c r="W792" i="3"/>
  <c r="Z793" i="3"/>
  <c r="P795" i="3"/>
  <c r="S796" i="3"/>
  <c r="V797" i="3"/>
  <c r="Y798" i="3"/>
  <c r="AB799" i="3"/>
  <c r="R801" i="3"/>
  <c r="U802" i="3"/>
  <c r="AE802" i="3" s="1"/>
  <c r="X803" i="3"/>
  <c r="AA804" i="3"/>
  <c r="Q806" i="3"/>
  <c r="T807" i="3"/>
  <c r="W808" i="3"/>
  <c r="Z809" i="3"/>
  <c r="P811" i="3"/>
  <c r="S812" i="3"/>
  <c r="V813" i="3"/>
  <c r="Y814" i="3"/>
  <c r="AB815" i="3"/>
  <c r="R817" i="3"/>
  <c r="U818" i="3"/>
  <c r="AE818" i="3" s="1"/>
  <c r="X819" i="3"/>
  <c r="AA820" i="3"/>
  <c r="Q822" i="3"/>
  <c r="T823" i="3"/>
  <c r="W824" i="3"/>
  <c r="Z825" i="3"/>
  <c r="P827" i="3"/>
  <c r="S828" i="3"/>
  <c r="V829" i="3"/>
  <c r="Y830" i="3"/>
  <c r="AB831" i="3"/>
  <c r="R833" i="3"/>
  <c r="U834" i="3"/>
  <c r="AE834" i="3" s="1"/>
  <c r="X835" i="3"/>
  <c r="AA836" i="3"/>
  <c r="Q838" i="3"/>
  <c r="T839" i="3"/>
  <c r="W840" i="3"/>
  <c r="Z841" i="3"/>
  <c r="P843" i="3"/>
  <c r="S844" i="3"/>
  <c r="Y846" i="3"/>
  <c r="AB847" i="3"/>
  <c r="R849" i="3"/>
  <c r="U850" i="3"/>
  <c r="AE850" i="3" s="1"/>
  <c r="X851" i="3"/>
  <c r="AA852" i="3"/>
  <c r="Q854" i="3"/>
  <c r="T855" i="3"/>
  <c r="W856" i="3"/>
  <c r="Z857" i="3"/>
  <c r="P859" i="3"/>
  <c r="S860" i="3"/>
  <c r="V861" i="3"/>
  <c r="Y862" i="3"/>
  <c r="AB863" i="3"/>
  <c r="R865" i="3"/>
  <c r="X867" i="3"/>
  <c r="AA868" i="3"/>
  <c r="AA581" i="3"/>
  <c r="Z586" i="3"/>
  <c r="Y591" i="3"/>
  <c r="X596" i="3"/>
  <c r="W601" i="3"/>
  <c r="V606" i="3"/>
  <c r="U611" i="3"/>
  <c r="AE611" i="3" s="1"/>
  <c r="T616" i="3"/>
  <c r="S621" i="3"/>
  <c r="R626" i="3"/>
  <c r="Q631" i="3"/>
  <c r="P636" i="3"/>
  <c r="AB640" i="3"/>
  <c r="AA645" i="3"/>
  <c r="Z650" i="3"/>
  <c r="Y655" i="3"/>
  <c r="X660" i="3"/>
  <c r="S665" i="3"/>
  <c r="U668" i="3"/>
  <c r="AE668" i="3" s="1"/>
  <c r="R671" i="3"/>
  <c r="AA673" i="3"/>
  <c r="T676" i="3"/>
  <c r="Z678" i="3"/>
  <c r="S681" i="3"/>
  <c r="Y683" i="3"/>
  <c r="R686" i="3"/>
  <c r="P688" i="3"/>
  <c r="S689" i="3"/>
  <c r="V690" i="3"/>
  <c r="Y691" i="3"/>
  <c r="AB692" i="3"/>
  <c r="R694" i="3"/>
  <c r="U695" i="3"/>
  <c r="AE695" i="3" s="1"/>
  <c r="X696" i="3"/>
  <c r="AA697" i="3"/>
  <c r="Q699" i="3"/>
  <c r="T700" i="3"/>
  <c r="W701" i="3"/>
  <c r="Z702" i="3"/>
  <c r="P704" i="3"/>
  <c r="S705" i="3"/>
  <c r="V706" i="3"/>
  <c r="Y707" i="3"/>
  <c r="AB708" i="3"/>
  <c r="R710" i="3"/>
  <c r="U711" i="3"/>
  <c r="AE711" i="3" s="1"/>
  <c r="X712" i="3"/>
  <c r="AA713" i="3"/>
  <c r="Q715" i="3"/>
  <c r="T716" i="3"/>
  <c r="W717" i="3"/>
  <c r="Z718" i="3"/>
  <c r="P720" i="3"/>
  <c r="S721" i="3"/>
  <c r="V722" i="3"/>
  <c r="Y723" i="3"/>
  <c r="AB724" i="3"/>
  <c r="R726" i="3"/>
  <c r="U727" i="3"/>
  <c r="AE727" i="3" s="1"/>
  <c r="X728" i="3"/>
  <c r="AA729" i="3"/>
  <c r="Q731" i="3"/>
  <c r="T732" i="3"/>
  <c r="W733" i="3"/>
  <c r="Z734" i="3"/>
  <c r="P736" i="3"/>
  <c r="S737" i="3"/>
  <c r="V738" i="3"/>
  <c r="Y739" i="3"/>
  <c r="AB740" i="3"/>
  <c r="R742" i="3"/>
  <c r="U743" i="3"/>
  <c r="AE743" i="3" s="1"/>
  <c r="X744" i="3"/>
  <c r="AA745" i="3"/>
  <c r="Q747" i="3"/>
  <c r="T748" i="3"/>
  <c r="W749" i="3"/>
  <c r="Z750" i="3"/>
  <c r="P752" i="3"/>
  <c r="S753" i="3"/>
  <c r="V754" i="3"/>
  <c r="Y755" i="3"/>
  <c r="AB756" i="3"/>
  <c r="R758" i="3"/>
  <c r="U759" i="3"/>
  <c r="AE759" i="3" s="1"/>
  <c r="X760" i="3"/>
  <c r="AA761" i="3"/>
  <c r="Q763" i="3"/>
  <c r="T764" i="3"/>
  <c r="W765" i="3"/>
  <c r="Z766" i="3"/>
  <c r="P768" i="3"/>
  <c r="S769" i="3"/>
  <c r="V770" i="3"/>
  <c r="Y771" i="3"/>
  <c r="AB772" i="3"/>
  <c r="R774" i="3"/>
  <c r="U775" i="3"/>
  <c r="AE775" i="3" s="1"/>
  <c r="X776" i="3"/>
  <c r="AA777" i="3"/>
  <c r="Q779" i="3"/>
  <c r="T780" i="3"/>
  <c r="W781" i="3"/>
  <c r="Z782" i="3"/>
  <c r="P784" i="3"/>
  <c r="S785" i="3"/>
  <c r="V786" i="3"/>
  <c r="Y787" i="3"/>
  <c r="AB788" i="3"/>
  <c r="R790" i="3"/>
  <c r="U791" i="3"/>
  <c r="AE791" i="3" s="1"/>
  <c r="X792" i="3"/>
  <c r="AA793" i="3"/>
  <c r="Q795" i="3"/>
  <c r="T796" i="3"/>
  <c r="W797" i="3"/>
  <c r="Z798" i="3"/>
  <c r="P800" i="3"/>
  <c r="S801" i="3"/>
  <c r="V802" i="3"/>
  <c r="Y803" i="3"/>
  <c r="AB804" i="3"/>
  <c r="R806" i="3"/>
  <c r="U807" i="3"/>
  <c r="AE807" i="3" s="1"/>
  <c r="X808" i="3"/>
  <c r="AA809" i="3"/>
  <c r="Q811" i="3"/>
  <c r="T812" i="3"/>
  <c r="W813" i="3"/>
  <c r="Z814" i="3"/>
  <c r="P816" i="3"/>
  <c r="S817" i="3"/>
  <c r="V818" i="3"/>
  <c r="Y819" i="3"/>
  <c r="AB820" i="3"/>
  <c r="R822" i="3"/>
  <c r="U823" i="3"/>
  <c r="AE823" i="3" s="1"/>
  <c r="X824" i="3"/>
  <c r="AA825" i="3"/>
  <c r="Q827" i="3"/>
  <c r="T828" i="3"/>
  <c r="W829" i="3"/>
  <c r="Z830" i="3"/>
  <c r="P832" i="3"/>
  <c r="S833" i="3"/>
  <c r="V834" i="3"/>
  <c r="Y835" i="3"/>
  <c r="AB836" i="3"/>
  <c r="R838" i="3"/>
  <c r="U839" i="3"/>
  <c r="AE839" i="3" s="1"/>
  <c r="X840" i="3"/>
  <c r="AA841" i="3"/>
  <c r="Q843" i="3"/>
  <c r="T844" i="3"/>
  <c r="W845" i="3"/>
  <c r="Z846" i="3"/>
  <c r="P848" i="3"/>
  <c r="S849" i="3"/>
  <c r="V850" i="3"/>
  <c r="Y851" i="3"/>
  <c r="AB852" i="3"/>
  <c r="R854" i="3"/>
  <c r="U855" i="3"/>
  <c r="AE855" i="3" s="1"/>
  <c r="X856" i="3"/>
  <c r="AA857" i="3"/>
  <c r="Q859" i="3"/>
  <c r="T860" i="3"/>
  <c r="W861" i="3"/>
  <c r="Z862" i="3"/>
  <c r="P864" i="3"/>
  <c r="V582" i="3"/>
  <c r="U587" i="3"/>
  <c r="AE587" i="3" s="1"/>
  <c r="T592" i="3"/>
  <c r="S597" i="3"/>
  <c r="R602" i="3"/>
  <c r="Q607" i="3"/>
  <c r="P612" i="3"/>
  <c r="AB616" i="3"/>
  <c r="AA621" i="3"/>
  <c r="Z626" i="3"/>
  <c r="Y631" i="3"/>
  <c r="X636" i="3"/>
  <c r="W641" i="3"/>
  <c r="V646" i="3"/>
  <c r="U651" i="3"/>
  <c r="AE651" i="3" s="1"/>
  <c r="T656" i="3"/>
  <c r="S661" i="3"/>
  <c r="X665" i="3"/>
  <c r="Y668" i="3"/>
  <c r="W671" i="3"/>
  <c r="R674" i="3"/>
  <c r="X676" i="3"/>
  <c r="Q679" i="3"/>
  <c r="W681" i="3"/>
  <c r="P684" i="3"/>
  <c r="V686" i="3"/>
  <c r="S688" i="3"/>
  <c r="V689" i="3"/>
  <c r="Y690" i="3"/>
  <c r="AB691" i="3"/>
  <c r="R693" i="3"/>
  <c r="U694" i="3"/>
  <c r="AE694" i="3" s="1"/>
  <c r="X695" i="3"/>
  <c r="AA696" i="3"/>
  <c r="Q698" i="3"/>
  <c r="T699" i="3"/>
  <c r="W700" i="3"/>
  <c r="Z701" i="3"/>
  <c r="P703" i="3"/>
  <c r="S704" i="3"/>
  <c r="V705" i="3"/>
  <c r="Y706" i="3"/>
  <c r="AB707" i="3"/>
  <c r="R709" i="3"/>
  <c r="U710" i="3"/>
  <c r="AE710" i="3" s="1"/>
  <c r="X711" i="3"/>
  <c r="AA712" i="3"/>
  <c r="Q714" i="3"/>
  <c r="T715" i="3"/>
  <c r="W716" i="3"/>
  <c r="Z717" i="3"/>
  <c r="P719" i="3"/>
  <c r="S720" i="3"/>
  <c r="V721" i="3"/>
  <c r="Y722" i="3"/>
  <c r="AB723" i="3"/>
  <c r="R725" i="3"/>
  <c r="U726" i="3"/>
  <c r="AE726" i="3" s="1"/>
  <c r="X727" i="3"/>
  <c r="AA728" i="3"/>
  <c r="Q730" i="3"/>
  <c r="T731" i="3"/>
  <c r="W732" i="3"/>
  <c r="Z733" i="3"/>
  <c r="P735" i="3"/>
  <c r="S736" i="3"/>
  <c r="V737" i="3"/>
  <c r="Y738" i="3"/>
  <c r="AB739" i="3"/>
  <c r="R741" i="3"/>
  <c r="U742" i="3"/>
  <c r="AE742" i="3" s="1"/>
  <c r="X743" i="3"/>
  <c r="AA744" i="3"/>
  <c r="Q746" i="3"/>
  <c r="T747" i="3"/>
  <c r="W748" i="3"/>
  <c r="Z749" i="3"/>
  <c r="P751" i="3"/>
  <c r="S752" i="3"/>
  <c r="V753" i="3"/>
  <c r="Y754" i="3"/>
  <c r="AB755" i="3"/>
  <c r="R757" i="3"/>
  <c r="U758" i="3"/>
  <c r="AE758" i="3" s="1"/>
  <c r="X759" i="3"/>
  <c r="AA760" i="3"/>
  <c r="Q762" i="3"/>
  <c r="T763" i="3"/>
  <c r="W764" i="3"/>
  <c r="Z765" i="3"/>
  <c r="P767" i="3"/>
  <c r="S768" i="3"/>
  <c r="V769" i="3"/>
  <c r="Y770" i="3"/>
  <c r="AB771" i="3"/>
  <c r="R773" i="3"/>
  <c r="U774" i="3"/>
  <c r="AE774" i="3" s="1"/>
  <c r="X775" i="3"/>
  <c r="AA776" i="3"/>
  <c r="Q778" i="3"/>
  <c r="T779" i="3"/>
  <c r="W780" i="3"/>
  <c r="Z781" i="3"/>
  <c r="P783" i="3"/>
  <c r="S784" i="3"/>
  <c r="V785" i="3"/>
  <c r="Y786" i="3"/>
  <c r="AB787" i="3"/>
  <c r="R789" i="3"/>
  <c r="U790" i="3"/>
  <c r="AE790" i="3" s="1"/>
  <c r="X791" i="3"/>
  <c r="AA792" i="3"/>
  <c r="Q794" i="3"/>
  <c r="T795" i="3"/>
  <c r="W796" i="3"/>
  <c r="Z797" i="3"/>
  <c r="P799" i="3"/>
  <c r="S800" i="3"/>
  <c r="V801" i="3"/>
  <c r="Y802" i="3"/>
  <c r="AB803" i="3"/>
  <c r="R805" i="3"/>
  <c r="U806" i="3"/>
  <c r="AE806" i="3" s="1"/>
  <c r="X807" i="3"/>
  <c r="AA808" i="3"/>
  <c r="Q810" i="3"/>
  <c r="T811" i="3"/>
  <c r="W812" i="3"/>
  <c r="Z813" i="3"/>
  <c r="P815" i="3"/>
  <c r="S816" i="3"/>
  <c r="V817" i="3"/>
  <c r="Y818" i="3"/>
  <c r="AB819" i="3"/>
  <c r="R821" i="3"/>
  <c r="U822" i="3"/>
  <c r="AE822" i="3" s="1"/>
  <c r="X823" i="3"/>
  <c r="AA824" i="3"/>
  <c r="Q826" i="3"/>
  <c r="T827" i="3"/>
  <c r="W828" i="3"/>
  <c r="Z829" i="3"/>
  <c r="P831" i="3"/>
  <c r="S832" i="3"/>
  <c r="V833" i="3"/>
  <c r="Y834" i="3"/>
  <c r="AB835" i="3"/>
  <c r="R837" i="3"/>
  <c r="U838" i="3"/>
  <c r="AE838" i="3" s="1"/>
  <c r="X839" i="3"/>
  <c r="AA840" i="3"/>
  <c r="Q842" i="3"/>
  <c r="T843" i="3"/>
  <c r="W844" i="3"/>
  <c r="Z845" i="3"/>
  <c r="P847" i="3"/>
  <c r="S848" i="3"/>
  <c r="V849" i="3"/>
  <c r="Y850" i="3"/>
  <c r="AB851" i="3"/>
  <c r="R853" i="3"/>
  <c r="U854" i="3"/>
  <c r="AE854" i="3" s="1"/>
  <c r="X855" i="3"/>
  <c r="AA856" i="3"/>
  <c r="Q858" i="3"/>
  <c r="T859" i="3"/>
  <c r="W860" i="3"/>
  <c r="Z861" i="3"/>
  <c r="P863" i="3"/>
  <c r="S864" i="3"/>
  <c r="V865" i="3"/>
  <c r="Y866" i="3"/>
  <c r="AB867" i="3"/>
  <c r="R869" i="3"/>
  <c r="U870" i="3"/>
  <c r="AE870" i="3" s="1"/>
  <c r="X871" i="3"/>
  <c r="AA872" i="3"/>
  <c r="Q874" i="3"/>
  <c r="T875" i="3"/>
  <c r="W876" i="3"/>
  <c r="Z877" i="3"/>
  <c r="P879" i="3"/>
  <c r="S880" i="3"/>
  <c r="V881" i="3"/>
  <c r="Y882" i="3"/>
  <c r="AB883" i="3"/>
  <c r="R885" i="3"/>
  <c r="U886" i="3"/>
  <c r="AE886" i="3" s="1"/>
  <c r="X887" i="3"/>
  <c r="AA888" i="3"/>
  <c r="Q890" i="3"/>
  <c r="T891" i="3"/>
  <c r="W892" i="3"/>
  <c r="Z893" i="3"/>
  <c r="P895" i="3"/>
  <c r="S896" i="3"/>
  <c r="R897" i="3"/>
  <c r="R898" i="3"/>
  <c r="Q899" i="3"/>
  <c r="Q900" i="3"/>
  <c r="P901" i="3"/>
  <c r="Z901" i="3"/>
  <c r="V902" i="3"/>
  <c r="R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AE925" i="3" s="1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AE957" i="3" s="1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Y583" i="3"/>
  <c r="W784" i="3"/>
  <c r="X811" i="3"/>
  <c r="V821" i="3"/>
  <c r="U826" i="3"/>
  <c r="AE826" i="3" s="1"/>
  <c r="AA828" i="3"/>
  <c r="T831" i="3"/>
  <c r="P835" i="3"/>
  <c r="Y838" i="3"/>
  <c r="R841" i="3"/>
  <c r="Q846" i="3"/>
  <c r="W848" i="3"/>
  <c r="S852" i="3"/>
  <c r="AB855" i="3"/>
  <c r="U858" i="3"/>
  <c r="AE858" i="3" s="1"/>
  <c r="X859" i="3"/>
  <c r="W864" i="3"/>
  <c r="S868" i="3"/>
  <c r="Y870" i="3"/>
  <c r="R873" i="3"/>
  <c r="AA876" i="3"/>
  <c r="Q878" i="3"/>
  <c r="W880" i="3"/>
  <c r="P883" i="3"/>
  <c r="Y886" i="3"/>
  <c r="AB887" i="3"/>
  <c r="U890" i="3"/>
  <c r="AE890" i="3" s="1"/>
  <c r="AA892" i="3"/>
  <c r="T895" i="3"/>
  <c r="U898" i="3"/>
  <c r="AE898" i="3" s="1"/>
  <c r="U899" i="3"/>
  <c r="AE899" i="3" s="1"/>
  <c r="S901" i="3"/>
  <c r="X902" i="3"/>
  <c r="S905" i="3"/>
  <c r="Q583" i="3"/>
  <c r="P588" i="3"/>
  <c r="AB592" i="3"/>
  <c r="AA597" i="3"/>
  <c r="Z602" i="3"/>
  <c r="Y607" i="3"/>
  <c r="X612" i="3"/>
  <c r="W617" i="3"/>
  <c r="V622" i="3"/>
  <c r="U627" i="3"/>
  <c r="AE627" i="3" s="1"/>
  <c r="T632" i="3"/>
  <c r="S637" i="3"/>
  <c r="R642" i="3"/>
  <c r="Q647" i="3"/>
  <c r="P652" i="3"/>
  <c r="AB656" i="3"/>
  <c r="AA661" i="3"/>
  <c r="P666" i="3"/>
  <c r="Q669" i="3"/>
  <c r="AA671" i="3"/>
  <c r="V674" i="3"/>
  <c r="AB676" i="3"/>
  <c r="U679" i="3"/>
  <c r="AE679" i="3" s="1"/>
  <c r="AA681" i="3"/>
  <c r="T684" i="3"/>
  <c r="Z686" i="3"/>
  <c r="T688" i="3"/>
  <c r="W689" i="3"/>
  <c r="Z690" i="3"/>
  <c r="P692" i="3"/>
  <c r="S693" i="3"/>
  <c r="V694" i="3"/>
  <c r="Y695" i="3"/>
  <c r="AB696" i="3"/>
  <c r="R698" i="3"/>
  <c r="U699" i="3"/>
  <c r="AE699" i="3" s="1"/>
  <c r="X700" i="3"/>
  <c r="AA701" i="3"/>
  <c r="Q703" i="3"/>
  <c r="T704" i="3"/>
  <c r="W705" i="3"/>
  <c r="Z706" i="3"/>
  <c r="P708" i="3"/>
  <c r="S709" i="3"/>
  <c r="V710" i="3"/>
  <c r="Y711" i="3"/>
  <c r="AB712" i="3"/>
  <c r="R714" i="3"/>
  <c r="U715" i="3"/>
  <c r="AE715" i="3" s="1"/>
  <c r="X716" i="3"/>
  <c r="AA717" i="3"/>
  <c r="Q719" i="3"/>
  <c r="T720" i="3"/>
  <c r="W721" i="3"/>
  <c r="Z722" i="3"/>
  <c r="P724" i="3"/>
  <c r="S725" i="3"/>
  <c r="V726" i="3"/>
  <c r="Y727" i="3"/>
  <c r="AB728" i="3"/>
  <c r="R730" i="3"/>
  <c r="U731" i="3"/>
  <c r="AE731" i="3" s="1"/>
  <c r="X732" i="3"/>
  <c r="AA733" i="3"/>
  <c r="Q735" i="3"/>
  <c r="T736" i="3"/>
  <c r="W737" i="3"/>
  <c r="Z738" i="3"/>
  <c r="P740" i="3"/>
  <c r="S741" i="3"/>
  <c r="V742" i="3"/>
  <c r="Y743" i="3"/>
  <c r="AB744" i="3"/>
  <c r="R746" i="3"/>
  <c r="U747" i="3"/>
  <c r="AE747" i="3" s="1"/>
  <c r="X748" i="3"/>
  <c r="AA749" i="3"/>
  <c r="Q751" i="3"/>
  <c r="T752" i="3"/>
  <c r="W753" i="3"/>
  <c r="Z754" i="3"/>
  <c r="P756" i="3"/>
  <c r="S757" i="3"/>
  <c r="V758" i="3"/>
  <c r="Y759" i="3"/>
  <c r="AB760" i="3"/>
  <c r="R762" i="3"/>
  <c r="U763" i="3"/>
  <c r="AE763" i="3" s="1"/>
  <c r="X764" i="3"/>
  <c r="AA765" i="3"/>
  <c r="Q767" i="3"/>
  <c r="T768" i="3"/>
  <c r="W769" i="3"/>
  <c r="Z770" i="3"/>
  <c r="P772" i="3"/>
  <c r="S773" i="3"/>
  <c r="V774" i="3"/>
  <c r="Y775" i="3"/>
  <c r="AB776" i="3"/>
  <c r="R778" i="3"/>
  <c r="U779" i="3"/>
  <c r="AE779" i="3" s="1"/>
  <c r="X780" i="3"/>
  <c r="AA781" i="3"/>
  <c r="Q783" i="3"/>
  <c r="T784" i="3"/>
  <c r="W785" i="3"/>
  <c r="Z786" i="3"/>
  <c r="P788" i="3"/>
  <c r="S789" i="3"/>
  <c r="V790" i="3"/>
  <c r="Y791" i="3"/>
  <c r="AB792" i="3"/>
  <c r="R794" i="3"/>
  <c r="U795" i="3"/>
  <c r="AE795" i="3" s="1"/>
  <c r="X796" i="3"/>
  <c r="AA797" i="3"/>
  <c r="Q799" i="3"/>
  <c r="T800" i="3"/>
  <c r="W801" i="3"/>
  <c r="Z802" i="3"/>
  <c r="P804" i="3"/>
  <c r="S805" i="3"/>
  <c r="V806" i="3"/>
  <c r="Y807" i="3"/>
  <c r="AB808" i="3"/>
  <c r="R810" i="3"/>
  <c r="U811" i="3"/>
  <c r="AE811" i="3" s="1"/>
  <c r="X812" i="3"/>
  <c r="AA813" i="3"/>
  <c r="Q815" i="3"/>
  <c r="T816" i="3"/>
  <c r="W817" i="3"/>
  <c r="Z818" i="3"/>
  <c r="P820" i="3"/>
  <c r="S821" i="3"/>
  <c r="V822" i="3"/>
  <c r="Y823" i="3"/>
  <c r="AB824" i="3"/>
  <c r="R826" i="3"/>
  <c r="U827" i="3"/>
  <c r="AE827" i="3" s="1"/>
  <c r="X828" i="3"/>
  <c r="AA829" i="3"/>
  <c r="Q831" i="3"/>
  <c r="T832" i="3"/>
  <c r="W833" i="3"/>
  <c r="Z834" i="3"/>
  <c r="P836" i="3"/>
  <c r="S837" i="3"/>
  <c r="V838" i="3"/>
  <c r="Y839" i="3"/>
  <c r="AB840" i="3"/>
  <c r="R842" i="3"/>
  <c r="U843" i="3"/>
  <c r="AE843" i="3" s="1"/>
  <c r="X844" i="3"/>
  <c r="AA845" i="3"/>
  <c r="Q847" i="3"/>
  <c r="T848" i="3"/>
  <c r="W849" i="3"/>
  <c r="Z850" i="3"/>
  <c r="P852" i="3"/>
  <c r="S853" i="3"/>
  <c r="V854" i="3"/>
  <c r="Y855" i="3"/>
  <c r="AB856" i="3"/>
  <c r="R858" i="3"/>
  <c r="U859" i="3"/>
  <c r="AE859" i="3" s="1"/>
  <c r="X860" i="3"/>
  <c r="AA861" i="3"/>
  <c r="Q863" i="3"/>
  <c r="T864" i="3"/>
  <c r="W865" i="3"/>
  <c r="Z866" i="3"/>
  <c r="P868" i="3"/>
  <c r="S869" i="3"/>
  <c r="V870" i="3"/>
  <c r="Y871" i="3"/>
  <c r="AB872" i="3"/>
  <c r="R874" i="3"/>
  <c r="U875" i="3"/>
  <c r="AE875" i="3" s="1"/>
  <c r="X876" i="3"/>
  <c r="AA877" i="3"/>
  <c r="Q879" i="3"/>
  <c r="T880" i="3"/>
  <c r="W881" i="3"/>
  <c r="Z882" i="3"/>
  <c r="P884" i="3"/>
  <c r="S885" i="3"/>
  <c r="V886" i="3"/>
  <c r="Y887" i="3"/>
  <c r="AB888" i="3"/>
  <c r="R890" i="3"/>
  <c r="U891" i="3"/>
  <c r="AE891" i="3" s="1"/>
  <c r="X892" i="3"/>
  <c r="AA893" i="3"/>
  <c r="Q895" i="3"/>
  <c r="T896" i="3"/>
  <c r="S897" i="3"/>
  <c r="S898" i="3"/>
  <c r="T899" i="3"/>
  <c r="S900" i="3"/>
  <c r="R901" i="3"/>
  <c r="AA901" i="3"/>
  <c r="W902" i="3"/>
  <c r="S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W1000" i="3"/>
  <c r="X588" i="3"/>
  <c r="T783" i="3"/>
  <c r="AA812" i="3"/>
  <c r="Y822" i="3"/>
  <c r="R825" i="3"/>
  <c r="Q830" i="3"/>
  <c r="W832" i="3"/>
  <c r="Z833" i="3"/>
  <c r="V837" i="3"/>
  <c r="AB839" i="3"/>
  <c r="U842" i="3"/>
  <c r="AE842" i="3" s="1"/>
  <c r="AA844" i="3"/>
  <c r="T847" i="3"/>
  <c r="Z849" i="3"/>
  <c r="V853" i="3"/>
  <c r="Y854" i="3"/>
  <c r="R857" i="3"/>
  <c r="AA860" i="3"/>
  <c r="T863" i="3"/>
  <c r="Z865" i="3"/>
  <c r="P867" i="3"/>
  <c r="V869" i="3"/>
  <c r="U874" i="3"/>
  <c r="AE874" i="3" s="1"/>
  <c r="X875" i="3"/>
  <c r="T879" i="3"/>
  <c r="Z881" i="3"/>
  <c r="V885" i="3"/>
  <c r="R889" i="3"/>
  <c r="X891" i="3"/>
  <c r="Q894" i="3"/>
  <c r="V897" i="3"/>
  <c r="T900" i="3"/>
  <c r="AB901" i="3"/>
  <c r="T903" i="3"/>
  <c r="X904" i="3"/>
  <c r="AA905" i="3"/>
  <c r="U866" i="3"/>
  <c r="AE866" i="3" s="1"/>
  <c r="W872" i="3"/>
  <c r="Y875" i="3"/>
  <c r="Z878" i="3"/>
  <c r="U882" i="3"/>
  <c r="AE882" i="3" s="1"/>
  <c r="W885" i="3"/>
  <c r="X888" i="3"/>
  <c r="S892" i="3"/>
  <c r="U895" i="3"/>
  <c r="AE895" i="3" s="1"/>
  <c r="Q898" i="3"/>
  <c r="AA900" i="3"/>
  <c r="Y902" i="3"/>
  <c r="T904" i="3"/>
  <c r="AB905" i="3"/>
  <c r="R907" i="3"/>
  <c r="U908" i="3"/>
  <c r="AE908" i="3" s="1"/>
  <c r="X909" i="3"/>
  <c r="AA910" i="3"/>
  <c r="Q912" i="3"/>
  <c r="T913" i="3"/>
  <c r="W914" i="3"/>
  <c r="Z915" i="3"/>
  <c r="P917" i="3"/>
  <c r="S918" i="3"/>
  <c r="V919" i="3"/>
  <c r="Y920" i="3"/>
  <c r="AB921" i="3"/>
  <c r="R923" i="3"/>
  <c r="U924" i="3"/>
  <c r="AE924" i="3" s="1"/>
  <c r="X925" i="3"/>
  <c r="AA926" i="3"/>
  <c r="Q928" i="3"/>
  <c r="T929" i="3"/>
  <c r="W930" i="3"/>
  <c r="Z931" i="3"/>
  <c r="P933" i="3"/>
  <c r="S934" i="3"/>
  <c r="V935" i="3"/>
  <c r="Y936" i="3"/>
  <c r="AB937" i="3"/>
  <c r="R939" i="3"/>
  <c r="U940" i="3"/>
  <c r="AE940" i="3" s="1"/>
  <c r="X941" i="3"/>
  <c r="AA942" i="3"/>
  <c r="Q944" i="3"/>
  <c r="T945" i="3"/>
  <c r="W946" i="3"/>
  <c r="Z947" i="3"/>
  <c r="P949" i="3"/>
  <c r="S950" i="3"/>
  <c r="V951" i="3"/>
  <c r="Y952" i="3"/>
  <c r="AB953" i="3"/>
  <c r="R955" i="3"/>
  <c r="U956" i="3"/>
  <c r="AE956" i="3" s="1"/>
  <c r="X957" i="3"/>
  <c r="AA958" i="3"/>
  <c r="Q960" i="3"/>
  <c r="T961" i="3"/>
  <c r="W962" i="3"/>
  <c r="Z963" i="3"/>
  <c r="P965" i="3"/>
  <c r="S966" i="3"/>
  <c r="V967" i="3"/>
  <c r="Y968" i="3"/>
  <c r="AB969" i="3"/>
  <c r="R971" i="3"/>
  <c r="U972" i="3"/>
  <c r="AE972" i="3" s="1"/>
  <c r="X973" i="3"/>
  <c r="AA974" i="3"/>
  <c r="Q976" i="3"/>
  <c r="T977" i="3"/>
  <c r="W978" i="3"/>
  <c r="Z979" i="3"/>
  <c r="P981" i="3"/>
  <c r="S982" i="3"/>
  <c r="V983" i="3"/>
  <c r="Y984" i="3"/>
  <c r="AB985" i="3"/>
  <c r="R987" i="3"/>
  <c r="U988" i="3"/>
  <c r="AE988" i="3" s="1"/>
  <c r="X989" i="3"/>
  <c r="AA990" i="3"/>
  <c r="Q992" i="3"/>
  <c r="T993" i="3"/>
  <c r="W994" i="3"/>
  <c r="Z995" i="3"/>
  <c r="P997" i="3"/>
  <c r="S998" i="3"/>
  <c r="V999" i="3"/>
  <c r="Y1000" i="3"/>
  <c r="Y867" i="3"/>
  <c r="AB879" i="3"/>
  <c r="R886" i="3"/>
  <c r="AB892" i="3"/>
  <c r="AA898" i="3"/>
  <c r="Q903" i="3"/>
  <c r="S906" i="3"/>
  <c r="Y908" i="3"/>
  <c r="R911" i="3"/>
  <c r="X913" i="3"/>
  <c r="AA914" i="3"/>
  <c r="T917" i="3"/>
  <c r="Z919" i="3"/>
  <c r="S922" i="3"/>
  <c r="Y924" i="3"/>
  <c r="R927" i="3"/>
  <c r="X929" i="3"/>
  <c r="Q932" i="3"/>
  <c r="W934" i="3"/>
  <c r="Z935" i="3"/>
  <c r="S938" i="3"/>
  <c r="Y940" i="3"/>
  <c r="R943" i="3"/>
  <c r="X945" i="3"/>
  <c r="Q948" i="3"/>
  <c r="W950" i="3"/>
  <c r="P953" i="3"/>
  <c r="V955" i="3"/>
  <c r="AB957" i="3"/>
  <c r="U960" i="3"/>
  <c r="AE960" i="3" s="1"/>
  <c r="AA962" i="3"/>
  <c r="T965" i="3"/>
  <c r="Z967" i="3"/>
  <c r="S970" i="3"/>
  <c r="Y972" i="3"/>
  <c r="R975" i="3"/>
  <c r="X977" i="3"/>
  <c r="Q980" i="3"/>
  <c r="W982" i="3"/>
  <c r="P985" i="3"/>
  <c r="V987" i="3"/>
  <c r="AB989" i="3"/>
  <c r="U992" i="3"/>
  <c r="AE992" i="3" s="1"/>
  <c r="AA994" i="3"/>
  <c r="T997" i="3"/>
  <c r="Z999" i="3"/>
  <c r="Z934" i="3"/>
  <c r="P952" i="3"/>
  <c r="AB956" i="3"/>
  <c r="U959" i="3"/>
  <c r="AE959" i="3" s="1"/>
  <c r="AA961" i="3"/>
  <c r="Q963" i="3"/>
  <c r="W965" i="3"/>
  <c r="P968" i="3"/>
  <c r="Y971" i="3"/>
  <c r="R974" i="3"/>
  <c r="X976" i="3"/>
  <c r="T980" i="3"/>
  <c r="Z982" i="3"/>
  <c r="P984" i="3"/>
  <c r="Y987" i="3"/>
  <c r="R990" i="3"/>
  <c r="X992" i="3"/>
  <c r="Q995" i="3"/>
  <c r="W997" i="3"/>
  <c r="P1000" i="3"/>
  <c r="V866" i="3"/>
  <c r="X872" i="3"/>
  <c r="S876" i="3"/>
  <c r="U879" i="3"/>
  <c r="AE879" i="3" s="1"/>
  <c r="V882" i="3"/>
  <c r="Q886" i="3"/>
  <c r="S889" i="3"/>
  <c r="T892" i="3"/>
  <c r="AB895" i="3"/>
  <c r="V898" i="3"/>
  <c r="AB900" i="3"/>
  <c r="P903" i="3"/>
  <c r="U904" i="3"/>
  <c r="AE904" i="3" s="1"/>
  <c r="R906" i="3"/>
  <c r="U907" i="3"/>
  <c r="AE907" i="3" s="1"/>
  <c r="X908" i="3"/>
  <c r="AA909" i="3"/>
  <c r="Q911" i="3"/>
  <c r="T912" i="3"/>
  <c r="W913" i="3"/>
  <c r="Z914" i="3"/>
  <c r="P916" i="3"/>
  <c r="S917" i="3"/>
  <c r="V918" i="3"/>
  <c r="Y919" i="3"/>
  <c r="AB920" i="3"/>
  <c r="R922" i="3"/>
  <c r="U923" i="3"/>
  <c r="AE923" i="3" s="1"/>
  <c r="X924" i="3"/>
  <c r="AA925" i="3"/>
  <c r="Q927" i="3"/>
  <c r="T928" i="3"/>
  <c r="W929" i="3"/>
  <c r="Z930" i="3"/>
  <c r="P932" i="3"/>
  <c r="S933" i="3"/>
  <c r="V934" i="3"/>
  <c r="Y935" i="3"/>
  <c r="AB936" i="3"/>
  <c r="R938" i="3"/>
  <c r="U939" i="3"/>
  <c r="AE939" i="3" s="1"/>
  <c r="X940" i="3"/>
  <c r="AA941" i="3"/>
  <c r="Q943" i="3"/>
  <c r="T944" i="3"/>
  <c r="W945" i="3"/>
  <c r="Z946" i="3"/>
  <c r="P948" i="3"/>
  <c r="S949" i="3"/>
  <c r="V950" i="3"/>
  <c r="Y951" i="3"/>
  <c r="AB952" i="3"/>
  <c r="R954" i="3"/>
  <c r="U955" i="3"/>
  <c r="AE955" i="3" s="1"/>
  <c r="X956" i="3"/>
  <c r="AA957" i="3"/>
  <c r="Q959" i="3"/>
  <c r="T960" i="3"/>
  <c r="W961" i="3"/>
  <c r="Z962" i="3"/>
  <c r="P964" i="3"/>
  <c r="S965" i="3"/>
  <c r="V966" i="3"/>
  <c r="Y967" i="3"/>
  <c r="AB968" i="3"/>
  <c r="R970" i="3"/>
  <c r="U971" i="3"/>
  <c r="AE971" i="3" s="1"/>
  <c r="X972" i="3"/>
  <c r="AA973" i="3"/>
  <c r="Q975" i="3"/>
  <c r="T976" i="3"/>
  <c r="W977" i="3"/>
  <c r="Z978" i="3"/>
  <c r="P980" i="3"/>
  <c r="S981" i="3"/>
  <c r="V982" i="3"/>
  <c r="Y983" i="3"/>
  <c r="AB984" i="3"/>
  <c r="R986" i="3"/>
  <c r="U987" i="3"/>
  <c r="AE987" i="3" s="1"/>
  <c r="X988" i="3"/>
  <c r="AA989" i="3"/>
  <c r="Q991" i="3"/>
  <c r="T992" i="3"/>
  <c r="W993" i="3"/>
  <c r="Z994" i="3"/>
  <c r="P996" i="3"/>
  <c r="S997" i="3"/>
  <c r="V998" i="3"/>
  <c r="Y999" i="3"/>
  <c r="AB1000" i="3"/>
  <c r="S873" i="3"/>
  <c r="T876" i="3"/>
  <c r="Q883" i="3"/>
  <c r="Z889" i="3"/>
  <c r="P896" i="3"/>
  <c r="T901" i="3"/>
  <c r="Y904" i="3"/>
  <c r="V907" i="3"/>
  <c r="AB909" i="3"/>
  <c r="U912" i="3"/>
  <c r="AE912" i="3" s="1"/>
  <c r="Q916" i="3"/>
  <c r="W918" i="3"/>
  <c r="P921" i="3"/>
  <c r="V923" i="3"/>
  <c r="AB925" i="3"/>
  <c r="U928" i="3"/>
  <c r="AE928" i="3" s="1"/>
  <c r="AA930" i="3"/>
  <c r="T933" i="3"/>
  <c r="P937" i="3"/>
  <c r="V939" i="3"/>
  <c r="AB941" i="3"/>
  <c r="U944" i="3"/>
  <c r="AE944" i="3" s="1"/>
  <c r="AA946" i="3"/>
  <c r="T949" i="3"/>
  <c r="Z951" i="3"/>
  <c r="S954" i="3"/>
  <c r="Y956" i="3"/>
  <c r="R959" i="3"/>
  <c r="X961" i="3"/>
  <c r="Q964" i="3"/>
  <c r="W966" i="3"/>
  <c r="P969" i="3"/>
  <c r="V971" i="3"/>
  <c r="AB973" i="3"/>
  <c r="U976" i="3"/>
  <c r="AE976" i="3" s="1"/>
  <c r="AA978" i="3"/>
  <c r="T981" i="3"/>
  <c r="Z983" i="3"/>
  <c r="S986" i="3"/>
  <c r="Y988" i="3"/>
  <c r="R991" i="3"/>
  <c r="X993" i="3"/>
  <c r="Q996" i="3"/>
  <c r="W998" i="3"/>
  <c r="AB868" i="3"/>
  <c r="Z873" i="3"/>
  <c r="AB876" i="3"/>
  <c r="P880" i="3"/>
  <c r="X883" i="3"/>
  <c r="Z886" i="3"/>
  <c r="AA889" i="3"/>
  <c r="V893" i="3"/>
  <c r="W896" i="3"/>
  <c r="P899" i="3"/>
  <c r="W901" i="3"/>
  <c r="U903" i="3"/>
  <c r="AE903" i="3" s="1"/>
  <c r="AB904" i="3"/>
  <c r="V906" i="3"/>
  <c r="Y907" i="3"/>
  <c r="AB908" i="3"/>
  <c r="R910" i="3"/>
  <c r="U911" i="3"/>
  <c r="AE911" i="3" s="1"/>
  <c r="X912" i="3"/>
  <c r="AA913" i="3"/>
  <c r="Q915" i="3"/>
  <c r="T916" i="3"/>
  <c r="W917" i="3"/>
  <c r="Z918" i="3"/>
  <c r="P920" i="3"/>
  <c r="S921" i="3"/>
  <c r="V922" i="3"/>
  <c r="Y923" i="3"/>
  <c r="AB924" i="3"/>
  <c r="R926" i="3"/>
  <c r="U927" i="3"/>
  <c r="AE927" i="3" s="1"/>
  <c r="X928" i="3"/>
  <c r="AA929" i="3"/>
  <c r="Q931" i="3"/>
  <c r="T932" i="3"/>
  <c r="W933" i="3"/>
  <c r="P936" i="3"/>
  <c r="S937" i="3"/>
  <c r="V938" i="3"/>
  <c r="Y939" i="3"/>
  <c r="AB940" i="3"/>
  <c r="R942" i="3"/>
  <c r="U943" i="3"/>
  <c r="AE943" i="3" s="1"/>
  <c r="X944" i="3"/>
  <c r="AA945" i="3"/>
  <c r="Q947" i="3"/>
  <c r="T948" i="3"/>
  <c r="W949" i="3"/>
  <c r="Z950" i="3"/>
  <c r="S953" i="3"/>
  <c r="V954" i="3"/>
  <c r="Y955" i="3"/>
  <c r="R958" i="3"/>
  <c r="X960" i="3"/>
  <c r="T964" i="3"/>
  <c r="Z966" i="3"/>
  <c r="S969" i="3"/>
  <c r="V970" i="3"/>
  <c r="AB972" i="3"/>
  <c r="U975" i="3"/>
  <c r="AE975" i="3" s="1"/>
  <c r="AA977" i="3"/>
  <c r="Q979" i="3"/>
  <c r="W981" i="3"/>
  <c r="S985" i="3"/>
  <c r="V986" i="3"/>
  <c r="AB988" i="3"/>
  <c r="U991" i="3"/>
  <c r="AE991" i="3" s="1"/>
  <c r="AA993" i="3"/>
  <c r="T996" i="3"/>
  <c r="Z998" i="3"/>
  <c r="Q870" i="3"/>
  <c r="AA873" i="3"/>
  <c r="V877" i="3"/>
  <c r="X880" i="3"/>
  <c r="Y883" i="3"/>
  <c r="T887" i="3"/>
  <c r="V890" i="3"/>
  <c r="W893" i="3"/>
  <c r="AB896" i="3"/>
  <c r="V899" i="3"/>
  <c r="X901" i="3"/>
  <c r="Y903" i="3"/>
  <c r="P905" i="3"/>
  <c r="W906" i="3"/>
  <c r="Z907" i="3"/>
  <c r="P909" i="3"/>
  <c r="S910" i="3"/>
  <c r="V911" i="3"/>
  <c r="Y912" i="3"/>
  <c r="AB913" i="3"/>
  <c r="R915" i="3"/>
  <c r="U916" i="3"/>
  <c r="AE916" i="3" s="1"/>
  <c r="X917" i="3"/>
  <c r="AA918" i="3"/>
  <c r="Q920" i="3"/>
  <c r="T921" i="3"/>
  <c r="W922" i="3"/>
  <c r="Z923" i="3"/>
  <c r="P925" i="3"/>
  <c r="S926" i="3"/>
  <c r="V927" i="3"/>
  <c r="Y928" i="3"/>
  <c r="AB929" i="3"/>
  <c r="R931" i="3"/>
  <c r="U932" i="3"/>
  <c r="AE932" i="3" s="1"/>
  <c r="X933" i="3"/>
  <c r="AA934" i="3"/>
  <c r="Q936" i="3"/>
  <c r="T937" i="3"/>
  <c r="W938" i="3"/>
  <c r="Z939" i="3"/>
  <c r="P941" i="3"/>
  <c r="S942" i="3"/>
  <c r="V943" i="3"/>
  <c r="Y944" i="3"/>
  <c r="AB945" i="3"/>
  <c r="R947" i="3"/>
  <c r="U948" i="3"/>
  <c r="AE948" i="3" s="1"/>
  <c r="X949" i="3"/>
  <c r="AA950" i="3"/>
  <c r="Q952" i="3"/>
  <c r="T953" i="3"/>
  <c r="W954" i="3"/>
  <c r="Z955" i="3"/>
  <c r="P957" i="3"/>
  <c r="S958" i="3"/>
  <c r="V959" i="3"/>
  <c r="Y960" i="3"/>
  <c r="AB961" i="3"/>
  <c r="R963" i="3"/>
  <c r="U964" i="3"/>
  <c r="AE964" i="3" s="1"/>
  <c r="X965" i="3"/>
  <c r="AA966" i="3"/>
  <c r="Q968" i="3"/>
  <c r="T969" i="3"/>
  <c r="W970" i="3"/>
  <c r="Z971" i="3"/>
  <c r="P973" i="3"/>
  <c r="S974" i="3"/>
  <c r="V975" i="3"/>
  <c r="Y976" i="3"/>
  <c r="AB977" i="3"/>
  <c r="R979" i="3"/>
  <c r="U980" i="3"/>
  <c r="AE980" i="3" s="1"/>
  <c r="X981" i="3"/>
  <c r="AA982" i="3"/>
  <c r="Q984" i="3"/>
  <c r="T985" i="3"/>
  <c r="W986" i="3"/>
  <c r="Z987" i="3"/>
  <c r="P989" i="3"/>
  <c r="S990" i="3"/>
  <c r="V991" i="3"/>
  <c r="Y992" i="3"/>
  <c r="AB993" i="3"/>
  <c r="R995" i="3"/>
  <c r="U996" i="3"/>
  <c r="AE996" i="3" s="1"/>
  <c r="X997" i="3"/>
  <c r="AA998" i="3"/>
  <c r="Q1000" i="3"/>
  <c r="T871" i="3"/>
  <c r="P875" i="3"/>
  <c r="S881" i="3"/>
  <c r="P888" i="3"/>
  <c r="Y894" i="3"/>
  <c r="P900" i="3"/>
  <c r="P904" i="3"/>
  <c r="AA906" i="3"/>
  <c r="T909" i="3"/>
  <c r="Z911" i="3"/>
  <c r="S914" i="3"/>
  <c r="Y916" i="3"/>
  <c r="R919" i="3"/>
  <c r="X921" i="3"/>
  <c r="Q924" i="3"/>
  <c r="W926" i="3"/>
  <c r="P929" i="3"/>
  <c r="V931" i="3"/>
  <c r="AB933" i="3"/>
  <c r="U936" i="3"/>
  <c r="AE936" i="3" s="1"/>
  <c r="AA938" i="3"/>
  <c r="T941" i="3"/>
  <c r="Z943" i="3"/>
  <c r="S946" i="3"/>
  <c r="Y948" i="3"/>
  <c r="R951" i="3"/>
  <c r="X953" i="3"/>
  <c r="Q956" i="3"/>
  <c r="W958" i="3"/>
  <c r="P961" i="3"/>
  <c r="V963" i="3"/>
  <c r="AB965" i="3"/>
  <c r="U968" i="3"/>
  <c r="AE968" i="3" s="1"/>
  <c r="AA970" i="3"/>
  <c r="T973" i="3"/>
  <c r="Z975" i="3"/>
  <c r="S978" i="3"/>
  <c r="Y980" i="3"/>
  <c r="R983" i="3"/>
  <c r="X985" i="3"/>
  <c r="Q988" i="3"/>
  <c r="W990" i="3"/>
  <c r="P993" i="3"/>
  <c r="V995" i="3"/>
  <c r="AB997" i="3"/>
  <c r="U1000" i="3"/>
  <c r="AE1000" i="3" s="1"/>
  <c r="S865" i="3"/>
  <c r="U871" i="3"/>
  <c r="AE871" i="3" s="1"/>
  <c r="Q875" i="3"/>
  <c r="Y878" i="3"/>
  <c r="AA881" i="3"/>
  <c r="AB884" i="3"/>
  <c r="W888" i="3"/>
  <c r="Y891" i="3"/>
  <c r="Z894" i="3"/>
  <c r="AA897" i="3"/>
  <c r="W900" i="3"/>
  <c r="U902" i="3"/>
  <c r="AE902" i="3" s="1"/>
  <c r="Q904" i="3"/>
  <c r="X905" i="3"/>
  <c r="Q907" i="3"/>
  <c r="T908" i="3"/>
  <c r="W909" i="3"/>
  <c r="Z910" i="3"/>
  <c r="P912" i="3"/>
  <c r="S913" i="3"/>
  <c r="V914" i="3"/>
  <c r="Y915" i="3"/>
  <c r="AB916" i="3"/>
  <c r="R918" i="3"/>
  <c r="U919" i="3"/>
  <c r="AE919" i="3" s="1"/>
  <c r="X920" i="3"/>
  <c r="AA921" i="3"/>
  <c r="Q923" i="3"/>
  <c r="T924" i="3"/>
  <c r="W925" i="3"/>
  <c r="Z926" i="3"/>
  <c r="P928" i="3"/>
  <c r="S929" i="3"/>
  <c r="V930" i="3"/>
  <c r="Y931" i="3"/>
  <c r="AB932" i="3"/>
  <c r="R934" i="3"/>
  <c r="U935" i="3"/>
  <c r="AE935" i="3" s="1"/>
  <c r="X936" i="3"/>
  <c r="AA937" i="3"/>
  <c r="T940" i="3"/>
  <c r="W941" i="3"/>
  <c r="Z942" i="3"/>
  <c r="P944" i="3"/>
  <c r="S945" i="3"/>
  <c r="V946" i="3"/>
  <c r="Y947" i="3"/>
  <c r="AB948" i="3"/>
  <c r="R950" i="3"/>
  <c r="U951" i="3"/>
  <c r="AE951" i="3" s="1"/>
  <c r="X952" i="3"/>
  <c r="AA953" i="3"/>
  <c r="T956" i="3"/>
  <c r="W957" i="3"/>
  <c r="Z958" i="3"/>
  <c r="S961" i="3"/>
  <c r="AB964" i="3"/>
  <c r="U967" i="3"/>
  <c r="AE967" i="3" s="1"/>
  <c r="X968" i="3"/>
  <c r="T972" i="3"/>
  <c r="Z974" i="3"/>
  <c r="S977" i="3"/>
  <c r="V978" i="3"/>
  <c r="R982" i="3"/>
  <c r="X984" i="3"/>
  <c r="Q987" i="3"/>
  <c r="Z990" i="3"/>
  <c r="S993" i="3"/>
  <c r="V994" i="3"/>
  <c r="R998" i="3"/>
  <c r="X1000" i="3"/>
  <c r="R870" i="3"/>
  <c r="V874" i="3"/>
  <c r="W877" i="3"/>
  <c r="R881" i="3"/>
  <c r="T884" i="3"/>
  <c r="U887" i="3"/>
  <c r="AE887" i="3" s="1"/>
  <c r="P891" i="3"/>
  <c r="R894" i="3"/>
  <c r="P897" i="3"/>
  <c r="AB899" i="3"/>
  <c r="P902" i="3"/>
  <c r="Z903" i="3"/>
  <c r="T905" i="3"/>
  <c r="Z906" i="3"/>
  <c r="P908" i="3"/>
  <c r="S909" i="3"/>
  <c r="V910" i="3"/>
  <c r="Y911" i="3"/>
  <c r="AB912" i="3"/>
  <c r="R914" i="3"/>
  <c r="U915" i="3"/>
  <c r="AE915" i="3" s="1"/>
  <c r="X916" i="3"/>
  <c r="AA917" i="3"/>
  <c r="Q919" i="3"/>
  <c r="T920" i="3"/>
  <c r="W921" i="3"/>
  <c r="Z922" i="3"/>
  <c r="P924" i="3"/>
  <c r="S925" i="3"/>
  <c r="V926" i="3"/>
  <c r="Y927" i="3"/>
  <c r="AB928" i="3"/>
  <c r="R930" i="3"/>
  <c r="U931" i="3"/>
  <c r="AE931" i="3" s="1"/>
  <c r="X932" i="3"/>
  <c r="AA933" i="3"/>
  <c r="Q935" i="3"/>
  <c r="T936" i="3"/>
  <c r="W937" i="3"/>
  <c r="Z938" i="3"/>
  <c r="P940" i="3"/>
  <c r="S941" i="3"/>
  <c r="V942" i="3"/>
  <c r="Y943" i="3"/>
  <c r="AB944" i="3"/>
  <c r="R946" i="3"/>
  <c r="U947" i="3"/>
  <c r="AE947" i="3" s="1"/>
  <c r="X948" i="3"/>
  <c r="AA949" i="3"/>
  <c r="Q951" i="3"/>
  <c r="T952" i="3"/>
  <c r="W953" i="3"/>
  <c r="Z954" i="3"/>
  <c r="P956" i="3"/>
  <c r="S957" i="3"/>
  <c r="V958" i="3"/>
  <c r="Y959" i="3"/>
  <c r="AB960" i="3"/>
  <c r="R962" i="3"/>
  <c r="U963" i="3"/>
  <c r="AE963" i="3" s="1"/>
  <c r="X964" i="3"/>
  <c r="AA965" i="3"/>
  <c r="Q967" i="3"/>
  <c r="T968" i="3"/>
  <c r="W969" i="3"/>
  <c r="Z970" i="3"/>
  <c r="P972" i="3"/>
  <c r="S973" i="3"/>
  <c r="V974" i="3"/>
  <c r="Y975" i="3"/>
  <c r="AB976" i="3"/>
  <c r="R978" i="3"/>
  <c r="U979" i="3"/>
  <c r="AE979" i="3" s="1"/>
  <c r="X980" i="3"/>
  <c r="AA981" i="3"/>
  <c r="Q983" i="3"/>
  <c r="T984" i="3"/>
  <c r="W985" i="3"/>
  <c r="Z986" i="3"/>
  <c r="P988" i="3"/>
  <c r="S989" i="3"/>
  <c r="V990" i="3"/>
  <c r="Y991" i="3"/>
  <c r="AB992" i="3"/>
  <c r="R994" i="3"/>
  <c r="U995" i="3"/>
  <c r="AE995" i="3" s="1"/>
  <c r="X996" i="3"/>
  <c r="AA997" i="3"/>
  <c r="Q999" i="3"/>
  <c r="T1000" i="3"/>
  <c r="V845" i="3"/>
  <c r="R878" i="3"/>
  <c r="AA884" i="3"/>
  <c r="Q891" i="3"/>
  <c r="W897" i="3"/>
  <c r="S902" i="3"/>
  <c r="W905" i="3"/>
  <c r="Q908" i="3"/>
  <c r="W910" i="3"/>
  <c r="P913" i="3"/>
  <c r="V915" i="3"/>
  <c r="AB917" i="3"/>
  <c r="U920" i="3"/>
  <c r="AE920" i="3" s="1"/>
  <c r="AA922" i="3"/>
  <c r="T925" i="3"/>
  <c r="Z927" i="3"/>
  <c r="S930" i="3"/>
  <c r="Y932" i="3"/>
  <c r="R935" i="3"/>
  <c r="X937" i="3"/>
  <c r="Q940" i="3"/>
  <c r="W942" i="3"/>
  <c r="P945" i="3"/>
  <c r="V947" i="3"/>
  <c r="AB949" i="3"/>
  <c r="U952" i="3"/>
  <c r="AE952" i="3" s="1"/>
  <c r="AA954" i="3"/>
  <c r="T957" i="3"/>
  <c r="Z959" i="3"/>
  <c r="S962" i="3"/>
  <c r="Y964" i="3"/>
  <c r="R967" i="3"/>
  <c r="X969" i="3"/>
  <c r="Q972" i="3"/>
  <c r="W974" i="3"/>
  <c r="P977" i="3"/>
  <c r="V979" i="3"/>
  <c r="AB981" i="3"/>
  <c r="U984" i="3"/>
  <c r="AE984" i="3" s="1"/>
  <c r="AA986" i="3"/>
  <c r="T989" i="3"/>
  <c r="Z991" i="3"/>
  <c r="S994" i="3"/>
  <c r="Y996" i="3"/>
  <c r="R999" i="3"/>
  <c r="Q939" i="3"/>
  <c r="Q955" i="3"/>
  <c r="P960" i="3"/>
  <c r="V962" i="3"/>
  <c r="Y963" i="3"/>
  <c r="R966" i="3"/>
  <c r="AA969" i="3"/>
  <c r="Q971" i="3"/>
  <c r="W973" i="3"/>
  <c r="P976" i="3"/>
  <c r="Y979" i="3"/>
  <c r="AB980" i="3"/>
  <c r="U983" i="3"/>
  <c r="AE983" i="3" s="1"/>
  <c r="AA985" i="3"/>
  <c r="T988" i="3"/>
  <c r="W989" i="3"/>
  <c r="P992" i="3"/>
  <c r="Y995" i="3"/>
  <c r="AB996" i="3"/>
  <c r="U999" i="3"/>
  <c r="AE999" i="3" s="1"/>
  <c r="AE40" i="3"/>
  <c r="AE26" i="3"/>
  <c r="AE50" i="3"/>
  <c r="AE39" i="3"/>
  <c r="AE47" i="3"/>
  <c r="AE12" i="3"/>
  <c r="AE30" i="3"/>
  <c r="AE11" i="3"/>
  <c r="AE66" i="3"/>
  <c r="AE82" i="3"/>
  <c r="AE62" i="3"/>
  <c r="AE76" i="3"/>
  <c r="AE88" i="3"/>
  <c r="AE61" i="3"/>
  <c r="AE120" i="3"/>
  <c r="AE184" i="3"/>
  <c r="AE112" i="3"/>
  <c r="AE99" i="3"/>
  <c r="AE172" i="3"/>
  <c r="AE161" i="3"/>
  <c r="AE169" i="3"/>
  <c r="AE148" i="3"/>
  <c r="AE328" i="3"/>
  <c r="AE325" i="3"/>
  <c r="AE429" i="3"/>
  <c r="AE447" i="3"/>
  <c r="AE413" i="3"/>
  <c r="AE44" i="3"/>
  <c r="AE51" i="3"/>
  <c r="AE67" i="3"/>
  <c r="AE353" i="3"/>
  <c r="AE312" i="3"/>
  <c r="AE289" i="3"/>
  <c r="AE46" i="3"/>
  <c r="W4" i="3" l="1"/>
  <c r="V4" i="3" s="1"/>
  <c r="D14" i="1" s="1"/>
  <c r="W3" i="3"/>
  <c r="V3" i="3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8" i="3" l="1"/>
  <c r="AI321" i="3"/>
  <c r="AI695" i="3"/>
  <c r="AI152" i="3"/>
  <c r="AI911" i="3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<sst xmlns="http://schemas.openxmlformats.org/spreadsheetml/2006/main" count="486" uniqueCount="279">
  <si>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</si>
  <si>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</si>
  <si>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</si>
  <si>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</si>
  <si>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</si>
  <si>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</si>
  <si>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</si>
  <si>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</si>
  <si>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</si>
  <si>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</si>
  <si>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</si>
  <si>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</si>
  <si>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</si>
  <si>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</si>
  <si>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</si>
  <si>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</si>
  <si>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</si>
  <si>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</si>
  <si>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</si>
  <si>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</si>
  <si>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</si>
  <si>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</si>
  <si>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</si>
  <si>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</si>
  <si>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</si>
  <si>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</si>
  <si>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</si>
  <si>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</si>
  <si>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</si>
  <si>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</si>
  <si>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</si>
  <si>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</si>
  <si>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</si>
  <si>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</si>
  <si>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</si>
  <si>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</si>
  <si>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</si>
  <si>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</si>
  <si>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</si>
  <si>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</si>
  <si>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</si>
  <si>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</si>
  <si>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</si>
  <si>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</si>
  <si>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</si>
  <si>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</si>
  <si>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</si>
  <si>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</si>
  <si>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</si>
  <si>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</si>
  <si>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</si>
  <si>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</si>
  <si>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</si>
  <si>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</si>
  <si>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</si>
  <si>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</si>
  <si>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</si>
  <si>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</si>
  <si>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</si>
  <si>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</si>
  <si>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</si>
  <si>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</si>
  <si>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</si>
  <si>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</si>
  <si>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</si>
  <si>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</si>
  <si>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</si>
  <si>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</si>
  <si>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</si>
  <si>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</si>
  <si>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</si>
  <si>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</si>
  <si>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</si>
  <si>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</si>
  <si>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</si>
  <si>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</si>
  <si>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</si>
  <si>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</si>
  <si>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</si>
  <si>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</si>
  <si>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</si>
  <si>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</si>
  <si>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</si>
  <si>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</si>
  <si>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</si>
  <si>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</si>
  <si>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</si>
  <si>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</si>
  <si>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</si>
  <si>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</si>
  <si>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</si>
  <si>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</si>
  <si>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</si>
  <si>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</si>
  <si>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</si>
  <si>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</si>
  <si>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</si>
  <si>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</si>
  <si>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</si>
  <si>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</si>
  <si>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</si>
  <si>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</si>
  <si>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</si>
  <si>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</si>
  <si>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</si>
  <si>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</si>
  <si>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</si>
  <si>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</si>
  <si>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</si>
  <si>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</si>
  <si>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</si>
  <si>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</si>
  <si>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</si>
  <si>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</si>
  <si>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</si>
  <si>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</si>
  <si>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</si>
  <si>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</si>
  <si>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</si>
  <si>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</si>
  <si>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</si>
  <si>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</si>
  <si>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</si>
  <si>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</si>
  <si>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</si>
  <si>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</si>
  <si>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</si>
  <si>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</si>
  <si>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</si>
  <si>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</si>
  <si>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</si>
  <si>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</si>
  <si>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</si>
  <si>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</si>
  <si>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</si>
  <si>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</si>
  <si>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</si>
  <si>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</si>
  <si>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</si>
  <si>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</si>
  <si>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</si>
  <si>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</si>
  <si>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</si>
  <si>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</si>
  <si>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</si>
  <si>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</si>
  <si>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</si>
  <si>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</si>
  <si>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</si>
  <si>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</si>
  <si>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</si>
  <si>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</si>
  <si>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</si>
  <si>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</si>
  <si>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</si>
  <si>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</si>
  <si>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</si>
  <si>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</si>
  <si>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</si>
  <si>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</si>
  <si>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</si>
  <si>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</si>
  <si>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</si>
  <si>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</si>
  <si>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</si>
  <si>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</si>
  <si>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</si>
  <si>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</si>
  <si>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</si>
  <si>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</si>
  <si>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</si>
  <si>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</si>
  <si>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</si>
  <si>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</si>
  <si>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</si>
  <si>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</si>
  <si>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</si>
  <si>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</si>
  <si>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</si>
  <si>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</si>
  <si>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</si>
  <si>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</si>
  <si>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</si>
  <si>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</si>
  <si>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</si>
  <si>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</si>
  <si>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</si>
  <si>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</si>
  <si>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</si>
  <si>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</si>
  <si>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</si>
  <si>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</si>
  <si>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</si>
  <si>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</si>
  <si>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</si>
  <si>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</si>
  <si>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</si>
  <si>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</si>
  <si>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</si>
  <si>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</si>
  <si>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</si>
  <si>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</si>
  <si>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</si>
  <si>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</si>
  <si>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</si>
  <si>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</si>
  <si>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</si>
  <si>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</si>
  <si>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</si>
  <si>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</si>
  <si>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</si>
  <si>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</si>
  <si>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</si>
  <si>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</si>
  <si>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</si>
  <si>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</si>
  <si>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</si>
  <si>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</si>
  <si>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</si>
  <si>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</si>
  <si>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</si>
  <si>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</si>
  <si>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</si>
  <si>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</si>
  <si>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</si>
  <si>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</si>
  <si>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</si>
  <si>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</si>
  <si>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</si>
  <si>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</si>
  <si>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</si>
  <si>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</si>
  <si>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</si>
  <si>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</si>
  <si>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</si>
  <si>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</si>
  <si>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</si>
  <si>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</si>
  <si>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</si>
  <si>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</si>
  <si>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</si>
  <si>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</si>
  <si>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Sandy clay loam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</si>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</sst>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27.825228326565529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-6.3218557432399773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16.231115650195587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62.606253756743186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1.7468526618459819</c:v>
                </c:pt>
                <c:pt idx="1">
                  <c:v>73.76258285743252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0.49286200102083089</c:v>
                </c:pt>
                <c:pt idx="1">
                  <c:v>20.811585877632766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0</c:v>
                </c:pt>
                <c:pt idx="1">
                  <c:v>2.3558312649347783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108.00000000000001</c:v>
                </c:pt>
                <c:pt idx="1">
                  <c:v>2.2397146628668128</c:v>
                </c:pt>
                <c:pt idx="2">
                  <c:v>2.3558312649348103</c:v>
                </c:pt>
                <c:pt idx="3">
                  <c:v>2.4764463877172838</c:v>
                </c:pt>
                <c:pt idx="4">
                  <c:v>2.6061626321041218</c:v>
                </c:pt>
                <c:pt idx="5">
                  <c:v>2.7478506407212246</c:v>
                </c:pt>
                <c:pt idx="6">
                  <c:v>2.8908477045730985</c:v>
                </c:pt>
                <c:pt idx="7">
                  <c:v>3.0463893804497157</c:v>
                </c:pt>
                <c:pt idx="8">
                  <c:v>3.2148068587916527</c:v>
                </c:pt>
                <c:pt idx="9">
                  <c:v>3.3856615956322575</c:v>
                </c:pt>
                <c:pt idx="10">
                  <c:v>3.5723529050142733</c:v>
                </c:pt>
                <c:pt idx="11">
                  <c:v>3.7711094354268386</c:v>
                </c:pt>
                <c:pt idx="12">
                  <c:v>3.9800719127539019</c:v>
                </c:pt>
                <c:pt idx="13">
                  <c:v>4.1950470378164635</c:v>
                </c:pt>
                <c:pt idx="14">
                  <c:v>4.4201083936107466</c:v>
                </c:pt>
                <c:pt idx="15">
                  <c:v>4.6660701558863522</c:v>
                </c:pt>
                <c:pt idx="16">
                  <c:v>4.9342314176614908</c:v>
                </c:pt>
                <c:pt idx="17">
                  <c:v>5.2063537678947958</c:v>
                </c:pt>
                <c:pt idx="18">
                  <c:v>5.4820054431239171</c:v>
                </c:pt>
                <c:pt idx="19">
                  <c:v>5.7710704862163427</c:v>
                </c:pt>
                <c:pt idx="20">
                  <c:v>6.0885755788893894</c:v>
                </c:pt>
                <c:pt idx="21">
                  <c:v>6.4255130741531783</c:v>
                </c:pt>
                <c:pt idx="22">
                  <c:v>6.7887050136118505</c:v>
                </c:pt>
                <c:pt idx="23">
                  <c:v>7.1807056448397724</c:v>
                </c:pt>
                <c:pt idx="24">
                  <c:v>7.588141955239049</c:v>
                </c:pt>
                <c:pt idx="25">
                  <c:v>8.0449412165731626</c:v>
                </c:pt>
                <c:pt idx="26">
                  <c:v>8.5299141485572161</c:v>
                </c:pt>
                <c:pt idx="27">
                  <c:v>9.0254290213754125</c:v>
                </c:pt>
                <c:pt idx="28">
                  <c:v>9.5440788984476654</c:v>
                </c:pt>
                <c:pt idx="29">
                  <c:v>10.097005787296094</c:v>
                </c:pt>
                <c:pt idx="30">
                  <c:v>10.696065845622961</c:v>
                </c:pt>
                <c:pt idx="31">
                  <c:v>11.343478512582358</c:v>
                </c:pt>
                <c:pt idx="32">
                  <c:v>12.053556678651344</c:v>
                </c:pt>
                <c:pt idx="33">
                  <c:v>12.824268802459958</c:v>
                </c:pt>
                <c:pt idx="34">
                  <c:v>13.643890723291776</c:v>
                </c:pt>
                <c:pt idx="35">
                  <c:v>14.498493935213805</c:v>
                </c:pt>
                <c:pt idx="36">
                  <c:v>15.404310160991434</c:v>
                </c:pt>
                <c:pt idx="37">
                  <c:v>16.31767393322642</c:v>
                </c:pt>
                <c:pt idx="38">
                  <c:v>17.275230761087059</c:v>
                </c:pt>
                <c:pt idx="39">
                  <c:v>18.326061171726661</c:v>
                </c:pt>
                <c:pt idx="40">
                  <c:v>19.425750796026158</c:v>
                </c:pt>
                <c:pt idx="41">
                  <c:v>20.63874921040264</c:v>
                </c:pt>
                <c:pt idx="42">
                  <c:v>21.96921076921711</c:v>
                </c:pt>
                <c:pt idx="43">
                  <c:v>23.347107074719915</c:v>
                </c:pt>
                <c:pt idx="44">
                  <c:v>24.789433490728221</c:v>
                </c:pt>
                <c:pt idx="45">
                  <c:v>26.285847868082399</c:v>
                </c:pt>
                <c:pt idx="46">
                  <c:v>27.87089201558463</c:v>
                </c:pt>
                <c:pt idx="47">
                  <c:v>29.541464596009423</c:v>
                </c:pt>
                <c:pt idx="48">
                  <c:v>31.249058286982212</c:v>
                </c:pt>
                <c:pt idx="49">
                  <c:v>33.062779060091039</c:v>
                </c:pt>
                <c:pt idx="50">
                  <c:v>35.00398858145379</c:v>
                </c:pt>
                <c:pt idx="51">
                  <c:v>37.032922888337488</c:v>
                </c:pt>
                <c:pt idx="52">
                  <c:v>39.17955866087128</c:v>
                </c:pt>
                <c:pt idx="53">
                  <c:v>41.347721846130995</c:v>
                </c:pt>
                <c:pt idx="54">
                  <c:v>43.627932206528044</c:v>
                </c:pt>
                <c:pt idx="55">
                  <c:v>46.044953054454496</c:v>
                </c:pt>
                <c:pt idx="56">
                  <c:v>48.494773162306402</c:v>
                </c:pt>
                <c:pt idx="57">
                  <c:v>51.044881269489395</c:v>
                </c:pt>
                <c:pt idx="58">
                  <c:v>53.85356904040772</c:v>
                </c:pt>
                <c:pt idx="59">
                  <c:v>56.828948741253221</c:v>
                </c:pt>
                <c:pt idx="60">
                  <c:v>59.845038924865115</c:v>
                </c:pt>
                <c:pt idx="61">
                  <c:v>62.864466460438727</c:v>
                </c:pt>
                <c:pt idx="62">
                  <c:v>65.919921811320123</c:v>
                </c:pt>
                <c:pt idx="63">
                  <c:v>69.139142726828155</c:v>
                </c:pt>
                <c:pt idx="64">
                  <c:v>72.379090452512514</c:v>
                </c:pt>
                <c:pt idx="65">
                  <c:v>75.741356493661414</c:v>
                </c:pt>
                <c:pt idx="66">
                  <c:v>79.050011138200887</c:v>
                </c:pt>
                <c:pt idx="67">
                  <c:v>82.424872382902151</c:v>
                </c:pt>
                <c:pt idx="68">
                  <c:v>85.953872513141008</c:v>
                </c:pt>
                <c:pt idx="69">
                  <c:v>89.570044366078093</c:v>
                </c:pt>
                <c:pt idx="70">
                  <c:v>93.266046952719833</c:v>
                </c:pt>
                <c:pt idx="71">
                  <c:v>96.930000000000092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21.285301767671506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21.463315260576735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19.857636728494942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49.901064507466252</c:v>
                </c:pt>
                <c:pt idx="2">
                  <c:v>49.690097209241856</c:v>
                </c:pt>
                <c:pt idx="3">
                  <c:v>49.487860969865409</c:v>
                </c:pt>
                <c:pt idx="4">
                  <c:v>49.291848276359936</c:v>
                </c:pt>
                <c:pt idx="5">
                  <c:v>49.113289148504762</c:v>
                </c:pt>
                <c:pt idx="6">
                  <c:v>48.95062619531457</c:v>
                </c:pt>
                <c:pt idx="7">
                  <c:v>48.794903885458801</c:v>
                </c:pt>
                <c:pt idx="8">
                  <c:v>48.641037235392922</c:v>
                </c:pt>
                <c:pt idx="9">
                  <c:v>48.495887518974335</c:v>
                </c:pt>
                <c:pt idx="10">
                  <c:v>48.344927198666014</c:v>
                </c:pt>
                <c:pt idx="11">
                  <c:v>48.185454331460086</c:v>
                </c:pt>
                <c:pt idx="12">
                  <c:v>48.028864900755821</c:v>
                </c:pt>
                <c:pt idx="13">
                  <c:v>47.872705692690332</c:v>
                </c:pt>
                <c:pt idx="14">
                  <c:v>47.71442819024201</c:v>
                </c:pt>
                <c:pt idx="15">
                  <c:v>47.540988505866267</c:v>
                </c:pt>
                <c:pt idx="16">
                  <c:v>47.363192792645329</c:v>
                </c:pt>
                <c:pt idx="17">
                  <c:v>47.18045119487568</c:v>
                </c:pt>
                <c:pt idx="18">
                  <c:v>46.993065272123957</c:v>
                </c:pt>
                <c:pt idx="19">
                  <c:v>46.791576868460211</c:v>
                </c:pt>
                <c:pt idx="20">
                  <c:v>46.569497474121007</c:v>
                </c:pt>
                <c:pt idx="21">
                  <c:v>46.335280831629859</c:v>
                </c:pt>
                <c:pt idx="22">
                  <c:v>46.088879483563986</c:v>
                </c:pt>
                <c:pt idx="23">
                  <c:v>45.821592811613513</c:v>
                </c:pt>
                <c:pt idx="24">
                  <c:v>45.540064848281318</c:v>
                </c:pt>
                <c:pt idx="25">
                  <c:v>45.219707619615185</c:v>
                </c:pt>
                <c:pt idx="26">
                  <c:v>44.872144267781749</c:v>
                </c:pt>
                <c:pt idx="27">
                  <c:v>44.515717484138243</c:v>
                </c:pt>
                <c:pt idx="28">
                  <c:v>44.146915344330878</c:v>
                </c:pt>
                <c:pt idx="29">
                  <c:v>43.746824787272914</c:v>
                </c:pt>
                <c:pt idx="30">
                  <c:v>43.30673949463408</c:v>
                </c:pt>
                <c:pt idx="31">
                  <c:v>42.818184699334111</c:v>
                </c:pt>
                <c:pt idx="32">
                  <c:v>42.28773327723011</c:v>
                </c:pt>
                <c:pt idx="33">
                  <c:v>41.696980416949941</c:v>
                </c:pt>
                <c:pt idx="34">
                  <c:v>41.077122399320039</c:v>
                </c:pt>
                <c:pt idx="35">
                  <c:v>40.431270734027187</c:v>
                </c:pt>
                <c:pt idx="36">
                  <c:v>39.739058663775268</c:v>
                </c:pt>
                <c:pt idx="37">
                  <c:v>39.03534966332785</c:v>
                </c:pt>
                <c:pt idx="38">
                  <c:v>38.283054314660134</c:v>
                </c:pt>
                <c:pt idx="39">
                  <c:v>37.436242191739105</c:v>
                </c:pt>
                <c:pt idx="40">
                  <c:v>36.538525296081318</c:v>
                </c:pt>
                <c:pt idx="41">
                  <c:v>35.526028368813691</c:v>
                </c:pt>
                <c:pt idx="42">
                  <c:v>34.398554581358574</c:v>
                </c:pt>
                <c:pt idx="43">
                  <c:v>33.213136418495331</c:v>
                </c:pt>
                <c:pt idx="44">
                  <c:v>31.966490162375194</c:v>
                </c:pt>
                <c:pt idx="45">
                  <c:v>30.659924020339087</c:v>
                </c:pt>
                <c:pt idx="46">
                  <c:v>50.560931474521297</c:v>
                </c:pt>
                <c:pt idx="47">
                  <c:v>49.098175378451543</c:v>
                </c:pt>
                <c:pt idx="48">
                  <c:v>47.598981741195622</c:v>
                </c:pt>
                <c:pt idx="49">
                  <c:v>46.000139498707135</c:v>
                </c:pt>
                <c:pt idx="50">
                  <c:v>44.268246300416152</c:v>
                </c:pt>
                <c:pt idx="51">
                  <c:v>42.450155109663442</c:v>
                </c:pt>
                <c:pt idx="52">
                  <c:v>40.508969512954188</c:v>
                </c:pt>
                <c:pt idx="53">
                  <c:v>38.535347568941908</c:v>
                </c:pt>
                <c:pt idx="54">
                  <c:v>36.451080565758787</c:v>
                </c:pt>
                <c:pt idx="55">
                  <c:v>34.238854948859739</c:v>
                </c:pt>
                <c:pt idx="56">
                  <c:v>31.981014965830319</c:v>
                </c:pt>
                <c:pt idx="57">
                  <c:v>51.082818120402301</c:v>
                </c:pt>
                <c:pt idx="58">
                  <c:v>48.466004771736181</c:v>
                </c:pt>
                <c:pt idx="59">
                  <c:v>45.688221670734116</c:v>
                </c:pt>
                <c:pt idx="60">
                  <c:v>42.872986956211413</c:v>
                </c:pt>
                <c:pt idx="61">
                  <c:v>40.073285315474784</c:v>
                </c:pt>
                <c:pt idx="62">
                  <c:v>37.232545455285198</c:v>
                </c:pt>
                <c:pt idx="63">
                  <c:v>34.225931461576046</c:v>
                </c:pt>
                <c:pt idx="64">
                  <c:v>31.187494367714422</c:v>
                </c:pt>
                <c:pt idx="65">
                  <c:v>47.880970624134505</c:v>
                </c:pt>
                <c:pt idx="66">
                  <c:v>44.759634568611638</c:v>
                </c:pt>
                <c:pt idx="67">
                  <c:v>41.569777520388079</c:v>
                </c:pt>
                <c:pt idx="68">
                  <c:v>38.227558046432094</c:v>
                </c:pt>
                <c:pt idx="69">
                  <c:v>34.801802495378496</c:v>
                </c:pt>
                <c:pt idx="70">
                  <c:v>31.301157673425159</c:v>
                </c:pt>
                <c:pt idx="71">
                  <c:v>27.825228326565529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0.25735690902117309</c:v>
                </c:pt>
                <c:pt idx="1">
                  <c:v>0.498469449031052</c:v>
                </c:pt>
                <c:pt idx="2">
                  <c:v>0.72981390198393414</c:v>
                </c:pt>
                <c:pt idx="3">
                  <c:v>0.95756229623615297</c:v>
                </c:pt>
                <c:pt idx="4">
                  <c:v>1.1909973094713939</c:v>
                </c:pt>
                <c:pt idx="5">
                  <c:v>1.446977551085276</c:v>
                </c:pt>
                <c:pt idx="6">
                  <c:v>1.699107771633241</c:v>
                </c:pt>
                <c:pt idx="7">
                  <c:v>1.9637153732162542</c:v>
                </c:pt>
                <c:pt idx="8">
                  <c:v>2.2350403056872676</c:v>
                </c:pt>
                <c:pt idx="9">
                  <c:v>2.4992330373487546</c:v>
                </c:pt>
                <c:pt idx="10">
                  <c:v>2.7675672479826177</c:v>
                </c:pt>
                <c:pt idx="11">
                  <c:v>3.0294624155783572</c:v>
                </c:pt>
                <c:pt idx="12">
                  <c:v>3.2929651051336633</c:v>
                </c:pt>
                <c:pt idx="13">
                  <c:v>3.5492521425989119</c:v>
                </c:pt>
                <c:pt idx="14">
                  <c:v>3.8030464916307403</c:v>
                </c:pt>
                <c:pt idx="15">
                  <c:v>4.057580075921746</c:v>
                </c:pt>
                <c:pt idx="16">
                  <c:v>4.3244409327843094</c:v>
                </c:pt>
                <c:pt idx="17">
                  <c:v>4.5766268848833098</c:v>
                </c:pt>
                <c:pt idx="18">
                  <c:v>4.815394018716959</c:v>
                </c:pt>
                <c:pt idx="19">
                  <c:v>5.0454948603876506</c:v>
                </c:pt>
                <c:pt idx="20">
                  <c:v>5.2798615478951794</c:v>
                </c:pt>
                <c:pt idx="21">
                  <c:v>5.514674592152069</c:v>
                </c:pt>
                <c:pt idx="22">
                  <c:v>5.7582177096683331</c:v>
                </c:pt>
                <c:pt idx="23">
                  <c:v>6.0044338284333447</c:v>
                </c:pt>
                <c:pt idx="24">
                  <c:v>6.2436274456393814</c:v>
                </c:pt>
                <c:pt idx="25">
                  <c:v>6.4913776788721114</c:v>
                </c:pt>
                <c:pt idx="26">
                  <c:v>6.7335437283872972</c:v>
                </c:pt>
                <c:pt idx="27">
                  <c:v>6.9685044430660561</c:v>
                </c:pt>
                <c:pt idx="28">
                  <c:v>7.2077782160899364</c:v>
                </c:pt>
                <c:pt idx="29">
                  <c:v>7.4450648864854276</c:v>
                </c:pt>
                <c:pt idx="30">
                  <c:v>7.6845543919250314</c:v>
                </c:pt>
                <c:pt idx="31">
                  <c:v>7.9198119332738877</c:v>
                </c:pt>
                <c:pt idx="32">
                  <c:v>8.1725146129808746</c:v>
                </c:pt>
                <c:pt idx="33">
                  <c:v>8.4215322241602593</c:v>
                </c:pt>
                <c:pt idx="34">
                  <c:v>8.6852981539315941</c:v>
                </c:pt>
                <c:pt idx="35">
                  <c:v>8.9523565323201559</c:v>
                </c:pt>
                <c:pt idx="36">
                  <c:v>9.219729735722197</c:v>
                </c:pt>
                <c:pt idx="37">
                  <c:v>9.4770598586537833</c:v>
                </c:pt>
                <c:pt idx="38">
                  <c:v>9.7259443137860089</c:v>
                </c:pt>
                <c:pt idx="39">
                  <c:v>9.9711480970796078</c:v>
                </c:pt>
                <c:pt idx="40">
                  <c:v>10.210396630937328</c:v>
                </c:pt>
                <c:pt idx="41">
                  <c:v>10.445904550409322</c:v>
                </c:pt>
                <c:pt idx="42">
                  <c:v>10.681346017066247</c:v>
                </c:pt>
                <c:pt idx="43">
                  <c:v>10.902289402573894</c:v>
                </c:pt>
                <c:pt idx="44">
                  <c:v>11.123059221420897</c:v>
                </c:pt>
                <c:pt idx="45">
                  <c:v>11.334730675251386</c:v>
                </c:pt>
                <c:pt idx="46">
                  <c:v>11.554631320475478</c:v>
                </c:pt>
                <c:pt idx="47">
                  <c:v>11.778980597753989</c:v>
                </c:pt>
                <c:pt idx="48">
                  <c:v>12.001119039867111</c:v>
                </c:pt>
                <c:pt idx="49">
                  <c:v>12.227575330154666</c:v>
                </c:pt>
                <c:pt idx="50">
                  <c:v>12.446423453654502</c:v>
                </c:pt>
                <c:pt idx="51">
                  <c:v>12.664642598604392</c:v>
                </c:pt>
                <c:pt idx="52">
                  <c:v>12.87549493870115</c:v>
                </c:pt>
                <c:pt idx="53">
                  <c:v>13.073429305440468</c:v>
                </c:pt>
                <c:pt idx="54">
                  <c:v>13.271045063735404</c:v>
                </c:pt>
                <c:pt idx="55">
                  <c:v>13.475848123728005</c:v>
                </c:pt>
                <c:pt idx="56">
                  <c:v>13.666283088890715</c:v>
                </c:pt>
                <c:pt idx="57">
                  <c:v>13.851992143174694</c:v>
                </c:pt>
                <c:pt idx="58">
                  <c:v>14.039825795257839</c:v>
                </c:pt>
                <c:pt idx="59">
                  <c:v>14.232124004761884</c:v>
                </c:pt>
                <c:pt idx="60">
                  <c:v>14.426361756612796</c:v>
                </c:pt>
                <c:pt idx="61">
                  <c:v>14.637998261247194</c:v>
                </c:pt>
                <c:pt idx="62">
                  <c:v>14.843626075991812</c:v>
                </c:pt>
                <c:pt idx="63">
                  <c:v>15.045860527187337</c:v>
                </c:pt>
                <c:pt idx="64">
                  <c:v>15.236804377946434</c:v>
                </c:pt>
                <c:pt idx="65">
                  <c:v>15.424084528440488</c:v>
                </c:pt>
                <c:pt idx="66">
                  <c:v>15.600784846728088</c:v>
                </c:pt>
                <c:pt idx="67">
                  <c:v>15.775007617905521</c:v>
                </c:pt>
                <c:pt idx="68">
                  <c:v>15.950749224160038</c:v>
                </c:pt>
                <c:pt idx="69">
                  <c:v>16.129504784197419</c:v>
                </c:pt>
                <c:pt idx="70">
                  <c:v>16.312432735532287</c:v>
                </c:pt>
                <c:pt idx="71">
                  <c:v>16.488472559216763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-0.34004803254362448</c:v>
                </c:pt>
                <c:pt idx="2">
                  <c:v>-0.66624318165290419</c:v>
                </c:pt>
                <c:pt idx="3">
                  <c:v>-0.97561269249909366</c:v>
                </c:pt>
                <c:pt idx="4">
                  <c:v>-1.2753441548529745</c:v>
                </c:pt>
                <c:pt idx="5">
                  <c:v>-1.5681955157049283</c:v>
                </c:pt>
                <c:pt idx="6">
                  <c:v>-1.8399916255912176</c:v>
                </c:pt>
                <c:pt idx="7">
                  <c:v>-2.1047798611533839</c:v>
                </c:pt>
                <c:pt idx="8">
                  <c:v>-2.3615539653483375</c:v>
                </c:pt>
                <c:pt idx="9">
                  <c:v>-2.6000416765878103</c:v>
                </c:pt>
                <c:pt idx="10">
                  <c:v>-2.8326448981479819</c:v>
                </c:pt>
                <c:pt idx="11">
                  <c:v>-3.055256402537081</c:v>
                </c:pt>
                <c:pt idx="12">
                  <c:v>-3.2663860454695937</c:v>
                </c:pt>
                <c:pt idx="13">
                  <c:v>-3.4638571659377719</c:v>
                </c:pt>
                <c:pt idx="14">
                  <c:v>-3.6508676616236384</c:v>
                </c:pt>
                <c:pt idx="15">
                  <c:v>-3.8328791680147782</c:v>
                </c:pt>
                <c:pt idx="16">
                  <c:v>-4.0093744763231376</c:v>
                </c:pt>
                <c:pt idx="17">
                  <c:v>-4.1721796759584819</c:v>
                </c:pt>
                <c:pt idx="18">
                  <c:v>-4.3226810573147327</c:v>
                </c:pt>
                <c:pt idx="19">
                  <c:v>-4.4652052595567389</c:v>
                </c:pt>
                <c:pt idx="20">
                  <c:v>-4.6041462487304301</c:v>
                </c:pt>
                <c:pt idx="21">
                  <c:v>-4.7362384402146791</c:v>
                </c:pt>
                <c:pt idx="22">
                  <c:v>-4.8629909663381419</c:v>
                </c:pt>
                <c:pt idx="23">
                  <c:v>-4.9844931258257006</c:v>
                </c:pt>
                <c:pt idx="24">
                  <c:v>-5.0977783959646503</c:v>
                </c:pt>
                <c:pt idx="25">
                  <c:v>-5.2090865965293975</c:v>
                </c:pt>
                <c:pt idx="26">
                  <c:v>-5.313843065893967</c:v>
                </c:pt>
                <c:pt idx="27">
                  <c:v>-5.4097156913980333</c:v>
                </c:pt>
                <c:pt idx="28">
                  <c:v>-5.4991417271570242</c:v>
                </c:pt>
                <c:pt idx="29">
                  <c:v>-5.5835920657620512</c:v>
                </c:pt>
                <c:pt idx="30">
                  <c:v>-5.6641068055136223</c:v>
                </c:pt>
                <c:pt idx="31">
                  <c:v>-5.7405064752030528</c:v>
                </c:pt>
                <c:pt idx="32">
                  <c:v>-5.8135824109450569</c:v>
                </c:pt>
                <c:pt idx="33">
                  <c:v>-5.8826407585959934</c:v>
                </c:pt>
                <c:pt idx="34">
                  <c:v>-5.9466427851654142</c:v>
                </c:pt>
                <c:pt idx="35">
                  <c:v>-6.0049496169248018</c:v>
                </c:pt>
                <c:pt idx="36">
                  <c:v>-6.0587186648011411</c:v>
                </c:pt>
                <c:pt idx="37">
                  <c:v>-6.1063940159451562</c:v>
                </c:pt>
                <c:pt idx="38">
                  <c:v>-6.1500169918844554</c:v>
                </c:pt>
                <c:pt idx="39">
                  <c:v>-6.1912024874594858</c:v>
                </c:pt>
                <c:pt idx="40">
                  <c:v>-6.2284782926755007</c:v>
                </c:pt>
                <c:pt idx="41">
                  <c:v>-6.2634847250386398</c:v>
                </c:pt>
                <c:pt idx="42">
                  <c:v>-6.2959384203362116</c:v>
                </c:pt>
                <c:pt idx="43">
                  <c:v>-6.3244036632042979</c:v>
                </c:pt>
                <c:pt idx="44">
                  <c:v>-6.3494933221631298</c:v>
                </c:pt>
                <c:pt idx="45">
                  <c:v>-6.371316540675549</c:v>
                </c:pt>
                <c:pt idx="46">
                  <c:v>-6.3904673518867074</c:v>
                </c:pt>
                <c:pt idx="47">
                  <c:v>-6.4070001448101781</c:v>
                </c:pt>
                <c:pt idx="48">
                  <c:v>-6.4207385332064355</c:v>
                </c:pt>
                <c:pt idx="49">
                  <c:v>-6.4323162928736544</c:v>
                </c:pt>
                <c:pt idx="50">
                  <c:v>-6.4418480933017168</c:v>
                </c:pt>
                <c:pt idx="51">
                  <c:v>-6.4492241221206221</c:v>
                </c:pt>
                <c:pt idx="52">
                  <c:v>-6.4546262863928412</c:v>
                </c:pt>
                <c:pt idx="53">
                  <c:v>-6.4580194118847256</c:v>
                </c:pt>
                <c:pt idx="54">
                  <c:v>-6.459691812965735</c:v>
                </c:pt>
                <c:pt idx="55">
                  <c:v>-6.4596996419309312</c:v>
                </c:pt>
                <c:pt idx="56">
                  <c:v>-6.4581544822711567</c:v>
                </c:pt>
                <c:pt idx="57">
                  <c:v>-6.4552675353768905</c:v>
                </c:pt>
                <c:pt idx="58">
                  <c:v>-6.4512267652078243</c:v>
                </c:pt>
                <c:pt idx="59">
                  <c:v>-6.4459283748684353</c:v>
                </c:pt>
                <c:pt idx="60">
                  <c:v>-6.4393106576301555</c:v>
                </c:pt>
                <c:pt idx="61">
                  <c:v>-6.4312212674275706</c:v>
                </c:pt>
                <c:pt idx="62">
                  <c:v>-6.4221335914803781</c:v>
                </c:pt>
                <c:pt idx="63">
                  <c:v>-6.4117611208770215</c:v>
                </c:pt>
                <c:pt idx="64">
                  <c:v>-6.4011943398133866</c:v>
                </c:pt>
                <c:pt idx="65">
                  <c:v>-6.3903689212334038</c:v>
                </c:pt>
                <c:pt idx="66">
                  <c:v>-6.3797506505043966</c:v>
                </c:pt>
                <c:pt idx="67">
                  <c:v>-6.3689692252041237</c:v>
                </c:pt>
                <c:pt idx="68">
                  <c:v>-6.3579301751757722</c:v>
                </c:pt>
                <c:pt idx="69">
                  <c:v>-6.3462694333296614</c:v>
                </c:pt>
                <c:pt idx="70">
                  <c:v>-6.3338396199761284</c:v>
                </c:pt>
                <c:pt idx="71">
                  <c:v>-6.3218557432399773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45302</c:v>
                </c:pt>
                <c:pt idx="1">
                  <c:v>45303</c:v>
                </c:pt>
                <c:pt idx="2">
                  <c:v>45304</c:v>
                </c:pt>
                <c:pt idx="3">
                  <c:v>45305</c:v>
                </c:pt>
                <c:pt idx="4">
                  <c:v>45306</c:v>
                </c:pt>
                <c:pt idx="5">
                  <c:v>45307</c:v>
                </c:pt>
                <c:pt idx="6">
                  <c:v>45308</c:v>
                </c:pt>
                <c:pt idx="7">
                  <c:v>45309</c:v>
                </c:pt>
                <c:pt idx="8">
                  <c:v>45310</c:v>
                </c:pt>
                <c:pt idx="9">
                  <c:v>45311</c:v>
                </c:pt>
                <c:pt idx="10">
                  <c:v>45312</c:v>
                </c:pt>
                <c:pt idx="11">
                  <c:v>45313</c:v>
                </c:pt>
                <c:pt idx="12">
                  <c:v>45314</c:v>
                </c:pt>
                <c:pt idx="13">
                  <c:v>45315</c:v>
                </c:pt>
                <c:pt idx="14">
                  <c:v>45316</c:v>
                </c:pt>
                <c:pt idx="15">
                  <c:v>45317</c:v>
                </c:pt>
                <c:pt idx="16">
                  <c:v>45318</c:v>
                </c:pt>
                <c:pt idx="17">
                  <c:v>45319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45325</c:v>
                </c:pt>
                <c:pt idx="24">
                  <c:v>45326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45332</c:v>
                </c:pt>
                <c:pt idx="31">
                  <c:v>45333</c:v>
                </c:pt>
                <c:pt idx="32">
                  <c:v>45334</c:v>
                </c:pt>
                <c:pt idx="33">
                  <c:v>45335</c:v>
                </c:pt>
                <c:pt idx="34">
                  <c:v>45336</c:v>
                </c:pt>
                <c:pt idx="35">
                  <c:v>45337</c:v>
                </c:pt>
                <c:pt idx="36">
                  <c:v>45338</c:v>
                </c:pt>
                <c:pt idx="37">
                  <c:v>45339</c:v>
                </c:pt>
                <c:pt idx="38">
                  <c:v>45340</c:v>
                </c:pt>
                <c:pt idx="39">
                  <c:v>45341</c:v>
                </c:pt>
                <c:pt idx="40">
                  <c:v>45342</c:v>
                </c:pt>
                <c:pt idx="41">
                  <c:v>45343</c:v>
                </c:pt>
                <c:pt idx="42">
                  <c:v>45344</c:v>
                </c:pt>
                <c:pt idx="43">
                  <c:v>45345</c:v>
                </c:pt>
                <c:pt idx="44">
                  <c:v>45346</c:v>
                </c:pt>
                <c:pt idx="45">
                  <c:v>45347</c:v>
                </c:pt>
                <c:pt idx="46">
                  <c:v>45348</c:v>
                </c:pt>
                <c:pt idx="47">
                  <c:v>45349</c:v>
                </c:pt>
                <c:pt idx="48">
                  <c:v>45350</c:v>
                </c:pt>
                <c:pt idx="49">
                  <c:v>45351</c:v>
                </c:pt>
                <c:pt idx="50">
                  <c:v>45352</c:v>
                </c:pt>
                <c:pt idx="51">
                  <c:v>45353</c:v>
                </c:pt>
                <c:pt idx="52">
                  <c:v>45354</c:v>
                </c:pt>
                <c:pt idx="53">
                  <c:v>45355</c:v>
                </c:pt>
                <c:pt idx="54">
                  <c:v>45356</c:v>
                </c:pt>
                <c:pt idx="55">
                  <c:v>45357</c:v>
                </c:pt>
                <c:pt idx="56">
                  <c:v>45358</c:v>
                </c:pt>
                <c:pt idx="57">
                  <c:v>45359</c:v>
                </c:pt>
                <c:pt idx="58">
                  <c:v>45360</c:v>
                </c:pt>
                <c:pt idx="59">
                  <c:v>45361</c:v>
                </c:pt>
                <c:pt idx="60">
                  <c:v>45362</c:v>
                </c:pt>
                <c:pt idx="61">
                  <c:v>45363</c:v>
                </c:pt>
                <c:pt idx="62">
                  <c:v>45364</c:v>
                </c:pt>
                <c:pt idx="63">
                  <c:v>45365</c:v>
                </c:pt>
                <c:pt idx="64">
                  <c:v>45366</c:v>
                </c:pt>
                <c:pt idx="65">
                  <c:v>45367</c:v>
                </c:pt>
                <c:pt idx="66">
                  <c:v>45368</c:v>
                </c:pt>
                <c:pt idx="67">
                  <c:v>45369</c:v>
                </c:pt>
                <c:pt idx="68">
                  <c:v>45370</c:v>
                </c:pt>
                <c:pt idx="69">
                  <c:v>45371</c:v>
                </c:pt>
                <c:pt idx="70">
                  <c:v>45372</c:v>
                </c:pt>
                <c:pt idx="71">
                  <c:v>45373</c:v>
                </c:pt>
                <c:pt idx="72">
                  <c:v>45374</c:v>
                </c:pt>
                <c:pt idx="73">
                  <c:v>45375</c:v>
                </c:pt>
                <c:pt idx="74">
                  <c:v>45376</c:v>
                </c:pt>
                <c:pt idx="75">
                  <c:v>45377</c:v>
                </c:pt>
                <c:pt idx="76">
                  <c:v>45378</c:v>
                </c:pt>
                <c:pt idx="77">
                  <c:v>45379</c:v>
                </c:pt>
                <c:pt idx="78">
                  <c:v>45380</c:v>
                </c:pt>
                <c:pt idx="79">
                  <c:v>45381</c:v>
                </c:pt>
                <c:pt idx="80">
                  <c:v>45382</c:v>
                </c:pt>
                <c:pt idx="81">
                  <c:v>45383</c:v>
                </c:pt>
                <c:pt idx="82">
                  <c:v>45384</c:v>
                </c:pt>
                <c:pt idx="83">
                  <c:v>45385</c:v>
                </c:pt>
                <c:pt idx="84">
                  <c:v>45386</c:v>
                </c:pt>
                <c:pt idx="85">
                  <c:v>45387</c:v>
                </c:pt>
                <c:pt idx="86">
                  <c:v>45388</c:v>
                </c:pt>
                <c:pt idx="87">
                  <c:v>45389</c:v>
                </c:pt>
                <c:pt idx="88">
                  <c:v>45390</c:v>
                </c:pt>
                <c:pt idx="89">
                  <c:v>45391</c:v>
                </c:pt>
                <c:pt idx="90">
                  <c:v>45392</c:v>
                </c:pt>
                <c:pt idx="91">
                  <c:v>45393</c:v>
                </c:pt>
                <c:pt idx="92">
                  <c:v>45394</c:v>
                </c:pt>
                <c:pt idx="93">
                  <c:v>45395</c:v>
                </c:pt>
                <c:pt idx="94">
                  <c:v>45396</c:v>
                </c:pt>
                <c:pt idx="95">
                  <c:v>45397</c:v>
                </c:pt>
                <c:pt idx="96">
                  <c:v>45398</c:v>
                </c:pt>
                <c:pt idx="97">
                  <c:v>45399</c:v>
                </c:pt>
                <c:pt idx="98">
                  <c:v>45400</c:v>
                </c:pt>
                <c:pt idx="99">
                  <c:v>45401</c:v>
                </c:pt>
                <c:pt idx="100">
                  <c:v>45402</c:v>
                </c:pt>
                <c:pt idx="101">
                  <c:v>45403</c:v>
                </c:pt>
                <c:pt idx="102">
                  <c:v>45404</c:v>
                </c:pt>
                <c:pt idx="103">
                  <c:v>45405</c:v>
                </c:pt>
                <c:pt idx="104">
                  <c:v>45406</c:v>
                </c:pt>
                <c:pt idx="105">
                  <c:v>45407</c:v>
                </c:pt>
                <c:pt idx="106">
                  <c:v>45408</c:v>
                </c:pt>
                <c:pt idx="107">
                  <c:v>45409</c:v>
                </c:pt>
                <c:pt idx="108">
                  <c:v>45410</c:v>
                </c:pt>
                <c:pt idx="109">
                  <c:v>45411</c:v>
                </c:pt>
                <c:pt idx="110">
                  <c:v>45412</c:v>
                </c:pt>
                <c:pt idx="111">
                  <c:v>45413</c:v>
                </c:pt>
                <c:pt idx="112">
                  <c:v>45414</c:v>
                </c:pt>
                <c:pt idx="113">
                  <c:v>45415</c:v>
                </c:pt>
                <c:pt idx="114">
                  <c:v>45416</c:v>
                </c:pt>
                <c:pt idx="115">
                  <c:v>45417</c:v>
                </c:pt>
                <c:pt idx="116">
                  <c:v>45418</c:v>
                </c:pt>
                <c:pt idx="117">
                  <c:v>45419</c:v>
                </c:pt>
                <c:pt idx="118">
                  <c:v>45420</c:v>
                </c:pt>
                <c:pt idx="119">
                  <c:v>45421</c:v>
                </c:pt>
                <c:pt idx="120">
                  <c:v>45422</c:v>
                </c:pt>
                <c:pt idx="121">
                  <c:v>45423</c:v>
                </c:pt>
                <c:pt idx="122">
                  <c:v>45424</c:v>
                </c:pt>
                <c:pt idx="123">
                  <c:v>45425</c:v>
                </c:pt>
                <c:pt idx="124">
                  <c:v>45426</c:v>
                </c:pt>
                <c:pt idx="125">
                  <c:v>45427</c:v>
                </c:pt>
                <c:pt idx="126">
                  <c:v>45428</c:v>
                </c:pt>
                <c:pt idx="127">
                  <c:v>45429</c:v>
                </c:pt>
                <c:pt idx="128">
                  <c:v>45430</c:v>
                </c:pt>
                <c:pt idx="129">
                  <c:v>45431</c:v>
                </c:pt>
                <c:pt idx="130">
                  <c:v>45432</c:v>
                </c:pt>
                <c:pt idx="131">
                  <c:v>45433</c:v>
                </c:pt>
                <c:pt idx="132">
                  <c:v>45434</c:v>
                </c:pt>
                <c:pt idx="133">
                  <c:v>45435</c:v>
                </c:pt>
                <c:pt idx="134">
                  <c:v>45436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1.3643305750969408</c:v>
                </c:pt>
                <c:pt idx="15">
                  <c:v>1.44241864571154</c:v>
                </c:pt>
                <c:pt idx="16">
                  <c:v>1.5234924796274427</c:v>
                </c:pt>
                <c:pt idx="17">
                  <c:v>1.6098298933117432</c:v>
                </c:pt>
                <c:pt idx="18">
                  <c:v>1.702177195149605</c:v>
                </c:pt>
                <c:pt idx="19">
                  <c:v>1.8009994419193838</c:v>
                </c:pt>
                <c:pt idx="20">
                  <c:v>1.9052021878645358</c:v>
                </c:pt>
                <c:pt idx="21">
                  <c:v>2.0159501927272014</c:v>
                </c:pt>
                <c:pt idx="22">
                  <c:v>2.1317097951726809</c:v>
                </c:pt>
                <c:pt idx="23">
                  <c:v>2.2526079361487534</c:v>
                </c:pt>
                <c:pt idx="24">
                  <c:v>2.3761145646855084</c:v>
                </c:pt>
                <c:pt idx="25">
                  <c:v>2.5096361779627445</c:v>
                </c:pt>
                <c:pt idx="26">
                  <c:v>2.6496885750821493</c:v>
                </c:pt>
                <c:pt idx="27">
                  <c:v>2.7982512162487931</c:v>
                </c:pt>
                <c:pt idx="28">
                  <c:v>2.9548460499133129</c:v>
                </c:pt>
                <c:pt idx="29">
                  <c:v>3.1212570244639752</c:v>
                </c:pt>
                <c:pt idx="30">
                  <c:v>3.300372018917574</c:v>
                </c:pt>
                <c:pt idx="31">
                  <c:v>3.4914567531046679</c:v>
                </c:pt>
                <c:pt idx="32">
                  <c:v>3.6925935576593987</c:v>
                </c:pt>
                <c:pt idx="33">
                  <c:v>3.9028698727052982</c:v>
                </c:pt>
                <c:pt idx="34">
                  <c:v>4.1251371209752454</c:v>
                </c:pt>
                <c:pt idx="35">
                  <c:v>4.3568713025503172</c:v>
                </c:pt>
                <c:pt idx="36">
                  <c:v>4.6000557303162442</c:v>
                </c:pt>
                <c:pt idx="37">
                  <c:v>4.8568134414751789</c:v>
                </c:pt>
                <c:pt idx="38">
                  <c:v>5.1294007402939981</c:v>
                </c:pt>
                <c:pt idx="39">
                  <c:v>5.4168985750112748</c:v>
                </c:pt>
                <c:pt idx="40">
                  <c:v>5.7214287202695449</c:v>
                </c:pt>
                <c:pt idx="41">
                  <c:v>6.0414249877177646</c:v>
                </c:pt>
                <c:pt idx="42">
                  <c:v>6.3749699093504448</c:v>
                </c:pt>
                <c:pt idx="43">
                  <c:v>6.7260480979784614</c:v>
                </c:pt>
                <c:pt idx="44">
                  <c:v>7.0873102801160073</c:v>
                </c:pt>
                <c:pt idx="45">
                  <c:v>7.456980269412302</c:v>
                </c:pt>
                <c:pt idx="46">
                  <c:v>7.8475084111967304</c:v>
                </c:pt>
                <c:pt idx="47">
                  <c:v>8.2600125505335615</c:v>
                </c:pt>
                <c:pt idx="48">
                  <c:v>8.6868775275014194</c:v>
                </c:pt>
                <c:pt idx="49">
                  <c:v>9.1362239124527882</c:v>
                </c:pt>
                <c:pt idx="50">
                  <c:v>9.6178313242626849</c:v>
                </c:pt>
                <c:pt idx="51">
                  <c:v>10.125041487327632</c:v>
                </c:pt>
                <c:pt idx="52">
                  <c:v>10.636308625309091</c:v>
                </c:pt>
                <c:pt idx="53">
                  <c:v>11.169314801713465</c:v>
                </c:pt>
                <c:pt idx="54">
                  <c:v>11.740398286049095</c:v>
                </c:pt>
                <c:pt idx="55">
                  <c:v>12.319672667244324</c:v>
                </c:pt>
                <c:pt idx="56">
                  <c:v>12.937717508794965</c:v>
                </c:pt>
                <c:pt idx="57">
                  <c:v>13.593198469843612</c:v>
                </c:pt>
                <c:pt idx="58">
                  <c:v>14.268504546212583</c:v>
                </c:pt>
                <c:pt idx="59">
                  <c:v>14.967845956395625</c:v>
                </c:pt>
                <c:pt idx="60">
                  <c:v>15.705878097305497</c:v>
                </c:pt>
                <c:pt idx="61">
                  <c:v>16.46080851603768</c:v>
                </c:pt>
                <c:pt idx="62">
                  <c:v>17.248666327321892</c:v>
                </c:pt>
                <c:pt idx="63">
                  <c:v>18.062789975822767</c:v>
                </c:pt>
                <c:pt idx="64">
                  <c:v>18.91816566872874</c:v>
                </c:pt>
                <c:pt idx="65">
                  <c:v>19.808133801495643</c:v>
                </c:pt>
                <c:pt idx="66">
                  <c:v>20.730793329720562</c:v>
                </c:pt>
                <c:pt idx="67">
                  <c:v>21.666043492070344</c:v>
                </c:pt>
                <c:pt idx="68">
                  <c:v>22.641014907941706</c:v>
                </c:pt>
                <c:pt idx="69">
                  <c:v>23.67028105780993</c:v>
                </c:pt>
                <c:pt idx="70">
                  <c:v>24.732813234953134</c:v>
                </c:pt>
                <c:pt idx="71">
                  <c:v>25.813996199653694</c:v>
                </c:pt>
                <c:pt idx="72">
                  <c:v>26.929519234035105</c:v>
                </c:pt>
                <c:pt idx="73">
                  <c:v>28.085952532462397</c:v>
                </c:pt>
                <c:pt idx="74">
                  <c:v>29.288985834282325</c:v>
                </c:pt>
                <c:pt idx="75">
                  <c:v>30.544654747765712</c:v>
                </c:pt>
                <c:pt idx="76">
                  <c:v>31.83858079678641</c:v>
                </c:pt>
                <c:pt idx="77">
                  <c:v>33.191718182214913</c:v>
                </c:pt>
                <c:pt idx="78">
                  <c:v>34.573448249184018</c:v>
                </c:pt>
                <c:pt idx="79">
                  <c:v>35.981660013361051</c:v>
                </c:pt>
                <c:pt idx="80">
                  <c:v>37.408202542348121</c:v>
                </c:pt>
                <c:pt idx="81">
                  <c:v>38.869036920387451</c:v>
                </c:pt>
                <c:pt idx="82">
                  <c:v>40.386407617688192</c:v>
                </c:pt>
                <c:pt idx="83">
                  <c:v>41.908689475840163</c:v>
                </c:pt>
                <c:pt idx="84">
                  <c:v>43.471020406190362</c:v>
                </c:pt>
                <c:pt idx="85">
                  <c:v>45.075035472023949</c:v>
                </c:pt>
                <c:pt idx="86">
                  <c:v>46.715554938614204</c:v>
                </c:pt>
                <c:pt idx="87">
                  <c:v>48.36948552666918</c:v>
                </c:pt>
                <c:pt idx="88">
                  <c:v>50.030678066520849</c:v>
                </c:pt>
                <c:pt idx="89">
                  <c:v>51.718299116005987</c:v>
                </c:pt>
                <c:pt idx="90">
                  <c:v>53.41125104288335</c:v>
                </c:pt>
                <c:pt idx="91">
                  <c:v>55.144415731536725</c:v>
                </c:pt>
                <c:pt idx="92">
                  <c:v>56.940237575649881</c:v>
                </c:pt>
                <c:pt idx="93">
                  <c:v>58.734009368222551</c:v>
                </c:pt>
                <c:pt idx="94">
                  <c:v>60.537255487096346</c:v>
                </c:pt>
                <c:pt idx="95">
                  <c:v>62.430667898874546</c:v>
                </c:pt>
                <c:pt idx="96">
                  <c:v>64.323553195346037</c:v>
                </c:pt>
                <c:pt idx="97">
                  <c:v>66.246304721639618</c:v>
                </c:pt>
                <c:pt idx="98">
                  <c:v>68.167097693618359</c:v>
                </c:pt>
                <c:pt idx="99">
                  <c:v>70.140596401978897</c:v>
                </c:pt>
                <c:pt idx="100">
                  <c:v>72.118883047983203</c:v>
                </c:pt>
                <c:pt idx="101">
                  <c:v>74.02266872979375</c:v>
                </c:pt>
                <c:pt idx="102">
                  <c:v>75.965265890166179</c:v>
                </c:pt>
                <c:pt idx="103">
                  <c:v>77.900389364336206</c:v>
                </c:pt>
                <c:pt idx="104">
                  <c:v>79.88896910593175</c:v>
                </c:pt>
                <c:pt idx="105">
                  <c:v>81.922768088586423</c:v>
                </c:pt>
                <c:pt idx="106">
                  <c:v>84.024167918731351</c:v>
                </c:pt>
                <c:pt idx="107">
                  <c:v>86.171533546533112</c:v>
                </c:pt>
                <c:pt idx="108">
                  <c:v>88.203656668453377</c:v>
                </c:pt>
                <c:pt idx="109">
                  <c:v>90.187716572501174</c:v>
                </c:pt>
                <c:pt idx="110">
                  <c:v>92.186206957931958</c:v>
                </c:pt>
                <c:pt idx="111">
                  <c:v>94.174224226244974</c:v>
                </c:pt>
                <c:pt idx="112">
                  <c:v>96.148853883714395</c:v>
                </c:pt>
                <c:pt idx="113">
                  <c:v>98.085399368616265</c:v>
                </c:pt>
                <c:pt idx="114">
                  <c:v>100.0324856086485</c:v>
                </c:pt>
                <c:pt idx="115">
                  <c:v>101.99925988687893</c:v>
                </c:pt>
                <c:pt idx="116">
                  <c:v>103.91721180101293</c:v>
                </c:pt>
                <c:pt idx="117">
                  <c:v>105.79297394412306</c:v>
                </c:pt>
                <c:pt idx="118">
                  <c:v>107.60446489645672</c:v>
                </c:pt>
                <c:pt idx="119">
                  <c:v>109.42586190509539</c:v>
                </c:pt>
                <c:pt idx="120">
                  <c:v>111.2766758515064</c:v>
                </c:pt>
                <c:pt idx="121">
                  <c:v>113.15970484036825</c:v>
                </c:pt>
                <c:pt idx="122">
                  <c:v>115.0190843075443</c:v>
                </c:pt>
                <c:pt idx="123">
                  <c:v>116.8204260106514</c:v>
                </c:pt>
                <c:pt idx="124">
                  <c:v>118.59619675823701</c:v>
                </c:pt>
                <c:pt idx="125">
                  <c:v>120.35771875692622</c:v>
                </c:pt>
                <c:pt idx="126">
                  <c:v>122.05043513271603</c:v>
                </c:pt>
                <c:pt idx="127">
                  <c:v>123.70836769548795</c:v>
                </c:pt>
                <c:pt idx="128">
                  <c:v>125.41046235006344</c:v>
                </c:pt>
                <c:pt idx="129">
                  <c:v>127.08688765971959</c:v>
                </c:pt>
                <c:pt idx="130">
                  <c:v>128.77803806547985</c:v>
                </c:pt>
                <c:pt idx="131">
                  <c:v>130.38315199692724</c:v>
                </c:pt>
                <c:pt idx="132">
                  <c:v>131.93816176864445</c:v>
                </c:pt>
                <c:pt idx="133">
                  <c:v>133.46349158506621</c:v>
                </c:pt>
                <c:pt idx="134">
                  <c:v>135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45302</c:v>
                </c:pt>
                <c:pt idx="1">
                  <c:v>45303</c:v>
                </c:pt>
                <c:pt idx="2">
                  <c:v>45304</c:v>
                </c:pt>
                <c:pt idx="3">
                  <c:v>45305</c:v>
                </c:pt>
                <c:pt idx="4">
                  <c:v>45306</c:v>
                </c:pt>
                <c:pt idx="5">
                  <c:v>45307</c:v>
                </c:pt>
                <c:pt idx="6">
                  <c:v>45308</c:v>
                </c:pt>
                <c:pt idx="7">
                  <c:v>45309</c:v>
                </c:pt>
                <c:pt idx="8">
                  <c:v>45310</c:v>
                </c:pt>
                <c:pt idx="9">
                  <c:v>45311</c:v>
                </c:pt>
                <c:pt idx="10">
                  <c:v>45312</c:v>
                </c:pt>
                <c:pt idx="11">
                  <c:v>45313</c:v>
                </c:pt>
                <c:pt idx="12">
                  <c:v>45314</c:v>
                </c:pt>
                <c:pt idx="13">
                  <c:v>45315</c:v>
                </c:pt>
                <c:pt idx="14">
                  <c:v>45316</c:v>
                </c:pt>
                <c:pt idx="15">
                  <c:v>45317</c:v>
                </c:pt>
                <c:pt idx="16">
                  <c:v>45318</c:v>
                </c:pt>
                <c:pt idx="17">
                  <c:v>45319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45325</c:v>
                </c:pt>
                <c:pt idx="24">
                  <c:v>45326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45332</c:v>
                </c:pt>
                <c:pt idx="31">
                  <c:v>45333</c:v>
                </c:pt>
                <c:pt idx="32">
                  <c:v>45334</c:v>
                </c:pt>
                <c:pt idx="33">
                  <c:v>45335</c:v>
                </c:pt>
                <c:pt idx="34">
                  <c:v>45336</c:v>
                </c:pt>
                <c:pt idx="35">
                  <c:v>45337</c:v>
                </c:pt>
                <c:pt idx="36">
                  <c:v>45338</c:v>
                </c:pt>
                <c:pt idx="37">
                  <c:v>45339</c:v>
                </c:pt>
                <c:pt idx="38">
                  <c:v>45340</c:v>
                </c:pt>
                <c:pt idx="39">
                  <c:v>45341</c:v>
                </c:pt>
                <c:pt idx="40">
                  <c:v>45342</c:v>
                </c:pt>
                <c:pt idx="41">
                  <c:v>45343</c:v>
                </c:pt>
                <c:pt idx="42">
                  <c:v>45344</c:v>
                </c:pt>
                <c:pt idx="43">
                  <c:v>45345</c:v>
                </c:pt>
                <c:pt idx="44">
                  <c:v>45346</c:v>
                </c:pt>
                <c:pt idx="45">
                  <c:v>45347</c:v>
                </c:pt>
                <c:pt idx="46">
                  <c:v>45348</c:v>
                </c:pt>
                <c:pt idx="47">
                  <c:v>45349</c:v>
                </c:pt>
                <c:pt idx="48">
                  <c:v>45350</c:v>
                </c:pt>
                <c:pt idx="49">
                  <c:v>45351</c:v>
                </c:pt>
                <c:pt idx="50">
                  <c:v>45352</c:v>
                </c:pt>
                <c:pt idx="51">
                  <c:v>45353</c:v>
                </c:pt>
                <c:pt idx="52">
                  <c:v>45354</c:v>
                </c:pt>
                <c:pt idx="53">
                  <c:v>45355</c:v>
                </c:pt>
                <c:pt idx="54">
                  <c:v>45356</c:v>
                </c:pt>
                <c:pt idx="55">
                  <c:v>45357</c:v>
                </c:pt>
                <c:pt idx="56">
                  <c:v>45358</c:v>
                </c:pt>
                <c:pt idx="57">
                  <c:v>45359</c:v>
                </c:pt>
                <c:pt idx="58">
                  <c:v>45360</c:v>
                </c:pt>
                <c:pt idx="59">
                  <c:v>45361</c:v>
                </c:pt>
                <c:pt idx="60">
                  <c:v>45362</c:v>
                </c:pt>
                <c:pt idx="61">
                  <c:v>45363</c:v>
                </c:pt>
                <c:pt idx="62">
                  <c:v>45364</c:v>
                </c:pt>
                <c:pt idx="63">
                  <c:v>45365</c:v>
                </c:pt>
                <c:pt idx="64">
                  <c:v>45366</c:v>
                </c:pt>
                <c:pt idx="65">
                  <c:v>45367</c:v>
                </c:pt>
                <c:pt idx="66">
                  <c:v>45368</c:v>
                </c:pt>
                <c:pt idx="67">
                  <c:v>45369</c:v>
                </c:pt>
                <c:pt idx="68">
                  <c:v>45370</c:v>
                </c:pt>
                <c:pt idx="69">
                  <c:v>45371</c:v>
                </c:pt>
                <c:pt idx="70">
                  <c:v>45372</c:v>
                </c:pt>
                <c:pt idx="71">
                  <c:v>45373</c:v>
                </c:pt>
                <c:pt idx="72">
                  <c:v>45374</c:v>
                </c:pt>
                <c:pt idx="73">
                  <c:v>45375</c:v>
                </c:pt>
                <c:pt idx="74">
                  <c:v>45376</c:v>
                </c:pt>
                <c:pt idx="75">
                  <c:v>45377</c:v>
                </c:pt>
                <c:pt idx="76">
                  <c:v>45378</c:v>
                </c:pt>
                <c:pt idx="77">
                  <c:v>45379</c:v>
                </c:pt>
                <c:pt idx="78">
                  <c:v>45380</c:v>
                </c:pt>
                <c:pt idx="79">
                  <c:v>45381</c:v>
                </c:pt>
                <c:pt idx="80">
                  <c:v>45382</c:v>
                </c:pt>
                <c:pt idx="81">
                  <c:v>45383</c:v>
                </c:pt>
                <c:pt idx="82">
                  <c:v>45384</c:v>
                </c:pt>
                <c:pt idx="83">
                  <c:v>45385</c:v>
                </c:pt>
                <c:pt idx="84">
                  <c:v>45386</c:v>
                </c:pt>
                <c:pt idx="85">
                  <c:v>45387</c:v>
                </c:pt>
                <c:pt idx="86">
                  <c:v>45388</c:v>
                </c:pt>
                <c:pt idx="87">
                  <c:v>45389</c:v>
                </c:pt>
                <c:pt idx="88">
                  <c:v>45390</c:v>
                </c:pt>
                <c:pt idx="89">
                  <c:v>45391</c:v>
                </c:pt>
                <c:pt idx="90">
                  <c:v>45392</c:v>
                </c:pt>
                <c:pt idx="91">
                  <c:v>45393</c:v>
                </c:pt>
                <c:pt idx="92">
                  <c:v>45394</c:v>
                </c:pt>
                <c:pt idx="93">
                  <c:v>45395</c:v>
                </c:pt>
                <c:pt idx="94">
                  <c:v>45396</c:v>
                </c:pt>
                <c:pt idx="95">
                  <c:v>45397</c:v>
                </c:pt>
                <c:pt idx="96">
                  <c:v>45398</c:v>
                </c:pt>
                <c:pt idx="97">
                  <c:v>45399</c:v>
                </c:pt>
                <c:pt idx="98">
                  <c:v>45400</c:v>
                </c:pt>
                <c:pt idx="99">
                  <c:v>45401</c:v>
                </c:pt>
                <c:pt idx="100">
                  <c:v>45402</c:v>
                </c:pt>
                <c:pt idx="101">
                  <c:v>45403</c:v>
                </c:pt>
                <c:pt idx="102">
                  <c:v>45404</c:v>
                </c:pt>
                <c:pt idx="103">
                  <c:v>45405</c:v>
                </c:pt>
                <c:pt idx="104">
                  <c:v>45406</c:v>
                </c:pt>
                <c:pt idx="105">
                  <c:v>45407</c:v>
                </c:pt>
                <c:pt idx="106">
                  <c:v>45408</c:v>
                </c:pt>
                <c:pt idx="107">
                  <c:v>45409</c:v>
                </c:pt>
                <c:pt idx="108">
                  <c:v>45410</c:v>
                </c:pt>
                <c:pt idx="109">
                  <c:v>45411</c:v>
                </c:pt>
                <c:pt idx="110">
                  <c:v>45412</c:v>
                </c:pt>
                <c:pt idx="111">
                  <c:v>45413</c:v>
                </c:pt>
                <c:pt idx="112">
                  <c:v>45414</c:v>
                </c:pt>
                <c:pt idx="113">
                  <c:v>45415</c:v>
                </c:pt>
                <c:pt idx="114">
                  <c:v>45416</c:v>
                </c:pt>
                <c:pt idx="115">
                  <c:v>45417</c:v>
                </c:pt>
                <c:pt idx="116">
                  <c:v>45418</c:v>
                </c:pt>
                <c:pt idx="117">
                  <c:v>45419</c:v>
                </c:pt>
                <c:pt idx="118">
                  <c:v>45420</c:v>
                </c:pt>
                <c:pt idx="119">
                  <c:v>45421</c:v>
                </c:pt>
                <c:pt idx="120">
                  <c:v>45422</c:v>
                </c:pt>
                <c:pt idx="121">
                  <c:v>45423</c:v>
                </c:pt>
                <c:pt idx="122">
                  <c:v>45424</c:v>
                </c:pt>
                <c:pt idx="123">
                  <c:v>45425</c:v>
                </c:pt>
                <c:pt idx="124">
                  <c:v>45426</c:v>
                </c:pt>
                <c:pt idx="125">
                  <c:v>45427</c:v>
                </c:pt>
                <c:pt idx="126">
                  <c:v>45428</c:v>
                </c:pt>
                <c:pt idx="127">
                  <c:v>45429</c:v>
                </c:pt>
                <c:pt idx="128">
                  <c:v>45430</c:v>
                </c:pt>
                <c:pt idx="129">
                  <c:v>45431</c:v>
                </c:pt>
                <c:pt idx="130">
                  <c:v>45432</c:v>
                </c:pt>
                <c:pt idx="131">
                  <c:v>45433</c:v>
                </c:pt>
                <c:pt idx="132">
                  <c:v>45434</c:v>
                </c:pt>
                <c:pt idx="133">
                  <c:v>45435</c:v>
                </c:pt>
                <c:pt idx="134">
                  <c:v>45436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28.641923647509543</c:v>
                </c:pt>
                <c:pt idx="1">
                  <c:v>29.40272770847524</c:v>
                </c:pt>
                <c:pt idx="2">
                  <c:v>30.183678028596084</c:v>
                </c:pt>
                <c:pt idx="3">
                  <c:v>30.938460478353665</c:v>
                </c:pt>
                <c:pt idx="4">
                  <c:v>31.632712564798354</c:v>
                </c:pt>
                <c:pt idx="5">
                  <c:v>32.310287230279471</c:v>
                </c:pt>
                <c:pt idx="6">
                  <c:v>32.957167370069179</c:v>
                </c:pt>
                <c:pt idx="7">
                  <c:v>33.569924191972653</c:v>
                </c:pt>
                <c:pt idx="8">
                  <c:v>34.160218439044087</c:v>
                </c:pt>
                <c:pt idx="9">
                  <c:v>34.69855515069424</c:v>
                </c:pt>
                <c:pt idx="10">
                  <c:v>35.295707987085066</c:v>
                </c:pt>
                <c:pt idx="11">
                  <c:v>35.863440053942313</c:v>
                </c:pt>
                <c:pt idx="12">
                  <c:v>36.395282683612955</c:v>
                </c:pt>
                <c:pt idx="13">
                  <c:v>36.901081153376118</c:v>
                </c:pt>
                <c:pt idx="14">
                  <c:v>37.39059859325986</c:v>
                </c:pt>
                <c:pt idx="15">
                  <c:v>37.772464573378443</c:v>
                </c:pt>
                <c:pt idx="16">
                  <c:v>38.117416571811489</c:v>
                </c:pt>
                <c:pt idx="17">
                  <c:v>38.437076880204692</c:v>
                </c:pt>
                <c:pt idx="18">
                  <c:v>38.736211702156822</c:v>
                </c:pt>
                <c:pt idx="19">
                  <c:v>39.021653264568542</c:v>
                </c:pt>
                <c:pt idx="20">
                  <c:v>39.287206075029552</c:v>
                </c:pt>
                <c:pt idx="21">
                  <c:v>39.528339524209635</c:v>
                </c:pt>
                <c:pt idx="22">
                  <c:v>39.75485269528653</c:v>
                </c:pt>
                <c:pt idx="23">
                  <c:v>39.954433771485967</c:v>
                </c:pt>
                <c:pt idx="24">
                  <c:v>40.142162296454082</c:v>
                </c:pt>
                <c:pt idx="25">
                  <c:v>40.322834636348659</c:v>
                </c:pt>
                <c:pt idx="26">
                  <c:v>40.47691214933171</c:v>
                </c:pt>
                <c:pt idx="27">
                  <c:v>40.611804199058462</c:v>
                </c:pt>
                <c:pt idx="28">
                  <c:v>40.73289761616369</c:v>
                </c:pt>
                <c:pt idx="29">
                  <c:v>40.836777878487908</c:v>
                </c:pt>
                <c:pt idx="30">
                  <c:v>40.928302371457647</c:v>
                </c:pt>
                <c:pt idx="31">
                  <c:v>41.010452119421764</c:v>
                </c:pt>
                <c:pt idx="32">
                  <c:v>41.081337467020596</c:v>
                </c:pt>
                <c:pt idx="33">
                  <c:v>41.127497488890882</c:v>
                </c:pt>
                <c:pt idx="34">
                  <c:v>41.158254592498309</c:v>
                </c:pt>
                <c:pt idx="35">
                  <c:v>41.176491860707387</c:v>
                </c:pt>
                <c:pt idx="36">
                  <c:v>41.178184267068609</c:v>
                </c:pt>
                <c:pt idx="37">
                  <c:v>41.177276380100935</c:v>
                </c:pt>
                <c:pt idx="38">
                  <c:v>41.157367208722214</c:v>
                </c:pt>
                <c:pt idx="39">
                  <c:v>41.117710672699765</c:v>
                </c:pt>
                <c:pt idx="40">
                  <c:v>41.069671574464742</c:v>
                </c:pt>
                <c:pt idx="41">
                  <c:v>41.006877726276578</c:v>
                </c:pt>
                <c:pt idx="42">
                  <c:v>40.922067164680307</c:v>
                </c:pt>
                <c:pt idx="43">
                  <c:v>40.821806509135371</c:v>
                </c:pt>
                <c:pt idx="44">
                  <c:v>40.698815325594751</c:v>
                </c:pt>
                <c:pt idx="45">
                  <c:v>40.551561378917938</c:v>
                </c:pt>
                <c:pt idx="46">
                  <c:v>40.381222304332915</c:v>
                </c:pt>
                <c:pt idx="47">
                  <c:v>40.185096268023806</c:v>
                </c:pt>
                <c:pt idx="48">
                  <c:v>39.97464870235747</c:v>
                </c:pt>
                <c:pt idx="49">
                  <c:v>39.749122911204061</c:v>
                </c:pt>
                <c:pt idx="50">
                  <c:v>39.495421558094812</c:v>
                </c:pt>
                <c:pt idx="51">
                  <c:v>39.220153531303595</c:v>
                </c:pt>
                <c:pt idx="52">
                  <c:v>38.938506619775112</c:v>
                </c:pt>
                <c:pt idx="53">
                  <c:v>38.631501815303494</c:v>
                </c:pt>
                <c:pt idx="54">
                  <c:v>38.289308331194619</c:v>
                </c:pt>
                <c:pt idx="55">
                  <c:v>37.928854695849381</c:v>
                </c:pt>
                <c:pt idx="56">
                  <c:v>37.525358486091321</c:v>
                </c:pt>
                <c:pt idx="57">
                  <c:v>37.088754568520095</c:v>
                </c:pt>
                <c:pt idx="58">
                  <c:v>36.620195361150962</c:v>
                </c:pt>
                <c:pt idx="59">
                  <c:v>36.141567420635937</c:v>
                </c:pt>
                <c:pt idx="60">
                  <c:v>35.62634615866007</c:v>
                </c:pt>
                <c:pt idx="61">
                  <c:v>35.082072834180636</c:v>
                </c:pt>
                <c:pt idx="62">
                  <c:v>34.499286862006088</c:v>
                </c:pt>
                <c:pt idx="63">
                  <c:v>33.888536794167912</c:v>
                </c:pt>
                <c:pt idx="64">
                  <c:v>33.238612975731122</c:v>
                </c:pt>
                <c:pt idx="65">
                  <c:v>32.551030774138354</c:v>
                </c:pt>
                <c:pt idx="66">
                  <c:v>31.824000102513239</c:v>
                </c:pt>
                <c:pt idx="67">
                  <c:v>31.071741233467911</c:v>
                </c:pt>
                <c:pt idx="68">
                  <c:v>30.282982700834719</c:v>
                </c:pt>
                <c:pt idx="69">
                  <c:v>29.435614494592166</c:v>
                </c:pt>
                <c:pt idx="70">
                  <c:v>28.553890488327653</c:v>
                </c:pt>
                <c:pt idx="71">
                  <c:v>27.649802612973666</c:v>
                </c:pt>
                <c:pt idx="72">
                  <c:v>26.706993601711496</c:v>
                </c:pt>
                <c:pt idx="73">
                  <c:v>25.720322638026698</c:v>
                </c:pt>
                <c:pt idx="74">
                  <c:v>24.691112699820771</c:v>
                </c:pt>
                <c:pt idx="75">
                  <c:v>23.605328553395776</c:v>
                </c:pt>
                <c:pt idx="76">
                  <c:v>22.480272509264434</c:v>
                </c:pt>
                <c:pt idx="77">
                  <c:v>21.299764327455662</c:v>
                </c:pt>
                <c:pt idx="78">
                  <c:v>20.083455035465459</c:v>
                </c:pt>
                <c:pt idx="79">
                  <c:v>18.839930129151426</c:v>
                </c:pt>
                <c:pt idx="80">
                  <c:v>17.57224890378922</c:v>
                </c:pt>
                <c:pt idx="81">
                  <c:v>16.272188725303199</c:v>
                </c:pt>
                <c:pt idx="82">
                  <c:v>14.91867693870012</c:v>
                </c:pt>
                <c:pt idx="83">
                  <c:v>13.551859991965564</c:v>
                </c:pt>
                <c:pt idx="84">
                  <c:v>12.142702415843864</c:v>
                </c:pt>
                <c:pt idx="85">
                  <c:v>10.694368606184131</c:v>
                </c:pt>
                <c:pt idx="86">
                  <c:v>9.2087243399405843</c:v>
                </c:pt>
                <c:pt idx="87">
                  <c:v>7.7085305265352826</c:v>
                </c:pt>
                <c:pt idx="88">
                  <c:v>6.2043465255665495</c:v>
                </c:pt>
                <c:pt idx="89">
                  <c:v>4.6734534193426214</c:v>
                </c:pt>
                <c:pt idx="90">
                  <c:v>3.1344809889742029</c:v>
                </c:pt>
                <c:pt idx="91">
                  <c:v>1.560814129526539</c:v>
                </c:pt>
                <c:pt idx="92">
                  <c:v>-7.2540361759528604E-2</c:v>
                </c:pt>
                <c:pt idx="93">
                  <c:v>-1.7045042009608056</c:v>
                </c:pt>
                <c:pt idx="94">
                  <c:v>-3.3467841116663513</c:v>
                </c:pt>
                <c:pt idx="95">
                  <c:v>-5.067767959366682</c:v>
                </c:pt>
                <c:pt idx="96">
                  <c:v>-6.7896910060375726</c:v>
                </c:pt>
                <c:pt idx="97">
                  <c:v>-8.5390147798650204</c:v>
                </c:pt>
                <c:pt idx="98">
                  <c:v>-10.289228079350959</c:v>
                </c:pt>
                <c:pt idx="99">
                  <c:v>-12.091322536456907</c:v>
                </c:pt>
                <c:pt idx="100">
                  <c:v>-13.894721219735796</c:v>
                </c:pt>
                <c:pt idx="101">
                  <c:v>-15.629863975352684</c:v>
                </c:pt>
                <c:pt idx="102">
                  <c:v>-17.401683030813871</c:v>
                </c:pt>
                <c:pt idx="103">
                  <c:v>-19.161911722242799</c:v>
                </c:pt>
                <c:pt idx="104">
                  <c:v>-20.95563533977888</c:v>
                </c:pt>
                <c:pt idx="105">
                  <c:v>-22.786943437826451</c:v>
                </c:pt>
                <c:pt idx="106">
                  <c:v>-24.676384105598451</c:v>
                </c:pt>
                <c:pt idx="107">
                  <c:v>-26.600415040633056</c:v>
                </c:pt>
                <c:pt idx="108">
                  <c:v>-28.42049738770379</c:v>
                </c:pt>
                <c:pt idx="109">
                  <c:v>-30.188641663010543</c:v>
                </c:pt>
                <c:pt idx="110">
                  <c:v>-31.964869194825148</c:v>
                </c:pt>
                <c:pt idx="111">
                  <c:v>-33.712352164923082</c:v>
                </c:pt>
                <c:pt idx="112">
                  <c:v>-35.44548575513906</c:v>
                </c:pt>
                <c:pt idx="113">
                  <c:v>-37.144473556338781</c:v>
                </c:pt>
                <c:pt idx="114">
                  <c:v>-38.846560014622007</c:v>
                </c:pt>
                <c:pt idx="115">
                  <c:v>-40.557171465073004</c:v>
                </c:pt>
                <c:pt idx="116">
                  <c:v>-42.226110597706246</c:v>
                </c:pt>
                <c:pt idx="117">
                  <c:v>-43.851357032230716</c:v>
                </c:pt>
                <c:pt idx="118">
                  <c:v>-45.418645767517049</c:v>
                </c:pt>
                <c:pt idx="119">
                  <c:v>-46.986147812210497</c:v>
                </c:pt>
                <c:pt idx="120">
                  <c:v>-48.574024502111577</c:v>
                </c:pt>
                <c:pt idx="121">
                  <c:v>-50.186850098440331</c:v>
                </c:pt>
                <c:pt idx="122">
                  <c:v>-51.777937531830261</c:v>
                </c:pt>
                <c:pt idx="123">
                  <c:v>-53.318582555538981</c:v>
                </c:pt>
                <c:pt idx="124">
                  <c:v>-54.83558646081552</c:v>
                </c:pt>
                <c:pt idx="125">
                  <c:v>-56.338169093410031</c:v>
                </c:pt>
                <c:pt idx="126">
                  <c:v>-57.780961872349565</c:v>
                </c:pt>
                <c:pt idx="127">
                  <c:v>-59.192121616435003</c:v>
                </c:pt>
                <c:pt idx="128">
                  <c:v>-60.636778749605341</c:v>
                </c:pt>
                <c:pt idx="129">
                  <c:v>-62.056927088214756</c:v>
                </c:pt>
                <c:pt idx="130">
                  <c:v>-63.485485626057994</c:v>
                </c:pt>
                <c:pt idx="131">
                  <c:v>-64.83980953160642</c:v>
                </c:pt>
                <c:pt idx="132">
                  <c:v>-66.14936410008103</c:v>
                </c:pt>
                <c:pt idx="133">
                  <c:v>-67.430883360581745</c:v>
                </c:pt>
                <c:pt idx="134">
                  <c:v>-68.717566827756329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0.17146088501668777</c:v>
                </c:pt>
                <c:pt idx="1">
                  <c:v>0.34280273540281947</c:v>
                </c:pt>
                <c:pt idx="2">
                  <c:v>0.52334099525078992</c:v>
                </c:pt>
                <c:pt idx="3">
                  <c:v>0.70842680218096932</c:v>
                </c:pt>
                <c:pt idx="4">
                  <c:v>0.89139469617712697</c:v>
                </c:pt>
                <c:pt idx="5">
                  <c:v>1.0785379236034034</c:v>
                </c:pt>
                <c:pt idx="6">
                  <c:v>1.2667002631574971</c:v>
                </c:pt>
                <c:pt idx="7">
                  <c:v>1.4564956746318032</c:v>
                </c:pt>
                <c:pt idx="8">
                  <c:v>1.6513536570988183</c:v>
                </c:pt>
                <c:pt idx="9">
                  <c:v>1.842286169343311</c:v>
                </c:pt>
                <c:pt idx="10">
                  <c:v>2.0634181373577958</c:v>
                </c:pt>
                <c:pt idx="11">
                  <c:v>2.2935341610543589</c:v>
                </c:pt>
                <c:pt idx="12">
                  <c:v>2.5240817675329743</c:v>
                </c:pt>
                <c:pt idx="13">
                  <c:v>2.7605720484086906</c:v>
                </c:pt>
                <c:pt idx="14">
                  <c:v>3.0063531454266164</c:v>
                </c:pt>
                <c:pt idx="15">
                  <c:v>3.247601781018695</c:v>
                </c:pt>
                <c:pt idx="16">
                  <c:v>3.483109576528459</c:v>
                </c:pt>
                <c:pt idx="17">
                  <c:v>3.7170807724335519</c:v>
                </c:pt>
                <c:pt idx="18">
                  <c:v>3.9524618071251933</c:v>
                </c:pt>
                <c:pt idx="19">
                  <c:v>4.1951290183174823</c:v>
                </c:pt>
                <c:pt idx="20">
                  <c:v>4.4388938886141238</c:v>
                </c:pt>
                <c:pt idx="21">
                  <c:v>4.6772302659359042</c:v>
                </c:pt>
                <c:pt idx="22">
                  <c:v>4.919151903836724</c:v>
                </c:pt>
                <c:pt idx="23">
                  <c:v>5.1505546103491993</c:v>
                </c:pt>
                <c:pt idx="24">
                  <c:v>5.3843924567754984</c:v>
                </c:pt>
                <c:pt idx="25">
                  <c:v>5.6258445504686572</c:v>
                </c:pt>
                <c:pt idx="26">
                  <c:v>5.8541639952306976</c:v>
                </c:pt>
                <c:pt idx="27">
                  <c:v>6.076954315897809</c:v>
                </c:pt>
                <c:pt idx="28">
                  <c:v>6.2989902347456983</c:v>
                </c:pt>
                <c:pt idx="29">
                  <c:v>6.5179544607813256</c:v>
                </c:pt>
                <c:pt idx="30">
                  <c:v>6.7405861252397052</c:v>
                </c:pt>
                <c:pt idx="31">
                  <c:v>6.9680671029778489</c:v>
                </c:pt>
                <c:pt idx="32">
                  <c:v>7.1971056018781985</c:v>
                </c:pt>
                <c:pt idx="33">
                  <c:v>7.4155526418932061</c:v>
                </c:pt>
                <c:pt idx="34">
                  <c:v>7.6330088086548038</c:v>
                </c:pt>
                <c:pt idx="35">
                  <c:v>7.8492009458804839</c:v>
                </c:pt>
                <c:pt idx="36">
                  <c:v>8.0624610897325031</c:v>
                </c:pt>
                <c:pt idx="37">
                  <c:v>8.2865458619662924</c:v>
                </c:pt>
                <c:pt idx="38">
                  <c:v>8.5086168605946053</c:v>
                </c:pt>
                <c:pt idx="39">
                  <c:v>8.7276540571432992</c:v>
                </c:pt>
                <c:pt idx="40">
                  <c:v>8.9554966689721045</c:v>
                </c:pt>
                <c:pt idx="41">
                  <c:v>9.185117926006372</c:v>
                </c:pt>
                <c:pt idx="42">
                  <c:v>9.407480204218837</c:v>
                </c:pt>
                <c:pt idx="43">
                  <c:v>9.6326615985522128</c:v>
                </c:pt>
                <c:pt idx="44">
                  <c:v>9.8466549396915344</c:v>
                </c:pt>
                <c:pt idx="45">
                  <c:v>10.046937033443715</c:v>
                </c:pt>
                <c:pt idx="46">
                  <c:v>10.245785885032957</c:v>
                </c:pt>
                <c:pt idx="47">
                  <c:v>10.441811510889957</c:v>
                </c:pt>
                <c:pt idx="48">
                  <c:v>10.637906540605007</c:v>
                </c:pt>
                <c:pt idx="49">
                  <c:v>10.840693273079356</c:v>
                </c:pt>
                <c:pt idx="50">
                  <c:v>11.047613152096851</c:v>
                </c:pt>
                <c:pt idx="51">
                  <c:v>11.258346400931861</c:v>
                </c:pt>
                <c:pt idx="52">
                  <c:v>11.467887748684243</c:v>
                </c:pt>
                <c:pt idx="53">
                  <c:v>11.67419372474162</c:v>
                </c:pt>
                <c:pt idx="54">
                  <c:v>11.883086161074086</c:v>
                </c:pt>
                <c:pt idx="55">
                  <c:v>12.08293065810277</c:v>
                </c:pt>
                <c:pt idx="56">
                  <c:v>12.279202928598133</c:v>
                </c:pt>
                <c:pt idx="57">
                  <c:v>12.479628262482537</c:v>
                </c:pt>
                <c:pt idx="58">
                  <c:v>12.669445639796402</c:v>
                </c:pt>
                <c:pt idx="59">
                  <c:v>12.871875265533623</c:v>
                </c:pt>
                <c:pt idx="60">
                  <c:v>13.076394614922121</c:v>
                </c:pt>
                <c:pt idx="61">
                  <c:v>13.269857887913957</c:v>
                </c:pt>
                <c:pt idx="62">
                  <c:v>13.458590589208542</c:v>
                </c:pt>
                <c:pt idx="63">
                  <c:v>13.645865197789021</c:v>
                </c:pt>
                <c:pt idx="64">
                  <c:v>13.835229011904365</c:v>
                </c:pt>
                <c:pt idx="65">
                  <c:v>14.022032601962104</c:v>
                </c:pt>
                <c:pt idx="66">
                  <c:v>14.202989090515851</c:v>
                </c:pt>
                <c:pt idx="67">
                  <c:v>14.372643578010024</c:v>
                </c:pt>
                <c:pt idx="68">
                  <c:v>14.545273997419002</c:v>
                </c:pt>
                <c:pt idx="69">
                  <c:v>14.714493300700564</c:v>
                </c:pt>
                <c:pt idx="70">
                  <c:v>14.882770415073301</c:v>
                </c:pt>
                <c:pt idx="71">
                  <c:v>15.047611599326007</c:v>
                </c:pt>
                <c:pt idx="72">
                  <c:v>15.208658841337307</c:v>
                </c:pt>
                <c:pt idx="73">
                  <c:v>15.367239377749264</c:v>
                </c:pt>
                <c:pt idx="74">
                  <c:v>15.529522979639491</c:v>
                </c:pt>
                <c:pt idx="75">
                  <c:v>15.688598540149703</c:v>
                </c:pt>
                <c:pt idx="76">
                  <c:v>15.846813133792251</c:v>
                </c:pt>
                <c:pt idx="77">
                  <c:v>16.00857410370832</c:v>
                </c:pt>
                <c:pt idx="78">
                  <c:v>16.163950630015915</c:v>
                </c:pt>
                <c:pt idx="79">
                  <c:v>16.31856267231862</c:v>
                </c:pt>
                <c:pt idx="80">
                  <c:v>16.467900940518419</c:v>
                </c:pt>
                <c:pt idx="81">
                  <c:v>16.618897320801569</c:v>
                </c:pt>
                <c:pt idx="82">
                  <c:v>16.772812943857499</c:v>
                </c:pt>
                <c:pt idx="83">
                  <c:v>16.919095186604281</c:v>
                </c:pt>
                <c:pt idx="84">
                  <c:v>17.063435601465763</c:v>
                </c:pt>
                <c:pt idx="85">
                  <c:v>17.210045466749989</c:v>
                </c:pt>
                <c:pt idx="86">
                  <c:v>17.355983371540564</c:v>
                </c:pt>
                <c:pt idx="87">
                  <c:v>17.500770794963667</c:v>
                </c:pt>
                <c:pt idx="88">
                  <c:v>17.648291548349011</c:v>
                </c:pt>
                <c:pt idx="89">
                  <c:v>17.795576029587057</c:v>
                </c:pt>
                <c:pt idx="90">
                  <c:v>17.94029774526242</c:v>
                </c:pt>
                <c:pt idx="91">
                  <c:v>18.090073983832454</c:v>
                </c:pt>
                <c:pt idx="92">
                  <c:v>18.242776256529528</c:v>
                </c:pt>
                <c:pt idx="93">
                  <c:v>18.394784851329547</c:v>
                </c:pt>
                <c:pt idx="94">
                  <c:v>18.546019121512941</c:v>
                </c:pt>
                <c:pt idx="95">
                  <c:v>18.708019492093502</c:v>
                </c:pt>
                <c:pt idx="96">
                  <c:v>18.868664231872927</c:v>
                </c:pt>
                <c:pt idx="97">
                  <c:v>19.031677040776525</c:v>
                </c:pt>
                <c:pt idx="98">
                  <c:v>19.192093780572083</c:v>
                </c:pt>
                <c:pt idx="99">
                  <c:v>19.353492947652455</c:v>
                </c:pt>
                <c:pt idx="100">
                  <c:v>19.518397965367075</c:v>
                </c:pt>
                <c:pt idx="101">
                  <c:v>19.67767217221332</c:v>
                </c:pt>
                <c:pt idx="102">
                  <c:v>19.839100063450331</c:v>
                </c:pt>
                <c:pt idx="103">
                  <c:v>20.004879933752058</c:v>
                </c:pt>
                <c:pt idx="104">
                  <c:v>20.190559444326098</c:v>
                </c:pt>
                <c:pt idx="105">
                  <c:v>20.383849474767981</c:v>
                </c:pt>
                <c:pt idx="106">
                  <c:v>20.586476383792963</c:v>
                </c:pt>
                <c:pt idx="107">
                  <c:v>20.800447150089841</c:v>
                </c:pt>
                <c:pt idx="108">
                  <c:v>21.003813091870303</c:v>
                </c:pt>
                <c:pt idx="109">
                  <c:v>21.211399419031725</c:v>
                </c:pt>
                <c:pt idx="110">
                  <c:v>21.425401733582603</c:v>
                </c:pt>
                <c:pt idx="111">
                  <c:v>21.657838391765488</c:v>
                </c:pt>
                <c:pt idx="112">
                  <c:v>21.891400826704924</c:v>
                </c:pt>
                <c:pt idx="113">
                  <c:v>22.121273269873605</c:v>
                </c:pt>
                <c:pt idx="114">
                  <c:v>22.358639678007446</c:v>
                </c:pt>
                <c:pt idx="115">
                  <c:v>22.607180968726148</c:v>
                </c:pt>
                <c:pt idx="116">
                  <c:v>22.848834120192052</c:v>
                </c:pt>
                <c:pt idx="117">
                  <c:v>23.092213749451812</c:v>
                </c:pt>
                <c:pt idx="118">
                  <c:v>23.329568045522283</c:v>
                </c:pt>
                <c:pt idx="119">
                  <c:v>23.576637223651037</c:v>
                </c:pt>
                <c:pt idx="120">
                  <c:v>23.832698860863417</c:v>
                </c:pt>
                <c:pt idx="121">
                  <c:v>24.095961522018303</c:v>
                </c:pt>
                <c:pt idx="122">
                  <c:v>24.357439709262753</c:v>
                </c:pt>
                <c:pt idx="123">
                  <c:v>24.61156124761029</c:v>
                </c:pt>
                <c:pt idx="124">
                  <c:v>24.863872612547063</c:v>
                </c:pt>
                <c:pt idx="125">
                  <c:v>25.116432938467984</c:v>
                </c:pt>
                <c:pt idx="126">
                  <c:v>25.360230061294491</c:v>
                </c:pt>
                <c:pt idx="127">
                  <c:v>25.601010230486185</c:v>
                </c:pt>
                <c:pt idx="128">
                  <c:v>25.852327260705174</c:v>
                </c:pt>
                <c:pt idx="129">
                  <c:v>26.102581611034516</c:v>
                </c:pt>
                <c:pt idx="130">
                  <c:v>26.359109932976537</c:v>
                </c:pt>
                <c:pt idx="131">
                  <c:v>26.604127322124253</c:v>
                </c:pt>
                <c:pt idx="132">
                  <c:v>26.843975912473887</c:v>
                </c:pt>
                <c:pt idx="133">
                  <c:v>27.082276832321789</c:v>
                </c:pt>
                <c:pt idx="134">
                  <c:v>27.326554639746131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0.64523443592732477</c:v>
                </c:pt>
                <c:pt idx="2">
                  <c:v>1.2346966465068903</c:v>
                </c:pt>
                <c:pt idx="3">
                  <c:v>1.8351087067797618</c:v>
                </c:pt>
                <c:pt idx="4">
                  <c:v>2.4048053496071651</c:v>
                </c:pt>
                <c:pt idx="5">
                  <c:v>2.9160895420556976</c:v>
                </c:pt>
                <c:pt idx="6">
                  <c:v>3.4065209801105363</c:v>
                </c:pt>
                <c:pt idx="7">
                  <c:v>3.8652387803461492</c:v>
                </c:pt>
                <c:pt idx="8">
                  <c:v>4.2882001907753153</c:v>
                </c:pt>
                <c:pt idx="9">
                  <c:v>4.6836364553797329</c:v>
                </c:pt>
                <c:pt idx="10">
                  <c:v>5.0310406547853912</c:v>
                </c:pt>
                <c:pt idx="11">
                  <c:v>5.4070615231617367</c:v>
                </c:pt>
                <c:pt idx="12">
                  <c:v>5.7446775663224203</c:v>
                </c:pt>
                <c:pt idx="13">
                  <c:v>6.0459725895144469</c:v>
                </c:pt>
                <c:pt idx="14">
                  <c:v>6.3152807784018972</c:v>
                </c:pt>
                <c:pt idx="15">
                  <c:v>6.559017121267714</c:v>
                </c:pt>
                <c:pt idx="16">
                  <c:v>6.7777225364088167</c:v>
                </c:pt>
                <c:pt idx="17">
                  <c:v>6.9682405732480044</c:v>
                </c:pt>
                <c:pt idx="18">
                  <c:v>7.1402670994204156</c:v>
                </c:pt>
                <c:pt idx="19">
                  <c:v>7.2963681885187617</c:v>
                </c:pt>
                <c:pt idx="20">
                  <c:v>7.437964786507969</c:v>
                </c:pt>
                <c:pt idx="21">
                  <c:v>7.5639554726174829</c:v>
                </c:pt>
                <c:pt idx="22">
                  <c:v>7.6775005493384487</c:v>
                </c:pt>
                <c:pt idx="23">
                  <c:v>7.7778516849599999</c:v>
                </c:pt>
                <c:pt idx="24">
                  <c:v>7.8669281956230348</c:v>
                </c:pt>
                <c:pt idx="25">
                  <c:v>7.9443255027016022</c:v>
                </c:pt>
                <c:pt idx="26">
                  <c:v>8.0170673621802635</c:v>
                </c:pt>
                <c:pt idx="27">
                  <c:v>8.0828778275206759</c:v>
                </c:pt>
                <c:pt idx="28">
                  <c:v>8.1435421977469638</c:v>
                </c:pt>
                <c:pt idx="29">
                  <c:v>8.1991945296688282</c:v>
                </c:pt>
                <c:pt idx="30">
                  <c:v>8.2505215405080889</c:v>
                </c:pt>
                <c:pt idx="31">
                  <c:v>8.298529363473051</c:v>
                </c:pt>
                <c:pt idx="32">
                  <c:v>8.3442828678861165</c:v>
                </c:pt>
                <c:pt idx="33">
                  <c:v>8.3872665211393258</c:v>
                </c:pt>
                <c:pt idx="34">
                  <c:v>8.4252558180405028</c:v>
                </c:pt>
                <c:pt idx="35">
                  <c:v>8.4608240031562794</c:v>
                </c:pt>
                <c:pt idx="36">
                  <c:v>8.4946033157147429</c:v>
                </c:pt>
                <c:pt idx="37">
                  <c:v>8.5262200059898703</c:v>
                </c:pt>
                <c:pt idx="38">
                  <c:v>8.5579850579473433</c:v>
                </c:pt>
                <c:pt idx="39">
                  <c:v>8.5885921867591328</c:v>
                </c:pt>
                <c:pt idx="40">
                  <c:v>8.6173962889052618</c:v>
                </c:pt>
                <c:pt idx="41">
                  <c:v>8.6460447240996992</c:v>
                </c:pt>
                <c:pt idx="42">
                  <c:v>8.6736258863254854</c:v>
                </c:pt>
                <c:pt idx="43">
                  <c:v>8.6999979681494324</c:v>
                </c:pt>
                <c:pt idx="44">
                  <c:v>8.7256341068991361</c:v>
                </c:pt>
                <c:pt idx="45">
                  <c:v>8.7499117643567388</c:v>
                </c:pt>
                <c:pt idx="46">
                  <c:v>8.7720457132240455</c:v>
                </c:pt>
                <c:pt idx="47">
                  <c:v>8.793385928834212</c:v>
                </c:pt>
                <c:pt idx="48">
                  <c:v>8.8137384060049371</c:v>
                </c:pt>
                <c:pt idx="49">
                  <c:v>8.8340607875914046</c:v>
                </c:pt>
                <c:pt idx="50">
                  <c:v>8.8550946489150153</c:v>
                </c:pt>
                <c:pt idx="51">
                  <c:v>8.8760808285981732</c:v>
                </c:pt>
                <c:pt idx="52">
                  <c:v>8.8972897160368873</c:v>
                </c:pt>
                <c:pt idx="53">
                  <c:v>8.9173685947374715</c:v>
                </c:pt>
                <c:pt idx="54">
                  <c:v>8.9370639906128417</c:v>
                </c:pt>
                <c:pt idx="55">
                  <c:v>8.9570615545071242</c:v>
                </c:pt>
                <c:pt idx="56">
                  <c:v>8.9760378033284294</c:v>
                </c:pt>
                <c:pt idx="57">
                  <c:v>8.9943141646256457</c:v>
                </c:pt>
                <c:pt idx="58">
                  <c:v>9.0127658742186583</c:v>
                </c:pt>
                <c:pt idx="59">
                  <c:v>9.0296953659046295</c:v>
                </c:pt>
                <c:pt idx="60">
                  <c:v>9.0479792098354341</c:v>
                </c:pt>
                <c:pt idx="61">
                  <c:v>9.0662707393809416</c:v>
                </c:pt>
                <c:pt idx="62">
                  <c:v>9.0834645606418611</c:v>
                </c:pt>
                <c:pt idx="63">
                  <c:v>9.0998036984569399</c:v>
                </c:pt>
                <c:pt idx="64">
                  <c:v>9.1159026705391568</c:v>
                </c:pt>
                <c:pt idx="65">
                  <c:v>9.131990730892996</c:v>
                </c:pt>
                <c:pt idx="66">
                  <c:v>9.1475730720093864</c:v>
                </c:pt>
                <c:pt idx="67">
                  <c:v>9.1622454400554449</c:v>
                </c:pt>
                <c:pt idx="68">
                  <c:v>9.1755822458657263</c:v>
                </c:pt>
                <c:pt idx="69">
                  <c:v>9.1891647096949196</c:v>
                </c:pt>
                <c:pt idx="70">
                  <c:v>9.2018433500390309</c:v>
                </c:pt>
                <c:pt idx="71">
                  <c:v>9.2143744065449891</c:v>
                </c:pt>
                <c:pt idx="72">
                  <c:v>9.226628311638855</c:v>
                </c:pt>
                <c:pt idx="73">
                  <c:v>9.2382950927467959</c:v>
                </c:pt>
                <c:pt idx="74">
                  <c:v>9.2494768910773306</c:v>
                </c:pt>
                <c:pt idx="75">
                  <c:v>9.2610166528011035</c:v>
                </c:pt>
                <c:pt idx="76">
                  <c:v>9.2718258593492848</c:v>
                </c:pt>
                <c:pt idx="77">
                  <c:v>9.2824812705960937</c:v>
                </c:pt>
                <c:pt idx="78">
                  <c:v>9.2933495042997531</c:v>
                </c:pt>
                <c:pt idx="79">
                  <c:v>9.3033937529710595</c:v>
                </c:pt>
                <c:pt idx="80">
                  <c:v>9.3134685685313556</c:v>
                </c:pt>
                <c:pt idx="81">
                  <c:v>9.3229916039564209</c:v>
                </c:pt>
                <c:pt idx="82">
                  <c:v>9.3327694232265799</c:v>
                </c:pt>
                <c:pt idx="83">
                  <c:v>9.3427127108683123</c:v>
                </c:pt>
                <c:pt idx="84">
                  <c:v>9.351895379538945</c:v>
                </c:pt>
                <c:pt idx="85">
                  <c:v>9.3607283189059665</c:v>
                </c:pt>
                <c:pt idx="86">
                  <c:v>9.3697997097955916</c:v>
                </c:pt>
                <c:pt idx="87">
                  <c:v>9.3787370053517272</c:v>
                </c:pt>
                <c:pt idx="88">
                  <c:v>9.387686356578298</c:v>
                </c:pt>
                <c:pt idx="89">
                  <c:v>9.3971741420758903</c:v>
                </c:pt>
                <c:pt idx="90">
                  <c:v>9.4066176040990541</c:v>
                </c:pt>
                <c:pt idx="91">
                  <c:v>9.4158753849326366</c:v>
                </c:pt>
                <c:pt idx="92">
                  <c:v>9.4255969755683147</c:v>
                </c:pt>
                <c:pt idx="93">
                  <c:v>9.4353620556983291</c:v>
                </c:pt>
                <c:pt idx="94">
                  <c:v>9.4451614142697036</c:v>
                </c:pt>
                <c:pt idx="95">
                  <c:v>9.4548933522545582</c:v>
                </c:pt>
                <c:pt idx="96">
                  <c:v>9.4653215457518662</c:v>
                </c:pt>
                <c:pt idx="97">
                  <c:v>9.4756390557730406</c:v>
                </c:pt>
                <c:pt idx="98">
                  <c:v>9.4860539993355744</c:v>
                </c:pt>
                <c:pt idx="99">
                  <c:v>9.4962169320328194</c:v>
                </c:pt>
                <c:pt idx="100">
                  <c:v>9.5062220162070368</c:v>
                </c:pt>
                <c:pt idx="101">
                  <c:v>9.5162049612178325</c:v>
                </c:pt>
                <c:pt idx="102">
                  <c:v>9.5255736805652482</c:v>
                </c:pt>
                <c:pt idx="103">
                  <c:v>9.5349238942394816</c:v>
                </c:pt>
                <c:pt idx="104">
                  <c:v>9.5440388066788557</c:v>
                </c:pt>
                <c:pt idx="105">
                  <c:v>9.5532154201642783</c:v>
                </c:pt>
                <c:pt idx="106">
                  <c:v>9.5624162743294967</c:v>
                </c:pt>
                <c:pt idx="107">
                  <c:v>9.5717485276774426</c:v>
                </c:pt>
                <c:pt idx="108">
                  <c:v>9.5811124541477213</c:v>
                </c:pt>
                <c:pt idx="109">
                  <c:v>9.5897872872167884</c:v>
                </c:pt>
                <c:pt idx="110">
                  <c:v>9.5981165887964082</c:v>
                </c:pt>
                <c:pt idx="111">
                  <c:v>9.6063771278617089</c:v>
                </c:pt>
                <c:pt idx="112">
                  <c:v>9.614474767893908</c:v>
                </c:pt>
                <c:pt idx="113">
                  <c:v>9.6224084002079167</c:v>
                </c:pt>
                <c:pt idx="114">
                  <c:v>9.6300936407413875</c:v>
                </c:pt>
                <c:pt idx="115">
                  <c:v>9.6377270143565585</c:v>
                </c:pt>
                <c:pt idx="116">
                  <c:v>9.6453485514172872</c:v>
                </c:pt>
                <c:pt idx="117">
                  <c:v>9.6527081814521374</c:v>
                </c:pt>
                <c:pt idx="118">
                  <c:v>9.6598442607780406</c:v>
                </c:pt>
                <c:pt idx="119">
                  <c:v>9.6666921817548896</c:v>
                </c:pt>
                <c:pt idx="120">
                  <c:v>9.6735179675713603</c:v>
                </c:pt>
                <c:pt idx="121">
                  <c:v>9.6803935868689095</c:v>
                </c:pt>
                <c:pt idx="122">
                  <c:v>9.6873343182471245</c:v>
                </c:pt>
                <c:pt idx="123">
                  <c:v>9.6941481647888033</c:v>
                </c:pt>
                <c:pt idx="124">
                  <c:v>9.7007233058396487</c:v>
                </c:pt>
                <c:pt idx="125">
                  <c:v>9.7071787832119494</c:v>
                </c:pt>
                <c:pt idx="126">
                  <c:v>9.7135578233857238</c:v>
                </c:pt>
                <c:pt idx="127">
                  <c:v>9.7196842974094935</c:v>
                </c:pt>
                <c:pt idx="128">
                  <c:v>9.7256769469042794</c:v>
                </c:pt>
                <c:pt idx="129">
                  <c:v>9.7317974380904424</c:v>
                </c:pt>
                <c:pt idx="130">
                  <c:v>9.7378200588078343</c:v>
                </c:pt>
                <c:pt idx="131">
                  <c:v>9.7438836047828339</c:v>
                </c:pt>
                <c:pt idx="132">
                  <c:v>9.7496562415340851</c:v>
                </c:pt>
                <c:pt idx="133">
                  <c:v>9.7552628544270483</c:v>
                </c:pt>
                <c:pt idx="134">
                  <c:v>9.7607724905001874</c:v>
                </c:pt>
                <c:pt idx="135">
                  <c:v>9.7663196308350635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105.73236402899889</c:v>
                </c:pt>
                <c:pt idx="2">
                  <c:v>101.40995033538111</c:v>
                </c:pt>
                <c:pt idx="3">
                  <c:v>100.78786154593492</c:v>
                </c:pt>
                <c:pt idx="4">
                  <c:v>101.42756009561828</c:v>
                </c:pt>
                <c:pt idx="5">
                  <c:v>107.32099538172203</c:v>
                </c:pt>
                <c:pt idx="6">
                  <c:v>109.02412203328831</c:v>
                </c:pt>
                <c:pt idx="7">
                  <c:v>111.11762081007836</c:v>
                </c:pt>
                <c:pt idx="8">
                  <c:v>111.41282832325111</c:v>
                </c:pt>
                <c:pt idx="9">
                  <c:v>111.74690774629457</c:v>
                </c:pt>
                <c:pt idx="10">
                  <c:v>110.4100178572278</c:v>
                </c:pt>
                <c:pt idx="11">
                  <c:v>107.3563062672365</c:v>
                </c:pt>
                <c:pt idx="12">
                  <c:v>108.15793909666709</c:v>
                </c:pt>
                <c:pt idx="13">
                  <c:v>107.35468254580098</c:v>
                </c:pt>
                <c:pt idx="14">
                  <c:v>106.84275700779148</c:v>
                </c:pt>
                <c:pt idx="15">
                  <c:v>104.30881346881216</c:v>
                </c:pt>
                <c:pt idx="16">
                  <c:v>106.19774438864248</c:v>
                </c:pt>
                <c:pt idx="17">
                  <c:v>103.89611903288503</c:v>
                </c:pt>
                <c:pt idx="18">
                  <c:v>101.67609595647299</c:v>
                </c:pt>
                <c:pt idx="19">
                  <c:v>98.426988081875578</c:v>
                </c:pt>
                <c:pt idx="20">
                  <c:v>96.919991069796467</c:v>
                </c:pt>
                <c:pt idx="21">
                  <c:v>96.532604219978467</c:v>
                </c:pt>
                <c:pt idx="22">
                  <c:v>98.18189461574876</c:v>
                </c:pt>
                <c:pt idx="23">
                  <c:v>97.417941014522114</c:v>
                </c:pt>
                <c:pt idx="24">
                  <c:v>95.909735584957986</c:v>
                </c:pt>
                <c:pt idx="25">
                  <c:v>94.42728876750617</c:v>
                </c:pt>
                <c:pt idx="26">
                  <c:v>92.027548285108026</c:v>
                </c:pt>
                <c:pt idx="27">
                  <c:v>91.90750293619466</c:v>
                </c:pt>
                <c:pt idx="28">
                  <c:v>94.183357708763467</c:v>
                </c:pt>
                <c:pt idx="29">
                  <c:v>92.572071911090916</c:v>
                </c:pt>
                <c:pt idx="30">
                  <c:v>91.335457879951093</c:v>
                </c:pt>
                <c:pt idx="31">
                  <c:v>87.882952626642364</c:v>
                </c:pt>
                <c:pt idx="32">
                  <c:v>91.427478728362104</c:v>
                </c:pt>
                <c:pt idx="33">
                  <c:v>88.035512417757616</c:v>
                </c:pt>
                <c:pt idx="34">
                  <c:v>92.950009202141914</c:v>
                </c:pt>
                <c:pt idx="35">
                  <c:v>95.346105347867095</c:v>
                </c:pt>
                <c:pt idx="36">
                  <c:v>95.249868799480723</c:v>
                </c:pt>
                <c:pt idx="37">
                  <c:v>95.525986205291332</c:v>
                </c:pt>
                <c:pt idx="38">
                  <c:v>92.854784271794799</c:v>
                </c:pt>
                <c:pt idx="39">
                  <c:v>88.16682386093315</c:v>
                </c:pt>
                <c:pt idx="40">
                  <c:v>86.519695375236566</c:v>
                </c:pt>
                <c:pt idx="41">
                  <c:v>81.329901043523833</c:v>
                </c:pt>
                <c:pt idx="42">
                  <c:v>78.051935772826468</c:v>
                </c:pt>
                <c:pt idx="43">
                  <c:v>73.935066631949809</c:v>
                </c:pt>
                <c:pt idx="44">
                  <c:v>74.408035459175565</c:v>
                </c:pt>
                <c:pt idx="45">
                  <c:v>71.782576540217903</c:v>
                </c:pt>
                <c:pt idx="46">
                  <c:v>74.527421996323639</c:v>
                </c:pt>
                <c:pt idx="47">
                  <c:v>75.992783569143668</c:v>
                </c:pt>
                <c:pt idx="48">
                  <c:v>77.198500274648779</c:v>
                </c:pt>
                <c:pt idx="49">
                  <c:v>77.69174386931445</c:v>
                </c:pt>
                <c:pt idx="50">
                  <c:v>72.683673343070666</c:v>
                </c:pt>
                <c:pt idx="51">
                  <c:v>72.424795480437311</c:v>
                </c:pt>
                <c:pt idx="52">
                  <c:v>68.189719135111076</c:v>
                </c:pt>
                <c:pt idx="53">
                  <c:v>65.142967804326048</c:v>
                </c:pt>
                <c:pt idx="54">
                  <c:v>64.044319321478582</c:v>
                </c:pt>
                <c:pt idx="55">
                  <c:v>65.550565564805822</c:v>
                </c:pt>
                <c:pt idx="56">
                  <c:v>60.924930309112767</c:v>
                </c:pt>
                <c:pt idx="57">
                  <c:v>58.131134162617691</c:v>
                </c:pt>
                <c:pt idx="58">
                  <c:v>53.58785699770187</c:v>
                </c:pt>
                <c:pt idx="59">
                  <c:v>53.50678492403275</c:v>
                </c:pt>
                <c:pt idx="60">
                  <c:v>56.021145121951179</c:v>
                </c:pt>
                <c:pt idx="61">
                  <c:v>66.227010893644021</c:v>
                </c:pt>
                <c:pt idx="62">
                  <c:v>64.783338527880673</c:v>
                </c:pt>
                <c:pt idx="63">
                  <c:v>60.702318285218702</c:v>
                </c:pt>
                <c:pt idx="64">
                  <c:v>56.729971394739792</c:v>
                </c:pt>
                <c:pt idx="65">
                  <c:v>53.253049828915259</c:v>
                </c:pt>
                <c:pt idx="66">
                  <c:v>50.715226088464895</c:v>
                </c:pt>
                <c:pt idx="67">
                  <c:v>48.77464640792568</c:v>
                </c:pt>
                <c:pt idx="68">
                  <c:v>46.451545218886672</c:v>
                </c:pt>
                <c:pt idx="69">
                  <c:v>46.564999916092717</c:v>
                </c:pt>
                <c:pt idx="70">
                  <c:v>47.233210688265444</c:v>
                </c:pt>
                <c:pt idx="71">
                  <c:v>44.653738243955374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2.4709543601882784E-2</c:v>
                </c:pt>
                <c:pt idx="2">
                  <c:v>2.7981007849306062E-2</c:v>
                </c:pt>
                <c:pt idx="3">
                  <c:v>3.1625628160018647E-2</c:v>
                </c:pt>
                <c:pt idx="4">
                  <c:v>3.5827392967946181E-2</c:v>
                </c:pt>
                <c:pt idx="5">
                  <c:v>4.0752368797189534E-2</c:v>
                </c:pt>
                <c:pt idx="6">
                  <c:v>4.6078094057185347E-2</c:v>
                </c:pt>
                <c:pt idx="7">
                  <c:v>5.2274778290529678E-2</c:v>
                </c:pt>
                <c:pt idx="8">
                  <c:v>5.9454828933434248E-2</c:v>
                </c:pt>
                <c:pt idx="9">
                  <c:v>6.7231546728462488E-2</c:v>
                </c:pt>
                <c:pt idx="10">
                  <c:v>7.6284782491206224E-2</c:v>
                </c:pt>
                <c:pt idx="11">
                  <c:v>8.6542706955123339E-2</c:v>
                </c:pt>
                <c:pt idx="12">
                  <c:v>9.7990242817517864E-2</c:v>
                </c:pt>
                <c:pt idx="13">
                  <c:v>0.11044187049476613</c:v>
                </c:pt>
                <c:pt idx="14">
                  <c:v>0.12416659409673908</c:v>
                </c:pt>
                <c:pt idx="15">
                  <c:v>0.13991090485749316</c:v>
                </c:pt>
                <c:pt idx="16">
                  <c:v>0.15787795904805385</c:v>
                </c:pt>
                <c:pt idx="17">
                  <c:v>0.17686275568424811</c:v>
                </c:pt>
                <c:pt idx="18">
                  <c:v>0.19675224389144705</c:v>
                </c:pt>
                <c:pt idx="19">
                  <c:v>0.21819192409042951</c:v>
                </c:pt>
                <c:pt idx="20">
                  <c:v>0.24226670931950708</c:v>
                </c:pt>
                <c:pt idx="21">
                  <c:v>0.26822331883229722</c:v>
                </c:pt>
                <c:pt idx="22">
                  <c:v>0.29644316358168937</c:v>
                </c:pt>
                <c:pt idx="23">
                  <c:v>0.32691425783774747</c:v>
                </c:pt>
                <c:pt idx="24">
                  <c:v>0.35831740748795338</c:v>
                </c:pt>
                <c:pt idx="25">
                  <c:v>0.39288125343259572</c:v>
                </c:pt>
                <c:pt idx="26">
                  <c:v>0.42850483875084122</c:v>
                </c:pt>
                <c:pt idx="27">
                  <c:v>0.46347450310792032</c:v>
                </c:pt>
                <c:pt idx="28">
                  <c:v>0.49829767732963537</c:v>
                </c:pt>
                <c:pt idx="29">
                  <c:v>0.53324446554370541</c:v>
                </c:pt>
                <c:pt idx="30">
                  <c:v>0.56846475259446261</c:v>
                </c:pt>
                <c:pt idx="31">
                  <c:v>0.60342131037948321</c:v>
                </c:pt>
                <c:pt idx="32">
                  <c:v>0.63814828671947743</c:v>
                </c:pt>
                <c:pt idx="33">
                  <c:v>0.67179842378026244</c:v>
                </c:pt>
                <c:pt idx="34">
                  <c:v>0.70334150614477353</c:v>
                </c:pt>
                <c:pt idx="35">
                  <c:v>0.73205342852475719</c:v>
                </c:pt>
                <c:pt idx="36">
                  <c:v>0.75839486917733612</c:v>
                </c:pt>
                <c:pt idx="37">
                  <c:v>0.78126700791730352</c:v>
                </c:pt>
                <c:pt idx="38">
                  <c:v>0.80184817870099034</c:v>
                </c:pt>
                <c:pt idx="39">
                  <c:v>0.82105781110815457</c:v>
                </c:pt>
                <c:pt idx="40">
                  <c:v>0.83801086204326702</c:v>
                </c:pt>
                <c:pt idx="41">
                  <c:v>0.85364720852903009</c:v>
                </c:pt>
                <c:pt idx="42">
                  <c:v>0.86781130847386723</c:v>
                </c:pt>
                <c:pt idx="43">
                  <c:v>0.87985258535331123</c:v>
                </c:pt>
                <c:pt idx="44">
                  <c:v>0.89018950842653977</c:v>
                </c:pt>
                <c:pt idx="45">
                  <c:v>0.89897849220233039</c:v>
                </c:pt>
                <c:pt idx="46">
                  <c:v>0.90659626366109447</c:v>
                </c:pt>
                <c:pt idx="47">
                  <c:v>0.91314736161422172</c:v>
                </c:pt>
                <c:pt idx="48">
                  <c:v>0.9186160577808079</c:v>
                </c:pt>
                <c:pt idx="49">
                  <c:v>0.92336142006021216</c:v>
                </c:pt>
                <c:pt idx="50">
                  <c:v>0.9274930143358675</c:v>
                </c:pt>
                <c:pt idx="51">
                  <c:v>0.9309969938883168</c:v>
                </c:pt>
                <c:pt idx="52">
                  <c:v>0.93400152349640997</c:v>
                </c:pt>
                <c:pt idx="53">
                  <c:v>0.93646629847392582</c:v>
                </c:pt>
                <c:pt idx="54">
                  <c:v>0.93857761963067188</c:v>
                </c:pt>
                <c:pt idx="55">
                  <c:v>0.9403961852935917</c:v>
                </c:pt>
                <c:pt idx="56">
                  <c:v>0.94189583531784471</c:v>
                </c:pt>
                <c:pt idx="57">
                  <c:v>0.94316975597580333</c:v>
                </c:pt>
                <c:pt idx="58">
                  <c:v>0.9443083400339094</c:v>
                </c:pt>
                <c:pt idx="59">
                  <c:v>0.94527964014896482</c:v>
                </c:pt>
                <c:pt idx="60">
                  <c:v>0.94607328850844352</c:v>
                </c:pt>
                <c:pt idx="61">
                  <c:v>0.94671798811078112</c:v>
                </c:pt>
                <c:pt idx="62">
                  <c:v>0.94725064313233465</c:v>
                </c:pt>
                <c:pt idx="63">
                  <c:v>0.94770911027816873</c:v>
                </c:pt>
                <c:pt idx="64">
                  <c:v>0.94808628819727381</c:v>
                </c:pt>
                <c:pt idx="65">
                  <c:v>0.94840687625875641</c:v>
                </c:pt>
                <c:pt idx="66">
                  <c:v>0.94866617408951914</c:v>
                </c:pt>
                <c:pt idx="67">
                  <c:v>0.94888464175634613</c:v>
                </c:pt>
                <c:pt idx="68">
                  <c:v>0.9490730790716384</c:v>
                </c:pt>
                <c:pt idx="69">
                  <c:v>0.94923199687314697</c:v>
                </c:pt>
                <c:pt idx="70">
                  <c:v>0.94936562559585602</c:v>
                </c:pt>
                <c:pt idx="71">
                  <c:v>0.94947486029492256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E37" zoomScale="110" zoomScaleNormal="110" workbookViewId="0">
      <selection activeCell="E48" sqref="E48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9" t="s">
        <v>153</v>
      </c>
      <c r="E1" s="140"/>
      <c r="F1" s="140"/>
      <c r="G1" s="140"/>
      <c r="H1" s="141"/>
      <c r="Z1"/>
      <c r="AA1"/>
      <c r="AB1"/>
      <c r="AC1"/>
    </row>
    <row r="2" spans="2:34" s="55" customFormat="1" ht="47.25" customHeight="1">
      <c r="C2" s="106"/>
      <c r="D2" s="142" t="s">
        <v>154</v>
      </c>
      <c r="E2" s="143"/>
      <c r="F2" s="143"/>
      <c r="G2" s="143"/>
      <c r="H2" s="144"/>
      <c r="Z2"/>
      <c r="AA2"/>
      <c r="AB2"/>
      <c r="AC2"/>
    </row>
    <row r="3" spans="2:34" s="54" customFormat="1" ht="15" thickBot="1">
      <c r="B3" s="55"/>
      <c r="C3" s="129" t="s">
        <v>185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8" t="s">
        <v>173</v>
      </c>
      <c r="D4" s="109" t="s">
        <v>9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6">
      <c r="C5" s="108" t="s">
        <v>27</v>
      </c>
      <c r="D5" s="110" t="s">
        <v>66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6">
      <c r="C6" s="108" t="s">
        <v>96</v>
      </c>
      <c r="D6" s="110" t="s">
        <v>6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Ice berg</v>
      </c>
      <c r="E7" s="92" t="s">
        <v>89</v>
      </c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Lettuce Vegetable Ice berg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45231</v>
      </c>
      <c r="E9" s="67">
        <v>45231</v>
      </c>
      <c r="F9" s="57" t="s">
        <v>147</v>
      </c>
      <c r="G9" s="85" t="str">
        <f>IF(H9="",VLOOKUP(CurrentCropNameFull,CropCoefficients,13,FALSE),H9)</f>
        <v>Seedling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45301</v>
      </c>
      <c r="E10" s="67">
        <v>45301</v>
      </c>
      <c r="F10" s="57" t="s">
        <v>148</v>
      </c>
      <c r="G10" s="85" t="str">
        <f>IF(H10="",VLOOKUP(CurrentCropNameFull,CropCoefficients,15,FALSE),H10)</f>
        <v>Vegetative</v>
      </c>
      <c r="H10" s="72"/>
      <c r="Z10"/>
      <c r="AA10"/>
      <c r="AB10"/>
      <c r="AC10"/>
    </row>
    <row r="11" spans="2:34" s="55" customFormat="1">
      <c r="C11" s="57" t="s">
        <v>138</v>
      </c>
      <c r="D11" s="85">
        <f>IF(CurrentUnits="kg/head",IF(E11="",VLOOKUP(CurrentCropNameFull,CropCoefficients,20,FALSE),E11),"1")</f>
        <v>60000</v>
      </c>
      <c r="E11" s="72">
        <v>60000</v>
      </c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(kg/head)</v>
      </c>
      <c r="D12" s="85">
        <f>IF(E12="",VLOOKUP(CurrentCropNameFull,CropCoefficients,17,FALSE),E12)</f>
        <v>0.9</v>
      </c>
      <c r="E12" s="69">
        <v>0.9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kg/head</v>
      </c>
      <c r="E13" s="71"/>
      <c r="F13" s="57" t="s">
        <v>136</v>
      </c>
      <c r="G13" s="99">
        <f>IF(H13="",VLOOKUP(CurrentCropNameFull,CropCoefficients,26,FALSE),H13)</f>
        <v>96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54</v>
      </c>
      <c r="C14" s="64" t="str">
        <f>"Yield "&amp;CurrentYield_tperHa&amp;" (t/ha)"</f>
        <v>Yield 54 (t/ha)</v>
      </c>
      <c r="D14" s="90" t="str">
        <f ca="1">"requires "&amp;ROUND(SUM('Model Interface'!V4:W4),0)&amp;" kg N/ha from all sources"</f>
        <v>requires 95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>PriorHarvestDate</f>
        <v>45230</v>
      </c>
      <c r="Z14"/>
      <c r="AA14"/>
      <c r="AB14"/>
      <c r="AC14"/>
    </row>
    <row r="15" spans="2:34" s="55" customFormat="1" ht="16.2" thickBot="1">
      <c r="B15" s="55">
        <f ca="1">SUMIF(B29:B43,1,G29:G43)</f>
        <v>62.606253756743186</v>
      </c>
      <c r="C15" s="111" t="s">
        <v>223</v>
      </c>
      <c r="D15" s="112" t="str">
        <f ca="1">SUMIF(B29:B43,1,G29:G43)&amp;" Kg/ha"</f>
        <v>62.6062537567432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8" t="s">
        <v>226</v>
      </c>
      <c r="S15" s="138"/>
      <c r="T15" s="138"/>
      <c r="U15" s="138"/>
      <c r="V15" s="138"/>
      <c r="W15" s="124"/>
      <c r="X15" s="124"/>
      <c r="Y15" s="124"/>
      <c r="Z15" s="136" t="s">
        <v>225</v>
      </c>
      <c r="AA15" s="136"/>
      <c r="AB15" s="136"/>
      <c r="AC15" s="136"/>
      <c r="AD15" s="137" t="s">
        <v>227</v>
      </c>
      <c r="AE15" s="137"/>
      <c r="AF15" s="137"/>
      <c r="AG15" s="137"/>
      <c r="AH15" s="137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186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246</v>
      </c>
      <c r="Y17" s="55" t="s">
        <v>247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246</v>
      </c>
      <c r="AK17" s="55" t="s">
        <v>247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45230</v>
      </c>
      <c r="S18" s="55">
        <f ca="1">IF(R18&gt;1,R18,"")</f>
        <v>45230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108.00000000000001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0.25735690902117309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Interface'!AD7:AD1000,('Model Interface'!AD7:AD1000&gt;=CurrentHarvestDate+1)*('Model Interface'!AD7:AD1000&lt;=FollowingHarvestDate),"")</f>
        <v>45302</v>
      </c>
      <c r="AE18" s="55">
        <f ca="1">IF(AD18&gt;1,AD18,"")</f>
        <v>45302</v>
      </c>
      <c r="AF18" s="55">
        <f t="shared" ref="AF18:AF20" ca="1" si="6">VLOOKUP(AE18,ModelOutputs,2,FALSE)</f>
        <v>28.641923647509543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0.17146088501668777</v>
      </c>
      <c r="AK18" s="55">
        <f t="shared" ref="AK18" ca="1" si="10">VLOOKUP(AE18,ModelOutputs,4,FALSE)</f>
        <v>0.64523443592732477</v>
      </c>
    </row>
    <row r="19" spans="1:37" s="55" customFormat="1">
      <c r="C19" s="57" t="s">
        <v>220</v>
      </c>
      <c r="D19" s="85">
        <f>IF(E19="",60,E19)</f>
        <v>30</v>
      </c>
      <c r="E19" s="16">
        <v>30</v>
      </c>
      <c r="F19" s="100" t="str">
        <f ca="1">ROUND('Model Interface'!T3,0)&amp;" kg N/ha available from SOM mineralisation"</f>
        <v>16 kg N/ha available from SOM mineralisation</v>
      </c>
      <c r="R19" s="83">
        <f ca="1"/>
        <v>45231</v>
      </c>
      <c r="S19" s="55">
        <f t="shared" ref="S19:S82" ca="1" si="11">IF(R19&gt;1,R19,"")</f>
        <v>45231</v>
      </c>
      <c r="T19" s="55">
        <f t="shared" ca="1" si="0"/>
        <v>49.901064507466252</v>
      </c>
      <c r="U19" s="55">
        <f t="shared" ca="1" si="1"/>
        <v>2.2397146628668128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0.498469449031052</v>
      </c>
      <c r="Y19" s="55">
        <f t="shared" ref="Y19:Y82" ca="1" si="14">VLOOKUP(S19,ModelOutputs,4,FALSE)+Y18</f>
        <v>-0.34004803254362448</v>
      </c>
      <c r="Z19">
        <f t="shared" ca="1" si="3"/>
        <v>105.73236402899889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2.4709543601882784E-2</v>
      </c>
      <c r="AD19" s="83">
        <f ca="1"/>
        <v>45303</v>
      </c>
      <c r="AE19" s="55">
        <f t="shared" ref="AE19:AE20" ca="1" si="16">IF(AD19&gt;1,AD19,"")</f>
        <v>45303</v>
      </c>
      <c r="AF19" s="55">
        <f t="shared" ca="1" si="6"/>
        <v>29.40272770847524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0.34280273540281947</v>
      </c>
      <c r="AK19" s="55">
        <f t="shared" ref="AK19:AK82" ca="1" si="19">VLOOKUP(AE19,ModelOutputs,4,FALSE)+AK18</f>
        <v>1.2346966465068903</v>
      </c>
    </row>
    <row r="20" spans="1:37" s="55" customFormat="1">
      <c r="C20" s="57" t="s">
        <v>230</v>
      </c>
      <c r="D20" s="85" t="str">
        <f>IF(E20="","Sedementary",E20)</f>
        <v>Volcanic</v>
      </c>
      <c r="E20" s="16" t="s">
        <v>231</v>
      </c>
      <c r="F20" s="100"/>
      <c r="R20" s="83">
        <f ca="1"/>
        <v>45232</v>
      </c>
      <c r="S20" s="55">
        <f t="shared" ca="1" si="11"/>
        <v>45232</v>
      </c>
      <c r="T20" s="55">
        <f t="shared" ca="1" si="0"/>
        <v>49.690097209241856</v>
      </c>
      <c r="U20" s="55">
        <f t="shared" ca="1" si="1"/>
        <v>2.3558312649348103</v>
      </c>
      <c r="V20" s="55">
        <f t="shared" ca="1" si="2"/>
        <v>0</v>
      </c>
      <c r="W20" s="55">
        <f t="shared" ca="1" si="12"/>
        <v>0</v>
      </c>
      <c r="X20" s="55">
        <f t="shared" ca="1" si="13"/>
        <v>0.72981390198393414</v>
      </c>
      <c r="Y20" s="55">
        <f t="shared" ca="1" si="14"/>
        <v>-0.66624318165290419</v>
      </c>
      <c r="Z20">
        <f t="shared" ca="1" si="3"/>
        <v>101.40995033538111</v>
      </c>
      <c r="AA20">
        <f t="shared" ca="1" si="15"/>
        <v>0</v>
      </c>
      <c r="AB20">
        <f t="shared" ca="1" si="4"/>
        <v>0</v>
      </c>
      <c r="AC20">
        <f t="shared" ca="1" si="5"/>
        <v>2.7981007849306062E-2</v>
      </c>
      <c r="AD20" s="83">
        <f ca="1"/>
        <v>45304</v>
      </c>
      <c r="AE20" s="55">
        <f t="shared" ca="1" si="16"/>
        <v>45304</v>
      </c>
      <c r="AF20" s="55">
        <f t="shared" ca="1" si="6"/>
        <v>30.183678028596084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0.52334099525078992</v>
      </c>
      <c r="AK20" s="55">
        <f t="shared" ca="1" si="19"/>
        <v>1.8351087067797618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Top15cm</v>
      </c>
      <c r="E21" s="16" t="s">
        <v>267</v>
      </c>
      <c r="F21" s="100"/>
      <c r="R21" s="83">
        <f ca="1"/>
        <v>45233</v>
      </c>
      <c r="S21" s="55">
        <f t="shared" ca="1" si="11"/>
        <v>45233</v>
      </c>
      <c r="T21" s="55">
        <f t="shared" ca="1" si="0"/>
        <v>49.487860969865409</v>
      </c>
      <c r="U21" s="55">
        <f t="shared" ca="1" si="1"/>
        <v>2.4764463877172838</v>
      </c>
      <c r="V21" s="55">
        <f t="shared" ca="1" si="2"/>
        <v>0</v>
      </c>
      <c r="W21" s="55">
        <f t="shared" ca="1" si="12"/>
        <v>0</v>
      </c>
      <c r="X21" s="55">
        <f t="shared" ca="1" si="13"/>
        <v>0.95756229623615297</v>
      </c>
      <c r="Y21" s="55">
        <f t="shared" ca="1" si="14"/>
        <v>-0.97561269249909366</v>
      </c>
      <c r="Z21">
        <f t="shared" ca="1" si="3"/>
        <v>100.78786154593492</v>
      </c>
      <c r="AA21">
        <f t="shared" ca="1" si="15"/>
        <v>0</v>
      </c>
      <c r="AB21">
        <f t="shared" ca="1" si="4"/>
        <v>0</v>
      </c>
      <c r="AC21">
        <f t="shared" ca="1" si="5"/>
        <v>3.1625628160018647E-2</v>
      </c>
      <c r="AD21" s="83">
        <f ca="1"/>
        <v>45305</v>
      </c>
      <c r="AE21" s="55">
        <f t="shared" ref="AE21:AE84" ca="1" si="20">IF(AD21&gt;1,AD21,"")</f>
        <v>45305</v>
      </c>
      <c r="AF21" s="55">
        <f t="shared" ref="AF21:AF84" ca="1" si="21">VLOOKUP(AE21,ModelOutputs,2,FALSE)</f>
        <v>30.938460478353665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0.70842680218096932</v>
      </c>
      <c r="AK21" s="55">
        <f t="shared" ca="1" si="19"/>
        <v>2.4048053496071651</v>
      </c>
    </row>
    <row r="22" spans="1:37" s="55" customFormat="1" ht="15" customHeight="1">
      <c r="C22" s="57" t="s">
        <v>212</v>
      </c>
      <c r="D22" s="85" t="str">
        <f>IF(E22="","loam",E22)</f>
        <v>SiltLoam</v>
      </c>
      <c r="E22" s="16" t="s">
        <v>275</v>
      </c>
      <c r="F22" s="100"/>
      <c r="R22" s="83">
        <f ca="1"/>
        <v>45234</v>
      </c>
      <c r="S22" s="55">
        <f t="shared" ca="1" si="11"/>
        <v>45234</v>
      </c>
      <c r="T22" s="55">
        <f t="shared" ca="1" si="0"/>
        <v>49.291848276359936</v>
      </c>
      <c r="U22" s="55">
        <f t="shared" ca="1" si="1"/>
        <v>2.6061626321041218</v>
      </c>
      <c r="V22" s="55">
        <f t="shared" ca="1" si="2"/>
        <v>0</v>
      </c>
      <c r="W22" s="55">
        <f t="shared" ca="1" si="12"/>
        <v>0</v>
      </c>
      <c r="X22" s="55">
        <f t="shared" ca="1" si="13"/>
        <v>1.1909973094713939</v>
      </c>
      <c r="Y22" s="55">
        <f t="shared" ca="1" si="14"/>
        <v>-1.2753441548529745</v>
      </c>
      <c r="Z22">
        <f t="shared" ca="1" si="3"/>
        <v>101.42756009561828</v>
      </c>
      <c r="AA22">
        <f t="shared" ca="1" si="15"/>
        <v>0</v>
      </c>
      <c r="AB22">
        <f t="shared" ca="1" si="4"/>
        <v>0</v>
      </c>
      <c r="AC22">
        <f t="shared" ca="1" si="5"/>
        <v>3.5827392967946181E-2</v>
      </c>
      <c r="AD22" s="83">
        <f ca="1"/>
        <v>45306</v>
      </c>
      <c r="AE22" s="55">
        <f t="shared" ca="1" si="20"/>
        <v>45306</v>
      </c>
      <c r="AF22" s="55">
        <f t="shared" ca="1" si="21"/>
        <v>31.632712564798354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0.89139469617712697</v>
      </c>
      <c r="AK22" s="55">
        <f t="shared" ca="1" si="19"/>
        <v>2.9160895420556976</v>
      </c>
    </row>
    <row r="23" spans="1:37" s="55" customFormat="1">
      <c r="C23" s="57"/>
      <c r="D23" s="85"/>
      <c r="E23" s="122"/>
      <c r="F23" s="100"/>
      <c r="R23" s="83">
        <f ca="1"/>
        <v>45235</v>
      </c>
      <c r="S23" s="55">
        <f t="shared" ca="1" si="11"/>
        <v>45235</v>
      </c>
      <c r="T23" s="55">
        <f t="shared" ca="1" si="0"/>
        <v>49.113289148504762</v>
      </c>
      <c r="U23" s="55">
        <f t="shared" ca="1" si="1"/>
        <v>2.7478506407212246</v>
      </c>
      <c r="V23" s="55">
        <f t="shared" ca="1" si="2"/>
        <v>0</v>
      </c>
      <c r="W23" s="55">
        <f t="shared" ca="1" si="12"/>
        <v>0</v>
      </c>
      <c r="X23" s="55">
        <f t="shared" ca="1" si="13"/>
        <v>1.446977551085276</v>
      </c>
      <c r="Y23" s="55">
        <f t="shared" ca="1" si="14"/>
        <v>-1.5681955157049283</v>
      </c>
      <c r="Z23">
        <f t="shared" ca="1" si="3"/>
        <v>107.32099538172203</v>
      </c>
      <c r="AA23">
        <f t="shared" ca="1" si="15"/>
        <v>0</v>
      </c>
      <c r="AB23">
        <f t="shared" ca="1" si="4"/>
        <v>0</v>
      </c>
      <c r="AC23">
        <f t="shared" ca="1" si="5"/>
        <v>4.0752368797189534E-2</v>
      </c>
      <c r="AD23" s="83">
        <f ca="1"/>
        <v>45307</v>
      </c>
      <c r="AE23" s="55">
        <f t="shared" ca="1" si="20"/>
        <v>45307</v>
      </c>
      <c r="AF23" s="55">
        <f t="shared" ca="1" si="21"/>
        <v>32.310287230279471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1.0785379236034034</v>
      </c>
      <c r="AK23" s="55">
        <f t="shared" ca="1" si="19"/>
        <v>3.4065209801105363</v>
      </c>
    </row>
    <row r="24" spans="1:37" s="55" customFormat="1">
      <c r="C24" s="57" t="s">
        <v>229</v>
      </c>
      <c r="D24" s="85">
        <f>IF(E24="",0,E24)</f>
        <v>0</v>
      </c>
      <c r="E24" s="122">
        <v>0</v>
      </c>
      <c r="F24" s="100"/>
      <c r="R24" s="83">
        <f ca="1"/>
        <v>45236</v>
      </c>
      <c r="S24" s="55">
        <f t="shared" ca="1" si="11"/>
        <v>45236</v>
      </c>
      <c r="T24" s="55">
        <f t="shared" ca="1" si="0"/>
        <v>48.95062619531457</v>
      </c>
      <c r="U24" s="55">
        <f t="shared" ca="1" si="1"/>
        <v>2.8908477045730985</v>
      </c>
      <c r="V24" s="55">
        <f t="shared" ca="1" si="2"/>
        <v>0</v>
      </c>
      <c r="W24" s="55">
        <f t="shared" ca="1" si="12"/>
        <v>0</v>
      </c>
      <c r="X24" s="55">
        <f t="shared" ca="1" si="13"/>
        <v>1.699107771633241</v>
      </c>
      <c r="Y24" s="55">
        <f t="shared" ca="1" si="14"/>
        <v>-1.8399916255912176</v>
      </c>
      <c r="Z24">
        <f t="shared" ca="1" si="3"/>
        <v>109.02412203328831</v>
      </c>
      <c r="AA24">
        <f t="shared" ca="1" si="15"/>
        <v>0</v>
      </c>
      <c r="AB24">
        <f t="shared" ca="1" si="4"/>
        <v>0</v>
      </c>
      <c r="AC24">
        <f t="shared" ca="1" si="5"/>
        <v>4.6078094057185347E-2</v>
      </c>
      <c r="AD24" s="83">
        <f ca="1"/>
        <v>45308</v>
      </c>
      <c r="AE24" s="55">
        <f t="shared" ca="1" si="20"/>
        <v>45308</v>
      </c>
      <c r="AF24" s="55">
        <f t="shared" ca="1" si="21"/>
        <v>32.957167370069179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1.2667002631574971</v>
      </c>
      <c r="AK24" s="55">
        <f t="shared" ca="1" si="19"/>
        <v>3.8652387803461492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45237</v>
      </c>
      <c r="S25" s="55">
        <f t="shared" ca="1" si="11"/>
        <v>45237</v>
      </c>
      <c r="T25" s="55">
        <f t="shared" ca="1" si="0"/>
        <v>48.794903885458801</v>
      </c>
      <c r="U25" s="55">
        <f t="shared" ca="1" si="1"/>
        <v>3.0463893804497157</v>
      </c>
      <c r="V25" s="55">
        <f t="shared" ca="1" si="2"/>
        <v>0</v>
      </c>
      <c r="W25" s="55">
        <f t="shared" ca="1" si="12"/>
        <v>0</v>
      </c>
      <c r="X25" s="55">
        <f t="shared" ca="1" si="13"/>
        <v>1.9637153732162542</v>
      </c>
      <c r="Y25" s="55">
        <f t="shared" ca="1" si="14"/>
        <v>-2.1047798611533839</v>
      </c>
      <c r="Z25">
        <f t="shared" ca="1" si="3"/>
        <v>111.11762081007836</v>
      </c>
      <c r="AA25">
        <f t="shared" ca="1" si="15"/>
        <v>0</v>
      </c>
      <c r="AB25">
        <f t="shared" ca="1" si="4"/>
        <v>0</v>
      </c>
      <c r="AC25">
        <f t="shared" ca="1" si="5"/>
        <v>5.2274778290529678E-2</v>
      </c>
      <c r="AD25" s="83">
        <f ca="1"/>
        <v>45309</v>
      </c>
      <c r="AE25" s="55">
        <f t="shared" ca="1" si="20"/>
        <v>45309</v>
      </c>
      <c r="AF25" s="55">
        <f t="shared" ca="1" si="21"/>
        <v>33.569924191972653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1.4564956746318032</v>
      </c>
      <c r="AK25" s="55">
        <f t="shared" ca="1" si="19"/>
        <v>4.2882001907753153</v>
      </c>
    </row>
    <row r="26" spans="1:37" s="55" customFormat="1" ht="15" thickBot="1">
      <c r="C26" s="56"/>
      <c r="D26" s="56"/>
      <c r="E26" s="56"/>
      <c r="F26" s="56"/>
      <c r="R26" s="83">
        <f ca="1"/>
        <v>45238</v>
      </c>
      <c r="S26" s="55">
        <f t="shared" ca="1" si="11"/>
        <v>45238</v>
      </c>
      <c r="T26" s="55">
        <f t="shared" ca="1" si="0"/>
        <v>48.641037235392922</v>
      </c>
      <c r="U26" s="55">
        <f t="shared" ca="1" si="1"/>
        <v>3.2148068587916527</v>
      </c>
      <c r="V26" s="55">
        <f t="shared" ca="1" si="2"/>
        <v>0</v>
      </c>
      <c r="W26" s="55">
        <f t="shared" ca="1" si="12"/>
        <v>0</v>
      </c>
      <c r="X26" s="55">
        <f t="shared" ca="1" si="13"/>
        <v>2.2350403056872676</v>
      </c>
      <c r="Y26" s="55">
        <f t="shared" ca="1" si="14"/>
        <v>-2.3615539653483375</v>
      </c>
      <c r="Z26">
        <f t="shared" ca="1" si="3"/>
        <v>111.41282832325111</v>
      </c>
      <c r="AA26">
        <f t="shared" ca="1" si="15"/>
        <v>0</v>
      </c>
      <c r="AB26">
        <f t="shared" ca="1" si="4"/>
        <v>0</v>
      </c>
      <c r="AC26">
        <f t="shared" ca="1" si="5"/>
        <v>5.9454828933434248E-2</v>
      </c>
      <c r="AD26" s="83">
        <f ca="1"/>
        <v>45310</v>
      </c>
      <c r="AE26" s="55">
        <f t="shared" ca="1" si="20"/>
        <v>45310</v>
      </c>
      <c r="AF26" s="55">
        <f t="shared" ca="1" si="21"/>
        <v>34.160218439044087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1.6513536570988183</v>
      </c>
      <c r="AK26" s="55">
        <f t="shared" ca="1" si="19"/>
        <v>4.6836364553797329</v>
      </c>
    </row>
    <row r="27" spans="1:37" s="55" customFormat="1" ht="15" thickBot="1">
      <c r="C27" s="132" t="s">
        <v>139</v>
      </c>
      <c r="D27" s="133"/>
      <c r="E27" s="60"/>
      <c r="F27" s="134" t="s">
        <v>146</v>
      </c>
      <c r="G27" s="135"/>
      <c r="R27" s="83">
        <f ca="1"/>
        <v>45239</v>
      </c>
      <c r="S27" s="55">
        <f t="shared" ca="1" si="11"/>
        <v>45239</v>
      </c>
      <c r="T27" s="55">
        <f t="shared" ca="1" si="0"/>
        <v>48.495887518974335</v>
      </c>
      <c r="U27" s="55">
        <f t="shared" ca="1" si="1"/>
        <v>3.3856615956322575</v>
      </c>
      <c r="V27" s="55">
        <f t="shared" ca="1" si="2"/>
        <v>0</v>
      </c>
      <c r="W27" s="55">
        <f t="shared" ca="1" si="12"/>
        <v>0</v>
      </c>
      <c r="X27" s="55">
        <f t="shared" ca="1" si="13"/>
        <v>2.4992330373487546</v>
      </c>
      <c r="Y27" s="55">
        <f t="shared" ca="1" si="14"/>
        <v>-2.6000416765878103</v>
      </c>
      <c r="Z27">
        <f t="shared" ca="1" si="3"/>
        <v>111.74690774629457</v>
      </c>
      <c r="AA27">
        <f t="shared" ca="1" si="15"/>
        <v>0</v>
      </c>
      <c r="AB27">
        <f t="shared" ca="1" si="4"/>
        <v>0</v>
      </c>
      <c r="AC27">
        <f t="shared" ca="1" si="5"/>
        <v>6.7231546728462488E-2</v>
      </c>
      <c r="AD27" s="83">
        <f ca="1"/>
        <v>45311</v>
      </c>
      <c r="AE27" s="55">
        <f t="shared" ca="1" si="20"/>
        <v>45311</v>
      </c>
      <c r="AF27" s="55">
        <f t="shared" ca="1" si="21"/>
        <v>34.69855515069424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1.842286169343311</v>
      </c>
      <c r="AK27" s="55">
        <f t="shared" ca="1" si="19"/>
        <v>5.0310406547853912</v>
      </c>
    </row>
    <row r="28" spans="1:37" s="55" customFormat="1" ht="1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45240</v>
      </c>
      <c r="S28" s="55">
        <f t="shared" ca="1" si="11"/>
        <v>45240</v>
      </c>
      <c r="T28" s="55">
        <f t="shared" ca="1" si="0"/>
        <v>48.344927198666014</v>
      </c>
      <c r="U28" s="55">
        <f t="shared" ca="1" si="1"/>
        <v>3.5723529050142733</v>
      </c>
      <c r="V28" s="55">
        <f t="shared" ca="1" si="2"/>
        <v>0</v>
      </c>
      <c r="W28" s="55">
        <f t="shared" ca="1" si="12"/>
        <v>0</v>
      </c>
      <c r="X28" s="55">
        <f t="shared" ca="1" si="13"/>
        <v>2.7675672479826177</v>
      </c>
      <c r="Y28" s="55">
        <f t="shared" ca="1" si="14"/>
        <v>-2.8326448981479819</v>
      </c>
      <c r="Z28">
        <f t="shared" ca="1" si="3"/>
        <v>110.4100178572278</v>
      </c>
      <c r="AA28">
        <f t="shared" ca="1" si="15"/>
        <v>0</v>
      </c>
      <c r="AB28">
        <f t="shared" ca="1" si="4"/>
        <v>0</v>
      </c>
      <c r="AC28">
        <f t="shared" ca="1" si="5"/>
        <v>7.6284782491206224E-2</v>
      </c>
      <c r="AD28" s="83">
        <f ca="1"/>
        <v>45312</v>
      </c>
      <c r="AE28" s="55">
        <f t="shared" ca="1" si="20"/>
        <v>45312</v>
      </c>
      <c r="AF28" s="55">
        <f t="shared" ca="1" si="21"/>
        <v>35.295707987085066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2.0634181373577958</v>
      </c>
      <c r="AK28" s="55">
        <f t="shared" ca="1" si="19"/>
        <v>5.4070615231617367</v>
      </c>
    </row>
    <row r="29" spans="1:37" s="55" customFormat="1">
      <c r="A29" s="83">
        <f t="array" aca="1" ref="A29:A43" ca="1">_xlfn._xlws.FILTER('Model Interface'!AD7:AD496,'Model Interface'!AE7:AE496&gt;0,"")</f>
        <v>45276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45276</v>
      </c>
      <c r="G29" s="76">
        <f ca="1">IFERROR(VLOOKUP(F29,'Model Interface'!$P$7:$U$496,6,FALSE),"")</f>
        <v>21.285301767671506</v>
      </c>
      <c r="H29" s="55" t="str">
        <f ca="1">IF(B29=1,"Suggested","Applied or Planned")</f>
        <v>Suggested</v>
      </c>
      <c r="R29" s="83">
        <f ca="1"/>
        <v>45241</v>
      </c>
      <c r="S29" s="55">
        <f t="shared" ca="1" si="11"/>
        <v>45241</v>
      </c>
      <c r="T29" s="55">
        <f t="shared" ca="1" si="0"/>
        <v>48.185454331460086</v>
      </c>
      <c r="U29" s="55">
        <f t="shared" ca="1" si="1"/>
        <v>3.7711094354268386</v>
      </c>
      <c r="V29" s="55">
        <f t="shared" ca="1" si="2"/>
        <v>0</v>
      </c>
      <c r="W29" s="55">
        <f t="shared" ca="1" si="12"/>
        <v>0</v>
      </c>
      <c r="X29" s="55">
        <f t="shared" ca="1" si="13"/>
        <v>3.0294624155783572</v>
      </c>
      <c r="Y29" s="55">
        <f t="shared" ca="1" si="14"/>
        <v>-3.055256402537081</v>
      </c>
      <c r="Z29">
        <f t="shared" ca="1" si="3"/>
        <v>107.3563062672365</v>
      </c>
      <c r="AA29">
        <f t="shared" ca="1" si="15"/>
        <v>0</v>
      </c>
      <c r="AB29">
        <f t="shared" ca="1" si="4"/>
        <v>0</v>
      </c>
      <c r="AC29">
        <f t="shared" ca="1" si="5"/>
        <v>8.6542706955123339E-2</v>
      </c>
      <c r="AD29" s="83">
        <f ca="1"/>
        <v>45313</v>
      </c>
      <c r="AE29" s="55">
        <f t="shared" ca="1" si="20"/>
        <v>45313</v>
      </c>
      <c r="AF29" s="55">
        <f t="shared" ca="1" si="21"/>
        <v>35.863440053942313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2.2935341610543589</v>
      </c>
      <c r="AK29" s="55">
        <f t="shared" ca="1" si="19"/>
        <v>5.7446775663224203</v>
      </c>
    </row>
    <row r="30" spans="1:37" s="55" customFormat="1">
      <c r="A30" s="83">
        <f ca="1"/>
        <v>45287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45287</v>
      </c>
      <c r="G30" s="76">
        <f ca="1">IFERROR(VLOOKUP(F30,'Model Interface'!$P$7:$U$496,6,FALSE),"")</f>
        <v>21.463315260576735</v>
      </c>
      <c r="H30" s="55" t="str">
        <f t="shared" ref="H30:H43" ca="1" si="26">IF(F30="","",IF(F30&lt;=StartSchedullingDate,"Applied or Planned","Suggested"))</f>
        <v>Suggested</v>
      </c>
      <c r="R30" s="83">
        <f ca="1"/>
        <v>45242</v>
      </c>
      <c r="S30" s="55">
        <f t="shared" ca="1" si="11"/>
        <v>45242</v>
      </c>
      <c r="T30" s="55">
        <f t="shared" ca="1" si="0"/>
        <v>48.028864900755821</v>
      </c>
      <c r="U30" s="55">
        <f t="shared" ca="1" si="1"/>
        <v>3.9800719127539019</v>
      </c>
      <c r="V30" s="55">
        <f t="shared" ca="1" si="2"/>
        <v>0</v>
      </c>
      <c r="W30" s="55">
        <f t="shared" ca="1" si="12"/>
        <v>0</v>
      </c>
      <c r="X30" s="55">
        <f t="shared" ca="1" si="13"/>
        <v>3.2929651051336633</v>
      </c>
      <c r="Y30" s="55">
        <f t="shared" ca="1" si="14"/>
        <v>-3.2663860454695937</v>
      </c>
      <c r="Z30">
        <f t="shared" ca="1" si="3"/>
        <v>108.15793909666709</v>
      </c>
      <c r="AA30">
        <f t="shared" ca="1" si="15"/>
        <v>0</v>
      </c>
      <c r="AB30">
        <f t="shared" ca="1" si="4"/>
        <v>0</v>
      </c>
      <c r="AC30">
        <f t="shared" ca="1" si="5"/>
        <v>9.7990242817517864E-2</v>
      </c>
      <c r="AD30" s="83">
        <f ca="1"/>
        <v>45314</v>
      </c>
      <c r="AE30" s="55">
        <f t="shared" ca="1" si="20"/>
        <v>45314</v>
      </c>
      <c r="AF30" s="55">
        <f t="shared" ca="1" si="21"/>
        <v>36.395282683612955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2.5240817675329743</v>
      </c>
      <c r="AK30" s="55">
        <f t="shared" ca="1" si="19"/>
        <v>6.0459725895144469</v>
      </c>
    </row>
    <row r="31" spans="1:37" s="55" customFormat="1">
      <c r="A31" s="83">
        <f ca="1"/>
        <v>45295</v>
      </c>
      <c r="B31" s="55">
        <f t="shared" ca="1" si="24"/>
        <v>1</v>
      </c>
      <c r="C31" s="78"/>
      <c r="D31" s="81"/>
      <c r="F31" s="74">
        <f t="shared" ca="1" si="25"/>
        <v>45295</v>
      </c>
      <c r="G31" s="76">
        <f ca="1">IFERROR(VLOOKUP(F31,'Model Interface'!$P$7:$U$496,6,FALSE),"")</f>
        <v>19.857636728494942</v>
      </c>
      <c r="H31" s="55" t="str">
        <f t="shared" ca="1" si="26"/>
        <v>Suggested</v>
      </c>
      <c r="R31" s="83">
        <f ca="1"/>
        <v>45243</v>
      </c>
      <c r="S31" s="55">
        <f t="shared" ca="1" si="11"/>
        <v>45243</v>
      </c>
      <c r="T31" s="55">
        <f t="shared" ca="1" si="0"/>
        <v>47.872705692690332</v>
      </c>
      <c r="U31" s="55">
        <f t="shared" ca="1" si="1"/>
        <v>4.1950470378164635</v>
      </c>
      <c r="V31" s="55">
        <f t="shared" ca="1" si="2"/>
        <v>0</v>
      </c>
      <c r="W31" s="55">
        <f t="shared" ca="1" si="12"/>
        <v>0</v>
      </c>
      <c r="X31" s="55">
        <f t="shared" ca="1" si="13"/>
        <v>3.5492521425989119</v>
      </c>
      <c r="Y31" s="55">
        <f t="shared" ca="1" si="14"/>
        <v>-3.4638571659377719</v>
      </c>
      <c r="Z31">
        <f t="shared" ca="1" si="3"/>
        <v>107.35468254580098</v>
      </c>
      <c r="AA31">
        <f t="shared" ca="1" si="15"/>
        <v>0</v>
      </c>
      <c r="AB31">
        <f t="shared" ca="1" si="4"/>
        <v>0</v>
      </c>
      <c r="AC31">
        <f t="shared" ca="1" si="5"/>
        <v>0.11044187049476613</v>
      </c>
      <c r="AD31" s="83">
        <f ca="1"/>
        <v>45315</v>
      </c>
      <c r="AE31" s="55">
        <f t="shared" ca="1" si="20"/>
        <v>45315</v>
      </c>
      <c r="AF31" s="55">
        <f t="shared" ca="1" si="21"/>
        <v>36.901081153376118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2.7605720484086906</v>
      </c>
      <c r="AK31" s="55">
        <f t="shared" ca="1" si="19"/>
        <v>6.3152807784018972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Interface'!$P$7:$U$496,6,FALSE),"")</f>
        <v/>
      </c>
      <c r="H32" s="55" t="str">
        <f t="shared" ca="1" si="26"/>
        <v/>
      </c>
      <c r="R32" s="83">
        <f ca="1"/>
        <v>45244</v>
      </c>
      <c r="S32" s="55">
        <f t="shared" ca="1" si="11"/>
        <v>45244</v>
      </c>
      <c r="T32" s="55">
        <f t="shared" ca="1" si="0"/>
        <v>47.71442819024201</v>
      </c>
      <c r="U32" s="55">
        <f t="shared" ca="1" si="1"/>
        <v>4.4201083936107466</v>
      </c>
      <c r="V32" s="55">
        <f t="shared" ca="1" si="2"/>
        <v>0</v>
      </c>
      <c r="W32" s="55">
        <f t="shared" ca="1" si="12"/>
        <v>0</v>
      </c>
      <c r="X32" s="55">
        <f t="shared" ca="1" si="13"/>
        <v>3.8030464916307403</v>
      </c>
      <c r="Y32" s="55">
        <f t="shared" ca="1" si="14"/>
        <v>-3.6508676616236384</v>
      </c>
      <c r="Z32">
        <f t="shared" ca="1" si="3"/>
        <v>106.84275700779148</v>
      </c>
      <c r="AA32">
        <f t="shared" ca="1" si="15"/>
        <v>0</v>
      </c>
      <c r="AB32">
        <f t="shared" ca="1" si="4"/>
        <v>0</v>
      </c>
      <c r="AC32">
        <f t="shared" ca="1" si="5"/>
        <v>0.12416659409673908</v>
      </c>
      <c r="AD32" s="83">
        <f ca="1"/>
        <v>45316</v>
      </c>
      <c r="AE32" s="55">
        <f t="shared" ca="1" si="20"/>
        <v>45316</v>
      </c>
      <c r="AF32" s="55">
        <f t="shared" ca="1" si="21"/>
        <v>37.39059859325986</v>
      </c>
      <c r="AG32" s="55">
        <f t="shared" ca="1" si="22"/>
        <v>1.3643305750969408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3.0063531454266164</v>
      </c>
      <c r="AK32" s="55">
        <f t="shared" ca="1" si="19"/>
        <v>6.559017121267714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45245</v>
      </c>
      <c r="S33" s="55">
        <f t="shared" ca="1" si="11"/>
        <v>45245</v>
      </c>
      <c r="T33" s="55">
        <f t="shared" ca="1" si="0"/>
        <v>47.540988505866267</v>
      </c>
      <c r="U33" s="55">
        <f t="shared" ca="1" si="1"/>
        <v>4.6660701558863522</v>
      </c>
      <c r="V33" s="55">
        <f t="shared" ca="1" si="2"/>
        <v>0</v>
      </c>
      <c r="W33" s="55">
        <f t="shared" ca="1" si="12"/>
        <v>0</v>
      </c>
      <c r="X33" s="55">
        <f t="shared" ca="1" si="13"/>
        <v>4.057580075921746</v>
      </c>
      <c r="Y33" s="55">
        <f t="shared" ca="1" si="14"/>
        <v>-3.8328791680147782</v>
      </c>
      <c r="Z33">
        <f t="shared" ca="1" si="3"/>
        <v>104.30881346881216</v>
      </c>
      <c r="AA33">
        <f t="shared" ca="1" si="15"/>
        <v>0</v>
      </c>
      <c r="AB33">
        <f t="shared" ca="1" si="4"/>
        <v>0</v>
      </c>
      <c r="AC33">
        <f t="shared" ca="1" si="5"/>
        <v>0.13991090485749316</v>
      </c>
      <c r="AD33" s="83">
        <f ca="1"/>
        <v>45317</v>
      </c>
      <c r="AE33" s="55">
        <f t="shared" ca="1" si="20"/>
        <v>45317</v>
      </c>
      <c r="AF33" s="55">
        <f t="shared" ca="1" si="21"/>
        <v>37.772464573378443</v>
      </c>
      <c r="AG33" s="55">
        <f t="shared" ca="1" si="22"/>
        <v>1.44241864571154</v>
      </c>
      <c r="AH33" s="55">
        <f t="shared" ca="1" si="23"/>
        <v>0</v>
      </c>
      <c r="AI33" s="55">
        <f t="shared" ca="1" si="17"/>
        <v>0</v>
      </c>
      <c r="AJ33" s="55">
        <f t="shared" ca="1" si="18"/>
        <v>3.247601781018695</v>
      </c>
      <c r="AK33" s="55">
        <f t="shared" ca="1" si="19"/>
        <v>6.7777225364088167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45246</v>
      </c>
      <c r="S34" s="55">
        <f t="shared" ca="1" si="11"/>
        <v>45246</v>
      </c>
      <c r="T34" s="55">
        <f t="shared" ca="1" si="0"/>
        <v>47.363192792645329</v>
      </c>
      <c r="U34" s="55">
        <f t="shared" ca="1" si="1"/>
        <v>4.9342314176614908</v>
      </c>
      <c r="V34" s="55">
        <f t="shared" ca="1" si="2"/>
        <v>0</v>
      </c>
      <c r="W34" s="55">
        <f t="shared" ca="1" si="12"/>
        <v>0</v>
      </c>
      <c r="X34" s="55">
        <f t="shared" ca="1" si="13"/>
        <v>4.3244409327843094</v>
      </c>
      <c r="Y34" s="55">
        <f t="shared" ca="1" si="14"/>
        <v>-4.0093744763231376</v>
      </c>
      <c r="Z34">
        <f t="shared" ca="1" si="3"/>
        <v>106.19774438864248</v>
      </c>
      <c r="AA34">
        <f t="shared" ca="1" si="15"/>
        <v>0</v>
      </c>
      <c r="AB34">
        <f t="shared" ca="1" si="4"/>
        <v>0</v>
      </c>
      <c r="AC34">
        <f t="shared" ca="1" si="5"/>
        <v>0.15787795904805385</v>
      </c>
      <c r="AD34" s="83">
        <f ca="1"/>
        <v>45318</v>
      </c>
      <c r="AE34" s="55">
        <f t="shared" ca="1" si="20"/>
        <v>45318</v>
      </c>
      <c r="AF34" s="55">
        <f t="shared" ca="1" si="21"/>
        <v>38.117416571811489</v>
      </c>
      <c r="AG34" s="55">
        <f t="shared" ca="1" si="22"/>
        <v>1.5234924796274427</v>
      </c>
      <c r="AH34" s="55">
        <f t="shared" ca="1" si="23"/>
        <v>0</v>
      </c>
      <c r="AI34" s="55">
        <f t="shared" ca="1" si="17"/>
        <v>0</v>
      </c>
      <c r="AJ34" s="55">
        <f t="shared" ca="1" si="18"/>
        <v>3.483109576528459</v>
      </c>
      <c r="AK34" s="55">
        <f t="shared" ca="1" si="19"/>
        <v>6.9682405732480044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45247</v>
      </c>
      <c r="S35" s="55">
        <f t="shared" ca="1" si="11"/>
        <v>45247</v>
      </c>
      <c r="T35" s="55">
        <f t="shared" ca="1" si="0"/>
        <v>47.18045119487568</v>
      </c>
      <c r="U35" s="55">
        <f t="shared" ca="1" si="1"/>
        <v>5.2063537678947958</v>
      </c>
      <c r="V35" s="55">
        <f t="shared" ca="1" si="2"/>
        <v>0</v>
      </c>
      <c r="W35" s="55">
        <f t="shared" ca="1" si="12"/>
        <v>0</v>
      </c>
      <c r="X35" s="55">
        <f t="shared" ca="1" si="13"/>
        <v>4.5766268848833098</v>
      </c>
      <c r="Y35" s="55">
        <f t="shared" ca="1" si="14"/>
        <v>-4.1721796759584819</v>
      </c>
      <c r="Z35">
        <f t="shared" ca="1" si="3"/>
        <v>103.89611903288503</v>
      </c>
      <c r="AA35">
        <f t="shared" ca="1" si="15"/>
        <v>0</v>
      </c>
      <c r="AB35">
        <f t="shared" ca="1" si="4"/>
        <v>0</v>
      </c>
      <c r="AC35">
        <f t="shared" ca="1" si="5"/>
        <v>0.17686275568424811</v>
      </c>
      <c r="AD35" s="83">
        <f ca="1"/>
        <v>45319</v>
      </c>
      <c r="AE35" s="55">
        <f t="shared" ca="1" si="20"/>
        <v>45319</v>
      </c>
      <c r="AF35" s="55">
        <f t="shared" ca="1" si="21"/>
        <v>38.437076880204692</v>
      </c>
      <c r="AG35" s="55">
        <f t="shared" ca="1" si="22"/>
        <v>1.6098298933117432</v>
      </c>
      <c r="AH35" s="55">
        <f t="shared" ca="1" si="23"/>
        <v>0</v>
      </c>
      <c r="AI35" s="55">
        <f t="shared" ca="1" si="17"/>
        <v>0</v>
      </c>
      <c r="AJ35" s="55">
        <f t="shared" ca="1" si="18"/>
        <v>3.7170807724335519</v>
      </c>
      <c r="AK35" s="55">
        <f t="shared" ca="1" si="19"/>
        <v>7.1402670994204156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140</v>
      </c>
      <c r="D36" s="133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45248</v>
      </c>
      <c r="S36" s="55">
        <f t="shared" ca="1" si="11"/>
        <v>45248</v>
      </c>
      <c r="T36" s="55">
        <f t="shared" ca="1" si="0"/>
        <v>46.993065272123957</v>
      </c>
      <c r="U36" s="55">
        <f t="shared" ca="1" si="1"/>
        <v>5.4820054431239171</v>
      </c>
      <c r="V36" s="55">
        <f t="shared" ca="1" si="2"/>
        <v>0</v>
      </c>
      <c r="W36" s="55">
        <f t="shared" ca="1" si="12"/>
        <v>0</v>
      </c>
      <c r="X36" s="55">
        <f t="shared" ca="1" si="13"/>
        <v>4.815394018716959</v>
      </c>
      <c r="Y36" s="55">
        <f t="shared" ca="1" si="14"/>
        <v>-4.3226810573147327</v>
      </c>
      <c r="Z36">
        <f t="shared" ca="1" si="3"/>
        <v>101.67609595647299</v>
      </c>
      <c r="AA36">
        <f t="shared" ca="1" si="15"/>
        <v>0</v>
      </c>
      <c r="AB36">
        <f t="shared" ca="1" si="4"/>
        <v>0</v>
      </c>
      <c r="AC36">
        <f t="shared" ca="1" si="5"/>
        <v>0.19675224389144705</v>
      </c>
      <c r="AD36" s="83">
        <f ca="1"/>
        <v>45320</v>
      </c>
      <c r="AE36" s="55">
        <f t="shared" ca="1" si="20"/>
        <v>45320</v>
      </c>
      <c r="AF36" s="55">
        <f t="shared" ca="1" si="21"/>
        <v>38.736211702156822</v>
      </c>
      <c r="AG36" s="55">
        <f t="shared" ca="1" si="22"/>
        <v>1.702177195149605</v>
      </c>
      <c r="AH36" s="55">
        <f t="shared" ca="1" si="23"/>
        <v>0</v>
      </c>
      <c r="AI36" s="55">
        <f t="shared" ca="1" si="17"/>
        <v>0</v>
      </c>
      <c r="AJ36" s="55">
        <f t="shared" ca="1" si="18"/>
        <v>3.9524618071251933</v>
      </c>
      <c r="AK36" s="55">
        <f t="shared" ca="1" si="19"/>
        <v>7.2963681885187617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45249</v>
      </c>
      <c r="S37" s="55">
        <f t="shared" ca="1" si="11"/>
        <v>45249</v>
      </c>
      <c r="T37" s="55">
        <f t="shared" ca="1" si="0"/>
        <v>46.791576868460211</v>
      </c>
      <c r="U37" s="55">
        <f t="shared" ca="1" si="1"/>
        <v>5.7710704862163427</v>
      </c>
      <c r="V37" s="55">
        <f t="shared" ca="1" si="2"/>
        <v>0</v>
      </c>
      <c r="W37" s="55">
        <f t="shared" ca="1" si="12"/>
        <v>0</v>
      </c>
      <c r="X37" s="55">
        <f t="shared" ca="1" si="13"/>
        <v>5.0454948603876506</v>
      </c>
      <c r="Y37" s="55">
        <f t="shared" ca="1" si="14"/>
        <v>-4.4652052595567389</v>
      </c>
      <c r="Z37">
        <f t="shared" ca="1" si="3"/>
        <v>98.426988081875578</v>
      </c>
      <c r="AA37">
        <f t="shared" ca="1" si="15"/>
        <v>0</v>
      </c>
      <c r="AB37">
        <f t="shared" ca="1" si="4"/>
        <v>0</v>
      </c>
      <c r="AC37">
        <f t="shared" ca="1" si="5"/>
        <v>0.21819192409042951</v>
      </c>
      <c r="AD37" s="83">
        <f ca="1"/>
        <v>45321</v>
      </c>
      <c r="AE37" s="55">
        <f t="shared" ca="1" si="20"/>
        <v>45321</v>
      </c>
      <c r="AF37" s="55">
        <f t="shared" ca="1" si="21"/>
        <v>39.021653264568542</v>
      </c>
      <c r="AG37" s="55">
        <f t="shared" ca="1" si="22"/>
        <v>1.8009994419193838</v>
      </c>
      <c r="AH37" s="55">
        <f t="shared" ca="1" si="23"/>
        <v>0</v>
      </c>
      <c r="AI37" s="55">
        <f t="shared" ca="1" si="17"/>
        <v>0</v>
      </c>
      <c r="AJ37" s="55">
        <f t="shared" ca="1" si="18"/>
        <v>4.1951290183174823</v>
      </c>
      <c r="AK37" s="55">
        <f t="shared" ca="1" si="19"/>
        <v>7.437964786507969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45250</v>
      </c>
      <c r="S38" s="55">
        <f t="shared" ca="1" si="11"/>
        <v>45250</v>
      </c>
      <c r="T38" s="55">
        <f t="shared" ca="1" si="0"/>
        <v>46.569497474121007</v>
      </c>
      <c r="U38" s="55">
        <f t="shared" ca="1" si="1"/>
        <v>6.0885755788893894</v>
      </c>
      <c r="V38" s="55">
        <f t="shared" ca="1" si="2"/>
        <v>0</v>
      </c>
      <c r="W38" s="55">
        <f t="shared" ca="1" si="12"/>
        <v>0</v>
      </c>
      <c r="X38" s="55">
        <f t="shared" ca="1" si="13"/>
        <v>5.2798615478951794</v>
      </c>
      <c r="Y38" s="55">
        <f t="shared" ca="1" si="14"/>
        <v>-4.6041462487304301</v>
      </c>
      <c r="Z38">
        <f t="shared" ca="1" si="3"/>
        <v>96.919991069796467</v>
      </c>
      <c r="AA38">
        <f t="shared" ca="1" si="15"/>
        <v>0</v>
      </c>
      <c r="AB38">
        <f t="shared" ca="1" si="4"/>
        <v>0</v>
      </c>
      <c r="AC38">
        <f t="shared" ca="1" si="5"/>
        <v>0.24226670931950708</v>
      </c>
      <c r="AD38" s="83">
        <f ca="1"/>
        <v>45322</v>
      </c>
      <c r="AE38" s="55">
        <f t="shared" ca="1" si="20"/>
        <v>45322</v>
      </c>
      <c r="AF38" s="55">
        <f t="shared" ca="1" si="21"/>
        <v>39.287206075029552</v>
      </c>
      <c r="AG38" s="55">
        <f t="shared" ca="1" si="22"/>
        <v>1.9052021878645358</v>
      </c>
      <c r="AH38" s="55">
        <f t="shared" ca="1" si="23"/>
        <v>0</v>
      </c>
      <c r="AI38" s="55">
        <f t="shared" ca="1" si="17"/>
        <v>0</v>
      </c>
      <c r="AJ38" s="55">
        <f t="shared" ca="1" si="18"/>
        <v>4.4388938886141238</v>
      </c>
      <c r="AK38" s="55">
        <f t="shared" ca="1" si="19"/>
        <v>7.5639554726174829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45251</v>
      </c>
      <c r="S39" s="55">
        <f t="shared" ca="1" si="11"/>
        <v>45251</v>
      </c>
      <c r="T39" s="55">
        <f t="shared" ca="1" si="0"/>
        <v>46.335280831629859</v>
      </c>
      <c r="U39" s="55">
        <f t="shared" ca="1" si="1"/>
        <v>6.4255130741531783</v>
      </c>
      <c r="V39" s="55">
        <f t="shared" ca="1" si="2"/>
        <v>0</v>
      </c>
      <c r="W39" s="55">
        <f t="shared" ca="1" si="12"/>
        <v>0</v>
      </c>
      <c r="X39" s="55">
        <f t="shared" ca="1" si="13"/>
        <v>5.514674592152069</v>
      </c>
      <c r="Y39" s="55">
        <f t="shared" ca="1" si="14"/>
        <v>-4.7362384402146791</v>
      </c>
      <c r="Z39">
        <f t="shared" ca="1" si="3"/>
        <v>96.532604219978467</v>
      </c>
      <c r="AA39">
        <f t="shared" ca="1" si="15"/>
        <v>0</v>
      </c>
      <c r="AB39">
        <f t="shared" ca="1" si="4"/>
        <v>0</v>
      </c>
      <c r="AC39">
        <f t="shared" ca="1" si="5"/>
        <v>0.26822331883229722</v>
      </c>
      <c r="AD39" s="83">
        <f ca="1"/>
        <v>45323</v>
      </c>
      <c r="AE39" s="55">
        <f t="shared" ca="1" si="20"/>
        <v>45323</v>
      </c>
      <c r="AF39" s="55">
        <f t="shared" ca="1" si="21"/>
        <v>39.528339524209635</v>
      </c>
      <c r="AG39" s="55">
        <f t="shared" ca="1" si="22"/>
        <v>2.0159501927272014</v>
      </c>
      <c r="AH39" s="55">
        <f t="shared" ca="1" si="23"/>
        <v>0</v>
      </c>
      <c r="AI39" s="55">
        <f t="shared" ca="1" si="17"/>
        <v>0</v>
      </c>
      <c r="AJ39" s="55">
        <f t="shared" ca="1" si="18"/>
        <v>4.6772302659359042</v>
      </c>
      <c r="AK39" s="55">
        <f t="shared" ca="1" si="19"/>
        <v>7.6775005493384487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45252</v>
      </c>
      <c r="S40" s="55">
        <f t="shared" ca="1" si="11"/>
        <v>45252</v>
      </c>
      <c r="T40" s="55">
        <f t="shared" ca="1" si="0"/>
        <v>46.088879483563986</v>
      </c>
      <c r="U40" s="55">
        <f t="shared" ca="1" si="1"/>
        <v>6.7887050136118505</v>
      </c>
      <c r="V40" s="55">
        <f t="shared" ca="1" si="2"/>
        <v>0</v>
      </c>
      <c r="W40" s="55">
        <f t="shared" ca="1" si="12"/>
        <v>0</v>
      </c>
      <c r="X40" s="55">
        <f t="shared" ca="1" si="13"/>
        <v>5.7582177096683331</v>
      </c>
      <c r="Y40" s="55">
        <f t="shared" ca="1" si="14"/>
        <v>-4.8629909663381419</v>
      </c>
      <c r="Z40">
        <f t="shared" ca="1" si="3"/>
        <v>98.18189461574876</v>
      </c>
      <c r="AA40">
        <f t="shared" ca="1" si="15"/>
        <v>0</v>
      </c>
      <c r="AB40">
        <f t="shared" ca="1" si="4"/>
        <v>0</v>
      </c>
      <c r="AC40">
        <f t="shared" ca="1" si="5"/>
        <v>0.29644316358168937</v>
      </c>
      <c r="AD40" s="83">
        <f ca="1"/>
        <v>45324</v>
      </c>
      <c r="AE40" s="55">
        <f t="shared" ca="1" si="20"/>
        <v>45324</v>
      </c>
      <c r="AF40" s="55">
        <f t="shared" ca="1" si="21"/>
        <v>39.75485269528653</v>
      </c>
      <c r="AG40" s="55">
        <f t="shared" ca="1" si="22"/>
        <v>2.1317097951726809</v>
      </c>
      <c r="AH40" s="55">
        <f t="shared" ca="1" si="23"/>
        <v>0</v>
      </c>
      <c r="AI40" s="55">
        <f t="shared" ca="1" si="17"/>
        <v>0</v>
      </c>
      <c r="AJ40" s="55">
        <f t="shared" ca="1" si="18"/>
        <v>4.919151903836724</v>
      </c>
      <c r="AK40" s="55">
        <f t="shared" ca="1" si="19"/>
        <v>7.7778516849599999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45253</v>
      </c>
      <c r="S41" s="55">
        <f t="shared" ca="1" si="11"/>
        <v>45253</v>
      </c>
      <c r="T41" s="55">
        <f t="shared" ca="1" si="0"/>
        <v>45.821592811613513</v>
      </c>
      <c r="U41" s="55">
        <f t="shared" ca="1" si="1"/>
        <v>7.1807056448397724</v>
      </c>
      <c r="V41" s="55">
        <f t="shared" ca="1" si="2"/>
        <v>0</v>
      </c>
      <c r="W41" s="55">
        <f t="shared" ca="1" si="12"/>
        <v>0</v>
      </c>
      <c r="X41" s="55">
        <f t="shared" ca="1" si="13"/>
        <v>6.0044338284333447</v>
      </c>
      <c r="Y41" s="55">
        <f t="shared" ca="1" si="14"/>
        <v>-4.9844931258257006</v>
      </c>
      <c r="Z41">
        <f t="shared" ca="1" si="3"/>
        <v>97.417941014522114</v>
      </c>
      <c r="AA41">
        <f t="shared" ca="1" si="15"/>
        <v>0</v>
      </c>
      <c r="AB41">
        <f t="shared" ca="1" si="4"/>
        <v>0</v>
      </c>
      <c r="AC41">
        <f t="shared" ca="1" si="5"/>
        <v>0.32691425783774747</v>
      </c>
      <c r="AD41" s="83">
        <f ca="1"/>
        <v>45325</v>
      </c>
      <c r="AE41" s="55">
        <f t="shared" ca="1" si="20"/>
        <v>45325</v>
      </c>
      <c r="AF41" s="55">
        <f t="shared" ca="1" si="21"/>
        <v>39.954433771485967</v>
      </c>
      <c r="AG41" s="55">
        <f t="shared" ca="1" si="22"/>
        <v>2.2526079361487534</v>
      </c>
      <c r="AH41" s="55">
        <f t="shared" ca="1" si="23"/>
        <v>0</v>
      </c>
      <c r="AI41" s="55">
        <f t="shared" ca="1" si="17"/>
        <v>0</v>
      </c>
      <c r="AJ41" s="55">
        <f t="shared" ca="1" si="18"/>
        <v>5.1505546103491993</v>
      </c>
      <c r="AK41" s="55">
        <f t="shared" ca="1" si="19"/>
        <v>7.8669281956230348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45254</v>
      </c>
      <c r="S42" s="55">
        <f t="shared" ca="1" si="11"/>
        <v>45254</v>
      </c>
      <c r="T42" s="55">
        <f t="shared" ca="1" si="0"/>
        <v>45.540064848281318</v>
      </c>
      <c r="U42" s="55">
        <f t="shared" ca="1" si="1"/>
        <v>7.588141955239049</v>
      </c>
      <c r="V42" s="55">
        <f t="shared" ca="1" si="2"/>
        <v>0</v>
      </c>
      <c r="W42" s="55">
        <f t="shared" ca="1" si="12"/>
        <v>0</v>
      </c>
      <c r="X42" s="55">
        <f t="shared" ca="1" si="13"/>
        <v>6.2436274456393814</v>
      </c>
      <c r="Y42" s="55">
        <f t="shared" ca="1" si="14"/>
        <v>-5.0977783959646503</v>
      </c>
      <c r="Z42">
        <f t="shared" ca="1" si="3"/>
        <v>95.909735584957986</v>
      </c>
      <c r="AA42">
        <f t="shared" ca="1" si="15"/>
        <v>0</v>
      </c>
      <c r="AB42">
        <f t="shared" ca="1" si="4"/>
        <v>0</v>
      </c>
      <c r="AC42">
        <f t="shared" ca="1" si="5"/>
        <v>0.35831740748795338</v>
      </c>
      <c r="AD42" s="83">
        <f ca="1"/>
        <v>45326</v>
      </c>
      <c r="AE42" s="55">
        <f t="shared" ca="1" si="20"/>
        <v>45326</v>
      </c>
      <c r="AF42" s="55">
        <f t="shared" ca="1" si="21"/>
        <v>40.142162296454082</v>
      </c>
      <c r="AG42" s="55">
        <f t="shared" ca="1" si="22"/>
        <v>2.3761145646855084</v>
      </c>
      <c r="AH42" s="55">
        <f t="shared" ca="1" si="23"/>
        <v>0</v>
      </c>
      <c r="AI42" s="55">
        <f t="shared" ca="1" si="17"/>
        <v>0</v>
      </c>
      <c r="AJ42" s="55">
        <f t="shared" ca="1" si="18"/>
        <v>5.3843924567754984</v>
      </c>
      <c r="AK42" s="55">
        <f t="shared" ca="1" si="19"/>
        <v>7.9443255027016022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45255</v>
      </c>
      <c r="S43" s="55">
        <f t="shared" ca="1" si="11"/>
        <v>45255</v>
      </c>
      <c r="T43" s="55">
        <f t="shared" ca="1" si="0"/>
        <v>45.219707619615185</v>
      </c>
      <c r="U43" s="55">
        <f t="shared" ca="1" si="1"/>
        <v>8.0449412165731626</v>
      </c>
      <c r="V43" s="55">
        <f t="shared" ca="1" si="2"/>
        <v>0</v>
      </c>
      <c r="W43" s="55">
        <f t="shared" ca="1" si="12"/>
        <v>0</v>
      </c>
      <c r="X43" s="55">
        <f t="shared" ca="1" si="13"/>
        <v>6.4913776788721114</v>
      </c>
      <c r="Y43" s="55">
        <f t="shared" ca="1" si="14"/>
        <v>-5.2090865965293975</v>
      </c>
      <c r="Z43">
        <f t="shared" ca="1" si="3"/>
        <v>94.42728876750617</v>
      </c>
      <c r="AA43">
        <f t="shared" ca="1" si="15"/>
        <v>0</v>
      </c>
      <c r="AB43">
        <f t="shared" ca="1" si="4"/>
        <v>0</v>
      </c>
      <c r="AC43">
        <f t="shared" ca="1" si="5"/>
        <v>0.39288125343259572</v>
      </c>
      <c r="AD43" s="83">
        <f ca="1"/>
        <v>45327</v>
      </c>
      <c r="AE43" s="55">
        <f t="shared" ca="1" si="20"/>
        <v>45327</v>
      </c>
      <c r="AF43" s="55">
        <f t="shared" ca="1" si="21"/>
        <v>40.322834636348659</v>
      </c>
      <c r="AG43" s="55">
        <f t="shared" ca="1" si="22"/>
        <v>2.5096361779627445</v>
      </c>
      <c r="AH43" s="55">
        <f t="shared" ca="1" si="23"/>
        <v>0</v>
      </c>
      <c r="AI43" s="55">
        <f t="shared" ca="1" si="17"/>
        <v>0</v>
      </c>
      <c r="AJ43" s="55">
        <f t="shared" ca="1" si="18"/>
        <v>5.6258445504686572</v>
      </c>
      <c r="AK43" s="55">
        <f t="shared" ca="1" si="19"/>
        <v>8.0170673621802635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45231</v>
      </c>
      <c r="C44" s="100" t="s">
        <v>151</v>
      </c>
      <c r="D44" s="102">
        <f ca="1">MAX(CurrentEstablishDate,C38:C43,MAX(C29:C34)+1)</f>
        <v>45231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45256</v>
      </c>
      <c r="S44" s="55">
        <f t="shared" ca="1" si="11"/>
        <v>45256</v>
      </c>
      <c r="T44" s="55">
        <f t="shared" ca="1" si="0"/>
        <v>44.872144267781749</v>
      </c>
      <c r="U44" s="55">
        <f t="shared" ca="1" si="1"/>
        <v>8.5299141485572161</v>
      </c>
      <c r="V44" s="55">
        <f t="shared" ca="1" si="2"/>
        <v>0</v>
      </c>
      <c r="W44" s="55">
        <f t="shared" ca="1" si="12"/>
        <v>0</v>
      </c>
      <c r="X44" s="55">
        <f t="shared" ca="1" si="13"/>
        <v>6.7335437283872972</v>
      </c>
      <c r="Y44" s="55">
        <f t="shared" ca="1" si="14"/>
        <v>-5.313843065893967</v>
      </c>
      <c r="Z44">
        <f t="shared" ca="1" si="3"/>
        <v>92.027548285108026</v>
      </c>
      <c r="AA44">
        <f t="shared" ca="1" si="15"/>
        <v>0</v>
      </c>
      <c r="AB44">
        <f t="shared" ca="1" si="4"/>
        <v>0</v>
      </c>
      <c r="AC44">
        <f t="shared" ca="1" si="5"/>
        <v>0.42850483875084122</v>
      </c>
      <c r="AD44" s="83">
        <f ca="1"/>
        <v>45328</v>
      </c>
      <c r="AE44" s="55">
        <f t="shared" ca="1" si="20"/>
        <v>45328</v>
      </c>
      <c r="AF44" s="55">
        <f t="shared" ca="1" si="21"/>
        <v>40.47691214933171</v>
      </c>
      <c r="AG44" s="55">
        <f t="shared" ca="1" si="22"/>
        <v>2.6496885750821493</v>
      </c>
      <c r="AH44" s="55">
        <f t="shared" ca="1" si="23"/>
        <v>0</v>
      </c>
      <c r="AI44" s="55">
        <f t="shared" ca="1" si="17"/>
        <v>0</v>
      </c>
      <c r="AJ44" s="55">
        <f t="shared" ca="1" si="18"/>
        <v>5.8541639952306976</v>
      </c>
      <c r="AK44" s="55">
        <f t="shared" ca="1" si="19"/>
        <v>8.0828778275206759</v>
      </c>
    </row>
    <row r="45" spans="1:37" s="55" customFormat="1">
      <c r="R45" s="83">
        <f ca="1"/>
        <v>45257</v>
      </c>
      <c r="S45" s="55">
        <f t="shared" ca="1" si="11"/>
        <v>45257</v>
      </c>
      <c r="T45" s="55">
        <f t="shared" ca="1" si="0"/>
        <v>44.515717484138243</v>
      </c>
      <c r="U45" s="55">
        <f t="shared" ca="1" si="1"/>
        <v>9.0254290213754125</v>
      </c>
      <c r="V45" s="55">
        <f t="shared" ca="1" si="2"/>
        <v>0</v>
      </c>
      <c r="W45" s="55">
        <f t="shared" ca="1" si="12"/>
        <v>0</v>
      </c>
      <c r="X45" s="55">
        <f t="shared" ca="1" si="13"/>
        <v>6.9685044430660561</v>
      </c>
      <c r="Y45" s="55">
        <f t="shared" ca="1" si="14"/>
        <v>-5.4097156913980333</v>
      </c>
      <c r="Z45">
        <f t="shared" ca="1" si="3"/>
        <v>91.90750293619466</v>
      </c>
      <c r="AA45">
        <f t="shared" ca="1" si="15"/>
        <v>0</v>
      </c>
      <c r="AB45">
        <f t="shared" ca="1" si="4"/>
        <v>0</v>
      </c>
      <c r="AC45">
        <f t="shared" ca="1" si="5"/>
        <v>0.46347450310792032</v>
      </c>
      <c r="AD45" s="83">
        <f ca="1"/>
        <v>45329</v>
      </c>
      <c r="AE45" s="55">
        <f t="shared" ca="1" si="20"/>
        <v>45329</v>
      </c>
      <c r="AF45" s="55">
        <f t="shared" ca="1" si="21"/>
        <v>40.611804199058462</v>
      </c>
      <c r="AG45" s="55">
        <f t="shared" ca="1" si="22"/>
        <v>2.7982512162487931</v>
      </c>
      <c r="AH45" s="55">
        <f t="shared" ca="1" si="23"/>
        <v>0</v>
      </c>
      <c r="AI45" s="55">
        <f t="shared" ca="1" si="17"/>
        <v>0</v>
      </c>
      <c r="AJ45" s="55">
        <f t="shared" ca="1" si="18"/>
        <v>6.076954315897809</v>
      </c>
      <c r="AK45" s="55">
        <f t="shared" ca="1" si="19"/>
        <v>8.1435421977469638</v>
      </c>
    </row>
    <row r="46" spans="1:37" s="55" customFormat="1" ht="15" thickBot="1">
      <c r="C46" s="129" t="s">
        <v>155</v>
      </c>
      <c r="D46" s="129"/>
      <c r="E46" s="129"/>
      <c r="F46" s="129"/>
      <c r="G46" s="129"/>
      <c r="H46" s="129"/>
      <c r="R46" s="83">
        <f ca="1"/>
        <v>45258</v>
      </c>
      <c r="S46" s="55">
        <f t="shared" ca="1" si="11"/>
        <v>45258</v>
      </c>
      <c r="T46" s="55">
        <f t="shared" ca="1" si="0"/>
        <v>44.146915344330878</v>
      </c>
      <c r="U46" s="55">
        <f t="shared" ca="1" si="1"/>
        <v>9.5440788984476654</v>
      </c>
      <c r="V46" s="55">
        <f t="shared" ca="1" si="2"/>
        <v>0</v>
      </c>
      <c r="W46" s="55">
        <f t="shared" ca="1" si="12"/>
        <v>0</v>
      </c>
      <c r="X46" s="55">
        <f t="shared" ca="1" si="13"/>
        <v>7.2077782160899364</v>
      </c>
      <c r="Y46" s="55">
        <f t="shared" ca="1" si="14"/>
        <v>-5.4991417271570242</v>
      </c>
      <c r="Z46">
        <f t="shared" ca="1" si="3"/>
        <v>94.183357708763467</v>
      </c>
      <c r="AA46">
        <f t="shared" ca="1" si="15"/>
        <v>0</v>
      </c>
      <c r="AB46">
        <f t="shared" ca="1" si="4"/>
        <v>0</v>
      </c>
      <c r="AC46">
        <f t="shared" ca="1" si="5"/>
        <v>0.49829767732963537</v>
      </c>
      <c r="AD46" s="83">
        <f ca="1"/>
        <v>45330</v>
      </c>
      <c r="AE46" s="55">
        <f t="shared" ca="1" si="20"/>
        <v>45330</v>
      </c>
      <c r="AF46" s="55">
        <f t="shared" ca="1" si="21"/>
        <v>40.73289761616369</v>
      </c>
      <c r="AG46" s="55">
        <f t="shared" ca="1" si="22"/>
        <v>2.9548460499133129</v>
      </c>
      <c r="AH46" s="55">
        <f t="shared" ca="1" si="23"/>
        <v>0</v>
      </c>
      <c r="AI46" s="55">
        <f t="shared" ca="1" si="17"/>
        <v>0</v>
      </c>
      <c r="AJ46" s="55">
        <f t="shared" ca="1" si="18"/>
        <v>6.2989902347456983</v>
      </c>
      <c r="AK46" s="55">
        <f t="shared" ca="1" si="19"/>
        <v>8.1991945296688282</v>
      </c>
    </row>
    <row r="47" spans="1:37" s="55" customFormat="1">
      <c r="C47" s="61" t="s">
        <v>27</v>
      </c>
      <c r="D47" s="88" t="str">
        <f>IF(E47="","Fodder",E47)</f>
        <v>Fodder</v>
      </c>
      <c r="E47" s="87"/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45259</v>
      </c>
      <c r="S47" s="55">
        <f t="shared" ca="1" si="11"/>
        <v>45259</v>
      </c>
      <c r="T47" s="55">
        <f t="shared" ca="1" si="0"/>
        <v>43.746824787272914</v>
      </c>
      <c r="U47" s="55">
        <f t="shared" ca="1" si="1"/>
        <v>10.097005787296094</v>
      </c>
      <c r="V47" s="55">
        <f t="shared" ca="1" si="2"/>
        <v>0</v>
      </c>
      <c r="W47" s="55">
        <f t="shared" ca="1" si="12"/>
        <v>0</v>
      </c>
      <c r="X47" s="55">
        <f t="shared" ca="1" si="13"/>
        <v>7.4450648864854276</v>
      </c>
      <c r="Y47" s="55">
        <f t="shared" ca="1" si="14"/>
        <v>-5.5835920657620512</v>
      </c>
      <c r="Z47">
        <f t="shared" ca="1" si="3"/>
        <v>92.572071911090916</v>
      </c>
      <c r="AA47">
        <f t="shared" ca="1" si="15"/>
        <v>0</v>
      </c>
      <c r="AB47">
        <f t="shared" ca="1" si="4"/>
        <v>0</v>
      </c>
      <c r="AC47">
        <f t="shared" ca="1" si="5"/>
        <v>0.53324446554370541</v>
      </c>
      <c r="AD47" s="83">
        <f ca="1"/>
        <v>45331</v>
      </c>
      <c r="AE47" s="55">
        <f t="shared" ca="1" si="20"/>
        <v>45331</v>
      </c>
      <c r="AF47" s="55">
        <f t="shared" ca="1" si="21"/>
        <v>40.836777878487908</v>
      </c>
      <c r="AG47" s="55">
        <f t="shared" ca="1" si="22"/>
        <v>3.1212570244639752</v>
      </c>
      <c r="AH47" s="55">
        <f t="shared" ca="1" si="23"/>
        <v>0</v>
      </c>
      <c r="AI47" s="55">
        <f t="shared" ca="1" si="17"/>
        <v>0</v>
      </c>
      <c r="AJ47" s="55">
        <f t="shared" ca="1" si="18"/>
        <v>6.5179544607813256</v>
      </c>
      <c r="AK47" s="55">
        <f t="shared" ca="1" si="19"/>
        <v>8.2505215405080889</v>
      </c>
    </row>
    <row r="48" spans="1:37" s="55" customFormat="1">
      <c r="C48" s="61" t="s">
        <v>96</v>
      </c>
      <c r="D48" s="84" t="str">
        <f>IF(E48="","Barley",E48)</f>
        <v>Barley</v>
      </c>
      <c r="E48" s="66"/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45260</v>
      </c>
      <c r="S48" s="55">
        <f t="shared" ca="1" si="11"/>
        <v>45260</v>
      </c>
      <c r="T48" s="55">
        <f t="shared" ca="1" si="0"/>
        <v>43.30673949463408</v>
      </c>
      <c r="U48" s="55">
        <f t="shared" ca="1" si="1"/>
        <v>10.696065845622961</v>
      </c>
      <c r="V48" s="55">
        <f t="shared" ca="1" si="2"/>
        <v>0</v>
      </c>
      <c r="W48" s="55">
        <f t="shared" ca="1" si="12"/>
        <v>0</v>
      </c>
      <c r="X48" s="55">
        <f t="shared" ca="1" si="13"/>
        <v>7.6845543919250314</v>
      </c>
      <c r="Y48" s="55">
        <f t="shared" ca="1" si="14"/>
        <v>-5.6641068055136223</v>
      </c>
      <c r="Z48">
        <f t="shared" ca="1" si="3"/>
        <v>91.335457879951093</v>
      </c>
      <c r="AA48">
        <f t="shared" ca="1" si="15"/>
        <v>0</v>
      </c>
      <c r="AB48">
        <f t="shared" ca="1" si="4"/>
        <v>0</v>
      </c>
      <c r="AC48">
        <f t="shared" ca="1" si="5"/>
        <v>0.56846475259446261</v>
      </c>
      <c r="AD48" s="83">
        <f ca="1"/>
        <v>45332</v>
      </c>
      <c r="AE48" s="55">
        <f t="shared" ca="1" si="20"/>
        <v>45332</v>
      </c>
      <c r="AF48" s="55">
        <f t="shared" ca="1" si="21"/>
        <v>40.928302371457647</v>
      </c>
      <c r="AG48" s="55">
        <f t="shared" ca="1" si="22"/>
        <v>3.300372018917574</v>
      </c>
      <c r="AH48" s="55">
        <f t="shared" ca="1" si="23"/>
        <v>0</v>
      </c>
      <c r="AI48" s="55">
        <f t="shared" ca="1" si="17"/>
        <v>0</v>
      </c>
      <c r="AJ48" s="55">
        <f t="shared" ca="1" si="18"/>
        <v>6.7405861252397052</v>
      </c>
      <c r="AK48" s="55">
        <f t="shared" ca="1" si="19"/>
        <v>8.298529363473051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0</v>
      </c>
      <c r="H49" s="72"/>
      <c r="R49" s="83">
        <f ca="1"/>
        <v>45261</v>
      </c>
      <c r="S49" s="55">
        <f t="shared" ca="1" si="11"/>
        <v>45261</v>
      </c>
      <c r="T49" s="55">
        <f t="shared" ca="1" si="0"/>
        <v>42.818184699334111</v>
      </c>
      <c r="U49" s="55">
        <f t="shared" ca="1" si="1"/>
        <v>11.343478512582358</v>
      </c>
      <c r="V49" s="55">
        <f t="shared" ca="1" si="2"/>
        <v>0</v>
      </c>
      <c r="W49" s="55">
        <f t="shared" ca="1" si="12"/>
        <v>0</v>
      </c>
      <c r="X49" s="55">
        <f t="shared" ca="1" si="13"/>
        <v>7.9198119332738877</v>
      </c>
      <c r="Y49" s="55">
        <f t="shared" ca="1" si="14"/>
        <v>-5.7405064752030528</v>
      </c>
      <c r="Z49">
        <f t="shared" ca="1" si="3"/>
        <v>87.882952626642364</v>
      </c>
      <c r="AA49">
        <f t="shared" ca="1" si="15"/>
        <v>0</v>
      </c>
      <c r="AB49">
        <f t="shared" ca="1" si="4"/>
        <v>0</v>
      </c>
      <c r="AC49">
        <f t="shared" ca="1" si="5"/>
        <v>0.60342131037948321</v>
      </c>
      <c r="AD49" s="83">
        <f ca="1"/>
        <v>45333</v>
      </c>
      <c r="AE49" s="55">
        <f t="shared" ca="1" si="20"/>
        <v>45333</v>
      </c>
      <c r="AF49" s="55">
        <f t="shared" ca="1" si="21"/>
        <v>41.010452119421764</v>
      </c>
      <c r="AG49" s="55">
        <f t="shared" ca="1" si="22"/>
        <v>3.4914567531046679</v>
      </c>
      <c r="AH49" s="55">
        <f t="shared" ca="1" si="23"/>
        <v>0</v>
      </c>
      <c r="AI49" s="55">
        <f t="shared" ca="1" si="17"/>
        <v>0</v>
      </c>
      <c r="AJ49" s="55">
        <f t="shared" ca="1" si="18"/>
        <v>6.9680671029778489</v>
      </c>
      <c r="AK49" s="55">
        <f t="shared" ca="1" si="19"/>
        <v>8.3442828678861165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152</v>
      </c>
      <c r="D50" s="65" t="str">
        <f>PriorCropName&amp;" "&amp;PriorCropType&amp;" "&amp;PriorCropVariety</f>
        <v>Barley Fodder General</v>
      </c>
      <c r="F50" s="56"/>
      <c r="R50" s="83">
        <f ca="1"/>
        <v>45262</v>
      </c>
      <c r="S50" s="55">
        <f t="shared" ca="1" si="11"/>
        <v>45262</v>
      </c>
      <c r="T50" s="55">
        <f t="shared" ca="1" si="0"/>
        <v>42.28773327723011</v>
      </c>
      <c r="U50" s="55">
        <f t="shared" ca="1" si="1"/>
        <v>12.053556678651344</v>
      </c>
      <c r="V50" s="55">
        <f t="shared" ca="1" si="2"/>
        <v>0</v>
      </c>
      <c r="W50" s="55">
        <f t="shared" ca="1" si="12"/>
        <v>0</v>
      </c>
      <c r="X50" s="55">
        <f t="shared" ca="1" si="13"/>
        <v>8.1725146129808746</v>
      </c>
      <c r="Y50" s="55">
        <f t="shared" ca="1" si="14"/>
        <v>-5.8135824109450569</v>
      </c>
      <c r="Z50">
        <f t="shared" ca="1" si="3"/>
        <v>91.427478728362104</v>
      </c>
      <c r="AA50">
        <f t="shared" ca="1" si="15"/>
        <v>0</v>
      </c>
      <c r="AB50">
        <f t="shared" ca="1" si="4"/>
        <v>0</v>
      </c>
      <c r="AC50">
        <f t="shared" ca="1" si="5"/>
        <v>0.63814828671947743</v>
      </c>
      <c r="AD50" s="83">
        <f ca="1"/>
        <v>45334</v>
      </c>
      <c r="AE50" s="55">
        <f t="shared" ca="1" si="20"/>
        <v>45334</v>
      </c>
      <c r="AF50" s="55">
        <f t="shared" ca="1" si="21"/>
        <v>41.081337467020596</v>
      </c>
      <c r="AG50" s="55">
        <f t="shared" ca="1" si="22"/>
        <v>3.6925935576593987</v>
      </c>
      <c r="AH50" s="55">
        <f t="shared" ca="1" si="23"/>
        <v>0</v>
      </c>
      <c r="AI50" s="55">
        <f t="shared" ca="1" si="17"/>
        <v>0</v>
      </c>
      <c r="AJ50" s="55">
        <f t="shared" ca="1" si="18"/>
        <v>7.1971056018781985</v>
      </c>
      <c r="AK50" s="55">
        <f t="shared" ca="1" si="19"/>
        <v>8.3872665211393258</v>
      </c>
    </row>
    <row r="51" spans="2:37" s="55" customFormat="1">
      <c r="C51" s="61" t="s">
        <v>4</v>
      </c>
      <c r="D51" s="68">
        <f ca="1">IF(E51="",CurrentEstablishDate-60,E51)</f>
        <v>45171</v>
      </c>
      <c r="E51" s="67"/>
      <c r="F51" s="61" t="s">
        <v>147</v>
      </c>
      <c r="G51" s="84" t="str">
        <f>IF(H51="",VLOOKUP(PriorCropNameFull,CropCoefficients,13,FALSE),H51)</f>
        <v>Seed</v>
      </c>
      <c r="H51" s="72"/>
      <c r="R51" s="83">
        <f ca="1"/>
        <v>45263</v>
      </c>
      <c r="S51" s="55">
        <f t="shared" ca="1" si="11"/>
        <v>45263</v>
      </c>
      <c r="T51" s="55">
        <f t="shared" ca="1" si="0"/>
        <v>41.696980416949941</v>
      </c>
      <c r="U51" s="55">
        <f t="shared" ca="1" si="1"/>
        <v>12.824268802459958</v>
      </c>
      <c r="V51" s="55">
        <f t="shared" ca="1" si="2"/>
        <v>0</v>
      </c>
      <c r="W51" s="55">
        <f t="shared" ca="1" si="12"/>
        <v>0</v>
      </c>
      <c r="X51" s="55">
        <f t="shared" ca="1" si="13"/>
        <v>8.4215322241602593</v>
      </c>
      <c r="Y51" s="55">
        <f t="shared" ca="1" si="14"/>
        <v>-5.8826407585959934</v>
      </c>
      <c r="Z51">
        <f t="shared" ca="1" si="3"/>
        <v>88.035512417757616</v>
      </c>
      <c r="AA51">
        <f t="shared" ca="1" si="15"/>
        <v>0</v>
      </c>
      <c r="AB51">
        <f t="shared" ca="1" si="4"/>
        <v>0</v>
      </c>
      <c r="AC51">
        <f t="shared" ca="1" si="5"/>
        <v>0.67179842378026244</v>
      </c>
      <c r="AD51" s="83">
        <f ca="1"/>
        <v>45335</v>
      </c>
      <c r="AE51" s="55">
        <f t="shared" ca="1" si="20"/>
        <v>45335</v>
      </c>
      <c r="AF51" s="55">
        <f t="shared" ca="1" si="21"/>
        <v>41.127497488890882</v>
      </c>
      <c r="AG51" s="55">
        <f t="shared" ca="1" si="22"/>
        <v>3.9028698727052982</v>
      </c>
      <c r="AH51" s="55">
        <f t="shared" ca="1" si="23"/>
        <v>0</v>
      </c>
      <c r="AI51" s="55">
        <f t="shared" ca="1" si="17"/>
        <v>0</v>
      </c>
      <c r="AJ51" s="55">
        <f t="shared" ca="1" si="18"/>
        <v>7.4155526418932061</v>
      </c>
      <c r="AK51" s="55">
        <f t="shared" ca="1" si="19"/>
        <v>8.4252558180405028</v>
      </c>
    </row>
    <row r="52" spans="2:37" s="55" customFormat="1">
      <c r="C52" s="61" t="s">
        <v>5</v>
      </c>
      <c r="D52" s="68">
        <f>IF(E52="",CurrentEstablishDate-15,E52)</f>
        <v>45230</v>
      </c>
      <c r="E52" s="67">
        <v>45230</v>
      </c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45264</v>
      </c>
      <c r="S52" s="55">
        <f t="shared" ca="1" si="11"/>
        <v>45264</v>
      </c>
      <c r="T52" s="55">
        <f t="shared" ca="1" si="0"/>
        <v>41.077122399320039</v>
      </c>
      <c r="U52" s="55">
        <f t="shared" ca="1" si="1"/>
        <v>13.643890723291776</v>
      </c>
      <c r="V52" s="55">
        <f t="shared" ca="1" si="2"/>
        <v>0</v>
      </c>
      <c r="W52" s="55">
        <f t="shared" ca="1" si="12"/>
        <v>0</v>
      </c>
      <c r="X52" s="55">
        <f t="shared" ca="1" si="13"/>
        <v>8.6852981539315941</v>
      </c>
      <c r="Y52" s="55">
        <f t="shared" ca="1" si="14"/>
        <v>-5.9466427851654142</v>
      </c>
      <c r="Z52">
        <f t="shared" ca="1" si="3"/>
        <v>92.950009202141914</v>
      </c>
      <c r="AA52">
        <f t="shared" ca="1" si="15"/>
        <v>0</v>
      </c>
      <c r="AB52">
        <f t="shared" ca="1" si="4"/>
        <v>0</v>
      </c>
      <c r="AC52">
        <f t="shared" ca="1" si="5"/>
        <v>0.70334150614477353</v>
      </c>
      <c r="AD52" s="83">
        <f ca="1"/>
        <v>45336</v>
      </c>
      <c r="AE52" s="55">
        <f t="shared" ca="1" si="20"/>
        <v>45336</v>
      </c>
      <c r="AF52" s="55">
        <f t="shared" ca="1" si="21"/>
        <v>41.158254592498309</v>
      </c>
      <c r="AG52" s="55">
        <f t="shared" ca="1" si="22"/>
        <v>4.1251371209752454</v>
      </c>
      <c r="AH52" s="55">
        <f t="shared" ca="1" si="23"/>
        <v>0</v>
      </c>
      <c r="AI52" s="55">
        <f t="shared" ca="1" si="17"/>
        <v>0</v>
      </c>
      <c r="AJ52" s="55">
        <f t="shared" ca="1" si="18"/>
        <v>7.6330088086548038</v>
      </c>
      <c r="AK52" s="55">
        <f t="shared" ca="1" si="19"/>
        <v>8.4608240031562794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45265</v>
      </c>
      <c r="S53" s="55">
        <f t="shared" ca="1" si="11"/>
        <v>45265</v>
      </c>
      <c r="T53" s="55">
        <f t="shared" ca="1" si="0"/>
        <v>40.431270734027187</v>
      </c>
      <c r="U53" s="55">
        <f t="shared" ca="1" si="1"/>
        <v>14.498493935213805</v>
      </c>
      <c r="V53" s="55">
        <f t="shared" ca="1" si="2"/>
        <v>0</v>
      </c>
      <c r="W53" s="55">
        <f t="shared" ca="1" si="12"/>
        <v>0</v>
      </c>
      <c r="X53" s="55">
        <f t="shared" ca="1" si="13"/>
        <v>8.9523565323201559</v>
      </c>
      <c r="Y53" s="55">
        <f t="shared" ca="1" si="14"/>
        <v>-6.0049496169248018</v>
      </c>
      <c r="Z53">
        <f t="shared" ca="1" si="3"/>
        <v>95.346105347867095</v>
      </c>
      <c r="AA53">
        <f t="shared" ca="1" si="15"/>
        <v>0</v>
      </c>
      <c r="AB53">
        <f t="shared" ca="1" si="4"/>
        <v>0</v>
      </c>
      <c r="AC53">
        <f t="shared" ca="1" si="5"/>
        <v>0.73205342852475719</v>
      </c>
      <c r="AD53" s="83">
        <f ca="1"/>
        <v>45337</v>
      </c>
      <c r="AE53" s="55">
        <f t="shared" ca="1" si="20"/>
        <v>45337</v>
      </c>
      <c r="AF53" s="55">
        <f t="shared" ca="1" si="21"/>
        <v>41.176491860707387</v>
      </c>
      <c r="AG53" s="55">
        <f t="shared" ca="1" si="22"/>
        <v>4.3568713025503172</v>
      </c>
      <c r="AH53" s="55">
        <f t="shared" ca="1" si="23"/>
        <v>0</v>
      </c>
      <c r="AI53" s="55">
        <f t="shared" ca="1" si="17"/>
        <v>0</v>
      </c>
      <c r="AJ53" s="55">
        <f t="shared" ca="1" si="18"/>
        <v>7.8492009458804839</v>
      </c>
      <c r="AK53" s="55">
        <f t="shared" ca="1" si="19"/>
        <v>8.4946033157147429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8</v>
      </c>
      <c r="E54" s="69"/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45266</v>
      </c>
      <c r="S54" s="55">
        <f t="shared" ca="1" si="11"/>
        <v>45266</v>
      </c>
      <c r="T54" s="55">
        <f t="shared" ca="1" si="0"/>
        <v>39.739058663775268</v>
      </c>
      <c r="U54" s="55">
        <f t="shared" ca="1" si="1"/>
        <v>15.404310160991434</v>
      </c>
      <c r="V54" s="55">
        <f t="shared" ca="1" si="2"/>
        <v>0</v>
      </c>
      <c r="W54" s="55">
        <f t="shared" ca="1" si="12"/>
        <v>0</v>
      </c>
      <c r="X54" s="55">
        <f t="shared" ca="1" si="13"/>
        <v>9.219729735722197</v>
      </c>
      <c r="Y54" s="55">
        <f t="shared" ca="1" si="14"/>
        <v>-6.0587186648011411</v>
      </c>
      <c r="Z54">
        <f t="shared" ca="1" si="3"/>
        <v>95.249868799480723</v>
      </c>
      <c r="AA54">
        <f t="shared" ca="1" si="15"/>
        <v>0</v>
      </c>
      <c r="AB54">
        <f t="shared" ca="1" si="4"/>
        <v>0</v>
      </c>
      <c r="AC54">
        <f t="shared" ca="1" si="5"/>
        <v>0.75839486917733612</v>
      </c>
      <c r="AD54" s="83">
        <f ca="1"/>
        <v>45338</v>
      </c>
      <c r="AE54" s="55">
        <f t="shared" ca="1" si="20"/>
        <v>45338</v>
      </c>
      <c r="AF54" s="55">
        <f t="shared" ca="1" si="21"/>
        <v>41.178184267068609</v>
      </c>
      <c r="AG54" s="55">
        <f t="shared" ca="1" si="22"/>
        <v>4.6000557303162442</v>
      </c>
      <c r="AH54" s="55">
        <f t="shared" ca="1" si="23"/>
        <v>0</v>
      </c>
      <c r="AI54" s="55">
        <f t="shared" ca="1" si="17"/>
        <v>0</v>
      </c>
      <c r="AJ54" s="55">
        <f t="shared" ca="1" si="18"/>
        <v>8.0624610897325031</v>
      </c>
      <c r="AK54" s="55">
        <f t="shared" ca="1" si="19"/>
        <v>8.5262200059898703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160</v>
      </c>
      <c r="G55" s="85" t="str">
        <f>IF(H55="","Full (Plough)",H55)</f>
        <v>Full (Plough)</v>
      </c>
      <c r="H55" s="72"/>
      <c r="R55" s="83">
        <f ca="1"/>
        <v>45267</v>
      </c>
      <c r="S55" s="55">
        <f t="shared" ca="1" si="11"/>
        <v>45267</v>
      </c>
      <c r="T55" s="55">
        <f t="shared" ca="1" si="0"/>
        <v>39.03534966332785</v>
      </c>
      <c r="U55" s="55">
        <f t="shared" ca="1" si="1"/>
        <v>16.31767393322642</v>
      </c>
      <c r="V55" s="55">
        <f t="shared" ca="1" si="2"/>
        <v>0</v>
      </c>
      <c r="W55" s="55">
        <f t="shared" ca="1" si="12"/>
        <v>0</v>
      </c>
      <c r="X55" s="55">
        <f t="shared" ca="1" si="13"/>
        <v>9.4770598586537833</v>
      </c>
      <c r="Y55" s="55">
        <f t="shared" ca="1" si="14"/>
        <v>-6.1063940159451562</v>
      </c>
      <c r="Z55">
        <f t="shared" ca="1" si="3"/>
        <v>95.525986205291332</v>
      </c>
      <c r="AA55">
        <f t="shared" ca="1" si="15"/>
        <v>0</v>
      </c>
      <c r="AB55">
        <f t="shared" ca="1" si="4"/>
        <v>0</v>
      </c>
      <c r="AC55">
        <f t="shared" ca="1" si="5"/>
        <v>0.78126700791730352</v>
      </c>
      <c r="AD55" s="83">
        <f ca="1"/>
        <v>45339</v>
      </c>
      <c r="AE55" s="55">
        <f t="shared" ca="1" si="20"/>
        <v>45339</v>
      </c>
      <c r="AF55" s="55">
        <f t="shared" ca="1" si="21"/>
        <v>41.177276380100935</v>
      </c>
      <c r="AG55" s="55">
        <f t="shared" ca="1" si="22"/>
        <v>4.8568134414751789</v>
      </c>
      <c r="AH55" s="55">
        <f t="shared" ca="1" si="23"/>
        <v>0</v>
      </c>
      <c r="AI55" s="55">
        <f t="shared" ca="1" si="17"/>
        <v>0</v>
      </c>
      <c r="AJ55" s="55">
        <f t="shared" ca="1" si="18"/>
        <v>8.2865458619662924</v>
      </c>
      <c r="AK55" s="55">
        <f t="shared" ca="1" si="19"/>
        <v>8.5579850579473433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Interface'!S5,0)&amp;" kg N/ha to the current crop"</f>
        <v>Previous crop residues are providing -6 kg N/ha to the current crop</v>
      </c>
      <c r="R56" s="83">
        <f ca="1"/>
        <v>45268</v>
      </c>
      <c r="S56" s="55">
        <f t="shared" ca="1" si="11"/>
        <v>45268</v>
      </c>
      <c r="T56" s="55">
        <f t="shared" ca="1" si="0"/>
        <v>38.283054314660134</v>
      </c>
      <c r="U56" s="55">
        <f t="shared" ca="1" si="1"/>
        <v>17.275230761087059</v>
      </c>
      <c r="V56" s="55">
        <f t="shared" ca="1" si="2"/>
        <v>0</v>
      </c>
      <c r="W56" s="55">
        <f t="shared" ca="1" si="12"/>
        <v>0</v>
      </c>
      <c r="X56" s="55">
        <f t="shared" ca="1" si="13"/>
        <v>9.7259443137860089</v>
      </c>
      <c r="Y56" s="55">
        <f t="shared" ca="1" si="14"/>
        <v>-6.1500169918844554</v>
      </c>
      <c r="Z56">
        <f t="shared" ca="1" si="3"/>
        <v>92.854784271794799</v>
      </c>
      <c r="AA56">
        <f t="shared" ca="1" si="15"/>
        <v>0</v>
      </c>
      <c r="AB56">
        <f t="shared" ca="1" si="4"/>
        <v>0</v>
      </c>
      <c r="AC56">
        <f t="shared" ca="1" si="5"/>
        <v>0.80184817870099034</v>
      </c>
      <c r="AD56" s="83">
        <f ca="1"/>
        <v>45340</v>
      </c>
      <c r="AE56" s="55">
        <f t="shared" ca="1" si="20"/>
        <v>45340</v>
      </c>
      <c r="AF56" s="55">
        <f t="shared" ca="1" si="21"/>
        <v>41.157367208722214</v>
      </c>
      <c r="AG56" s="55">
        <f t="shared" ca="1" si="22"/>
        <v>5.1294007402939981</v>
      </c>
      <c r="AH56" s="55">
        <f t="shared" ca="1" si="23"/>
        <v>0</v>
      </c>
      <c r="AI56" s="55">
        <f t="shared" ca="1" si="17"/>
        <v>0</v>
      </c>
      <c r="AJ56" s="55">
        <f t="shared" ca="1" si="18"/>
        <v>8.5086168605946053</v>
      </c>
      <c r="AK56" s="55">
        <f t="shared" ca="1" si="19"/>
        <v>8.5885921867591328</v>
      </c>
    </row>
    <row r="57" spans="2:37" s="55" customFormat="1" ht="15" thickBot="1">
      <c r="C57" s="129" t="s">
        <v>156</v>
      </c>
      <c r="D57" s="129"/>
      <c r="E57" s="129"/>
      <c r="F57" s="129"/>
      <c r="G57" s="129"/>
      <c r="H57" s="129"/>
      <c r="R57" s="83">
        <f ca="1"/>
        <v>45269</v>
      </c>
      <c r="S57" s="55">
        <f t="shared" ca="1" si="11"/>
        <v>45269</v>
      </c>
      <c r="T57" s="55">
        <f t="shared" ca="1" si="0"/>
        <v>37.436242191739105</v>
      </c>
      <c r="U57" s="55">
        <f t="shared" ca="1" si="1"/>
        <v>18.326061171726661</v>
      </c>
      <c r="V57" s="55">
        <f t="shared" ca="1" si="2"/>
        <v>0</v>
      </c>
      <c r="W57" s="55">
        <f t="shared" ca="1" si="12"/>
        <v>0</v>
      </c>
      <c r="X57" s="55">
        <f t="shared" ca="1" si="13"/>
        <v>9.9711480970796078</v>
      </c>
      <c r="Y57" s="55">
        <f t="shared" ca="1" si="14"/>
        <v>-6.1912024874594858</v>
      </c>
      <c r="Z57">
        <f t="shared" ca="1" si="3"/>
        <v>88.16682386093315</v>
      </c>
      <c r="AA57">
        <f t="shared" ca="1" si="15"/>
        <v>0</v>
      </c>
      <c r="AB57">
        <f t="shared" ca="1" si="4"/>
        <v>0</v>
      </c>
      <c r="AC57">
        <f t="shared" ca="1" si="5"/>
        <v>0.82105781110815457</v>
      </c>
      <c r="AD57" s="83">
        <f ca="1"/>
        <v>45341</v>
      </c>
      <c r="AE57" s="55">
        <f t="shared" ca="1" si="20"/>
        <v>45341</v>
      </c>
      <c r="AF57" s="55">
        <f t="shared" ca="1" si="21"/>
        <v>41.117710672699765</v>
      </c>
      <c r="AG57" s="55">
        <f t="shared" ca="1" si="22"/>
        <v>5.4168985750112748</v>
      </c>
      <c r="AH57" s="55">
        <f t="shared" ca="1" si="23"/>
        <v>0</v>
      </c>
      <c r="AI57" s="55">
        <f t="shared" ca="1" si="17"/>
        <v>0</v>
      </c>
      <c r="AJ57" s="55">
        <f t="shared" ca="1" si="18"/>
        <v>8.7276540571432992</v>
      </c>
      <c r="AK57" s="55">
        <f t="shared" ca="1" si="19"/>
        <v>8.6173962889052618</v>
      </c>
    </row>
    <row r="58" spans="2:37" s="55" customFormat="1">
      <c r="C58" s="61" t="s">
        <v>27</v>
      </c>
      <c r="D58" s="88" t="str">
        <f>IF(E58="","Fodder",E58)</f>
        <v>Fodder</v>
      </c>
      <c r="E58" s="87"/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45270</v>
      </c>
      <c r="S58" s="55">
        <f t="shared" ca="1" si="11"/>
        <v>45270</v>
      </c>
      <c r="T58" s="55">
        <f t="shared" ca="1" si="0"/>
        <v>36.538525296081318</v>
      </c>
      <c r="U58" s="55">
        <f t="shared" ca="1" si="1"/>
        <v>19.425750796026158</v>
      </c>
      <c r="V58" s="55">
        <f t="shared" ca="1" si="2"/>
        <v>0</v>
      </c>
      <c r="W58" s="55">
        <f t="shared" ca="1" si="12"/>
        <v>0</v>
      </c>
      <c r="X58" s="55">
        <f t="shared" ca="1" si="13"/>
        <v>10.210396630937328</v>
      </c>
      <c r="Y58" s="55">
        <f t="shared" ca="1" si="14"/>
        <v>-6.2284782926755007</v>
      </c>
      <c r="Z58">
        <f t="shared" ca="1" si="3"/>
        <v>86.519695375236566</v>
      </c>
      <c r="AA58">
        <f t="shared" ca="1" si="15"/>
        <v>0</v>
      </c>
      <c r="AB58">
        <f t="shared" ca="1" si="4"/>
        <v>0</v>
      </c>
      <c r="AC58">
        <f t="shared" ca="1" si="5"/>
        <v>0.83801086204326702</v>
      </c>
      <c r="AD58" s="83">
        <f ca="1"/>
        <v>45342</v>
      </c>
      <c r="AE58" s="55">
        <f t="shared" ca="1" si="20"/>
        <v>45342</v>
      </c>
      <c r="AF58" s="55">
        <f t="shared" ca="1" si="21"/>
        <v>41.069671574464742</v>
      </c>
      <c r="AG58" s="55">
        <f t="shared" ca="1" si="22"/>
        <v>5.7214287202695449</v>
      </c>
      <c r="AH58" s="55">
        <f t="shared" ca="1" si="23"/>
        <v>0</v>
      </c>
      <c r="AI58" s="55">
        <f t="shared" ca="1" si="17"/>
        <v>0</v>
      </c>
      <c r="AJ58" s="55">
        <f t="shared" ca="1" si="18"/>
        <v>8.9554966689721045</v>
      </c>
      <c r="AK58" s="55">
        <f t="shared" ca="1" si="19"/>
        <v>8.6460447240996992</v>
      </c>
    </row>
    <row r="59" spans="2:37" s="55" customFormat="1">
      <c r="C59" s="61" t="s">
        <v>96</v>
      </c>
      <c r="D59" s="84" t="str">
        <f>IF(E59="","Oat",E59)</f>
        <v>Oat</v>
      </c>
      <c r="E59" s="66"/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45271</v>
      </c>
      <c r="S59" s="55">
        <f t="shared" ca="1" si="11"/>
        <v>45271</v>
      </c>
      <c r="T59" s="55">
        <f t="shared" ca="1" si="0"/>
        <v>35.526028368813691</v>
      </c>
      <c r="U59" s="55">
        <f t="shared" ca="1" si="1"/>
        <v>20.63874921040264</v>
      </c>
      <c r="V59" s="55">
        <f t="shared" ca="1" si="2"/>
        <v>0</v>
      </c>
      <c r="W59" s="55">
        <f t="shared" ca="1" si="12"/>
        <v>0</v>
      </c>
      <c r="X59" s="55">
        <f t="shared" ca="1" si="13"/>
        <v>10.445904550409322</v>
      </c>
      <c r="Y59" s="55">
        <f t="shared" ca="1" si="14"/>
        <v>-6.2634847250386398</v>
      </c>
      <c r="Z59">
        <f t="shared" ca="1" si="3"/>
        <v>81.329901043523833</v>
      </c>
      <c r="AA59">
        <f t="shared" ca="1" si="15"/>
        <v>0</v>
      </c>
      <c r="AB59">
        <f t="shared" ca="1" si="4"/>
        <v>0</v>
      </c>
      <c r="AC59">
        <f t="shared" ca="1" si="5"/>
        <v>0.85364720852903009</v>
      </c>
      <c r="AD59" s="83">
        <f ca="1"/>
        <v>45343</v>
      </c>
      <c r="AE59" s="55">
        <f t="shared" ca="1" si="20"/>
        <v>45343</v>
      </c>
      <c r="AF59" s="55">
        <f t="shared" ca="1" si="21"/>
        <v>41.006877726276578</v>
      </c>
      <c r="AG59" s="55">
        <f t="shared" ca="1" si="22"/>
        <v>6.0414249877177646</v>
      </c>
      <c r="AH59" s="55">
        <f t="shared" ca="1" si="23"/>
        <v>0</v>
      </c>
      <c r="AI59" s="55">
        <f t="shared" ca="1" si="17"/>
        <v>0</v>
      </c>
      <c r="AJ59" s="55">
        <f t="shared" ca="1" si="18"/>
        <v>9.185117926006372</v>
      </c>
      <c r="AK59" s="55">
        <f t="shared" ca="1" si="19"/>
        <v>8.6736258863254854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0</v>
      </c>
      <c r="H60" s="72"/>
      <c r="R60" s="83">
        <f ca="1"/>
        <v>45272</v>
      </c>
      <c r="S60" s="55">
        <f t="shared" ca="1" si="11"/>
        <v>45272</v>
      </c>
      <c r="T60" s="55">
        <f t="shared" ca="1" si="0"/>
        <v>34.398554581358574</v>
      </c>
      <c r="U60" s="55">
        <f t="shared" ca="1" si="1"/>
        <v>21.96921076921711</v>
      </c>
      <c r="V60" s="55">
        <f t="shared" ca="1" si="2"/>
        <v>0</v>
      </c>
      <c r="W60" s="55">
        <f t="shared" ca="1" si="12"/>
        <v>0</v>
      </c>
      <c r="X60" s="55">
        <f t="shared" ca="1" si="13"/>
        <v>10.681346017066247</v>
      </c>
      <c r="Y60" s="55">
        <f t="shared" ca="1" si="14"/>
        <v>-6.2959384203362116</v>
      </c>
      <c r="Z60">
        <f t="shared" ca="1" si="3"/>
        <v>78.051935772826468</v>
      </c>
      <c r="AA60">
        <f t="shared" ca="1" si="15"/>
        <v>0</v>
      </c>
      <c r="AB60">
        <f t="shared" ca="1" si="4"/>
        <v>0</v>
      </c>
      <c r="AC60">
        <f t="shared" ca="1" si="5"/>
        <v>0.86781130847386723</v>
      </c>
      <c r="AD60" s="83">
        <f ca="1"/>
        <v>45344</v>
      </c>
      <c r="AE60" s="55">
        <f t="shared" ca="1" si="20"/>
        <v>45344</v>
      </c>
      <c r="AF60" s="55">
        <f t="shared" ca="1" si="21"/>
        <v>40.922067164680307</v>
      </c>
      <c r="AG60" s="55">
        <f t="shared" ca="1" si="22"/>
        <v>6.3749699093504448</v>
      </c>
      <c r="AH60" s="55">
        <f t="shared" ca="1" si="23"/>
        <v>0</v>
      </c>
      <c r="AI60" s="55">
        <f t="shared" ca="1" si="17"/>
        <v>0</v>
      </c>
      <c r="AJ60" s="55">
        <f t="shared" ca="1" si="18"/>
        <v>9.407480204218837</v>
      </c>
      <c r="AK60" s="55">
        <f t="shared" ca="1" si="19"/>
        <v>8.6999979681494324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152</v>
      </c>
      <c r="D61" s="65" t="str">
        <f>FollowingCropName&amp;" "&amp;FollowingCropType&amp;" "&amp;FollowingCropVariety</f>
        <v>Oat Fodder General</v>
      </c>
      <c r="F61" s="56"/>
      <c r="R61" s="83">
        <f ca="1"/>
        <v>45273</v>
      </c>
      <c r="S61" s="55">
        <f t="shared" ca="1" si="11"/>
        <v>45273</v>
      </c>
      <c r="T61" s="55">
        <f t="shared" ca="1" si="0"/>
        <v>33.213136418495331</v>
      </c>
      <c r="U61" s="55">
        <f t="shared" ca="1" si="1"/>
        <v>23.347107074719915</v>
      </c>
      <c r="V61" s="55">
        <f t="shared" ca="1" si="2"/>
        <v>0</v>
      </c>
      <c r="W61" s="55">
        <f t="shared" ca="1" si="12"/>
        <v>0</v>
      </c>
      <c r="X61" s="55">
        <f t="shared" ca="1" si="13"/>
        <v>10.902289402573894</v>
      </c>
      <c r="Y61" s="55">
        <f t="shared" ca="1" si="14"/>
        <v>-6.3244036632042979</v>
      </c>
      <c r="Z61">
        <f t="shared" ca="1" si="3"/>
        <v>73.935066631949809</v>
      </c>
      <c r="AA61">
        <f t="shared" ca="1" si="15"/>
        <v>0</v>
      </c>
      <c r="AB61">
        <f t="shared" ca="1" si="4"/>
        <v>0</v>
      </c>
      <c r="AC61">
        <f t="shared" ca="1" si="5"/>
        <v>0.87985258535331123</v>
      </c>
      <c r="AD61" s="83">
        <f ca="1"/>
        <v>45345</v>
      </c>
      <c r="AE61" s="55">
        <f t="shared" ca="1" si="20"/>
        <v>45345</v>
      </c>
      <c r="AF61" s="55">
        <f t="shared" ca="1" si="21"/>
        <v>40.821806509135371</v>
      </c>
      <c r="AG61" s="55">
        <f t="shared" ca="1" si="22"/>
        <v>6.7260480979784614</v>
      </c>
      <c r="AH61" s="55">
        <f t="shared" ca="1" si="23"/>
        <v>0</v>
      </c>
      <c r="AI61" s="55">
        <f t="shared" ca="1" si="17"/>
        <v>0</v>
      </c>
      <c r="AJ61" s="55">
        <f t="shared" ca="1" si="18"/>
        <v>9.6326615985522128</v>
      </c>
      <c r="AK61" s="55">
        <f t="shared" ca="1" si="19"/>
        <v>8.7256341068991361</v>
      </c>
    </row>
    <row r="62" spans="2:37" s="55" customFormat="1">
      <c r="C62" s="61" t="s">
        <v>4</v>
      </c>
      <c r="D62" s="68">
        <f>IF(E62="",CurrentHarvestDate+15,E62)</f>
        <v>45316</v>
      </c>
      <c r="E62" s="67"/>
      <c r="F62" s="61" t="s">
        <v>147</v>
      </c>
      <c r="G62" s="84" t="str">
        <f>IF(H62="",VLOOKUP(FollowingCropFullName,CropCoefficients,13,FALSE),H62)</f>
        <v>Seed</v>
      </c>
      <c r="H62" s="72"/>
      <c r="R62" s="83">
        <f ca="1"/>
        <v>45274</v>
      </c>
      <c r="S62" s="55">
        <f t="shared" ca="1" si="11"/>
        <v>45274</v>
      </c>
      <c r="T62" s="55">
        <f t="shared" ca="1" si="0"/>
        <v>31.966490162375194</v>
      </c>
      <c r="U62" s="55">
        <f t="shared" ca="1" si="1"/>
        <v>24.789433490728221</v>
      </c>
      <c r="V62" s="55">
        <f t="shared" ca="1" si="2"/>
        <v>0</v>
      </c>
      <c r="W62" s="55">
        <f t="shared" ca="1" si="12"/>
        <v>0</v>
      </c>
      <c r="X62" s="55">
        <f t="shared" ca="1" si="13"/>
        <v>11.123059221420897</v>
      </c>
      <c r="Y62" s="55">
        <f t="shared" ca="1" si="14"/>
        <v>-6.3494933221631298</v>
      </c>
      <c r="Z62">
        <f t="shared" ca="1" si="3"/>
        <v>74.408035459175565</v>
      </c>
      <c r="AA62">
        <f t="shared" ca="1" si="15"/>
        <v>0</v>
      </c>
      <c r="AB62">
        <f t="shared" ca="1" si="4"/>
        <v>0</v>
      </c>
      <c r="AC62">
        <f t="shared" ca="1" si="5"/>
        <v>0.89018950842653977</v>
      </c>
      <c r="AD62" s="83">
        <f ca="1"/>
        <v>45346</v>
      </c>
      <c r="AE62" s="55">
        <f t="shared" ca="1" si="20"/>
        <v>45346</v>
      </c>
      <c r="AF62" s="55">
        <f t="shared" ca="1" si="21"/>
        <v>40.698815325594751</v>
      </c>
      <c r="AG62" s="55">
        <f t="shared" ca="1" si="22"/>
        <v>7.0873102801160073</v>
      </c>
      <c r="AH62" s="55">
        <f t="shared" ca="1" si="23"/>
        <v>0</v>
      </c>
      <c r="AI62" s="55">
        <f t="shared" ca="1" si="17"/>
        <v>0</v>
      </c>
      <c r="AJ62" s="55">
        <f t="shared" ca="1" si="18"/>
        <v>9.8466549396915344</v>
      </c>
      <c r="AK62" s="55">
        <f t="shared" ca="1" si="19"/>
        <v>8.7499117643567388</v>
      </c>
    </row>
    <row r="63" spans="2:37" s="55" customFormat="1">
      <c r="C63" s="61" t="s">
        <v>5</v>
      </c>
      <c r="D63" s="68">
        <f>IF(E63="",FollowingEstablishDate+120,E63)</f>
        <v>45436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45275</v>
      </c>
      <c r="S63" s="55">
        <f t="shared" ca="1" si="11"/>
        <v>45275</v>
      </c>
      <c r="T63" s="55">
        <f t="shared" ca="1" si="0"/>
        <v>30.659924020339087</v>
      </c>
      <c r="U63" s="55">
        <f t="shared" ca="1" si="1"/>
        <v>26.285847868082399</v>
      </c>
      <c r="V63" s="55">
        <f t="shared" ca="1" si="2"/>
        <v>0</v>
      </c>
      <c r="W63" s="55">
        <f t="shared" ca="1" si="12"/>
        <v>0</v>
      </c>
      <c r="X63" s="55">
        <f t="shared" ca="1" si="13"/>
        <v>11.334730675251386</v>
      </c>
      <c r="Y63" s="55">
        <f t="shared" ca="1" si="14"/>
        <v>-6.371316540675549</v>
      </c>
      <c r="Z63">
        <f t="shared" ca="1" si="3"/>
        <v>71.782576540217903</v>
      </c>
      <c r="AA63">
        <f t="shared" ca="1" si="15"/>
        <v>0</v>
      </c>
      <c r="AB63">
        <f t="shared" ca="1" si="4"/>
        <v>0</v>
      </c>
      <c r="AC63">
        <f t="shared" ca="1" si="5"/>
        <v>0.89897849220233039</v>
      </c>
      <c r="AD63" s="83">
        <f ca="1"/>
        <v>45347</v>
      </c>
      <c r="AE63" s="55">
        <f t="shared" ca="1" si="20"/>
        <v>45347</v>
      </c>
      <c r="AF63" s="55">
        <f t="shared" ca="1" si="21"/>
        <v>40.551561378917938</v>
      </c>
      <c r="AG63" s="55">
        <f t="shared" ca="1" si="22"/>
        <v>7.456980269412302</v>
      </c>
      <c r="AH63" s="55">
        <f t="shared" ca="1" si="23"/>
        <v>0</v>
      </c>
      <c r="AI63" s="55">
        <f t="shared" ca="1" si="17"/>
        <v>0</v>
      </c>
      <c r="AJ63" s="55">
        <f t="shared" ca="1" si="18"/>
        <v>10.046937033443715</v>
      </c>
      <c r="AK63" s="55">
        <f t="shared" ca="1" si="19"/>
        <v>8.7720457132240455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45276</v>
      </c>
      <c r="S64" s="55">
        <f t="shared" ca="1" si="11"/>
        <v>45276</v>
      </c>
      <c r="T64" s="55">
        <f t="shared" ca="1" si="0"/>
        <v>50.560931474521297</v>
      </c>
      <c r="U64" s="55">
        <f t="shared" ca="1" si="1"/>
        <v>27.87089201558463</v>
      </c>
      <c r="V64" s="55">
        <f t="shared" ca="1" si="2"/>
        <v>21.285301767671506</v>
      </c>
      <c r="W64" s="55">
        <f t="shared" ca="1" si="12"/>
        <v>0</v>
      </c>
      <c r="X64" s="55">
        <f t="shared" ca="1" si="13"/>
        <v>11.554631320475478</v>
      </c>
      <c r="Y64" s="55">
        <f t="shared" ca="1" si="14"/>
        <v>-6.3904673518867074</v>
      </c>
      <c r="Z64">
        <f t="shared" ca="1" si="3"/>
        <v>74.527421996323639</v>
      </c>
      <c r="AA64">
        <f t="shared" ca="1" si="15"/>
        <v>0</v>
      </c>
      <c r="AB64">
        <f t="shared" ca="1" si="4"/>
        <v>0</v>
      </c>
      <c r="AC64">
        <f t="shared" ca="1" si="5"/>
        <v>0.90659626366109447</v>
      </c>
      <c r="AD64" s="83">
        <f ca="1"/>
        <v>45348</v>
      </c>
      <c r="AE64" s="55">
        <f t="shared" ca="1" si="20"/>
        <v>45348</v>
      </c>
      <c r="AF64" s="55">
        <f t="shared" ca="1" si="21"/>
        <v>40.381222304332915</v>
      </c>
      <c r="AG64" s="55">
        <f t="shared" ca="1" si="22"/>
        <v>7.8475084111967304</v>
      </c>
      <c r="AH64" s="55">
        <f t="shared" ca="1" si="23"/>
        <v>0</v>
      </c>
      <c r="AI64" s="55">
        <f t="shared" ca="1" si="17"/>
        <v>0</v>
      </c>
      <c r="AJ64" s="55">
        <f t="shared" ca="1" si="18"/>
        <v>10.245785885032957</v>
      </c>
      <c r="AK64" s="55">
        <f t="shared" ca="1" si="19"/>
        <v>8.793385928834212</v>
      </c>
    </row>
    <row r="65" spans="2:37" s="55" customFormat="1">
      <c r="C65" s="61" t="s">
        <v>102</v>
      </c>
      <c r="D65" s="70">
        <f>IF(E65="",VLOOKUP(FollowingCropFullName,CropCoefficients,17,FALSE),E65)</f>
        <v>10</v>
      </c>
      <c r="E65" s="69"/>
      <c r="F65" s="61" t="s">
        <v>150</v>
      </c>
      <c r="G65" s="85" t="str">
        <f>IF(H65="","None removed",H65)</f>
        <v>None removed</v>
      </c>
      <c r="H65" s="72"/>
      <c r="R65" s="83">
        <f ca="1"/>
        <v>45277</v>
      </c>
      <c r="S65" s="55">
        <f t="shared" ca="1" si="11"/>
        <v>45277</v>
      </c>
      <c r="T65" s="55">
        <f t="shared" ca="1" si="0"/>
        <v>49.098175378451543</v>
      </c>
      <c r="U65" s="55">
        <f t="shared" ca="1" si="1"/>
        <v>29.541464596009423</v>
      </c>
      <c r="V65" s="55">
        <f t="shared" ca="1" si="2"/>
        <v>0</v>
      </c>
      <c r="W65" s="55">
        <f t="shared" ca="1" si="12"/>
        <v>0</v>
      </c>
      <c r="X65" s="55">
        <f t="shared" ca="1" si="13"/>
        <v>11.778980597753989</v>
      </c>
      <c r="Y65" s="55">
        <f t="shared" ca="1" si="14"/>
        <v>-6.4070001448101781</v>
      </c>
      <c r="Z65">
        <f t="shared" ca="1" si="3"/>
        <v>75.992783569143668</v>
      </c>
      <c r="AA65">
        <f t="shared" ca="1" si="15"/>
        <v>0</v>
      </c>
      <c r="AB65">
        <f t="shared" ca="1" si="4"/>
        <v>0</v>
      </c>
      <c r="AC65">
        <f t="shared" ca="1" si="5"/>
        <v>0.91314736161422172</v>
      </c>
      <c r="AD65" s="83">
        <f ca="1"/>
        <v>45349</v>
      </c>
      <c r="AE65" s="55">
        <f t="shared" ca="1" si="20"/>
        <v>45349</v>
      </c>
      <c r="AF65" s="55">
        <f t="shared" ca="1" si="21"/>
        <v>40.185096268023806</v>
      </c>
      <c r="AG65" s="55">
        <f t="shared" ca="1" si="22"/>
        <v>8.2600125505335615</v>
      </c>
      <c r="AH65" s="55">
        <f t="shared" ca="1" si="23"/>
        <v>0</v>
      </c>
      <c r="AI65" s="55">
        <f t="shared" ca="1" si="17"/>
        <v>0</v>
      </c>
      <c r="AJ65" s="55">
        <f t="shared" ca="1" si="18"/>
        <v>10.441811510889957</v>
      </c>
      <c r="AK65" s="55">
        <f t="shared" ca="1" si="19"/>
        <v>8.8137384060049371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160</v>
      </c>
      <c r="G66" s="85" t="str">
        <f>IF(H66="","Full (Plough)",H66)</f>
        <v>Full (Plough)</v>
      </c>
      <c r="H66" s="72"/>
      <c r="R66" s="83">
        <f ca="1"/>
        <v>45278</v>
      </c>
      <c r="S66" s="55">
        <f t="shared" ca="1" si="11"/>
        <v>45278</v>
      </c>
      <c r="T66" s="55">
        <f t="shared" ca="1" si="0"/>
        <v>47.598981741195622</v>
      </c>
      <c r="U66" s="55">
        <f t="shared" ca="1" si="1"/>
        <v>31.249058286982212</v>
      </c>
      <c r="V66" s="55">
        <f t="shared" ca="1" si="2"/>
        <v>0</v>
      </c>
      <c r="W66" s="55">
        <f t="shared" ca="1" si="12"/>
        <v>0</v>
      </c>
      <c r="X66" s="55">
        <f t="shared" ca="1" si="13"/>
        <v>12.001119039867111</v>
      </c>
      <c r="Y66" s="55">
        <f t="shared" ca="1" si="14"/>
        <v>-6.4207385332064355</v>
      </c>
      <c r="Z66">
        <f t="shared" ca="1" si="3"/>
        <v>77.198500274648779</v>
      </c>
      <c r="AA66">
        <f t="shared" ca="1" si="15"/>
        <v>0</v>
      </c>
      <c r="AB66">
        <f t="shared" ca="1" si="4"/>
        <v>0</v>
      </c>
      <c r="AC66">
        <f t="shared" ca="1" si="5"/>
        <v>0.9186160577808079</v>
      </c>
      <c r="AD66" s="83">
        <f ca="1"/>
        <v>45350</v>
      </c>
      <c r="AE66" s="55">
        <f t="shared" ca="1" si="20"/>
        <v>45350</v>
      </c>
      <c r="AF66" s="55">
        <f t="shared" ca="1" si="21"/>
        <v>39.97464870235747</v>
      </c>
      <c r="AG66" s="55">
        <f t="shared" ca="1" si="22"/>
        <v>8.6868775275014194</v>
      </c>
      <c r="AH66" s="55">
        <f t="shared" ca="1" si="23"/>
        <v>0</v>
      </c>
      <c r="AI66" s="55">
        <f t="shared" ca="1" si="17"/>
        <v>0</v>
      </c>
      <c r="AJ66" s="55">
        <f t="shared" ca="1" si="18"/>
        <v>10.637906540605007</v>
      </c>
      <c r="AK66" s="55">
        <f t="shared" ca="1" si="19"/>
        <v>8.8340607875914046</v>
      </c>
    </row>
    <row r="67" spans="2:37">
      <c r="B67" s="55"/>
      <c r="C67" s="64" t="str">
        <f>"Yield "&amp;ROUND(FollowingYield_tperHa,0)&amp;" (t/ha)"</f>
        <v>Yield 10 (t/ha)</v>
      </c>
      <c r="D67" s="107" t="str">
        <f ca="1">"Following crop will take up "&amp;ROUND('Model Interface'!R5,0)&amp;" kg N/ha"</f>
        <v>Following crop will take up 137 kg N/ha</v>
      </c>
      <c r="R67" s="83">
        <f ca="1"/>
        <v>45279</v>
      </c>
      <c r="S67" s="55">
        <f t="shared" ca="1" si="11"/>
        <v>45279</v>
      </c>
      <c r="T67" s="55">
        <f t="shared" ca="1" si="0"/>
        <v>46.000139498707135</v>
      </c>
      <c r="U67" s="55">
        <f t="shared" ca="1" si="1"/>
        <v>33.062779060091039</v>
      </c>
      <c r="V67" s="55">
        <f t="shared" ca="1" si="2"/>
        <v>0</v>
      </c>
      <c r="W67" s="55">
        <f t="shared" ca="1" si="12"/>
        <v>0</v>
      </c>
      <c r="X67" s="55">
        <f t="shared" ca="1" si="13"/>
        <v>12.227575330154666</v>
      </c>
      <c r="Y67" s="55">
        <f t="shared" ca="1" si="14"/>
        <v>-6.4323162928736544</v>
      </c>
      <c r="Z67">
        <f t="shared" ca="1" si="3"/>
        <v>77.69174386931445</v>
      </c>
      <c r="AA67">
        <f t="shared" ca="1" si="15"/>
        <v>0</v>
      </c>
      <c r="AB67">
        <f t="shared" ca="1" si="4"/>
        <v>0</v>
      </c>
      <c r="AC67">
        <f t="shared" ca="1" si="5"/>
        <v>0.92336142006021216</v>
      </c>
      <c r="AD67" s="83">
        <f ca="1"/>
        <v>45351</v>
      </c>
      <c r="AE67" s="55">
        <f t="shared" ca="1" si="20"/>
        <v>45351</v>
      </c>
      <c r="AF67" s="55">
        <f t="shared" ca="1" si="21"/>
        <v>39.749122911204061</v>
      </c>
      <c r="AG67" s="55">
        <f t="shared" ca="1" si="22"/>
        <v>9.1362239124527882</v>
      </c>
      <c r="AH67" s="55">
        <f t="shared" ca="1" si="23"/>
        <v>0</v>
      </c>
      <c r="AI67" s="55">
        <f t="shared" ca="1" si="17"/>
        <v>0</v>
      </c>
      <c r="AJ67" s="55">
        <f t="shared" ca="1" si="18"/>
        <v>10.840693273079356</v>
      </c>
      <c r="AK67" s="55">
        <f t="shared" ca="1" si="19"/>
        <v>8.8550946489150153</v>
      </c>
    </row>
    <row r="68" spans="2:37" ht="15" thickBot="1">
      <c r="C68" s="131" t="s">
        <v>187</v>
      </c>
      <c r="D68" s="131"/>
      <c r="E68" s="131"/>
      <c r="F68" s="131"/>
      <c r="G68" s="131"/>
      <c r="H68" s="131"/>
      <c r="R68" s="83">
        <f ca="1"/>
        <v>45280</v>
      </c>
      <c r="S68" s="55">
        <f t="shared" ca="1" si="11"/>
        <v>45280</v>
      </c>
      <c r="T68" s="55">
        <f t="shared" ca="1" si="0"/>
        <v>44.268246300416152</v>
      </c>
      <c r="U68" s="55">
        <f t="shared" ca="1" si="1"/>
        <v>35.00398858145379</v>
      </c>
      <c r="V68" s="55">
        <f t="shared" ca="1" si="2"/>
        <v>0</v>
      </c>
      <c r="W68" s="55">
        <f t="shared" ca="1" si="12"/>
        <v>0</v>
      </c>
      <c r="X68" s="55">
        <f t="shared" ca="1" si="13"/>
        <v>12.446423453654502</v>
      </c>
      <c r="Y68" s="55">
        <f t="shared" ca="1" si="14"/>
        <v>-6.4418480933017168</v>
      </c>
      <c r="Z68">
        <f t="shared" ca="1" si="3"/>
        <v>72.683673343070666</v>
      </c>
      <c r="AA68">
        <f t="shared" ca="1" si="15"/>
        <v>0</v>
      </c>
      <c r="AB68">
        <f t="shared" ca="1" si="4"/>
        <v>0</v>
      </c>
      <c r="AC68">
        <f t="shared" ca="1" si="5"/>
        <v>0.9274930143358675</v>
      </c>
      <c r="AD68" s="83">
        <f ca="1"/>
        <v>45352</v>
      </c>
      <c r="AE68" s="55">
        <f t="shared" ca="1" si="20"/>
        <v>45352</v>
      </c>
      <c r="AF68" s="55">
        <f t="shared" ca="1" si="21"/>
        <v>39.495421558094812</v>
      </c>
      <c r="AG68" s="55">
        <f t="shared" ca="1" si="22"/>
        <v>9.6178313242626849</v>
      </c>
      <c r="AH68" s="55">
        <f t="shared" ca="1" si="23"/>
        <v>0</v>
      </c>
      <c r="AI68" s="55">
        <f t="shared" ca="1" si="17"/>
        <v>0</v>
      </c>
      <c r="AJ68" s="55">
        <f t="shared" ca="1" si="18"/>
        <v>11.047613152096851</v>
      </c>
      <c r="AK68" s="55">
        <f t="shared" ca="1" si="19"/>
        <v>8.8760808285981732</v>
      </c>
    </row>
    <row r="69" spans="2:37">
      <c r="C69" s="61"/>
      <c r="D69" s="88"/>
      <c r="E69" s="105"/>
      <c r="R69" s="83">
        <f ca="1"/>
        <v>45281</v>
      </c>
      <c r="S69" s="55">
        <f t="shared" ca="1" si="11"/>
        <v>45281</v>
      </c>
      <c r="T69" s="55">
        <f t="shared" ca="1" si="0"/>
        <v>42.450155109663442</v>
      </c>
      <c r="U69" s="55">
        <f t="shared" ca="1" si="1"/>
        <v>37.032922888337488</v>
      </c>
      <c r="V69" s="55">
        <f t="shared" ca="1" si="2"/>
        <v>0</v>
      </c>
      <c r="W69" s="55">
        <f t="shared" ca="1" si="12"/>
        <v>0</v>
      </c>
      <c r="X69" s="55">
        <f t="shared" ca="1" si="13"/>
        <v>12.664642598604392</v>
      </c>
      <c r="Y69" s="55">
        <f t="shared" ca="1" si="14"/>
        <v>-6.4492241221206221</v>
      </c>
      <c r="Z69">
        <f t="shared" ca="1" si="3"/>
        <v>72.424795480437311</v>
      </c>
      <c r="AA69">
        <f t="shared" ca="1" si="15"/>
        <v>0</v>
      </c>
      <c r="AB69">
        <f t="shared" ca="1" si="4"/>
        <v>0</v>
      </c>
      <c r="AC69">
        <f t="shared" ca="1" si="5"/>
        <v>0.9309969938883168</v>
      </c>
      <c r="AD69" s="83">
        <f ca="1"/>
        <v>45353</v>
      </c>
      <c r="AE69" s="55">
        <f t="shared" ca="1" si="20"/>
        <v>45353</v>
      </c>
      <c r="AF69" s="55">
        <f t="shared" ca="1" si="21"/>
        <v>39.220153531303595</v>
      </c>
      <c r="AG69" s="55">
        <f t="shared" ca="1" si="22"/>
        <v>10.125041487327632</v>
      </c>
      <c r="AH69" s="55">
        <f t="shared" ca="1" si="23"/>
        <v>0</v>
      </c>
      <c r="AI69" s="55">
        <f t="shared" ca="1" si="17"/>
        <v>0</v>
      </c>
      <c r="AJ69" s="55">
        <f t="shared" ca="1" si="18"/>
        <v>11.258346400931861</v>
      </c>
      <c r="AK69" s="55">
        <f t="shared" ca="1" si="19"/>
        <v>8.8972897160368873</v>
      </c>
    </row>
    <row r="70" spans="2:37">
      <c r="C70" s="61"/>
      <c r="D70" s="84"/>
      <c r="E70" s="69"/>
      <c r="R70" s="83">
        <f ca="1"/>
        <v>45282</v>
      </c>
      <c r="S70" s="55">
        <f t="shared" ca="1" si="11"/>
        <v>45282</v>
      </c>
      <c r="T70" s="55">
        <f t="shared" ca="1" si="0"/>
        <v>40.508969512954188</v>
      </c>
      <c r="U70" s="55">
        <f t="shared" ca="1" si="1"/>
        <v>39.17955866087128</v>
      </c>
      <c r="V70" s="55">
        <f t="shared" ca="1" si="2"/>
        <v>0</v>
      </c>
      <c r="W70" s="55">
        <f t="shared" ca="1" si="12"/>
        <v>0</v>
      </c>
      <c r="X70" s="55">
        <f t="shared" ca="1" si="13"/>
        <v>12.87549493870115</v>
      </c>
      <c r="Y70" s="55">
        <f t="shared" ca="1" si="14"/>
        <v>-6.4546262863928412</v>
      </c>
      <c r="Z70">
        <f t="shared" ca="1" si="3"/>
        <v>68.189719135111076</v>
      </c>
      <c r="AA70">
        <f t="shared" ca="1" si="15"/>
        <v>0</v>
      </c>
      <c r="AB70">
        <f t="shared" ca="1" si="4"/>
        <v>0</v>
      </c>
      <c r="AC70">
        <f t="shared" ca="1" si="5"/>
        <v>0.93400152349640997</v>
      </c>
      <c r="AD70" s="83">
        <f ca="1"/>
        <v>45354</v>
      </c>
      <c r="AE70" s="55">
        <f t="shared" ca="1" si="20"/>
        <v>45354</v>
      </c>
      <c r="AF70" s="55">
        <f t="shared" ca="1" si="21"/>
        <v>38.938506619775112</v>
      </c>
      <c r="AG70" s="55">
        <f t="shared" ca="1" si="22"/>
        <v>10.636308625309091</v>
      </c>
      <c r="AH70" s="55">
        <f t="shared" ca="1" si="23"/>
        <v>0</v>
      </c>
      <c r="AI70" s="55">
        <f t="shared" ca="1" si="17"/>
        <v>0</v>
      </c>
      <c r="AJ70" s="55">
        <f t="shared" ca="1" si="18"/>
        <v>11.467887748684243</v>
      </c>
      <c r="AK70" s="55">
        <f t="shared" ca="1" si="19"/>
        <v>8.9173685947374715</v>
      </c>
    </row>
    <row r="71" spans="2:37">
      <c r="C71" s="61"/>
      <c r="D71" s="84"/>
      <c r="E71" s="69"/>
      <c r="R71" s="83">
        <f ca="1"/>
        <v>45283</v>
      </c>
      <c r="S71" s="55">
        <f t="shared" ca="1" si="11"/>
        <v>45283</v>
      </c>
      <c r="T71" s="55">
        <f t="shared" ca="1" si="0"/>
        <v>38.535347568941908</v>
      </c>
      <c r="U71" s="55">
        <f t="shared" ca="1" si="1"/>
        <v>41.347721846130995</v>
      </c>
      <c r="V71" s="55">
        <f t="shared" ca="1" si="2"/>
        <v>0</v>
      </c>
      <c r="W71" s="55">
        <f t="shared" ca="1" si="12"/>
        <v>0</v>
      </c>
      <c r="X71" s="55">
        <f t="shared" ca="1" si="13"/>
        <v>13.073429305440468</v>
      </c>
      <c r="Y71" s="55">
        <f t="shared" ca="1" si="14"/>
        <v>-6.4580194118847256</v>
      </c>
      <c r="Z71">
        <f t="shared" ca="1" si="3"/>
        <v>65.142967804326048</v>
      </c>
      <c r="AA71">
        <f t="shared" ca="1" si="15"/>
        <v>0</v>
      </c>
      <c r="AB71">
        <f t="shared" ca="1" si="4"/>
        <v>0</v>
      </c>
      <c r="AC71">
        <f t="shared" ca="1" si="5"/>
        <v>0.93646629847392582</v>
      </c>
      <c r="AD71" s="83">
        <f ca="1"/>
        <v>45355</v>
      </c>
      <c r="AE71" s="55">
        <f t="shared" ca="1" si="20"/>
        <v>45355</v>
      </c>
      <c r="AF71" s="55">
        <f t="shared" ca="1" si="21"/>
        <v>38.631501815303494</v>
      </c>
      <c r="AG71" s="55">
        <f t="shared" ca="1" si="22"/>
        <v>11.169314801713465</v>
      </c>
      <c r="AH71" s="55">
        <f t="shared" ca="1" si="23"/>
        <v>0</v>
      </c>
      <c r="AI71" s="55">
        <f t="shared" ca="1" si="17"/>
        <v>0</v>
      </c>
      <c r="AJ71" s="55">
        <f t="shared" ca="1" si="18"/>
        <v>11.67419372474162</v>
      </c>
      <c r="AK71" s="55">
        <f t="shared" ca="1" si="19"/>
        <v>8.9370639906128417</v>
      </c>
    </row>
    <row r="72" spans="2:37">
      <c r="C72" s="61"/>
      <c r="D72" s="84">
        <v>120</v>
      </c>
      <c r="E72" s="69">
        <v>120</v>
      </c>
      <c r="R72" s="83">
        <f ca="1"/>
        <v>45284</v>
      </c>
      <c r="S72" s="55">
        <f t="shared" ca="1" si="11"/>
        <v>45284</v>
      </c>
      <c r="T72" s="55">
        <f t="shared" ca="1" si="0"/>
        <v>36.451080565758787</v>
      </c>
      <c r="U72" s="55">
        <f t="shared" ca="1" si="1"/>
        <v>43.627932206528044</v>
      </c>
      <c r="V72" s="55">
        <f t="shared" ca="1" si="2"/>
        <v>0</v>
      </c>
      <c r="W72" s="55">
        <f t="shared" ca="1" si="12"/>
        <v>0</v>
      </c>
      <c r="X72" s="55">
        <f t="shared" ca="1" si="13"/>
        <v>13.271045063735404</v>
      </c>
      <c r="Y72" s="55">
        <f t="shared" ca="1" si="14"/>
        <v>-6.459691812965735</v>
      </c>
      <c r="Z72">
        <f t="shared" ca="1" si="3"/>
        <v>64.044319321478582</v>
      </c>
      <c r="AA72">
        <f t="shared" ca="1" si="15"/>
        <v>0</v>
      </c>
      <c r="AB72">
        <f t="shared" ca="1" si="4"/>
        <v>0</v>
      </c>
      <c r="AC72">
        <f t="shared" ca="1" si="5"/>
        <v>0.93857761963067188</v>
      </c>
      <c r="AD72" s="83">
        <f ca="1"/>
        <v>45356</v>
      </c>
      <c r="AE72" s="55">
        <f t="shared" ca="1" si="20"/>
        <v>45356</v>
      </c>
      <c r="AF72" s="55">
        <f t="shared" ca="1" si="21"/>
        <v>38.289308331194619</v>
      </c>
      <c r="AG72" s="55">
        <f t="shared" ca="1" si="22"/>
        <v>11.740398286049095</v>
      </c>
      <c r="AH72" s="55">
        <f t="shared" ca="1" si="23"/>
        <v>0</v>
      </c>
      <c r="AI72" s="55">
        <f t="shared" ca="1" si="17"/>
        <v>0</v>
      </c>
      <c r="AJ72" s="55">
        <f t="shared" ca="1" si="18"/>
        <v>11.883086161074086</v>
      </c>
      <c r="AK72" s="55">
        <f t="shared" ca="1" si="19"/>
        <v>8.9570615545071242</v>
      </c>
    </row>
    <row r="73" spans="2:37">
      <c r="R73" s="83">
        <f ca="1"/>
        <v>45285</v>
      </c>
      <c r="S73" s="55">
        <f t="shared" ca="1" si="11"/>
        <v>45285</v>
      </c>
      <c r="T73" s="55">
        <f t="shared" ca="1" si="0"/>
        <v>34.238854948859739</v>
      </c>
      <c r="U73" s="55">
        <f t="shared" ca="1" si="1"/>
        <v>46.044953054454496</v>
      </c>
      <c r="V73" s="55">
        <f t="shared" ca="1" si="2"/>
        <v>0</v>
      </c>
      <c r="W73" s="55">
        <f t="shared" ca="1" si="12"/>
        <v>0</v>
      </c>
      <c r="X73" s="55">
        <f t="shared" ca="1" si="13"/>
        <v>13.475848123728005</v>
      </c>
      <c r="Y73" s="55">
        <f t="shared" ca="1" si="14"/>
        <v>-6.4596996419309312</v>
      </c>
      <c r="Z73">
        <f t="shared" ca="1" si="3"/>
        <v>65.550565564805822</v>
      </c>
      <c r="AA73">
        <f t="shared" ca="1" si="15"/>
        <v>0</v>
      </c>
      <c r="AB73">
        <f t="shared" ca="1" si="4"/>
        <v>0</v>
      </c>
      <c r="AC73">
        <f t="shared" ca="1" si="5"/>
        <v>0.9403961852935917</v>
      </c>
      <c r="AD73" s="83">
        <f ca="1"/>
        <v>45357</v>
      </c>
      <c r="AE73" s="55">
        <f t="shared" ca="1" si="20"/>
        <v>45357</v>
      </c>
      <c r="AF73" s="55">
        <f t="shared" ca="1" si="21"/>
        <v>37.928854695849381</v>
      </c>
      <c r="AG73" s="55">
        <f t="shared" ca="1" si="22"/>
        <v>12.319672667244324</v>
      </c>
      <c r="AH73" s="55">
        <f t="shared" ca="1" si="23"/>
        <v>0</v>
      </c>
      <c r="AI73" s="55">
        <f t="shared" ca="1" si="17"/>
        <v>0</v>
      </c>
      <c r="AJ73" s="55">
        <f t="shared" ca="1" si="18"/>
        <v>12.08293065810277</v>
      </c>
      <c r="AK73" s="55">
        <f t="shared" ca="1" si="19"/>
        <v>8.9760378033284294</v>
      </c>
    </row>
    <row r="74" spans="2:37">
      <c r="R74" s="83">
        <f ca="1"/>
        <v>45286</v>
      </c>
      <c r="S74" s="55">
        <f t="shared" ca="1" si="11"/>
        <v>45286</v>
      </c>
      <c r="T74" s="55">
        <f t="shared" ca="1" si="0"/>
        <v>31.981014965830319</v>
      </c>
      <c r="U74" s="55">
        <f t="shared" ca="1" si="1"/>
        <v>48.494773162306402</v>
      </c>
      <c r="V74" s="55">
        <f t="shared" ca="1" si="2"/>
        <v>0</v>
      </c>
      <c r="W74" s="55">
        <f t="shared" ca="1" si="12"/>
        <v>0</v>
      </c>
      <c r="X74" s="55">
        <f t="shared" ca="1" si="13"/>
        <v>13.666283088890715</v>
      </c>
      <c r="Y74" s="55">
        <f t="shared" ca="1" si="14"/>
        <v>-6.4581544822711567</v>
      </c>
      <c r="Z74">
        <f t="shared" ca="1" si="3"/>
        <v>60.924930309112767</v>
      </c>
      <c r="AA74">
        <f t="shared" ca="1" si="15"/>
        <v>0</v>
      </c>
      <c r="AB74">
        <f t="shared" ca="1" si="4"/>
        <v>0</v>
      </c>
      <c r="AC74">
        <f t="shared" ca="1" si="5"/>
        <v>0.94189583531784471</v>
      </c>
      <c r="AD74" s="83">
        <f ca="1"/>
        <v>45358</v>
      </c>
      <c r="AE74" s="55">
        <f t="shared" ca="1" si="20"/>
        <v>45358</v>
      </c>
      <c r="AF74" s="55">
        <f t="shared" ca="1" si="21"/>
        <v>37.525358486091321</v>
      </c>
      <c r="AG74" s="55">
        <f t="shared" ca="1" si="22"/>
        <v>12.937717508794965</v>
      </c>
      <c r="AH74" s="55">
        <f t="shared" ca="1" si="23"/>
        <v>0</v>
      </c>
      <c r="AI74" s="55">
        <f t="shared" ca="1" si="17"/>
        <v>0</v>
      </c>
      <c r="AJ74" s="55">
        <f t="shared" ca="1" si="18"/>
        <v>12.279202928598133</v>
      </c>
      <c r="AK74" s="55">
        <f t="shared" ca="1" si="19"/>
        <v>8.9943141646256457</v>
      </c>
    </row>
    <row r="75" spans="2:37">
      <c r="R75" s="83">
        <f ca="1"/>
        <v>45287</v>
      </c>
      <c r="S75" s="55">
        <f t="shared" ca="1" si="11"/>
        <v>45287</v>
      </c>
      <c r="T75" s="55">
        <f t="shared" ca="1" si="0"/>
        <v>51.082818120402301</v>
      </c>
      <c r="U75" s="55">
        <f t="shared" ca="1" si="1"/>
        <v>51.044881269489395</v>
      </c>
      <c r="V75" s="55">
        <f t="shared" ca="1" si="2"/>
        <v>21.463315260576735</v>
      </c>
      <c r="W75" s="55">
        <f t="shared" ca="1" si="12"/>
        <v>0</v>
      </c>
      <c r="X75" s="55">
        <f t="shared" ca="1" si="13"/>
        <v>13.851992143174694</v>
      </c>
      <c r="Y75" s="55">
        <f t="shared" ca="1" si="14"/>
        <v>-6.4552675353768905</v>
      </c>
      <c r="Z75">
        <f t="shared" ca="1" si="3"/>
        <v>58.131134162617691</v>
      </c>
      <c r="AA75">
        <f t="shared" ca="1" si="15"/>
        <v>0</v>
      </c>
      <c r="AB75">
        <f t="shared" ca="1" si="4"/>
        <v>0</v>
      </c>
      <c r="AC75">
        <f t="shared" ca="1" si="5"/>
        <v>0.94316975597580333</v>
      </c>
      <c r="AD75" s="83">
        <f ca="1"/>
        <v>45359</v>
      </c>
      <c r="AE75" s="55">
        <f t="shared" ca="1" si="20"/>
        <v>45359</v>
      </c>
      <c r="AF75" s="55">
        <f t="shared" ca="1" si="21"/>
        <v>37.088754568520095</v>
      </c>
      <c r="AG75" s="55">
        <f t="shared" ca="1" si="22"/>
        <v>13.593198469843612</v>
      </c>
      <c r="AH75" s="55">
        <f t="shared" ca="1" si="23"/>
        <v>0</v>
      </c>
      <c r="AI75" s="55">
        <f t="shared" ca="1" si="17"/>
        <v>0</v>
      </c>
      <c r="AJ75" s="55">
        <f t="shared" ca="1" si="18"/>
        <v>12.479628262482537</v>
      </c>
      <c r="AK75" s="55">
        <f t="shared" ca="1" si="19"/>
        <v>9.0127658742186583</v>
      </c>
    </row>
    <row r="76" spans="2:37">
      <c r="R76" s="83">
        <f ca="1"/>
        <v>45288</v>
      </c>
      <c r="S76" s="55">
        <f t="shared" ca="1" si="11"/>
        <v>45288</v>
      </c>
      <c r="T76" s="55">
        <f t="shared" ca="1" si="0"/>
        <v>48.466004771736181</v>
      </c>
      <c r="U76" s="55">
        <f t="shared" ca="1" si="1"/>
        <v>53.85356904040772</v>
      </c>
      <c r="V76" s="55">
        <f t="shared" ca="1" si="2"/>
        <v>0</v>
      </c>
      <c r="W76" s="55">
        <f t="shared" ca="1" si="12"/>
        <v>0</v>
      </c>
      <c r="X76" s="55">
        <f t="shared" ca="1" si="13"/>
        <v>14.039825795257839</v>
      </c>
      <c r="Y76" s="55">
        <f t="shared" ca="1" si="14"/>
        <v>-6.4512267652078243</v>
      </c>
      <c r="Z76">
        <f t="shared" ca="1" si="3"/>
        <v>53.58785699770187</v>
      </c>
      <c r="AA76">
        <f t="shared" ca="1" si="15"/>
        <v>0</v>
      </c>
      <c r="AB76">
        <f t="shared" ca="1" si="4"/>
        <v>0</v>
      </c>
      <c r="AC76">
        <f t="shared" ca="1" si="5"/>
        <v>0.9443083400339094</v>
      </c>
      <c r="AD76" s="83">
        <f ca="1"/>
        <v>45360</v>
      </c>
      <c r="AE76" s="55">
        <f t="shared" ca="1" si="20"/>
        <v>45360</v>
      </c>
      <c r="AF76" s="55">
        <f t="shared" ca="1" si="21"/>
        <v>36.620195361150962</v>
      </c>
      <c r="AG76" s="55">
        <f t="shared" ca="1" si="22"/>
        <v>14.268504546212583</v>
      </c>
      <c r="AH76" s="55">
        <f t="shared" ca="1" si="23"/>
        <v>0</v>
      </c>
      <c r="AI76" s="55">
        <f t="shared" ca="1" si="17"/>
        <v>0</v>
      </c>
      <c r="AJ76" s="55">
        <f t="shared" ca="1" si="18"/>
        <v>12.669445639796402</v>
      </c>
      <c r="AK76" s="55">
        <f t="shared" ca="1" si="19"/>
        <v>9.0296953659046295</v>
      </c>
    </row>
    <row r="77" spans="2:37">
      <c r="R77" s="83">
        <f ca="1"/>
        <v>45289</v>
      </c>
      <c r="S77" s="55">
        <f t="shared" ca="1" si="11"/>
        <v>45289</v>
      </c>
      <c r="T77" s="55">
        <f t="shared" ca="1" si="0"/>
        <v>45.688221670734116</v>
      </c>
      <c r="U77" s="55">
        <f t="shared" ca="1" si="1"/>
        <v>56.828948741253221</v>
      </c>
      <c r="V77" s="55">
        <f t="shared" ca="1" si="2"/>
        <v>0</v>
      </c>
      <c r="W77" s="55">
        <f t="shared" ca="1" si="12"/>
        <v>0</v>
      </c>
      <c r="X77" s="55">
        <f t="shared" ca="1" si="13"/>
        <v>14.232124004761884</v>
      </c>
      <c r="Y77" s="55">
        <f t="shared" ca="1" si="14"/>
        <v>-6.4459283748684353</v>
      </c>
      <c r="Z77">
        <f t="shared" ca="1" si="3"/>
        <v>53.50678492403275</v>
      </c>
      <c r="AA77">
        <f t="shared" ca="1" si="15"/>
        <v>0</v>
      </c>
      <c r="AB77">
        <f t="shared" ca="1" si="4"/>
        <v>0</v>
      </c>
      <c r="AC77">
        <f t="shared" ca="1" si="5"/>
        <v>0.94527964014896482</v>
      </c>
      <c r="AD77" s="83">
        <f ca="1"/>
        <v>45361</v>
      </c>
      <c r="AE77" s="55">
        <f t="shared" ca="1" si="20"/>
        <v>45361</v>
      </c>
      <c r="AF77" s="55">
        <f t="shared" ca="1" si="21"/>
        <v>36.141567420635937</v>
      </c>
      <c r="AG77" s="55">
        <f t="shared" ca="1" si="22"/>
        <v>14.967845956395625</v>
      </c>
      <c r="AH77" s="55">
        <f t="shared" ca="1" si="23"/>
        <v>0</v>
      </c>
      <c r="AI77" s="55">
        <f t="shared" ca="1" si="17"/>
        <v>0</v>
      </c>
      <c r="AJ77" s="55">
        <f t="shared" ca="1" si="18"/>
        <v>12.871875265533623</v>
      </c>
      <c r="AK77" s="55">
        <f t="shared" ca="1" si="19"/>
        <v>9.0479792098354341</v>
      </c>
    </row>
    <row r="78" spans="2:37">
      <c r="R78" s="83">
        <f ca="1"/>
        <v>45290</v>
      </c>
      <c r="S78" s="55">
        <f t="shared" ca="1" si="11"/>
        <v>45290</v>
      </c>
      <c r="T78" s="55">
        <f t="shared" ca="1" si="0"/>
        <v>42.872986956211413</v>
      </c>
      <c r="U78" s="55">
        <f t="shared" ca="1" si="1"/>
        <v>59.845038924865115</v>
      </c>
      <c r="V78" s="55">
        <f t="shared" ca="1" si="2"/>
        <v>0</v>
      </c>
      <c r="W78" s="55">
        <f t="shared" ca="1" si="12"/>
        <v>0</v>
      </c>
      <c r="X78" s="55">
        <f t="shared" ca="1" si="13"/>
        <v>14.426361756612796</v>
      </c>
      <c r="Y78" s="55">
        <f t="shared" ca="1" si="14"/>
        <v>-6.4393106576301555</v>
      </c>
      <c r="Z78">
        <f t="shared" ca="1" si="3"/>
        <v>56.021145121951179</v>
      </c>
      <c r="AA78">
        <f t="shared" ca="1" si="15"/>
        <v>0</v>
      </c>
      <c r="AB78">
        <f t="shared" ca="1" si="4"/>
        <v>0</v>
      </c>
      <c r="AC78">
        <f t="shared" ca="1" si="5"/>
        <v>0.94607328850844352</v>
      </c>
      <c r="AD78" s="83">
        <f ca="1"/>
        <v>45362</v>
      </c>
      <c r="AE78" s="55">
        <f t="shared" ca="1" si="20"/>
        <v>45362</v>
      </c>
      <c r="AF78" s="55">
        <f t="shared" ca="1" si="21"/>
        <v>35.62634615866007</v>
      </c>
      <c r="AG78" s="55">
        <f t="shared" ca="1" si="22"/>
        <v>15.705878097305497</v>
      </c>
      <c r="AH78" s="55">
        <f t="shared" ca="1" si="23"/>
        <v>0</v>
      </c>
      <c r="AI78" s="55">
        <f t="shared" ca="1" si="17"/>
        <v>0</v>
      </c>
      <c r="AJ78" s="55">
        <f t="shared" ca="1" si="18"/>
        <v>13.076394614922121</v>
      </c>
      <c r="AK78" s="55">
        <f t="shared" ca="1" si="19"/>
        <v>9.0662707393809416</v>
      </c>
    </row>
    <row r="79" spans="2:37">
      <c r="R79" s="83">
        <f ca="1"/>
        <v>45291</v>
      </c>
      <c r="S79" s="55">
        <f t="shared" ca="1" si="11"/>
        <v>45291</v>
      </c>
      <c r="T79" s="55">
        <f t="shared" ca="1" si="0"/>
        <v>40.073285315474784</v>
      </c>
      <c r="U79" s="55">
        <f t="shared" ca="1" si="1"/>
        <v>62.864466460438727</v>
      </c>
      <c r="V79" s="55">
        <f t="shared" ca="1" si="2"/>
        <v>0</v>
      </c>
      <c r="W79" s="55">
        <f t="shared" ca="1" si="12"/>
        <v>0</v>
      </c>
      <c r="X79" s="55">
        <f t="shared" ca="1" si="13"/>
        <v>14.637998261247194</v>
      </c>
      <c r="Y79" s="55">
        <f t="shared" ca="1" si="14"/>
        <v>-6.4312212674275706</v>
      </c>
      <c r="Z79">
        <f t="shared" ca="1" si="3"/>
        <v>66.227010893644021</v>
      </c>
      <c r="AA79">
        <f t="shared" ca="1" si="15"/>
        <v>0</v>
      </c>
      <c r="AB79">
        <f t="shared" ca="1" si="4"/>
        <v>0</v>
      </c>
      <c r="AC79">
        <f t="shared" ca="1" si="5"/>
        <v>0.94671798811078112</v>
      </c>
      <c r="AD79" s="83">
        <f ca="1"/>
        <v>45363</v>
      </c>
      <c r="AE79" s="55">
        <f t="shared" ca="1" si="20"/>
        <v>45363</v>
      </c>
      <c r="AF79" s="55">
        <f t="shared" ca="1" si="21"/>
        <v>35.082072834180636</v>
      </c>
      <c r="AG79" s="55">
        <f t="shared" ca="1" si="22"/>
        <v>16.46080851603768</v>
      </c>
      <c r="AH79" s="55">
        <f t="shared" ca="1" si="23"/>
        <v>0</v>
      </c>
      <c r="AI79" s="55">
        <f t="shared" ca="1" si="17"/>
        <v>0</v>
      </c>
      <c r="AJ79" s="55">
        <f t="shared" ca="1" si="18"/>
        <v>13.269857887913957</v>
      </c>
      <c r="AK79" s="55">
        <f t="shared" ca="1" si="19"/>
        <v>9.0834645606418611</v>
      </c>
    </row>
    <row r="80" spans="2:37">
      <c r="R80" s="83">
        <f ca="1"/>
        <v>45292</v>
      </c>
      <c r="S80" s="55">
        <f t="shared" ca="1" si="11"/>
        <v>45292</v>
      </c>
      <c r="T80" s="55">
        <f t="shared" ca="1" si="0"/>
        <v>37.232545455285198</v>
      </c>
      <c r="U80" s="55">
        <f t="shared" ca="1" si="1"/>
        <v>65.919921811320123</v>
      </c>
      <c r="V80" s="55">
        <f t="shared" ca="1" si="2"/>
        <v>0</v>
      </c>
      <c r="W80" s="55">
        <f t="shared" ca="1" si="12"/>
        <v>0</v>
      </c>
      <c r="X80" s="55">
        <f t="shared" ca="1" si="13"/>
        <v>14.843626075991812</v>
      </c>
      <c r="Y80" s="55">
        <f t="shared" ca="1" si="14"/>
        <v>-6.4221335914803781</v>
      </c>
      <c r="Z80">
        <f t="shared" ca="1" si="3"/>
        <v>64.783338527880673</v>
      </c>
      <c r="AA80">
        <f t="shared" ca="1" si="15"/>
        <v>0</v>
      </c>
      <c r="AB80">
        <f t="shared" ca="1" si="4"/>
        <v>0</v>
      </c>
      <c r="AC80">
        <f t="shared" ca="1" si="5"/>
        <v>0.94725064313233465</v>
      </c>
      <c r="AD80" s="83">
        <f ca="1"/>
        <v>45364</v>
      </c>
      <c r="AE80" s="55">
        <f t="shared" ca="1" si="20"/>
        <v>45364</v>
      </c>
      <c r="AF80" s="55">
        <f t="shared" ca="1" si="21"/>
        <v>34.499286862006088</v>
      </c>
      <c r="AG80" s="55">
        <f t="shared" ca="1" si="22"/>
        <v>17.248666327321892</v>
      </c>
      <c r="AH80" s="55">
        <f t="shared" ca="1" si="23"/>
        <v>0</v>
      </c>
      <c r="AI80" s="55">
        <f t="shared" ca="1" si="17"/>
        <v>0</v>
      </c>
      <c r="AJ80" s="55">
        <f t="shared" ca="1" si="18"/>
        <v>13.458590589208542</v>
      </c>
      <c r="AK80" s="55">
        <f t="shared" ca="1" si="19"/>
        <v>9.0998036984569399</v>
      </c>
    </row>
    <row r="81" spans="18:37">
      <c r="R81" s="83">
        <f ca="1"/>
        <v>45293</v>
      </c>
      <c r="S81" s="55">
        <f t="shared" ca="1" si="11"/>
        <v>45293</v>
      </c>
      <c r="T81" s="55">
        <f t="shared" ca="1" si="0"/>
        <v>34.225931461576046</v>
      </c>
      <c r="U81" s="55">
        <f t="shared" ca="1" si="1"/>
        <v>69.139142726828155</v>
      </c>
      <c r="V81" s="55">
        <f t="shared" ca="1" si="2"/>
        <v>0</v>
      </c>
      <c r="W81" s="55">
        <f t="shared" ca="1" si="12"/>
        <v>0</v>
      </c>
      <c r="X81" s="55">
        <f t="shared" ca="1" si="13"/>
        <v>15.045860527187337</v>
      </c>
      <c r="Y81" s="55">
        <f t="shared" ca="1" si="14"/>
        <v>-6.4117611208770215</v>
      </c>
      <c r="Z81">
        <f t="shared" ca="1" si="3"/>
        <v>60.702318285218702</v>
      </c>
      <c r="AA81">
        <f t="shared" ca="1" si="15"/>
        <v>0</v>
      </c>
      <c r="AB81">
        <f t="shared" ca="1" si="4"/>
        <v>0</v>
      </c>
      <c r="AC81">
        <f t="shared" ca="1" si="5"/>
        <v>0.94770911027816873</v>
      </c>
      <c r="AD81" s="83">
        <f ca="1"/>
        <v>45365</v>
      </c>
      <c r="AE81" s="55">
        <f t="shared" ca="1" si="20"/>
        <v>45365</v>
      </c>
      <c r="AF81" s="55">
        <f t="shared" ca="1" si="21"/>
        <v>33.888536794167912</v>
      </c>
      <c r="AG81" s="55">
        <f t="shared" ca="1" si="22"/>
        <v>18.062789975822767</v>
      </c>
      <c r="AH81" s="55">
        <f t="shared" ca="1" si="23"/>
        <v>0</v>
      </c>
      <c r="AI81" s="55">
        <f t="shared" ca="1" si="17"/>
        <v>0</v>
      </c>
      <c r="AJ81" s="55">
        <f t="shared" ca="1" si="18"/>
        <v>13.645865197789021</v>
      </c>
      <c r="AK81" s="55">
        <f t="shared" ca="1" si="19"/>
        <v>9.1159026705391568</v>
      </c>
    </row>
    <row r="82" spans="18:37">
      <c r="R82" s="83">
        <f ca="1"/>
        <v>45294</v>
      </c>
      <c r="S82" s="55">
        <f t="shared" ca="1" si="11"/>
        <v>45294</v>
      </c>
      <c r="T82" s="55">
        <f t="shared" ref="T82:T145" ca="1" si="27">VLOOKUP(S82,ModelOutputs,2,FALSE)</f>
        <v>31.187494367714422</v>
      </c>
      <c r="U82" s="55">
        <f t="shared" ref="U82:U145" ca="1" si="28">VLOOKUP(S82,ModelOutputs,7,FALSE)</f>
        <v>72.379090452512514</v>
      </c>
      <c r="V82" s="55">
        <f t="shared" ref="V82:V145" ca="1" si="29">VLOOKUP(S82,ModelOutputs,6,FALSE)</f>
        <v>0</v>
      </c>
      <c r="W82" s="55">
        <f t="shared" ca="1" si="12"/>
        <v>0</v>
      </c>
      <c r="X82" s="55">
        <f t="shared" ca="1" si="13"/>
        <v>15.236804377946434</v>
      </c>
      <c r="Y82" s="55">
        <f t="shared" ca="1" si="14"/>
        <v>-6.4011943398133866</v>
      </c>
      <c r="Z82">
        <f t="shared" ref="Z82:Z145" ca="1" si="30">VLOOKUP(S82,ModelOutputs,10,FALSE)*AWC</f>
        <v>56.729971394739792</v>
      </c>
      <c r="AA82">
        <f t="shared" ca="1" si="15"/>
        <v>0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0.94808628819727381</v>
      </c>
      <c r="AD82" s="83">
        <f ca="1"/>
        <v>45366</v>
      </c>
      <c r="AE82" s="55">
        <f t="shared" ca="1" si="20"/>
        <v>45366</v>
      </c>
      <c r="AF82" s="55">
        <f t="shared" ca="1" si="21"/>
        <v>33.238612975731122</v>
      </c>
      <c r="AG82" s="55">
        <f t="shared" ca="1" si="22"/>
        <v>18.91816566872874</v>
      </c>
      <c r="AH82" s="55">
        <f t="shared" ca="1" si="23"/>
        <v>0</v>
      </c>
      <c r="AI82" s="55">
        <f t="shared" ca="1" si="17"/>
        <v>0</v>
      </c>
      <c r="AJ82" s="55">
        <f t="shared" ca="1" si="18"/>
        <v>13.835229011904365</v>
      </c>
      <c r="AK82" s="55">
        <f t="shared" ca="1" si="19"/>
        <v>9.131990730892996</v>
      </c>
    </row>
    <row r="83" spans="18:37">
      <c r="R83" s="83">
        <f ca="1"/>
        <v>45295</v>
      </c>
      <c r="S83" s="55">
        <f t="shared" ref="S83:S146" ca="1" si="33">IF(R83&gt;1,R83,"")</f>
        <v>45295</v>
      </c>
      <c r="T83" s="55">
        <f t="shared" ca="1" si="27"/>
        <v>47.880970624134505</v>
      </c>
      <c r="U83" s="55">
        <f t="shared" ca="1" si="28"/>
        <v>75.741356493661414</v>
      </c>
      <c r="V83" s="55">
        <f t="shared" ca="1" si="29"/>
        <v>19.857636728494942</v>
      </c>
      <c r="W83" s="55">
        <f t="shared" ref="W83:W146" ca="1" si="34">-VLOOKUP(S83,ModelOutputs,9,FALSE)+W82</f>
        <v>0</v>
      </c>
      <c r="X83" s="55">
        <f t="shared" ref="X83:X146" ca="1" si="35">VLOOKUP(S83,ModelOutputs,5,FALSE)+X82</f>
        <v>15.424084528440488</v>
      </c>
      <c r="Y83" s="55">
        <f t="shared" ref="Y83:Y146" ca="1" si="36">VLOOKUP(S83,ModelOutputs,4,FALSE)+Y82</f>
        <v>-6.3903689212334038</v>
      </c>
      <c r="Z83">
        <f t="shared" ca="1" si="30"/>
        <v>53.253049828915259</v>
      </c>
      <c r="AA83">
        <f t="shared" ref="AA83:AA146" ca="1" si="37">VLOOKUP(S83,ModelOutputs,11,FALSE)+AA82</f>
        <v>0</v>
      </c>
      <c r="AB83">
        <f t="shared" ca="1" si="31"/>
        <v>0</v>
      </c>
      <c r="AC83">
        <f t="shared" ca="1" si="32"/>
        <v>0.94840687625875641</v>
      </c>
      <c r="AD83" s="83">
        <f ca="1"/>
        <v>45367</v>
      </c>
      <c r="AE83" s="55">
        <f t="shared" ca="1" si="20"/>
        <v>45367</v>
      </c>
      <c r="AF83" s="55">
        <f t="shared" ca="1" si="21"/>
        <v>32.551030774138354</v>
      </c>
      <c r="AG83" s="55">
        <f t="shared" ca="1" si="22"/>
        <v>19.808133801495643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14.022032601962104</v>
      </c>
      <c r="AK83" s="55">
        <f t="shared" ref="AK83:AK146" ca="1" si="40">VLOOKUP(AE83,ModelOutputs,4,FALSE)+AK82</f>
        <v>9.1475730720093864</v>
      </c>
    </row>
    <row r="84" spans="18:37">
      <c r="R84" s="83">
        <f ca="1"/>
        <v>45296</v>
      </c>
      <c r="S84" s="55">
        <f t="shared" ca="1" si="33"/>
        <v>45296</v>
      </c>
      <c r="T84" s="55">
        <f t="shared" ca="1" si="27"/>
        <v>44.759634568611638</v>
      </c>
      <c r="U84" s="55">
        <f t="shared" ca="1" si="28"/>
        <v>79.050011138200887</v>
      </c>
      <c r="V84" s="55">
        <f t="shared" ca="1" si="29"/>
        <v>0</v>
      </c>
      <c r="W84" s="55">
        <f t="shared" ca="1" si="34"/>
        <v>0</v>
      </c>
      <c r="X84" s="55">
        <f t="shared" ca="1" si="35"/>
        <v>15.600784846728088</v>
      </c>
      <c r="Y84" s="55">
        <f t="shared" ca="1" si="36"/>
        <v>-6.3797506505043966</v>
      </c>
      <c r="Z84">
        <f t="shared" ca="1" si="30"/>
        <v>50.715226088464895</v>
      </c>
      <c r="AA84">
        <f t="shared" ca="1" si="37"/>
        <v>0</v>
      </c>
      <c r="AB84">
        <f t="shared" ca="1" si="31"/>
        <v>0</v>
      </c>
      <c r="AC84">
        <f t="shared" ca="1" si="32"/>
        <v>0.94866617408951914</v>
      </c>
      <c r="AD84" s="83">
        <f ca="1"/>
        <v>45368</v>
      </c>
      <c r="AE84" s="55">
        <f t="shared" ca="1" si="20"/>
        <v>45368</v>
      </c>
      <c r="AF84" s="55">
        <f t="shared" ca="1" si="21"/>
        <v>31.824000102513239</v>
      </c>
      <c r="AG84" s="55">
        <f t="shared" ca="1" si="22"/>
        <v>20.730793329720562</v>
      </c>
      <c r="AH84" s="55">
        <f t="shared" ca="1" si="23"/>
        <v>0</v>
      </c>
      <c r="AI84" s="55">
        <f t="shared" ca="1" si="38"/>
        <v>0</v>
      </c>
      <c r="AJ84" s="55">
        <f t="shared" ca="1" si="39"/>
        <v>14.202989090515851</v>
      </c>
      <c r="AK84" s="55">
        <f t="shared" ca="1" si="40"/>
        <v>9.1622454400554449</v>
      </c>
    </row>
    <row r="85" spans="18:37">
      <c r="R85" s="83">
        <f ca="1"/>
        <v>45297</v>
      </c>
      <c r="S85" s="55">
        <f t="shared" ca="1" si="33"/>
        <v>45297</v>
      </c>
      <c r="T85" s="55">
        <f t="shared" ca="1" si="27"/>
        <v>41.569777520388079</v>
      </c>
      <c r="U85" s="55">
        <f t="shared" ca="1" si="28"/>
        <v>82.424872382902151</v>
      </c>
      <c r="V85" s="55">
        <f t="shared" ca="1" si="29"/>
        <v>0</v>
      </c>
      <c r="W85" s="55">
        <f t="shared" ca="1" si="34"/>
        <v>0</v>
      </c>
      <c r="X85" s="55">
        <f t="shared" ca="1" si="35"/>
        <v>15.775007617905521</v>
      </c>
      <c r="Y85" s="55">
        <f t="shared" ca="1" si="36"/>
        <v>-6.3689692252041237</v>
      </c>
      <c r="Z85">
        <f t="shared" ca="1" si="30"/>
        <v>48.77464640792568</v>
      </c>
      <c r="AA85">
        <f t="shared" ca="1" si="37"/>
        <v>0</v>
      </c>
      <c r="AB85">
        <f t="shared" ca="1" si="31"/>
        <v>0</v>
      </c>
      <c r="AC85">
        <f t="shared" ca="1" si="32"/>
        <v>0.94888464175634613</v>
      </c>
      <c r="AD85" s="83">
        <f ca="1"/>
        <v>45369</v>
      </c>
      <c r="AE85" s="55">
        <f t="shared" ref="AE85:AE148" ca="1" si="41">IF(AD85&gt;1,AD85,"")</f>
        <v>45369</v>
      </c>
      <c r="AF85" s="55">
        <f t="shared" ref="AF85:AF148" ca="1" si="42">VLOOKUP(AE85,ModelOutputs,2,FALSE)</f>
        <v>31.071741233467911</v>
      </c>
      <c r="AG85" s="55">
        <f t="shared" ref="AG85:AG148" ca="1" si="43">VLOOKUP(AE85,ModelOutputs,7,FALSE)</f>
        <v>21.666043492070344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14.372643578010024</v>
      </c>
      <c r="AK85" s="55">
        <f t="shared" ca="1" si="40"/>
        <v>9.1755822458657263</v>
      </c>
    </row>
    <row r="86" spans="18:37">
      <c r="R86" s="83">
        <f ca="1"/>
        <v>45298</v>
      </c>
      <c r="S86" s="55">
        <f t="shared" ca="1" si="33"/>
        <v>45298</v>
      </c>
      <c r="T86" s="55">
        <f t="shared" ca="1" si="27"/>
        <v>38.227558046432094</v>
      </c>
      <c r="U86" s="55">
        <f t="shared" ca="1" si="28"/>
        <v>85.953872513141008</v>
      </c>
      <c r="V86" s="55">
        <f t="shared" ca="1" si="29"/>
        <v>0</v>
      </c>
      <c r="W86" s="55">
        <f t="shared" ca="1" si="34"/>
        <v>0</v>
      </c>
      <c r="X86" s="55">
        <f t="shared" ca="1" si="35"/>
        <v>15.950749224160038</v>
      </c>
      <c r="Y86" s="55">
        <f t="shared" ca="1" si="36"/>
        <v>-6.3579301751757722</v>
      </c>
      <c r="Z86">
        <f t="shared" ca="1" si="30"/>
        <v>46.451545218886672</v>
      </c>
      <c r="AA86">
        <f t="shared" ca="1" si="37"/>
        <v>0</v>
      </c>
      <c r="AB86">
        <f t="shared" ca="1" si="31"/>
        <v>0</v>
      </c>
      <c r="AC86">
        <f t="shared" ca="1" si="32"/>
        <v>0.9490730790716384</v>
      </c>
      <c r="AD86" s="83">
        <f ca="1"/>
        <v>45370</v>
      </c>
      <c r="AE86" s="55">
        <f t="shared" ca="1" si="41"/>
        <v>45370</v>
      </c>
      <c r="AF86" s="55">
        <f t="shared" ca="1" si="42"/>
        <v>30.282982700834719</v>
      </c>
      <c r="AG86" s="55">
        <f t="shared" ca="1" si="43"/>
        <v>22.641014907941706</v>
      </c>
      <c r="AH86" s="55">
        <f t="shared" ca="1" si="44"/>
        <v>0</v>
      </c>
      <c r="AI86" s="55">
        <f t="shared" ca="1" si="38"/>
        <v>0</v>
      </c>
      <c r="AJ86" s="55">
        <f t="shared" ca="1" si="39"/>
        <v>14.545273997419002</v>
      </c>
      <c r="AK86" s="55">
        <f t="shared" ca="1" si="40"/>
        <v>9.1891647096949196</v>
      </c>
    </row>
    <row r="87" spans="18:37">
      <c r="R87" s="83">
        <f ca="1"/>
        <v>45299</v>
      </c>
      <c r="S87" s="55">
        <f t="shared" ca="1" si="33"/>
        <v>45299</v>
      </c>
      <c r="T87" s="55">
        <f t="shared" ca="1" si="27"/>
        <v>34.801802495378496</v>
      </c>
      <c r="U87" s="55">
        <f t="shared" ca="1" si="28"/>
        <v>89.570044366078093</v>
      </c>
      <c r="V87" s="55">
        <f t="shared" ca="1" si="29"/>
        <v>0</v>
      </c>
      <c r="W87" s="55">
        <f t="shared" ca="1" si="34"/>
        <v>0</v>
      </c>
      <c r="X87" s="55">
        <f t="shared" ca="1" si="35"/>
        <v>16.129504784197419</v>
      </c>
      <c r="Y87" s="55">
        <f t="shared" ca="1" si="36"/>
        <v>-6.3462694333296614</v>
      </c>
      <c r="Z87">
        <f t="shared" ca="1" si="30"/>
        <v>46.564999916092717</v>
      </c>
      <c r="AA87">
        <f t="shared" ca="1" si="37"/>
        <v>0</v>
      </c>
      <c r="AB87">
        <f t="shared" ca="1" si="31"/>
        <v>0</v>
      </c>
      <c r="AC87">
        <f t="shared" ca="1" si="32"/>
        <v>0.94923199687314697</v>
      </c>
      <c r="AD87" s="83">
        <f ca="1"/>
        <v>45371</v>
      </c>
      <c r="AE87" s="55">
        <f t="shared" ca="1" si="41"/>
        <v>45371</v>
      </c>
      <c r="AF87" s="55">
        <f t="shared" ca="1" si="42"/>
        <v>29.435614494592166</v>
      </c>
      <c r="AG87" s="55">
        <f t="shared" ca="1" si="43"/>
        <v>23.67028105780993</v>
      </c>
      <c r="AH87" s="55">
        <f t="shared" ca="1" si="44"/>
        <v>0</v>
      </c>
      <c r="AI87" s="55">
        <f t="shared" ca="1" si="38"/>
        <v>0</v>
      </c>
      <c r="AJ87" s="55">
        <f t="shared" ca="1" si="39"/>
        <v>14.714493300700564</v>
      </c>
      <c r="AK87" s="55">
        <f t="shared" ca="1" si="40"/>
        <v>9.2018433500390309</v>
      </c>
    </row>
    <row r="88" spans="18:37">
      <c r="R88" s="83">
        <f ca="1"/>
        <v>45300</v>
      </c>
      <c r="S88" s="55">
        <f t="shared" ca="1" si="33"/>
        <v>45300</v>
      </c>
      <c r="T88" s="55">
        <f t="shared" ca="1" si="27"/>
        <v>31.301157673425159</v>
      </c>
      <c r="U88" s="55">
        <f t="shared" ca="1" si="28"/>
        <v>93.266046952719833</v>
      </c>
      <c r="V88" s="55">
        <f t="shared" ca="1" si="29"/>
        <v>0</v>
      </c>
      <c r="W88" s="55">
        <f t="shared" ca="1" si="34"/>
        <v>0</v>
      </c>
      <c r="X88" s="55">
        <f t="shared" ca="1" si="35"/>
        <v>16.312432735532287</v>
      </c>
      <c r="Y88" s="55">
        <f t="shared" ca="1" si="36"/>
        <v>-6.3338396199761284</v>
      </c>
      <c r="Z88">
        <f t="shared" ca="1" si="30"/>
        <v>47.233210688265444</v>
      </c>
      <c r="AA88">
        <f t="shared" ca="1" si="37"/>
        <v>0</v>
      </c>
      <c r="AB88">
        <f t="shared" ca="1" si="31"/>
        <v>0</v>
      </c>
      <c r="AC88">
        <f t="shared" ca="1" si="32"/>
        <v>0.94936562559585602</v>
      </c>
      <c r="AD88" s="83">
        <f ca="1"/>
        <v>45372</v>
      </c>
      <c r="AE88" s="55">
        <f t="shared" ca="1" si="41"/>
        <v>45372</v>
      </c>
      <c r="AF88" s="55">
        <f t="shared" ca="1" si="42"/>
        <v>28.553890488327653</v>
      </c>
      <c r="AG88" s="55">
        <f t="shared" ca="1" si="43"/>
        <v>24.732813234953134</v>
      </c>
      <c r="AH88" s="55">
        <f t="shared" ca="1" si="44"/>
        <v>0</v>
      </c>
      <c r="AI88" s="55">
        <f t="shared" ca="1" si="38"/>
        <v>0</v>
      </c>
      <c r="AJ88" s="55">
        <f t="shared" ca="1" si="39"/>
        <v>14.882770415073301</v>
      </c>
      <c r="AK88" s="55">
        <f t="shared" ca="1" si="40"/>
        <v>9.2143744065449891</v>
      </c>
    </row>
    <row r="89" spans="18:37">
      <c r="R89" s="83">
        <f ca="1"/>
        <v>45301</v>
      </c>
      <c r="S89" s="55">
        <f t="shared" ca="1" si="33"/>
        <v>45301</v>
      </c>
      <c r="T89" s="55">
        <f t="shared" ca="1" si="27"/>
        <v>27.825228326565529</v>
      </c>
      <c r="U89" s="55">
        <f t="shared" ca="1" si="28"/>
        <v>96.930000000000092</v>
      </c>
      <c r="V89" s="55">
        <f t="shared" ca="1" si="29"/>
        <v>0</v>
      </c>
      <c r="W89" s="55">
        <f t="shared" ca="1" si="34"/>
        <v>0</v>
      </c>
      <c r="X89" s="55">
        <f t="shared" ca="1" si="35"/>
        <v>16.488472559216763</v>
      </c>
      <c r="Y89" s="55">
        <f t="shared" ca="1" si="36"/>
        <v>-6.3218557432399773</v>
      </c>
      <c r="Z89">
        <f t="shared" ca="1" si="30"/>
        <v>44.653738243955374</v>
      </c>
      <c r="AA89">
        <f t="shared" ca="1" si="37"/>
        <v>0</v>
      </c>
      <c r="AB89">
        <f t="shared" ca="1" si="31"/>
        <v>0</v>
      </c>
      <c r="AC89">
        <f t="shared" ca="1" si="32"/>
        <v>0.94947486029492256</v>
      </c>
      <c r="AD89" s="83">
        <f ca="1"/>
        <v>45373</v>
      </c>
      <c r="AE89" s="55">
        <f t="shared" ca="1" si="41"/>
        <v>45373</v>
      </c>
      <c r="AF89" s="55">
        <f t="shared" ca="1" si="42"/>
        <v>27.649802612973666</v>
      </c>
      <c r="AG89" s="55">
        <f t="shared" ca="1" si="43"/>
        <v>25.813996199653694</v>
      </c>
      <c r="AH89" s="55">
        <f t="shared" ca="1" si="44"/>
        <v>0</v>
      </c>
      <c r="AI89" s="55">
        <f t="shared" ca="1" si="38"/>
        <v>0</v>
      </c>
      <c r="AJ89" s="55">
        <f t="shared" ca="1" si="39"/>
        <v>15.047611599326007</v>
      </c>
      <c r="AK89" s="55">
        <f t="shared" ca="1" si="40"/>
        <v>9.226628311638855</v>
      </c>
    </row>
    <row r="90" spans="18:37">
      <c r="R90" s="83" t="e">
        <f ca="1"/>
        <v>#N/A</v>
      </c>
      <c r="S90" s="55" t="e">
        <f t="shared" ca="1" si="33"/>
        <v>#N/A</v>
      </c>
      <c r="T90" s="55" t="e">
        <f t="shared" ca="1" si="27"/>
        <v>#N/A</v>
      </c>
      <c r="U90" s="55" t="e">
        <f t="shared" ca="1" si="28"/>
        <v>#N/A</v>
      </c>
      <c r="V90" s="55" t="e">
        <f t="shared" ca="1" si="29"/>
        <v>#N/A</v>
      </c>
      <c r="W90" s="55" t="e">
        <f t="shared" ca="1" si="34"/>
        <v>#N/A</v>
      </c>
      <c r="X90" s="55" t="e">
        <f t="shared" ca="1" si="35"/>
        <v>#N/A</v>
      </c>
      <c r="Y90" s="55" t="e">
        <f t="shared" ca="1" si="36"/>
        <v>#N/A</v>
      </c>
      <c r="Z90" t="e">
        <f t="shared" ca="1" si="30"/>
        <v>#N/A</v>
      </c>
      <c r="AA90" t="e">
        <f t="shared" ca="1" si="37"/>
        <v>#N/A</v>
      </c>
      <c r="AB90" t="e">
        <f t="shared" ca="1" si="31"/>
        <v>#N/A</v>
      </c>
      <c r="AC90" t="e">
        <f t="shared" ca="1" si="32"/>
        <v>#N/A</v>
      </c>
      <c r="AD90" s="83">
        <f ca="1"/>
        <v>45374</v>
      </c>
      <c r="AE90" s="55">
        <f t="shared" ca="1" si="41"/>
        <v>45374</v>
      </c>
      <c r="AF90" s="55">
        <f t="shared" ca="1" si="42"/>
        <v>26.706993601711496</v>
      </c>
      <c r="AG90" s="55">
        <f t="shared" ca="1" si="43"/>
        <v>26.929519234035105</v>
      </c>
      <c r="AH90" s="55">
        <f t="shared" ca="1" si="44"/>
        <v>0</v>
      </c>
      <c r="AI90" s="55">
        <f t="shared" ca="1" si="38"/>
        <v>0</v>
      </c>
      <c r="AJ90" s="55">
        <f t="shared" ca="1" si="39"/>
        <v>15.208658841337307</v>
      </c>
      <c r="AK90" s="55">
        <f t="shared" ca="1" si="40"/>
        <v>9.2382950927467959</v>
      </c>
    </row>
    <row r="91" spans="18:37">
      <c r="R91" s="83" t="e">
        <f ca="1"/>
        <v>#N/A</v>
      </c>
      <c r="S91" s="55" t="e">
        <f t="shared" ca="1" si="33"/>
        <v>#N/A</v>
      </c>
      <c r="T91" s="55" t="e">
        <f t="shared" ca="1" si="27"/>
        <v>#N/A</v>
      </c>
      <c r="U91" s="55" t="e">
        <f t="shared" ca="1" si="28"/>
        <v>#N/A</v>
      </c>
      <c r="V91" s="55" t="e">
        <f t="shared" ca="1" si="29"/>
        <v>#N/A</v>
      </c>
      <c r="W91" s="55" t="e">
        <f t="shared" ca="1" si="34"/>
        <v>#N/A</v>
      </c>
      <c r="X91" s="55" t="e">
        <f t="shared" ca="1" si="35"/>
        <v>#N/A</v>
      </c>
      <c r="Y91" s="55" t="e">
        <f t="shared" ca="1" si="36"/>
        <v>#N/A</v>
      </c>
      <c r="Z91" t="e">
        <f t="shared" ca="1" si="30"/>
        <v>#N/A</v>
      </c>
      <c r="AA91" t="e">
        <f t="shared" ca="1" si="37"/>
        <v>#N/A</v>
      </c>
      <c r="AB91" t="e">
        <f t="shared" ca="1" si="31"/>
        <v>#N/A</v>
      </c>
      <c r="AC91" t="e">
        <f t="shared" ca="1" si="32"/>
        <v>#N/A</v>
      </c>
      <c r="AD91" s="83">
        <f ca="1"/>
        <v>45375</v>
      </c>
      <c r="AE91" s="55">
        <f t="shared" ca="1" si="41"/>
        <v>45375</v>
      </c>
      <c r="AF91" s="55">
        <f t="shared" ca="1" si="42"/>
        <v>25.720322638026698</v>
      </c>
      <c r="AG91" s="55">
        <f t="shared" ca="1" si="43"/>
        <v>28.085952532462397</v>
      </c>
      <c r="AH91" s="55">
        <f t="shared" ca="1" si="44"/>
        <v>0</v>
      </c>
      <c r="AI91" s="55">
        <f t="shared" ca="1" si="38"/>
        <v>0</v>
      </c>
      <c r="AJ91" s="55">
        <f t="shared" ca="1" si="39"/>
        <v>15.367239377749264</v>
      </c>
      <c r="AK91" s="55">
        <f t="shared" ca="1" si="40"/>
        <v>9.2494768910773306</v>
      </c>
    </row>
    <row r="92" spans="18:37">
      <c r="R92" s="83" t="e">
        <f ca="1"/>
        <v>#N/A</v>
      </c>
      <c r="S92" s="55" t="e">
        <f t="shared" ca="1" si="33"/>
        <v>#N/A</v>
      </c>
      <c r="T92" s="55" t="e">
        <f t="shared" ca="1" si="27"/>
        <v>#N/A</v>
      </c>
      <c r="U92" s="55" t="e">
        <f t="shared" ca="1" si="28"/>
        <v>#N/A</v>
      </c>
      <c r="V92" s="55" t="e">
        <f t="shared" ca="1" si="29"/>
        <v>#N/A</v>
      </c>
      <c r="W92" s="55" t="e">
        <f t="shared" ca="1" si="34"/>
        <v>#N/A</v>
      </c>
      <c r="X92" s="55" t="e">
        <f t="shared" ca="1" si="35"/>
        <v>#N/A</v>
      </c>
      <c r="Y92" s="55" t="e">
        <f t="shared" ca="1" si="36"/>
        <v>#N/A</v>
      </c>
      <c r="Z92" t="e">
        <f t="shared" ca="1" si="30"/>
        <v>#N/A</v>
      </c>
      <c r="AA92" t="e">
        <f t="shared" ca="1" si="37"/>
        <v>#N/A</v>
      </c>
      <c r="AB92" t="e">
        <f t="shared" ca="1" si="31"/>
        <v>#N/A</v>
      </c>
      <c r="AC92" t="e">
        <f t="shared" ca="1" si="32"/>
        <v>#N/A</v>
      </c>
      <c r="AD92" s="83">
        <f ca="1"/>
        <v>45376</v>
      </c>
      <c r="AE92" s="55">
        <f t="shared" ca="1" si="41"/>
        <v>45376</v>
      </c>
      <c r="AF92" s="55">
        <f t="shared" ca="1" si="42"/>
        <v>24.691112699820771</v>
      </c>
      <c r="AG92" s="55">
        <f t="shared" ca="1" si="43"/>
        <v>29.288985834282325</v>
      </c>
      <c r="AH92" s="55">
        <f t="shared" ca="1" si="44"/>
        <v>0</v>
      </c>
      <c r="AI92" s="55">
        <f t="shared" ca="1" si="38"/>
        <v>0</v>
      </c>
      <c r="AJ92" s="55">
        <f t="shared" ca="1" si="39"/>
        <v>15.529522979639491</v>
      </c>
      <c r="AK92" s="55">
        <f t="shared" ca="1" si="40"/>
        <v>9.2610166528011035</v>
      </c>
    </row>
    <row r="93" spans="18:37">
      <c r="R93" s="83" t="e">
        <f ca="1"/>
        <v>#N/A</v>
      </c>
      <c r="S93" s="55" t="e">
        <f t="shared" ca="1" si="33"/>
        <v>#N/A</v>
      </c>
      <c r="T93" s="55" t="e">
        <f t="shared" ca="1" si="27"/>
        <v>#N/A</v>
      </c>
      <c r="U93" s="55" t="e">
        <f t="shared" ca="1" si="28"/>
        <v>#N/A</v>
      </c>
      <c r="V93" s="55" t="e">
        <f t="shared" ca="1" si="29"/>
        <v>#N/A</v>
      </c>
      <c r="W93" s="55" t="e">
        <f t="shared" ca="1" si="34"/>
        <v>#N/A</v>
      </c>
      <c r="X93" s="55" t="e">
        <f t="shared" ca="1" si="35"/>
        <v>#N/A</v>
      </c>
      <c r="Y93" s="55" t="e">
        <f t="shared" ca="1" si="36"/>
        <v>#N/A</v>
      </c>
      <c r="Z93" t="e">
        <f t="shared" ca="1" si="30"/>
        <v>#N/A</v>
      </c>
      <c r="AA93" t="e">
        <f t="shared" ca="1" si="37"/>
        <v>#N/A</v>
      </c>
      <c r="AB93" t="e">
        <f t="shared" ca="1" si="31"/>
        <v>#N/A</v>
      </c>
      <c r="AC93" t="e">
        <f t="shared" ca="1" si="32"/>
        <v>#N/A</v>
      </c>
      <c r="AD93" s="83">
        <f ca="1"/>
        <v>45377</v>
      </c>
      <c r="AE93" s="55">
        <f t="shared" ca="1" si="41"/>
        <v>45377</v>
      </c>
      <c r="AF93" s="55">
        <f t="shared" ca="1" si="42"/>
        <v>23.605328553395776</v>
      </c>
      <c r="AG93" s="55">
        <f t="shared" ca="1" si="43"/>
        <v>30.544654747765712</v>
      </c>
      <c r="AH93" s="55">
        <f t="shared" ca="1" si="44"/>
        <v>0</v>
      </c>
      <c r="AI93" s="55">
        <f t="shared" ca="1" si="38"/>
        <v>0</v>
      </c>
      <c r="AJ93" s="55">
        <f t="shared" ca="1" si="39"/>
        <v>15.688598540149703</v>
      </c>
      <c r="AK93" s="55">
        <f t="shared" ca="1" si="40"/>
        <v>9.2718258593492848</v>
      </c>
    </row>
    <row r="94" spans="18:37">
      <c r="R94" s="83" t="e">
        <f ca="1"/>
        <v>#N/A</v>
      </c>
      <c r="S94" s="55" t="e">
        <f t="shared" ca="1" si="33"/>
        <v>#N/A</v>
      </c>
      <c r="T94" s="55" t="e">
        <f t="shared" ca="1" si="27"/>
        <v>#N/A</v>
      </c>
      <c r="U94" s="55" t="e">
        <f t="shared" ca="1" si="28"/>
        <v>#N/A</v>
      </c>
      <c r="V94" s="55" t="e">
        <f t="shared" ca="1" si="29"/>
        <v>#N/A</v>
      </c>
      <c r="W94" s="55" t="e">
        <f t="shared" ca="1" si="34"/>
        <v>#N/A</v>
      </c>
      <c r="X94" s="55" t="e">
        <f t="shared" ca="1" si="35"/>
        <v>#N/A</v>
      </c>
      <c r="Y94" s="55" t="e">
        <f t="shared" ca="1" si="36"/>
        <v>#N/A</v>
      </c>
      <c r="Z94" t="e">
        <f t="shared" ca="1" si="30"/>
        <v>#N/A</v>
      </c>
      <c r="AA94" t="e">
        <f t="shared" ca="1" si="37"/>
        <v>#N/A</v>
      </c>
      <c r="AB94" t="e">
        <f t="shared" ca="1" si="31"/>
        <v>#N/A</v>
      </c>
      <c r="AC94" t="e">
        <f t="shared" ca="1" si="32"/>
        <v>#N/A</v>
      </c>
      <c r="AD94" s="83">
        <f ca="1"/>
        <v>45378</v>
      </c>
      <c r="AE94" s="55">
        <f t="shared" ca="1" si="41"/>
        <v>45378</v>
      </c>
      <c r="AF94" s="55">
        <f t="shared" ca="1" si="42"/>
        <v>22.480272509264434</v>
      </c>
      <c r="AG94" s="55">
        <f t="shared" ca="1" si="43"/>
        <v>31.83858079678641</v>
      </c>
      <c r="AH94" s="55">
        <f t="shared" ca="1" si="44"/>
        <v>0</v>
      </c>
      <c r="AI94" s="55">
        <f t="shared" ca="1" si="38"/>
        <v>0</v>
      </c>
      <c r="AJ94" s="55">
        <f t="shared" ca="1" si="39"/>
        <v>15.846813133792251</v>
      </c>
      <c r="AK94" s="55">
        <f t="shared" ca="1" si="40"/>
        <v>9.2824812705960937</v>
      </c>
    </row>
    <row r="95" spans="18:37">
      <c r="R95" s="83" t="e">
        <f ca="1"/>
        <v>#N/A</v>
      </c>
      <c r="S95" s="55" t="e">
        <f t="shared" ca="1" si="33"/>
        <v>#N/A</v>
      </c>
      <c r="T95" s="55" t="e">
        <f t="shared" ca="1" si="27"/>
        <v>#N/A</v>
      </c>
      <c r="U95" s="55" t="e">
        <f t="shared" ca="1" si="28"/>
        <v>#N/A</v>
      </c>
      <c r="V95" s="55" t="e">
        <f t="shared" ca="1" si="29"/>
        <v>#N/A</v>
      </c>
      <c r="W95" s="55" t="e">
        <f t="shared" ca="1" si="34"/>
        <v>#N/A</v>
      </c>
      <c r="X95" s="55" t="e">
        <f t="shared" ca="1" si="35"/>
        <v>#N/A</v>
      </c>
      <c r="Y95" s="55" t="e">
        <f t="shared" ca="1" si="36"/>
        <v>#N/A</v>
      </c>
      <c r="Z95" t="e">
        <f t="shared" ca="1" si="30"/>
        <v>#N/A</v>
      </c>
      <c r="AA95" t="e">
        <f t="shared" ca="1" si="37"/>
        <v>#N/A</v>
      </c>
      <c r="AB95" t="e">
        <f t="shared" ca="1" si="31"/>
        <v>#N/A</v>
      </c>
      <c r="AC95" t="e">
        <f t="shared" ca="1" si="32"/>
        <v>#N/A</v>
      </c>
      <c r="AD95" s="83">
        <f ca="1"/>
        <v>45379</v>
      </c>
      <c r="AE95" s="55">
        <f t="shared" ca="1" si="41"/>
        <v>45379</v>
      </c>
      <c r="AF95" s="55">
        <f t="shared" ca="1" si="42"/>
        <v>21.299764327455662</v>
      </c>
      <c r="AG95" s="55">
        <f t="shared" ca="1" si="43"/>
        <v>33.191718182214913</v>
      </c>
      <c r="AH95" s="55">
        <f t="shared" ca="1" si="44"/>
        <v>0</v>
      </c>
      <c r="AI95" s="55">
        <f t="shared" ca="1" si="38"/>
        <v>0</v>
      </c>
      <c r="AJ95" s="55">
        <f t="shared" ca="1" si="39"/>
        <v>16.00857410370832</v>
      </c>
      <c r="AK95" s="55">
        <f t="shared" ca="1" si="40"/>
        <v>9.2933495042997531</v>
      </c>
    </row>
    <row r="96" spans="18:37">
      <c r="R96" s="83" t="e">
        <f ca="1"/>
        <v>#N/A</v>
      </c>
      <c r="S96" s="55" t="e">
        <f t="shared" ca="1" si="33"/>
        <v>#N/A</v>
      </c>
      <c r="T96" s="55" t="e">
        <f t="shared" ca="1" si="27"/>
        <v>#N/A</v>
      </c>
      <c r="U96" s="55" t="e">
        <f t="shared" ca="1" si="28"/>
        <v>#N/A</v>
      </c>
      <c r="V96" s="55" t="e">
        <f t="shared" ca="1" si="29"/>
        <v>#N/A</v>
      </c>
      <c r="W96" s="55" t="e">
        <f t="shared" ca="1" si="34"/>
        <v>#N/A</v>
      </c>
      <c r="X96" s="55" t="e">
        <f t="shared" ca="1" si="35"/>
        <v>#N/A</v>
      </c>
      <c r="Y96" s="55" t="e">
        <f t="shared" ca="1" si="36"/>
        <v>#N/A</v>
      </c>
      <c r="Z96" t="e">
        <f t="shared" ca="1" si="30"/>
        <v>#N/A</v>
      </c>
      <c r="AA96" t="e">
        <f t="shared" ca="1" si="37"/>
        <v>#N/A</v>
      </c>
      <c r="AB96" t="e">
        <f t="shared" ca="1" si="31"/>
        <v>#N/A</v>
      </c>
      <c r="AC96" t="e">
        <f t="shared" ca="1" si="32"/>
        <v>#N/A</v>
      </c>
      <c r="AD96" s="83">
        <f ca="1"/>
        <v>45380</v>
      </c>
      <c r="AE96" s="55">
        <f t="shared" ca="1" si="41"/>
        <v>45380</v>
      </c>
      <c r="AF96" s="55">
        <f t="shared" ca="1" si="42"/>
        <v>20.083455035465459</v>
      </c>
      <c r="AG96" s="55">
        <f t="shared" ca="1" si="43"/>
        <v>34.573448249184018</v>
      </c>
      <c r="AH96" s="55">
        <f t="shared" ca="1" si="44"/>
        <v>0</v>
      </c>
      <c r="AI96" s="55">
        <f t="shared" ca="1" si="38"/>
        <v>0</v>
      </c>
      <c r="AJ96" s="55">
        <f t="shared" ca="1" si="39"/>
        <v>16.163950630015915</v>
      </c>
      <c r="AK96" s="55">
        <f t="shared" ca="1" si="40"/>
        <v>9.3033937529710595</v>
      </c>
    </row>
    <row r="97" spans="18:37">
      <c r="R97" s="83" t="e">
        <f ca="1"/>
        <v>#N/A</v>
      </c>
      <c r="S97" s="55" t="e">
        <f t="shared" ca="1" si="33"/>
        <v>#N/A</v>
      </c>
      <c r="T97" s="55" t="e">
        <f t="shared" ca="1" si="27"/>
        <v>#N/A</v>
      </c>
      <c r="U97" s="55" t="e">
        <f t="shared" ca="1" si="28"/>
        <v>#N/A</v>
      </c>
      <c r="V97" s="55" t="e">
        <f t="shared" ca="1" si="29"/>
        <v>#N/A</v>
      </c>
      <c r="W97" s="55" t="e">
        <f t="shared" ca="1" si="34"/>
        <v>#N/A</v>
      </c>
      <c r="X97" s="55" t="e">
        <f t="shared" ca="1" si="35"/>
        <v>#N/A</v>
      </c>
      <c r="Y97" s="55" t="e">
        <f t="shared" ca="1" si="36"/>
        <v>#N/A</v>
      </c>
      <c r="Z97" t="e">
        <f t="shared" ca="1" si="30"/>
        <v>#N/A</v>
      </c>
      <c r="AA97" t="e">
        <f t="shared" ca="1" si="37"/>
        <v>#N/A</v>
      </c>
      <c r="AB97" t="e">
        <f t="shared" ca="1" si="31"/>
        <v>#N/A</v>
      </c>
      <c r="AC97" t="e">
        <f t="shared" ca="1" si="32"/>
        <v>#N/A</v>
      </c>
      <c r="AD97" s="83">
        <f ca="1"/>
        <v>45381</v>
      </c>
      <c r="AE97" s="55">
        <f t="shared" ca="1" si="41"/>
        <v>45381</v>
      </c>
      <c r="AF97" s="55">
        <f t="shared" ca="1" si="42"/>
        <v>18.839930129151426</v>
      </c>
      <c r="AG97" s="55">
        <f t="shared" ca="1" si="43"/>
        <v>35.981660013361051</v>
      </c>
      <c r="AH97" s="55">
        <f t="shared" ca="1" si="44"/>
        <v>0</v>
      </c>
      <c r="AI97" s="55">
        <f t="shared" ca="1" si="38"/>
        <v>0</v>
      </c>
      <c r="AJ97" s="55">
        <f t="shared" ca="1" si="39"/>
        <v>16.31856267231862</v>
      </c>
      <c r="AK97" s="55">
        <f t="shared" ca="1" si="40"/>
        <v>9.3134685685313556</v>
      </c>
    </row>
    <row r="98" spans="18:37">
      <c r="R98" s="83" t="e">
        <f ca="1"/>
        <v>#N/A</v>
      </c>
      <c r="S98" s="55" t="e">
        <f t="shared" ca="1" si="33"/>
        <v>#N/A</v>
      </c>
      <c r="T98" s="55" t="e">
        <f t="shared" ca="1" si="27"/>
        <v>#N/A</v>
      </c>
      <c r="U98" s="55" t="e">
        <f t="shared" ca="1" si="28"/>
        <v>#N/A</v>
      </c>
      <c r="V98" s="55" t="e">
        <f t="shared" ca="1" si="29"/>
        <v>#N/A</v>
      </c>
      <c r="W98" s="55" t="e">
        <f t="shared" ca="1" si="34"/>
        <v>#N/A</v>
      </c>
      <c r="X98" s="55" t="e">
        <f t="shared" ca="1" si="35"/>
        <v>#N/A</v>
      </c>
      <c r="Y98" s="55" t="e">
        <f t="shared" ca="1" si="36"/>
        <v>#N/A</v>
      </c>
      <c r="Z98" t="e">
        <f t="shared" ca="1" si="30"/>
        <v>#N/A</v>
      </c>
      <c r="AA98" t="e">
        <f t="shared" ca="1" si="37"/>
        <v>#N/A</v>
      </c>
      <c r="AB98" t="e">
        <f t="shared" ca="1" si="31"/>
        <v>#N/A</v>
      </c>
      <c r="AC98" t="e">
        <f t="shared" ca="1" si="32"/>
        <v>#N/A</v>
      </c>
      <c r="AD98" s="83">
        <f ca="1"/>
        <v>45382</v>
      </c>
      <c r="AE98" s="55">
        <f t="shared" ca="1" si="41"/>
        <v>45382</v>
      </c>
      <c r="AF98" s="55">
        <f t="shared" ca="1" si="42"/>
        <v>17.57224890378922</v>
      </c>
      <c r="AG98" s="55">
        <f t="shared" ca="1" si="43"/>
        <v>37.408202542348121</v>
      </c>
      <c r="AH98" s="55">
        <f t="shared" ca="1" si="44"/>
        <v>0</v>
      </c>
      <c r="AI98" s="55">
        <f t="shared" ca="1" si="38"/>
        <v>0</v>
      </c>
      <c r="AJ98" s="55">
        <f t="shared" ca="1" si="39"/>
        <v>16.467900940518419</v>
      </c>
      <c r="AK98" s="55">
        <f t="shared" ca="1" si="40"/>
        <v>9.3229916039564209</v>
      </c>
    </row>
    <row r="99" spans="18:37">
      <c r="R99" s="83" t="e">
        <f ca="1"/>
        <v>#N/A</v>
      </c>
      <c r="S99" s="55" t="e">
        <f t="shared" ca="1" si="33"/>
        <v>#N/A</v>
      </c>
      <c r="T99" s="55" t="e">
        <f t="shared" ca="1" si="27"/>
        <v>#N/A</v>
      </c>
      <c r="U99" s="55" t="e">
        <f t="shared" ca="1" si="28"/>
        <v>#N/A</v>
      </c>
      <c r="V99" s="55" t="e">
        <f t="shared" ca="1" si="29"/>
        <v>#N/A</v>
      </c>
      <c r="W99" s="55" t="e">
        <f t="shared" ca="1" si="34"/>
        <v>#N/A</v>
      </c>
      <c r="X99" s="55" t="e">
        <f t="shared" ca="1" si="35"/>
        <v>#N/A</v>
      </c>
      <c r="Y99" s="55" t="e">
        <f t="shared" ca="1" si="36"/>
        <v>#N/A</v>
      </c>
      <c r="Z99" t="e">
        <f t="shared" ca="1" si="30"/>
        <v>#N/A</v>
      </c>
      <c r="AA99" t="e">
        <f t="shared" ca="1" si="37"/>
        <v>#N/A</v>
      </c>
      <c r="AB99" t="e">
        <f t="shared" ca="1" si="31"/>
        <v>#N/A</v>
      </c>
      <c r="AC99" t="e">
        <f t="shared" ca="1" si="32"/>
        <v>#N/A</v>
      </c>
      <c r="AD99" s="83">
        <f ca="1"/>
        <v>45383</v>
      </c>
      <c r="AE99" s="55">
        <f t="shared" ca="1" si="41"/>
        <v>45383</v>
      </c>
      <c r="AF99" s="55">
        <f t="shared" ca="1" si="42"/>
        <v>16.272188725303199</v>
      </c>
      <c r="AG99" s="55">
        <f t="shared" ca="1" si="43"/>
        <v>38.869036920387451</v>
      </c>
      <c r="AH99" s="55">
        <f t="shared" ca="1" si="44"/>
        <v>0</v>
      </c>
      <c r="AI99" s="55">
        <f t="shared" ca="1" si="38"/>
        <v>0</v>
      </c>
      <c r="AJ99" s="55">
        <f t="shared" ca="1" si="39"/>
        <v>16.618897320801569</v>
      </c>
      <c r="AK99" s="55">
        <f t="shared" ca="1" si="40"/>
        <v>9.3327694232265799</v>
      </c>
    </row>
    <row r="100" spans="18:37">
      <c r="R100" s="83" t="e">
        <f ca="1"/>
        <v>#N/A</v>
      </c>
      <c r="S100" s="55" t="e">
        <f t="shared" ca="1" si="33"/>
        <v>#N/A</v>
      </c>
      <c r="T100" s="55" t="e">
        <f t="shared" ca="1" si="27"/>
        <v>#N/A</v>
      </c>
      <c r="U100" s="55" t="e">
        <f t="shared" ca="1" si="28"/>
        <v>#N/A</v>
      </c>
      <c r="V100" s="55" t="e">
        <f t="shared" ca="1" si="29"/>
        <v>#N/A</v>
      </c>
      <c r="W100" s="55" t="e">
        <f t="shared" ca="1" si="34"/>
        <v>#N/A</v>
      </c>
      <c r="X100" s="55" t="e">
        <f t="shared" ca="1" si="35"/>
        <v>#N/A</v>
      </c>
      <c r="Y100" s="55" t="e">
        <f t="shared" ca="1" si="36"/>
        <v>#N/A</v>
      </c>
      <c r="Z100" t="e">
        <f t="shared" ca="1" si="30"/>
        <v>#N/A</v>
      </c>
      <c r="AA100" t="e">
        <f t="shared" ca="1" si="37"/>
        <v>#N/A</v>
      </c>
      <c r="AB100" t="e">
        <f t="shared" ca="1" si="31"/>
        <v>#N/A</v>
      </c>
      <c r="AC100" t="e">
        <f t="shared" ca="1" si="32"/>
        <v>#N/A</v>
      </c>
      <c r="AD100" s="83">
        <f ca="1"/>
        <v>45384</v>
      </c>
      <c r="AE100" s="55">
        <f t="shared" ca="1" si="41"/>
        <v>45384</v>
      </c>
      <c r="AF100" s="55">
        <f t="shared" ca="1" si="42"/>
        <v>14.91867693870012</v>
      </c>
      <c r="AG100" s="55">
        <f t="shared" ca="1" si="43"/>
        <v>40.386407617688192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16.772812943857499</v>
      </c>
      <c r="AK100" s="55">
        <f t="shared" ca="1" si="40"/>
        <v>9.3427127108683123</v>
      </c>
    </row>
    <row r="101" spans="18:37">
      <c r="R101" s="83" t="e">
        <f ca="1"/>
        <v>#N/A</v>
      </c>
      <c r="S101" s="55" t="e">
        <f t="shared" ca="1" si="33"/>
        <v>#N/A</v>
      </c>
      <c r="T101" s="55" t="e">
        <f t="shared" ca="1" si="27"/>
        <v>#N/A</v>
      </c>
      <c r="U101" s="55" t="e">
        <f t="shared" ca="1" si="28"/>
        <v>#N/A</v>
      </c>
      <c r="V101" s="55" t="e">
        <f t="shared" ca="1" si="29"/>
        <v>#N/A</v>
      </c>
      <c r="W101" s="55" t="e">
        <f t="shared" ca="1" si="34"/>
        <v>#N/A</v>
      </c>
      <c r="X101" s="55" t="e">
        <f t="shared" ca="1" si="35"/>
        <v>#N/A</v>
      </c>
      <c r="Y101" s="55" t="e">
        <f t="shared" ca="1" si="36"/>
        <v>#N/A</v>
      </c>
      <c r="Z101" t="e">
        <f t="shared" ca="1" si="30"/>
        <v>#N/A</v>
      </c>
      <c r="AA101" t="e">
        <f t="shared" ca="1" si="37"/>
        <v>#N/A</v>
      </c>
      <c r="AB101" t="e">
        <f t="shared" ca="1" si="31"/>
        <v>#N/A</v>
      </c>
      <c r="AC101" t="e">
        <f t="shared" ca="1" si="32"/>
        <v>#N/A</v>
      </c>
      <c r="AD101" s="83">
        <f ca="1"/>
        <v>45385</v>
      </c>
      <c r="AE101" s="55">
        <f t="shared" ca="1" si="41"/>
        <v>45385</v>
      </c>
      <c r="AF101" s="55">
        <f t="shared" ca="1" si="42"/>
        <v>13.551859991965564</v>
      </c>
      <c r="AG101" s="55">
        <f t="shared" ca="1" si="43"/>
        <v>41.908689475840163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16.919095186604281</v>
      </c>
      <c r="AK101" s="55">
        <f t="shared" ca="1" si="40"/>
        <v>9.351895379538945</v>
      </c>
    </row>
    <row r="102" spans="18:37">
      <c r="R102" s="83" t="e">
        <f ca="1"/>
        <v>#N/A</v>
      </c>
      <c r="S102" s="55" t="e">
        <f t="shared" ca="1" si="33"/>
        <v>#N/A</v>
      </c>
      <c r="T102" s="55" t="e">
        <f t="shared" ca="1" si="27"/>
        <v>#N/A</v>
      </c>
      <c r="U102" s="55" t="e">
        <f t="shared" ca="1" si="28"/>
        <v>#N/A</v>
      </c>
      <c r="V102" s="55" t="e">
        <f t="shared" ca="1" si="29"/>
        <v>#N/A</v>
      </c>
      <c r="W102" s="55" t="e">
        <f t="shared" ca="1" si="34"/>
        <v>#N/A</v>
      </c>
      <c r="X102" s="55" t="e">
        <f t="shared" ca="1" si="35"/>
        <v>#N/A</v>
      </c>
      <c r="Y102" s="55" t="e">
        <f t="shared" ca="1" si="36"/>
        <v>#N/A</v>
      </c>
      <c r="Z102" t="e">
        <f t="shared" ca="1" si="30"/>
        <v>#N/A</v>
      </c>
      <c r="AA102" t="e">
        <f t="shared" ca="1" si="37"/>
        <v>#N/A</v>
      </c>
      <c r="AB102" t="e">
        <f t="shared" ca="1" si="31"/>
        <v>#N/A</v>
      </c>
      <c r="AC102" t="e">
        <f t="shared" ca="1" si="32"/>
        <v>#N/A</v>
      </c>
      <c r="AD102" s="83">
        <f ca="1"/>
        <v>45386</v>
      </c>
      <c r="AE102" s="55">
        <f t="shared" ca="1" si="41"/>
        <v>45386</v>
      </c>
      <c r="AF102" s="55">
        <f t="shared" ca="1" si="42"/>
        <v>12.142702415843864</v>
      </c>
      <c r="AG102" s="55">
        <f t="shared" ca="1" si="43"/>
        <v>43.471020406190362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17.063435601465763</v>
      </c>
      <c r="AK102" s="55">
        <f t="shared" ca="1" si="40"/>
        <v>9.3607283189059665</v>
      </c>
    </row>
    <row r="103" spans="18:37">
      <c r="R103" s="83" t="e">
        <f ca="1"/>
        <v>#N/A</v>
      </c>
      <c r="S103" s="55" t="e">
        <f t="shared" ca="1" si="33"/>
        <v>#N/A</v>
      </c>
      <c r="T103" s="55" t="e">
        <f t="shared" ca="1" si="27"/>
        <v>#N/A</v>
      </c>
      <c r="U103" s="55" t="e">
        <f t="shared" ca="1" si="28"/>
        <v>#N/A</v>
      </c>
      <c r="V103" s="55" t="e">
        <f t="shared" ca="1" si="29"/>
        <v>#N/A</v>
      </c>
      <c r="W103" s="55" t="e">
        <f t="shared" ca="1" si="34"/>
        <v>#N/A</v>
      </c>
      <c r="X103" s="55" t="e">
        <f t="shared" ca="1" si="35"/>
        <v>#N/A</v>
      </c>
      <c r="Y103" s="55" t="e">
        <f t="shared" ca="1" si="36"/>
        <v>#N/A</v>
      </c>
      <c r="Z103" t="e">
        <f t="shared" ca="1" si="30"/>
        <v>#N/A</v>
      </c>
      <c r="AA103" t="e">
        <f t="shared" ca="1" si="37"/>
        <v>#N/A</v>
      </c>
      <c r="AB103" t="e">
        <f t="shared" ca="1" si="31"/>
        <v>#N/A</v>
      </c>
      <c r="AC103" t="e">
        <f t="shared" ca="1" si="32"/>
        <v>#N/A</v>
      </c>
      <c r="AD103" s="83">
        <f ca="1"/>
        <v>45387</v>
      </c>
      <c r="AE103" s="55">
        <f t="shared" ca="1" si="41"/>
        <v>45387</v>
      </c>
      <c r="AF103" s="55">
        <f t="shared" ca="1" si="42"/>
        <v>10.694368606184131</v>
      </c>
      <c r="AG103" s="55">
        <f t="shared" ca="1" si="43"/>
        <v>45.075035472023949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17.210045466749989</v>
      </c>
      <c r="AK103" s="55">
        <f t="shared" ca="1" si="40"/>
        <v>9.3697997097955916</v>
      </c>
    </row>
    <row r="104" spans="18:37">
      <c r="R104" s="83" t="e">
        <f ca="1"/>
        <v>#N/A</v>
      </c>
      <c r="S104" s="55" t="e">
        <f t="shared" ca="1" si="33"/>
        <v>#N/A</v>
      </c>
      <c r="T104" s="55" t="e">
        <f t="shared" ca="1" si="27"/>
        <v>#N/A</v>
      </c>
      <c r="U104" s="55" t="e">
        <f t="shared" ca="1" si="28"/>
        <v>#N/A</v>
      </c>
      <c r="V104" s="55" t="e">
        <f t="shared" ca="1" si="29"/>
        <v>#N/A</v>
      </c>
      <c r="W104" s="55" t="e">
        <f t="shared" ca="1" si="34"/>
        <v>#N/A</v>
      </c>
      <c r="X104" s="55" t="e">
        <f t="shared" ca="1" si="35"/>
        <v>#N/A</v>
      </c>
      <c r="Y104" s="55" t="e">
        <f t="shared" ca="1" si="36"/>
        <v>#N/A</v>
      </c>
      <c r="Z104" t="e">
        <f t="shared" ca="1" si="30"/>
        <v>#N/A</v>
      </c>
      <c r="AA104" t="e">
        <f t="shared" ca="1" si="37"/>
        <v>#N/A</v>
      </c>
      <c r="AB104" t="e">
        <f t="shared" ca="1" si="31"/>
        <v>#N/A</v>
      </c>
      <c r="AC104" t="e">
        <f t="shared" ca="1" si="32"/>
        <v>#N/A</v>
      </c>
      <c r="AD104" s="83">
        <f ca="1"/>
        <v>45388</v>
      </c>
      <c r="AE104" s="55">
        <f t="shared" ca="1" si="41"/>
        <v>45388</v>
      </c>
      <c r="AF104" s="55">
        <f t="shared" ca="1" si="42"/>
        <v>9.2087243399405843</v>
      </c>
      <c r="AG104" s="55">
        <f t="shared" ca="1" si="43"/>
        <v>46.715554938614204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17.355983371540564</v>
      </c>
      <c r="AK104" s="55">
        <f t="shared" ca="1" si="40"/>
        <v>9.3787370053517272</v>
      </c>
    </row>
    <row r="105" spans="18:37">
      <c r="R105" s="83" t="e">
        <f ca="1"/>
        <v>#N/A</v>
      </c>
      <c r="S105" s="55" t="e">
        <f t="shared" ca="1" si="33"/>
        <v>#N/A</v>
      </c>
      <c r="T105" s="55" t="e">
        <f t="shared" ca="1" si="27"/>
        <v>#N/A</v>
      </c>
      <c r="U105" s="55" t="e">
        <f t="shared" ca="1" si="28"/>
        <v>#N/A</v>
      </c>
      <c r="V105" s="55" t="e">
        <f t="shared" ca="1" si="29"/>
        <v>#N/A</v>
      </c>
      <c r="W105" s="55" t="e">
        <f t="shared" ca="1" si="34"/>
        <v>#N/A</v>
      </c>
      <c r="X105" s="55" t="e">
        <f t="shared" ca="1" si="35"/>
        <v>#N/A</v>
      </c>
      <c r="Y105" s="55" t="e">
        <f t="shared" ca="1" si="36"/>
        <v>#N/A</v>
      </c>
      <c r="Z105" t="e">
        <f t="shared" ca="1" si="30"/>
        <v>#N/A</v>
      </c>
      <c r="AA105" t="e">
        <f t="shared" ca="1" si="37"/>
        <v>#N/A</v>
      </c>
      <c r="AB105" t="e">
        <f t="shared" ca="1" si="31"/>
        <v>#N/A</v>
      </c>
      <c r="AC105" t="e">
        <f t="shared" ca="1" si="32"/>
        <v>#N/A</v>
      </c>
      <c r="AD105" s="83">
        <f ca="1"/>
        <v>45389</v>
      </c>
      <c r="AE105" s="55">
        <f t="shared" ca="1" si="41"/>
        <v>45389</v>
      </c>
      <c r="AF105" s="55">
        <f t="shared" ca="1" si="42"/>
        <v>7.7085305265352826</v>
      </c>
      <c r="AG105" s="55">
        <f t="shared" ca="1" si="43"/>
        <v>48.36948552666918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17.500770794963667</v>
      </c>
      <c r="AK105" s="55">
        <f t="shared" ca="1" si="40"/>
        <v>9.387686356578298</v>
      </c>
    </row>
    <row r="106" spans="18:37">
      <c r="R106" s="83" t="e">
        <f ca="1"/>
        <v>#N/A</v>
      </c>
      <c r="S106" s="55" t="e">
        <f t="shared" ca="1" si="33"/>
        <v>#N/A</v>
      </c>
      <c r="T106" s="55" t="e">
        <f t="shared" ca="1" si="27"/>
        <v>#N/A</v>
      </c>
      <c r="U106" s="55" t="e">
        <f t="shared" ca="1" si="28"/>
        <v>#N/A</v>
      </c>
      <c r="V106" s="55" t="e">
        <f t="shared" ca="1" si="29"/>
        <v>#N/A</v>
      </c>
      <c r="W106" s="55" t="e">
        <f t="shared" ca="1" si="34"/>
        <v>#N/A</v>
      </c>
      <c r="X106" s="55" t="e">
        <f t="shared" ca="1" si="35"/>
        <v>#N/A</v>
      </c>
      <c r="Y106" s="55" t="e">
        <f t="shared" ca="1" si="36"/>
        <v>#N/A</v>
      </c>
      <c r="Z106" t="e">
        <f t="shared" ca="1" si="30"/>
        <v>#N/A</v>
      </c>
      <c r="AA106" t="e">
        <f t="shared" ca="1" si="37"/>
        <v>#N/A</v>
      </c>
      <c r="AB106" t="e">
        <f t="shared" ca="1" si="31"/>
        <v>#N/A</v>
      </c>
      <c r="AC106" t="e">
        <f t="shared" ca="1" si="32"/>
        <v>#N/A</v>
      </c>
      <c r="AD106" s="83">
        <f ca="1"/>
        <v>45390</v>
      </c>
      <c r="AE106" s="55">
        <f t="shared" ca="1" si="41"/>
        <v>45390</v>
      </c>
      <c r="AF106" s="55">
        <f t="shared" ca="1" si="42"/>
        <v>6.2043465255665495</v>
      </c>
      <c r="AG106" s="55">
        <f t="shared" ca="1" si="43"/>
        <v>50.030678066520849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17.648291548349011</v>
      </c>
      <c r="AK106" s="55">
        <f t="shared" ca="1" si="40"/>
        <v>9.3971741420758903</v>
      </c>
    </row>
    <row r="107" spans="18:37">
      <c r="R107" s="83" t="e">
        <f ca="1"/>
        <v>#N/A</v>
      </c>
      <c r="S107" s="55" t="e">
        <f t="shared" ca="1" si="33"/>
        <v>#N/A</v>
      </c>
      <c r="T107" s="55" t="e">
        <f t="shared" ca="1" si="27"/>
        <v>#N/A</v>
      </c>
      <c r="U107" s="55" t="e">
        <f t="shared" ca="1" si="28"/>
        <v>#N/A</v>
      </c>
      <c r="V107" s="55" t="e">
        <f t="shared" ca="1" si="29"/>
        <v>#N/A</v>
      </c>
      <c r="W107" s="55" t="e">
        <f t="shared" ca="1" si="34"/>
        <v>#N/A</v>
      </c>
      <c r="X107" s="55" t="e">
        <f t="shared" ca="1" si="35"/>
        <v>#N/A</v>
      </c>
      <c r="Y107" s="55" t="e">
        <f t="shared" ca="1" si="36"/>
        <v>#N/A</v>
      </c>
      <c r="Z107" t="e">
        <f t="shared" ca="1" si="30"/>
        <v>#N/A</v>
      </c>
      <c r="AA107" t="e">
        <f t="shared" ca="1" si="37"/>
        <v>#N/A</v>
      </c>
      <c r="AB107" t="e">
        <f t="shared" ca="1" si="31"/>
        <v>#N/A</v>
      </c>
      <c r="AC107" t="e">
        <f t="shared" ca="1" si="32"/>
        <v>#N/A</v>
      </c>
      <c r="AD107" s="83">
        <f ca="1"/>
        <v>45391</v>
      </c>
      <c r="AE107" s="55">
        <f t="shared" ca="1" si="41"/>
        <v>45391</v>
      </c>
      <c r="AF107" s="55">
        <f t="shared" ca="1" si="42"/>
        <v>4.6734534193426214</v>
      </c>
      <c r="AG107" s="55">
        <f t="shared" ca="1" si="43"/>
        <v>51.718299116005987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17.795576029587057</v>
      </c>
      <c r="AK107" s="55">
        <f t="shared" ca="1" si="40"/>
        <v>9.4066176040990541</v>
      </c>
    </row>
    <row r="108" spans="18:37">
      <c r="R108" s="83" t="e">
        <f ca="1"/>
        <v>#N/A</v>
      </c>
      <c r="S108" s="55" t="e">
        <f t="shared" ca="1" si="33"/>
        <v>#N/A</v>
      </c>
      <c r="T108" s="55" t="e">
        <f t="shared" ca="1" si="27"/>
        <v>#N/A</v>
      </c>
      <c r="U108" s="55" t="e">
        <f t="shared" ca="1" si="28"/>
        <v>#N/A</v>
      </c>
      <c r="V108" s="55" t="e">
        <f t="shared" ca="1" si="29"/>
        <v>#N/A</v>
      </c>
      <c r="W108" s="55" t="e">
        <f t="shared" ca="1" si="34"/>
        <v>#N/A</v>
      </c>
      <c r="X108" s="55" t="e">
        <f t="shared" ca="1" si="35"/>
        <v>#N/A</v>
      </c>
      <c r="Y108" s="55" t="e">
        <f t="shared" ca="1" si="36"/>
        <v>#N/A</v>
      </c>
      <c r="Z108" t="e">
        <f t="shared" ca="1" si="30"/>
        <v>#N/A</v>
      </c>
      <c r="AA108" t="e">
        <f t="shared" ca="1" si="37"/>
        <v>#N/A</v>
      </c>
      <c r="AB108" t="e">
        <f t="shared" ca="1" si="31"/>
        <v>#N/A</v>
      </c>
      <c r="AC108" t="e">
        <f t="shared" ca="1" si="32"/>
        <v>#N/A</v>
      </c>
      <c r="AD108" s="83">
        <f ca="1"/>
        <v>45392</v>
      </c>
      <c r="AE108" s="55">
        <f t="shared" ca="1" si="41"/>
        <v>45392</v>
      </c>
      <c r="AF108" s="55">
        <f t="shared" ca="1" si="42"/>
        <v>3.1344809889742029</v>
      </c>
      <c r="AG108" s="55">
        <f t="shared" ca="1" si="43"/>
        <v>53.41125104288335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17.94029774526242</v>
      </c>
      <c r="AK108" s="55">
        <f t="shared" ca="1" si="40"/>
        <v>9.4158753849326366</v>
      </c>
    </row>
    <row r="109" spans="18:37">
      <c r="R109" s="83" t="e">
        <f ca="1"/>
        <v>#N/A</v>
      </c>
      <c r="S109" s="55" t="e">
        <f t="shared" ca="1" si="33"/>
        <v>#N/A</v>
      </c>
      <c r="T109" s="55" t="e">
        <f t="shared" ca="1" si="27"/>
        <v>#N/A</v>
      </c>
      <c r="U109" s="55" t="e">
        <f t="shared" ca="1" si="28"/>
        <v>#N/A</v>
      </c>
      <c r="V109" s="55" t="e">
        <f t="shared" ca="1" si="29"/>
        <v>#N/A</v>
      </c>
      <c r="W109" s="55" t="e">
        <f t="shared" ca="1" si="34"/>
        <v>#N/A</v>
      </c>
      <c r="X109" s="55" t="e">
        <f t="shared" ca="1" si="35"/>
        <v>#N/A</v>
      </c>
      <c r="Y109" s="55" t="e">
        <f t="shared" ca="1" si="36"/>
        <v>#N/A</v>
      </c>
      <c r="Z109" t="e">
        <f t="shared" ca="1" si="30"/>
        <v>#N/A</v>
      </c>
      <c r="AA109" t="e">
        <f t="shared" ca="1" si="37"/>
        <v>#N/A</v>
      </c>
      <c r="AB109" t="e">
        <f t="shared" ca="1" si="31"/>
        <v>#N/A</v>
      </c>
      <c r="AC109" t="e">
        <f t="shared" ca="1" si="32"/>
        <v>#N/A</v>
      </c>
      <c r="AD109" s="83">
        <f ca="1"/>
        <v>45393</v>
      </c>
      <c r="AE109" s="55">
        <f t="shared" ca="1" si="41"/>
        <v>45393</v>
      </c>
      <c r="AF109" s="55">
        <f t="shared" ca="1" si="42"/>
        <v>1.560814129526539</v>
      </c>
      <c r="AG109" s="55">
        <f t="shared" ca="1" si="43"/>
        <v>55.144415731536725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18.090073983832454</v>
      </c>
      <c r="AK109" s="55">
        <f t="shared" ca="1" si="40"/>
        <v>9.4255969755683147</v>
      </c>
    </row>
    <row r="110" spans="18:37">
      <c r="R110" s="83" t="e">
        <f ca="1"/>
        <v>#N/A</v>
      </c>
      <c r="S110" s="55" t="e">
        <f t="shared" ca="1" si="33"/>
        <v>#N/A</v>
      </c>
      <c r="T110" s="55" t="e">
        <f t="shared" ca="1" si="27"/>
        <v>#N/A</v>
      </c>
      <c r="U110" s="55" t="e">
        <f t="shared" ca="1" si="28"/>
        <v>#N/A</v>
      </c>
      <c r="V110" s="55" t="e">
        <f t="shared" ca="1" si="29"/>
        <v>#N/A</v>
      </c>
      <c r="W110" s="55" t="e">
        <f t="shared" ca="1" si="34"/>
        <v>#N/A</v>
      </c>
      <c r="X110" s="55" t="e">
        <f t="shared" ca="1" si="35"/>
        <v>#N/A</v>
      </c>
      <c r="Y110" s="55" t="e">
        <f t="shared" ca="1" si="36"/>
        <v>#N/A</v>
      </c>
      <c r="Z110" t="e">
        <f t="shared" ca="1" si="30"/>
        <v>#N/A</v>
      </c>
      <c r="AA110" t="e">
        <f t="shared" ca="1" si="37"/>
        <v>#N/A</v>
      </c>
      <c r="AB110" t="e">
        <f t="shared" ca="1" si="31"/>
        <v>#N/A</v>
      </c>
      <c r="AC110" t="e">
        <f t="shared" ca="1" si="32"/>
        <v>#N/A</v>
      </c>
      <c r="AD110" s="83">
        <f ca="1"/>
        <v>45394</v>
      </c>
      <c r="AE110" s="55">
        <f t="shared" ca="1" si="41"/>
        <v>45394</v>
      </c>
      <c r="AF110" s="55">
        <f t="shared" ca="1" si="42"/>
        <v>-7.2540361759528604E-2</v>
      </c>
      <c r="AG110" s="55">
        <f t="shared" ca="1" si="43"/>
        <v>56.940237575649881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18.242776256529528</v>
      </c>
      <c r="AK110" s="55">
        <f t="shared" ca="1" si="40"/>
        <v>9.4353620556983291</v>
      </c>
    </row>
    <row r="111" spans="18:37">
      <c r="R111" s="83" t="e">
        <f ca="1"/>
        <v>#N/A</v>
      </c>
      <c r="S111" s="55" t="e">
        <f t="shared" ca="1" si="33"/>
        <v>#N/A</v>
      </c>
      <c r="T111" s="55" t="e">
        <f t="shared" ca="1" si="27"/>
        <v>#N/A</v>
      </c>
      <c r="U111" s="55" t="e">
        <f t="shared" ca="1" si="28"/>
        <v>#N/A</v>
      </c>
      <c r="V111" s="55" t="e">
        <f t="shared" ca="1" si="29"/>
        <v>#N/A</v>
      </c>
      <c r="W111" s="55" t="e">
        <f t="shared" ca="1" si="34"/>
        <v>#N/A</v>
      </c>
      <c r="X111" s="55" t="e">
        <f t="shared" ca="1" si="35"/>
        <v>#N/A</v>
      </c>
      <c r="Y111" s="55" t="e">
        <f t="shared" ca="1" si="36"/>
        <v>#N/A</v>
      </c>
      <c r="Z111" t="e">
        <f t="shared" ca="1" si="30"/>
        <v>#N/A</v>
      </c>
      <c r="AA111" t="e">
        <f t="shared" ca="1" si="37"/>
        <v>#N/A</v>
      </c>
      <c r="AB111" t="e">
        <f t="shared" ca="1" si="31"/>
        <v>#N/A</v>
      </c>
      <c r="AC111" t="e">
        <f t="shared" ca="1" si="32"/>
        <v>#N/A</v>
      </c>
      <c r="AD111" s="83">
        <f ca="1"/>
        <v>45395</v>
      </c>
      <c r="AE111" s="55">
        <f t="shared" ca="1" si="41"/>
        <v>45395</v>
      </c>
      <c r="AF111" s="55">
        <f t="shared" ca="1" si="42"/>
        <v>-1.7045042009608056</v>
      </c>
      <c r="AG111" s="55">
        <f t="shared" ca="1" si="43"/>
        <v>58.734009368222551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18.394784851329547</v>
      </c>
      <c r="AK111" s="55">
        <f t="shared" ca="1" si="40"/>
        <v>9.4451614142697036</v>
      </c>
    </row>
    <row r="112" spans="18:37">
      <c r="R112" s="83" t="e">
        <f ca="1"/>
        <v>#N/A</v>
      </c>
      <c r="S112" s="55" t="e">
        <f t="shared" ca="1" si="33"/>
        <v>#N/A</v>
      </c>
      <c r="T112" s="55" t="e">
        <f t="shared" ca="1" si="27"/>
        <v>#N/A</v>
      </c>
      <c r="U112" s="55" t="e">
        <f t="shared" ca="1" si="28"/>
        <v>#N/A</v>
      </c>
      <c r="V112" s="55" t="e">
        <f t="shared" ca="1" si="29"/>
        <v>#N/A</v>
      </c>
      <c r="W112" s="55" t="e">
        <f t="shared" ca="1" si="34"/>
        <v>#N/A</v>
      </c>
      <c r="X112" s="55" t="e">
        <f t="shared" ca="1" si="35"/>
        <v>#N/A</v>
      </c>
      <c r="Y112" s="55" t="e">
        <f t="shared" ca="1" si="36"/>
        <v>#N/A</v>
      </c>
      <c r="Z112" t="e">
        <f t="shared" ca="1" si="30"/>
        <v>#N/A</v>
      </c>
      <c r="AA112" t="e">
        <f t="shared" ca="1" si="37"/>
        <v>#N/A</v>
      </c>
      <c r="AB112" t="e">
        <f t="shared" ca="1" si="31"/>
        <v>#N/A</v>
      </c>
      <c r="AC112" t="e">
        <f t="shared" ca="1" si="32"/>
        <v>#N/A</v>
      </c>
      <c r="AD112" s="83">
        <f ca="1"/>
        <v>45396</v>
      </c>
      <c r="AE112" s="55">
        <f t="shared" ca="1" si="41"/>
        <v>45396</v>
      </c>
      <c r="AF112" s="55">
        <f t="shared" ca="1" si="42"/>
        <v>-3.3467841116663513</v>
      </c>
      <c r="AG112" s="55">
        <f t="shared" ca="1" si="43"/>
        <v>60.537255487096346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18.546019121512941</v>
      </c>
      <c r="AK112" s="55">
        <f t="shared" ca="1" si="40"/>
        <v>9.4548933522545582</v>
      </c>
    </row>
    <row r="113" spans="18:37">
      <c r="R113" s="83" t="e">
        <f ca="1"/>
        <v>#N/A</v>
      </c>
      <c r="S113" s="55" t="e">
        <f t="shared" ca="1" si="33"/>
        <v>#N/A</v>
      </c>
      <c r="T113" s="55" t="e">
        <f t="shared" ca="1" si="27"/>
        <v>#N/A</v>
      </c>
      <c r="U113" s="55" t="e">
        <f t="shared" ca="1" si="28"/>
        <v>#N/A</v>
      </c>
      <c r="V113" s="55" t="e">
        <f t="shared" ca="1" si="29"/>
        <v>#N/A</v>
      </c>
      <c r="W113" s="55" t="e">
        <f t="shared" ca="1" si="34"/>
        <v>#N/A</v>
      </c>
      <c r="X113" s="55" t="e">
        <f t="shared" ca="1" si="35"/>
        <v>#N/A</v>
      </c>
      <c r="Y113" s="55" t="e">
        <f t="shared" ca="1" si="36"/>
        <v>#N/A</v>
      </c>
      <c r="Z113" t="e">
        <f t="shared" ca="1" si="30"/>
        <v>#N/A</v>
      </c>
      <c r="AA113" t="e">
        <f t="shared" ca="1" si="37"/>
        <v>#N/A</v>
      </c>
      <c r="AB113" t="e">
        <f t="shared" ca="1" si="31"/>
        <v>#N/A</v>
      </c>
      <c r="AC113" t="e">
        <f t="shared" ca="1" si="32"/>
        <v>#N/A</v>
      </c>
      <c r="AD113" s="83">
        <f ca="1"/>
        <v>45397</v>
      </c>
      <c r="AE113" s="55">
        <f t="shared" ca="1" si="41"/>
        <v>45397</v>
      </c>
      <c r="AF113" s="55">
        <f t="shared" ca="1" si="42"/>
        <v>-5.067767959366682</v>
      </c>
      <c r="AG113" s="55">
        <f t="shared" ca="1" si="43"/>
        <v>62.430667898874546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18.708019492093502</v>
      </c>
      <c r="AK113" s="55">
        <f t="shared" ca="1" si="40"/>
        <v>9.4653215457518662</v>
      </c>
    </row>
    <row r="114" spans="18:37">
      <c r="R114" s="83" t="e">
        <f ca="1"/>
        <v>#N/A</v>
      </c>
      <c r="S114" s="55" t="e">
        <f t="shared" ca="1" si="33"/>
        <v>#N/A</v>
      </c>
      <c r="T114" s="55" t="e">
        <f t="shared" ca="1" si="27"/>
        <v>#N/A</v>
      </c>
      <c r="U114" s="55" t="e">
        <f t="shared" ca="1" si="28"/>
        <v>#N/A</v>
      </c>
      <c r="V114" s="55" t="e">
        <f t="shared" ca="1" si="29"/>
        <v>#N/A</v>
      </c>
      <c r="W114" s="55" t="e">
        <f t="shared" ca="1" si="34"/>
        <v>#N/A</v>
      </c>
      <c r="X114" s="55" t="e">
        <f t="shared" ca="1" si="35"/>
        <v>#N/A</v>
      </c>
      <c r="Y114" s="55" t="e">
        <f t="shared" ca="1" si="36"/>
        <v>#N/A</v>
      </c>
      <c r="Z114" t="e">
        <f t="shared" ca="1" si="30"/>
        <v>#N/A</v>
      </c>
      <c r="AA114" t="e">
        <f t="shared" ca="1" si="37"/>
        <v>#N/A</v>
      </c>
      <c r="AB114" t="e">
        <f t="shared" ca="1" si="31"/>
        <v>#N/A</v>
      </c>
      <c r="AC114" t="e">
        <f t="shared" ca="1" si="32"/>
        <v>#N/A</v>
      </c>
      <c r="AD114" s="83">
        <f ca="1"/>
        <v>45398</v>
      </c>
      <c r="AE114" s="55">
        <f t="shared" ca="1" si="41"/>
        <v>45398</v>
      </c>
      <c r="AF114" s="55">
        <f t="shared" ca="1" si="42"/>
        <v>-6.7896910060375726</v>
      </c>
      <c r="AG114" s="55">
        <f t="shared" ca="1" si="43"/>
        <v>64.323553195346037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18.868664231872927</v>
      </c>
      <c r="AK114" s="55">
        <f t="shared" ca="1" si="40"/>
        <v>9.4756390557730406</v>
      </c>
    </row>
    <row r="115" spans="18:37">
      <c r="R115" s="83" t="e">
        <f ca="1"/>
        <v>#N/A</v>
      </c>
      <c r="S115" s="55" t="e">
        <f t="shared" ca="1" si="33"/>
        <v>#N/A</v>
      </c>
      <c r="T115" s="55" t="e">
        <f t="shared" ca="1" si="27"/>
        <v>#N/A</v>
      </c>
      <c r="U115" s="55" t="e">
        <f t="shared" ca="1" si="28"/>
        <v>#N/A</v>
      </c>
      <c r="V115" s="55" t="e">
        <f t="shared" ca="1" si="29"/>
        <v>#N/A</v>
      </c>
      <c r="W115" s="55" t="e">
        <f t="shared" ca="1" si="34"/>
        <v>#N/A</v>
      </c>
      <c r="X115" s="55" t="e">
        <f t="shared" ca="1" si="35"/>
        <v>#N/A</v>
      </c>
      <c r="Y115" s="55" t="e">
        <f t="shared" ca="1" si="36"/>
        <v>#N/A</v>
      </c>
      <c r="Z115" t="e">
        <f t="shared" ca="1" si="30"/>
        <v>#N/A</v>
      </c>
      <c r="AA115" t="e">
        <f t="shared" ca="1" si="37"/>
        <v>#N/A</v>
      </c>
      <c r="AB115" t="e">
        <f t="shared" ca="1" si="31"/>
        <v>#N/A</v>
      </c>
      <c r="AC115" t="e">
        <f t="shared" ca="1" si="32"/>
        <v>#N/A</v>
      </c>
      <c r="AD115" s="83">
        <f ca="1"/>
        <v>45399</v>
      </c>
      <c r="AE115" s="55">
        <f t="shared" ca="1" si="41"/>
        <v>45399</v>
      </c>
      <c r="AF115" s="55">
        <f t="shared" ca="1" si="42"/>
        <v>-8.5390147798650204</v>
      </c>
      <c r="AG115" s="55">
        <f t="shared" ca="1" si="43"/>
        <v>66.246304721639618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19.031677040776525</v>
      </c>
      <c r="AK115" s="55">
        <f t="shared" ca="1" si="40"/>
        <v>9.4860539993355744</v>
      </c>
    </row>
    <row r="116" spans="18:37">
      <c r="R116" s="83" t="e">
        <f ca="1"/>
        <v>#N/A</v>
      </c>
      <c r="S116" s="55" t="e">
        <f t="shared" ca="1" si="33"/>
        <v>#N/A</v>
      </c>
      <c r="T116" s="55" t="e">
        <f t="shared" ca="1" si="27"/>
        <v>#N/A</v>
      </c>
      <c r="U116" s="55" t="e">
        <f t="shared" ca="1" si="28"/>
        <v>#N/A</v>
      </c>
      <c r="V116" s="55" t="e">
        <f t="shared" ca="1" si="29"/>
        <v>#N/A</v>
      </c>
      <c r="W116" s="55" t="e">
        <f t="shared" ca="1" si="34"/>
        <v>#N/A</v>
      </c>
      <c r="X116" s="55" t="e">
        <f t="shared" ca="1" si="35"/>
        <v>#N/A</v>
      </c>
      <c r="Y116" s="55" t="e">
        <f t="shared" ca="1" si="36"/>
        <v>#N/A</v>
      </c>
      <c r="Z116" t="e">
        <f t="shared" ca="1" si="30"/>
        <v>#N/A</v>
      </c>
      <c r="AA116" t="e">
        <f t="shared" ca="1" si="37"/>
        <v>#N/A</v>
      </c>
      <c r="AB116" t="e">
        <f t="shared" ca="1" si="31"/>
        <v>#N/A</v>
      </c>
      <c r="AC116" t="e">
        <f t="shared" ca="1" si="32"/>
        <v>#N/A</v>
      </c>
      <c r="AD116" s="83">
        <f ca="1"/>
        <v>45400</v>
      </c>
      <c r="AE116" s="55">
        <f t="shared" ca="1" si="41"/>
        <v>45400</v>
      </c>
      <c r="AF116" s="55">
        <f t="shared" ca="1" si="42"/>
        <v>-10.289228079350959</v>
      </c>
      <c r="AG116" s="55">
        <f t="shared" ca="1" si="43"/>
        <v>68.167097693618359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19.192093780572083</v>
      </c>
      <c r="AK116" s="55">
        <f t="shared" ca="1" si="40"/>
        <v>9.4962169320328194</v>
      </c>
    </row>
    <row r="117" spans="18:37">
      <c r="R117" s="83" t="e">
        <f ca="1"/>
        <v>#N/A</v>
      </c>
      <c r="S117" s="55" t="e">
        <f t="shared" ca="1" si="33"/>
        <v>#N/A</v>
      </c>
      <c r="T117" s="55" t="e">
        <f t="shared" ca="1" si="27"/>
        <v>#N/A</v>
      </c>
      <c r="U117" s="55" t="e">
        <f t="shared" ca="1" si="28"/>
        <v>#N/A</v>
      </c>
      <c r="V117" s="55" t="e">
        <f t="shared" ca="1" si="29"/>
        <v>#N/A</v>
      </c>
      <c r="W117" s="55" t="e">
        <f t="shared" ca="1" si="34"/>
        <v>#N/A</v>
      </c>
      <c r="X117" s="55" t="e">
        <f t="shared" ca="1" si="35"/>
        <v>#N/A</v>
      </c>
      <c r="Y117" s="55" t="e">
        <f t="shared" ca="1" si="36"/>
        <v>#N/A</v>
      </c>
      <c r="Z117" t="e">
        <f t="shared" ca="1" si="30"/>
        <v>#N/A</v>
      </c>
      <c r="AA117" t="e">
        <f t="shared" ca="1" si="37"/>
        <v>#N/A</v>
      </c>
      <c r="AB117" t="e">
        <f t="shared" ca="1" si="31"/>
        <v>#N/A</v>
      </c>
      <c r="AC117" t="e">
        <f t="shared" ca="1" si="32"/>
        <v>#N/A</v>
      </c>
      <c r="AD117" s="83">
        <f ca="1"/>
        <v>45401</v>
      </c>
      <c r="AE117" s="55">
        <f t="shared" ca="1" si="41"/>
        <v>45401</v>
      </c>
      <c r="AF117" s="55">
        <f t="shared" ca="1" si="42"/>
        <v>-12.091322536456907</v>
      </c>
      <c r="AG117" s="55">
        <f t="shared" ca="1" si="43"/>
        <v>70.140596401978897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19.353492947652455</v>
      </c>
      <c r="AK117" s="55">
        <f t="shared" ca="1" si="40"/>
        <v>9.5062220162070368</v>
      </c>
    </row>
    <row r="118" spans="18:37">
      <c r="R118" s="83" t="e">
        <f ca="1"/>
        <v>#N/A</v>
      </c>
      <c r="S118" s="55" t="e">
        <f t="shared" ca="1" si="33"/>
        <v>#N/A</v>
      </c>
      <c r="T118" s="55" t="e">
        <f t="shared" ca="1" si="27"/>
        <v>#N/A</v>
      </c>
      <c r="U118" s="55" t="e">
        <f t="shared" ca="1" si="28"/>
        <v>#N/A</v>
      </c>
      <c r="V118" s="55" t="e">
        <f t="shared" ca="1" si="29"/>
        <v>#N/A</v>
      </c>
      <c r="W118" s="55" t="e">
        <f t="shared" ca="1" si="34"/>
        <v>#N/A</v>
      </c>
      <c r="X118" s="55" t="e">
        <f t="shared" ca="1" si="35"/>
        <v>#N/A</v>
      </c>
      <c r="Y118" s="55" t="e">
        <f t="shared" ca="1" si="36"/>
        <v>#N/A</v>
      </c>
      <c r="Z118" t="e">
        <f t="shared" ca="1" si="30"/>
        <v>#N/A</v>
      </c>
      <c r="AA118" t="e">
        <f t="shared" ca="1" si="37"/>
        <v>#N/A</v>
      </c>
      <c r="AB118" t="e">
        <f t="shared" ca="1" si="31"/>
        <v>#N/A</v>
      </c>
      <c r="AC118" t="e">
        <f t="shared" ca="1" si="32"/>
        <v>#N/A</v>
      </c>
      <c r="AD118" s="83">
        <f ca="1"/>
        <v>45402</v>
      </c>
      <c r="AE118" s="55">
        <f t="shared" ca="1" si="41"/>
        <v>45402</v>
      </c>
      <c r="AF118" s="55">
        <f t="shared" ca="1" si="42"/>
        <v>-13.894721219735796</v>
      </c>
      <c r="AG118" s="55">
        <f t="shared" ca="1" si="43"/>
        <v>72.118883047983203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19.518397965367075</v>
      </c>
      <c r="AK118" s="55">
        <f t="shared" ca="1" si="40"/>
        <v>9.5162049612178325</v>
      </c>
    </row>
    <row r="119" spans="18:37">
      <c r="R119" s="83" t="e">
        <f ca="1"/>
        <v>#N/A</v>
      </c>
      <c r="S119" s="55" t="e">
        <f t="shared" ca="1" si="33"/>
        <v>#N/A</v>
      </c>
      <c r="T119" s="55" t="e">
        <f t="shared" ca="1" si="27"/>
        <v>#N/A</v>
      </c>
      <c r="U119" s="55" t="e">
        <f t="shared" ca="1" si="28"/>
        <v>#N/A</v>
      </c>
      <c r="V119" s="55" t="e">
        <f t="shared" ca="1" si="29"/>
        <v>#N/A</v>
      </c>
      <c r="W119" s="55" t="e">
        <f t="shared" ca="1" si="34"/>
        <v>#N/A</v>
      </c>
      <c r="X119" s="55" t="e">
        <f t="shared" ca="1" si="35"/>
        <v>#N/A</v>
      </c>
      <c r="Y119" s="55" t="e">
        <f t="shared" ca="1" si="36"/>
        <v>#N/A</v>
      </c>
      <c r="Z119" t="e">
        <f t="shared" ca="1" si="30"/>
        <v>#N/A</v>
      </c>
      <c r="AA119" t="e">
        <f t="shared" ca="1" si="37"/>
        <v>#N/A</v>
      </c>
      <c r="AB119" t="e">
        <f t="shared" ca="1" si="31"/>
        <v>#N/A</v>
      </c>
      <c r="AC119" t="e">
        <f t="shared" ca="1" si="32"/>
        <v>#N/A</v>
      </c>
      <c r="AD119" s="83">
        <f ca="1"/>
        <v>45403</v>
      </c>
      <c r="AE119" s="55">
        <f t="shared" ca="1" si="41"/>
        <v>45403</v>
      </c>
      <c r="AF119" s="55">
        <f t="shared" ca="1" si="42"/>
        <v>-15.629863975352684</v>
      </c>
      <c r="AG119" s="55">
        <f t="shared" ca="1" si="43"/>
        <v>74.02266872979375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19.67767217221332</v>
      </c>
      <c r="AK119" s="55">
        <f t="shared" ca="1" si="40"/>
        <v>9.5255736805652482</v>
      </c>
    </row>
    <row r="120" spans="18:37">
      <c r="R120" s="83" t="e">
        <f ca="1"/>
        <v>#N/A</v>
      </c>
      <c r="S120" s="55" t="e">
        <f t="shared" ca="1" si="33"/>
        <v>#N/A</v>
      </c>
      <c r="T120" s="55" t="e">
        <f t="shared" ca="1" si="27"/>
        <v>#N/A</v>
      </c>
      <c r="U120" s="55" t="e">
        <f t="shared" ca="1" si="28"/>
        <v>#N/A</v>
      </c>
      <c r="V120" s="55" t="e">
        <f t="shared" ca="1" si="29"/>
        <v>#N/A</v>
      </c>
      <c r="W120" s="55" t="e">
        <f t="shared" ca="1" si="34"/>
        <v>#N/A</v>
      </c>
      <c r="X120" s="55" t="e">
        <f t="shared" ca="1" si="35"/>
        <v>#N/A</v>
      </c>
      <c r="Y120" s="55" t="e">
        <f t="shared" ca="1" si="36"/>
        <v>#N/A</v>
      </c>
      <c r="Z120" t="e">
        <f t="shared" ca="1" si="30"/>
        <v>#N/A</v>
      </c>
      <c r="AA120" t="e">
        <f t="shared" ca="1" si="37"/>
        <v>#N/A</v>
      </c>
      <c r="AB120" t="e">
        <f t="shared" ca="1" si="31"/>
        <v>#N/A</v>
      </c>
      <c r="AC120" t="e">
        <f t="shared" ca="1" si="32"/>
        <v>#N/A</v>
      </c>
      <c r="AD120" s="83">
        <f ca="1"/>
        <v>45404</v>
      </c>
      <c r="AE120" s="55">
        <f t="shared" ca="1" si="41"/>
        <v>45404</v>
      </c>
      <c r="AF120" s="55">
        <f t="shared" ca="1" si="42"/>
        <v>-17.401683030813871</v>
      </c>
      <c r="AG120" s="55">
        <f t="shared" ca="1" si="43"/>
        <v>75.965265890166179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19.839100063450331</v>
      </c>
      <c r="AK120" s="55">
        <f t="shared" ca="1" si="40"/>
        <v>9.5349238942394816</v>
      </c>
    </row>
    <row r="121" spans="18:37">
      <c r="R121" s="83" t="e">
        <f ca="1"/>
        <v>#N/A</v>
      </c>
      <c r="S121" s="55" t="e">
        <f t="shared" ca="1" si="33"/>
        <v>#N/A</v>
      </c>
      <c r="T121" s="55" t="e">
        <f t="shared" ca="1" si="27"/>
        <v>#N/A</v>
      </c>
      <c r="U121" s="55" t="e">
        <f t="shared" ca="1" si="28"/>
        <v>#N/A</v>
      </c>
      <c r="V121" s="55" t="e">
        <f t="shared" ca="1" si="29"/>
        <v>#N/A</v>
      </c>
      <c r="W121" s="55" t="e">
        <f t="shared" ca="1" si="34"/>
        <v>#N/A</v>
      </c>
      <c r="X121" s="55" t="e">
        <f t="shared" ca="1" si="35"/>
        <v>#N/A</v>
      </c>
      <c r="Y121" s="55" t="e">
        <f t="shared" ca="1" si="36"/>
        <v>#N/A</v>
      </c>
      <c r="Z121" t="e">
        <f t="shared" ca="1" si="30"/>
        <v>#N/A</v>
      </c>
      <c r="AA121" t="e">
        <f t="shared" ca="1" si="37"/>
        <v>#N/A</v>
      </c>
      <c r="AB121" t="e">
        <f t="shared" ca="1" si="31"/>
        <v>#N/A</v>
      </c>
      <c r="AC121" t="e">
        <f t="shared" ca="1" si="32"/>
        <v>#N/A</v>
      </c>
      <c r="AD121" s="83">
        <f ca="1"/>
        <v>45405</v>
      </c>
      <c r="AE121" s="55">
        <f t="shared" ca="1" si="41"/>
        <v>45405</v>
      </c>
      <c r="AF121" s="55">
        <f t="shared" ca="1" si="42"/>
        <v>-19.161911722242799</v>
      </c>
      <c r="AG121" s="55">
        <f t="shared" ca="1" si="43"/>
        <v>77.900389364336206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20.004879933752058</v>
      </c>
      <c r="AK121" s="55">
        <f t="shared" ca="1" si="40"/>
        <v>9.5440388066788557</v>
      </c>
    </row>
    <row r="122" spans="18:37">
      <c r="R122" s="83" t="e">
        <f ca="1"/>
        <v>#N/A</v>
      </c>
      <c r="S122" s="55" t="e">
        <f t="shared" ca="1" si="33"/>
        <v>#N/A</v>
      </c>
      <c r="T122" s="55" t="e">
        <f t="shared" ca="1" si="27"/>
        <v>#N/A</v>
      </c>
      <c r="U122" s="55" t="e">
        <f t="shared" ca="1" si="28"/>
        <v>#N/A</v>
      </c>
      <c r="V122" s="55" t="e">
        <f t="shared" ca="1" si="29"/>
        <v>#N/A</v>
      </c>
      <c r="W122" s="55" t="e">
        <f t="shared" ca="1" si="34"/>
        <v>#N/A</v>
      </c>
      <c r="X122" s="55" t="e">
        <f t="shared" ca="1" si="35"/>
        <v>#N/A</v>
      </c>
      <c r="Y122" s="55" t="e">
        <f t="shared" ca="1" si="36"/>
        <v>#N/A</v>
      </c>
      <c r="Z122" t="e">
        <f t="shared" ca="1" si="30"/>
        <v>#N/A</v>
      </c>
      <c r="AA122" t="e">
        <f t="shared" ca="1" si="37"/>
        <v>#N/A</v>
      </c>
      <c r="AB122" t="e">
        <f t="shared" ca="1" si="31"/>
        <v>#N/A</v>
      </c>
      <c r="AC122" t="e">
        <f t="shared" ca="1" si="32"/>
        <v>#N/A</v>
      </c>
      <c r="AD122" s="83">
        <f ca="1"/>
        <v>45406</v>
      </c>
      <c r="AE122" s="55">
        <f t="shared" ca="1" si="41"/>
        <v>45406</v>
      </c>
      <c r="AF122" s="55">
        <f t="shared" ca="1" si="42"/>
        <v>-20.95563533977888</v>
      </c>
      <c r="AG122" s="55">
        <f t="shared" ca="1" si="43"/>
        <v>79.88896910593175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20.190559444326098</v>
      </c>
      <c r="AK122" s="55">
        <f t="shared" ca="1" si="40"/>
        <v>9.5532154201642783</v>
      </c>
    </row>
    <row r="123" spans="18:37">
      <c r="R123" s="83" t="e">
        <f ca="1"/>
        <v>#N/A</v>
      </c>
      <c r="S123" s="55" t="e">
        <f t="shared" ca="1" si="33"/>
        <v>#N/A</v>
      </c>
      <c r="T123" s="55" t="e">
        <f t="shared" ca="1" si="27"/>
        <v>#N/A</v>
      </c>
      <c r="U123" s="55" t="e">
        <f t="shared" ca="1" si="28"/>
        <v>#N/A</v>
      </c>
      <c r="V123" s="55" t="e">
        <f t="shared" ca="1" si="29"/>
        <v>#N/A</v>
      </c>
      <c r="W123" s="55" t="e">
        <f t="shared" ca="1" si="34"/>
        <v>#N/A</v>
      </c>
      <c r="X123" s="55" t="e">
        <f t="shared" ca="1" si="35"/>
        <v>#N/A</v>
      </c>
      <c r="Y123" s="55" t="e">
        <f t="shared" ca="1" si="36"/>
        <v>#N/A</v>
      </c>
      <c r="Z123" t="e">
        <f t="shared" ca="1" si="30"/>
        <v>#N/A</v>
      </c>
      <c r="AA123" t="e">
        <f t="shared" ca="1" si="37"/>
        <v>#N/A</v>
      </c>
      <c r="AB123" t="e">
        <f t="shared" ca="1" si="31"/>
        <v>#N/A</v>
      </c>
      <c r="AC123" t="e">
        <f t="shared" ca="1" si="32"/>
        <v>#N/A</v>
      </c>
      <c r="AD123" s="83">
        <f ca="1"/>
        <v>45407</v>
      </c>
      <c r="AE123" s="55">
        <f t="shared" ca="1" si="41"/>
        <v>45407</v>
      </c>
      <c r="AF123" s="55">
        <f t="shared" ca="1" si="42"/>
        <v>-22.786943437826451</v>
      </c>
      <c r="AG123" s="55">
        <f t="shared" ca="1" si="43"/>
        <v>81.922768088586423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20.383849474767981</v>
      </c>
      <c r="AK123" s="55">
        <f t="shared" ca="1" si="40"/>
        <v>9.5624162743294967</v>
      </c>
    </row>
    <row r="124" spans="18:37">
      <c r="R124" s="83" t="e">
        <f ca="1"/>
        <v>#N/A</v>
      </c>
      <c r="S124" s="55" t="e">
        <f t="shared" ca="1" si="33"/>
        <v>#N/A</v>
      </c>
      <c r="T124" s="55" t="e">
        <f t="shared" ca="1" si="27"/>
        <v>#N/A</v>
      </c>
      <c r="U124" s="55" t="e">
        <f t="shared" ca="1" si="28"/>
        <v>#N/A</v>
      </c>
      <c r="V124" s="55" t="e">
        <f t="shared" ca="1" si="29"/>
        <v>#N/A</v>
      </c>
      <c r="W124" s="55" t="e">
        <f t="shared" ca="1" si="34"/>
        <v>#N/A</v>
      </c>
      <c r="X124" s="55" t="e">
        <f t="shared" ca="1" si="35"/>
        <v>#N/A</v>
      </c>
      <c r="Y124" s="55" t="e">
        <f t="shared" ca="1" si="36"/>
        <v>#N/A</v>
      </c>
      <c r="Z124" t="e">
        <f t="shared" ca="1" si="30"/>
        <v>#N/A</v>
      </c>
      <c r="AA124" t="e">
        <f t="shared" ca="1" si="37"/>
        <v>#N/A</v>
      </c>
      <c r="AB124" t="e">
        <f t="shared" ca="1" si="31"/>
        <v>#N/A</v>
      </c>
      <c r="AC124" t="e">
        <f t="shared" ca="1" si="32"/>
        <v>#N/A</v>
      </c>
      <c r="AD124" s="83">
        <f ca="1"/>
        <v>45408</v>
      </c>
      <c r="AE124" s="55">
        <f t="shared" ca="1" si="41"/>
        <v>45408</v>
      </c>
      <c r="AF124" s="55">
        <f t="shared" ca="1" si="42"/>
        <v>-24.676384105598451</v>
      </c>
      <c r="AG124" s="55">
        <f t="shared" ca="1" si="43"/>
        <v>84.024167918731351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20.586476383792963</v>
      </c>
      <c r="AK124" s="55">
        <f t="shared" ca="1" si="40"/>
        <v>9.5717485276774426</v>
      </c>
    </row>
    <row r="125" spans="18:37">
      <c r="R125" s="83" t="e">
        <f ca="1"/>
        <v>#N/A</v>
      </c>
      <c r="S125" s="55" t="e">
        <f t="shared" ca="1" si="33"/>
        <v>#N/A</v>
      </c>
      <c r="T125" s="55" t="e">
        <f t="shared" ca="1" si="27"/>
        <v>#N/A</v>
      </c>
      <c r="U125" s="55" t="e">
        <f t="shared" ca="1" si="28"/>
        <v>#N/A</v>
      </c>
      <c r="V125" s="55" t="e">
        <f t="shared" ca="1" si="29"/>
        <v>#N/A</v>
      </c>
      <c r="W125" s="55" t="e">
        <f t="shared" ca="1" si="34"/>
        <v>#N/A</v>
      </c>
      <c r="X125" s="55" t="e">
        <f t="shared" ca="1" si="35"/>
        <v>#N/A</v>
      </c>
      <c r="Y125" s="55" t="e">
        <f t="shared" ca="1" si="36"/>
        <v>#N/A</v>
      </c>
      <c r="Z125" t="e">
        <f t="shared" ca="1" si="30"/>
        <v>#N/A</v>
      </c>
      <c r="AA125" t="e">
        <f t="shared" ca="1" si="37"/>
        <v>#N/A</v>
      </c>
      <c r="AB125" t="e">
        <f t="shared" ca="1" si="31"/>
        <v>#N/A</v>
      </c>
      <c r="AC125" t="e">
        <f t="shared" ca="1" si="32"/>
        <v>#N/A</v>
      </c>
      <c r="AD125" s="83">
        <f ca="1"/>
        <v>45409</v>
      </c>
      <c r="AE125" s="55">
        <f t="shared" ca="1" si="41"/>
        <v>45409</v>
      </c>
      <c r="AF125" s="55">
        <f t="shared" ca="1" si="42"/>
        <v>-26.600415040633056</v>
      </c>
      <c r="AG125" s="55">
        <f t="shared" ca="1" si="43"/>
        <v>86.171533546533112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20.800447150089841</v>
      </c>
      <c r="AK125" s="55">
        <f t="shared" ca="1" si="40"/>
        <v>9.5811124541477213</v>
      </c>
    </row>
    <row r="126" spans="18:37">
      <c r="R126" s="83" t="e">
        <f ca="1"/>
        <v>#N/A</v>
      </c>
      <c r="S126" s="55" t="e">
        <f t="shared" ca="1" si="33"/>
        <v>#N/A</v>
      </c>
      <c r="T126" s="55" t="e">
        <f t="shared" ca="1" si="27"/>
        <v>#N/A</v>
      </c>
      <c r="U126" s="55" t="e">
        <f t="shared" ca="1" si="28"/>
        <v>#N/A</v>
      </c>
      <c r="V126" s="55" t="e">
        <f t="shared" ca="1" si="29"/>
        <v>#N/A</v>
      </c>
      <c r="W126" s="55" t="e">
        <f t="shared" ca="1" si="34"/>
        <v>#N/A</v>
      </c>
      <c r="X126" s="55" t="e">
        <f t="shared" ca="1" si="35"/>
        <v>#N/A</v>
      </c>
      <c r="Y126" s="55" t="e">
        <f t="shared" ca="1" si="36"/>
        <v>#N/A</v>
      </c>
      <c r="Z126" t="e">
        <f t="shared" ca="1" si="30"/>
        <v>#N/A</v>
      </c>
      <c r="AA126" t="e">
        <f t="shared" ca="1" si="37"/>
        <v>#N/A</v>
      </c>
      <c r="AB126" t="e">
        <f t="shared" ca="1" si="31"/>
        <v>#N/A</v>
      </c>
      <c r="AC126" t="e">
        <f t="shared" ca="1" si="32"/>
        <v>#N/A</v>
      </c>
      <c r="AD126" s="83">
        <f ca="1"/>
        <v>45410</v>
      </c>
      <c r="AE126" s="55">
        <f t="shared" ca="1" si="41"/>
        <v>45410</v>
      </c>
      <c r="AF126" s="55">
        <f t="shared" ca="1" si="42"/>
        <v>-28.42049738770379</v>
      </c>
      <c r="AG126" s="55">
        <f t="shared" ca="1" si="43"/>
        <v>88.203656668453377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21.003813091870303</v>
      </c>
      <c r="AK126" s="55">
        <f t="shared" ca="1" si="40"/>
        <v>9.5897872872167884</v>
      </c>
    </row>
    <row r="127" spans="18:37">
      <c r="R127" s="83" t="e">
        <f ca="1"/>
        <v>#N/A</v>
      </c>
      <c r="S127" s="55" t="e">
        <f t="shared" ca="1" si="33"/>
        <v>#N/A</v>
      </c>
      <c r="T127" s="55" t="e">
        <f t="shared" ca="1" si="27"/>
        <v>#N/A</v>
      </c>
      <c r="U127" s="55" t="e">
        <f t="shared" ca="1" si="28"/>
        <v>#N/A</v>
      </c>
      <c r="V127" s="55" t="e">
        <f t="shared" ca="1" si="29"/>
        <v>#N/A</v>
      </c>
      <c r="W127" s="55" t="e">
        <f t="shared" ca="1" si="34"/>
        <v>#N/A</v>
      </c>
      <c r="X127" s="55" t="e">
        <f t="shared" ca="1" si="35"/>
        <v>#N/A</v>
      </c>
      <c r="Y127" s="55" t="e">
        <f t="shared" ca="1" si="36"/>
        <v>#N/A</v>
      </c>
      <c r="Z127" t="e">
        <f t="shared" ca="1" si="30"/>
        <v>#N/A</v>
      </c>
      <c r="AA127" t="e">
        <f t="shared" ca="1" si="37"/>
        <v>#N/A</v>
      </c>
      <c r="AB127" t="e">
        <f t="shared" ca="1" si="31"/>
        <v>#N/A</v>
      </c>
      <c r="AC127" t="e">
        <f t="shared" ca="1" si="32"/>
        <v>#N/A</v>
      </c>
      <c r="AD127" s="83">
        <f ca="1"/>
        <v>45411</v>
      </c>
      <c r="AE127" s="55">
        <f t="shared" ca="1" si="41"/>
        <v>45411</v>
      </c>
      <c r="AF127" s="55">
        <f t="shared" ca="1" si="42"/>
        <v>-30.188641663010543</v>
      </c>
      <c r="AG127" s="55">
        <f t="shared" ca="1" si="43"/>
        <v>90.187716572501174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21.211399419031725</v>
      </c>
      <c r="AK127" s="55">
        <f t="shared" ca="1" si="40"/>
        <v>9.5981165887964082</v>
      </c>
    </row>
    <row r="128" spans="18:37">
      <c r="R128" s="83" t="e">
        <f ca="1"/>
        <v>#N/A</v>
      </c>
      <c r="S128" s="55" t="e">
        <f t="shared" ca="1" si="33"/>
        <v>#N/A</v>
      </c>
      <c r="T128" s="55" t="e">
        <f t="shared" ca="1" si="27"/>
        <v>#N/A</v>
      </c>
      <c r="U128" s="55" t="e">
        <f t="shared" ca="1" si="28"/>
        <v>#N/A</v>
      </c>
      <c r="V128" s="55" t="e">
        <f t="shared" ca="1" si="29"/>
        <v>#N/A</v>
      </c>
      <c r="W128" s="55" t="e">
        <f t="shared" ca="1" si="34"/>
        <v>#N/A</v>
      </c>
      <c r="X128" s="55" t="e">
        <f t="shared" ca="1" si="35"/>
        <v>#N/A</v>
      </c>
      <c r="Y128" s="55" t="e">
        <f t="shared" ca="1" si="36"/>
        <v>#N/A</v>
      </c>
      <c r="Z128" t="e">
        <f t="shared" ca="1" si="30"/>
        <v>#N/A</v>
      </c>
      <c r="AA128" t="e">
        <f t="shared" ca="1" si="37"/>
        <v>#N/A</v>
      </c>
      <c r="AB128" t="e">
        <f t="shared" ca="1" si="31"/>
        <v>#N/A</v>
      </c>
      <c r="AC128" t="e">
        <f t="shared" ca="1" si="32"/>
        <v>#N/A</v>
      </c>
      <c r="AD128" s="83">
        <f ca="1"/>
        <v>45412</v>
      </c>
      <c r="AE128" s="55">
        <f t="shared" ca="1" si="41"/>
        <v>45412</v>
      </c>
      <c r="AF128" s="55">
        <f t="shared" ca="1" si="42"/>
        <v>-31.964869194825148</v>
      </c>
      <c r="AG128" s="55">
        <f t="shared" ca="1" si="43"/>
        <v>92.186206957931958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21.425401733582603</v>
      </c>
      <c r="AK128" s="55">
        <f t="shared" ca="1" si="40"/>
        <v>9.6063771278617089</v>
      </c>
    </row>
    <row r="129" spans="18:37">
      <c r="R129" s="83" t="e">
        <f ca="1"/>
        <v>#N/A</v>
      </c>
      <c r="S129" s="55" t="e">
        <f t="shared" ca="1" si="33"/>
        <v>#N/A</v>
      </c>
      <c r="T129" s="55" t="e">
        <f t="shared" ca="1" si="27"/>
        <v>#N/A</v>
      </c>
      <c r="U129" s="55" t="e">
        <f t="shared" ca="1" si="28"/>
        <v>#N/A</v>
      </c>
      <c r="V129" s="55" t="e">
        <f t="shared" ca="1" si="29"/>
        <v>#N/A</v>
      </c>
      <c r="W129" s="55" t="e">
        <f t="shared" ca="1" si="34"/>
        <v>#N/A</v>
      </c>
      <c r="X129" s="55" t="e">
        <f t="shared" ca="1" si="35"/>
        <v>#N/A</v>
      </c>
      <c r="Y129" s="55" t="e">
        <f t="shared" ca="1" si="36"/>
        <v>#N/A</v>
      </c>
      <c r="Z129" t="e">
        <f t="shared" ca="1" si="30"/>
        <v>#N/A</v>
      </c>
      <c r="AA129" t="e">
        <f t="shared" ca="1" si="37"/>
        <v>#N/A</v>
      </c>
      <c r="AB129" t="e">
        <f t="shared" ca="1" si="31"/>
        <v>#N/A</v>
      </c>
      <c r="AC129" t="e">
        <f t="shared" ca="1" si="32"/>
        <v>#N/A</v>
      </c>
      <c r="AD129" s="83">
        <f ca="1"/>
        <v>45413</v>
      </c>
      <c r="AE129" s="55">
        <f t="shared" ca="1" si="41"/>
        <v>45413</v>
      </c>
      <c r="AF129" s="55">
        <f t="shared" ca="1" si="42"/>
        <v>-33.712352164923082</v>
      </c>
      <c r="AG129" s="55">
        <f t="shared" ca="1" si="43"/>
        <v>94.174224226244974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21.657838391765488</v>
      </c>
      <c r="AK129" s="55">
        <f t="shared" ca="1" si="40"/>
        <v>9.614474767893908</v>
      </c>
    </row>
    <row r="130" spans="18:37">
      <c r="R130" s="83" t="e">
        <f ca="1"/>
        <v>#N/A</v>
      </c>
      <c r="S130" s="55" t="e">
        <f t="shared" ca="1" si="33"/>
        <v>#N/A</v>
      </c>
      <c r="T130" s="55" t="e">
        <f t="shared" ca="1" si="27"/>
        <v>#N/A</v>
      </c>
      <c r="U130" s="55" t="e">
        <f t="shared" ca="1" si="28"/>
        <v>#N/A</v>
      </c>
      <c r="V130" s="55" t="e">
        <f t="shared" ca="1" si="29"/>
        <v>#N/A</v>
      </c>
      <c r="W130" s="55" t="e">
        <f t="shared" ca="1" si="34"/>
        <v>#N/A</v>
      </c>
      <c r="X130" s="55" t="e">
        <f t="shared" ca="1" si="35"/>
        <v>#N/A</v>
      </c>
      <c r="Y130" s="55" t="e">
        <f t="shared" ca="1" si="36"/>
        <v>#N/A</v>
      </c>
      <c r="Z130" t="e">
        <f t="shared" ca="1" si="30"/>
        <v>#N/A</v>
      </c>
      <c r="AA130" t="e">
        <f t="shared" ca="1" si="37"/>
        <v>#N/A</v>
      </c>
      <c r="AB130" t="e">
        <f t="shared" ca="1" si="31"/>
        <v>#N/A</v>
      </c>
      <c r="AC130" t="e">
        <f t="shared" ca="1" si="32"/>
        <v>#N/A</v>
      </c>
      <c r="AD130" s="83">
        <f ca="1"/>
        <v>45414</v>
      </c>
      <c r="AE130" s="55">
        <f t="shared" ca="1" si="41"/>
        <v>45414</v>
      </c>
      <c r="AF130" s="55">
        <f t="shared" ca="1" si="42"/>
        <v>-35.44548575513906</v>
      </c>
      <c r="AG130" s="55">
        <f t="shared" ca="1" si="43"/>
        <v>96.148853883714395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21.891400826704924</v>
      </c>
      <c r="AK130" s="55">
        <f t="shared" ca="1" si="40"/>
        <v>9.6224084002079167</v>
      </c>
    </row>
    <row r="131" spans="18:37">
      <c r="R131" s="83" t="e">
        <f ca="1"/>
        <v>#N/A</v>
      </c>
      <c r="S131" s="55" t="e">
        <f t="shared" ca="1" si="33"/>
        <v>#N/A</v>
      </c>
      <c r="T131" s="55" t="e">
        <f t="shared" ca="1" si="27"/>
        <v>#N/A</v>
      </c>
      <c r="U131" s="55" t="e">
        <f t="shared" ca="1" si="28"/>
        <v>#N/A</v>
      </c>
      <c r="V131" s="55" t="e">
        <f t="shared" ca="1" si="29"/>
        <v>#N/A</v>
      </c>
      <c r="W131" s="55" t="e">
        <f t="shared" ca="1" si="34"/>
        <v>#N/A</v>
      </c>
      <c r="X131" s="55" t="e">
        <f t="shared" ca="1" si="35"/>
        <v>#N/A</v>
      </c>
      <c r="Y131" s="55" t="e">
        <f t="shared" ca="1" si="36"/>
        <v>#N/A</v>
      </c>
      <c r="Z131" t="e">
        <f t="shared" ca="1" si="30"/>
        <v>#N/A</v>
      </c>
      <c r="AA131" t="e">
        <f t="shared" ca="1" si="37"/>
        <v>#N/A</v>
      </c>
      <c r="AB131" t="e">
        <f t="shared" ca="1" si="31"/>
        <v>#N/A</v>
      </c>
      <c r="AC131" t="e">
        <f t="shared" ca="1" si="32"/>
        <v>#N/A</v>
      </c>
      <c r="AD131" s="83">
        <f ca="1"/>
        <v>45415</v>
      </c>
      <c r="AE131" s="55">
        <f t="shared" ca="1" si="41"/>
        <v>45415</v>
      </c>
      <c r="AF131" s="55">
        <f t="shared" ca="1" si="42"/>
        <v>-37.144473556338781</v>
      </c>
      <c r="AG131" s="55">
        <f t="shared" ca="1" si="43"/>
        <v>98.085399368616265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22.121273269873605</v>
      </c>
      <c r="AK131" s="55">
        <f t="shared" ca="1" si="40"/>
        <v>9.6300936407413875</v>
      </c>
    </row>
    <row r="132" spans="18:37">
      <c r="R132" s="83" t="e">
        <f ca="1"/>
        <v>#N/A</v>
      </c>
      <c r="S132" s="55" t="e">
        <f t="shared" ca="1" si="33"/>
        <v>#N/A</v>
      </c>
      <c r="T132" s="55" t="e">
        <f t="shared" ca="1" si="27"/>
        <v>#N/A</v>
      </c>
      <c r="U132" s="55" t="e">
        <f t="shared" ca="1" si="28"/>
        <v>#N/A</v>
      </c>
      <c r="V132" s="55" t="e">
        <f t="shared" ca="1" si="29"/>
        <v>#N/A</v>
      </c>
      <c r="W132" s="55" t="e">
        <f t="shared" ca="1" si="34"/>
        <v>#N/A</v>
      </c>
      <c r="X132" s="55" t="e">
        <f t="shared" ca="1" si="35"/>
        <v>#N/A</v>
      </c>
      <c r="Y132" s="55" t="e">
        <f t="shared" ca="1" si="36"/>
        <v>#N/A</v>
      </c>
      <c r="Z132" t="e">
        <f t="shared" ca="1" si="30"/>
        <v>#N/A</v>
      </c>
      <c r="AA132" t="e">
        <f t="shared" ca="1" si="37"/>
        <v>#N/A</v>
      </c>
      <c r="AB132" t="e">
        <f t="shared" ca="1" si="31"/>
        <v>#N/A</v>
      </c>
      <c r="AC132" t="e">
        <f t="shared" ca="1" si="32"/>
        <v>#N/A</v>
      </c>
      <c r="AD132" s="83">
        <f ca="1"/>
        <v>45416</v>
      </c>
      <c r="AE132" s="55">
        <f t="shared" ca="1" si="41"/>
        <v>45416</v>
      </c>
      <c r="AF132" s="55">
        <f t="shared" ca="1" si="42"/>
        <v>-38.846560014622007</v>
      </c>
      <c r="AG132" s="55">
        <f t="shared" ca="1" si="43"/>
        <v>100.0324856086485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22.358639678007446</v>
      </c>
      <c r="AK132" s="55">
        <f t="shared" ca="1" si="40"/>
        <v>9.6377270143565585</v>
      </c>
    </row>
    <row r="133" spans="18:37">
      <c r="R133" s="83" t="e">
        <f ca="1"/>
        <v>#N/A</v>
      </c>
      <c r="S133" s="55" t="e">
        <f t="shared" ca="1" si="33"/>
        <v>#N/A</v>
      </c>
      <c r="T133" s="55" t="e">
        <f t="shared" ca="1" si="27"/>
        <v>#N/A</v>
      </c>
      <c r="U133" s="55" t="e">
        <f t="shared" ca="1" si="28"/>
        <v>#N/A</v>
      </c>
      <c r="V133" s="55" t="e">
        <f t="shared" ca="1" si="29"/>
        <v>#N/A</v>
      </c>
      <c r="W133" s="55" t="e">
        <f t="shared" ca="1" si="34"/>
        <v>#N/A</v>
      </c>
      <c r="X133" s="55" t="e">
        <f t="shared" ca="1" si="35"/>
        <v>#N/A</v>
      </c>
      <c r="Y133" s="55" t="e">
        <f t="shared" ca="1" si="36"/>
        <v>#N/A</v>
      </c>
      <c r="Z133" t="e">
        <f t="shared" ca="1" si="30"/>
        <v>#N/A</v>
      </c>
      <c r="AA133" t="e">
        <f t="shared" ca="1" si="37"/>
        <v>#N/A</v>
      </c>
      <c r="AB133" t="e">
        <f t="shared" ca="1" si="31"/>
        <v>#N/A</v>
      </c>
      <c r="AC133" t="e">
        <f t="shared" ca="1" si="32"/>
        <v>#N/A</v>
      </c>
      <c r="AD133" s="83">
        <f ca="1"/>
        <v>45417</v>
      </c>
      <c r="AE133" s="55">
        <f t="shared" ca="1" si="41"/>
        <v>45417</v>
      </c>
      <c r="AF133" s="55">
        <f t="shared" ca="1" si="42"/>
        <v>-40.557171465073004</v>
      </c>
      <c r="AG133" s="55">
        <f t="shared" ca="1" si="43"/>
        <v>101.99925988687893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22.607180968726148</v>
      </c>
      <c r="AK133" s="55">
        <f t="shared" ca="1" si="40"/>
        <v>9.6453485514172872</v>
      </c>
    </row>
    <row r="134" spans="18:37">
      <c r="R134" s="83" t="e">
        <f ca="1"/>
        <v>#N/A</v>
      </c>
      <c r="S134" s="55" t="e">
        <f t="shared" ca="1" si="33"/>
        <v>#N/A</v>
      </c>
      <c r="T134" s="55" t="e">
        <f t="shared" ca="1" si="27"/>
        <v>#N/A</v>
      </c>
      <c r="U134" s="55" t="e">
        <f t="shared" ca="1" si="28"/>
        <v>#N/A</v>
      </c>
      <c r="V134" s="55" t="e">
        <f t="shared" ca="1" si="29"/>
        <v>#N/A</v>
      </c>
      <c r="W134" s="55" t="e">
        <f t="shared" ca="1" si="34"/>
        <v>#N/A</v>
      </c>
      <c r="X134" s="55" t="e">
        <f t="shared" ca="1" si="35"/>
        <v>#N/A</v>
      </c>
      <c r="Y134" s="55" t="e">
        <f t="shared" ca="1" si="36"/>
        <v>#N/A</v>
      </c>
      <c r="Z134" t="e">
        <f t="shared" ca="1" si="30"/>
        <v>#N/A</v>
      </c>
      <c r="AA134" t="e">
        <f t="shared" ca="1" si="37"/>
        <v>#N/A</v>
      </c>
      <c r="AB134" t="e">
        <f t="shared" ca="1" si="31"/>
        <v>#N/A</v>
      </c>
      <c r="AC134" t="e">
        <f t="shared" ca="1" si="32"/>
        <v>#N/A</v>
      </c>
      <c r="AD134" s="83">
        <f ca="1"/>
        <v>45418</v>
      </c>
      <c r="AE134" s="55">
        <f t="shared" ca="1" si="41"/>
        <v>45418</v>
      </c>
      <c r="AF134" s="55">
        <f t="shared" ca="1" si="42"/>
        <v>-42.226110597706246</v>
      </c>
      <c r="AG134" s="55">
        <f t="shared" ca="1" si="43"/>
        <v>103.91721180101293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22.848834120192052</v>
      </c>
      <c r="AK134" s="55">
        <f t="shared" ca="1" si="40"/>
        <v>9.6527081814521374</v>
      </c>
    </row>
    <row r="135" spans="18:37">
      <c r="R135" s="83" t="e">
        <f ca="1"/>
        <v>#N/A</v>
      </c>
      <c r="S135" s="55" t="e">
        <f t="shared" ca="1" si="33"/>
        <v>#N/A</v>
      </c>
      <c r="T135" s="55" t="e">
        <f t="shared" ca="1" si="27"/>
        <v>#N/A</v>
      </c>
      <c r="U135" s="55" t="e">
        <f t="shared" ca="1" si="28"/>
        <v>#N/A</v>
      </c>
      <c r="V135" s="55" t="e">
        <f t="shared" ca="1" si="29"/>
        <v>#N/A</v>
      </c>
      <c r="W135" s="55" t="e">
        <f t="shared" ca="1" si="34"/>
        <v>#N/A</v>
      </c>
      <c r="X135" s="55" t="e">
        <f t="shared" ca="1" si="35"/>
        <v>#N/A</v>
      </c>
      <c r="Y135" s="55" t="e">
        <f t="shared" ca="1" si="36"/>
        <v>#N/A</v>
      </c>
      <c r="Z135" t="e">
        <f t="shared" ca="1" si="30"/>
        <v>#N/A</v>
      </c>
      <c r="AA135" t="e">
        <f t="shared" ca="1" si="37"/>
        <v>#N/A</v>
      </c>
      <c r="AB135" t="e">
        <f t="shared" ca="1" si="31"/>
        <v>#N/A</v>
      </c>
      <c r="AC135" t="e">
        <f t="shared" ca="1" si="32"/>
        <v>#N/A</v>
      </c>
      <c r="AD135" s="83">
        <f ca="1"/>
        <v>45419</v>
      </c>
      <c r="AE135" s="55">
        <f t="shared" ca="1" si="41"/>
        <v>45419</v>
      </c>
      <c r="AF135" s="55">
        <f t="shared" ca="1" si="42"/>
        <v>-43.851357032230716</v>
      </c>
      <c r="AG135" s="55">
        <f t="shared" ca="1" si="43"/>
        <v>105.79297394412306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23.092213749451812</v>
      </c>
      <c r="AK135" s="55">
        <f t="shared" ca="1" si="40"/>
        <v>9.6598442607780406</v>
      </c>
    </row>
    <row r="136" spans="18:37">
      <c r="R136" s="83" t="e">
        <f ca="1"/>
        <v>#N/A</v>
      </c>
      <c r="S136" s="55" t="e">
        <f t="shared" ca="1" si="33"/>
        <v>#N/A</v>
      </c>
      <c r="T136" s="55" t="e">
        <f t="shared" ca="1" si="27"/>
        <v>#N/A</v>
      </c>
      <c r="U136" s="55" t="e">
        <f t="shared" ca="1" si="28"/>
        <v>#N/A</v>
      </c>
      <c r="V136" s="55" t="e">
        <f t="shared" ca="1" si="29"/>
        <v>#N/A</v>
      </c>
      <c r="W136" s="55" t="e">
        <f t="shared" ca="1" si="34"/>
        <v>#N/A</v>
      </c>
      <c r="X136" s="55" t="e">
        <f t="shared" ca="1" si="35"/>
        <v>#N/A</v>
      </c>
      <c r="Y136" s="55" t="e">
        <f t="shared" ca="1" si="36"/>
        <v>#N/A</v>
      </c>
      <c r="Z136" t="e">
        <f t="shared" ca="1" si="30"/>
        <v>#N/A</v>
      </c>
      <c r="AA136" t="e">
        <f t="shared" ca="1" si="37"/>
        <v>#N/A</v>
      </c>
      <c r="AB136" t="e">
        <f t="shared" ca="1" si="31"/>
        <v>#N/A</v>
      </c>
      <c r="AC136" t="e">
        <f t="shared" ca="1" si="32"/>
        <v>#N/A</v>
      </c>
      <c r="AD136" s="83">
        <f ca="1"/>
        <v>45420</v>
      </c>
      <c r="AE136" s="55">
        <f t="shared" ca="1" si="41"/>
        <v>45420</v>
      </c>
      <c r="AF136" s="55">
        <f t="shared" ca="1" si="42"/>
        <v>-45.418645767517049</v>
      </c>
      <c r="AG136" s="55">
        <f t="shared" ca="1" si="43"/>
        <v>107.60446489645672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23.329568045522283</v>
      </c>
      <c r="AK136" s="55">
        <f t="shared" ca="1" si="40"/>
        <v>9.6666921817548896</v>
      </c>
    </row>
    <row r="137" spans="18:37">
      <c r="R137" s="83" t="e">
        <f ca="1"/>
        <v>#N/A</v>
      </c>
      <c r="S137" s="55" t="e">
        <f t="shared" ca="1" si="33"/>
        <v>#N/A</v>
      </c>
      <c r="T137" s="55" t="e">
        <f t="shared" ca="1" si="27"/>
        <v>#N/A</v>
      </c>
      <c r="U137" s="55" t="e">
        <f t="shared" ca="1" si="28"/>
        <v>#N/A</v>
      </c>
      <c r="V137" s="55" t="e">
        <f t="shared" ca="1" si="29"/>
        <v>#N/A</v>
      </c>
      <c r="W137" s="55" t="e">
        <f t="shared" ca="1" si="34"/>
        <v>#N/A</v>
      </c>
      <c r="X137" s="55" t="e">
        <f t="shared" ca="1" si="35"/>
        <v>#N/A</v>
      </c>
      <c r="Y137" s="55" t="e">
        <f t="shared" ca="1" si="36"/>
        <v>#N/A</v>
      </c>
      <c r="Z137" t="e">
        <f t="shared" ca="1" si="30"/>
        <v>#N/A</v>
      </c>
      <c r="AA137" t="e">
        <f t="shared" ca="1" si="37"/>
        <v>#N/A</v>
      </c>
      <c r="AB137" t="e">
        <f t="shared" ca="1" si="31"/>
        <v>#N/A</v>
      </c>
      <c r="AC137" t="e">
        <f t="shared" ca="1" si="32"/>
        <v>#N/A</v>
      </c>
      <c r="AD137" s="83">
        <f ca="1"/>
        <v>45421</v>
      </c>
      <c r="AE137" s="55">
        <f t="shared" ca="1" si="41"/>
        <v>45421</v>
      </c>
      <c r="AF137" s="55">
        <f t="shared" ca="1" si="42"/>
        <v>-46.986147812210497</v>
      </c>
      <c r="AG137" s="55">
        <f t="shared" ca="1" si="43"/>
        <v>109.42586190509539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23.576637223651037</v>
      </c>
      <c r="AK137" s="55">
        <f t="shared" ca="1" si="40"/>
        <v>9.6735179675713603</v>
      </c>
    </row>
    <row r="138" spans="18:37">
      <c r="R138" s="83" t="e">
        <f ca="1"/>
        <v>#N/A</v>
      </c>
      <c r="S138" s="55" t="e">
        <f t="shared" ca="1" si="33"/>
        <v>#N/A</v>
      </c>
      <c r="T138" s="55" t="e">
        <f t="shared" ca="1" si="27"/>
        <v>#N/A</v>
      </c>
      <c r="U138" s="55" t="e">
        <f t="shared" ca="1" si="28"/>
        <v>#N/A</v>
      </c>
      <c r="V138" s="55" t="e">
        <f t="shared" ca="1" si="29"/>
        <v>#N/A</v>
      </c>
      <c r="W138" s="55" t="e">
        <f t="shared" ca="1" si="34"/>
        <v>#N/A</v>
      </c>
      <c r="X138" s="55" t="e">
        <f t="shared" ca="1" si="35"/>
        <v>#N/A</v>
      </c>
      <c r="Y138" s="55" t="e">
        <f t="shared" ca="1" si="36"/>
        <v>#N/A</v>
      </c>
      <c r="Z138" t="e">
        <f t="shared" ca="1" si="30"/>
        <v>#N/A</v>
      </c>
      <c r="AA138" t="e">
        <f t="shared" ca="1" si="37"/>
        <v>#N/A</v>
      </c>
      <c r="AB138" t="e">
        <f t="shared" ca="1" si="31"/>
        <v>#N/A</v>
      </c>
      <c r="AC138" t="e">
        <f t="shared" ca="1" si="32"/>
        <v>#N/A</v>
      </c>
      <c r="AD138" s="83">
        <f ca="1"/>
        <v>45422</v>
      </c>
      <c r="AE138" s="55">
        <f t="shared" ca="1" si="41"/>
        <v>45422</v>
      </c>
      <c r="AF138" s="55">
        <f t="shared" ca="1" si="42"/>
        <v>-48.574024502111577</v>
      </c>
      <c r="AG138" s="55">
        <f t="shared" ca="1" si="43"/>
        <v>111.2766758515064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23.832698860863417</v>
      </c>
      <c r="AK138" s="55">
        <f t="shared" ca="1" si="40"/>
        <v>9.6803935868689095</v>
      </c>
    </row>
    <row r="139" spans="18:37">
      <c r="R139" s="83" t="e">
        <f ca="1"/>
        <v>#N/A</v>
      </c>
      <c r="S139" s="55" t="e">
        <f t="shared" ca="1" si="33"/>
        <v>#N/A</v>
      </c>
      <c r="T139" s="55" t="e">
        <f t="shared" ca="1" si="27"/>
        <v>#N/A</v>
      </c>
      <c r="U139" s="55" t="e">
        <f t="shared" ca="1" si="28"/>
        <v>#N/A</v>
      </c>
      <c r="V139" s="55" t="e">
        <f t="shared" ca="1" si="29"/>
        <v>#N/A</v>
      </c>
      <c r="W139" s="55" t="e">
        <f t="shared" ca="1" si="34"/>
        <v>#N/A</v>
      </c>
      <c r="X139" s="55" t="e">
        <f t="shared" ca="1" si="35"/>
        <v>#N/A</v>
      </c>
      <c r="Y139" s="55" t="e">
        <f t="shared" ca="1" si="36"/>
        <v>#N/A</v>
      </c>
      <c r="Z139" t="e">
        <f t="shared" ca="1" si="30"/>
        <v>#N/A</v>
      </c>
      <c r="AA139" t="e">
        <f t="shared" ca="1" si="37"/>
        <v>#N/A</v>
      </c>
      <c r="AB139" t="e">
        <f t="shared" ca="1" si="31"/>
        <v>#N/A</v>
      </c>
      <c r="AC139" t="e">
        <f t="shared" ca="1" si="32"/>
        <v>#N/A</v>
      </c>
      <c r="AD139" s="83">
        <f ca="1"/>
        <v>45423</v>
      </c>
      <c r="AE139" s="55">
        <f t="shared" ca="1" si="41"/>
        <v>45423</v>
      </c>
      <c r="AF139" s="55">
        <f t="shared" ca="1" si="42"/>
        <v>-50.186850098440331</v>
      </c>
      <c r="AG139" s="55">
        <f t="shared" ca="1" si="43"/>
        <v>113.15970484036825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24.095961522018303</v>
      </c>
      <c r="AK139" s="55">
        <f t="shared" ca="1" si="40"/>
        <v>9.6873343182471245</v>
      </c>
    </row>
    <row r="140" spans="18:37">
      <c r="R140" s="83" t="e">
        <f ca="1"/>
        <v>#N/A</v>
      </c>
      <c r="S140" s="55" t="e">
        <f t="shared" ca="1" si="33"/>
        <v>#N/A</v>
      </c>
      <c r="T140" s="55" t="e">
        <f t="shared" ca="1" si="27"/>
        <v>#N/A</v>
      </c>
      <c r="U140" s="55" t="e">
        <f t="shared" ca="1" si="28"/>
        <v>#N/A</v>
      </c>
      <c r="V140" s="55" t="e">
        <f t="shared" ca="1" si="29"/>
        <v>#N/A</v>
      </c>
      <c r="W140" s="55" t="e">
        <f t="shared" ca="1" si="34"/>
        <v>#N/A</v>
      </c>
      <c r="X140" s="55" t="e">
        <f t="shared" ca="1" si="35"/>
        <v>#N/A</v>
      </c>
      <c r="Y140" s="55" t="e">
        <f t="shared" ca="1" si="36"/>
        <v>#N/A</v>
      </c>
      <c r="Z140" t="e">
        <f t="shared" ca="1" si="30"/>
        <v>#N/A</v>
      </c>
      <c r="AA140" t="e">
        <f t="shared" ca="1" si="37"/>
        <v>#N/A</v>
      </c>
      <c r="AB140" t="e">
        <f t="shared" ca="1" si="31"/>
        <v>#N/A</v>
      </c>
      <c r="AC140" t="e">
        <f t="shared" ca="1" si="32"/>
        <v>#N/A</v>
      </c>
      <c r="AD140" s="83">
        <f ca="1"/>
        <v>45424</v>
      </c>
      <c r="AE140" s="55">
        <f t="shared" ca="1" si="41"/>
        <v>45424</v>
      </c>
      <c r="AF140" s="55">
        <f t="shared" ca="1" si="42"/>
        <v>-51.777937531830261</v>
      </c>
      <c r="AG140" s="55">
        <f t="shared" ca="1" si="43"/>
        <v>115.0190843075443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24.357439709262753</v>
      </c>
      <c r="AK140" s="55">
        <f t="shared" ca="1" si="40"/>
        <v>9.6941481647888033</v>
      </c>
    </row>
    <row r="141" spans="18:37">
      <c r="R141" s="83" t="e">
        <f ca="1"/>
        <v>#N/A</v>
      </c>
      <c r="S141" s="55" t="e">
        <f t="shared" ca="1" si="33"/>
        <v>#N/A</v>
      </c>
      <c r="T141" s="55" t="e">
        <f t="shared" ca="1" si="27"/>
        <v>#N/A</v>
      </c>
      <c r="U141" s="55" t="e">
        <f t="shared" ca="1" si="28"/>
        <v>#N/A</v>
      </c>
      <c r="V141" s="55" t="e">
        <f t="shared" ca="1" si="29"/>
        <v>#N/A</v>
      </c>
      <c r="W141" s="55" t="e">
        <f t="shared" ca="1" si="34"/>
        <v>#N/A</v>
      </c>
      <c r="X141" s="55" t="e">
        <f t="shared" ca="1" si="35"/>
        <v>#N/A</v>
      </c>
      <c r="Y141" s="55" t="e">
        <f t="shared" ca="1" si="36"/>
        <v>#N/A</v>
      </c>
      <c r="Z141" t="e">
        <f t="shared" ca="1" si="30"/>
        <v>#N/A</v>
      </c>
      <c r="AA141" t="e">
        <f t="shared" ca="1" si="37"/>
        <v>#N/A</v>
      </c>
      <c r="AB141" t="e">
        <f t="shared" ca="1" si="31"/>
        <v>#N/A</v>
      </c>
      <c r="AC141" t="e">
        <f t="shared" ca="1" si="32"/>
        <v>#N/A</v>
      </c>
      <c r="AD141" s="83">
        <f ca="1"/>
        <v>45425</v>
      </c>
      <c r="AE141" s="55">
        <f t="shared" ca="1" si="41"/>
        <v>45425</v>
      </c>
      <c r="AF141" s="55">
        <f t="shared" ca="1" si="42"/>
        <v>-53.318582555538981</v>
      </c>
      <c r="AG141" s="55">
        <f t="shared" ca="1" si="43"/>
        <v>116.8204260106514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24.61156124761029</v>
      </c>
      <c r="AK141" s="55">
        <f t="shared" ca="1" si="40"/>
        <v>9.7007233058396487</v>
      </c>
    </row>
    <row r="142" spans="18:37">
      <c r="R142" s="83" t="e">
        <f ca="1"/>
        <v>#N/A</v>
      </c>
      <c r="S142" s="55" t="e">
        <f t="shared" ca="1" si="33"/>
        <v>#N/A</v>
      </c>
      <c r="T142" s="55" t="e">
        <f t="shared" ca="1" si="27"/>
        <v>#N/A</v>
      </c>
      <c r="U142" s="55" t="e">
        <f t="shared" ca="1" si="28"/>
        <v>#N/A</v>
      </c>
      <c r="V142" s="55" t="e">
        <f t="shared" ca="1" si="29"/>
        <v>#N/A</v>
      </c>
      <c r="W142" s="55" t="e">
        <f t="shared" ca="1" si="34"/>
        <v>#N/A</v>
      </c>
      <c r="X142" s="55" t="e">
        <f t="shared" ca="1" si="35"/>
        <v>#N/A</v>
      </c>
      <c r="Y142" s="55" t="e">
        <f t="shared" ca="1" si="36"/>
        <v>#N/A</v>
      </c>
      <c r="Z142" t="e">
        <f t="shared" ca="1" si="30"/>
        <v>#N/A</v>
      </c>
      <c r="AA142" t="e">
        <f t="shared" ca="1" si="37"/>
        <v>#N/A</v>
      </c>
      <c r="AB142" t="e">
        <f t="shared" ca="1" si="31"/>
        <v>#N/A</v>
      </c>
      <c r="AC142" t="e">
        <f t="shared" ca="1" si="32"/>
        <v>#N/A</v>
      </c>
      <c r="AD142" s="83">
        <f ca="1"/>
        <v>45426</v>
      </c>
      <c r="AE142" s="55">
        <f t="shared" ca="1" si="41"/>
        <v>45426</v>
      </c>
      <c r="AF142" s="55">
        <f t="shared" ca="1" si="42"/>
        <v>-54.83558646081552</v>
      </c>
      <c r="AG142" s="55">
        <f t="shared" ca="1" si="43"/>
        <v>118.59619675823701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24.863872612547063</v>
      </c>
      <c r="AK142" s="55">
        <f t="shared" ca="1" si="40"/>
        <v>9.7071787832119494</v>
      </c>
    </row>
    <row r="143" spans="18:37">
      <c r="R143" s="83" t="e">
        <f ca="1"/>
        <v>#N/A</v>
      </c>
      <c r="S143" s="55" t="e">
        <f t="shared" ca="1" si="33"/>
        <v>#N/A</v>
      </c>
      <c r="T143" s="55" t="e">
        <f t="shared" ca="1" si="27"/>
        <v>#N/A</v>
      </c>
      <c r="U143" s="55" t="e">
        <f t="shared" ca="1" si="28"/>
        <v>#N/A</v>
      </c>
      <c r="V143" s="55" t="e">
        <f t="shared" ca="1" si="29"/>
        <v>#N/A</v>
      </c>
      <c r="W143" s="55" t="e">
        <f t="shared" ca="1" si="34"/>
        <v>#N/A</v>
      </c>
      <c r="X143" s="55" t="e">
        <f t="shared" ca="1" si="35"/>
        <v>#N/A</v>
      </c>
      <c r="Y143" s="55" t="e">
        <f t="shared" ca="1" si="36"/>
        <v>#N/A</v>
      </c>
      <c r="Z143" t="e">
        <f t="shared" ca="1" si="30"/>
        <v>#N/A</v>
      </c>
      <c r="AA143" t="e">
        <f t="shared" ca="1" si="37"/>
        <v>#N/A</v>
      </c>
      <c r="AB143" t="e">
        <f t="shared" ca="1" si="31"/>
        <v>#N/A</v>
      </c>
      <c r="AC143" t="e">
        <f t="shared" ca="1" si="32"/>
        <v>#N/A</v>
      </c>
      <c r="AD143" s="83">
        <f ca="1"/>
        <v>45427</v>
      </c>
      <c r="AE143" s="55">
        <f t="shared" ca="1" si="41"/>
        <v>45427</v>
      </c>
      <c r="AF143" s="55">
        <f t="shared" ca="1" si="42"/>
        <v>-56.338169093410031</v>
      </c>
      <c r="AG143" s="55">
        <f t="shared" ca="1" si="43"/>
        <v>120.35771875692622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25.116432938467984</v>
      </c>
      <c r="AK143" s="55">
        <f t="shared" ca="1" si="40"/>
        <v>9.7135578233857238</v>
      </c>
    </row>
    <row r="144" spans="18:37">
      <c r="R144" s="83" t="e">
        <f ca="1"/>
        <v>#N/A</v>
      </c>
      <c r="S144" s="55" t="e">
        <f t="shared" ca="1" si="33"/>
        <v>#N/A</v>
      </c>
      <c r="T144" s="55" t="e">
        <f t="shared" ca="1" si="27"/>
        <v>#N/A</v>
      </c>
      <c r="U144" s="55" t="e">
        <f t="shared" ca="1" si="28"/>
        <v>#N/A</v>
      </c>
      <c r="V144" s="55" t="e">
        <f t="shared" ca="1" si="29"/>
        <v>#N/A</v>
      </c>
      <c r="W144" s="55" t="e">
        <f t="shared" ca="1" si="34"/>
        <v>#N/A</v>
      </c>
      <c r="X144" s="55" t="e">
        <f t="shared" ca="1" si="35"/>
        <v>#N/A</v>
      </c>
      <c r="Y144" s="55" t="e">
        <f t="shared" ca="1" si="36"/>
        <v>#N/A</v>
      </c>
      <c r="Z144" t="e">
        <f t="shared" ca="1" si="30"/>
        <v>#N/A</v>
      </c>
      <c r="AA144" t="e">
        <f t="shared" ca="1" si="37"/>
        <v>#N/A</v>
      </c>
      <c r="AB144" t="e">
        <f t="shared" ca="1" si="31"/>
        <v>#N/A</v>
      </c>
      <c r="AC144" t="e">
        <f t="shared" ca="1" si="32"/>
        <v>#N/A</v>
      </c>
      <c r="AD144" s="83">
        <f ca="1"/>
        <v>45428</v>
      </c>
      <c r="AE144" s="55">
        <f t="shared" ca="1" si="41"/>
        <v>45428</v>
      </c>
      <c r="AF144" s="55">
        <f t="shared" ca="1" si="42"/>
        <v>-57.780961872349565</v>
      </c>
      <c r="AG144" s="55">
        <f t="shared" ca="1" si="43"/>
        <v>122.05043513271603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25.360230061294491</v>
      </c>
      <c r="AK144" s="55">
        <f t="shared" ca="1" si="40"/>
        <v>9.7196842974094935</v>
      </c>
    </row>
    <row r="145" spans="18:37">
      <c r="R145" s="83" t="e">
        <f ca="1"/>
        <v>#N/A</v>
      </c>
      <c r="S145" s="55" t="e">
        <f t="shared" ca="1" si="33"/>
        <v>#N/A</v>
      </c>
      <c r="T145" s="55" t="e">
        <f t="shared" ca="1" si="27"/>
        <v>#N/A</v>
      </c>
      <c r="U145" s="55" t="e">
        <f t="shared" ca="1" si="28"/>
        <v>#N/A</v>
      </c>
      <c r="V145" s="55" t="e">
        <f t="shared" ca="1" si="29"/>
        <v>#N/A</v>
      </c>
      <c r="W145" s="55" t="e">
        <f t="shared" ca="1" si="34"/>
        <v>#N/A</v>
      </c>
      <c r="X145" s="55" t="e">
        <f t="shared" ca="1" si="35"/>
        <v>#N/A</v>
      </c>
      <c r="Y145" s="55" t="e">
        <f t="shared" ca="1" si="36"/>
        <v>#N/A</v>
      </c>
      <c r="Z145" t="e">
        <f t="shared" ca="1" si="30"/>
        <v>#N/A</v>
      </c>
      <c r="AA145" t="e">
        <f t="shared" ca="1" si="37"/>
        <v>#N/A</v>
      </c>
      <c r="AB145" t="e">
        <f t="shared" ca="1" si="31"/>
        <v>#N/A</v>
      </c>
      <c r="AC145" t="e">
        <f t="shared" ca="1" si="32"/>
        <v>#N/A</v>
      </c>
      <c r="AD145" s="83">
        <f ca="1"/>
        <v>45429</v>
      </c>
      <c r="AE145" s="55">
        <f t="shared" ca="1" si="41"/>
        <v>45429</v>
      </c>
      <c r="AF145" s="55">
        <f t="shared" ca="1" si="42"/>
        <v>-59.192121616435003</v>
      </c>
      <c r="AG145" s="55">
        <f t="shared" ca="1" si="43"/>
        <v>123.70836769548795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25.601010230486185</v>
      </c>
      <c r="AK145" s="55">
        <f t="shared" ca="1" si="40"/>
        <v>9.7256769469042794</v>
      </c>
    </row>
    <row r="146" spans="18:37">
      <c r="R146" s="83" t="e">
        <f ca="1"/>
        <v>#N/A</v>
      </c>
      <c r="S146" s="55" t="e">
        <f t="shared" ca="1" si="33"/>
        <v>#N/A</v>
      </c>
      <c r="T146" s="55" t="e">
        <f t="shared" ref="T146:T209" ca="1" si="45">VLOOKUP(S146,ModelOutputs,2,FALSE)</f>
        <v>#N/A</v>
      </c>
      <c r="U146" s="55" t="e">
        <f t="shared" ref="U146:U209" ca="1" si="46">VLOOKUP(S146,ModelOutputs,7,FALSE)</f>
        <v>#N/A</v>
      </c>
      <c r="V146" s="55" t="e">
        <f t="shared" ref="V146:V209" ca="1" si="47">VLOOKUP(S146,ModelOutputs,6,FALSE)</f>
        <v>#N/A</v>
      </c>
      <c r="W146" s="55" t="e">
        <f t="shared" ca="1" si="34"/>
        <v>#N/A</v>
      </c>
      <c r="X146" s="55" t="e">
        <f t="shared" ca="1" si="35"/>
        <v>#N/A</v>
      </c>
      <c r="Y146" s="55" t="e">
        <f t="shared" ca="1" si="36"/>
        <v>#N/A</v>
      </c>
      <c r="Z146" t="e">
        <f t="shared" ref="Z146:Z209" ca="1" si="48">VLOOKUP(S146,ModelOutputs,10,FALSE)*AWC</f>
        <v>#N/A</v>
      </c>
      <c r="AA146" t="e">
        <f t="shared" ca="1" si="37"/>
        <v>#N/A</v>
      </c>
      <c r="AB146" t="e">
        <f t="shared" ref="AB146:AB209" ca="1" si="49">VLOOKUP(S146,ModelOutputs,12,FALSE)</f>
        <v>#N/A</v>
      </c>
      <c r="AC146" t="e">
        <f t="shared" ref="AC146:AC209" ca="1" si="50">VLOOKUP(S146,ModelOutputs,13,FALSE)</f>
        <v>#N/A</v>
      </c>
      <c r="AD146" s="83">
        <f ca="1"/>
        <v>45430</v>
      </c>
      <c r="AE146" s="55">
        <f t="shared" ca="1" si="41"/>
        <v>45430</v>
      </c>
      <c r="AF146" s="55">
        <f t="shared" ca="1" si="42"/>
        <v>-60.636778749605341</v>
      </c>
      <c r="AG146" s="55">
        <f t="shared" ca="1" si="43"/>
        <v>125.41046235006344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25.852327260705174</v>
      </c>
      <c r="AK146" s="55">
        <f t="shared" ca="1" si="40"/>
        <v>9.7317974380904424</v>
      </c>
    </row>
    <row r="147" spans="18:37">
      <c r="R147" s="83" t="e">
        <f ca="1"/>
        <v>#N/A</v>
      </c>
      <c r="S147" s="55" t="e">
        <f t="shared" ref="S147:S210" ca="1" si="51">IF(R147&gt;1,R147,"")</f>
        <v>#N/A</v>
      </c>
      <c r="T147" s="55" t="e">
        <f t="shared" ca="1" si="45"/>
        <v>#N/A</v>
      </c>
      <c r="U147" s="55" t="e">
        <f t="shared" ca="1" si="46"/>
        <v>#N/A</v>
      </c>
      <c r="V147" s="55" t="e">
        <f t="shared" ca="1" si="47"/>
        <v>#N/A</v>
      </c>
      <c r="W147" s="55" t="e">
        <f t="shared" ref="W147:W210" ca="1" si="52">-VLOOKUP(S147,ModelOutputs,9,FALSE)+W146</f>
        <v>#N/A</v>
      </c>
      <c r="X147" s="55" t="e">
        <f t="shared" ref="X147:X210" ca="1" si="53">VLOOKUP(S147,ModelOutputs,5,FALSE)+X146</f>
        <v>#N/A</v>
      </c>
      <c r="Y147" s="55" t="e">
        <f t="shared" ref="Y147:Y210" ca="1" si="54">VLOOKUP(S147,ModelOutputs,4,FALSE)+Y146</f>
        <v>#N/A</v>
      </c>
      <c r="Z147" t="e">
        <f t="shared" ca="1" si="48"/>
        <v>#N/A</v>
      </c>
      <c r="AA147" t="e">
        <f t="shared" ref="AA147:AA210" ca="1" si="55">VLOOKUP(S147,ModelOutputs,11,FALSE)+AA146</f>
        <v>#N/A</v>
      </c>
      <c r="AB147" t="e">
        <f t="shared" ca="1" si="49"/>
        <v>#N/A</v>
      </c>
      <c r="AC147" t="e">
        <f t="shared" ca="1" si="50"/>
        <v>#N/A</v>
      </c>
      <c r="AD147" s="83">
        <f ca="1"/>
        <v>45431</v>
      </c>
      <c r="AE147" s="55">
        <f t="shared" ca="1" si="41"/>
        <v>45431</v>
      </c>
      <c r="AF147" s="55">
        <f t="shared" ca="1" si="42"/>
        <v>-62.056927088214756</v>
      </c>
      <c r="AG147" s="55">
        <f t="shared" ca="1" si="43"/>
        <v>127.08688765971959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26.102581611034516</v>
      </c>
      <c r="AK147" s="55">
        <f t="shared" ref="AK147:AK210" ca="1" si="58">VLOOKUP(AE147,ModelOutputs,4,FALSE)+AK146</f>
        <v>9.7378200588078343</v>
      </c>
    </row>
    <row r="148" spans="18:37">
      <c r="R148" s="83" t="e">
        <f ca="1"/>
        <v>#N/A</v>
      </c>
      <c r="S148" s="55" t="e">
        <f t="shared" ca="1" si="51"/>
        <v>#N/A</v>
      </c>
      <c r="T148" s="55" t="e">
        <f t="shared" ca="1" si="45"/>
        <v>#N/A</v>
      </c>
      <c r="U148" s="55" t="e">
        <f t="shared" ca="1" si="46"/>
        <v>#N/A</v>
      </c>
      <c r="V148" s="55" t="e">
        <f t="shared" ca="1" si="47"/>
        <v>#N/A</v>
      </c>
      <c r="W148" s="55" t="e">
        <f t="shared" ca="1" si="52"/>
        <v>#N/A</v>
      </c>
      <c r="X148" s="55" t="e">
        <f t="shared" ca="1" si="53"/>
        <v>#N/A</v>
      </c>
      <c r="Y148" s="55" t="e">
        <f t="shared" ca="1" si="54"/>
        <v>#N/A</v>
      </c>
      <c r="Z148" t="e">
        <f t="shared" ca="1" si="48"/>
        <v>#N/A</v>
      </c>
      <c r="AA148" t="e">
        <f t="shared" ca="1" si="55"/>
        <v>#N/A</v>
      </c>
      <c r="AB148" t="e">
        <f t="shared" ca="1" si="49"/>
        <v>#N/A</v>
      </c>
      <c r="AC148" t="e">
        <f t="shared" ca="1" si="50"/>
        <v>#N/A</v>
      </c>
      <c r="AD148" s="83">
        <f ca="1"/>
        <v>45432</v>
      </c>
      <c r="AE148" s="55">
        <f t="shared" ca="1" si="41"/>
        <v>45432</v>
      </c>
      <c r="AF148" s="55">
        <f t="shared" ca="1" si="42"/>
        <v>-63.485485626057994</v>
      </c>
      <c r="AG148" s="55">
        <f t="shared" ca="1" si="43"/>
        <v>128.77803806547985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26.359109932976537</v>
      </c>
      <c r="AK148" s="55">
        <f t="shared" ca="1" si="58"/>
        <v>9.7438836047828339</v>
      </c>
    </row>
    <row r="149" spans="18:37">
      <c r="R149" s="83" t="e">
        <f ca="1"/>
        <v>#N/A</v>
      </c>
      <c r="S149" s="55" t="e">
        <f t="shared" ca="1" si="51"/>
        <v>#N/A</v>
      </c>
      <c r="T149" s="55" t="e">
        <f t="shared" ca="1" si="45"/>
        <v>#N/A</v>
      </c>
      <c r="U149" s="55" t="e">
        <f t="shared" ca="1" si="46"/>
        <v>#N/A</v>
      </c>
      <c r="V149" s="55" t="e">
        <f t="shared" ca="1" si="47"/>
        <v>#N/A</v>
      </c>
      <c r="W149" s="55" t="e">
        <f t="shared" ca="1" si="52"/>
        <v>#N/A</v>
      </c>
      <c r="X149" s="55" t="e">
        <f t="shared" ca="1" si="53"/>
        <v>#N/A</v>
      </c>
      <c r="Y149" s="55" t="e">
        <f t="shared" ca="1" si="54"/>
        <v>#N/A</v>
      </c>
      <c r="Z149" t="e">
        <f t="shared" ca="1" si="48"/>
        <v>#N/A</v>
      </c>
      <c r="AA149" t="e">
        <f t="shared" ca="1" si="55"/>
        <v>#N/A</v>
      </c>
      <c r="AB149" t="e">
        <f t="shared" ca="1" si="49"/>
        <v>#N/A</v>
      </c>
      <c r="AC149" t="e">
        <f t="shared" ca="1" si="50"/>
        <v>#N/A</v>
      </c>
      <c r="AD149" s="83">
        <f ca="1"/>
        <v>45433</v>
      </c>
      <c r="AE149" s="55">
        <f t="shared" ref="AE149:AE212" ca="1" si="59">IF(AD149&gt;1,AD149,"")</f>
        <v>45433</v>
      </c>
      <c r="AF149" s="55">
        <f t="shared" ref="AF149:AF212" ca="1" si="60">VLOOKUP(AE149,ModelOutputs,2,FALSE)</f>
        <v>-64.83980953160642</v>
      </c>
      <c r="AG149" s="55">
        <f t="shared" ref="AG149:AG212" ca="1" si="61">VLOOKUP(AE149,ModelOutputs,7,FALSE)</f>
        <v>130.38315199692724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26.604127322124253</v>
      </c>
      <c r="AK149" s="55">
        <f t="shared" ca="1" si="58"/>
        <v>9.7496562415340851</v>
      </c>
    </row>
    <row r="150" spans="18:37">
      <c r="R150" s="83" t="e">
        <f ca="1"/>
        <v>#N/A</v>
      </c>
      <c r="S150" s="55" t="e">
        <f t="shared" ca="1" si="51"/>
        <v>#N/A</v>
      </c>
      <c r="T150" s="55" t="e">
        <f t="shared" ca="1" si="45"/>
        <v>#N/A</v>
      </c>
      <c r="U150" s="55" t="e">
        <f t="shared" ca="1" si="46"/>
        <v>#N/A</v>
      </c>
      <c r="V150" s="55" t="e">
        <f t="shared" ca="1" si="47"/>
        <v>#N/A</v>
      </c>
      <c r="W150" s="55" t="e">
        <f t="shared" ca="1" si="52"/>
        <v>#N/A</v>
      </c>
      <c r="X150" s="55" t="e">
        <f t="shared" ca="1" si="53"/>
        <v>#N/A</v>
      </c>
      <c r="Y150" s="55" t="e">
        <f t="shared" ca="1" si="54"/>
        <v>#N/A</v>
      </c>
      <c r="Z150" t="e">
        <f t="shared" ca="1" si="48"/>
        <v>#N/A</v>
      </c>
      <c r="AA150" t="e">
        <f t="shared" ca="1" si="55"/>
        <v>#N/A</v>
      </c>
      <c r="AB150" t="e">
        <f t="shared" ca="1" si="49"/>
        <v>#N/A</v>
      </c>
      <c r="AC150" t="e">
        <f t="shared" ca="1" si="50"/>
        <v>#N/A</v>
      </c>
      <c r="AD150" s="83">
        <f ca="1"/>
        <v>45434</v>
      </c>
      <c r="AE150" s="55">
        <f t="shared" ca="1" si="59"/>
        <v>45434</v>
      </c>
      <c r="AF150" s="55">
        <f t="shared" ca="1" si="60"/>
        <v>-66.14936410008103</v>
      </c>
      <c r="AG150" s="55">
        <f t="shared" ca="1" si="61"/>
        <v>131.93816176864445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26.843975912473887</v>
      </c>
      <c r="AK150" s="55">
        <f t="shared" ca="1" si="58"/>
        <v>9.7552628544270483</v>
      </c>
    </row>
    <row r="151" spans="18:37">
      <c r="R151" s="83" t="e">
        <f ca="1"/>
        <v>#N/A</v>
      </c>
      <c r="S151" s="55" t="e">
        <f t="shared" ca="1" si="51"/>
        <v>#N/A</v>
      </c>
      <c r="T151" s="55" t="e">
        <f t="shared" ca="1" si="45"/>
        <v>#N/A</v>
      </c>
      <c r="U151" s="55" t="e">
        <f t="shared" ca="1" si="46"/>
        <v>#N/A</v>
      </c>
      <c r="V151" s="55" t="e">
        <f t="shared" ca="1" si="47"/>
        <v>#N/A</v>
      </c>
      <c r="W151" s="55" t="e">
        <f t="shared" ca="1" si="52"/>
        <v>#N/A</v>
      </c>
      <c r="X151" s="55" t="e">
        <f t="shared" ca="1" si="53"/>
        <v>#N/A</v>
      </c>
      <c r="Y151" s="55" t="e">
        <f t="shared" ca="1" si="54"/>
        <v>#N/A</v>
      </c>
      <c r="Z151" t="e">
        <f t="shared" ca="1" si="48"/>
        <v>#N/A</v>
      </c>
      <c r="AA151" t="e">
        <f t="shared" ca="1" si="55"/>
        <v>#N/A</v>
      </c>
      <c r="AB151" t="e">
        <f t="shared" ca="1" si="49"/>
        <v>#N/A</v>
      </c>
      <c r="AC151" t="e">
        <f t="shared" ca="1" si="50"/>
        <v>#N/A</v>
      </c>
      <c r="AD151" s="83">
        <f ca="1"/>
        <v>45435</v>
      </c>
      <c r="AE151" s="55">
        <f t="shared" ca="1" si="59"/>
        <v>45435</v>
      </c>
      <c r="AF151" s="55">
        <f t="shared" ca="1" si="60"/>
        <v>-67.430883360581745</v>
      </c>
      <c r="AG151" s="55">
        <f t="shared" ca="1" si="61"/>
        <v>133.46349158506621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27.082276832321789</v>
      </c>
      <c r="AK151" s="55">
        <f t="shared" ca="1" si="58"/>
        <v>9.7607724905001874</v>
      </c>
    </row>
    <row r="152" spans="18:37">
      <c r="R152" s="83" t="e">
        <f ca="1"/>
        <v>#N/A</v>
      </c>
      <c r="S152" s="55" t="e">
        <f t="shared" ca="1" si="51"/>
        <v>#N/A</v>
      </c>
      <c r="T152" s="55" t="e">
        <f t="shared" ca="1" si="45"/>
        <v>#N/A</v>
      </c>
      <c r="U152" s="55" t="e">
        <f t="shared" ca="1" si="46"/>
        <v>#N/A</v>
      </c>
      <c r="V152" s="55" t="e">
        <f t="shared" ca="1" si="47"/>
        <v>#N/A</v>
      </c>
      <c r="W152" s="55" t="e">
        <f t="shared" ca="1" si="52"/>
        <v>#N/A</v>
      </c>
      <c r="X152" s="55" t="e">
        <f t="shared" ca="1" si="53"/>
        <v>#N/A</v>
      </c>
      <c r="Y152" s="55" t="e">
        <f t="shared" ca="1" si="54"/>
        <v>#N/A</v>
      </c>
      <c r="Z152" t="e">
        <f t="shared" ca="1" si="48"/>
        <v>#N/A</v>
      </c>
      <c r="AA152" t="e">
        <f t="shared" ca="1" si="55"/>
        <v>#N/A</v>
      </c>
      <c r="AB152" t="e">
        <f t="shared" ca="1" si="49"/>
        <v>#N/A</v>
      </c>
      <c r="AC152" t="e">
        <f t="shared" ca="1" si="50"/>
        <v>#N/A</v>
      </c>
      <c r="AD152" s="83">
        <f ca="1"/>
        <v>45436</v>
      </c>
      <c r="AE152" s="55">
        <f t="shared" ca="1" si="59"/>
        <v>45436</v>
      </c>
      <c r="AF152" s="55">
        <f t="shared" ca="1" si="60"/>
        <v>-68.717566827756329</v>
      </c>
      <c r="AG152" s="55">
        <f t="shared" ca="1" si="61"/>
        <v>135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27.326554639746131</v>
      </c>
      <c r="AK152" s="55">
        <f t="shared" ca="1" si="58"/>
        <v>9.7663196308350635</v>
      </c>
    </row>
    <row r="153" spans="18:37">
      <c r="R153" s="83" t="e">
        <f ca="1"/>
        <v>#N/A</v>
      </c>
      <c r="S153" s="55" t="e">
        <f t="shared" ca="1" si="51"/>
        <v>#N/A</v>
      </c>
      <c r="T153" s="55" t="e">
        <f t="shared" ca="1" si="45"/>
        <v>#N/A</v>
      </c>
      <c r="U153" s="55" t="e">
        <f t="shared" ca="1" si="46"/>
        <v>#N/A</v>
      </c>
      <c r="V153" s="55" t="e">
        <f t="shared" ca="1" si="47"/>
        <v>#N/A</v>
      </c>
      <c r="W153" s="55" t="e">
        <f t="shared" ca="1" si="52"/>
        <v>#N/A</v>
      </c>
      <c r="X153" s="55" t="e">
        <f t="shared" ca="1" si="53"/>
        <v>#N/A</v>
      </c>
      <c r="Y153" s="55" t="e">
        <f t="shared" ca="1" si="54"/>
        <v>#N/A</v>
      </c>
      <c r="Z153" t="e">
        <f t="shared" ca="1" si="48"/>
        <v>#N/A</v>
      </c>
      <c r="AA153" t="e">
        <f t="shared" ca="1" si="55"/>
        <v>#N/A</v>
      </c>
      <c r="AB153" t="e">
        <f t="shared" ca="1" si="49"/>
        <v>#N/A</v>
      </c>
      <c r="AC153" t="e">
        <f t="shared" ca="1" si="50"/>
        <v>#N/A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 t="e">
        <f ca="1"/>
        <v>#N/A</v>
      </c>
      <c r="S154" s="55" t="e">
        <f t="shared" ca="1" si="51"/>
        <v>#N/A</v>
      </c>
      <c r="T154" s="55" t="e">
        <f t="shared" ca="1" si="45"/>
        <v>#N/A</v>
      </c>
      <c r="U154" s="55" t="e">
        <f t="shared" ca="1" si="46"/>
        <v>#N/A</v>
      </c>
      <c r="V154" s="55" t="e">
        <f t="shared" ca="1" si="47"/>
        <v>#N/A</v>
      </c>
      <c r="W154" s="55" t="e">
        <f t="shared" ca="1" si="52"/>
        <v>#N/A</v>
      </c>
      <c r="X154" s="55" t="e">
        <f t="shared" ca="1" si="53"/>
        <v>#N/A</v>
      </c>
      <c r="Y154" s="55" t="e">
        <f t="shared" ca="1" si="54"/>
        <v>#N/A</v>
      </c>
      <c r="Z154" t="e">
        <f t="shared" ca="1" si="48"/>
        <v>#N/A</v>
      </c>
      <c r="AA154" t="e">
        <f t="shared" ca="1" si="55"/>
        <v>#N/A</v>
      </c>
      <c r="AB154" t="e">
        <f t="shared" ca="1" si="49"/>
        <v>#N/A</v>
      </c>
      <c r="AC154" t="e">
        <f t="shared" ca="1" si="50"/>
        <v>#N/A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 t="e">
        <f ca="1"/>
        <v>#N/A</v>
      </c>
      <c r="S155" s="55" t="e">
        <f t="shared" ca="1" si="51"/>
        <v>#N/A</v>
      </c>
      <c r="T155" s="55" t="e">
        <f t="shared" ca="1" si="45"/>
        <v>#N/A</v>
      </c>
      <c r="U155" s="55" t="e">
        <f t="shared" ca="1" si="46"/>
        <v>#N/A</v>
      </c>
      <c r="V155" s="55" t="e">
        <f t="shared" ca="1" si="47"/>
        <v>#N/A</v>
      </c>
      <c r="W155" s="55" t="e">
        <f t="shared" ca="1" si="52"/>
        <v>#N/A</v>
      </c>
      <c r="X155" s="55" t="e">
        <f t="shared" ca="1" si="53"/>
        <v>#N/A</v>
      </c>
      <c r="Y155" s="55" t="e">
        <f t="shared" ca="1" si="54"/>
        <v>#N/A</v>
      </c>
      <c r="Z155" t="e">
        <f t="shared" ca="1" si="48"/>
        <v>#N/A</v>
      </c>
      <c r="AA155" t="e">
        <f t="shared" ca="1" si="55"/>
        <v>#N/A</v>
      </c>
      <c r="AB155" t="e">
        <f t="shared" ca="1" si="49"/>
        <v>#N/A</v>
      </c>
      <c r="AC155" t="e">
        <f t="shared" ca="1" si="50"/>
        <v>#N/A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 t="e">
        <f ca="1"/>
        <v>#N/A</v>
      </c>
      <c r="S156" s="55" t="e">
        <f t="shared" ca="1" si="51"/>
        <v>#N/A</v>
      </c>
      <c r="T156" s="55" t="e">
        <f t="shared" ca="1" si="45"/>
        <v>#N/A</v>
      </c>
      <c r="U156" s="55" t="e">
        <f t="shared" ca="1" si="46"/>
        <v>#N/A</v>
      </c>
      <c r="V156" s="55" t="e">
        <f t="shared" ca="1" si="47"/>
        <v>#N/A</v>
      </c>
      <c r="W156" s="55" t="e">
        <f t="shared" ca="1" si="52"/>
        <v>#N/A</v>
      </c>
      <c r="X156" s="55" t="e">
        <f t="shared" ca="1" si="53"/>
        <v>#N/A</v>
      </c>
      <c r="Y156" s="55" t="e">
        <f t="shared" ca="1" si="54"/>
        <v>#N/A</v>
      </c>
      <c r="Z156" t="e">
        <f t="shared" ca="1" si="48"/>
        <v>#N/A</v>
      </c>
      <c r="AA156" t="e">
        <f t="shared" ca="1" si="55"/>
        <v>#N/A</v>
      </c>
      <c r="AB156" t="e">
        <f t="shared" ca="1" si="49"/>
        <v>#N/A</v>
      </c>
      <c r="AC156" t="e">
        <f t="shared" ca="1" si="50"/>
        <v>#N/A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 t="e">
        <f ca="1"/>
        <v>#N/A</v>
      </c>
      <c r="S157" s="55" t="e">
        <f t="shared" ca="1" si="51"/>
        <v>#N/A</v>
      </c>
      <c r="T157" s="55" t="e">
        <f t="shared" ca="1" si="45"/>
        <v>#N/A</v>
      </c>
      <c r="U157" s="55" t="e">
        <f t="shared" ca="1" si="46"/>
        <v>#N/A</v>
      </c>
      <c r="V157" s="55" t="e">
        <f t="shared" ca="1" si="47"/>
        <v>#N/A</v>
      </c>
      <c r="W157" s="55" t="e">
        <f t="shared" ca="1" si="52"/>
        <v>#N/A</v>
      </c>
      <c r="X157" s="55" t="e">
        <f t="shared" ca="1" si="53"/>
        <v>#N/A</v>
      </c>
      <c r="Y157" s="55" t="e">
        <f t="shared" ca="1" si="54"/>
        <v>#N/A</v>
      </c>
      <c r="Z157" t="e">
        <f t="shared" ca="1" si="48"/>
        <v>#N/A</v>
      </c>
      <c r="AA157" t="e">
        <f t="shared" ca="1" si="55"/>
        <v>#N/A</v>
      </c>
      <c r="AB157" t="e">
        <f t="shared" ca="1" si="49"/>
        <v>#N/A</v>
      </c>
      <c r="AC157" t="e">
        <f t="shared" ca="1" si="50"/>
        <v>#N/A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 t="e">
        <f ca="1"/>
        <v>#N/A</v>
      </c>
      <c r="S158" s="55" t="e">
        <f t="shared" ca="1" si="51"/>
        <v>#N/A</v>
      </c>
      <c r="T158" s="55" t="e">
        <f t="shared" ca="1" si="45"/>
        <v>#N/A</v>
      </c>
      <c r="U158" s="55" t="e">
        <f t="shared" ca="1" si="46"/>
        <v>#N/A</v>
      </c>
      <c r="V158" s="55" t="e">
        <f t="shared" ca="1" si="47"/>
        <v>#N/A</v>
      </c>
      <c r="W158" s="55" t="e">
        <f t="shared" ca="1" si="52"/>
        <v>#N/A</v>
      </c>
      <c r="X158" s="55" t="e">
        <f t="shared" ca="1" si="53"/>
        <v>#N/A</v>
      </c>
      <c r="Y158" s="55" t="e">
        <f t="shared" ca="1" si="54"/>
        <v>#N/A</v>
      </c>
      <c r="Z158" t="e">
        <f t="shared" ca="1" si="48"/>
        <v>#N/A</v>
      </c>
      <c r="AA158" t="e">
        <f t="shared" ca="1" si="55"/>
        <v>#N/A</v>
      </c>
      <c r="AB158" t="e">
        <f t="shared" ca="1" si="49"/>
        <v>#N/A</v>
      </c>
      <c r="AC158" t="e">
        <f t="shared" ca="1" si="50"/>
        <v>#N/A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topLeftCell="H125" zoomScale="105" workbookViewId="0">
      <selection activeCell="N138" sqref="N138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12" max="13" width="7.5546875" customWidth="1"/>
    <col min="14" max="14" width="22.33203125" bestFit="1" customWidth="1"/>
    <col min="16" max="16" width="13.6640625" customWidth="1"/>
    <col min="17" max="17" width="12.5546875" bestFit="1" customWidth="1"/>
    <col min="18" max="18" width="11.6640625" bestFit="1" customWidth="1"/>
    <col min="19" max="29" width="11.6640625" customWidth="1"/>
    <col min="30" max="30" width="10.6640625" bestFit="1" customWidth="1"/>
    <col min="31" max="31" width="10.6640625" customWidth="1"/>
    <col min="32" max="33" width="11.6640625" customWidth="1"/>
    <col min="34" max="34" width="10.6640625" bestFit="1" customWidth="1"/>
    <col min="37" max="37" width="6.109375" customWidth="1"/>
    <col min="44" max="44" width="3.6640625" customWidth="1"/>
    <col min="45" max="45" width="14.109375" customWidth="1"/>
    <col min="46" max="46" width="12.5546875" customWidth="1"/>
    <col min="47" max="47" width="6.33203125" customWidth="1"/>
    <col min="48" max="48" width="15.109375" bestFit="1" customWidth="1"/>
    <col min="49" max="49" width="17.44140625" bestFit="1" customWidth="1"/>
    <col min="50" max="50" width="12.44140625" bestFit="1" customWidth="1"/>
    <col min="51" max="51" width="6" bestFit="1" customWidth="1"/>
  </cols>
  <sheetData>
    <row r="1" spans="1:37" ht="26.4" thickBot="1">
      <c r="A1" s="147" t="s">
        <v>112</v>
      </c>
      <c r="B1" s="148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" thickBot="1">
      <c r="A2" s="12" t="s">
        <v>249</v>
      </c>
      <c r="B2" s="13" t="str">
        <f>H5</f>
        <v>Pukekohe</v>
      </c>
      <c r="O2" s="126"/>
      <c r="Q2" s="103"/>
      <c r="S2" s="103"/>
      <c r="T2" s="103"/>
      <c r="U2" s="103"/>
      <c r="V2" s="103"/>
      <c r="W2" s="103"/>
      <c r="X2" s="127"/>
      <c r="Y2" s="103"/>
      <c r="Z2" s="103"/>
      <c r="AA2" s="103"/>
      <c r="AB2" s="103"/>
      <c r="AC2" s="103"/>
      <c r="AD2" s="103"/>
      <c r="AG2" s="103"/>
    </row>
    <row r="3" spans="1:37">
      <c r="A3" s="12" t="s">
        <v>228</v>
      </c>
      <c r="B3" s="13" t="str">
        <f>SoilOrder</f>
        <v>SiltLoam</v>
      </c>
      <c r="D3" s="39" t="str">
        <f>ConceptDemo!C27</f>
        <v>Fertiliser already applied or planned</v>
      </c>
      <c r="E3" s="40"/>
      <c r="O3" s="12" t="s">
        <v>0</v>
      </c>
      <c r="P3" s="28">
        <f>B21+1</f>
        <v>45231</v>
      </c>
      <c r="Q3" s="3">
        <v>50</v>
      </c>
      <c r="R3" s="3"/>
      <c r="S3" s="3">
        <f ca="1">SUMIF($O$8:$O$1001,TRUE,S8:S1001)</f>
        <v>-6.3218557432399773</v>
      </c>
      <c r="T3" s="3">
        <f ca="1">SUMIF($O$8:$O$1001,TRUE,T8:T1001)</f>
        <v>16.231115650195587</v>
      </c>
      <c r="U3" s="3">
        <f ca="1">SUMIF($O$8:$O$1001,TRUE,U8:U1001)</f>
        <v>62.606253756743186</v>
      </c>
      <c r="V3" s="3">
        <f ca="1">VLOOKUP(B32,ModelOutputs,V5,FALSE)-W3</f>
        <v>0.49286200102083089</v>
      </c>
      <c r="W3">
        <f ca="1">VLOOKUP(B32,ModelOutputs,W5,FALSE)</f>
        <v>1.7468526618459819</v>
      </c>
      <c r="X3" s="13"/>
      <c r="AC3" s="3">
        <f ca="1">MAX(0,AD4-AD3)</f>
        <v>0</v>
      </c>
      <c r="AD3" s="3">
        <f ca="1">SUM(Q3:X3)</f>
        <v>124.7552283265656</v>
      </c>
      <c r="AG3" s="3"/>
    </row>
    <row r="4" spans="1:37" ht="15" thickBot="1">
      <c r="A4" s="12" t="s">
        <v>210</v>
      </c>
      <c r="B4" s="13" t="str">
        <f>SampleDepth</f>
        <v>Top15cm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>B34</f>
        <v>45301</v>
      </c>
      <c r="Q4" s="24">
        <f ca="1">VLOOKUP(P4,ModelOutputs,2,FALSE)</f>
        <v>27.825228326565529</v>
      </c>
      <c r="R4" s="27"/>
      <c r="S4" s="25"/>
      <c r="T4" s="25"/>
      <c r="U4" s="25"/>
      <c r="V4" s="24">
        <f ca="1">(VLOOKUP($P$4,ModelOutputs,V5,FALSE)-VLOOKUP($P$3+1,ModelOutputs,V5,FALSE))-W4</f>
        <v>20.811585877632766</v>
      </c>
      <c r="W4" s="26">
        <f ca="1">VLOOKUP($P$4,ModelOutputs,W5,FALSE)-VLOOKUP($P$3+1,ModelOutputs,W5,FALSE)</f>
        <v>73.76258285743252</v>
      </c>
      <c r="X4" s="27">
        <f ca="1">SUMIF($O$8:$O$1001,TRUE,X8:X1001)</f>
        <v>0</v>
      </c>
      <c r="Y4" s="3"/>
      <c r="Z4" s="3"/>
      <c r="AA4" s="3"/>
      <c r="AB4" s="3"/>
      <c r="AC4" s="3">
        <f ca="1">MAX(0,AD3-AD4)</f>
        <v>2.3558312649347783</v>
      </c>
      <c r="AD4" s="3">
        <f ca="1">SUM(Q4:X4)</f>
        <v>122.39939706163082</v>
      </c>
    </row>
    <row r="5" spans="1:37" ht="15" thickBot="1">
      <c r="A5" s="12" t="s">
        <v>238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H5" t="str">
        <f>ConceptDemo!D4</f>
        <v>Pukekohe</v>
      </c>
      <c r="I5" t="s">
        <v>203</v>
      </c>
      <c r="J5">
        <f>VLOOKUP(InCropRain,ListMembers!$Z$7:$AA$11,2,FALSE)</f>
        <v>1</v>
      </c>
      <c r="R5">
        <f ca="1">SUMIF(N7:N1000,FALSE,R7:R1000)</f>
        <v>137.29962247218333</v>
      </c>
      <c r="S5">
        <f ca="1">SUMIF(N7:N1000,TRUE,S7:S1000)</f>
        <v>-6.3338396199761284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 ca="1">H7-DATE(YEAR(H7),1,0)+1</f>
        <v>245</v>
      </c>
      <c r="H7" s="95">
        <f ca="1">B19-1</f>
        <v>45170</v>
      </c>
      <c r="I7" s="119">
        <f ca="1">HLOOKUP($H$5,'Met Data'!$A$2:$F$368,G7,FALSE)</f>
        <v>10.803333333333301</v>
      </c>
      <c r="J7" s="119">
        <f ca="1">HLOOKUP($H$5,'Met Data'!$H$2:$M$368,G7,FALSE)*L7</f>
        <v>3.05</v>
      </c>
      <c r="K7" s="96">
        <f ca="1">HLOOKUP($H$5,'Met Data'!$O$2:$T$368,G7,FALSE)</f>
        <v>2.1147026396135802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45230</v>
      </c>
      <c r="Q7">
        <f ca="1"/>
        <v>0</v>
      </c>
      <c r="R7">
        <f ca="1"/>
        <v>3.6515349136340376</v>
      </c>
      <c r="S7">
        <f ca="1"/>
        <v>0</v>
      </c>
      <c r="T7" s="4">
        <f ca="1"/>
        <v>0.25735690902117309</v>
      </c>
      <c r="U7">
        <f ca="1"/>
        <v>0</v>
      </c>
      <c r="V7">
        <f ca="1"/>
        <v>108.00000000000001</v>
      </c>
      <c r="W7">
        <f ca="1"/>
        <v>98.8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0.99993345063478134</v>
      </c>
      <c r="AD7" s="2">
        <f t="shared" ref="AD7:AD70" ca="1" si="2">IFERROR(P7,$AD$5)</f>
        <v>45230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229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ca="1" si="4">H8-DATE(YEAR(H8),1,0)+1</f>
        <v>246</v>
      </c>
      <c r="H8" s="95">
        <f ca="1">H7+1</f>
        <v>45171</v>
      </c>
      <c r="I8" s="119">
        <f ca="1">HLOOKUP($H$5,'Met Data'!$A$2:$F$368,G8,FALSE)</f>
        <v>10.862068965517199</v>
      </c>
      <c r="J8" s="119">
        <f ca="1">HLOOKUP($H$5,'Met Data'!$H$2:$M$368,G8,FALSE)*L8</f>
        <v>2.8035714285714199</v>
      </c>
      <c r="K8" s="96">
        <f ca="1">HLOOKUP($H$5,'Met Data'!$O$2:$T$368,G8,FALSE)</f>
        <v>2.04836351360946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45231</v>
      </c>
      <c r="Q8">
        <f ca="1"/>
        <v>49.901064507466252</v>
      </c>
      <c r="R8">
        <f ca="1"/>
        <v>0</v>
      </c>
      <c r="S8">
        <f ca="1"/>
        <v>-0.34004803254362448</v>
      </c>
      <c r="T8" s="4">
        <f ca="1"/>
        <v>0.24111254000987892</v>
      </c>
      <c r="U8">
        <f ca="1"/>
        <v>0</v>
      </c>
      <c r="V8">
        <f ca="1"/>
        <v>2.2397146628668128</v>
      </c>
      <c r="W8">
        <f ca="1"/>
        <v>1.7468526618459819</v>
      </c>
      <c r="X8">
        <f ca="1"/>
        <v>0</v>
      </c>
      <c r="Y8">
        <f ca="1"/>
        <v>0.88110303357499076</v>
      </c>
      <c r="Z8">
        <f ca="1"/>
        <v>0</v>
      </c>
      <c r="AA8">
        <f ca="1"/>
        <v>0</v>
      </c>
      <c r="AB8">
        <f ca="1"/>
        <v>2.4709543601882784E-2</v>
      </c>
      <c r="AD8" s="2">
        <f t="shared" ca="1" si="2"/>
        <v>45231</v>
      </c>
      <c r="AE8">
        <f t="shared" ca="1" si="3"/>
        <v>0</v>
      </c>
      <c r="AF8" s="3"/>
      <c r="AG8" s="63">
        <f ca="1">Q7+S8+T8+U8</f>
        <v>-9.8935492533745562E-2</v>
      </c>
      <c r="AH8" s="63">
        <f ca="1">Q8+R8+X8</f>
        <v>49.901064507466252</v>
      </c>
      <c r="AI8" s="3">
        <f ca="1">AH8-AG8</f>
        <v>50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ca="1" si="4"/>
        <v>247</v>
      </c>
      <c r="H9" s="95">
        <f t="shared" ref="H9:H72" ca="1" si="6">H8+1</f>
        <v>45172</v>
      </c>
      <c r="I9" s="119">
        <f ca="1">HLOOKUP($H$5,'Met Data'!$A$2:$F$368,G9,FALSE)</f>
        <v>11.4379310344827</v>
      </c>
      <c r="J9" s="119">
        <f ca="1">HLOOKUP($H$5,'Met Data'!$H$2:$M$368,G9,FALSE)*L9</f>
        <v>2.2964285714285699</v>
      </c>
      <c r="K9" s="96">
        <f ca="1">HLOOKUP($H$5,'Met Data'!$O$2:$T$368,G9,FALSE)</f>
        <v>2.1933906940536101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45232</v>
      </c>
      <c r="Q9">
        <f ca="1"/>
        <v>49.690097209241856</v>
      </c>
      <c r="R9">
        <f ca="1"/>
        <v>0.11611660206799757</v>
      </c>
      <c r="S9">
        <f ca="1"/>
        <v>-0.32619514910927971</v>
      </c>
      <c r="T9" s="4">
        <f ca="1"/>
        <v>0.23134445295288214</v>
      </c>
      <c r="U9">
        <f ca="1"/>
        <v>0</v>
      </c>
      <c r="V9">
        <f ca="1"/>
        <v>2.3558312649348103</v>
      </c>
      <c r="W9">
        <f ca="1"/>
        <v>1.8374171425675401</v>
      </c>
      <c r="X9">
        <f ca="1"/>
        <v>0</v>
      </c>
      <c r="Y9">
        <f ca="1"/>
        <v>0.84508291946150926</v>
      </c>
      <c r="Z9">
        <f ca="1"/>
        <v>0</v>
      </c>
      <c r="AA9">
        <f ca="1"/>
        <v>0</v>
      </c>
      <c r="AB9">
        <f ca="1"/>
        <v>2.7981007849306062E-2</v>
      </c>
      <c r="AD9" s="2">
        <f t="shared" ca="1" si="2"/>
        <v>45232</v>
      </c>
      <c r="AE9">
        <f t="shared" ca="1" si="3"/>
        <v>0</v>
      </c>
      <c r="AG9" s="63">
        <f t="shared" ref="AG9:AG72" ca="1" si="7">Q8+S9+T9+U9</f>
        <v>49.806213811309853</v>
      </c>
      <c r="AH9" s="63">
        <f t="shared" ref="AH9:AH72" ca="1" si="8">Q9+R9+X9</f>
        <v>49.806213811309853</v>
      </c>
      <c r="AI9" s="3">
        <f t="shared" ref="AI9:AI72" ca="1" si="9">AH9-AG9</f>
        <v>0</v>
      </c>
    </row>
    <row r="10" spans="1:37" ht="1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ca="1" si="4"/>
        <v>248</v>
      </c>
      <c r="H10" s="95">
        <f t="shared" ca="1" si="6"/>
        <v>45173</v>
      </c>
      <c r="I10" s="119">
        <f ca="1">HLOOKUP($H$5,'Met Data'!$A$2:$F$368,G10,FALSE)</f>
        <v>11.5448275862068</v>
      </c>
      <c r="J10" s="119">
        <f ca="1">HLOOKUP($H$5,'Met Data'!$H$2:$M$368,G10,FALSE)*L10</f>
        <v>3.6892857142857101</v>
      </c>
      <c r="K10" s="96">
        <f ca="1">HLOOKUP($H$5,'Met Data'!$O$2:$T$368,G10,FALSE)</f>
        <v>2.0025541274337399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45233</v>
      </c>
      <c r="Q10">
        <f ca="1"/>
        <v>49.487860969865409</v>
      </c>
      <c r="R10">
        <f ca="1"/>
        <v>0.12061512278247344</v>
      </c>
      <c r="S10">
        <f ca="1"/>
        <v>-0.30936951084618947</v>
      </c>
      <c r="T10" s="4">
        <f ca="1"/>
        <v>0.22774839425221888</v>
      </c>
      <c r="U10">
        <f ca="1"/>
        <v>0</v>
      </c>
      <c r="V10">
        <f ca="1"/>
        <v>2.4764463877172838</v>
      </c>
      <c r="W10">
        <f ca="1"/>
        <v>1.9314902188324219</v>
      </c>
      <c r="X10">
        <f ca="1"/>
        <v>0</v>
      </c>
      <c r="Y10">
        <f ca="1"/>
        <v>0.83989884621612432</v>
      </c>
      <c r="Z10">
        <f ca="1"/>
        <v>0</v>
      </c>
      <c r="AA10">
        <f ca="1"/>
        <v>0</v>
      </c>
      <c r="AB10">
        <f ca="1"/>
        <v>3.1625628160018647E-2</v>
      </c>
      <c r="AD10" s="2">
        <f t="shared" ca="1" si="2"/>
        <v>45233</v>
      </c>
      <c r="AE10">
        <f t="shared" ca="1" si="3"/>
        <v>0</v>
      </c>
      <c r="AG10" s="63">
        <f t="shared" ca="1" si="7"/>
        <v>49.608476092647884</v>
      </c>
      <c r="AH10" s="63">
        <f t="shared" ca="1" si="8"/>
        <v>49.608476092647884</v>
      </c>
      <c r="AI10" s="3">
        <f t="shared" ca="1" si="9"/>
        <v>0</v>
      </c>
    </row>
    <row r="11" spans="1:37" ht="15" thickBot="1">
      <c r="A11" s="12" t="s">
        <v>189</v>
      </c>
      <c r="B11" s="13" t="str">
        <f>Irrigation</f>
        <v>None</v>
      </c>
      <c r="G11" s="3">
        <f t="shared" ca="1" si="4"/>
        <v>249</v>
      </c>
      <c r="H11" s="95">
        <f t="shared" ca="1" si="6"/>
        <v>45174</v>
      </c>
      <c r="I11" s="119">
        <f ca="1">HLOOKUP($H$5,'Met Data'!$A$2:$F$368,G11,FALSE)</f>
        <v>11.734482758620601</v>
      </c>
      <c r="J11" s="119">
        <f ca="1">HLOOKUP($H$5,'Met Data'!$H$2:$M$368,G11,FALSE)*L11</f>
        <v>5.6892857142857096</v>
      </c>
      <c r="K11" s="96">
        <f ca="1">HLOOKUP($H$5,'Met Data'!$O$2:$T$368,G11,FALSE)</f>
        <v>2.0261980789565999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45234</v>
      </c>
      <c r="Q11">
        <f ca="1"/>
        <v>49.291848276359936</v>
      </c>
      <c r="R11">
        <f ca="1"/>
        <v>0.12971624438683804</v>
      </c>
      <c r="S11">
        <f ca="1"/>
        <v>-0.29973146235388082</v>
      </c>
      <c r="T11" s="4">
        <f ca="1"/>
        <v>0.23343501323524099</v>
      </c>
      <c r="U11">
        <f ca="1"/>
        <v>0</v>
      </c>
      <c r="V11">
        <f ca="1"/>
        <v>2.6061626321041218</v>
      </c>
      <c r="W11">
        <f ca="1"/>
        <v>2.0326616629224343</v>
      </c>
      <c r="X11">
        <f ca="1"/>
        <v>0</v>
      </c>
      <c r="Y11">
        <f ca="1"/>
        <v>0.8452296674634856</v>
      </c>
      <c r="Z11">
        <f ca="1"/>
        <v>0</v>
      </c>
      <c r="AA11">
        <f ca="1"/>
        <v>0</v>
      </c>
      <c r="AB11">
        <f ca="1"/>
        <v>3.5827392967946181E-2</v>
      </c>
      <c r="AD11" s="2">
        <f t="shared" ca="1" si="2"/>
        <v>45234</v>
      </c>
      <c r="AE11">
        <f t="shared" ca="1" si="3"/>
        <v>0</v>
      </c>
      <c r="AG11" s="63">
        <f t="shared" ca="1" si="7"/>
        <v>49.42156452074677</v>
      </c>
      <c r="AH11" s="63">
        <f t="shared" ca="1" si="8"/>
        <v>49.42156452074677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Barley Fodder General</v>
      </c>
      <c r="D12" s="145" t="str">
        <f>ConceptDemo!C36</f>
        <v>Soil Mineral N Test Results</v>
      </c>
      <c r="E12" s="146"/>
      <c r="G12" s="3">
        <f t="shared" ca="1" si="4"/>
        <v>250</v>
      </c>
      <c r="H12" s="95">
        <f t="shared" ca="1" si="6"/>
        <v>45175</v>
      </c>
      <c r="I12" s="119">
        <f ca="1">HLOOKUP($H$5,'Met Data'!$A$2:$F$368,G12,FALSE)</f>
        <v>11.682758620689601</v>
      </c>
      <c r="J12" s="119">
        <f ca="1">HLOOKUP($H$5,'Met Data'!$H$2:$M$368,G12,FALSE)*L12</f>
        <v>3.97586206896551</v>
      </c>
      <c r="K12" s="96">
        <f ca="1">HLOOKUP($H$5,'Met Data'!$O$2:$T$368,G12,FALSE)</f>
        <v>2.26836536246158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45235</v>
      </c>
      <c r="Q12">
        <f ca="1"/>
        <v>49.113289148504762</v>
      </c>
      <c r="R12">
        <f ca="1"/>
        <v>0.14168800861710285</v>
      </c>
      <c r="S12">
        <f ca="1"/>
        <v>-0.29285136085195385</v>
      </c>
      <c r="T12" s="4">
        <f ca="1"/>
        <v>0.25598024161388222</v>
      </c>
      <c r="U12">
        <f ca="1"/>
        <v>0</v>
      </c>
      <c r="V12">
        <f ca="1"/>
        <v>2.7478506407212246</v>
      </c>
      <c r="W12">
        <f ca="1"/>
        <v>2.1431704161614009</v>
      </c>
      <c r="X12">
        <f ca="1"/>
        <v>0</v>
      </c>
      <c r="Y12">
        <f ca="1"/>
        <v>0.89434162818101692</v>
      </c>
      <c r="Z12">
        <f ca="1"/>
        <v>0</v>
      </c>
      <c r="AA12">
        <f ca="1"/>
        <v>0</v>
      </c>
      <c r="AB12">
        <f ca="1"/>
        <v>4.0752368797189534E-2</v>
      </c>
      <c r="AD12" s="2">
        <f t="shared" ca="1" si="2"/>
        <v>45235</v>
      </c>
      <c r="AE12">
        <f t="shared" ca="1" si="3"/>
        <v>0</v>
      </c>
      <c r="AG12" s="63">
        <f t="shared" ca="1" si="7"/>
        <v>49.254977157121864</v>
      </c>
      <c r="AH12" s="63">
        <f t="shared" ca="1" si="8"/>
        <v>49.254977157121864</v>
      </c>
      <c r="AI12" s="3">
        <f t="shared" ca="1" si="9"/>
        <v>0</v>
      </c>
    </row>
    <row r="13" spans="1:37" ht="15" thickBot="1">
      <c r="A13" s="6" t="s">
        <v>239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G13" s="3">
        <f t="shared" ca="1" si="4"/>
        <v>251</v>
      </c>
      <c r="H13" s="95">
        <f t="shared" ca="1" si="6"/>
        <v>45176</v>
      </c>
      <c r="I13" s="119">
        <f ca="1">HLOOKUP($H$5,'Met Data'!$A$2:$F$368,G13,FALSE)</f>
        <v>11.389655172413701</v>
      </c>
      <c r="J13" s="119">
        <f ca="1">HLOOKUP($H$5,'Met Data'!$H$2:$M$368,G13,FALSE)*L13</f>
        <v>2.6793103448275799</v>
      </c>
      <c r="K13" s="96">
        <f ca="1">HLOOKUP($H$5,'Met Data'!$O$2:$T$368,G13,FALSE)</f>
        <v>2.1403968231495001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45236</v>
      </c>
      <c r="Q13">
        <f ca="1"/>
        <v>48.95062619531457</v>
      </c>
      <c r="R13">
        <f ca="1"/>
        <v>0.14299706385187383</v>
      </c>
      <c r="S13">
        <f ca="1"/>
        <v>-0.27179610988628933</v>
      </c>
      <c r="T13" s="4">
        <f ca="1"/>
        <v>0.25213022054796502</v>
      </c>
      <c r="U13">
        <f ca="1"/>
        <v>0</v>
      </c>
      <c r="V13">
        <f ca="1"/>
        <v>2.8908477045730985</v>
      </c>
      <c r="W13">
        <f ca="1"/>
        <v>2.25470015955562</v>
      </c>
      <c r="X13">
        <f ca="1"/>
        <v>0</v>
      </c>
      <c r="Y13">
        <f ca="1"/>
        <v>0.90853435027740259</v>
      </c>
      <c r="Z13">
        <f ca="1"/>
        <v>0</v>
      </c>
      <c r="AA13">
        <f ca="1"/>
        <v>0</v>
      </c>
      <c r="AB13">
        <f ca="1"/>
        <v>4.6078094057185347E-2</v>
      </c>
      <c r="AD13" s="2">
        <f t="shared" ca="1" si="2"/>
        <v>45236</v>
      </c>
      <c r="AE13">
        <f t="shared" ca="1" si="3"/>
        <v>0</v>
      </c>
      <c r="AG13" s="63">
        <f t="shared" ca="1" si="7"/>
        <v>49.093623259166442</v>
      </c>
      <c r="AH13" s="63">
        <f t="shared" ca="1" si="8"/>
        <v>49.093623259166442</v>
      </c>
      <c r="AI13" s="3">
        <f t="shared" ca="1" si="9"/>
        <v>0</v>
      </c>
    </row>
    <row r="14" spans="1:37">
      <c r="A14" s="6" t="s">
        <v>232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s="3">
        <f t="shared" ca="1" si="4"/>
        <v>252</v>
      </c>
      <c r="H14" s="95">
        <f t="shared" ca="1" si="6"/>
        <v>45177</v>
      </c>
      <c r="I14" s="119">
        <f ca="1">HLOOKUP($H$5,'Met Data'!$A$2:$F$368,G14,FALSE)</f>
        <v>11.834482758620601</v>
      </c>
      <c r="J14" s="119">
        <f ca="1">HLOOKUP($H$5,'Met Data'!$H$2:$M$368,G14,FALSE)*L14</f>
        <v>4.4310344827586201</v>
      </c>
      <c r="K14" s="96">
        <f ca="1">HLOOKUP($H$5,'Met Data'!$O$2:$T$368,G14,FALSE)</f>
        <v>2.4179314095726698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45237</v>
      </c>
      <c r="Q14">
        <f ca="1"/>
        <v>48.794903885458801</v>
      </c>
      <c r="R14">
        <f ca="1"/>
        <v>0.15554167587661727</v>
      </c>
      <c r="S14">
        <f ca="1"/>
        <v>-0.26478823556216624</v>
      </c>
      <c r="T14" s="4">
        <f ca="1"/>
        <v>0.26460760158301316</v>
      </c>
      <c r="U14">
        <f ca="1"/>
        <v>0</v>
      </c>
      <c r="V14">
        <f ca="1"/>
        <v>3.0463893804497157</v>
      </c>
      <c r="W14">
        <f ca="1"/>
        <v>2.3760140014649593</v>
      </c>
      <c r="X14">
        <f ca="1"/>
        <v>0</v>
      </c>
      <c r="Y14">
        <f ca="1"/>
        <v>0.92598017341731975</v>
      </c>
      <c r="Z14">
        <f ca="1"/>
        <v>0</v>
      </c>
      <c r="AA14">
        <f ca="1"/>
        <v>0</v>
      </c>
      <c r="AB14">
        <f ca="1"/>
        <v>5.2274778290529678E-2</v>
      </c>
      <c r="AD14" s="2">
        <f t="shared" ca="1" si="2"/>
        <v>45237</v>
      </c>
      <c r="AE14">
        <f t="shared" ca="1" si="3"/>
        <v>0</v>
      </c>
      <c r="AG14" s="63">
        <f t="shared" ca="1" si="7"/>
        <v>48.950445561335421</v>
      </c>
      <c r="AH14" s="63">
        <f t="shared" ca="1" si="8"/>
        <v>48.950445561335421</v>
      </c>
      <c r="AI14" s="3">
        <f t="shared" ca="1" si="9"/>
        <v>0</v>
      </c>
    </row>
    <row r="15" spans="1:37">
      <c r="A15" s="6" t="s">
        <v>233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ca="1" si="4"/>
        <v>253</v>
      </c>
      <c r="H15" s="95">
        <f t="shared" ca="1" si="6"/>
        <v>45178</v>
      </c>
      <c r="I15" s="119">
        <f ca="1">HLOOKUP($H$5,'Met Data'!$A$2:$F$368,G15,FALSE)</f>
        <v>11.465</v>
      </c>
      <c r="J15" s="119">
        <f ca="1">HLOOKUP($H$5,'Met Data'!$H$2:$M$368,G15,FALSE)*L15</f>
        <v>3.6827586206896501</v>
      </c>
      <c r="K15" s="96">
        <f ca="1">HLOOKUP($H$5,'Met Data'!$O$2:$T$368,G15,FALSE)</f>
        <v>2.2362909221430498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45238</v>
      </c>
      <c r="Q15">
        <f ca="1"/>
        <v>48.641037235392922</v>
      </c>
      <c r="R15">
        <f ca="1"/>
        <v>0.16841747834193699</v>
      </c>
      <c r="S15">
        <f ca="1"/>
        <v>-0.25677410419495361</v>
      </c>
      <c r="T15" s="4">
        <f ca="1"/>
        <v>0.27132493247101341</v>
      </c>
      <c r="U15">
        <f ca="1"/>
        <v>0</v>
      </c>
      <c r="V15">
        <f ca="1"/>
        <v>3.2148068587916527</v>
      </c>
      <c r="W15">
        <f ca="1"/>
        <v>2.5073702519823473</v>
      </c>
      <c r="X15">
        <f ca="1"/>
        <v>0</v>
      </c>
      <c r="Y15">
        <f ca="1"/>
        <v>0.92844023602709258</v>
      </c>
      <c r="Z15">
        <f ca="1"/>
        <v>0</v>
      </c>
      <c r="AA15">
        <f ca="1"/>
        <v>0</v>
      </c>
      <c r="AB15">
        <f ca="1"/>
        <v>5.9454828933434248E-2</v>
      </c>
      <c r="AD15" s="2">
        <f t="shared" ca="1" si="2"/>
        <v>45238</v>
      </c>
      <c r="AE15">
        <f t="shared" ca="1" si="3"/>
        <v>0</v>
      </c>
      <c r="AG15" s="63">
        <f t="shared" ca="1" si="7"/>
        <v>48.809454713734858</v>
      </c>
      <c r="AH15" s="63">
        <f t="shared" ca="1" si="8"/>
        <v>48.809454713734858</v>
      </c>
      <c r="AI15" s="3">
        <f t="shared" ca="1" si="9"/>
        <v>0</v>
      </c>
    </row>
    <row r="16" spans="1:37">
      <c r="A16" s="6" t="s">
        <v>114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ca="1" si="4"/>
        <v>254</v>
      </c>
      <c r="H16" s="95">
        <f t="shared" ca="1" si="6"/>
        <v>45179</v>
      </c>
      <c r="I16" s="119">
        <f ca="1">HLOOKUP($H$5,'Met Data'!$A$2:$F$368,G16,FALSE)</f>
        <v>11.62</v>
      </c>
      <c r="J16" s="119">
        <f ca="1">HLOOKUP($H$5,'Met Data'!$H$2:$M$368,G16,FALSE)*L16</f>
        <v>1.66333333333333</v>
      </c>
      <c r="K16" s="96">
        <f ca="1">HLOOKUP($H$5,'Met Data'!$O$2:$T$368,G16,FALSE)</f>
        <v>2.5120136328346701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45239</v>
      </c>
      <c r="Q16">
        <f ca="1"/>
        <v>48.495887518974335</v>
      </c>
      <c r="R16">
        <f ca="1"/>
        <v>0.17085473684060482</v>
      </c>
      <c r="S16">
        <f ca="1"/>
        <v>-0.23848771123947277</v>
      </c>
      <c r="T16" s="4">
        <f ca="1"/>
        <v>0.26419273166148699</v>
      </c>
      <c r="U16">
        <f ca="1"/>
        <v>0</v>
      </c>
      <c r="V16">
        <f ca="1"/>
        <v>3.3856615956322575</v>
      </c>
      <c r="W16">
        <f ca="1"/>
        <v>2.6406274283482789</v>
      </c>
      <c r="X16">
        <f ca="1"/>
        <v>0</v>
      </c>
      <c r="Y16">
        <f ca="1"/>
        <v>0.93122423121912135</v>
      </c>
      <c r="Z16">
        <f ca="1"/>
        <v>0</v>
      </c>
      <c r="AA16">
        <f ca="1"/>
        <v>0</v>
      </c>
      <c r="AB16">
        <f ca="1"/>
        <v>6.7231546728462488E-2</v>
      </c>
      <c r="AD16" s="2">
        <f t="shared" ca="1" si="2"/>
        <v>45239</v>
      </c>
      <c r="AE16">
        <f t="shared" ca="1" si="3"/>
        <v>0</v>
      </c>
      <c r="AG16" s="63">
        <f t="shared" ca="1" si="7"/>
        <v>48.666742255814938</v>
      </c>
      <c r="AH16" s="63">
        <f t="shared" ca="1" si="8"/>
        <v>48.666742255814938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ca="1" si="4"/>
        <v>255</v>
      </c>
      <c r="H17" s="95">
        <f t="shared" ca="1" si="6"/>
        <v>45180</v>
      </c>
      <c r="I17" s="119">
        <f ca="1">HLOOKUP($H$5,'Met Data'!$A$2:$F$368,G17,FALSE)</f>
        <v>11.7633333333333</v>
      </c>
      <c r="J17" s="119">
        <f ca="1">HLOOKUP($H$5,'Met Data'!$H$2:$M$368,G17,FALSE)*L17</f>
        <v>3.2833333333333301</v>
      </c>
      <c r="K17" s="96">
        <f ca="1">HLOOKUP($H$5,'Met Data'!$O$2:$T$368,G17,FALSE)</f>
        <v>2.3151045080086101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45240</v>
      </c>
      <c r="Q17">
        <f ca="1"/>
        <v>48.344927198666014</v>
      </c>
      <c r="R17">
        <f ca="1"/>
        <v>0.18669130938201572</v>
      </c>
      <c r="S17">
        <f ca="1"/>
        <v>-0.23260322156017166</v>
      </c>
      <c r="T17" s="4">
        <f ca="1"/>
        <v>0.26833421063386326</v>
      </c>
      <c r="U17">
        <f ca="1"/>
        <v>0</v>
      </c>
      <c r="V17">
        <f ca="1"/>
        <v>3.5723529050142733</v>
      </c>
      <c r="W17">
        <f ca="1"/>
        <v>2.7862362490362016</v>
      </c>
      <c r="X17">
        <f ca="1"/>
        <v>0</v>
      </c>
      <c r="Y17">
        <f ca="1"/>
        <v>0.92008348214356495</v>
      </c>
      <c r="Z17">
        <f ca="1"/>
        <v>0</v>
      </c>
      <c r="AA17">
        <f ca="1"/>
        <v>0</v>
      </c>
      <c r="AB17">
        <f ca="1"/>
        <v>7.6284782491206224E-2</v>
      </c>
      <c r="AD17" s="2">
        <f t="shared" ca="1" si="2"/>
        <v>45240</v>
      </c>
      <c r="AE17">
        <f t="shared" ca="1" si="3"/>
        <v>0</v>
      </c>
      <c r="AG17" s="63">
        <f t="shared" ca="1" si="7"/>
        <v>48.531618508048027</v>
      </c>
      <c r="AH17" s="63">
        <f t="shared" ca="1" si="8"/>
        <v>48.531618508048027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ca="1" si="4"/>
        <v>256</v>
      </c>
      <c r="H18" s="95">
        <f t="shared" ca="1" si="6"/>
        <v>45181</v>
      </c>
      <c r="I18" s="119">
        <f ca="1">HLOOKUP($H$5,'Met Data'!$A$2:$F$368,G18,FALSE)</f>
        <v>12.158333333333299</v>
      </c>
      <c r="J18" s="119">
        <f ca="1">HLOOKUP($H$5,'Met Data'!$H$2:$M$368,G18,FALSE)*L18</f>
        <v>3.8833333333333302</v>
      </c>
      <c r="K18" s="96">
        <f ca="1">HLOOKUP($H$5,'Met Data'!$O$2:$T$368,G18,FALSE)</f>
        <v>2.3727724062230302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45241</v>
      </c>
      <c r="Q18">
        <f ca="1"/>
        <v>48.185454331460086</v>
      </c>
      <c r="R18">
        <f ca="1"/>
        <v>0.19875653041256536</v>
      </c>
      <c r="S18">
        <f ca="1"/>
        <v>-0.22261150438909905</v>
      </c>
      <c r="T18" s="4">
        <f ca="1"/>
        <v>0.26189516759573961</v>
      </c>
      <c r="U18">
        <f ca="1"/>
        <v>0</v>
      </c>
      <c r="V18">
        <f ca="1"/>
        <v>3.7711094354268386</v>
      </c>
      <c r="W18">
        <f ca="1"/>
        <v>2.9412552699707932</v>
      </c>
      <c r="X18">
        <f ca="1"/>
        <v>0</v>
      </c>
      <c r="Y18">
        <f ca="1"/>
        <v>0.89463588556030416</v>
      </c>
      <c r="Z18">
        <f ca="1"/>
        <v>0</v>
      </c>
      <c r="AA18">
        <f ca="1"/>
        <v>0</v>
      </c>
      <c r="AB18">
        <f ca="1"/>
        <v>8.6542706955123339E-2</v>
      </c>
      <c r="AD18" s="2">
        <f t="shared" ca="1" si="2"/>
        <v>45241</v>
      </c>
      <c r="AE18">
        <f t="shared" ca="1" si="3"/>
        <v>0</v>
      </c>
      <c r="AG18" s="63">
        <f t="shared" ca="1" si="7"/>
        <v>48.384210861872653</v>
      </c>
      <c r="AH18" s="63">
        <f t="shared" ca="1" si="8"/>
        <v>48.384210861872653</v>
      </c>
      <c r="AI18" s="3">
        <f t="shared" ca="1" si="9"/>
        <v>0</v>
      </c>
    </row>
    <row r="19" spans="1:35" ht="15" thickBot="1">
      <c r="A19" s="6" t="s">
        <v>117</v>
      </c>
      <c r="B19" s="34">
        <f ca="1">PriorEstablishDate</f>
        <v>45171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ca="1" si="4"/>
        <v>257</v>
      </c>
      <c r="H19" s="95">
        <f t="shared" ca="1" si="6"/>
        <v>45182</v>
      </c>
      <c r="I19" s="119">
        <f ca="1">HLOOKUP($H$5,'Met Data'!$A$2:$F$368,G19,FALSE)</f>
        <v>11.908333333333299</v>
      </c>
      <c r="J19" s="119">
        <f ca="1">HLOOKUP($H$5,'Met Data'!$H$2:$M$368,G19,FALSE)*L19</f>
        <v>5.26</v>
      </c>
      <c r="K19" s="96">
        <f ca="1">HLOOKUP($H$5,'Met Data'!$O$2:$T$368,G19,FALSE)</f>
        <v>2.4036248389024699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45242</v>
      </c>
      <c r="Q19">
        <f ca="1"/>
        <v>48.028864900755821</v>
      </c>
      <c r="R19">
        <f ca="1"/>
        <v>0.2089624773270633</v>
      </c>
      <c r="S19">
        <f ca="1"/>
        <v>-0.21112964293251268</v>
      </c>
      <c r="T19" s="4">
        <f ca="1"/>
        <v>0.26350268955530615</v>
      </c>
      <c r="U19">
        <f ca="1"/>
        <v>0</v>
      </c>
      <c r="V19">
        <f ca="1"/>
        <v>3.9800719127539019</v>
      </c>
      <c r="W19">
        <f ca="1"/>
        <v>3.1042343609222631</v>
      </c>
      <c r="X19">
        <f ca="1"/>
        <v>0</v>
      </c>
      <c r="Y19">
        <f ca="1"/>
        <v>0.9013161591388924</v>
      </c>
      <c r="Z19">
        <f ca="1"/>
        <v>0</v>
      </c>
      <c r="AA19">
        <f ca="1"/>
        <v>0</v>
      </c>
      <c r="AB19">
        <f ca="1"/>
        <v>9.7990242817517864E-2</v>
      </c>
      <c r="AD19" s="2">
        <f t="shared" ca="1" si="2"/>
        <v>45242</v>
      </c>
      <c r="AE19">
        <f t="shared" ca="1" si="3"/>
        <v>0</v>
      </c>
      <c r="AG19" s="63">
        <f t="shared" ca="1" si="7"/>
        <v>48.237827378082883</v>
      </c>
      <c r="AH19" s="63">
        <f t="shared" ca="1" si="8"/>
        <v>48.237827378082883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</v>
      </c>
      <c r="G20" s="3">
        <f t="shared" ca="1" si="4"/>
        <v>258</v>
      </c>
      <c r="H20" s="95">
        <f t="shared" ca="1" si="6"/>
        <v>45183</v>
      </c>
      <c r="I20" s="119">
        <f ca="1">HLOOKUP($H$5,'Met Data'!$A$2:$F$368,G20,FALSE)</f>
        <v>12.074999999999999</v>
      </c>
      <c r="J20" s="119">
        <f ca="1">HLOOKUP($H$5,'Met Data'!$H$2:$M$368,G20,FALSE)*L20</f>
        <v>3.6933333333333298</v>
      </c>
      <c r="K20" s="96">
        <f ca="1">HLOOKUP($H$5,'Met Data'!$O$2:$T$368,G20,FALSE)</f>
        <v>2.56639010677653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45243</v>
      </c>
      <c r="Q20">
        <f ca="1"/>
        <v>47.872705692690332</v>
      </c>
      <c r="R20">
        <f ca="1"/>
        <v>0.21497512506256156</v>
      </c>
      <c r="S20">
        <f ca="1"/>
        <v>-0.19747112046817827</v>
      </c>
      <c r="T20" s="4">
        <f ca="1"/>
        <v>0.25628703746524878</v>
      </c>
      <c r="U20">
        <f ca="1"/>
        <v>0</v>
      </c>
      <c r="V20">
        <f ca="1"/>
        <v>4.1950470378164635</v>
      </c>
      <c r="W20">
        <f ca="1"/>
        <v>3.2719029821409737</v>
      </c>
      <c r="X20">
        <f ca="1"/>
        <v>0</v>
      </c>
      <c r="Y20">
        <f ca="1"/>
        <v>0.89462235454834149</v>
      </c>
      <c r="Z20">
        <f ca="1"/>
        <v>0</v>
      </c>
      <c r="AA20">
        <f ca="1"/>
        <v>0</v>
      </c>
      <c r="AB20">
        <f ca="1"/>
        <v>0.11044187049476613</v>
      </c>
      <c r="AD20" s="2">
        <f t="shared" ca="1" si="2"/>
        <v>45243</v>
      </c>
      <c r="AE20">
        <f t="shared" ca="1" si="3"/>
        <v>0</v>
      </c>
      <c r="AG20" s="63">
        <f t="shared" ca="1" si="7"/>
        <v>48.08768081775289</v>
      </c>
      <c r="AH20" s="63">
        <f t="shared" ca="1" si="8"/>
        <v>48.08768081775289</v>
      </c>
      <c r="AI20" s="3">
        <f t="shared" ca="1" si="9"/>
        <v>0</v>
      </c>
    </row>
    <row r="21" spans="1:35">
      <c r="A21" s="6" t="s">
        <v>119</v>
      </c>
      <c r="B21" s="34">
        <f>PriorHarvestDate</f>
        <v>45230</v>
      </c>
      <c r="G21" s="3">
        <f t="shared" ca="1" si="4"/>
        <v>259</v>
      </c>
      <c r="H21" s="95">
        <f t="shared" ca="1" si="6"/>
        <v>45184</v>
      </c>
      <c r="I21" s="119">
        <f ca="1">HLOOKUP($H$5,'Met Data'!$A$2:$F$368,G21,FALSE)</f>
        <v>12.3883333333333</v>
      </c>
      <c r="J21" s="119">
        <f ca="1">HLOOKUP($H$5,'Met Data'!$H$2:$M$368,G21,FALSE)*L21</f>
        <v>3.26</v>
      </c>
      <c r="K21" s="96">
        <f ca="1">HLOOKUP($H$5,'Met Data'!$O$2:$T$368,G21,FALSE)</f>
        <v>2.3157931057843801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45244</v>
      </c>
      <c r="Q21">
        <f ca="1"/>
        <v>47.71442819024201</v>
      </c>
      <c r="R21">
        <f ca="1"/>
        <v>0.2250613557942831</v>
      </c>
      <c r="S21">
        <f ca="1"/>
        <v>-0.18701049568586647</v>
      </c>
      <c r="T21" s="4">
        <f ca="1"/>
        <v>0.25379434903182846</v>
      </c>
      <c r="U21">
        <f ca="1"/>
        <v>0</v>
      </c>
      <c r="V21">
        <f ca="1"/>
        <v>4.4201083936107466</v>
      </c>
      <c r="W21">
        <f ca="1"/>
        <v>3.4474383014234236</v>
      </c>
      <c r="X21">
        <f ca="1"/>
        <v>0</v>
      </c>
      <c r="Y21">
        <f ca="1"/>
        <v>0.8903563083982623</v>
      </c>
      <c r="Z21">
        <f ca="1"/>
        <v>0</v>
      </c>
      <c r="AA21">
        <f ca="1"/>
        <v>0</v>
      </c>
      <c r="AB21">
        <f ca="1"/>
        <v>0.12416659409673908</v>
      </c>
      <c r="AD21" s="2">
        <f t="shared" ca="1" si="2"/>
        <v>45244</v>
      </c>
      <c r="AE21">
        <f t="shared" ca="1" si="3"/>
        <v>0</v>
      </c>
      <c r="AG21" s="63">
        <f t="shared" ca="1" si="7"/>
        <v>47.939489546036292</v>
      </c>
      <c r="AH21" s="63">
        <f t="shared" ca="1" si="8"/>
        <v>47.939489546036292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ca="1" si="4"/>
        <v>260</v>
      </c>
      <c r="H22" s="95">
        <f t="shared" ca="1" si="6"/>
        <v>45185</v>
      </c>
      <c r="I22" s="119">
        <f ca="1">HLOOKUP($H$5,'Met Data'!$A$2:$F$368,G22,FALSE)</f>
        <v>12.5766666666666</v>
      </c>
      <c r="J22" s="119">
        <f ca="1">HLOOKUP($H$5,'Met Data'!$H$2:$M$368,G22,FALSE)*L22</f>
        <v>3.5999999999999899</v>
      </c>
      <c r="K22" s="96">
        <f ca="1">HLOOKUP($H$5,'Met Data'!$O$2:$T$368,G22,FALSE)</f>
        <v>2.2894884287258899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45245</v>
      </c>
      <c r="Q22">
        <f ca="1"/>
        <v>47.540988505866267</v>
      </c>
      <c r="R22">
        <f ca="1"/>
        <v>0.24596176227560562</v>
      </c>
      <c r="S22">
        <f ca="1"/>
        <v>-0.18201150639113983</v>
      </c>
      <c r="T22" s="4">
        <f ca="1"/>
        <v>0.25453358429100592</v>
      </c>
      <c r="U22">
        <f ca="1"/>
        <v>0</v>
      </c>
      <c r="V22">
        <f ca="1"/>
        <v>4.6660701558863522</v>
      </c>
      <c r="W22">
        <f ca="1"/>
        <v>3.6392747733932551</v>
      </c>
      <c r="X22">
        <f ca="1"/>
        <v>0</v>
      </c>
      <c r="Y22">
        <f ca="1"/>
        <v>0.86924011224010134</v>
      </c>
      <c r="Z22">
        <f ca="1"/>
        <v>0</v>
      </c>
      <c r="AA22">
        <f ca="1"/>
        <v>0</v>
      </c>
      <c r="AB22">
        <f ca="1"/>
        <v>0.13991090485749316</v>
      </c>
      <c r="AD22" s="2">
        <f t="shared" ca="1" si="2"/>
        <v>45245</v>
      </c>
      <c r="AE22">
        <f t="shared" ca="1" si="3"/>
        <v>0</v>
      </c>
      <c r="AG22" s="63">
        <f t="shared" ca="1" si="7"/>
        <v>47.786950268141872</v>
      </c>
      <c r="AH22" s="63">
        <f t="shared" ca="1" si="8"/>
        <v>47.786950268141872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ca="1" si="4"/>
        <v>261</v>
      </c>
      <c r="H23" s="95">
        <f t="shared" ca="1" si="6"/>
        <v>45186</v>
      </c>
      <c r="I23" s="119">
        <f ca="1">HLOOKUP($H$5,'Met Data'!$A$2:$F$368,G23,FALSE)</f>
        <v>12.482258064516101</v>
      </c>
      <c r="J23" s="119">
        <f ca="1">HLOOKUP($H$5,'Met Data'!$H$2:$M$368,G23,FALSE)*L23</f>
        <v>2.73870967741935</v>
      </c>
      <c r="K23" s="96">
        <f ca="1">HLOOKUP($H$5,'Met Data'!$O$2:$T$368,G23,FALSE)</f>
        <v>2.42321708135252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45246</v>
      </c>
      <c r="Q23">
        <f ca="1"/>
        <v>47.363192792645329</v>
      </c>
      <c r="R23">
        <f ca="1"/>
        <v>0.26816126177513855</v>
      </c>
      <c r="S23">
        <f ca="1"/>
        <v>-0.17649530830835936</v>
      </c>
      <c r="T23" s="4">
        <f ca="1"/>
        <v>0.26686085686256378</v>
      </c>
      <c r="U23">
        <f ca="1"/>
        <v>0</v>
      </c>
      <c r="V23">
        <f ca="1"/>
        <v>4.9342314176614908</v>
      </c>
      <c r="W23">
        <f ca="1"/>
        <v>3.8484256182318028</v>
      </c>
      <c r="X23">
        <f ca="1"/>
        <v>0</v>
      </c>
      <c r="Y23">
        <f ca="1"/>
        <v>0.88498120323868734</v>
      </c>
      <c r="Z23">
        <f ca="1"/>
        <v>0</v>
      </c>
      <c r="AA23">
        <f ca="1"/>
        <v>0</v>
      </c>
      <c r="AB23">
        <f ca="1"/>
        <v>0.15787795904805385</v>
      </c>
      <c r="AD23" s="2">
        <f t="shared" ca="1" si="2"/>
        <v>45246</v>
      </c>
      <c r="AE23">
        <f t="shared" ca="1" si="3"/>
        <v>0</v>
      </c>
      <c r="AG23" s="63">
        <f t="shared" ca="1" si="7"/>
        <v>47.63135405442047</v>
      </c>
      <c r="AH23" s="63">
        <f t="shared" ca="1" si="8"/>
        <v>47.63135405442047</v>
      </c>
      <c r="AI23" s="3">
        <f t="shared" ca="1" si="9"/>
        <v>0</v>
      </c>
    </row>
    <row r="24" spans="1:35" ht="15" thickBot="1">
      <c r="A24" s="6" t="s">
        <v>167</v>
      </c>
      <c r="B24" s="101" t="str">
        <f>PriorResidueIncorporation</f>
        <v>Full (Plough)</v>
      </c>
      <c r="G24" s="3">
        <f t="shared" ca="1" si="4"/>
        <v>262</v>
      </c>
      <c r="H24" s="95">
        <f t="shared" ca="1" si="6"/>
        <v>45187</v>
      </c>
      <c r="I24" s="119">
        <f ca="1">HLOOKUP($H$5,'Met Data'!$A$2:$F$368,G24,FALSE)</f>
        <v>12.261290322580599</v>
      </c>
      <c r="J24" s="119">
        <f ca="1">HLOOKUP($H$5,'Met Data'!$H$2:$M$368,G24,FALSE)*L24</f>
        <v>2.5741935483870901</v>
      </c>
      <c r="K24" s="96">
        <f ca="1">HLOOKUP($H$5,'Met Data'!$O$2:$T$368,G24,FALSE)</f>
        <v>2.45933848636487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45247</v>
      </c>
      <c r="Q24">
        <f ca="1"/>
        <v>47.18045119487568</v>
      </c>
      <c r="R24">
        <f ca="1"/>
        <v>0.272122350233305</v>
      </c>
      <c r="S24">
        <f ca="1"/>
        <v>-0.16280519963534434</v>
      </c>
      <c r="T24" s="4">
        <f ca="1"/>
        <v>0.25218595209900052</v>
      </c>
      <c r="U24">
        <f ca="1"/>
        <v>0</v>
      </c>
      <c r="V24">
        <f ca="1"/>
        <v>5.2063537678947958</v>
      </c>
      <c r="W24">
        <f ca="1"/>
        <v>4.0606658913942697</v>
      </c>
      <c r="X24">
        <f ca="1"/>
        <v>0</v>
      </c>
      <c r="Y24">
        <f ca="1"/>
        <v>0.86580099194070859</v>
      </c>
      <c r="Z24">
        <f ca="1"/>
        <v>0</v>
      </c>
      <c r="AA24">
        <f ca="1"/>
        <v>0</v>
      </c>
      <c r="AB24">
        <f ca="1"/>
        <v>0.17686275568424811</v>
      </c>
      <c r="AD24" s="2">
        <f t="shared" ca="1" si="2"/>
        <v>45247</v>
      </c>
      <c r="AE24">
        <f t="shared" ca="1" si="3"/>
        <v>0</v>
      </c>
      <c r="AG24" s="63">
        <f t="shared" ca="1" si="7"/>
        <v>47.452573545108983</v>
      </c>
      <c r="AH24" s="63">
        <f t="shared" ca="1" si="8"/>
        <v>47.452573545108983</v>
      </c>
      <c r="AI24" s="3">
        <f t="shared" ca="1" si="9"/>
        <v>0</v>
      </c>
    </row>
    <row r="25" spans="1:35" ht="15" thickBot="1">
      <c r="A25" s="8" t="s">
        <v>142</v>
      </c>
      <c r="B25" s="11" t="str">
        <f>CurrentCropNameFull</f>
        <v>Lettuce Vegetable Ice berg</v>
      </c>
      <c r="G25" s="3">
        <f t="shared" ca="1" si="4"/>
        <v>263</v>
      </c>
      <c r="H25" s="95">
        <f t="shared" ca="1" si="6"/>
        <v>45188</v>
      </c>
      <c r="I25" s="119">
        <f ca="1">HLOOKUP($H$5,'Met Data'!$A$2:$F$368,G25,FALSE)</f>
        <v>12.1677419354838</v>
      </c>
      <c r="J25" s="119">
        <f ca="1">HLOOKUP($H$5,'Met Data'!$H$2:$M$368,G25,FALSE)*L25</f>
        <v>3.5774193548387001</v>
      </c>
      <c r="K25" s="96">
        <f ca="1">HLOOKUP($H$5,'Met Data'!$O$2:$T$368,G25,FALSE)</f>
        <v>2.2883058912546601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45248</v>
      </c>
      <c r="Q25">
        <f ca="1"/>
        <v>46.993065272123957</v>
      </c>
      <c r="R25">
        <f ca="1"/>
        <v>0.27565167522912137</v>
      </c>
      <c r="S25">
        <f ca="1"/>
        <v>-0.1505013813562508</v>
      </c>
      <c r="T25" s="4">
        <f ca="1"/>
        <v>0.23876713383364917</v>
      </c>
      <c r="U25">
        <f ca="1"/>
        <v>0</v>
      </c>
      <c r="V25">
        <f ca="1"/>
        <v>5.4820054431239171</v>
      </c>
      <c r="W25">
        <f ca="1"/>
        <v>4.2756588414336951</v>
      </c>
      <c r="X25">
        <f ca="1"/>
        <v>0</v>
      </c>
      <c r="Y25">
        <f ca="1"/>
        <v>0.84730079963727489</v>
      </c>
      <c r="Z25">
        <f ca="1"/>
        <v>0</v>
      </c>
      <c r="AA25">
        <f ca="1"/>
        <v>0</v>
      </c>
      <c r="AB25">
        <f ca="1"/>
        <v>0.19675224389144705</v>
      </c>
      <c r="AD25" s="2">
        <f t="shared" ca="1" si="2"/>
        <v>45248</v>
      </c>
      <c r="AE25">
        <f t="shared" ca="1" si="3"/>
        <v>0</v>
      </c>
      <c r="AG25" s="63">
        <f t="shared" ca="1" si="7"/>
        <v>47.268716947353077</v>
      </c>
      <c r="AH25" s="63">
        <f t="shared" ca="1" si="8"/>
        <v>47.268716947353077</v>
      </c>
      <c r="AI25" s="3">
        <f t="shared" ca="1" si="9"/>
        <v>0</v>
      </c>
    </row>
    <row r="26" spans="1:35">
      <c r="A26" s="9" t="s">
        <v>240</v>
      </c>
      <c r="B26" s="11">
        <f>CurrentYield</f>
        <v>0.9</v>
      </c>
      <c r="G26" s="3">
        <f t="shared" ca="1" si="4"/>
        <v>264</v>
      </c>
      <c r="H26" s="95">
        <f t="shared" ca="1" si="6"/>
        <v>45189</v>
      </c>
      <c r="I26" s="119">
        <f ca="1">HLOOKUP($H$5,'Met Data'!$A$2:$F$368,G26,FALSE)</f>
        <v>12.1064516129032</v>
      </c>
      <c r="J26" s="119">
        <f ca="1">HLOOKUP($H$5,'Met Data'!$H$2:$M$368,G26,FALSE)*L26</f>
        <v>2.6774193548387002</v>
      </c>
      <c r="K26" s="96">
        <f ca="1">HLOOKUP($H$5,'Met Data'!$O$2:$T$368,G26,FALSE)</f>
        <v>2.6656714596224198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45249</v>
      </c>
      <c r="Q26">
        <f ca="1"/>
        <v>46.791576868460211</v>
      </c>
      <c r="R26">
        <f ca="1"/>
        <v>0.28906504309242553</v>
      </c>
      <c r="S26">
        <f ca="1"/>
        <v>-0.14252420224200613</v>
      </c>
      <c r="T26" s="4">
        <f ca="1"/>
        <v>0.23010084167069172</v>
      </c>
      <c r="U26">
        <f ca="1"/>
        <v>0</v>
      </c>
      <c r="V26">
        <f ca="1"/>
        <v>5.7710704862163427</v>
      </c>
      <c r="W26">
        <f ca="1"/>
        <v>4.5011134711436647</v>
      </c>
      <c r="X26">
        <f ca="1"/>
        <v>0</v>
      </c>
      <c r="Y26">
        <f ca="1"/>
        <v>0.82022490068229648</v>
      </c>
      <c r="Z26">
        <f ca="1"/>
        <v>0</v>
      </c>
      <c r="AA26">
        <f ca="1"/>
        <v>0</v>
      </c>
      <c r="AB26">
        <f ca="1"/>
        <v>0.21819192409042951</v>
      </c>
      <c r="AD26" s="2">
        <f t="shared" ca="1" si="2"/>
        <v>45249</v>
      </c>
      <c r="AE26">
        <f t="shared" ca="1" si="3"/>
        <v>0</v>
      </c>
      <c r="AG26" s="63">
        <f t="shared" ca="1" si="7"/>
        <v>47.08064191155264</v>
      </c>
      <c r="AH26" s="63">
        <f t="shared" ca="1" si="8"/>
        <v>47.08064191155264</v>
      </c>
      <c r="AI26" s="3">
        <f t="shared" ca="1" si="9"/>
        <v>0</v>
      </c>
    </row>
    <row r="27" spans="1:35">
      <c r="A27" s="9" t="s">
        <v>234</v>
      </c>
      <c r="B27" s="13">
        <f>CurrentPopulation</f>
        <v>60000</v>
      </c>
      <c r="G27" s="3">
        <f t="shared" ca="1" si="4"/>
        <v>265</v>
      </c>
      <c r="H27" s="95">
        <f t="shared" ca="1" si="6"/>
        <v>45190</v>
      </c>
      <c r="I27" s="119">
        <f ca="1">HLOOKUP($H$5,'Met Data'!$A$2:$F$368,G27,FALSE)</f>
        <v>12.012903225806401</v>
      </c>
      <c r="J27" s="119">
        <f ca="1">HLOOKUP($H$5,'Met Data'!$H$2:$M$368,G27,FALSE)*L27</f>
        <v>2.8193548387096699</v>
      </c>
      <c r="K27" s="96">
        <f ca="1">HLOOKUP($H$5,'Met Data'!$O$2:$T$368,G27,FALSE)</f>
        <v>2.6640837362866301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45250</v>
      </c>
      <c r="Q27">
        <f ca="1"/>
        <v>46.569497474121007</v>
      </c>
      <c r="R27">
        <f ca="1"/>
        <v>0.31750509267304672</v>
      </c>
      <c r="S27">
        <f ca="1"/>
        <v>-0.13894098917369124</v>
      </c>
      <c r="T27" s="4">
        <f ca="1"/>
        <v>0.23436668750752912</v>
      </c>
      <c r="U27">
        <f ca="1"/>
        <v>0</v>
      </c>
      <c r="V27">
        <f ca="1"/>
        <v>6.0885755788893894</v>
      </c>
      <c r="W27">
        <f ca="1"/>
        <v>4.7487497551226427</v>
      </c>
      <c r="X27">
        <f ca="1"/>
        <v>0</v>
      </c>
      <c r="Y27">
        <f ca="1"/>
        <v>0.80766659224830384</v>
      </c>
      <c r="Z27">
        <f ca="1"/>
        <v>0</v>
      </c>
      <c r="AA27">
        <f ca="1"/>
        <v>0</v>
      </c>
      <c r="AB27">
        <f ca="1"/>
        <v>0.24226670931950708</v>
      </c>
      <c r="AD27" s="2">
        <f t="shared" ca="1" si="2"/>
        <v>45250</v>
      </c>
      <c r="AE27">
        <f t="shared" ca="1" si="3"/>
        <v>0</v>
      </c>
      <c r="AG27" s="63">
        <f t="shared" ca="1" si="7"/>
        <v>46.887002566794052</v>
      </c>
      <c r="AH27" s="63">
        <f t="shared" ca="1" si="8"/>
        <v>46.887002566794052</v>
      </c>
      <c r="AI27" s="3">
        <f t="shared" ca="1" si="9"/>
        <v>0</v>
      </c>
    </row>
    <row r="28" spans="1:35">
      <c r="A28" s="9" t="s">
        <v>235</v>
      </c>
      <c r="B28" s="13" t="str">
        <f>CurrentUnits</f>
        <v>kg/head</v>
      </c>
      <c r="G28" s="3">
        <f t="shared" ca="1" si="4"/>
        <v>266</v>
      </c>
      <c r="H28" s="95">
        <f t="shared" ca="1" si="6"/>
        <v>45191</v>
      </c>
      <c r="I28" s="119">
        <f ca="1">HLOOKUP($H$5,'Met Data'!$A$2:$F$368,G28,FALSE)</f>
        <v>12.1612903225806</v>
      </c>
      <c r="J28" s="119">
        <f ca="1">HLOOKUP($H$5,'Met Data'!$H$2:$M$368,G28,FALSE)*L28</f>
        <v>4.2935483870967701</v>
      </c>
      <c r="K28" s="96">
        <f ca="1">HLOOKUP($H$5,'Met Data'!$O$2:$T$368,G28,FALSE)</f>
        <v>2.5405503102234701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45251</v>
      </c>
      <c r="Q28">
        <f ca="1"/>
        <v>46.335280831629859</v>
      </c>
      <c r="R28">
        <f ca="1"/>
        <v>0.33693749526378891</v>
      </c>
      <c r="S28">
        <f ca="1"/>
        <v>-0.132092191484249</v>
      </c>
      <c r="T28" s="4">
        <f ca="1"/>
        <v>0.23481304425688973</v>
      </c>
      <c r="U28">
        <f ca="1"/>
        <v>0</v>
      </c>
      <c r="V28">
        <f ca="1"/>
        <v>6.4255130741531783</v>
      </c>
      <c r="W28">
        <f ca="1"/>
        <v>5.0115422305372972</v>
      </c>
      <c r="X28">
        <f ca="1"/>
        <v>0</v>
      </c>
      <c r="Y28">
        <f ca="1"/>
        <v>0.80443836849982053</v>
      </c>
      <c r="Z28">
        <f ca="1"/>
        <v>0</v>
      </c>
      <c r="AA28">
        <f ca="1"/>
        <v>0</v>
      </c>
      <c r="AB28">
        <f ca="1"/>
        <v>0.26822331883229722</v>
      </c>
      <c r="AD28" s="2">
        <f t="shared" ca="1" si="2"/>
        <v>45251</v>
      </c>
      <c r="AE28">
        <f t="shared" ca="1" si="3"/>
        <v>0</v>
      </c>
      <c r="AG28" s="63">
        <f t="shared" ca="1" si="7"/>
        <v>46.672218326893649</v>
      </c>
      <c r="AH28" s="63">
        <f t="shared" ca="1" si="8"/>
        <v>46.672218326893649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ca="1" si="4"/>
        <v>267</v>
      </c>
      <c r="H29" s="95">
        <f t="shared" ca="1" si="6"/>
        <v>45192</v>
      </c>
      <c r="I29" s="119">
        <f ca="1">HLOOKUP($H$5,'Met Data'!$A$2:$F$368,G29,FALSE)</f>
        <v>12.285483870967701</v>
      </c>
      <c r="J29" s="119">
        <f ca="1">HLOOKUP($H$5,'Met Data'!$H$2:$M$368,G29,FALSE)*L29</f>
        <v>3.69677419354838</v>
      </c>
      <c r="K29" s="96">
        <f ca="1">HLOOKUP($H$5,'Met Data'!$O$2:$T$368,G29,FALSE)</f>
        <v>2.75659518409562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45252</v>
      </c>
      <c r="Q29">
        <f ca="1"/>
        <v>46.088879483563986</v>
      </c>
      <c r="R29">
        <f ca="1"/>
        <v>0.36319193945867223</v>
      </c>
      <c r="S29">
        <f ca="1"/>
        <v>-0.12675252612346277</v>
      </c>
      <c r="T29" s="4">
        <f ca="1"/>
        <v>0.24354311751626392</v>
      </c>
      <c r="U29">
        <f ca="1"/>
        <v>0</v>
      </c>
      <c r="V29">
        <f ca="1"/>
        <v>6.7887050136118505</v>
      </c>
      <c r="W29">
        <f ca="1"/>
        <v>5.2948117097808298</v>
      </c>
      <c r="X29">
        <f ca="1"/>
        <v>0</v>
      </c>
      <c r="Y29">
        <f ca="1"/>
        <v>0.81818245513123966</v>
      </c>
      <c r="Z29">
        <f ca="1"/>
        <v>0</v>
      </c>
      <c r="AA29">
        <f ca="1"/>
        <v>0</v>
      </c>
      <c r="AB29">
        <f ca="1"/>
        <v>0.29644316358168937</v>
      </c>
      <c r="AD29" s="2">
        <f t="shared" ca="1" si="2"/>
        <v>45252</v>
      </c>
      <c r="AE29">
        <f t="shared" ca="1" si="3"/>
        <v>0</v>
      </c>
      <c r="AG29" s="63">
        <f t="shared" ca="1" si="7"/>
        <v>46.452071423022659</v>
      </c>
      <c r="AH29" s="63">
        <f t="shared" ca="1" si="8"/>
        <v>46.452071423022659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ca="1" si="4"/>
        <v>268</v>
      </c>
      <c r="H30" s="95">
        <f t="shared" ca="1" si="6"/>
        <v>45193</v>
      </c>
      <c r="I30" s="119">
        <f ca="1">HLOOKUP($H$5,'Met Data'!$A$2:$F$368,G30,FALSE)</f>
        <v>12.7274193548387</v>
      </c>
      <c r="J30" s="119">
        <f ca="1">HLOOKUP($H$5,'Met Data'!$H$2:$M$368,G30,FALSE)*L30</f>
        <v>4.4354838709677402</v>
      </c>
      <c r="K30" s="96">
        <f ca="1">HLOOKUP($H$5,'Met Data'!$O$2:$T$368,G30,FALSE)</f>
        <v>2.4043238309259301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45253</v>
      </c>
      <c r="Q30">
        <f ca="1"/>
        <v>45.821592811613513</v>
      </c>
      <c r="R30">
        <f ca="1"/>
        <v>0.39200063122792184</v>
      </c>
      <c r="S30">
        <f ca="1"/>
        <v>-0.12150215948755871</v>
      </c>
      <c r="T30" s="4">
        <f ca="1"/>
        <v>0.24621611876501148</v>
      </c>
      <c r="U30">
        <f ca="1"/>
        <v>0</v>
      </c>
      <c r="V30">
        <f ca="1"/>
        <v>7.1807056448397724</v>
      </c>
      <c r="W30">
        <f ca="1"/>
        <v>5.6005503636633316</v>
      </c>
      <c r="X30">
        <f ca="1"/>
        <v>0</v>
      </c>
      <c r="Y30">
        <f ca="1"/>
        <v>0.81181617512101756</v>
      </c>
      <c r="Z30">
        <f ca="1"/>
        <v>0</v>
      </c>
      <c r="AA30">
        <f ca="1"/>
        <v>0</v>
      </c>
      <c r="AB30">
        <f ca="1"/>
        <v>0.32691425783774747</v>
      </c>
      <c r="AD30" s="2">
        <f t="shared" ca="1" si="2"/>
        <v>45253</v>
      </c>
      <c r="AE30">
        <f t="shared" ca="1" si="3"/>
        <v>0</v>
      </c>
      <c r="AG30" s="63">
        <f t="shared" ca="1" si="7"/>
        <v>46.213593442841436</v>
      </c>
      <c r="AH30" s="63">
        <f t="shared" ca="1" si="8"/>
        <v>46.213593442841436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96</v>
      </c>
      <c r="G31" s="3">
        <f t="shared" ca="1" si="4"/>
        <v>269</v>
      </c>
      <c r="H31" s="95">
        <f t="shared" ca="1" si="6"/>
        <v>45194</v>
      </c>
      <c r="I31" s="119">
        <f ca="1">HLOOKUP($H$5,'Met Data'!$A$2:$F$368,G31,FALSE)</f>
        <v>12.4338709677419</v>
      </c>
      <c r="J31" s="119">
        <f ca="1">HLOOKUP($H$5,'Met Data'!$H$2:$M$368,G31,FALSE)*L31</f>
        <v>3.1290322580645098</v>
      </c>
      <c r="K31" s="96">
        <f ca="1">HLOOKUP($H$5,'Met Data'!$O$2:$T$368,G31,FALSE)</f>
        <v>2.32653952570764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45254</v>
      </c>
      <c r="Q31">
        <f ca="1"/>
        <v>45.540064848281318</v>
      </c>
      <c r="R31">
        <f ca="1"/>
        <v>0.40743631039927664</v>
      </c>
      <c r="S31">
        <f ca="1"/>
        <v>-0.11328527013894973</v>
      </c>
      <c r="T31" s="4">
        <f ca="1"/>
        <v>0.23919361720603671</v>
      </c>
      <c r="U31">
        <f ca="1"/>
        <v>0</v>
      </c>
      <c r="V31">
        <f ca="1"/>
        <v>7.588141955239049</v>
      </c>
      <c r="W31">
        <f ca="1"/>
        <v>5.9183279873730736</v>
      </c>
      <c r="X31">
        <f ca="1"/>
        <v>0</v>
      </c>
      <c r="Y31">
        <f ca="1"/>
        <v>0.7992477965413165</v>
      </c>
      <c r="Z31">
        <f ca="1"/>
        <v>0</v>
      </c>
      <c r="AA31">
        <f ca="1"/>
        <v>0</v>
      </c>
      <c r="AB31">
        <f ca="1"/>
        <v>0.35831740748795338</v>
      </c>
      <c r="AD31" s="2">
        <f t="shared" ca="1" si="2"/>
        <v>45254</v>
      </c>
      <c r="AE31">
        <f t="shared" ca="1" si="3"/>
        <v>0</v>
      </c>
      <c r="AG31" s="63">
        <f t="shared" ca="1" si="7"/>
        <v>45.947501158680595</v>
      </c>
      <c r="AH31" s="63">
        <f t="shared" ca="1" si="8"/>
        <v>45.947501158680595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45231</v>
      </c>
      <c r="G32" s="3">
        <f t="shared" ca="1" si="4"/>
        <v>270</v>
      </c>
      <c r="H32" s="95">
        <f t="shared" ca="1" si="6"/>
        <v>45195</v>
      </c>
      <c r="I32" s="119">
        <f ca="1">HLOOKUP($H$5,'Met Data'!$A$2:$F$368,G32,FALSE)</f>
        <v>12.341666666666599</v>
      </c>
      <c r="J32" s="119">
        <f ca="1">HLOOKUP($H$5,'Met Data'!$H$2:$M$368,G32,FALSE)*L32</f>
        <v>4.32666666666666</v>
      </c>
      <c r="K32" s="96">
        <f ca="1">HLOOKUP($H$5,'Met Data'!$O$2:$T$368,G32,FALSE)</f>
        <v>2.5198296361703401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45255</v>
      </c>
      <c r="Q32">
        <f ca="1"/>
        <v>45.219707619615185</v>
      </c>
      <c r="R32">
        <f ca="1"/>
        <v>0.45679926133411364</v>
      </c>
      <c r="S32">
        <f ca="1"/>
        <v>-0.11130820056474722</v>
      </c>
      <c r="T32" s="4">
        <f ca="1"/>
        <v>0.24775023323272968</v>
      </c>
      <c r="U32">
        <f ca="1"/>
        <v>0</v>
      </c>
      <c r="V32">
        <f ca="1"/>
        <v>8.0449412165731626</v>
      </c>
      <c r="W32">
        <f ca="1"/>
        <v>6.2746059627868664</v>
      </c>
      <c r="X32">
        <f ca="1"/>
        <v>0</v>
      </c>
      <c r="Y32">
        <f ca="1"/>
        <v>0.78689407306255144</v>
      </c>
      <c r="Z32">
        <f ca="1"/>
        <v>0</v>
      </c>
      <c r="AA32">
        <f ca="1"/>
        <v>0</v>
      </c>
      <c r="AB32">
        <f ca="1"/>
        <v>0.39288125343259572</v>
      </c>
      <c r="AD32" s="2">
        <f t="shared" ca="1" si="2"/>
        <v>45255</v>
      </c>
      <c r="AE32">
        <f t="shared" ca="1" si="3"/>
        <v>0</v>
      </c>
      <c r="AG32" s="63">
        <f t="shared" ca="1" si="7"/>
        <v>45.676506880949297</v>
      </c>
      <c r="AH32" s="63">
        <f t="shared" ca="1" si="8"/>
        <v>45.676506880949297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Seedling</v>
      </c>
      <c r="G33" s="3">
        <f t="shared" ca="1" si="4"/>
        <v>271</v>
      </c>
      <c r="H33" s="95">
        <f t="shared" ca="1" si="6"/>
        <v>45196</v>
      </c>
      <c r="I33" s="119">
        <f ca="1">HLOOKUP($H$5,'Met Data'!$A$2:$F$368,G33,FALSE)</f>
        <v>12.7183333333333</v>
      </c>
      <c r="J33" s="119">
        <f ca="1">HLOOKUP($H$5,'Met Data'!$H$2:$M$368,G33,FALSE)*L33</f>
        <v>2.83</v>
      </c>
      <c r="K33" s="96">
        <f ca="1">HLOOKUP($H$5,'Met Data'!$O$2:$T$368,G33,FALSE)</f>
        <v>2.6371707298843199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45256</v>
      </c>
      <c r="Q33">
        <f ca="1"/>
        <v>44.872144267781749</v>
      </c>
      <c r="R33">
        <f ca="1"/>
        <v>0.48497293198405345</v>
      </c>
      <c r="S33">
        <f ca="1"/>
        <v>-0.1047564693645695</v>
      </c>
      <c r="T33" s="4">
        <f ca="1"/>
        <v>0.24216604951518567</v>
      </c>
      <c r="U33">
        <f ca="1"/>
        <v>0</v>
      </c>
      <c r="V33">
        <f ca="1"/>
        <v>8.5299141485572161</v>
      </c>
      <c r="W33">
        <f ca="1"/>
        <v>6.6528578317437894</v>
      </c>
      <c r="X33">
        <f ca="1"/>
        <v>0</v>
      </c>
      <c r="Y33">
        <f ca="1"/>
        <v>0.7668962357092336</v>
      </c>
      <c r="Z33">
        <f ca="1"/>
        <v>0</v>
      </c>
      <c r="AA33">
        <f ca="1"/>
        <v>0</v>
      </c>
      <c r="AB33">
        <f ca="1"/>
        <v>0.42850483875084122</v>
      </c>
      <c r="AD33" s="2">
        <f t="shared" ca="1" si="2"/>
        <v>45256</v>
      </c>
      <c r="AE33">
        <f t="shared" ca="1" si="3"/>
        <v>0</v>
      </c>
      <c r="AG33" s="63">
        <f t="shared" ca="1" si="7"/>
        <v>45.357117199765803</v>
      </c>
      <c r="AH33" s="63">
        <f t="shared" ca="1" si="8"/>
        <v>45.357117199765803</v>
      </c>
      <c r="AI33" s="3">
        <f t="shared" ca="1" si="9"/>
        <v>0</v>
      </c>
    </row>
    <row r="34" spans="1:35">
      <c r="A34" s="9" t="s">
        <v>126</v>
      </c>
      <c r="B34" s="36">
        <f>CurrentHarvestDate</f>
        <v>45301</v>
      </c>
      <c r="G34" s="3">
        <f t="shared" ca="1" si="4"/>
        <v>272</v>
      </c>
      <c r="H34" s="95">
        <f t="shared" ca="1" si="6"/>
        <v>45197</v>
      </c>
      <c r="I34" s="119">
        <f ca="1">HLOOKUP($H$5,'Met Data'!$A$2:$F$368,G34,FALSE)</f>
        <v>13.04</v>
      </c>
      <c r="J34" s="119">
        <f ca="1">HLOOKUP($H$5,'Met Data'!$H$2:$M$368,G34,FALSE)*L34</f>
        <v>4.2233333333333301</v>
      </c>
      <c r="K34" s="96">
        <f ca="1">HLOOKUP($H$5,'Met Data'!$O$2:$T$368,G34,FALSE)</f>
        <v>2.4067153885809098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45257</v>
      </c>
      <c r="Q34">
        <f ca="1"/>
        <v>44.515717484138243</v>
      </c>
      <c r="R34">
        <f ca="1"/>
        <v>0.49551487281819639</v>
      </c>
      <c r="S34">
        <f ca="1"/>
        <v>-9.5872625504066278E-2</v>
      </c>
      <c r="T34" s="4">
        <f ca="1"/>
        <v>0.2349607146787592</v>
      </c>
      <c r="U34">
        <f ca="1"/>
        <v>0</v>
      </c>
      <c r="V34">
        <f ca="1"/>
        <v>9.0254290213754125</v>
      </c>
      <c r="W34">
        <f ca="1"/>
        <v>7.0393318272565883</v>
      </c>
      <c r="X34">
        <f ca="1"/>
        <v>0</v>
      </c>
      <c r="Y34">
        <f ca="1"/>
        <v>0.76589585780162217</v>
      </c>
      <c r="Z34">
        <f ca="1"/>
        <v>0</v>
      </c>
      <c r="AA34">
        <f ca="1"/>
        <v>0</v>
      </c>
      <c r="AB34">
        <f ca="1"/>
        <v>0.46347450310792032</v>
      </c>
      <c r="AD34" s="2">
        <f t="shared" ca="1" si="2"/>
        <v>45257</v>
      </c>
      <c r="AE34">
        <f t="shared" ca="1" si="3"/>
        <v>0</v>
      </c>
      <c r="AG34" s="63">
        <f t="shared" ca="1" si="7"/>
        <v>45.011232356956441</v>
      </c>
      <c r="AH34" s="63">
        <f t="shared" ca="1" si="8"/>
        <v>45.011232356956441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Vegetative</v>
      </c>
      <c r="G35" s="3">
        <f t="shared" ca="1" si="4"/>
        <v>273</v>
      </c>
      <c r="H35" s="95">
        <f t="shared" ca="1" si="6"/>
        <v>45198</v>
      </c>
      <c r="I35" s="119">
        <f ca="1">HLOOKUP($H$5,'Met Data'!$A$2:$F$368,G35,FALSE)</f>
        <v>13.381034482758601</v>
      </c>
      <c r="J35" s="119">
        <f ca="1">HLOOKUP($H$5,'Met Data'!$H$2:$M$368,G35,FALSE)*L35</f>
        <v>3.7620689655172401</v>
      </c>
      <c r="K35" s="96">
        <f ca="1">HLOOKUP($H$5,'Met Data'!$O$2:$T$368,G35,FALSE)</f>
        <v>2.71659484771267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45258</v>
      </c>
      <c r="Q35">
        <f ca="1"/>
        <v>44.146915344330878</v>
      </c>
      <c r="R35">
        <f ca="1"/>
        <v>0.51864987707225296</v>
      </c>
      <c r="S35">
        <f ca="1"/>
        <v>-8.9426035758990885E-2</v>
      </c>
      <c r="T35" s="4">
        <f ca="1"/>
        <v>0.2392737730238805</v>
      </c>
      <c r="U35">
        <f ca="1"/>
        <v>0</v>
      </c>
      <c r="V35">
        <f ca="1"/>
        <v>9.5440788984476654</v>
      </c>
      <c r="W35">
        <f ca="1"/>
        <v>7.4438498372293767</v>
      </c>
      <c r="X35">
        <f ca="1"/>
        <v>0</v>
      </c>
      <c r="Y35">
        <f ca="1"/>
        <v>0.78486131423969552</v>
      </c>
      <c r="Z35">
        <f ca="1"/>
        <v>0</v>
      </c>
      <c r="AA35">
        <f ca="1"/>
        <v>0</v>
      </c>
      <c r="AB35">
        <f ca="1"/>
        <v>0.49829767732963537</v>
      </c>
      <c r="AD35" s="2">
        <f t="shared" ca="1" si="2"/>
        <v>45258</v>
      </c>
      <c r="AE35">
        <f t="shared" ca="1" si="3"/>
        <v>0</v>
      </c>
      <c r="AG35" s="63">
        <f t="shared" ca="1" si="7"/>
        <v>44.665565221403135</v>
      </c>
      <c r="AH35" s="63">
        <f t="shared" ca="1" si="8"/>
        <v>44.665565221403128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ca="1" si="4"/>
        <v>274</v>
      </c>
      <c r="H36" s="95">
        <f t="shared" ca="1" si="6"/>
        <v>45199</v>
      </c>
      <c r="I36" s="119">
        <f ca="1">HLOOKUP($H$5,'Met Data'!$A$2:$F$368,G36,FALSE)</f>
        <v>13.274137931034399</v>
      </c>
      <c r="J36" s="119">
        <f ca="1">HLOOKUP($H$5,'Met Data'!$H$2:$M$368,G36,FALSE)*L36</f>
        <v>5.4793103448275797</v>
      </c>
      <c r="K36" s="96">
        <f ca="1">HLOOKUP($H$5,'Met Data'!$O$2:$T$368,G36,FALSE)</f>
        <v>2.6496213239398698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45259</v>
      </c>
      <c r="Q36">
        <f ca="1"/>
        <v>43.746824787272914</v>
      </c>
      <c r="R36">
        <f ca="1"/>
        <v>0.55292688884842889</v>
      </c>
      <c r="S36">
        <f ca="1"/>
        <v>-8.4450338605027042E-2</v>
      </c>
      <c r="T36" s="4">
        <f ca="1"/>
        <v>0.23728667039549134</v>
      </c>
      <c r="U36">
        <f ca="1"/>
        <v>0</v>
      </c>
      <c r="V36">
        <f ca="1"/>
        <v>10.097005787296094</v>
      </c>
      <c r="W36">
        <f ca="1"/>
        <v>7.8751020068047524</v>
      </c>
      <c r="X36">
        <f ca="1"/>
        <v>0</v>
      </c>
      <c r="Y36">
        <f ca="1"/>
        <v>0.77143393259242432</v>
      </c>
      <c r="Z36">
        <f ca="1"/>
        <v>0</v>
      </c>
      <c r="AA36">
        <f ca="1"/>
        <v>0</v>
      </c>
      <c r="AB36">
        <f ca="1"/>
        <v>0.53324446554370541</v>
      </c>
      <c r="AD36" s="2">
        <f t="shared" ca="1" si="2"/>
        <v>45259</v>
      </c>
      <c r="AE36">
        <f t="shared" ca="1" si="3"/>
        <v>0</v>
      </c>
      <c r="AG36" s="63">
        <f t="shared" ca="1" si="7"/>
        <v>44.299751676121346</v>
      </c>
      <c r="AH36" s="63">
        <f t="shared" ca="1" si="8"/>
        <v>44.299751676121346</v>
      </c>
      <c r="AI36" s="3">
        <f t="shared" ca="1" si="9"/>
        <v>0</v>
      </c>
    </row>
    <row r="37" spans="1:35" ht="15" thickBot="1">
      <c r="A37" s="9" t="s">
        <v>168</v>
      </c>
      <c r="B37" s="10" t="str">
        <f>CurrentResidueIncorporation</f>
        <v>Full (Plough)</v>
      </c>
      <c r="G37" s="3">
        <f t="shared" ca="1" si="4"/>
        <v>275</v>
      </c>
      <c r="H37" s="95">
        <f t="shared" ca="1" si="6"/>
        <v>45200</v>
      </c>
      <c r="I37" s="119">
        <f ca="1">HLOOKUP($H$5,'Met Data'!$A$2:$F$368,G37,FALSE)</f>
        <v>13.0233333333333</v>
      </c>
      <c r="J37" s="119">
        <f ca="1">HLOOKUP($H$5,'Met Data'!$H$2:$M$368,G37,FALSE)*L37</f>
        <v>7.2033333333333296</v>
      </c>
      <c r="K37" s="96">
        <f ca="1">HLOOKUP($H$5,'Met Data'!$O$2:$T$368,G37,FALSE)</f>
        <v>2.7120872842053001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45260</v>
      </c>
      <c r="Q37">
        <f ca="1"/>
        <v>43.30673949463408</v>
      </c>
      <c r="R37">
        <f ca="1"/>
        <v>0.5990600583268666</v>
      </c>
      <c r="S37">
        <f ca="1"/>
        <v>-8.0514739751571085E-2</v>
      </c>
      <c r="T37">
        <f ca="1"/>
        <v>0.23948950543960371</v>
      </c>
      <c r="U37">
        <f ca="1"/>
        <v>0</v>
      </c>
      <c r="V37">
        <f ca="1"/>
        <v>10.696065845622961</v>
      </c>
      <c r="W37">
        <f ca="1"/>
        <v>8.3423354784803028</v>
      </c>
      <c r="X37">
        <f ca="1"/>
        <v>0</v>
      </c>
      <c r="Y37">
        <f ca="1"/>
        <v>0.76112881566625912</v>
      </c>
      <c r="Z37">
        <f ca="1"/>
        <v>0</v>
      </c>
      <c r="AA37">
        <f ca="1"/>
        <v>0</v>
      </c>
      <c r="AB37">
        <f ca="1"/>
        <v>0.56846475259446261</v>
      </c>
      <c r="AD37" s="2">
        <f t="shared" ca="1" si="2"/>
        <v>45260</v>
      </c>
      <c r="AE37">
        <f t="shared" ca="1" si="3"/>
        <v>0</v>
      </c>
      <c r="AG37" s="63">
        <f t="shared" ca="1" si="7"/>
        <v>43.905799552960943</v>
      </c>
      <c r="AH37" s="63">
        <f t="shared" ca="1" si="8"/>
        <v>43.905799552960943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Oat Fodder General</v>
      </c>
      <c r="G38" s="3">
        <f t="shared" ca="1" si="4"/>
        <v>276</v>
      </c>
      <c r="H38" s="95">
        <f t="shared" ca="1" si="6"/>
        <v>45201</v>
      </c>
      <c r="I38" s="119">
        <f ca="1">HLOOKUP($H$5,'Met Data'!$A$2:$F$368,G38,FALSE)</f>
        <v>12.938333333333301</v>
      </c>
      <c r="J38" s="119">
        <f ca="1">HLOOKUP($H$5,'Met Data'!$H$2:$M$368,G38,FALSE)*L38</f>
        <v>4.3633333333333297</v>
      </c>
      <c r="K38" s="96">
        <f ca="1">HLOOKUP($H$5,'Met Data'!$O$2:$T$368,G38,FALSE)</f>
        <v>2.5284096014561799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45261</v>
      </c>
      <c r="Q38">
        <f ca="1"/>
        <v>42.818184699334111</v>
      </c>
      <c r="R38">
        <f ca="1"/>
        <v>0.64741266695939714</v>
      </c>
      <c r="S38">
        <f ca="1"/>
        <v>-7.6399669689430461E-2</v>
      </c>
      <c r="T38">
        <f ca="1"/>
        <v>0.2352575413488566</v>
      </c>
      <c r="U38">
        <f ca="1"/>
        <v>0</v>
      </c>
      <c r="V38">
        <f ca="1"/>
        <v>11.343478512582358</v>
      </c>
      <c r="W38">
        <f ca="1"/>
        <v>8.8472812911505851</v>
      </c>
      <c r="X38">
        <f ca="1"/>
        <v>0</v>
      </c>
      <c r="Y38">
        <f ca="1"/>
        <v>0.73235793855535303</v>
      </c>
      <c r="Z38">
        <f ca="1"/>
        <v>0</v>
      </c>
      <c r="AA38">
        <f ca="1"/>
        <v>0</v>
      </c>
      <c r="AB38">
        <f ca="1"/>
        <v>0.60342131037948321</v>
      </c>
      <c r="AD38" s="2">
        <f t="shared" ca="1" si="2"/>
        <v>45261</v>
      </c>
      <c r="AE38">
        <f t="shared" ca="1" si="3"/>
        <v>0</v>
      </c>
      <c r="AG38" s="63">
        <f t="shared" ca="1" si="7"/>
        <v>43.465597366293508</v>
      </c>
      <c r="AH38" s="63">
        <f t="shared" ca="1" si="8"/>
        <v>43.465597366293508</v>
      </c>
      <c r="AI38" s="3">
        <f t="shared" ca="1" si="9"/>
        <v>0</v>
      </c>
    </row>
    <row r="39" spans="1:35">
      <c r="A39" s="6" t="s">
        <v>241</v>
      </c>
      <c r="B39" s="32">
        <f>FollowingYIeld</f>
        <v>10</v>
      </c>
      <c r="G39" s="3">
        <f t="shared" ca="1" si="4"/>
        <v>277</v>
      </c>
      <c r="H39" s="95">
        <f t="shared" ca="1" si="6"/>
        <v>45202</v>
      </c>
      <c r="I39" s="119">
        <f ca="1">HLOOKUP($H$5,'Met Data'!$A$2:$F$368,G39,FALSE)</f>
        <v>13.2433333333333</v>
      </c>
      <c r="J39" s="119">
        <f ca="1">HLOOKUP($H$5,'Met Data'!$H$2:$M$368,G39,FALSE)*L39</f>
        <v>5.1333333333333302</v>
      </c>
      <c r="K39" s="96">
        <f ca="1">HLOOKUP($H$5,'Met Data'!$O$2:$T$368,G39,FALSE)</f>
        <v>2.88480468453885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45262</v>
      </c>
      <c r="Q39">
        <f ca="1"/>
        <v>42.28773327723011</v>
      </c>
      <c r="R39">
        <f ca="1"/>
        <v>0.71007816606898544</v>
      </c>
      <c r="S39">
        <f ca="1"/>
        <v>-7.3075935742004106E-2</v>
      </c>
      <c r="T39">
        <f ca="1"/>
        <v>0.25270267970698607</v>
      </c>
      <c r="U39">
        <f ca="1"/>
        <v>0</v>
      </c>
      <c r="V39">
        <f ca="1"/>
        <v>12.053556678651344</v>
      </c>
      <c r="W39">
        <f ca="1"/>
        <v>9.4011027020121887</v>
      </c>
      <c r="X39">
        <f ca="1"/>
        <v>0</v>
      </c>
      <c r="Y39">
        <f ca="1"/>
        <v>0.76189565606968424</v>
      </c>
      <c r="Z39">
        <f ca="1"/>
        <v>0</v>
      </c>
      <c r="AA39">
        <f ca="1"/>
        <v>0</v>
      </c>
      <c r="AB39">
        <f ca="1"/>
        <v>0.63814828671947743</v>
      </c>
      <c r="AD39" s="2">
        <f t="shared" ca="1" si="2"/>
        <v>45262</v>
      </c>
      <c r="AE39">
        <f t="shared" ca="1" si="3"/>
        <v>0</v>
      </c>
      <c r="AG39" s="63">
        <f t="shared" ca="1" si="7"/>
        <v>42.997811443299092</v>
      </c>
      <c r="AH39" s="63">
        <f t="shared" ca="1" si="8"/>
        <v>42.997811443299099</v>
      </c>
      <c r="AI39" s="3">
        <f t="shared" ca="1" si="9"/>
        <v>0</v>
      </c>
    </row>
    <row r="40" spans="1:35">
      <c r="A40" s="6" t="s">
        <v>236</v>
      </c>
      <c r="B40" s="32">
        <f>FollowingPopulation</f>
        <v>1</v>
      </c>
      <c r="G40" s="3">
        <f t="shared" ca="1" si="4"/>
        <v>278</v>
      </c>
      <c r="H40" s="95">
        <f t="shared" ca="1" si="6"/>
        <v>45203</v>
      </c>
      <c r="I40" s="119">
        <f ca="1">HLOOKUP($H$5,'Met Data'!$A$2:$F$368,G40,FALSE)</f>
        <v>12.85</v>
      </c>
      <c r="J40" s="119">
        <f ca="1">HLOOKUP($H$5,'Met Data'!$H$2:$M$368,G40,FALSE)*L40</f>
        <v>2.5033333333333299</v>
      </c>
      <c r="K40" s="96">
        <f ca="1">HLOOKUP($H$5,'Met Data'!$O$2:$T$368,G40,FALSE)</f>
        <v>2.7808067783335901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45263</v>
      </c>
      <c r="Q40">
        <f ca="1"/>
        <v>41.696980416949941</v>
      </c>
      <c r="R40">
        <f ca="1"/>
        <v>0.77071212380861454</v>
      </c>
      <c r="S40">
        <f ca="1"/>
        <v>-6.9058347650936547E-2</v>
      </c>
      <c r="T40">
        <f ca="1"/>
        <v>0.24901761117938406</v>
      </c>
      <c r="U40">
        <f ca="1"/>
        <v>0</v>
      </c>
      <c r="V40">
        <f ca="1"/>
        <v>12.824268802459958</v>
      </c>
      <c r="W40">
        <f ca="1"/>
        <v>10.002215221974339</v>
      </c>
      <c r="X40">
        <f ca="1"/>
        <v>0</v>
      </c>
      <c r="Y40">
        <f ca="1"/>
        <v>0.73362927014798018</v>
      </c>
      <c r="Z40">
        <f ca="1"/>
        <v>0</v>
      </c>
      <c r="AA40">
        <f ca="1"/>
        <v>0</v>
      </c>
      <c r="AB40">
        <f ca="1"/>
        <v>0.67179842378026244</v>
      </c>
      <c r="AD40" s="2">
        <f t="shared" ca="1" si="2"/>
        <v>45263</v>
      </c>
      <c r="AE40">
        <f t="shared" ca="1" si="3"/>
        <v>0</v>
      </c>
      <c r="AG40" s="63">
        <f t="shared" ca="1" si="7"/>
        <v>42.467692540758556</v>
      </c>
      <c r="AH40" s="63">
        <f t="shared" ca="1" si="8"/>
        <v>42.467692540758556</v>
      </c>
      <c r="AI40" s="3">
        <f t="shared" ca="1" si="9"/>
        <v>0</v>
      </c>
    </row>
    <row r="41" spans="1:35">
      <c r="A41" s="6" t="s">
        <v>237</v>
      </c>
      <c r="B41" s="32" t="str">
        <f>FollowingUnits</f>
        <v>t/ha</v>
      </c>
      <c r="G41" s="3">
        <f t="shared" ca="1" si="4"/>
        <v>279</v>
      </c>
      <c r="H41" s="95">
        <f t="shared" ca="1" si="6"/>
        <v>45204</v>
      </c>
      <c r="I41" s="119">
        <f ca="1">HLOOKUP($H$5,'Met Data'!$A$2:$F$368,G41,FALSE)</f>
        <v>12.875806451612901</v>
      </c>
      <c r="J41" s="119">
        <f ca="1">HLOOKUP($H$5,'Met Data'!$H$2:$M$368,G41,FALSE)*L41</f>
        <v>4.1354838709677404</v>
      </c>
      <c r="K41" s="96">
        <f ca="1">HLOOKUP($H$5,'Met Data'!$O$2:$T$368,G41,FALSE)</f>
        <v>3.0772949163384999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45264</v>
      </c>
      <c r="Q41">
        <f ca="1"/>
        <v>41.077122399320039</v>
      </c>
      <c r="R41">
        <f ca="1"/>
        <v>0.81962192083181762</v>
      </c>
      <c r="S41">
        <f ca="1"/>
        <v>-6.4002026569420778E-2</v>
      </c>
      <c r="T41">
        <f ca="1"/>
        <v>0.26376592977133556</v>
      </c>
      <c r="U41">
        <f ca="1"/>
        <v>0</v>
      </c>
      <c r="V41">
        <f ca="1"/>
        <v>13.643890723291776</v>
      </c>
      <c r="W41">
        <f ca="1"/>
        <v>10.641474658834809</v>
      </c>
      <c r="X41">
        <f ca="1"/>
        <v>0</v>
      </c>
      <c r="Y41">
        <f ca="1"/>
        <v>0.77458341001784925</v>
      </c>
      <c r="Z41">
        <f ca="1"/>
        <v>0</v>
      </c>
      <c r="AA41">
        <f ca="1"/>
        <v>0</v>
      </c>
      <c r="AB41">
        <f ca="1"/>
        <v>0.70334150614477353</v>
      </c>
      <c r="AD41" s="2">
        <f t="shared" ca="1" si="2"/>
        <v>45264</v>
      </c>
      <c r="AE41">
        <f t="shared" ca="1" si="3"/>
        <v>0</v>
      </c>
      <c r="AG41" s="63">
        <f t="shared" ca="1" si="7"/>
        <v>41.896744320151861</v>
      </c>
      <c r="AH41" s="63">
        <f t="shared" ca="1" si="8"/>
        <v>41.896744320151853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ca="1" si="4"/>
        <v>280</v>
      </c>
      <c r="H42" s="95">
        <f t="shared" ca="1" si="6"/>
        <v>45205</v>
      </c>
      <c r="I42" s="119">
        <f ca="1">HLOOKUP($H$5,'Met Data'!$A$2:$F$368,G42,FALSE)</f>
        <v>12.9966666666666</v>
      </c>
      <c r="J42" s="119">
        <f ca="1">HLOOKUP($H$5,'Met Data'!$H$2:$M$368,G42,FALSE)*L42</f>
        <v>2.96999999999999</v>
      </c>
      <c r="K42" s="96">
        <f ca="1">HLOOKUP($H$5,'Met Data'!$O$2:$T$368,G42,FALSE)</f>
        <v>3.1690364753373701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45265</v>
      </c>
      <c r="Q42">
        <f ca="1"/>
        <v>40.431270734027187</v>
      </c>
      <c r="R42">
        <f ca="1"/>
        <v>0.85460321192202926</v>
      </c>
      <c r="S42">
        <f ca="1"/>
        <v>-5.8306831759387556E-2</v>
      </c>
      <c r="T42">
        <f ca="1"/>
        <v>0.26705837838856206</v>
      </c>
      <c r="U42">
        <f ca="1"/>
        <v>0</v>
      </c>
      <c r="V42">
        <f ca="1"/>
        <v>14.498493935213805</v>
      </c>
      <c r="W42">
        <f ca="1"/>
        <v>11.308017553927201</v>
      </c>
      <c r="X42">
        <f ca="1"/>
        <v>0</v>
      </c>
      <c r="Y42">
        <f ca="1"/>
        <v>0.79455087789889245</v>
      </c>
      <c r="Z42">
        <f ca="1"/>
        <v>0</v>
      </c>
      <c r="AA42">
        <f ca="1"/>
        <v>0</v>
      </c>
      <c r="AB42">
        <f ca="1"/>
        <v>0.73205342852475719</v>
      </c>
      <c r="AD42" s="2">
        <f t="shared" ca="1" si="2"/>
        <v>45265</v>
      </c>
      <c r="AE42">
        <f t="shared" ca="1" si="3"/>
        <v>0</v>
      </c>
      <c r="AG42" s="63">
        <f t="shared" ca="1" si="7"/>
        <v>41.285873945949213</v>
      </c>
      <c r="AH42" s="63">
        <f t="shared" ca="1" si="8"/>
        <v>41.28587394594922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ca="1" si="4"/>
        <v>281</v>
      </c>
      <c r="H43" s="95">
        <f t="shared" ca="1" si="6"/>
        <v>45206</v>
      </c>
      <c r="I43" s="119">
        <f ca="1">HLOOKUP($H$5,'Met Data'!$A$2:$F$368,G43,FALSE)</f>
        <v>12.7633333333333</v>
      </c>
      <c r="J43" s="119">
        <f ca="1">HLOOKUP($H$5,'Met Data'!$H$2:$M$368,G43,FALSE)*L43</f>
        <v>2.61</v>
      </c>
      <c r="K43" s="96">
        <f ca="1">HLOOKUP($H$5,'Met Data'!$O$2:$T$368,G43,FALSE)</f>
        <v>2.8220150579732999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45266</v>
      </c>
      <c r="Q43">
        <f ca="1"/>
        <v>39.739058663775268</v>
      </c>
      <c r="R43">
        <f ca="1"/>
        <v>0.90581622577762921</v>
      </c>
      <c r="S43">
        <f ca="1"/>
        <v>-5.3769047876339293E-2</v>
      </c>
      <c r="T43">
        <f ca="1"/>
        <v>0.2673732034020414</v>
      </c>
      <c r="U43">
        <f ca="1"/>
        <v>0</v>
      </c>
      <c r="V43">
        <f ca="1"/>
        <v>15.404310160991434</v>
      </c>
      <c r="W43">
        <f ca="1"/>
        <v>12.014503746734265</v>
      </c>
      <c r="X43">
        <f ca="1"/>
        <v>0</v>
      </c>
      <c r="Y43">
        <f ca="1"/>
        <v>0.79374890666233933</v>
      </c>
      <c r="Z43">
        <f ca="1"/>
        <v>0</v>
      </c>
      <c r="AA43">
        <f ca="1"/>
        <v>0</v>
      </c>
      <c r="AB43">
        <f ca="1"/>
        <v>0.75839486917733612</v>
      </c>
      <c r="AD43" s="2">
        <f t="shared" ca="1" si="2"/>
        <v>45266</v>
      </c>
      <c r="AE43">
        <f t="shared" ca="1" si="3"/>
        <v>0</v>
      </c>
      <c r="AG43" s="63">
        <f t="shared" ca="1" si="7"/>
        <v>40.644874889552895</v>
      </c>
      <c r="AH43" s="63">
        <f t="shared" ca="1" si="8"/>
        <v>40.644874889552895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0</v>
      </c>
      <c r="G44" s="3">
        <f t="shared" ca="1" si="4"/>
        <v>282</v>
      </c>
      <c r="H44" s="95">
        <f t="shared" ca="1" si="6"/>
        <v>45207</v>
      </c>
      <c r="I44" s="119">
        <f ca="1">HLOOKUP($H$5,'Met Data'!$A$2:$F$368,G44,FALSE)</f>
        <v>13.4816666666666</v>
      </c>
      <c r="J44" s="119">
        <f ca="1">HLOOKUP($H$5,'Met Data'!$H$2:$M$368,G44,FALSE)*L44</f>
        <v>4.0666666666666602</v>
      </c>
      <c r="K44" s="96">
        <f ca="1">HLOOKUP($H$5,'Met Data'!$O$2:$T$368,G44,FALSE)</f>
        <v>2.68549157073894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45267</v>
      </c>
      <c r="Q44">
        <f ca="1"/>
        <v>39.03534966332785</v>
      </c>
      <c r="R44">
        <f ca="1"/>
        <v>0.91336377223498566</v>
      </c>
      <c r="S44">
        <f ca="1"/>
        <v>-4.767535114401511E-2</v>
      </c>
      <c r="T44">
        <f ca="1"/>
        <v>0.25733012293158669</v>
      </c>
      <c r="U44">
        <f ca="1"/>
        <v>0</v>
      </c>
      <c r="V44">
        <f ca="1"/>
        <v>16.31767393322642</v>
      </c>
      <c r="W44">
        <f ca="1"/>
        <v>12.726876605301943</v>
      </c>
      <c r="X44">
        <f ca="1"/>
        <v>0</v>
      </c>
      <c r="Y44">
        <f ca="1"/>
        <v>0.79604988504409446</v>
      </c>
      <c r="Z44">
        <f ca="1"/>
        <v>0</v>
      </c>
      <c r="AA44">
        <f ca="1"/>
        <v>0</v>
      </c>
      <c r="AB44">
        <f ca="1"/>
        <v>0.78126700791730352</v>
      </c>
      <c r="AD44" s="2">
        <f t="shared" ca="1" si="2"/>
        <v>45267</v>
      </c>
      <c r="AE44">
        <f t="shared" ca="1" si="3"/>
        <v>0</v>
      </c>
      <c r="AG44" s="63">
        <f t="shared" ca="1" si="7"/>
        <v>39.948713435562837</v>
      </c>
      <c r="AH44" s="63">
        <f t="shared" ca="1" si="8"/>
        <v>39.948713435562837</v>
      </c>
      <c r="AI44" s="3">
        <f t="shared" ca="1" si="9"/>
        <v>0</v>
      </c>
    </row>
    <row r="45" spans="1:35">
      <c r="A45" s="6" t="s">
        <v>131</v>
      </c>
      <c r="B45" s="34">
        <f>FollowingEstablishDate</f>
        <v>45316</v>
      </c>
      <c r="G45" s="3">
        <f t="shared" ca="1" si="4"/>
        <v>283</v>
      </c>
      <c r="H45" s="95">
        <f t="shared" ca="1" si="6"/>
        <v>45208</v>
      </c>
      <c r="I45" s="119">
        <f ca="1">HLOOKUP($H$5,'Met Data'!$A$2:$F$368,G45,FALSE)</f>
        <v>13.6933333333333</v>
      </c>
      <c r="J45" s="119">
        <f ca="1">HLOOKUP($H$5,'Met Data'!$H$2:$M$368,G45,FALSE)*L45</f>
        <v>4.22</v>
      </c>
      <c r="K45" s="96">
        <f ca="1">HLOOKUP($H$5,'Met Data'!$O$2:$T$368,G45,FALSE)</f>
        <v>2.6969590648562201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45268</v>
      </c>
      <c r="Q45">
        <f ca="1"/>
        <v>38.283054314660134</v>
      </c>
      <c r="R45">
        <f ca="1"/>
        <v>0.957556827860639</v>
      </c>
      <c r="S45">
        <f ca="1"/>
        <v>-4.3622975939299202E-2</v>
      </c>
      <c r="T45">
        <f ca="1"/>
        <v>0.24888445513222487</v>
      </c>
      <c r="U45">
        <f ca="1"/>
        <v>0</v>
      </c>
      <c r="V45">
        <f ca="1"/>
        <v>17.275230761087059</v>
      </c>
      <c r="W45">
        <f ca="1"/>
        <v>13.473717585248959</v>
      </c>
      <c r="X45">
        <f ca="1"/>
        <v>0</v>
      </c>
      <c r="Y45">
        <f ca="1"/>
        <v>0.77378986893162327</v>
      </c>
      <c r="Z45">
        <f ca="1"/>
        <v>0</v>
      </c>
      <c r="AA45">
        <f ca="1"/>
        <v>0</v>
      </c>
      <c r="AB45">
        <f ca="1"/>
        <v>0.80184817870099034</v>
      </c>
      <c r="AD45" s="2">
        <f t="shared" ca="1" si="2"/>
        <v>45268</v>
      </c>
      <c r="AE45">
        <f t="shared" ca="1" si="3"/>
        <v>0</v>
      </c>
      <c r="AG45" s="63">
        <f t="shared" ca="1" si="7"/>
        <v>39.240611142520777</v>
      </c>
      <c r="AH45" s="63">
        <f t="shared" ca="1" si="8"/>
        <v>39.240611142520777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</v>
      </c>
      <c r="G46" s="3">
        <f t="shared" ca="1" si="4"/>
        <v>284</v>
      </c>
      <c r="H46" s="95">
        <f t="shared" ca="1" si="6"/>
        <v>45209</v>
      </c>
      <c r="I46" s="119">
        <f ca="1">HLOOKUP($H$5,'Met Data'!$A$2:$F$368,G46,FALSE)</f>
        <v>12.9568965517241</v>
      </c>
      <c r="J46" s="119">
        <f ca="1">HLOOKUP($H$5,'Met Data'!$H$2:$M$368,G46,FALSE)*L46</f>
        <v>4.5966666666666596</v>
      </c>
      <c r="K46" s="96">
        <f ca="1">HLOOKUP($H$5,'Met Data'!$O$2:$T$368,G46,FALSE)</f>
        <v>2.9040985917251398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45269</v>
      </c>
      <c r="Q46">
        <f ca="1"/>
        <v>37.436242191739105</v>
      </c>
      <c r="R46">
        <f ca="1"/>
        <v>1.0508304106396018</v>
      </c>
      <c r="S46">
        <f ca="1"/>
        <v>-4.1185495575030373E-2</v>
      </c>
      <c r="T46">
        <f ca="1"/>
        <v>0.24520378329359918</v>
      </c>
      <c r="U46">
        <f ca="1"/>
        <v>0</v>
      </c>
      <c r="V46">
        <f ca="1"/>
        <v>18.326061171726661</v>
      </c>
      <c r="W46">
        <f ca="1"/>
        <v>14.29330676346369</v>
      </c>
      <c r="X46">
        <f ca="1"/>
        <v>0</v>
      </c>
      <c r="Y46">
        <f ca="1"/>
        <v>0.73472353217444286</v>
      </c>
      <c r="Z46">
        <f ca="1"/>
        <v>0</v>
      </c>
      <c r="AA46">
        <f ca="1"/>
        <v>0</v>
      </c>
      <c r="AB46">
        <f ca="1"/>
        <v>0.82105781110815457</v>
      </c>
      <c r="AD46" s="2">
        <f t="shared" ca="1" si="2"/>
        <v>45269</v>
      </c>
      <c r="AE46">
        <f t="shared" ca="1" si="3"/>
        <v>0</v>
      </c>
      <c r="AG46" s="63">
        <f t="shared" ca="1" si="7"/>
        <v>38.487072602378703</v>
      </c>
      <c r="AH46" s="63">
        <f t="shared" ca="1" si="8"/>
        <v>38.487072602378703</v>
      </c>
      <c r="AI46" s="3">
        <f t="shared" ca="1" si="9"/>
        <v>0</v>
      </c>
    </row>
    <row r="47" spans="1:35">
      <c r="A47" s="6" t="s">
        <v>133</v>
      </c>
      <c r="B47" s="34">
        <f>FollowingHarvestDate</f>
        <v>45436</v>
      </c>
      <c r="G47" s="3">
        <f t="shared" ca="1" si="4"/>
        <v>285</v>
      </c>
      <c r="H47" s="95">
        <f t="shared" ca="1" si="6"/>
        <v>45210</v>
      </c>
      <c r="I47" s="119">
        <f ca="1">HLOOKUP($H$5,'Met Data'!$A$2:$F$368,G47,FALSE)</f>
        <v>13.2293103448275</v>
      </c>
      <c r="J47" s="119">
        <f ca="1">HLOOKUP($H$5,'Met Data'!$H$2:$M$368,G47,FALSE)*L47</f>
        <v>2.3896551724137902</v>
      </c>
      <c r="K47" s="96">
        <f ca="1">HLOOKUP($H$5,'Met Data'!$O$2:$T$368,G47,FALSE)</f>
        <v>2.90858576113735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45270</v>
      </c>
      <c r="Q47">
        <f ca="1"/>
        <v>36.538525296081318</v>
      </c>
      <c r="R47">
        <f ca="1"/>
        <v>1.0996896242994971</v>
      </c>
      <c r="S47">
        <f ca="1"/>
        <v>-3.7275805216014923E-2</v>
      </c>
      <c r="T47">
        <f ca="1"/>
        <v>0.23924853385772002</v>
      </c>
      <c r="U47">
        <f ca="1"/>
        <v>0</v>
      </c>
      <c r="V47">
        <f ca="1"/>
        <v>19.425750796026158</v>
      </c>
      <c r="W47">
        <f ca="1"/>
        <v>15.151003406371377</v>
      </c>
      <c r="X47">
        <f ca="1"/>
        <v>0</v>
      </c>
      <c r="Y47">
        <f ca="1"/>
        <v>0.72099746146030474</v>
      </c>
      <c r="Z47">
        <f ca="1"/>
        <v>0</v>
      </c>
      <c r="AA47">
        <f ca="1"/>
        <v>0</v>
      </c>
      <c r="AB47">
        <f ca="1"/>
        <v>0.83801086204326702</v>
      </c>
      <c r="AD47" s="2">
        <f t="shared" ca="1" si="2"/>
        <v>45270</v>
      </c>
      <c r="AE47">
        <f t="shared" ca="1" si="3"/>
        <v>0</v>
      </c>
      <c r="AG47" s="63">
        <f t="shared" ca="1" si="7"/>
        <v>37.638214920380811</v>
      </c>
      <c r="AH47" s="63">
        <f t="shared" ca="1" si="8"/>
        <v>37.638214920380818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ca="1" si="4"/>
        <v>286</v>
      </c>
      <c r="H48" s="95">
        <f t="shared" ca="1" si="6"/>
        <v>45211</v>
      </c>
      <c r="I48" s="119">
        <f ca="1">HLOOKUP($H$5,'Met Data'!$A$2:$F$368,G48,FALSE)</f>
        <v>13.7431034482758</v>
      </c>
      <c r="J48" s="119">
        <f ca="1">HLOOKUP($H$5,'Met Data'!$H$2:$M$368,G48,FALSE)*L48</f>
        <v>5.39310344827586</v>
      </c>
      <c r="K48" s="96">
        <f ca="1">HLOOKUP($H$5,'Met Data'!$O$2:$T$368,G48,FALSE)</f>
        <v>2.9187130451018599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45271</v>
      </c>
      <c r="Q48">
        <f ca="1"/>
        <v>35.526028368813691</v>
      </c>
      <c r="R48">
        <f ca="1"/>
        <v>1.2129984143764823</v>
      </c>
      <c r="S48">
        <f ca="1"/>
        <v>-3.5006432363139162E-2</v>
      </c>
      <c r="T48">
        <f ca="1"/>
        <v>0.23550791947199345</v>
      </c>
      <c r="U48">
        <f ca="1"/>
        <v>0</v>
      </c>
      <c r="V48">
        <f ca="1"/>
        <v>20.63874921040264</v>
      </c>
      <c r="W48">
        <f ca="1"/>
        <v>16.097074593071696</v>
      </c>
      <c r="X48">
        <f ca="1"/>
        <v>0</v>
      </c>
      <c r="Y48">
        <f ca="1"/>
        <v>0.67774917536269863</v>
      </c>
      <c r="Z48">
        <f ca="1"/>
        <v>0</v>
      </c>
      <c r="AA48">
        <f ca="1"/>
        <v>0</v>
      </c>
      <c r="AB48">
        <f ca="1"/>
        <v>0.85364720852903009</v>
      </c>
      <c r="AD48" s="2">
        <f t="shared" ca="1" si="2"/>
        <v>45271</v>
      </c>
      <c r="AE48">
        <f t="shared" ca="1" si="3"/>
        <v>0</v>
      </c>
      <c r="AG48" s="63">
        <f t="shared" ca="1" si="7"/>
        <v>36.73902678319017</v>
      </c>
      <c r="AH48" s="63">
        <f t="shared" ca="1" si="8"/>
        <v>36.73902678319017</v>
      </c>
      <c r="AI48" s="3">
        <f t="shared" ca="1" si="9"/>
        <v>0</v>
      </c>
    </row>
    <row r="49" spans="1:35" ht="15" thickBot="1">
      <c r="A49" s="7" t="s">
        <v>166</v>
      </c>
      <c r="B49" s="33" t="str">
        <f>FollowingResidueRemoval</f>
        <v>None removed</v>
      </c>
      <c r="G49" s="3">
        <f t="shared" ca="1" si="4"/>
        <v>287</v>
      </c>
      <c r="H49" s="95">
        <f t="shared" ca="1" si="6"/>
        <v>45212</v>
      </c>
      <c r="I49" s="119">
        <f ca="1">HLOOKUP($H$5,'Met Data'!$A$2:$F$368,G49,FALSE)</f>
        <v>13.6551724137931</v>
      </c>
      <c r="J49" s="119">
        <f ca="1">HLOOKUP($H$5,'Met Data'!$H$2:$M$368,G49,FALSE)*L49</f>
        <v>4.9586206896551701</v>
      </c>
      <c r="K49" s="96">
        <f ca="1">HLOOKUP($H$5,'Met Data'!$O$2:$T$368,G49,FALSE)</f>
        <v>2.9944315874670302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45272</v>
      </c>
      <c r="Q49">
        <f ca="1"/>
        <v>34.398554581358574</v>
      </c>
      <c r="R49">
        <f ca="1"/>
        <v>1.3304615588144699</v>
      </c>
      <c r="S49">
        <f ca="1"/>
        <v>-3.2453695297571805E-2</v>
      </c>
      <c r="T49">
        <f ca="1"/>
        <v>0.23544146665692456</v>
      </c>
      <c r="U49">
        <f ca="1"/>
        <v>0</v>
      </c>
      <c r="V49">
        <f ca="1"/>
        <v>21.96921076921711</v>
      </c>
      <c r="W49">
        <f ca="1"/>
        <v>17.134760488525878</v>
      </c>
      <c r="X49">
        <f ca="1"/>
        <v>0</v>
      </c>
      <c r="Y49">
        <f ca="1"/>
        <v>0.65043279810688726</v>
      </c>
      <c r="Z49">
        <f ca="1"/>
        <v>0</v>
      </c>
      <c r="AA49">
        <f ca="1"/>
        <v>0</v>
      </c>
      <c r="AB49">
        <f ca="1"/>
        <v>0.86781130847386723</v>
      </c>
      <c r="AD49" s="2">
        <f t="shared" ca="1" si="2"/>
        <v>45272</v>
      </c>
      <c r="AE49">
        <f t="shared" ca="1" si="3"/>
        <v>0</v>
      </c>
      <c r="AG49" s="63">
        <f t="shared" ca="1" si="7"/>
        <v>35.729016140173044</v>
      </c>
      <c r="AH49" s="63">
        <f t="shared" ca="1" si="8"/>
        <v>35.729016140173044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ca="1" si="4"/>
        <v>288</v>
      </c>
      <c r="H50" s="95">
        <f t="shared" ca="1" si="6"/>
        <v>45213</v>
      </c>
      <c r="I50" s="119">
        <f ca="1">HLOOKUP($H$5,'Met Data'!$A$2:$F$368,G50,FALSE)</f>
        <v>13.334482758620601</v>
      </c>
      <c r="J50" s="119">
        <f ca="1">HLOOKUP($H$5,'Met Data'!$H$2:$M$368,G50,FALSE)*L50</f>
        <v>5.6758620689655102</v>
      </c>
      <c r="K50" s="96">
        <f ca="1">HLOOKUP($H$5,'Met Data'!$O$2:$T$368,G50,FALSE)</f>
        <v>2.9220059834019998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45273</v>
      </c>
      <c r="Q50">
        <f ca="1"/>
        <v>33.213136418495331</v>
      </c>
      <c r="R50">
        <f ca="1"/>
        <v>1.3778963055028051</v>
      </c>
      <c r="S50">
        <f ca="1"/>
        <v>-2.8465242868086271E-2</v>
      </c>
      <c r="T50">
        <f ca="1"/>
        <v>0.22094338550764736</v>
      </c>
      <c r="U50">
        <f ca="1"/>
        <v>0</v>
      </c>
      <c r="V50">
        <f ca="1"/>
        <v>23.347107074719915</v>
      </c>
      <c r="W50">
        <f ca="1"/>
        <v>18.20944284379269</v>
      </c>
      <c r="X50">
        <f ca="1"/>
        <v>0</v>
      </c>
      <c r="Y50">
        <f ca="1"/>
        <v>0.61612555526624846</v>
      </c>
      <c r="Z50">
        <f ca="1"/>
        <v>0</v>
      </c>
      <c r="AA50">
        <f ca="1"/>
        <v>0</v>
      </c>
      <c r="AB50">
        <f ca="1"/>
        <v>0.87985258535331123</v>
      </c>
      <c r="AD50" s="2">
        <f t="shared" ca="1" si="2"/>
        <v>45273</v>
      </c>
      <c r="AE50">
        <f t="shared" ca="1" si="3"/>
        <v>0</v>
      </c>
      <c r="AG50" s="63">
        <f t="shared" ca="1" si="7"/>
        <v>34.591032723998133</v>
      </c>
      <c r="AH50" s="63">
        <f t="shared" ca="1" si="8"/>
        <v>34.59103272399814</v>
      </c>
      <c r="AI50" s="3">
        <f t="shared" ca="1" si="9"/>
        <v>0</v>
      </c>
    </row>
    <row r="51" spans="1:35">
      <c r="A51" s="12"/>
      <c r="B51" s="13"/>
      <c r="G51" s="3">
        <f t="shared" ca="1" si="4"/>
        <v>289</v>
      </c>
      <c r="H51" s="95">
        <f t="shared" ca="1" si="6"/>
        <v>45214</v>
      </c>
      <c r="I51" s="119">
        <f ca="1">HLOOKUP($H$5,'Met Data'!$A$2:$F$368,G51,FALSE)</f>
        <v>13.0379310344827</v>
      </c>
      <c r="J51" s="119">
        <f ca="1">HLOOKUP($H$5,'Met Data'!$H$2:$M$368,G51,FALSE)*L51</f>
        <v>5.9344827586206899</v>
      </c>
      <c r="K51" s="96">
        <f ca="1">HLOOKUP($H$5,'Met Data'!$O$2:$T$368,G51,FALSE)</f>
        <v>3.1812494285264998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45274</v>
      </c>
      <c r="Q51">
        <f ca="1"/>
        <v>31.966490162375194</v>
      </c>
      <c r="R51">
        <f ca="1"/>
        <v>1.4423264160083065</v>
      </c>
      <c r="S51">
        <f ca="1"/>
        <v>-2.5089658958831862E-2</v>
      </c>
      <c r="T51">
        <f ca="1"/>
        <v>0.22076981884700345</v>
      </c>
      <c r="U51">
        <f ca="1"/>
        <v>0</v>
      </c>
      <c r="V51">
        <f ca="1"/>
        <v>24.789433490728221</v>
      </c>
      <c r="W51">
        <f ca="1"/>
        <v>19.334377095832597</v>
      </c>
      <c r="X51">
        <f ca="1"/>
        <v>0</v>
      </c>
      <c r="Y51">
        <f ca="1"/>
        <v>0.6200669621597964</v>
      </c>
      <c r="Z51">
        <f ca="1"/>
        <v>0</v>
      </c>
      <c r="AA51">
        <f ca="1"/>
        <v>0</v>
      </c>
      <c r="AB51">
        <f ca="1"/>
        <v>0.89018950842653977</v>
      </c>
      <c r="AD51" s="2">
        <f t="shared" ca="1" si="2"/>
        <v>45274</v>
      </c>
      <c r="AE51">
        <f t="shared" ca="1" si="3"/>
        <v>0</v>
      </c>
      <c r="AG51" s="63">
        <f t="shared" ca="1" si="7"/>
        <v>33.408816578383501</v>
      </c>
      <c r="AH51" s="63">
        <f t="shared" ca="1" si="8"/>
        <v>33.408816578383501</v>
      </c>
      <c r="AI51" s="3">
        <f t="shared" ca="1" si="9"/>
        <v>0</v>
      </c>
    </row>
    <row r="52" spans="1:35" ht="15" thickBot="1">
      <c r="A52" s="14"/>
      <c r="B52" s="15"/>
      <c r="G52" s="3">
        <f t="shared" ca="1" si="4"/>
        <v>290</v>
      </c>
      <c r="H52" s="95">
        <f t="shared" ca="1" si="6"/>
        <v>45215</v>
      </c>
      <c r="I52" s="119">
        <f ca="1">HLOOKUP($H$5,'Met Data'!$A$2:$F$368,G52,FALSE)</f>
        <v>13.094827586206801</v>
      </c>
      <c r="J52" s="119">
        <f ca="1">HLOOKUP($H$5,'Met Data'!$H$2:$M$368,G52,FALSE)*L52</f>
        <v>3.2862068965517199</v>
      </c>
      <c r="K52" s="96">
        <f ca="1">HLOOKUP($H$5,'Met Data'!$O$2:$T$368,G52,FALSE)</f>
        <v>3.1846462671739202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45275</v>
      </c>
      <c r="Q52">
        <f ca="1"/>
        <v>30.659924020339087</v>
      </c>
      <c r="R52">
        <f ca="1"/>
        <v>1.4964143773541778</v>
      </c>
      <c r="S52">
        <f ca="1"/>
        <v>-2.1823218512419196E-2</v>
      </c>
      <c r="T52">
        <f ca="1"/>
        <v>0.2116714538304888</v>
      </c>
      <c r="U52">
        <f ca="1"/>
        <v>0</v>
      </c>
      <c r="V52">
        <f ca="1"/>
        <v>26.285847868082399</v>
      </c>
      <c r="W52">
        <f ca="1"/>
        <v>20.50149694446538</v>
      </c>
      <c r="X52">
        <f ca="1"/>
        <v>0</v>
      </c>
      <c r="Y52">
        <f ca="1"/>
        <v>0.59818813783514924</v>
      </c>
      <c r="Z52">
        <f ca="1"/>
        <v>0</v>
      </c>
      <c r="AA52">
        <f ca="1"/>
        <v>0</v>
      </c>
      <c r="AB52">
        <f ca="1"/>
        <v>0.89897849220233039</v>
      </c>
      <c r="AD52" s="2">
        <f t="shared" ca="1" si="2"/>
        <v>45275</v>
      </c>
      <c r="AE52">
        <f t="shared" ca="1" si="3"/>
        <v>0</v>
      </c>
      <c r="AG52" s="63">
        <f t="shared" ca="1" si="7"/>
        <v>32.156338397693261</v>
      </c>
      <c r="AH52" s="63">
        <f t="shared" ca="1" si="8"/>
        <v>32.156338397693261</v>
      </c>
      <c r="AI52" s="3">
        <f t="shared" ca="1" si="9"/>
        <v>0</v>
      </c>
    </row>
    <row r="53" spans="1:35">
      <c r="G53" s="3">
        <f t="shared" ca="1" si="4"/>
        <v>291</v>
      </c>
      <c r="H53" s="95">
        <f t="shared" ca="1" si="6"/>
        <v>45216</v>
      </c>
      <c r="I53" s="119">
        <f ca="1">HLOOKUP($H$5,'Met Data'!$A$2:$F$368,G53,FALSE)</f>
        <v>13.6775862068965</v>
      </c>
      <c r="J53" s="119">
        <f ca="1">HLOOKUP($H$5,'Met Data'!$H$2:$M$368,G53,FALSE)*L53</f>
        <v>3.4241379310344802</v>
      </c>
      <c r="K53" s="96">
        <f ca="1">HLOOKUP($H$5,'Met Data'!$O$2:$T$368,G53,FALSE)</f>
        <v>3.2300602691540199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45276</v>
      </c>
      <c r="Q53">
        <f ca="1"/>
        <v>50.560931474521297</v>
      </c>
      <c r="R53">
        <f ca="1"/>
        <v>1.5850441475022308</v>
      </c>
      <c r="S53">
        <f ca="1"/>
        <v>-1.9150811211158469E-2</v>
      </c>
      <c r="T53">
        <f ca="1"/>
        <v>0.21990064522409195</v>
      </c>
      <c r="U53">
        <f ca="1"/>
        <v>21.285301767671506</v>
      </c>
      <c r="V53">
        <f ca="1"/>
        <v>27.87089201558463</v>
      </c>
      <c r="W53">
        <f ca="1"/>
        <v>21.737743076221996</v>
      </c>
      <c r="X53">
        <f ca="1"/>
        <v>0</v>
      </c>
      <c r="Y53">
        <f ca="1"/>
        <v>0.62106184996936364</v>
      </c>
      <c r="Z53">
        <f ca="1"/>
        <v>0</v>
      </c>
      <c r="AA53">
        <f ca="1"/>
        <v>0</v>
      </c>
      <c r="AB53">
        <f ca="1"/>
        <v>0.90659626366109447</v>
      </c>
      <c r="AD53" s="2">
        <f t="shared" ca="1" si="2"/>
        <v>45276</v>
      </c>
      <c r="AE53">
        <f t="shared" ca="1" si="3"/>
        <v>21.285301767671506</v>
      </c>
      <c r="AG53" s="63">
        <f t="shared" ca="1" si="7"/>
        <v>52.145975622023528</v>
      </c>
      <c r="AH53" s="63">
        <f t="shared" ca="1" si="8"/>
        <v>52.145975622023528</v>
      </c>
      <c r="AI53" s="3">
        <f t="shared" ca="1" si="9"/>
        <v>0</v>
      </c>
    </row>
    <row r="54" spans="1:35">
      <c r="G54" s="3">
        <f t="shared" ca="1" si="4"/>
        <v>292</v>
      </c>
      <c r="H54" s="95">
        <f t="shared" ca="1" si="6"/>
        <v>45217</v>
      </c>
      <c r="I54" s="119">
        <f ca="1">HLOOKUP($H$5,'Met Data'!$A$2:$F$368,G54,FALSE)</f>
        <v>13.189655172413699</v>
      </c>
      <c r="J54" s="119">
        <f ca="1">HLOOKUP($H$5,'Met Data'!$H$2:$M$368,G54,FALSE)*L54</f>
        <v>3.6586206896551698</v>
      </c>
      <c r="K54" s="96">
        <f ca="1">HLOOKUP($H$5,'Met Data'!$O$2:$T$368,G54,FALSE)</f>
        <v>2.98673361950474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45277</v>
      </c>
      <c r="Q54">
        <f ca="1"/>
        <v>49.098175378451543</v>
      </c>
      <c r="R54">
        <f ca="1"/>
        <v>1.6705725804247926</v>
      </c>
      <c r="S54">
        <f ca="1"/>
        <v>-1.6532792923470652E-2</v>
      </c>
      <c r="T54">
        <f ca="1"/>
        <v>0.22434927727851181</v>
      </c>
      <c r="U54">
        <f ca="1"/>
        <v>0</v>
      </c>
      <c r="V54">
        <f ca="1"/>
        <v>29.541464596009423</v>
      </c>
      <c r="W54">
        <f ca="1"/>
        <v>23.040696620843001</v>
      </c>
      <c r="X54">
        <f ca="1"/>
        <v>0</v>
      </c>
      <c r="Y54">
        <f ca="1"/>
        <v>0.63327319640953061</v>
      </c>
      <c r="Z54">
        <f ca="1"/>
        <v>0</v>
      </c>
      <c r="AA54">
        <f ca="1"/>
        <v>0</v>
      </c>
      <c r="AB54">
        <f ca="1"/>
        <v>0.91314736161422172</v>
      </c>
      <c r="AD54" s="2">
        <f t="shared" ca="1" si="2"/>
        <v>45277</v>
      </c>
      <c r="AE54">
        <f t="shared" ca="1" si="3"/>
        <v>0</v>
      </c>
      <c r="AG54" s="63">
        <f t="shared" ca="1" si="7"/>
        <v>50.76874795887634</v>
      </c>
      <c r="AH54" s="63">
        <f t="shared" ca="1" si="8"/>
        <v>50.768747958876332</v>
      </c>
      <c r="AI54" s="3">
        <f t="shared" ca="1" si="9"/>
        <v>0</v>
      </c>
    </row>
    <row r="55" spans="1:35">
      <c r="G55" s="3">
        <f t="shared" ca="1" si="4"/>
        <v>293</v>
      </c>
      <c r="H55" s="95">
        <f t="shared" ca="1" si="6"/>
        <v>45218</v>
      </c>
      <c r="I55" s="119">
        <f ca="1">HLOOKUP($H$5,'Met Data'!$A$2:$F$368,G55,FALSE)</f>
        <v>12.9428571428571</v>
      </c>
      <c r="J55" s="119">
        <f ca="1">HLOOKUP($H$5,'Met Data'!$H$2:$M$368,G55,FALSE)*L55</f>
        <v>2.3892857142857098</v>
      </c>
      <c r="K55" s="96">
        <f ca="1">HLOOKUP($H$5,'Met Data'!$O$2:$T$368,G55,FALSE)</f>
        <v>3.3877860671285598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45278</v>
      </c>
      <c r="Q55">
        <f ca="1"/>
        <v>47.598981741195622</v>
      </c>
      <c r="R55">
        <f ca="1"/>
        <v>1.7075936909727893</v>
      </c>
      <c r="S55">
        <f ca="1"/>
        <v>-1.3738388396257406E-2</v>
      </c>
      <c r="T55">
        <f ca="1"/>
        <v>0.22213844211312184</v>
      </c>
      <c r="U55">
        <f ca="1"/>
        <v>0</v>
      </c>
      <c r="V55">
        <f ca="1"/>
        <v>31.249058286982212</v>
      </c>
      <c r="W55">
        <f ca="1"/>
        <v>24.372524569234034</v>
      </c>
      <c r="X55">
        <f ca="1"/>
        <v>0</v>
      </c>
      <c r="Y55">
        <f ca="1"/>
        <v>0.64332083562207321</v>
      </c>
      <c r="Z55">
        <f ca="1"/>
        <v>0</v>
      </c>
      <c r="AA55">
        <f ca="1"/>
        <v>0</v>
      </c>
      <c r="AB55">
        <f ca="1"/>
        <v>0.9186160577808079</v>
      </c>
      <c r="AD55" s="2">
        <f t="shared" ca="1" si="2"/>
        <v>45278</v>
      </c>
      <c r="AE55">
        <f t="shared" ca="1" si="3"/>
        <v>0</v>
      </c>
      <c r="AG55" s="63">
        <f t="shared" ca="1" si="7"/>
        <v>49.306575432168408</v>
      </c>
      <c r="AH55" s="63">
        <f t="shared" ca="1" si="8"/>
        <v>49.306575432168415</v>
      </c>
      <c r="AI55" s="3">
        <f t="shared" ca="1" si="9"/>
        <v>0</v>
      </c>
    </row>
    <row r="56" spans="1:35">
      <c r="G56" s="3">
        <f t="shared" ca="1" si="4"/>
        <v>294</v>
      </c>
      <c r="H56" s="95">
        <f t="shared" ca="1" si="6"/>
        <v>45219</v>
      </c>
      <c r="I56" s="119">
        <f ca="1">HLOOKUP($H$5,'Met Data'!$A$2:$F$368,G56,FALSE)</f>
        <v>12.819642857142799</v>
      </c>
      <c r="J56" s="119">
        <f ca="1">HLOOKUP($H$5,'Met Data'!$H$2:$M$368,G56,FALSE)*L56</f>
        <v>1.6142857142857101</v>
      </c>
      <c r="K56" s="96">
        <f ca="1">HLOOKUP($H$5,'Met Data'!$O$2:$T$368,G56,FALSE)</f>
        <v>3.30175747979975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45279</v>
      </c>
      <c r="Q56">
        <f ca="1"/>
        <v>46.000139498707135</v>
      </c>
      <c r="R56">
        <f ca="1"/>
        <v>1.8137207731088267</v>
      </c>
      <c r="S56">
        <f ca="1"/>
        <v>-1.1577759667218857E-2</v>
      </c>
      <c r="T56">
        <f ca="1"/>
        <v>0.22645629028755546</v>
      </c>
      <c r="U56">
        <f ca="1"/>
        <v>0</v>
      </c>
      <c r="V56">
        <f ca="1"/>
        <v>33.062779060091039</v>
      </c>
      <c r="W56">
        <f ca="1"/>
        <v>25.787125729318916</v>
      </c>
      <c r="X56">
        <f ca="1"/>
        <v>0</v>
      </c>
      <c r="Y56">
        <f ca="1"/>
        <v>0.6474311989109538</v>
      </c>
      <c r="Z56">
        <f ca="1"/>
        <v>0</v>
      </c>
      <c r="AA56">
        <f ca="1"/>
        <v>0</v>
      </c>
      <c r="AB56">
        <f ca="1"/>
        <v>0.92336142006021216</v>
      </c>
      <c r="AD56" s="2">
        <f t="shared" ca="1" si="2"/>
        <v>45279</v>
      </c>
      <c r="AE56">
        <f t="shared" ca="1" si="3"/>
        <v>0</v>
      </c>
      <c r="AG56" s="63">
        <f t="shared" ca="1" si="7"/>
        <v>47.813860271815962</v>
      </c>
      <c r="AH56" s="63">
        <f t="shared" ca="1" si="8"/>
        <v>47.813860271815962</v>
      </c>
      <c r="AI56" s="3">
        <f t="shared" ca="1" si="9"/>
        <v>0</v>
      </c>
    </row>
    <row r="57" spans="1:35">
      <c r="G57" s="3">
        <f t="shared" ca="1" si="4"/>
        <v>295</v>
      </c>
      <c r="H57" s="95">
        <f t="shared" ca="1" si="6"/>
        <v>45220</v>
      </c>
      <c r="I57" s="119">
        <f ca="1">HLOOKUP($H$5,'Met Data'!$A$2:$F$368,G57,FALSE)</f>
        <v>13.2785714285714</v>
      </c>
      <c r="J57" s="119">
        <f ca="1">HLOOKUP($H$5,'Met Data'!$H$2:$M$368,G57,FALSE)*L57</f>
        <v>2.9214285714285699</v>
      </c>
      <c r="K57" s="96">
        <f ca="1">HLOOKUP($H$5,'Met Data'!$O$2:$T$368,G57,FALSE)</f>
        <v>2.9372247945615499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45280</v>
      </c>
      <c r="Q57">
        <f ca="1"/>
        <v>44.268246300416152</v>
      </c>
      <c r="R57">
        <f ca="1"/>
        <v>1.9412095213627509</v>
      </c>
      <c r="S57">
        <f ca="1"/>
        <v>-9.5318004280624535E-3</v>
      </c>
      <c r="T57">
        <f ca="1"/>
        <v>0.21884812349983557</v>
      </c>
      <c r="U57">
        <f ca="1"/>
        <v>0</v>
      </c>
      <c r="V57">
        <f ca="1"/>
        <v>35.00398858145379</v>
      </c>
      <c r="W57">
        <f ca="1"/>
        <v>27.301161010604627</v>
      </c>
      <c r="X57">
        <f ca="1"/>
        <v>0</v>
      </c>
      <c r="Y57">
        <f ca="1"/>
        <v>0.60569727785892225</v>
      </c>
      <c r="Z57">
        <f ca="1"/>
        <v>0</v>
      </c>
      <c r="AA57">
        <f ca="1"/>
        <v>0</v>
      </c>
      <c r="AB57">
        <f ca="1"/>
        <v>0.9274930143358675</v>
      </c>
      <c r="AD57" s="2">
        <f t="shared" ca="1" si="2"/>
        <v>45280</v>
      </c>
      <c r="AE57">
        <f t="shared" ca="1" si="3"/>
        <v>0</v>
      </c>
      <c r="AG57" s="63">
        <f t="shared" ca="1" si="7"/>
        <v>46.209455821778903</v>
      </c>
      <c r="AH57" s="63">
        <f t="shared" ca="1" si="8"/>
        <v>46.209455821778903</v>
      </c>
      <c r="AI57" s="3">
        <f t="shared" ca="1" si="9"/>
        <v>0</v>
      </c>
    </row>
    <row r="58" spans="1:35">
      <c r="G58" s="3">
        <f t="shared" ca="1" si="4"/>
        <v>296</v>
      </c>
      <c r="H58" s="95">
        <f t="shared" ca="1" si="6"/>
        <v>45221</v>
      </c>
      <c r="I58" s="119">
        <f ca="1">HLOOKUP($H$5,'Met Data'!$A$2:$F$368,G58,FALSE)</f>
        <v>13.5625</v>
      </c>
      <c r="J58" s="119">
        <f ca="1">HLOOKUP($H$5,'Met Data'!$H$2:$M$368,G58,FALSE)*L58</f>
        <v>3.3499999999999899</v>
      </c>
      <c r="K58" s="96">
        <f ca="1">HLOOKUP($H$5,'Met Data'!$O$2:$T$368,G58,FALSE)</f>
        <v>2.9112128548041598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45281</v>
      </c>
      <c r="Q58">
        <f ca="1"/>
        <v>42.450155109663442</v>
      </c>
      <c r="R58">
        <f ca="1"/>
        <v>2.0289343068836985</v>
      </c>
      <c r="S58">
        <f ca="1"/>
        <v>-7.3760288189053114E-3</v>
      </c>
      <c r="T58">
        <f ca="1"/>
        <v>0.21821914494989003</v>
      </c>
      <c r="U58">
        <f ca="1"/>
        <v>0</v>
      </c>
      <c r="V58">
        <f ca="1"/>
        <v>37.032922888337488</v>
      </c>
      <c r="W58">
        <f ca="1"/>
        <v>28.883616737421992</v>
      </c>
      <c r="X58">
        <f ca="1"/>
        <v>0</v>
      </c>
      <c r="Y58">
        <f ca="1"/>
        <v>0.6035399623369776</v>
      </c>
      <c r="Z58">
        <f ca="1"/>
        <v>0</v>
      </c>
      <c r="AA58">
        <f ca="1"/>
        <v>0</v>
      </c>
      <c r="AB58">
        <f ca="1"/>
        <v>0.9309969938883168</v>
      </c>
      <c r="AD58" s="2">
        <f t="shared" ca="1" si="2"/>
        <v>45281</v>
      </c>
      <c r="AE58">
        <f t="shared" ca="1" si="3"/>
        <v>0</v>
      </c>
      <c r="AG58" s="63">
        <f t="shared" ca="1" si="7"/>
        <v>44.47908941654714</v>
      </c>
      <c r="AH58" s="63">
        <f t="shared" ca="1" si="8"/>
        <v>44.47908941654714</v>
      </c>
      <c r="AI58" s="3">
        <f t="shared" ca="1" si="9"/>
        <v>0</v>
      </c>
    </row>
    <row r="59" spans="1:35">
      <c r="G59" s="3">
        <f t="shared" ca="1" si="4"/>
        <v>297</v>
      </c>
      <c r="H59" s="95">
        <f t="shared" ca="1" si="6"/>
        <v>45222</v>
      </c>
      <c r="I59" s="119">
        <f ca="1">HLOOKUP($H$5,'Met Data'!$A$2:$F$368,G59,FALSE)</f>
        <v>13.9310344827586</v>
      </c>
      <c r="J59" s="119">
        <f ca="1">HLOOKUP($H$5,'Met Data'!$H$2:$M$368,G59,FALSE)*L59</f>
        <v>4.6137931034482698</v>
      </c>
      <c r="K59" s="96">
        <f ca="1">HLOOKUP($H$5,'Met Data'!$O$2:$T$368,G59,FALSE)</f>
        <v>3.5318790230099002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45282</v>
      </c>
      <c r="Q59">
        <f ca="1"/>
        <v>40.508969512954188</v>
      </c>
      <c r="R59">
        <f ca="1"/>
        <v>2.1466357725337915</v>
      </c>
      <c r="S59">
        <f ca="1"/>
        <v>-5.4021642722190677E-3</v>
      </c>
      <c r="T59">
        <f ca="1"/>
        <v>0.21085234009675929</v>
      </c>
      <c r="U59">
        <f ca="1"/>
        <v>0</v>
      </c>
      <c r="V59">
        <f ca="1"/>
        <v>39.17955866087128</v>
      </c>
      <c r="W59">
        <f ca="1"/>
        <v>30.557873050261723</v>
      </c>
      <c r="X59">
        <f ca="1"/>
        <v>0</v>
      </c>
      <c r="Y59">
        <f ca="1"/>
        <v>0.56824765945925892</v>
      </c>
      <c r="Z59">
        <f ca="1"/>
        <v>0</v>
      </c>
      <c r="AA59">
        <f ca="1"/>
        <v>0</v>
      </c>
      <c r="AB59">
        <f ca="1"/>
        <v>0.93400152349640997</v>
      </c>
      <c r="AD59" s="2">
        <f t="shared" ca="1" si="2"/>
        <v>45282</v>
      </c>
      <c r="AE59">
        <f t="shared" ca="1" si="3"/>
        <v>0</v>
      </c>
      <c r="AG59" s="63">
        <f t="shared" ca="1" si="7"/>
        <v>42.655605285487979</v>
      </c>
      <c r="AH59" s="63">
        <f t="shared" ca="1" si="8"/>
        <v>42.655605285487979</v>
      </c>
      <c r="AI59" s="3">
        <f t="shared" ca="1" si="9"/>
        <v>0</v>
      </c>
    </row>
    <row r="60" spans="1:35">
      <c r="A60" s="1"/>
      <c r="B60" s="1"/>
      <c r="G60" s="3">
        <f t="shared" ca="1" si="4"/>
        <v>298</v>
      </c>
      <c r="H60" s="95">
        <f t="shared" ca="1" si="6"/>
        <v>45223</v>
      </c>
      <c r="I60" s="119">
        <f ca="1">HLOOKUP($H$5,'Met Data'!$A$2:$F$368,G60,FALSE)</f>
        <v>13.336206896551699</v>
      </c>
      <c r="J60" s="119">
        <f ca="1">HLOOKUP($H$5,'Met Data'!$H$2:$M$368,G60,FALSE)*L60</f>
        <v>3.30689655172413</v>
      </c>
      <c r="K60" s="96">
        <f ca="1">HLOOKUP($H$5,'Met Data'!$O$2:$T$368,G60,FALSE)</f>
        <v>3.2578637469081699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45283</v>
      </c>
      <c r="Q60">
        <f ca="1"/>
        <v>38.535347568941908</v>
      </c>
      <c r="R60">
        <f ca="1"/>
        <v>2.168163185259715</v>
      </c>
      <c r="S60">
        <f ca="1"/>
        <v>-3.3931254918844189E-3</v>
      </c>
      <c r="T60">
        <f ca="1"/>
        <v>0.19793436673931775</v>
      </c>
      <c r="U60">
        <f ca="1"/>
        <v>0</v>
      </c>
      <c r="V60">
        <f ca="1"/>
        <v>41.347721846130995</v>
      </c>
      <c r="W60">
        <f ca="1"/>
        <v>32.248919545728903</v>
      </c>
      <c r="X60">
        <f ca="1"/>
        <v>0</v>
      </c>
      <c r="Y60">
        <f ca="1"/>
        <v>0.54285806503605039</v>
      </c>
      <c r="Z60">
        <f ca="1"/>
        <v>0</v>
      </c>
      <c r="AA60">
        <f ca="1"/>
        <v>0</v>
      </c>
      <c r="AB60">
        <f ca="1"/>
        <v>0.93646629847392582</v>
      </c>
      <c r="AD60" s="2">
        <f t="shared" ca="1" si="2"/>
        <v>45283</v>
      </c>
      <c r="AE60">
        <f t="shared" ca="1" si="3"/>
        <v>0</v>
      </c>
      <c r="AG60" s="63">
        <f t="shared" ca="1" si="7"/>
        <v>40.703510754201623</v>
      </c>
      <c r="AH60" s="63">
        <f t="shared" ca="1" si="8"/>
        <v>40.703510754201623</v>
      </c>
      <c r="AI60" s="3">
        <f t="shared" ca="1" si="9"/>
        <v>0</v>
      </c>
    </row>
    <row r="61" spans="1:35">
      <c r="G61" s="3">
        <f t="shared" ca="1" si="4"/>
        <v>299</v>
      </c>
      <c r="H61" s="95">
        <f t="shared" ca="1" si="6"/>
        <v>45224</v>
      </c>
      <c r="I61" s="119">
        <f ca="1">HLOOKUP($H$5,'Met Data'!$A$2:$F$368,G61,FALSE)</f>
        <v>13.789655172413701</v>
      </c>
      <c r="J61" s="119">
        <f ca="1">HLOOKUP($H$5,'Met Data'!$H$2:$M$368,G61,FALSE)*L61</f>
        <v>1.8172413793103399</v>
      </c>
      <c r="K61" s="96">
        <f ca="1">HLOOKUP($H$5,'Met Data'!$O$2:$T$368,G61,FALSE)</f>
        <v>3.4101531049699898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45284</v>
      </c>
      <c r="Q61">
        <f ca="1"/>
        <v>36.451080565758787</v>
      </c>
      <c r="R61">
        <f ca="1"/>
        <v>2.2802103603970494</v>
      </c>
      <c r="S61">
        <f ca="1"/>
        <v>-1.6724010810094114E-3</v>
      </c>
      <c r="T61">
        <f ca="1"/>
        <v>0.1976157582949353</v>
      </c>
      <c r="U61">
        <f ca="1"/>
        <v>0</v>
      </c>
      <c r="V61">
        <f ca="1"/>
        <v>43.627932206528044</v>
      </c>
      <c r="W61">
        <f ca="1"/>
        <v>34.027356595620752</v>
      </c>
      <c r="X61">
        <f ca="1"/>
        <v>0</v>
      </c>
      <c r="Y61">
        <f ca="1"/>
        <v>0.53370266101232156</v>
      </c>
      <c r="Z61">
        <f ca="1"/>
        <v>0</v>
      </c>
      <c r="AA61">
        <f ca="1"/>
        <v>0</v>
      </c>
      <c r="AB61">
        <f ca="1"/>
        <v>0.93857761963067188</v>
      </c>
      <c r="AD61" s="2">
        <f t="shared" ca="1" si="2"/>
        <v>45284</v>
      </c>
      <c r="AE61">
        <f t="shared" ca="1" si="3"/>
        <v>0</v>
      </c>
      <c r="AG61" s="63">
        <f t="shared" ca="1" si="7"/>
        <v>38.731290926155836</v>
      </c>
      <c r="AH61" s="63">
        <f t="shared" ca="1" si="8"/>
        <v>38.731290926155836</v>
      </c>
      <c r="AI61" s="3">
        <f t="shared" ca="1" si="9"/>
        <v>0</v>
      </c>
    </row>
    <row r="62" spans="1:35">
      <c r="G62" s="3">
        <f t="shared" ca="1" si="4"/>
        <v>300</v>
      </c>
      <c r="H62" s="95">
        <f t="shared" ca="1" si="6"/>
        <v>45225</v>
      </c>
      <c r="I62" s="119">
        <f ca="1">HLOOKUP($H$5,'Met Data'!$A$2:$F$368,G62,FALSE)</f>
        <v>14.0810344827586</v>
      </c>
      <c r="J62" s="119">
        <f ca="1">HLOOKUP($H$5,'Met Data'!$H$2:$M$368,G62,FALSE)*L62</f>
        <v>0.78965517241379302</v>
      </c>
      <c r="K62" s="96">
        <f ca="1">HLOOKUP($H$5,'Met Data'!$O$2:$T$368,G62,FALSE)</f>
        <v>3.2764418127891499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45285</v>
      </c>
      <c r="Q62">
        <f ca="1"/>
        <v>34.238854948859739</v>
      </c>
      <c r="R62">
        <f ca="1"/>
        <v>2.4170208479264517</v>
      </c>
      <c r="S62">
        <f ca="1"/>
        <v>-7.8289651961327422E-6</v>
      </c>
      <c r="T62">
        <f ca="1"/>
        <v>0.20480305999260193</v>
      </c>
      <c r="U62">
        <f ca="1"/>
        <v>0</v>
      </c>
      <c r="V62">
        <f ca="1"/>
        <v>46.044953054454496</v>
      </c>
      <c r="W62">
        <f ca="1"/>
        <v>35.912498204031358</v>
      </c>
      <c r="X62">
        <f ca="1"/>
        <v>0</v>
      </c>
      <c r="Y62">
        <f ca="1"/>
        <v>0.54625471304004847</v>
      </c>
      <c r="Z62">
        <f ca="1"/>
        <v>0</v>
      </c>
      <c r="AA62">
        <f ca="1"/>
        <v>0</v>
      </c>
      <c r="AB62">
        <f ca="1"/>
        <v>0.9403961852935917</v>
      </c>
      <c r="AD62" s="2">
        <f t="shared" ca="1" si="2"/>
        <v>45285</v>
      </c>
      <c r="AE62">
        <f t="shared" ca="1" si="3"/>
        <v>0</v>
      </c>
      <c r="AG62" s="63">
        <f t="shared" ca="1" si="7"/>
        <v>36.655875796786191</v>
      </c>
      <c r="AH62" s="63">
        <f t="shared" ca="1" si="8"/>
        <v>36.655875796786191</v>
      </c>
      <c r="AI62" s="3">
        <f t="shared" ca="1" si="9"/>
        <v>0</v>
      </c>
    </row>
    <row r="63" spans="1:35">
      <c r="G63" s="3">
        <f t="shared" ca="1" si="4"/>
        <v>301</v>
      </c>
      <c r="H63" s="95">
        <f t="shared" ca="1" si="6"/>
        <v>45226</v>
      </c>
      <c r="I63" s="119">
        <f ca="1">HLOOKUP($H$5,'Met Data'!$A$2:$F$368,G63,FALSE)</f>
        <v>14.8396551724137</v>
      </c>
      <c r="J63" s="119">
        <f ca="1">HLOOKUP($H$5,'Met Data'!$H$2:$M$368,G63,FALSE)*L63</f>
        <v>3.4241379310344802</v>
      </c>
      <c r="K63" s="96">
        <f ca="1">HLOOKUP($H$5,'Met Data'!$O$2:$T$368,G63,FALSE)</f>
        <v>3.3023555527193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45286</v>
      </c>
      <c r="Q63">
        <f ca="1"/>
        <v>31.981014965830319</v>
      </c>
      <c r="R63">
        <f ca="1"/>
        <v>2.449820107851906</v>
      </c>
      <c r="S63">
        <f ca="1"/>
        <v>1.5451596597744199E-3</v>
      </c>
      <c r="T63">
        <f ca="1"/>
        <v>0.19043496516271058</v>
      </c>
      <c r="U63">
        <f ca="1"/>
        <v>0</v>
      </c>
      <c r="V63">
        <f ca="1"/>
        <v>48.494773162306402</v>
      </c>
      <c r="W63">
        <f ca="1"/>
        <v>37.823221407926994</v>
      </c>
      <c r="X63">
        <f ca="1"/>
        <v>0</v>
      </c>
      <c r="Y63">
        <f ca="1"/>
        <v>0.5077077525759397</v>
      </c>
      <c r="Z63">
        <f ca="1"/>
        <v>0</v>
      </c>
      <c r="AA63">
        <f ca="1"/>
        <v>0</v>
      </c>
      <c r="AB63">
        <f ca="1"/>
        <v>0.94189583531784471</v>
      </c>
      <c r="AD63" s="2">
        <f t="shared" ca="1" si="2"/>
        <v>45286</v>
      </c>
      <c r="AE63">
        <f t="shared" ca="1" si="3"/>
        <v>0</v>
      </c>
      <c r="AG63" s="63">
        <f t="shared" ca="1" si="7"/>
        <v>34.430835073682225</v>
      </c>
      <c r="AH63" s="63">
        <f t="shared" ca="1" si="8"/>
        <v>34.430835073682225</v>
      </c>
      <c r="AI63" s="3">
        <f t="shared" ca="1" si="9"/>
        <v>0</v>
      </c>
    </row>
    <row r="64" spans="1:35">
      <c r="G64" s="3">
        <f t="shared" ca="1" si="4"/>
        <v>302</v>
      </c>
      <c r="H64" s="95">
        <f t="shared" ca="1" si="6"/>
        <v>45227</v>
      </c>
      <c r="I64" s="119">
        <f ca="1">HLOOKUP($H$5,'Met Data'!$A$2:$F$368,G64,FALSE)</f>
        <v>14.274137931034399</v>
      </c>
      <c r="J64" s="119">
        <f ca="1">HLOOKUP($H$5,'Met Data'!$H$2:$M$368,G64,FALSE)*L64</f>
        <v>4.16206896551724</v>
      </c>
      <c r="K64" s="96">
        <f ca="1">HLOOKUP($H$5,'Met Data'!$O$2:$T$368,G64,FALSE)</f>
        <v>2.9394492851949701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45287</v>
      </c>
      <c r="Q64">
        <f ca="1"/>
        <v>51.082818120402301</v>
      </c>
      <c r="R64">
        <f ca="1"/>
        <v>2.550108107182993</v>
      </c>
      <c r="S64">
        <f ca="1"/>
        <v>2.8869468942662735E-3</v>
      </c>
      <c r="T64">
        <f ca="1"/>
        <v>0.18570905428397902</v>
      </c>
      <c r="U64">
        <f ca="1"/>
        <v>21.463315260576735</v>
      </c>
      <c r="V64">
        <f ca="1"/>
        <v>51.044881269489395</v>
      </c>
      <c r="W64">
        <f ca="1"/>
        <v>39.812163664225707</v>
      </c>
      <c r="X64">
        <f ca="1"/>
        <v>0</v>
      </c>
      <c r="Y64">
        <f ca="1"/>
        <v>0.48442611802181407</v>
      </c>
      <c r="Z64">
        <f ca="1"/>
        <v>0</v>
      </c>
      <c r="AA64">
        <f ca="1"/>
        <v>0</v>
      </c>
      <c r="AB64">
        <f ca="1"/>
        <v>0.94316975597580333</v>
      </c>
      <c r="AD64" s="2">
        <f t="shared" ca="1" si="2"/>
        <v>45287</v>
      </c>
      <c r="AE64">
        <f t="shared" ca="1" si="3"/>
        <v>21.463315260576735</v>
      </c>
      <c r="AG64" s="63">
        <f t="shared" ca="1" si="7"/>
        <v>53.632926227585294</v>
      </c>
      <c r="AH64" s="63">
        <f t="shared" ca="1" si="8"/>
        <v>53.632926227585294</v>
      </c>
      <c r="AI64" s="3">
        <f t="shared" ca="1" si="9"/>
        <v>0</v>
      </c>
    </row>
    <row r="65" spans="7:35">
      <c r="G65" s="3">
        <f t="shared" ca="1" si="4"/>
        <v>303</v>
      </c>
      <c r="H65" s="95">
        <f t="shared" ca="1" si="6"/>
        <v>45228</v>
      </c>
      <c r="I65" s="119">
        <f ca="1">HLOOKUP($H$5,'Met Data'!$A$2:$F$368,G65,FALSE)</f>
        <v>14.29</v>
      </c>
      <c r="J65" s="119">
        <f ca="1">HLOOKUP($H$5,'Met Data'!$H$2:$M$368,G65,FALSE)*L65</f>
        <v>2.4933333333333301</v>
      </c>
      <c r="K65" s="96">
        <f ca="1">HLOOKUP($H$5,'Met Data'!$O$2:$T$368,G65,FALSE)</f>
        <v>3.1793308523033601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45288</v>
      </c>
      <c r="Q65">
        <f ca="1"/>
        <v>48.466004771736181</v>
      </c>
      <c r="R65">
        <f ca="1"/>
        <v>2.8086877709183256</v>
      </c>
      <c r="S65">
        <f ca="1"/>
        <v>4.0407701690661213E-3</v>
      </c>
      <c r="T65">
        <f ca="1"/>
        <v>0.18783365208314409</v>
      </c>
      <c r="U65">
        <f ca="1"/>
        <v>0</v>
      </c>
      <c r="V65">
        <f ca="1"/>
        <v>53.85356904040772</v>
      </c>
      <c r="W65">
        <f ca="1"/>
        <v>42.002783652685679</v>
      </c>
      <c r="X65">
        <f ca="1"/>
        <v>0</v>
      </c>
      <c r="Y65">
        <f ca="1"/>
        <v>0.44656547498084892</v>
      </c>
      <c r="Z65">
        <f ca="1"/>
        <v>0</v>
      </c>
      <c r="AA65">
        <f ca="1"/>
        <v>0</v>
      </c>
      <c r="AB65">
        <f ca="1"/>
        <v>0.9443083400339094</v>
      </c>
      <c r="AD65" s="2">
        <f t="shared" ca="1" si="2"/>
        <v>45288</v>
      </c>
      <c r="AE65">
        <f t="shared" ca="1" si="3"/>
        <v>0</v>
      </c>
      <c r="AG65" s="63">
        <f t="shared" ca="1" si="7"/>
        <v>51.274692542654506</v>
      </c>
      <c r="AH65" s="63">
        <f t="shared" ca="1" si="8"/>
        <v>51.274692542654506</v>
      </c>
      <c r="AI65" s="3">
        <f t="shared" ca="1" si="9"/>
        <v>0</v>
      </c>
    </row>
    <row r="66" spans="7:35">
      <c r="G66" s="3">
        <f t="shared" ca="1" si="4"/>
        <v>304</v>
      </c>
      <c r="H66" s="95">
        <f t="shared" ca="1" si="6"/>
        <v>45229</v>
      </c>
      <c r="I66" s="119">
        <f ca="1">HLOOKUP($H$5,'Met Data'!$A$2:$F$368,G66,FALSE)</f>
        <v>14.715</v>
      </c>
      <c r="J66" s="119">
        <f ca="1">HLOOKUP($H$5,'Met Data'!$H$2:$M$368,G66,FALSE)*L66</f>
        <v>1.99</v>
      </c>
      <c r="K66" s="96">
        <f ca="1">HLOOKUP($H$5,'Met Data'!$O$2:$T$368,G66,FALSE)</f>
        <v>3.2908149619424898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45289</v>
      </c>
      <c r="Q66">
        <f ca="1"/>
        <v>45.688221670734116</v>
      </c>
      <c r="R66">
        <f ca="1"/>
        <v>2.975379700845501</v>
      </c>
      <c r="S66">
        <f ca="1"/>
        <v>5.2983903393890586E-3</v>
      </c>
      <c r="T66">
        <f ca="1"/>
        <v>0.19229820950404455</v>
      </c>
      <c r="U66">
        <f ca="1"/>
        <v>0</v>
      </c>
      <c r="V66">
        <f ca="1"/>
        <v>56.828948741253221</v>
      </c>
      <c r="W66">
        <f ca="1"/>
        <v>44.323414060030366</v>
      </c>
      <c r="X66">
        <f ca="1"/>
        <v>0</v>
      </c>
      <c r="Y66">
        <f ca="1"/>
        <v>0.44588987436693961</v>
      </c>
      <c r="Z66">
        <f ca="1"/>
        <v>0</v>
      </c>
      <c r="AA66">
        <f ca="1"/>
        <v>0</v>
      </c>
      <c r="AB66">
        <f ca="1"/>
        <v>0.94527964014896482</v>
      </c>
      <c r="AD66" s="2">
        <f t="shared" ca="1" si="2"/>
        <v>45289</v>
      </c>
      <c r="AE66">
        <f t="shared" ca="1" si="3"/>
        <v>0</v>
      </c>
      <c r="AG66" s="63">
        <f t="shared" ca="1" si="7"/>
        <v>48.663601371579617</v>
      </c>
      <c r="AH66" s="63">
        <f t="shared" ca="1" si="8"/>
        <v>48.663601371579617</v>
      </c>
      <c r="AI66" s="3">
        <f t="shared" ca="1" si="9"/>
        <v>0</v>
      </c>
    </row>
    <row r="67" spans="7:35">
      <c r="G67" s="3">
        <f t="shared" ca="1" si="4"/>
        <v>305</v>
      </c>
      <c r="H67" s="95">
        <f t="shared" ca="1" si="6"/>
        <v>45230</v>
      </c>
      <c r="I67" s="119">
        <f ca="1">HLOOKUP($H$5,'Met Data'!$A$2:$F$368,G67,FALSE)</f>
        <v>14.5266666666666</v>
      </c>
      <c r="J67" s="119">
        <f ca="1">HLOOKUP($H$5,'Met Data'!$H$2:$M$368,G67,FALSE)*L67</f>
        <v>1.75</v>
      </c>
      <c r="K67" s="96">
        <f ca="1">HLOOKUP($H$5,'Met Data'!$O$2:$T$368,G67,FALSE)</f>
        <v>3.7910621493299299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45290</v>
      </c>
      <c r="Q67">
        <f ca="1"/>
        <v>42.872986956211413</v>
      </c>
      <c r="R67">
        <f ca="1"/>
        <v>3.0160901836118938</v>
      </c>
      <c r="S67">
        <f ca="1"/>
        <v>6.6177172382797522E-3</v>
      </c>
      <c r="T67">
        <f ca="1"/>
        <v>0.19423775185091213</v>
      </c>
      <c r="U67">
        <f ca="1"/>
        <v>0</v>
      </c>
      <c r="V67">
        <f ca="1"/>
        <v>59.845038924865115</v>
      </c>
      <c r="W67">
        <f ca="1"/>
        <v>46.675796375939363</v>
      </c>
      <c r="X67">
        <f ca="1"/>
        <v>0</v>
      </c>
      <c r="Y67">
        <f ca="1"/>
        <v>0.46684287601625984</v>
      </c>
      <c r="Z67">
        <f ca="1"/>
        <v>0</v>
      </c>
      <c r="AA67">
        <f ca="1"/>
        <v>0</v>
      </c>
      <c r="AB67">
        <f ca="1"/>
        <v>0.94607328850844352</v>
      </c>
      <c r="AD67" s="2">
        <f t="shared" ca="1" si="2"/>
        <v>45290</v>
      </c>
      <c r="AE67">
        <f t="shared" ca="1" si="3"/>
        <v>0</v>
      </c>
      <c r="AG67" s="63">
        <f t="shared" ca="1" si="7"/>
        <v>45.889077139823307</v>
      </c>
      <c r="AH67" s="63">
        <f t="shared" ca="1" si="8"/>
        <v>45.889077139823307</v>
      </c>
      <c r="AI67" s="3">
        <f t="shared" ca="1" si="9"/>
        <v>0</v>
      </c>
    </row>
    <row r="68" spans="7:35">
      <c r="G68" s="3">
        <f t="shared" ca="1" si="4"/>
        <v>306</v>
      </c>
      <c r="H68" s="95">
        <f t="shared" ca="1" si="6"/>
        <v>45231</v>
      </c>
      <c r="I68" s="119">
        <f ca="1">HLOOKUP($H$5,'Met Data'!$A$2:$F$368,G68,FALSE)</f>
        <v>14.0416666666666</v>
      </c>
      <c r="J68" s="119">
        <f ca="1">HLOOKUP($H$5,'Met Data'!$H$2:$M$368,G68,FALSE)*L68</f>
        <v>2.11666666666666</v>
      </c>
      <c r="K68" s="96">
        <f ca="1">HLOOKUP($H$5,'Met Data'!$O$2:$T$368,G68,FALSE)</f>
        <v>3.7273958064413302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45291</v>
      </c>
      <c r="Q68">
        <f ca="1"/>
        <v>40.073285315474784</v>
      </c>
      <c r="R68">
        <f ca="1"/>
        <v>3.0194275355736124</v>
      </c>
      <c r="S68">
        <f ca="1"/>
        <v>8.0893902025849229E-3</v>
      </c>
      <c r="T68">
        <f ca="1"/>
        <v>0.21163650463439845</v>
      </c>
      <c r="U68">
        <f ca="1"/>
        <v>0</v>
      </c>
      <c r="V68">
        <f ca="1"/>
        <v>62.864466460438727</v>
      </c>
      <c r="W68">
        <f ca="1"/>
        <v>49.030781640453597</v>
      </c>
      <c r="X68">
        <f ca="1"/>
        <v>0</v>
      </c>
      <c r="Y68">
        <f ca="1"/>
        <v>0.55189175744703356</v>
      </c>
      <c r="Z68">
        <f ca="1"/>
        <v>0</v>
      </c>
      <c r="AA68">
        <f ca="1"/>
        <v>0</v>
      </c>
      <c r="AB68">
        <f ca="1"/>
        <v>0.94671798811078112</v>
      </c>
      <c r="AD68" s="2">
        <f t="shared" ca="1" si="2"/>
        <v>45291</v>
      </c>
      <c r="AE68">
        <f t="shared" ca="1" si="3"/>
        <v>0</v>
      </c>
      <c r="AG68" s="63">
        <f t="shared" ca="1" si="7"/>
        <v>43.092712851048397</v>
      </c>
      <c r="AH68" s="63">
        <f t="shared" ca="1" si="8"/>
        <v>43.092712851048397</v>
      </c>
      <c r="AI68" s="3">
        <f t="shared" ca="1" si="9"/>
        <v>0</v>
      </c>
    </row>
    <row r="69" spans="7:35">
      <c r="G69" s="3">
        <f t="shared" ca="1" si="4"/>
        <v>307</v>
      </c>
      <c r="H69" s="95">
        <f t="shared" ca="1" si="6"/>
        <v>45232</v>
      </c>
      <c r="I69" s="119">
        <f ca="1">HLOOKUP($H$5,'Met Data'!$A$2:$F$368,G69,FALSE)</f>
        <v>14.098333333333301</v>
      </c>
      <c r="J69" s="119">
        <f ca="1">HLOOKUP($H$5,'Met Data'!$H$2:$M$368,G69,FALSE)*L69</f>
        <v>0.94</v>
      </c>
      <c r="K69" s="96">
        <f ca="1">HLOOKUP($H$5,'Met Data'!$O$2:$T$368,G69,FALSE)</f>
        <v>3.7508089301659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45292</v>
      </c>
      <c r="Q69">
        <f ca="1"/>
        <v>37.232545455285198</v>
      </c>
      <c r="R69">
        <f ca="1"/>
        <v>3.0554553508813953</v>
      </c>
      <c r="S69">
        <f ca="1"/>
        <v>9.0876759471925084E-3</v>
      </c>
      <c r="T69">
        <f ca="1"/>
        <v>0.20562781474461883</v>
      </c>
      <c r="U69">
        <f ca="1"/>
        <v>0</v>
      </c>
      <c r="V69">
        <f ca="1"/>
        <v>65.919921811320123</v>
      </c>
      <c r="W69">
        <f ca="1"/>
        <v>51.413866593787283</v>
      </c>
      <c r="X69">
        <f ca="1"/>
        <v>0</v>
      </c>
      <c r="Y69">
        <f ca="1"/>
        <v>0.53986115439900562</v>
      </c>
      <c r="Z69">
        <f ca="1"/>
        <v>0</v>
      </c>
      <c r="AA69">
        <f ca="1"/>
        <v>0</v>
      </c>
      <c r="AB69">
        <f ca="1"/>
        <v>0.94725064313233465</v>
      </c>
      <c r="AD69" s="2">
        <f t="shared" ca="1" si="2"/>
        <v>45292</v>
      </c>
      <c r="AE69">
        <f t="shared" ca="1" si="3"/>
        <v>0</v>
      </c>
      <c r="AG69" s="63">
        <f t="shared" ca="1" si="7"/>
        <v>40.288000806166593</v>
      </c>
      <c r="AH69" s="63">
        <f t="shared" ca="1" si="8"/>
        <v>40.288000806166593</v>
      </c>
      <c r="AI69" s="3">
        <f t="shared" ca="1" si="9"/>
        <v>0</v>
      </c>
    </row>
    <row r="70" spans="7:35">
      <c r="G70" s="3">
        <f t="shared" ca="1" si="4"/>
        <v>308</v>
      </c>
      <c r="H70" s="95">
        <f t="shared" ca="1" si="6"/>
        <v>45233</v>
      </c>
      <c r="I70" s="119">
        <f ca="1">HLOOKUP($H$5,'Met Data'!$A$2:$F$368,G70,FALSE)</f>
        <v>13.9933333333333</v>
      </c>
      <c r="J70" s="119">
        <f ca="1">HLOOKUP($H$5,'Met Data'!$H$2:$M$368,G70,FALSE)*L70</f>
        <v>2.42</v>
      </c>
      <c r="K70" s="96">
        <f ca="1">HLOOKUP($H$5,'Met Data'!$O$2:$T$368,G70,FALSE)</f>
        <v>3.2496546498492198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45293</v>
      </c>
      <c r="Q70">
        <f ca="1"/>
        <v>34.225931461576046</v>
      </c>
      <c r="R70">
        <f ca="1"/>
        <v>3.219220915508032</v>
      </c>
      <c r="S70">
        <f ca="1"/>
        <v>1.0372470603356554E-2</v>
      </c>
      <c r="T70">
        <f ca="1"/>
        <v>0.20223445119552377</v>
      </c>
      <c r="U70">
        <f ca="1"/>
        <v>0</v>
      </c>
      <c r="V70">
        <f ca="1"/>
        <v>69.139142726828155</v>
      </c>
      <c r="W70">
        <f ca="1"/>
        <v>53.924679564099947</v>
      </c>
      <c r="X70">
        <f ca="1"/>
        <v>0</v>
      </c>
      <c r="Y70">
        <f ca="1"/>
        <v>0.50585265237682253</v>
      </c>
      <c r="Z70">
        <f ca="1"/>
        <v>0</v>
      </c>
      <c r="AA70">
        <f ca="1"/>
        <v>0</v>
      </c>
      <c r="AB70">
        <f ca="1"/>
        <v>0.94770911027816873</v>
      </c>
      <c r="AD70" s="2">
        <f t="shared" ca="1" si="2"/>
        <v>45293</v>
      </c>
      <c r="AE70">
        <f t="shared" ca="1" si="3"/>
        <v>0</v>
      </c>
      <c r="AG70" s="63">
        <f t="shared" ca="1" si="7"/>
        <v>37.445152377084078</v>
      </c>
      <c r="AH70" s="63">
        <f t="shared" ca="1" si="8"/>
        <v>37.445152377084078</v>
      </c>
      <c r="AI70" s="3">
        <f t="shared" ca="1" si="9"/>
        <v>0</v>
      </c>
    </row>
    <row r="71" spans="7:35">
      <c r="G71" s="3">
        <f t="shared" ca="1" si="4"/>
        <v>309</v>
      </c>
      <c r="H71" s="95">
        <f t="shared" ca="1" si="6"/>
        <v>45234</v>
      </c>
      <c r="I71" s="119">
        <f ca="1">HLOOKUP($H$5,'Met Data'!$A$2:$F$368,G71,FALSE)</f>
        <v>14.2016666666666</v>
      </c>
      <c r="J71" s="119">
        <f ca="1">HLOOKUP($H$5,'Met Data'!$H$2:$M$368,G71,FALSE)*L71</f>
        <v>3.21999999999999</v>
      </c>
      <c r="K71" s="96">
        <f ca="1">HLOOKUP($H$5,'Met Data'!$O$2:$T$368,G71,FALSE)</f>
        <v>3.3917308243993398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45294</v>
      </c>
      <c r="Q71">
        <f ca="1"/>
        <v>31.187494367714422</v>
      </c>
      <c r="R71">
        <f ca="1"/>
        <v>3.2399477256843596</v>
      </c>
      <c r="S71">
        <f ca="1"/>
        <v>1.0566781063634956E-2</v>
      </c>
      <c r="T71">
        <f ca="1"/>
        <v>0.19094385075909701</v>
      </c>
      <c r="U71">
        <f ca="1"/>
        <v>0</v>
      </c>
      <c r="V71">
        <f ca="1"/>
        <v>72.379090452512514</v>
      </c>
      <c r="W71">
        <f ca="1"/>
        <v>56.45165829165321</v>
      </c>
      <c r="X71">
        <f ca="1"/>
        <v>0</v>
      </c>
      <c r="Y71">
        <f ca="1"/>
        <v>0.47274976162283161</v>
      </c>
      <c r="Z71">
        <f ca="1"/>
        <v>0</v>
      </c>
      <c r="AA71">
        <f ca="1"/>
        <v>0</v>
      </c>
      <c r="AB71">
        <f ca="1"/>
        <v>0.94808628819727381</v>
      </c>
      <c r="AD71" s="2">
        <f t="shared" ref="AD71:AD134" ca="1" si="12">IFERROR(P71,$AD$5)</f>
        <v>45294</v>
      </c>
      <c r="AE71">
        <f t="shared" ref="AE71:AE134" ca="1" si="13">IFERROR(U71,0)</f>
        <v>0</v>
      </c>
      <c r="AG71" s="63">
        <f t="shared" ca="1" si="7"/>
        <v>34.427442093398781</v>
      </c>
      <c r="AH71" s="63">
        <f t="shared" ca="1" si="8"/>
        <v>34.427442093398781</v>
      </c>
      <c r="AI71" s="3">
        <f t="shared" ca="1" si="9"/>
        <v>0</v>
      </c>
    </row>
    <row r="72" spans="7:35">
      <c r="G72" s="3">
        <f t="shared" ref="G72:G135" ca="1" si="14">H72-DATE(YEAR(H72),1,0)+1</f>
        <v>310</v>
      </c>
      <c r="H72" s="95">
        <f t="shared" ca="1" si="6"/>
        <v>45235</v>
      </c>
      <c r="I72" s="119">
        <f ca="1">HLOOKUP($H$5,'Met Data'!$A$2:$F$368,G72,FALSE)</f>
        <v>14.5483333333333</v>
      </c>
      <c r="J72" s="119">
        <f ca="1">HLOOKUP($H$5,'Met Data'!$H$2:$M$368,G72,FALSE)*L72</f>
        <v>6.2166666666666597</v>
      </c>
      <c r="K72" s="96">
        <f ca="1">HLOOKUP($H$5,'Met Data'!$O$2:$T$368,G72,FALSE)</f>
        <v>3.4940085056696999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45295</v>
      </c>
      <c r="Q72">
        <f ca="1"/>
        <v>47.880970624134505</v>
      </c>
      <c r="R72">
        <f ca="1"/>
        <v>3.3622660411488994</v>
      </c>
      <c r="S72">
        <f ca="1"/>
        <v>1.082541857998276E-2</v>
      </c>
      <c r="T72">
        <f ca="1"/>
        <v>0.18728015049405339</v>
      </c>
      <c r="U72">
        <f ca="1"/>
        <v>19.857636728494942</v>
      </c>
      <c r="V72">
        <f ca="1"/>
        <v>75.741356493661414</v>
      </c>
      <c r="W72">
        <f ca="1"/>
        <v>59.074038490877975</v>
      </c>
      <c r="X72">
        <f ca="1"/>
        <v>0</v>
      </c>
      <c r="Y72">
        <f ca="1"/>
        <v>0.44377541524096048</v>
      </c>
      <c r="Z72">
        <f ca="1"/>
        <v>0</v>
      </c>
      <c r="AA72">
        <f ca="1"/>
        <v>0</v>
      </c>
      <c r="AB72">
        <f ca="1"/>
        <v>0.94840687625875641</v>
      </c>
      <c r="AD72" s="2">
        <f t="shared" ca="1" si="12"/>
        <v>45295</v>
      </c>
      <c r="AE72">
        <f t="shared" ca="1" si="13"/>
        <v>19.857636728494942</v>
      </c>
      <c r="AG72" s="63">
        <f t="shared" ca="1" si="7"/>
        <v>51.243236665283405</v>
      </c>
      <c r="AH72" s="63">
        <f t="shared" ca="1" si="8"/>
        <v>51.243236665283405</v>
      </c>
      <c r="AI72" s="3">
        <f t="shared" ca="1" si="9"/>
        <v>0</v>
      </c>
    </row>
    <row r="73" spans="7:35">
      <c r="G73" s="3">
        <f t="shared" ca="1" si="14"/>
        <v>311</v>
      </c>
      <c r="H73" s="95">
        <f t="shared" ref="H73:H136" ca="1" si="16">H72+1</f>
        <v>45236</v>
      </c>
      <c r="I73" s="119">
        <f ca="1">HLOOKUP($H$5,'Met Data'!$A$2:$F$368,G73,FALSE)</f>
        <v>14.156666666666601</v>
      </c>
      <c r="J73" s="119">
        <f ca="1">HLOOKUP($H$5,'Met Data'!$H$2:$M$368,G73,FALSE)*L73</f>
        <v>4.1999999999999904</v>
      </c>
      <c r="K73" s="96">
        <f ca="1">HLOOKUP($H$5,'Met Data'!$O$2:$T$368,G73,FALSE)</f>
        <v>3.6290518837480299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45296</v>
      </c>
      <c r="Q73">
        <f ca="1"/>
        <v>44.759634568611638</v>
      </c>
      <c r="R73">
        <f ca="1"/>
        <v>3.3086546445394731</v>
      </c>
      <c r="S73">
        <f ca="1"/>
        <v>1.0618270729007229E-2</v>
      </c>
      <c r="T73">
        <f ca="1"/>
        <v>0.17670031828759855</v>
      </c>
      <c r="U73">
        <f ca="1"/>
        <v>0</v>
      </c>
      <c r="V73">
        <f ca="1"/>
        <v>79.050011138200887</v>
      </c>
      <c r="W73">
        <f ca="1"/>
        <v>61.65460478745473</v>
      </c>
      <c r="X73">
        <f ca="1"/>
        <v>0</v>
      </c>
      <c r="Y73">
        <f ca="1"/>
        <v>0.42262688407054078</v>
      </c>
      <c r="Z73">
        <f ca="1"/>
        <v>0</v>
      </c>
      <c r="AA73">
        <f ca="1"/>
        <v>0</v>
      </c>
      <c r="AB73">
        <f ca="1"/>
        <v>0.94866617408951914</v>
      </c>
      <c r="AD73" s="2">
        <f t="shared" ca="1" si="12"/>
        <v>45296</v>
      </c>
      <c r="AE73">
        <f t="shared" ca="1" si="13"/>
        <v>0</v>
      </c>
      <c r="AG73" s="63">
        <f t="shared" ref="AG73:AG136" ca="1" si="17">Q72+S73+T73+U73</f>
        <v>48.068289213151111</v>
      </c>
      <c r="AH73" s="63">
        <f t="shared" ref="AH73:AH136" ca="1" si="18">Q73+R73+X73</f>
        <v>48.068289213151111</v>
      </c>
      <c r="AI73" s="3">
        <f t="shared" ref="AI73:AI136" ca="1" si="19">AH73-AG73</f>
        <v>0</v>
      </c>
    </row>
    <row r="74" spans="7:35">
      <c r="G74" s="3">
        <f t="shared" ca="1" si="14"/>
        <v>312</v>
      </c>
      <c r="H74" s="95">
        <f t="shared" ca="1" si="16"/>
        <v>45237</v>
      </c>
      <c r="I74" s="119">
        <f ca="1">HLOOKUP($H$5,'Met Data'!$A$2:$F$368,G74,FALSE)</f>
        <v>14.466666666666599</v>
      </c>
      <c r="J74" s="119">
        <f ca="1">HLOOKUP($H$5,'Met Data'!$H$2:$M$368,G74,FALSE)*L74</f>
        <v>4.18333333333333</v>
      </c>
      <c r="K74" s="96">
        <f ca="1">HLOOKUP($H$5,'Met Data'!$O$2:$T$368,G74,FALSE)</f>
        <v>3.3196725038188899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45297</v>
      </c>
      <c r="Q74">
        <f ca="1"/>
        <v>41.569777520388079</v>
      </c>
      <c r="R74">
        <f ca="1"/>
        <v>3.3748612447012647</v>
      </c>
      <c r="S74">
        <f ca="1"/>
        <v>1.0781425300272929E-2</v>
      </c>
      <c r="T74">
        <f ca="1"/>
        <v>0.1742227711774342</v>
      </c>
      <c r="U74">
        <f ca="1"/>
        <v>0</v>
      </c>
      <c r="V74">
        <f ca="1"/>
        <v>82.424872382902151</v>
      </c>
      <c r="W74">
        <f ca="1"/>
        <v>64.286808543767691</v>
      </c>
      <c r="X74">
        <f ca="1"/>
        <v>0</v>
      </c>
      <c r="Y74">
        <f ca="1"/>
        <v>0.40645538673271397</v>
      </c>
      <c r="Z74">
        <f ca="1"/>
        <v>0</v>
      </c>
      <c r="AA74">
        <f ca="1"/>
        <v>0</v>
      </c>
      <c r="AB74">
        <f ca="1"/>
        <v>0.94888464175634613</v>
      </c>
      <c r="AD74" s="2">
        <f t="shared" ca="1" si="12"/>
        <v>45297</v>
      </c>
      <c r="AE74">
        <f t="shared" ca="1" si="13"/>
        <v>0</v>
      </c>
      <c r="AG74" s="63">
        <f t="shared" ca="1" si="17"/>
        <v>44.944638765089344</v>
      </c>
      <c r="AH74" s="63">
        <f t="shared" ca="1" si="18"/>
        <v>44.944638765089344</v>
      </c>
      <c r="AI74" s="3">
        <f t="shared" ca="1" si="19"/>
        <v>0</v>
      </c>
    </row>
    <row r="75" spans="7:35">
      <c r="G75" s="3">
        <f t="shared" ca="1" si="14"/>
        <v>313</v>
      </c>
      <c r="H75" s="95">
        <f t="shared" ca="1" si="16"/>
        <v>45238</v>
      </c>
      <c r="I75" s="119">
        <f ca="1">HLOOKUP($H$5,'Met Data'!$A$2:$F$368,G75,FALSE)</f>
        <v>14.7283333333333</v>
      </c>
      <c r="J75" s="119">
        <f ca="1">HLOOKUP($H$5,'Met Data'!$H$2:$M$368,G75,FALSE)*L75</f>
        <v>3.4833333333333298</v>
      </c>
      <c r="K75" s="96">
        <f ca="1">HLOOKUP($H$5,'Met Data'!$O$2:$T$368,G75,FALSE)</f>
        <v>3.5694722560107999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45298</v>
      </c>
      <c r="Q75">
        <f ca="1"/>
        <v>38.227558046432094</v>
      </c>
      <c r="R75">
        <f ca="1"/>
        <v>3.5290001302388561</v>
      </c>
      <c r="S75">
        <f ca="1"/>
        <v>1.1039050028351483E-2</v>
      </c>
      <c r="T75">
        <f ca="1"/>
        <v>0.17574160625451671</v>
      </c>
      <c r="U75">
        <f ca="1"/>
        <v>0</v>
      </c>
      <c r="V75">
        <f ca="1"/>
        <v>85.953872513141008</v>
      </c>
      <c r="W75">
        <f ca="1"/>
        <v>67.039232043675426</v>
      </c>
      <c r="X75">
        <f ca="1"/>
        <v>0</v>
      </c>
      <c r="Y75">
        <f ca="1"/>
        <v>0.38709621015738893</v>
      </c>
      <c r="Z75">
        <f ca="1"/>
        <v>0</v>
      </c>
      <c r="AA75">
        <f ca="1"/>
        <v>0</v>
      </c>
      <c r="AB75">
        <f ca="1"/>
        <v>0.9490730790716384</v>
      </c>
      <c r="AD75" s="2">
        <f t="shared" ca="1" si="12"/>
        <v>45298</v>
      </c>
      <c r="AE75">
        <f t="shared" ca="1" si="13"/>
        <v>0</v>
      </c>
      <c r="AG75" s="63">
        <f t="shared" ca="1" si="17"/>
        <v>41.75655817667095</v>
      </c>
      <c r="AH75" s="63">
        <f t="shared" ca="1" si="18"/>
        <v>41.75655817667095</v>
      </c>
      <c r="AI75" s="3">
        <f t="shared" ca="1" si="19"/>
        <v>0</v>
      </c>
    </row>
    <row r="76" spans="7:35">
      <c r="G76" s="3">
        <f t="shared" ca="1" si="14"/>
        <v>314</v>
      </c>
      <c r="H76" s="95">
        <f t="shared" ca="1" si="16"/>
        <v>45239</v>
      </c>
      <c r="I76" s="119">
        <f ca="1">HLOOKUP($H$5,'Met Data'!$A$2:$F$368,G76,FALSE)</f>
        <v>14.37</v>
      </c>
      <c r="J76" s="119">
        <f ca="1">HLOOKUP($H$5,'Met Data'!$H$2:$M$368,G76,FALSE)*L76</f>
        <v>3.5433333333333299</v>
      </c>
      <c r="K76" s="96">
        <f ca="1">HLOOKUP($H$5,'Met Data'!$O$2:$T$368,G76,FALSE)</f>
        <v>3.5998767062500399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45299</v>
      </c>
      <c r="Q76">
        <f ca="1"/>
        <v>34.801802495378496</v>
      </c>
      <c r="R76">
        <f ca="1"/>
        <v>3.6161718529370859</v>
      </c>
      <c r="S76">
        <f ca="1"/>
        <v>1.1660741846110767E-2</v>
      </c>
      <c r="T76">
        <f ca="1"/>
        <v>0.17875556003737988</v>
      </c>
      <c r="U76">
        <f ca="1"/>
        <v>0</v>
      </c>
      <c r="V76">
        <f ca="1"/>
        <v>89.570044366078093</v>
      </c>
      <c r="W76">
        <f ca="1"/>
        <v>69.859644630924421</v>
      </c>
      <c r="X76">
        <f ca="1"/>
        <v>0</v>
      </c>
      <c r="Y76">
        <f ca="1"/>
        <v>0.38804166596743933</v>
      </c>
      <c r="Z76">
        <f ca="1"/>
        <v>0</v>
      </c>
      <c r="AA76">
        <f ca="1"/>
        <v>0</v>
      </c>
      <c r="AB76">
        <f ca="1"/>
        <v>0.94923199687314697</v>
      </c>
      <c r="AD76" s="2">
        <f t="shared" ca="1" si="12"/>
        <v>45299</v>
      </c>
      <c r="AE76">
        <f t="shared" ca="1" si="13"/>
        <v>0</v>
      </c>
      <c r="AG76" s="63">
        <f t="shared" ca="1" si="17"/>
        <v>38.417974348315589</v>
      </c>
      <c r="AH76" s="63">
        <f t="shared" ca="1" si="18"/>
        <v>38.417974348315582</v>
      </c>
      <c r="AI76" s="3">
        <f t="shared" ca="1" si="19"/>
        <v>0</v>
      </c>
    </row>
    <row r="77" spans="7:35">
      <c r="G77" s="3">
        <f t="shared" ca="1" si="14"/>
        <v>315</v>
      </c>
      <c r="H77" s="95">
        <f t="shared" ca="1" si="16"/>
        <v>45240</v>
      </c>
      <c r="I77" s="119">
        <f ca="1">HLOOKUP($H$5,'Met Data'!$A$2:$F$368,G77,FALSE)</f>
        <v>14.7216666666666</v>
      </c>
      <c r="J77" s="119">
        <f ca="1">HLOOKUP($H$5,'Met Data'!$H$2:$M$368,G77,FALSE)*L77</f>
        <v>2.9033333333333302</v>
      </c>
      <c r="K77" s="96">
        <f ca="1">HLOOKUP($H$5,'Met Data'!$O$2:$T$368,G77,FALSE)</f>
        <v>3.8854632375309301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45300</v>
      </c>
      <c r="Q77">
        <f ca="1"/>
        <v>31.301157673425159</v>
      </c>
      <c r="R77">
        <f ca="1"/>
        <v>3.6960025866417396</v>
      </c>
      <c r="S77">
        <f ca="1"/>
        <v>1.2429813353532992E-2</v>
      </c>
      <c r="T77">
        <f ca="1"/>
        <v>0.18292795133486761</v>
      </c>
      <c r="U77">
        <f ca="1"/>
        <v>0</v>
      </c>
      <c r="V77">
        <f ca="1"/>
        <v>93.266046952719833</v>
      </c>
      <c r="W77">
        <f ca="1"/>
        <v>72.74232074306839</v>
      </c>
      <c r="X77">
        <f ca="1"/>
        <v>0</v>
      </c>
      <c r="Y77">
        <f ca="1"/>
        <v>0.39361008906887868</v>
      </c>
      <c r="Z77">
        <f ca="1"/>
        <v>0</v>
      </c>
      <c r="AA77">
        <f ca="1"/>
        <v>0</v>
      </c>
      <c r="AB77">
        <f ca="1"/>
        <v>0.94936562559585602</v>
      </c>
      <c r="AD77" s="2">
        <f t="shared" ca="1" si="12"/>
        <v>45300</v>
      </c>
      <c r="AE77">
        <f t="shared" ca="1" si="13"/>
        <v>0</v>
      </c>
      <c r="AG77" s="63">
        <f t="shared" ca="1" si="17"/>
        <v>34.997160260066899</v>
      </c>
      <c r="AH77" s="63">
        <f t="shared" ca="1" si="18"/>
        <v>34.997160260066899</v>
      </c>
      <c r="AI77" s="3">
        <f t="shared" ca="1" si="19"/>
        <v>0</v>
      </c>
    </row>
    <row r="78" spans="7:35">
      <c r="G78" s="3">
        <f t="shared" ca="1" si="14"/>
        <v>316</v>
      </c>
      <c r="H78" s="95">
        <f t="shared" ca="1" si="16"/>
        <v>45241</v>
      </c>
      <c r="I78" s="119">
        <f ca="1">HLOOKUP($H$5,'Met Data'!$A$2:$F$368,G78,FALSE)</f>
        <v>14.816666666666601</v>
      </c>
      <c r="J78" s="119">
        <f ca="1">HLOOKUP($H$5,'Met Data'!$H$2:$M$368,G78,FALSE)*L78</f>
        <v>1.5433333333333299</v>
      </c>
      <c r="K78" s="96">
        <f ca="1">HLOOKUP($H$5,'Met Data'!$O$2:$T$368,G78,FALSE)</f>
        <v>3.4766729681443</v>
      </c>
      <c r="L78">
        <f t="shared" ca="1" si="10"/>
        <v>1</v>
      </c>
      <c r="N78" t="b">
        <f t="shared" ca="1" si="15"/>
        <v>0</v>
      </c>
      <c r="O78" t="b">
        <f t="shared" ca="1" si="11"/>
        <v>1</v>
      </c>
      <c r="P78" s="2">
        <f ca="1"/>
        <v>45301</v>
      </c>
      <c r="Q78">
        <f ca="1"/>
        <v>27.825228326565529</v>
      </c>
      <c r="R78">
        <f ca="1"/>
        <v>3.6639530472802591</v>
      </c>
      <c r="S78">
        <f ca="1"/>
        <v>1.1983876736151089E-2</v>
      </c>
      <c r="T78">
        <f ca="1"/>
        <v>0.17603982368447729</v>
      </c>
      <c r="U78">
        <f ca="1"/>
        <v>0</v>
      </c>
      <c r="V78">
        <f ca="1"/>
        <v>96.930000000000092</v>
      </c>
      <c r="W78">
        <f ca="1"/>
        <v>75.600000000000065</v>
      </c>
      <c r="X78">
        <f ca="1"/>
        <v>0</v>
      </c>
      <c r="Y78">
        <f ca="1"/>
        <v>0.37211448536629477</v>
      </c>
      <c r="Z78">
        <f ca="1"/>
        <v>0</v>
      </c>
      <c r="AA78">
        <f ca="1"/>
        <v>0</v>
      </c>
      <c r="AB78">
        <f ca="1"/>
        <v>0.94947486029492256</v>
      </c>
      <c r="AD78" s="2">
        <f t="shared" ca="1" si="12"/>
        <v>45301</v>
      </c>
      <c r="AE78">
        <f t="shared" ca="1" si="13"/>
        <v>0</v>
      </c>
      <c r="AG78" s="63">
        <f t="shared" ca="1" si="17"/>
        <v>31.489181373845788</v>
      </c>
      <c r="AH78" s="63">
        <f t="shared" ca="1" si="18"/>
        <v>31.489181373845788</v>
      </c>
      <c r="AI78" s="3">
        <f t="shared" ca="1" si="19"/>
        <v>0</v>
      </c>
    </row>
    <row r="79" spans="7:35">
      <c r="G79" s="3">
        <f t="shared" ca="1" si="14"/>
        <v>317</v>
      </c>
      <c r="H79" s="95">
        <f t="shared" ca="1" si="16"/>
        <v>45242</v>
      </c>
      <c r="I79" s="119">
        <f ca="1">HLOOKUP($H$5,'Met Data'!$A$2:$F$368,G79,FALSE)</f>
        <v>14.7883333333333</v>
      </c>
      <c r="J79" s="119">
        <f ca="1">HLOOKUP($H$5,'Met Data'!$H$2:$M$368,G79,FALSE)*L79</f>
        <v>3.6066666666666598</v>
      </c>
      <c r="K79" s="96">
        <f ca="1">HLOOKUP($H$5,'Met Data'!$O$2:$T$368,G79,FALSE)</f>
        <v>3.49823939059966</v>
      </c>
      <c r="L79">
        <f t="shared" ca="1" si="10"/>
        <v>1</v>
      </c>
      <c r="N79" t="b">
        <f t="shared" ca="1" si="15"/>
        <v>0</v>
      </c>
      <c r="O79" t="b">
        <f t="shared" ca="1" si="11"/>
        <v>0</v>
      </c>
      <c r="P79" s="2">
        <f ca="1"/>
        <v>45302</v>
      </c>
      <c r="Q79">
        <f ca="1"/>
        <v>28.641923647509543</v>
      </c>
      <c r="R79">
        <f ca="1"/>
        <v>0</v>
      </c>
      <c r="S79">
        <f ca="1"/>
        <v>0.64523443592732477</v>
      </c>
      <c r="T79">
        <f ca="1"/>
        <v>0.17146088501668777</v>
      </c>
      <c r="U79">
        <f ca="1"/>
        <v>0</v>
      </c>
      <c r="V79">
        <f ca="1"/>
        <v>0</v>
      </c>
      <c r="W79">
        <f ca="1"/>
        <v>0</v>
      </c>
      <c r="X79">
        <f ca="1"/>
        <v>0</v>
      </c>
      <c r="Y79">
        <f ca="1"/>
        <v>0.3668957166150032</v>
      </c>
      <c r="Z79">
        <f ca="1"/>
        <v>0</v>
      </c>
      <c r="AA79">
        <f ca="1"/>
        <v>0</v>
      </c>
      <c r="AB79">
        <f ca="1"/>
        <v>0</v>
      </c>
      <c r="AD79" s="2">
        <f t="shared" ca="1" si="12"/>
        <v>45302</v>
      </c>
      <c r="AE79">
        <f t="shared" ca="1" si="13"/>
        <v>0</v>
      </c>
      <c r="AG79" s="63">
        <f t="shared" ca="1" si="17"/>
        <v>28.641923647509543</v>
      </c>
      <c r="AH79" s="63">
        <f t="shared" ca="1" si="18"/>
        <v>28.641923647509543</v>
      </c>
      <c r="AI79" s="3">
        <f t="shared" ca="1" si="19"/>
        <v>0</v>
      </c>
    </row>
    <row r="80" spans="7:35">
      <c r="G80" s="3">
        <f t="shared" ca="1" si="14"/>
        <v>318</v>
      </c>
      <c r="H80" s="95">
        <f t="shared" ca="1" si="16"/>
        <v>45243</v>
      </c>
      <c r="I80" s="119">
        <f ca="1">HLOOKUP($H$5,'Met Data'!$A$2:$F$368,G80,FALSE)</f>
        <v>14.5583333333333</v>
      </c>
      <c r="J80" s="119">
        <f ca="1">HLOOKUP($H$5,'Met Data'!$H$2:$M$368,G80,FALSE)*L80</f>
        <v>3.0633333333333299</v>
      </c>
      <c r="K80" s="96">
        <f ca="1">HLOOKUP($H$5,'Met Data'!$O$2:$T$368,G80,FALSE)</f>
        <v>3.8424324154218401</v>
      </c>
      <c r="L80">
        <f t="shared" ca="1" si="10"/>
        <v>1</v>
      </c>
      <c r="N80" t="b">
        <f t="shared" ca="1" si="15"/>
        <v>0</v>
      </c>
      <c r="O80" t="b">
        <f t="shared" ca="1" si="11"/>
        <v>0</v>
      </c>
      <c r="P80" s="2">
        <f ca="1"/>
        <v>45303</v>
      </c>
      <c r="Q80">
        <f ca="1"/>
        <v>29.40272770847524</v>
      </c>
      <c r="R80">
        <f ca="1"/>
        <v>0</v>
      </c>
      <c r="S80">
        <f ca="1"/>
        <v>0.58946221057956549</v>
      </c>
      <c r="T80">
        <f ca="1"/>
        <v>0.17134185038613167</v>
      </c>
      <c r="U80">
        <f ca="1"/>
        <v>0</v>
      </c>
      <c r="V80">
        <f ca="1"/>
        <v>0</v>
      </c>
      <c r="W80">
        <f ca="1"/>
        <v>0</v>
      </c>
      <c r="X80">
        <f ca="1"/>
        <v>0</v>
      </c>
      <c r="Y80">
        <f ca="1"/>
        <v>0.35848582023916442</v>
      </c>
      <c r="Z80">
        <f ca="1"/>
        <v>0</v>
      </c>
      <c r="AA80">
        <f ca="1"/>
        <v>0</v>
      </c>
      <c r="AB80">
        <f ca="1"/>
        <v>0</v>
      </c>
      <c r="AD80" s="2">
        <f t="shared" ca="1" si="12"/>
        <v>45303</v>
      </c>
      <c r="AE80">
        <f t="shared" ca="1" si="13"/>
        <v>0</v>
      </c>
      <c r="AG80" s="63">
        <f t="shared" ca="1" si="17"/>
        <v>29.40272770847524</v>
      </c>
      <c r="AH80" s="63">
        <f t="shared" ca="1" si="18"/>
        <v>29.40272770847524</v>
      </c>
      <c r="AI80" s="3">
        <f t="shared" ca="1" si="19"/>
        <v>0</v>
      </c>
    </row>
    <row r="81" spans="7:35">
      <c r="G81" s="3">
        <f t="shared" ca="1" si="14"/>
        <v>319</v>
      </c>
      <c r="H81" s="95">
        <f t="shared" ca="1" si="16"/>
        <v>45244</v>
      </c>
      <c r="I81" s="119">
        <f ca="1">HLOOKUP($H$5,'Met Data'!$A$2:$F$368,G81,FALSE)</f>
        <v>14.5066666666666</v>
      </c>
      <c r="J81" s="119">
        <f ca="1">HLOOKUP($H$5,'Met Data'!$H$2:$M$368,G81,FALSE)*L81</f>
        <v>3.2933333333333299</v>
      </c>
      <c r="K81" s="96">
        <f ca="1">HLOOKUP($H$5,'Met Data'!$O$2:$T$368,G81,FALSE)</f>
        <v>3.93837814578281</v>
      </c>
      <c r="L81">
        <f t="shared" ca="1" si="10"/>
        <v>1</v>
      </c>
      <c r="N81" t="b">
        <f t="shared" ca="1" si="15"/>
        <v>0</v>
      </c>
      <c r="O81" t="b">
        <f t="shared" ca="1" si="11"/>
        <v>0</v>
      </c>
      <c r="P81" s="2">
        <f ca="1"/>
        <v>45304</v>
      </c>
      <c r="Q81">
        <f ca="1"/>
        <v>30.183678028596084</v>
      </c>
      <c r="R81">
        <f ca="1"/>
        <v>0</v>
      </c>
      <c r="S81">
        <f ca="1"/>
        <v>0.60041206027287153</v>
      </c>
      <c r="T81">
        <f ca="1"/>
        <v>0.18053825984797048</v>
      </c>
      <c r="U81">
        <f ca="1"/>
        <v>0</v>
      </c>
      <c r="V81">
        <f ca="1"/>
        <v>0</v>
      </c>
      <c r="W81">
        <f ca="1"/>
        <v>0</v>
      </c>
      <c r="X81">
        <f ca="1"/>
        <v>0</v>
      </c>
      <c r="Y81">
        <f ca="1"/>
        <v>0.3912106424058317</v>
      </c>
      <c r="Z81">
        <f ca="1"/>
        <v>0</v>
      </c>
      <c r="AA81">
        <f ca="1"/>
        <v>0</v>
      </c>
      <c r="AB81">
        <f ca="1"/>
        <v>0</v>
      </c>
      <c r="AD81" s="2">
        <f t="shared" ca="1" si="12"/>
        <v>45304</v>
      </c>
      <c r="AE81">
        <f t="shared" ca="1" si="13"/>
        <v>0</v>
      </c>
      <c r="AG81" s="63">
        <f t="shared" ca="1" si="17"/>
        <v>30.183678028596084</v>
      </c>
      <c r="AH81" s="63">
        <f t="shared" ca="1" si="18"/>
        <v>30.183678028596084</v>
      </c>
      <c r="AI81" s="3">
        <f t="shared" ca="1" si="19"/>
        <v>0</v>
      </c>
    </row>
    <row r="82" spans="7:35">
      <c r="G82" s="3">
        <f t="shared" ca="1" si="14"/>
        <v>320</v>
      </c>
      <c r="H82" s="95">
        <f t="shared" ca="1" si="16"/>
        <v>45245</v>
      </c>
      <c r="I82" s="119">
        <f ca="1">HLOOKUP($H$5,'Met Data'!$A$2:$F$368,G82,FALSE)</f>
        <v>14.8633333333333</v>
      </c>
      <c r="J82" s="119">
        <f ca="1">HLOOKUP($H$5,'Met Data'!$H$2:$M$368,G82,FALSE)*L82</f>
        <v>2.0666666666666602</v>
      </c>
      <c r="K82" s="96">
        <f ca="1">HLOOKUP($H$5,'Met Data'!$O$2:$T$368,G82,FALSE)</f>
        <v>3.82063419166102</v>
      </c>
      <c r="L82">
        <f t="shared" ca="1" si="10"/>
        <v>1</v>
      </c>
      <c r="N82" t="b">
        <f t="shared" ca="1" si="15"/>
        <v>0</v>
      </c>
      <c r="O82" t="b">
        <f t="shared" ca="1" si="11"/>
        <v>0</v>
      </c>
      <c r="P82" s="2">
        <f ca="1"/>
        <v>45305</v>
      </c>
      <c r="Q82">
        <f ca="1"/>
        <v>30.938460478353665</v>
      </c>
      <c r="R82">
        <f ca="1"/>
        <v>0</v>
      </c>
      <c r="S82">
        <f ca="1"/>
        <v>0.56969664282740329</v>
      </c>
      <c r="T82">
        <f ca="1"/>
        <v>0.18508580693017937</v>
      </c>
      <c r="U82">
        <f ca="1"/>
        <v>0</v>
      </c>
      <c r="V82">
        <f ca="1"/>
        <v>0</v>
      </c>
      <c r="W82">
        <f ca="1"/>
        <v>0</v>
      </c>
      <c r="X82">
        <f ca="1"/>
        <v>0</v>
      </c>
      <c r="Y82">
        <f ca="1"/>
        <v>0.39856038667100152</v>
      </c>
      <c r="Z82">
        <f ca="1"/>
        <v>0</v>
      </c>
      <c r="AA82">
        <f ca="1"/>
        <v>0</v>
      </c>
      <c r="AB82">
        <f ca="1"/>
        <v>0</v>
      </c>
      <c r="AD82" s="2">
        <f t="shared" ca="1" si="12"/>
        <v>45305</v>
      </c>
      <c r="AE82">
        <f t="shared" ca="1" si="13"/>
        <v>0</v>
      </c>
      <c r="AG82" s="63">
        <f t="shared" ca="1" si="17"/>
        <v>30.938460478353665</v>
      </c>
      <c r="AH82" s="63">
        <f t="shared" ca="1" si="18"/>
        <v>30.938460478353665</v>
      </c>
      <c r="AI82" s="3">
        <f t="shared" ca="1" si="19"/>
        <v>0</v>
      </c>
    </row>
    <row r="83" spans="7:35">
      <c r="G83" s="3">
        <f t="shared" ca="1" si="14"/>
        <v>321</v>
      </c>
      <c r="H83" s="95">
        <f t="shared" ca="1" si="16"/>
        <v>45246</v>
      </c>
      <c r="I83" s="119">
        <f ca="1">HLOOKUP($H$5,'Met Data'!$A$2:$F$368,G83,FALSE)</f>
        <v>15.191666666666601</v>
      </c>
      <c r="J83" s="119">
        <f ca="1">HLOOKUP($H$5,'Met Data'!$H$2:$M$368,G83,FALSE)*L83</f>
        <v>4.1233333333333304</v>
      </c>
      <c r="K83" s="96">
        <f ca="1">HLOOKUP($H$5,'Met Data'!$O$2:$T$368,G83,FALSE)</f>
        <v>3.4660928584042798</v>
      </c>
      <c r="L83">
        <f t="shared" ca="1" si="10"/>
        <v>1</v>
      </c>
      <c r="N83" t="b">
        <f t="shared" ca="1" si="15"/>
        <v>0</v>
      </c>
      <c r="O83" t="b">
        <f t="shared" ca="1" si="11"/>
        <v>0</v>
      </c>
      <c r="P83" s="2">
        <f ca="1"/>
        <v>45306</v>
      </c>
      <c r="Q83">
        <f ca="1"/>
        <v>31.632712564798354</v>
      </c>
      <c r="R83">
        <f ca="1"/>
        <v>0</v>
      </c>
      <c r="S83">
        <f ca="1"/>
        <v>0.51128419244853252</v>
      </c>
      <c r="T83">
        <f ca="1"/>
        <v>0.18296789399615768</v>
      </c>
      <c r="U83">
        <f ca="1"/>
        <v>0</v>
      </c>
      <c r="V83">
        <f ca="1"/>
        <v>0</v>
      </c>
      <c r="W83">
        <f ca="1"/>
        <v>0</v>
      </c>
      <c r="X83">
        <f ca="1"/>
        <v>0</v>
      </c>
      <c r="Y83">
        <f ca="1"/>
        <v>0.39076126757843471</v>
      </c>
      <c r="Z83">
        <f ca="1"/>
        <v>0</v>
      </c>
      <c r="AA83">
        <f ca="1"/>
        <v>0</v>
      </c>
      <c r="AB83">
        <f ca="1"/>
        <v>0</v>
      </c>
      <c r="AD83" s="2">
        <f t="shared" ca="1" si="12"/>
        <v>45306</v>
      </c>
      <c r="AE83">
        <f t="shared" ca="1" si="13"/>
        <v>0</v>
      </c>
      <c r="AG83" s="63">
        <f t="shared" ca="1" si="17"/>
        <v>31.632712564798354</v>
      </c>
      <c r="AH83" s="63">
        <f t="shared" ca="1" si="18"/>
        <v>31.632712564798354</v>
      </c>
      <c r="AI83" s="3">
        <f t="shared" ca="1" si="19"/>
        <v>0</v>
      </c>
    </row>
    <row r="84" spans="7:35">
      <c r="G84" s="3">
        <f t="shared" ca="1" si="14"/>
        <v>322</v>
      </c>
      <c r="H84" s="95">
        <f t="shared" ca="1" si="16"/>
        <v>45247</v>
      </c>
      <c r="I84" s="119">
        <f ca="1">HLOOKUP($H$5,'Met Data'!$A$2:$F$368,G84,FALSE)</f>
        <v>14.805</v>
      </c>
      <c r="J84" s="119">
        <f ca="1">HLOOKUP($H$5,'Met Data'!$H$2:$M$368,G84,FALSE)*L84</f>
        <v>2.0999999999999899</v>
      </c>
      <c r="K84" s="96">
        <f ca="1">HLOOKUP($H$5,'Met Data'!$O$2:$T$368,G84,FALSE)</f>
        <v>3.7178898330930501</v>
      </c>
      <c r="L84">
        <f t="shared" ca="1" si="10"/>
        <v>1</v>
      </c>
      <c r="N84" t="b">
        <f t="shared" ca="1" si="15"/>
        <v>0</v>
      </c>
      <c r="O84" t="b">
        <f t="shared" ca="1" si="11"/>
        <v>0</v>
      </c>
      <c r="P84" s="2">
        <f ca="1"/>
        <v>45307</v>
      </c>
      <c r="Q84">
        <f ca="1"/>
        <v>32.310287230279471</v>
      </c>
      <c r="R84">
        <f ca="1"/>
        <v>0</v>
      </c>
      <c r="S84">
        <f ca="1"/>
        <v>0.49043143805483869</v>
      </c>
      <c r="T84">
        <f ca="1"/>
        <v>0.18714322742627632</v>
      </c>
      <c r="U84">
        <f ca="1"/>
        <v>0</v>
      </c>
      <c r="V84">
        <f ca="1"/>
        <v>0</v>
      </c>
      <c r="W84">
        <f ca="1"/>
        <v>0</v>
      </c>
      <c r="X84">
        <f ca="1"/>
        <v>0</v>
      </c>
      <c r="Y84">
        <f ca="1"/>
        <v>0.41013851016988451</v>
      </c>
      <c r="Z84">
        <f ca="1"/>
        <v>0</v>
      </c>
      <c r="AA84">
        <f ca="1"/>
        <v>0</v>
      </c>
      <c r="AB84">
        <f ca="1"/>
        <v>0</v>
      </c>
      <c r="AD84" s="2">
        <f t="shared" ca="1" si="12"/>
        <v>45307</v>
      </c>
      <c r="AE84">
        <f t="shared" ca="1" si="13"/>
        <v>0</v>
      </c>
      <c r="AG84" s="63">
        <f t="shared" ca="1" si="17"/>
        <v>32.310287230279471</v>
      </c>
      <c r="AH84" s="63">
        <f t="shared" ca="1" si="18"/>
        <v>32.310287230279471</v>
      </c>
      <c r="AI84" s="3">
        <f t="shared" ca="1" si="19"/>
        <v>0</v>
      </c>
    </row>
    <row r="85" spans="7:35">
      <c r="G85" s="3">
        <f t="shared" ca="1" si="14"/>
        <v>323</v>
      </c>
      <c r="H85" s="95">
        <f t="shared" ca="1" si="16"/>
        <v>45248</v>
      </c>
      <c r="I85" s="119">
        <f ca="1">HLOOKUP($H$5,'Met Data'!$A$2:$F$368,G85,FALSE)</f>
        <v>14.4366666666666</v>
      </c>
      <c r="J85" s="119">
        <f ca="1">HLOOKUP($H$5,'Met Data'!$H$2:$M$368,G85,FALSE)*L85</f>
        <v>2.25</v>
      </c>
      <c r="K85" s="96">
        <f ca="1">HLOOKUP($H$5,'Met Data'!$O$2:$T$368,G85,FALSE)</f>
        <v>3.8903759726723899</v>
      </c>
      <c r="L85">
        <f t="shared" ca="1" si="10"/>
        <v>1</v>
      </c>
      <c r="N85" t="b">
        <f t="shared" ca="1" si="15"/>
        <v>0</v>
      </c>
      <c r="O85" t="b">
        <f t="shared" ca="1" si="11"/>
        <v>0</v>
      </c>
      <c r="P85" s="2">
        <f ca="1"/>
        <v>45308</v>
      </c>
      <c r="Q85">
        <f ca="1"/>
        <v>32.957167370069179</v>
      </c>
      <c r="R85">
        <f ca="1"/>
        <v>0</v>
      </c>
      <c r="S85">
        <f ca="1"/>
        <v>0.45871780023561293</v>
      </c>
      <c r="T85">
        <f ca="1"/>
        <v>0.18816233955409362</v>
      </c>
      <c r="U85">
        <f ca="1"/>
        <v>0</v>
      </c>
      <c r="V85">
        <f ca="1"/>
        <v>0</v>
      </c>
      <c r="W85">
        <f ca="1"/>
        <v>0</v>
      </c>
      <c r="X85">
        <f ca="1"/>
        <v>0</v>
      </c>
      <c r="Y85">
        <f ca="1"/>
        <v>0.42681574834853236</v>
      </c>
      <c r="Z85">
        <f ca="1"/>
        <v>0</v>
      </c>
      <c r="AA85">
        <f ca="1"/>
        <v>0</v>
      </c>
      <c r="AB85">
        <f ca="1"/>
        <v>0</v>
      </c>
      <c r="AD85" s="2">
        <f t="shared" ca="1" si="12"/>
        <v>45308</v>
      </c>
      <c r="AE85">
        <f t="shared" ca="1" si="13"/>
        <v>0</v>
      </c>
      <c r="AG85" s="63">
        <f t="shared" ca="1" si="17"/>
        <v>32.957167370069179</v>
      </c>
      <c r="AH85" s="63">
        <f t="shared" ca="1" si="18"/>
        <v>32.957167370069179</v>
      </c>
      <c r="AI85" s="3">
        <f t="shared" ca="1" si="19"/>
        <v>0</v>
      </c>
    </row>
    <row r="86" spans="7:35">
      <c r="G86" s="3">
        <f t="shared" ca="1" si="14"/>
        <v>324</v>
      </c>
      <c r="H86" s="95">
        <f t="shared" ca="1" si="16"/>
        <v>45249</v>
      </c>
      <c r="I86" s="119">
        <f ca="1">HLOOKUP($H$5,'Met Data'!$A$2:$F$368,G86,FALSE)</f>
        <v>14.4133333333333</v>
      </c>
      <c r="J86" s="119">
        <f ca="1">HLOOKUP($H$5,'Met Data'!$H$2:$M$368,G86,FALSE)*L86</f>
        <v>1.6566666666666601</v>
      </c>
      <c r="K86" s="96">
        <f ca="1">HLOOKUP($H$5,'Met Data'!$O$2:$T$368,G86,FALSE)</f>
        <v>3.9105195639997401</v>
      </c>
      <c r="L86">
        <f t="shared" ca="1" si="10"/>
        <v>1</v>
      </c>
      <c r="N86" t="b">
        <f t="shared" ca="1" si="15"/>
        <v>0</v>
      </c>
      <c r="O86" t="b">
        <f t="shared" ca="1" si="11"/>
        <v>0</v>
      </c>
      <c r="P86" s="2">
        <f ca="1"/>
        <v>45309</v>
      </c>
      <c r="Q86">
        <f ca="1"/>
        <v>33.569924191972653</v>
      </c>
      <c r="R86">
        <f ca="1"/>
        <v>0</v>
      </c>
      <c r="S86">
        <f ca="1"/>
        <v>0.42296141042916613</v>
      </c>
      <c r="T86">
        <f ca="1"/>
        <v>0.18979541147430615</v>
      </c>
      <c r="U86">
        <f ca="1"/>
        <v>0</v>
      </c>
      <c r="V86">
        <f ca="1"/>
        <v>0</v>
      </c>
      <c r="W86">
        <f ca="1"/>
        <v>0</v>
      </c>
      <c r="X86">
        <f ca="1"/>
        <v>0</v>
      </c>
      <c r="Y86">
        <f ca="1"/>
        <v>0.43105341026325428</v>
      </c>
      <c r="Z86">
        <f ca="1"/>
        <v>0</v>
      </c>
      <c r="AA86">
        <f ca="1"/>
        <v>0</v>
      </c>
      <c r="AB86">
        <f ca="1"/>
        <v>0</v>
      </c>
      <c r="AD86" s="2">
        <f t="shared" ca="1" si="12"/>
        <v>45309</v>
      </c>
      <c r="AE86">
        <f t="shared" ca="1" si="13"/>
        <v>0</v>
      </c>
      <c r="AG86" s="63">
        <f t="shared" ca="1" si="17"/>
        <v>33.569924191972653</v>
      </c>
      <c r="AH86" s="63">
        <f t="shared" ca="1" si="18"/>
        <v>33.569924191972653</v>
      </c>
      <c r="AI86" s="3">
        <f t="shared" ca="1" si="19"/>
        <v>0</v>
      </c>
    </row>
    <row r="87" spans="7:35">
      <c r="G87" s="3">
        <f t="shared" ca="1" si="14"/>
        <v>325</v>
      </c>
      <c r="H87" s="95">
        <f t="shared" ca="1" si="16"/>
        <v>45250</v>
      </c>
      <c r="I87" s="119">
        <f ca="1">HLOOKUP($H$5,'Met Data'!$A$2:$F$368,G87,FALSE)</f>
        <v>14.8266666666666</v>
      </c>
      <c r="J87" s="119">
        <f ca="1">HLOOKUP($H$5,'Met Data'!$H$2:$M$368,G87,FALSE)*L87</f>
        <v>2.4166666666666599</v>
      </c>
      <c r="K87" s="96">
        <f ca="1">HLOOKUP($H$5,'Met Data'!$O$2:$T$368,G87,FALSE)</f>
        <v>3.75734672122165</v>
      </c>
      <c r="L87">
        <f t="shared" ca="1" si="10"/>
        <v>1</v>
      </c>
      <c r="N87" t="b">
        <f t="shared" ca="1" si="15"/>
        <v>0</v>
      </c>
      <c r="O87" t="b">
        <f t="shared" ca="1" si="11"/>
        <v>0</v>
      </c>
      <c r="P87" s="2">
        <f ca="1"/>
        <v>45310</v>
      </c>
      <c r="Q87">
        <f ca="1"/>
        <v>34.160218439044087</v>
      </c>
      <c r="R87">
        <f ca="1"/>
        <v>0</v>
      </c>
      <c r="S87">
        <f ca="1"/>
        <v>0.39543626460441761</v>
      </c>
      <c r="T87">
        <f ca="1"/>
        <v>0.19485798246701505</v>
      </c>
      <c r="U87">
        <f ca="1"/>
        <v>0</v>
      </c>
      <c r="V87">
        <f ca="1"/>
        <v>0</v>
      </c>
      <c r="W87">
        <f ca="1"/>
        <v>0</v>
      </c>
      <c r="X87">
        <f ca="1"/>
        <v>0</v>
      </c>
      <c r="Y87">
        <f ca="1"/>
        <v>0.43497159985204031</v>
      </c>
      <c r="Z87">
        <f ca="1"/>
        <v>0</v>
      </c>
      <c r="AA87">
        <f ca="1"/>
        <v>0</v>
      </c>
      <c r="AB87">
        <f ca="1"/>
        <v>0</v>
      </c>
      <c r="AD87" s="2">
        <f t="shared" ca="1" si="12"/>
        <v>45310</v>
      </c>
      <c r="AE87">
        <f t="shared" ca="1" si="13"/>
        <v>0</v>
      </c>
      <c r="AG87" s="63">
        <f t="shared" ca="1" si="17"/>
        <v>34.160218439044087</v>
      </c>
      <c r="AH87" s="63">
        <f t="shared" ca="1" si="18"/>
        <v>34.160218439044087</v>
      </c>
      <c r="AI87" s="3">
        <f t="shared" ca="1" si="19"/>
        <v>0</v>
      </c>
    </row>
    <row r="88" spans="7:35">
      <c r="G88" s="3">
        <f t="shared" ca="1" si="14"/>
        <v>326</v>
      </c>
      <c r="H88" s="95">
        <f t="shared" ca="1" si="16"/>
        <v>45251</v>
      </c>
      <c r="I88" s="119">
        <f ca="1">HLOOKUP($H$5,'Met Data'!$A$2:$F$368,G88,FALSE)</f>
        <v>14.899999999999901</v>
      </c>
      <c r="J88" s="119">
        <f ca="1">HLOOKUP($H$5,'Met Data'!$H$2:$M$368,G88,FALSE)*L88</f>
        <v>2.8366666666666598</v>
      </c>
      <c r="K88" s="96">
        <f ca="1">HLOOKUP($H$5,'Met Data'!$O$2:$T$368,G88,FALSE)</f>
        <v>3.5492721007612098</v>
      </c>
      <c r="L88">
        <f t="shared" ca="1" si="10"/>
        <v>1</v>
      </c>
      <c r="N88" t="b">
        <f t="shared" ca="1" si="15"/>
        <v>0</v>
      </c>
      <c r="O88" t="b">
        <f t="shared" ca="1" si="11"/>
        <v>0</v>
      </c>
      <c r="P88" s="2">
        <f ca="1"/>
        <v>45311</v>
      </c>
      <c r="Q88">
        <f ca="1"/>
        <v>34.69855515069424</v>
      </c>
      <c r="R88">
        <f ca="1"/>
        <v>0</v>
      </c>
      <c r="S88">
        <f ca="1"/>
        <v>0.34740419940565825</v>
      </c>
      <c r="T88">
        <f ca="1"/>
        <v>0.19093251224449281</v>
      </c>
      <c r="U88">
        <f ca="1"/>
        <v>0</v>
      </c>
      <c r="V88">
        <f ca="1"/>
        <v>0</v>
      </c>
      <c r="W88">
        <f ca="1"/>
        <v>0</v>
      </c>
      <c r="X88">
        <f ca="1"/>
        <v>0</v>
      </c>
      <c r="Y88">
        <f ca="1"/>
        <v>0.42261747406110611</v>
      </c>
      <c r="Z88">
        <f ca="1"/>
        <v>0</v>
      </c>
      <c r="AA88">
        <f ca="1"/>
        <v>0</v>
      </c>
      <c r="AB88">
        <f ca="1"/>
        <v>0</v>
      </c>
      <c r="AD88" s="2">
        <f t="shared" ca="1" si="12"/>
        <v>45311</v>
      </c>
      <c r="AE88">
        <f t="shared" ca="1" si="13"/>
        <v>0</v>
      </c>
      <c r="AG88" s="63">
        <f t="shared" ca="1" si="17"/>
        <v>34.69855515069424</v>
      </c>
      <c r="AH88" s="63">
        <f t="shared" ca="1" si="18"/>
        <v>34.69855515069424</v>
      </c>
      <c r="AI88" s="3">
        <f t="shared" ca="1" si="19"/>
        <v>0</v>
      </c>
    </row>
    <row r="89" spans="7:35">
      <c r="G89" s="3">
        <f t="shared" ca="1" si="14"/>
        <v>327</v>
      </c>
      <c r="H89" s="95">
        <f t="shared" ca="1" si="16"/>
        <v>45252</v>
      </c>
      <c r="I89" s="119">
        <f ca="1">HLOOKUP($H$5,'Met Data'!$A$2:$F$368,G89,FALSE)</f>
        <v>15.125</v>
      </c>
      <c r="J89" s="119">
        <f ca="1">HLOOKUP($H$5,'Met Data'!$H$2:$M$368,G89,FALSE)*L89</f>
        <v>4.0966666666666596</v>
      </c>
      <c r="K89" s="96">
        <f ca="1">HLOOKUP($H$5,'Met Data'!$O$2:$T$368,G89,FALSE)</f>
        <v>3.6984174874033999</v>
      </c>
      <c r="L89">
        <f t="shared" ca="1" si="10"/>
        <v>1</v>
      </c>
      <c r="N89" t="b">
        <f t="shared" ca="1" si="15"/>
        <v>0</v>
      </c>
      <c r="O89" t="b">
        <f t="shared" ca="1" si="11"/>
        <v>0</v>
      </c>
      <c r="P89" s="2">
        <f ca="1"/>
        <v>45312</v>
      </c>
      <c r="Q89">
        <f ca="1"/>
        <v>35.295707987085066</v>
      </c>
      <c r="R89">
        <f ca="1"/>
        <v>0</v>
      </c>
      <c r="S89">
        <f ca="1"/>
        <v>0.37602086837634552</v>
      </c>
      <c r="T89">
        <f ca="1"/>
        <v>0.22113196801448493</v>
      </c>
      <c r="U89">
        <f ca="1"/>
        <v>0</v>
      </c>
      <c r="V89">
        <f ca="1"/>
        <v>0</v>
      </c>
      <c r="W89">
        <f ca="1"/>
        <v>0</v>
      </c>
      <c r="X89">
        <f ca="1"/>
        <v>0</v>
      </c>
      <c r="Y89">
        <f ca="1"/>
        <v>0.52286769605093508</v>
      </c>
      <c r="Z89">
        <f ca="1"/>
        <v>0</v>
      </c>
      <c r="AA89">
        <f ca="1"/>
        <v>0</v>
      </c>
      <c r="AB89">
        <f ca="1"/>
        <v>0</v>
      </c>
      <c r="AD89" s="2">
        <f t="shared" ca="1" si="12"/>
        <v>45312</v>
      </c>
      <c r="AE89">
        <f t="shared" ca="1" si="13"/>
        <v>0</v>
      </c>
      <c r="AG89" s="63">
        <f t="shared" ca="1" si="17"/>
        <v>35.295707987085066</v>
      </c>
      <c r="AH89" s="63">
        <f t="shared" ca="1" si="18"/>
        <v>35.295707987085066</v>
      </c>
      <c r="AI89" s="3">
        <f t="shared" ca="1" si="19"/>
        <v>0</v>
      </c>
    </row>
    <row r="90" spans="7:35">
      <c r="G90" s="3">
        <f t="shared" ca="1" si="14"/>
        <v>328</v>
      </c>
      <c r="H90" s="95">
        <f t="shared" ca="1" si="16"/>
        <v>45253</v>
      </c>
      <c r="I90" s="119">
        <f ca="1">HLOOKUP($H$5,'Met Data'!$A$2:$F$368,G90,FALSE)</f>
        <v>15.358333333333301</v>
      </c>
      <c r="J90" s="119">
        <f ca="1">HLOOKUP($H$5,'Met Data'!$H$2:$M$368,G90,FALSE)*L90</f>
        <v>3.04</v>
      </c>
      <c r="K90" s="96">
        <f ca="1">HLOOKUP($H$5,'Met Data'!$O$2:$T$368,G90,FALSE)</f>
        <v>3.9426742076693699</v>
      </c>
      <c r="L90">
        <f t="shared" ca="1" si="10"/>
        <v>1</v>
      </c>
      <c r="N90" t="b">
        <f t="shared" ca="1" si="15"/>
        <v>0</v>
      </c>
      <c r="O90" t="b">
        <f t="shared" ca="1" si="11"/>
        <v>0</v>
      </c>
      <c r="P90" s="2">
        <f ca="1"/>
        <v>45313</v>
      </c>
      <c r="Q90">
        <f ca="1"/>
        <v>35.863440053942313</v>
      </c>
      <c r="R90">
        <f ca="1"/>
        <v>0</v>
      </c>
      <c r="S90">
        <f ca="1"/>
        <v>0.33761604316068361</v>
      </c>
      <c r="T90">
        <f ca="1"/>
        <v>0.230116023696563</v>
      </c>
      <c r="U90">
        <f ca="1"/>
        <v>0</v>
      </c>
      <c r="V90">
        <f ca="1"/>
        <v>0</v>
      </c>
      <c r="W90">
        <f ca="1"/>
        <v>0</v>
      </c>
      <c r="X90">
        <f ca="1"/>
        <v>0</v>
      </c>
      <c r="Y90">
        <f ca="1"/>
        <v>0.54749686114830198</v>
      </c>
      <c r="Z90">
        <f ca="1"/>
        <v>0</v>
      </c>
      <c r="AA90">
        <f ca="1"/>
        <v>0</v>
      </c>
      <c r="AB90">
        <f ca="1"/>
        <v>0</v>
      </c>
      <c r="AD90" s="2">
        <f t="shared" ca="1" si="12"/>
        <v>45313</v>
      </c>
      <c r="AE90">
        <f t="shared" ca="1" si="13"/>
        <v>0</v>
      </c>
      <c r="AG90" s="63">
        <f t="shared" ca="1" si="17"/>
        <v>35.863440053942313</v>
      </c>
      <c r="AH90" s="63">
        <f t="shared" ca="1" si="18"/>
        <v>35.863440053942313</v>
      </c>
      <c r="AI90" s="3">
        <f t="shared" ca="1" si="19"/>
        <v>0</v>
      </c>
    </row>
    <row r="91" spans="7:35">
      <c r="G91" s="3">
        <f t="shared" ca="1" si="14"/>
        <v>329</v>
      </c>
      <c r="H91" s="95">
        <f t="shared" ca="1" si="16"/>
        <v>45254</v>
      </c>
      <c r="I91" s="119">
        <f ca="1">HLOOKUP($H$5,'Met Data'!$A$2:$F$368,G91,FALSE)</f>
        <v>15.2051724137931</v>
      </c>
      <c r="J91" s="119">
        <f ca="1">HLOOKUP($H$5,'Met Data'!$H$2:$M$368,G91,FALSE)*L91</f>
        <v>2.4655172413793101</v>
      </c>
      <c r="K91" s="96">
        <f ca="1">HLOOKUP($H$5,'Met Data'!$O$2:$T$368,G91,FALSE)</f>
        <v>3.7475647250722499</v>
      </c>
      <c r="L91">
        <f t="shared" ca="1" si="10"/>
        <v>1</v>
      </c>
      <c r="N91" t="b">
        <f t="shared" ca="1" si="15"/>
        <v>0</v>
      </c>
      <c r="O91" t="b">
        <f t="shared" ca="1" si="11"/>
        <v>0</v>
      </c>
      <c r="P91" s="2">
        <f ca="1"/>
        <v>45314</v>
      </c>
      <c r="Q91">
        <f ca="1"/>
        <v>36.395282683612955</v>
      </c>
      <c r="R91">
        <f ca="1"/>
        <v>0</v>
      </c>
      <c r="S91">
        <f ca="1"/>
        <v>0.30129502319202661</v>
      </c>
      <c r="T91">
        <f ca="1"/>
        <v>0.23054760647861519</v>
      </c>
      <c r="U91">
        <f ca="1"/>
        <v>0</v>
      </c>
      <c r="V91">
        <f ca="1"/>
        <v>0</v>
      </c>
      <c r="W91">
        <f ca="1"/>
        <v>0</v>
      </c>
      <c r="X91">
        <f ca="1"/>
        <v>0</v>
      </c>
      <c r="Y91">
        <f ca="1"/>
        <v>0.54799243942114106</v>
      </c>
      <c r="Z91">
        <f ca="1"/>
        <v>0</v>
      </c>
      <c r="AA91">
        <f ca="1"/>
        <v>0</v>
      </c>
      <c r="AB91">
        <f ca="1"/>
        <v>0</v>
      </c>
      <c r="AD91" s="2">
        <f t="shared" ca="1" si="12"/>
        <v>45314</v>
      </c>
      <c r="AE91">
        <f t="shared" ca="1" si="13"/>
        <v>0</v>
      </c>
      <c r="AG91" s="63">
        <f t="shared" ca="1" si="17"/>
        <v>36.395282683612955</v>
      </c>
      <c r="AH91" s="63">
        <f t="shared" ca="1" si="18"/>
        <v>36.395282683612955</v>
      </c>
      <c r="AI91" s="3">
        <f t="shared" ca="1" si="19"/>
        <v>0</v>
      </c>
    </row>
    <row r="92" spans="7:35">
      <c r="G92" s="3">
        <f t="shared" ca="1" si="14"/>
        <v>330</v>
      </c>
      <c r="H92" s="95">
        <f t="shared" ca="1" si="16"/>
        <v>45255</v>
      </c>
      <c r="I92" s="119">
        <f ca="1">HLOOKUP($H$5,'Met Data'!$A$2:$F$368,G92,FALSE)</f>
        <v>15.834482758620601</v>
      </c>
      <c r="J92" s="119">
        <f ca="1">HLOOKUP($H$5,'Met Data'!$H$2:$M$368,G92,FALSE)*L92</f>
        <v>2.7965517241379301</v>
      </c>
      <c r="K92" s="96">
        <f ca="1">HLOOKUP($H$5,'Met Data'!$O$2:$T$368,G92,FALSE)</f>
        <v>4.1132182691665697</v>
      </c>
      <c r="L92">
        <f t="shared" ca="1" si="10"/>
        <v>1</v>
      </c>
      <c r="N92" t="b">
        <f t="shared" ca="1" si="15"/>
        <v>0</v>
      </c>
      <c r="O92" t="b">
        <f t="shared" ca="1" si="11"/>
        <v>0</v>
      </c>
      <c r="P92" s="2">
        <f ca="1"/>
        <v>45315</v>
      </c>
      <c r="Q92">
        <f ca="1"/>
        <v>36.901081153376118</v>
      </c>
      <c r="R92">
        <f ca="1"/>
        <v>0</v>
      </c>
      <c r="S92">
        <f ca="1"/>
        <v>0.26930818888745023</v>
      </c>
      <c r="T92">
        <f ca="1"/>
        <v>0.23649028087571625</v>
      </c>
      <c r="U92">
        <f ca="1"/>
        <v>0</v>
      </c>
      <c r="V92">
        <f ca="1"/>
        <v>0</v>
      </c>
      <c r="W92">
        <f ca="1"/>
        <v>0</v>
      </c>
      <c r="X92">
        <f ca="1"/>
        <v>0</v>
      </c>
      <c r="Y92">
        <f ca="1"/>
        <v>0.56494263066044248</v>
      </c>
      <c r="Z92">
        <f ca="1"/>
        <v>0</v>
      </c>
      <c r="AA92">
        <f ca="1"/>
        <v>0</v>
      </c>
      <c r="AB92">
        <f ca="1"/>
        <v>0</v>
      </c>
      <c r="AD92" s="2">
        <f t="shared" ca="1" si="12"/>
        <v>45315</v>
      </c>
      <c r="AE92">
        <f t="shared" ca="1" si="13"/>
        <v>0</v>
      </c>
      <c r="AG92" s="63">
        <f t="shared" ca="1" si="17"/>
        <v>36.901081153376118</v>
      </c>
      <c r="AH92" s="63">
        <f t="shared" ca="1" si="18"/>
        <v>36.901081153376118</v>
      </c>
      <c r="AI92" s="3">
        <f t="shared" ca="1" si="19"/>
        <v>0</v>
      </c>
    </row>
    <row r="93" spans="7:35">
      <c r="G93" s="3">
        <f t="shared" ca="1" si="14"/>
        <v>331</v>
      </c>
      <c r="H93" s="95">
        <f t="shared" ca="1" si="16"/>
        <v>45256</v>
      </c>
      <c r="I93" s="119">
        <f ca="1">HLOOKUP($H$5,'Met Data'!$A$2:$F$368,G93,FALSE)</f>
        <v>15.876666666666599</v>
      </c>
      <c r="J93" s="119">
        <f ca="1">HLOOKUP($H$5,'Met Data'!$H$2:$M$368,G93,FALSE)*L93</f>
        <v>2.2666666666666599</v>
      </c>
      <c r="K93" s="96">
        <f ca="1">HLOOKUP($H$5,'Met Data'!$O$2:$T$368,G93,FALSE)</f>
        <v>4.0838977840275996</v>
      </c>
      <c r="L93">
        <f t="shared" ca="1" si="10"/>
        <v>1</v>
      </c>
      <c r="N93" t="b">
        <f t="shared" ca="1" si="15"/>
        <v>0</v>
      </c>
      <c r="O93" t="b">
        <f t="shared" ca="1" si="11"/>
        <v>0</v>
      </c>
      <c r="P93" s="2">
        <f ca="1"/>
        <v>45316</v>
      </c>
      <c r="Q93">
        <f ca="1"/>
        <v>37.39059859325986</v>
      </c>
      <c r="R93">
        <f ca="1"/>
        <v>0</v>
      </c>
      <c r="S93">
        <f ca="1"/>
        <v>0.2437363428658168</v>
      </c>
      <c r="T93">
        <f ca="1"/>
        <v>0.24578109701792572</v>
      </c>
      <c r="U93">
        <f ca="1"/>
        <v>0</v>
      </c>
      <c r="V93">
        <f ca="1"/>
        <v>1.3643305750969408</v>
      </c>
      <c r="W93">
        <f ca="1"/>
        <v>1.2481098224034977</v>
      </c>
      <c r="X93">
        <f ca="1"/>
        <v>0</v>
      </c>
      <c r="Y93">
        <f ca="1"/>
        <v>0.58134304982569651</v>
      </c>
      <c r="Z93">
        <f ca="1"/>
        <v>0</v>
      </c>
      <c r="AA93">
        <f ca="1"/>
        <v>0</v>
      </c>
      <c r="AB93">
        <f ca="1"/>
        <v>7.6856043219927991E-3</v>
      </c>
      <c r="AD93" s="2">
        <f t="shared" ca="1" si="12"/>
        <v>45316</v>
      </c>
      <c r="AE93">
        <f t="shared" ca="1" si="13"/>
        <v>0</v>
      </c>
      <c r="AG93" s="63">
        <f t="shared" ca="1" si="17"/>
        <v>37.39059859325986</v>
      </c>
      <c r="AH93" s="63">
        <f t="shared" ca="1" si="18"/>
        <v>37.39059859325986</v>
      </c>
      <c r="AI93" s="3">
        <f t="shared" ca="1" si="19"/>
        <v>0</v>
      </c>
    </row>
    <row r="94" spans="7:35">
      <c r="G94" s="3">
        <f t="shared" ca="1" si="14"/>
        <v>332</v>
      </c>
      <c r="H94" s="95">
        <f t="shared" ca="1" si="16"/>
        <v>45257</v>
      </c>
      <c r="I94" s="119">
        <f ca="1">HLOOKUP($H$5,'Met Data'!$A$2:$F$368,G94,FALSE)</f>
        <v>15.52</v>
      </c>
      <c r="J94" s="119">
        <f ca="1">HLOOKUP($H$5,'Met Data'!$H$2:$M$368,G94,FALSE)*L94</f>
        <v>3.6933333333333298</v>
      </c>
      <c r="K94" s="96">
        <f ca="1">HLOOKUP($H$5,'Met Data'!$O$2:$T$368,G94,FALSE)</f>
        <v>4.2967341086411999</v>
      </c>
      <c r="L94">
        <f t="shared" ca="1" si="10"/>
        <v>1</v>
      </c>
      <c r="N94" t="b">
        <f t="shared" ca="1" si="15"/>
        <v>0</v>
      </c>
      <c r="O94" t="b">
        <f t="shared" ca="1" si="11"/>
        <v>0</v>
      </c>
      <c r="P94" s="2">
        <f ca="1"/>
        <v>45317</v>
      </c>
      <c r="Q94">
        <f ca="1"/>
        <v>37.772464573378443</v>
      </c>
      <c r="R94">
        <f ca="1"/>
        <v>7.8088070614599214E-2</v>
      </c>
      <c r="S94">
        <f ca="1"/>
        <v>0.21870541514110275</v>
      </c>
      <c r="T94">
        <f ca="1"/>
        <v>0.24124863559207876</v>
      </c>
      <c r="U94">
        <f ca="1"/>
        <v>0</v>
      </c>
      <c r="V94">
        <f ca="1"/>
        <v>1.44241864571154</v>
      </c>
      <c r="W94">
        <f ca="1"/>
        <v>1.3195459462620385</v>
      </c>
      <c r="X94">
        <f ca="1"/>
        <v>0</v>
      </c>
      <c r="Y94">
        <f ca="1"/>
        <v>0.56094930454876291</v>
      </c>
      <c r="Z94">
        <f ca="1"/>
        <v>0</v>
      </c>
      <c r="AA94">
        <f ca="1"/>
        <v>0</v>
      </c>
      <c r="AB94">
        <f ca="1"/>
        <v>8.8317788823350923E-3</v>
      </c>
      <c r="AD94" s="2">
        <f t="shared" ca="1" si="12"/>
        <v>45317</v>
      </c>
      <c r="AE94">
        <f t="shared" ca="1" si="13"/>
        <v>0</v>
      </c>
      <c r="AG94" s="63">
        <f t="shared" ca="1" si="17"/>
        <v>37.850552643993041</v>
      </c>
      <c r="AH94" s="63">
        <f t="shared" ca="1" si="18"/>
        <v>37.850552643993041</v>
      </c>
      <c r="AI94" s="3">
        <f t="shared" ca="1" si="19"/>
        <v>0</v>
      </c>
    </row>
    <row r="95" spans="7:35">
      <c r="G95" s="3">
        <f t="shared" ca="1" si="14"/>
        <v>333</v>
      </c>
      <c r="H95" s="95">
        <f t="shared" ca="1" si="16"/>
        <v>45258</v>
      </c>
      <c r="I95" s="119">
        <f ca="1">HLOOKUP($H$5,'Met Data'!$A$2:$F$368,G95,FALSE)</f>
        <v>15.438333333333301</v>
      </c>
      <c r="J95" s="119">
        <f ca="1">HLOOKUP($H$5,'Met Data'!$H$2:$M$368,G95,FALSE)*L95</f>
        <v>4.5933333333333302</v>
      </c>
      <c r="K95" s="96">
        <f ca="1">HLOOKUP($H$5,'Met Data'!$O$2:$T$368,G95,FALSE)</f>
        <v>3.7863185649490698</v>
      </c>
      <c r="L95">
        <f t="shared" ca="1" si="10"/>
        <v>1</v>
      </c>
      <c r="N95" t="b">
        <f t="shared" ca="1" si="15"/>
        <v>0</v>
      </c>
      <c r="O95" t="b">
        <f t="shared" ca="1" si="11"/>
        <v>0</v>
      </c>
      <c r="P95" s="2">
        <f ca="1"/>
        <v>45318</v>
      </c>
      <c r="Q95">
        <f ca="1"/>
        <v>38.117416571811489</v>
      </c>
      <c r="R95">
        <f ca="1"/>
        <v>8.1073833915902727E-2</v>
      </c>
      <c r="S95">
        <f ca="1"/>
        <v>0.19051803683918767</v>
      </c>
      <c r="T95">
        <f ca="1"/>
        <v>0.23550779550976408</v>
      </c>
      <c r="U95">
        <f ca="1"/>
        <v>0</v>
      </c>
      <c r="V95">
        <f ca="1"/>
        <v>1.5234924796274427</v>
      </c>
      <c r="W95">
        <f ca="1"/>
        <v>1.393713490622142</v>
      </c>
      <c r="X95">
        <f ca="1"/>
        <v>0</v>
      </c>
      <c r="Y95">
        <f ca="1"/>
        <v>0.56090158666632917</v>
      </c>
      <c r="Z95">
        <f ca="1"/>
        <v>0</v>
      </c>
      <c r="AA95">
        <f ca="1"/>
        <v>0</v>
      </c>
      <c r="AB95">
        <f ca="1"/>
        <v>1.0123120038298487E-2</v>
      </c>
      <c r="AD95" s="2">
        <f t="shared" ca="1" si="12"/>
        <v>45318</v>
      </c>
      <c r="AE95">
        <f t="shared" ca="1" si="13"/>
        <v>0</v>
      </c>
      <c r="AG95" s="63">
        <f t="shared" ca="1" si="17"/>
        <v>38.198490405727391</v>
      </c>
      <c r="AH95" s="63">
        <f t="shared" ca="1" si="18"/>
        <v>38.198490405727391</v>
      </c>
      <c r="AI95" s="3">
        <f t="shared" ca="1" si="19"/>
        <v>0</v>
      </c>
    </row>
    <row r="96" spans="7:35">
      <c r="G96" s="3">
        <f t="shared" ca="1" si="14"/>
        <v>334</v>
      </c>
      <c r="H96" s="95">
        <f t="shared" ca="1" si="16"/>
        <v>45259</v>
      </c>
      <c r="I96" s="119">
        <f ca="1">HLOOKUP($H$5,'Met Data'!$A$2:$F$368,G96,FALSE)</f>
        <v>15.551724137931</v>
      </c>
      <c r="J96" s="119">
        <f ca="1">HLOOKUP($H$5,'Met Data'!$H$2:$M$368,G96,FALSE)*L96</f>
        <v>2.63448275862069</v>
      </c>
      <c r="K96" s="96">
        <f ca="1">HLOOKUP($H$5,'Met Data'!$O$2:$T$368,G96,FALSE)</f>
        <v>3.91369181219603</v>
      </c>
      <c r="L96">
        <f t="shared" ca="1" si="10"/>
        <v>1</v>
      </c>
      <c r="N96" t="b">
        <f t="shared" ca="1" si="15"/>
        <v>0</v>
      </c>
      <c r="O96" t="b">
        <f t="shared" ca="1" si="11"/>
        <v>0</v>
      </c>
      <c r="P96" s="2">
        <f ca="1"/>
        <v>45319</v>
      </c>
      <c r="Q96">
        <f ca="1"/>
        <v>38.437076880204692</v>
      </c>
      <c r="R96">
        <f ca="1"/>
        <v>8.6337413684300479E-2</v>
      </c>
      <c r="S96">
        <f ca="1"/>
        <v>0.17202652617241121</v>
      </c>
      <c r="T96">
        <f ca="1"/>
        <v>0.23397119590509288</v>
      </c>
      <c r="U96">
        <f ca="1"/>
        <v>0</v>
      </c>
      <c r="V96">
        <f ca="1"/>
        <v>1.6098298933117432</v>
      </c>
      <c r="W96">
        <f ca="1"/>
        <v>1.4726962357333355</v>
      </c>
      <c r="X96">
        <f ca="1"/>
        <v>0</v>
      </c>
      <c r="Y96">
        <f ca="1"/>
        <v>0.54714380826213915</v>
      </c>
      <c r="Z96">
        <f ca="1"/>
        <v>0</v>
      </c>
      <c r="AA96">
        <f ca="1"/>
        <v>0</v>
      </c>
      <c r="AB96">
        <f ca="1"/>
        <v>1.1614453198247493E-2</v>
      </c>
      <c r="AD96" s="2">
        <f t="shared" ca="1" si="12"/>
        <v>45319</v>
      </c>
      <c r="AE96">
        <f t="shared" ca="1" si="13"/>
        <v>0</v>
      </c>
      <c r="AG96" s="63">
        <f t="shared" ca="1" si="17"/>
        <v>38.52341429388899</v>
      </c>
      <c r="AH96" s="63">
        <f t="shared" ca="1" si="18"/>
        <v>38.52341429388899</v>
      </c>
      <c r="AI96" s="3">
        <f t="shared" ca="1" si="19"/>
        <v>0</v>
      </c>
    </row>
    <row r="97" spans="7:35">
      <c r="G97" s="3">
        <f t="shared" ca="1" si="14"/>
        <v>335</v>
      </c>
      <c r="H97" s="95">
        <f t="shared" ca="1" si="16"/>
        <v>45260</v>
      </c>
      <c r="I97" s="119">
        <f ca="1">HLOOKUP($H$5,'Met Data'!$A$2:$F$368,G97,FALSE)</f>
        <v>15.832758620689599</v>
      </c>
      <c r="J97" s="119">
        <f ca="1">HLOOKUP($H$5,'Met Data'!$H$2:$M$368,G97,FALSE)*L97</f>
        <v>2.4931034482758601</v>
      </c>
      <c r="K97" s="96">
        <f ca="1">HLOOKUP($H$5,'Met Data'!$O$2:$T$368,G97,FALSE)</f>
        <v>3.5204814386258598</v>
      </c>
      <c r="L97">
        <f t="shared" ca="1" si="10"/>
        <v>1</v>
      </c>
      <c r="N97" t="b">
        <f t="shared" ca="1" si="15"/>
        <v>0</v>
      </c>
      <c r="O97" t="b">
        <f t="shared" ca="1" si="11"/>
        <v>0</v>
      </c>
      <c r="P97" s="2">
        <f ca="1"/>
        <v>45320</v>
      </c>
      <c r="Q97">
        <f ca="1"/>
        <v>38.736211702156822</v>
      </c>
      <c r="R97">
        <f ca="1"/>
        <v>9.2347301837861773E-2</v>
      </c>
      <c r="S97">
        <f ca="1"/>
        <v>0.15610108909834608</v>
      </c>
      <c r="T97">
        <f ca="1"/>
        <v>0.23538103469164123</v>
      </c>
      <c r="U97">
        <f ca="1"/>
        <v>0</v>
      </c>
      <c r="V97">
        <f ca="1"/>
        <v>1.702177195149605</v>
      </c>
      <c r="W97">
        <f ca="1"/>
        <v>1.5571769155627868</v>
      </c>
      <c r="X97">
        <f ca="1"/>
        <v>0</v>
      </c>
      <c r="Y97">
        <f ca="1"/>
        <v>0.53870911601906957</v>
      </c>
      <c r="Z97">
        <f ca="1"/>
        <v>0</v>
      </c>
      <c r="AA97">
        <f ca="1"/>
        <v>0</v>
      </c>
      <c r="AB97">
        <f ca="1"/>
        <v>1.334516440404526E-2</v>
      </c>
      <c r="AD97" s="2">
        <f t="shared" ca="1" si="12"/>
        <v>45320</v>
      </c>
      <c r="AE97">
        <f t="shared" ca="1" si="13"/>
        <v>0</v>
      </c>
      <c r="AG97" s="63">
        <f t="shared" ca="1" si="17"/>
        <v>38.828559003994684</v>
      </c>
      <c r="AH97" s="63">
        <f t="shared" ca="1" si="18"/>
        <v>38.828559003994684</v>
      </c>
      <c r="AI97" s="3">
        <f t="shared" ca="1" si="19"/>
        <v>0</v>
      </c>
    </row>
    <row r="98" spans="7:35">
      <c r="G98" s="3">
        <f t="shared" ca="1" si="14"/>
        <v>336</v>
      </c>
      <c r="H98" s="95">
        <f t="shared" ca="1" si="16"/>
        <v>45261</v>
      </c>
      <c r="I98" s="119">
        <f ca="1">HLOOKUP($H$5,'Met Data'!$A$2:$F$368,G98,FALSE)</f>
        <v>16.082758620689599</v>
      </c>
      <c r="J98" s="119">
        <f ca="1">HLOOKUP($H$5,'Met Data'!$H$2:$M$368,G98,FALSE)*L98</f>
        <v>1.7689655172413701</v>
      </c>
      <c r="K98" s="96">
        <f ca="1">HLOOKUP($H$5,'Met Data'!$O$2:$T$368,G98,FALSE)</f>
        <v>4.0516623269738101</v>
      </c>
      <c r="L98">
        <f t="shared" ca="1" si="10"/>
        <v>1</v>
      </c>
      <c r="N98" t="b">
        <f t="shared" ca="1" si="15"/>
        <v>0</v>
      </c>
      <c r="O98" t="b">
        <f t="shared" ca="1" si="11"/>
        <v>0</v>
      </c>
      <c r="P98" s="2">
        <f ca="1"/>
        <v>45321</v>
      </c>
      <c r="Q98">
        <f ca="1"/>
        <v>39.021653264568542</v>
      </c>
      <c r="R98">
        <f ca="1"/>
        <v>9.8822246769778799E-2</v>
      </c>
      <c r="S98">
        <f ca="1"/>
        <v>0.14159659798920732</v>
      </c>
      <c r="T98">
        <f ca="1"/>
        <v>0.24266721119228904</v>
      </c>
      <c r="U98">
        <f ca="1"/>
        <v>0</v>
      </c>
      <c r="V98">
        <f ca="1"/>
        <v>1.8009994419193838</v>
      </c>
      <c r="W98">
        <f ca="1"/>
        <v>1.647580970941066</v>
      </c>
      <c r="X98">
        <f ca="1"/>
        <v>0</v>
      </c>
      <c r="Y98">
        <f ca="1"/>
        <v>0.54881329162265935</v>
      </c>
      <c r="Z98">
        <f ca="1"/>
        <v>0</v>
      </c>
      <c r="AA98">
        <f ca="1"/>
        <v>0</v>
      </c>
      <c r="AB98">
        <f ca="1"/>
        <v>1.5355764429891998E-2</v>
      </c>
      <c r="AD98" s="2">
        <f t="shared" ca="1" si="12"/>
        <v>45321</v>
      </c>
      <c r="AE98">
        <f t="shared" ca="1" si="13"/>
        <v>0</v>
      </c>
      <c r="AG98" s="63">
        <f t="shared" ca="1" si="17"/>
        <v>39.12047551133832</v>
      </c>
      <c r="AH98" s="63">
        <f t="shared" ca="1" si="18"/>
        <v>39.12047551133832</v>
      </c>
      <c r="AI98" s="3">
        <f t="shared" ca="1" si="19"/>
        <v>0</v>
      </c>
    </row>
    <row r="99" spans="7:35">
      <c r="G99" s="3">
        <f t="shared" ca="1" si="14"/>
        <v>337</v>
      </c>
      <c r="H99" s="95">
        <f t="shared" ca="1" si="16"/>
        <v>45262</v>
      </c>
      <c r="I99" s="119">
        <f ca="1">HLOOKUP($H$5,'Met Data'!$A$2:$F$368,G99,FALSE)</f>
        <v>16.4931034482758</v>
      </c>
      <c r="J99" s="119">
        <f ca="1">HLOOKUP($H$5,'Met Data'!$H$2:$M$368,G99,FALSE)*L99</f>
        <v>5.1137931034482698</v>
      </c>
      <c r="K99" s="96">
        <f ca="1">HLOOKUP($H$5,'Met Data'!$O$2:$T$368,G99,FALSE)</f>
        <v>3.5036176940509298</v>
      </c>
      <c r="L99">
        <f t="shared" ca="1" si="10"/>
        <v>1</v>
      </c>
      <c r="N99" t="b">
        <f t="shared" ca="1" si="15"/>
        <v>0</v>
      </c>
      <c r="O99" t="b">
        <f t="shared" ca="1" si="11"/>
        <v>0</v>
      </c>
      <c r="P99" s="2">
        <f ca="1"/>
        <v>45322</v>
      </c>
      <c r="Q99">
        <f ca="1"/>
        <v>39.287206075029552</v>
      </c>
      <c r="R99">
        <f ca="1"/>
        <v>0.104202745945152</v>
      </c>
      <c r="S99">
        <f ca="1"/>
        <v>0.12599068610951392</v>
      </c>
      <c r="T99">
        <f ca="1"/>
        <v>0.24376487029664148</v>
      </c>
      <c r="U99">
        <f ca="1"/>
        <v>0</v>
      </c>
      <c r="V99">
        <f ca="1"/>
        <v>1.9052021878645358</v>
      </c>
      <c r="W99">
        <f ca="1"/>
        <v>1.7429071866760752</v>
      </c>
      <c r="X99">
        <f ca="1"/>
        <v>0</v>
      </c>
      <c r="Y99">
        <f ca="1"/>
        <v>0.55516720161153577</v>
      </c>
      <c r="Z99">
        <f ca="1"/>
        <v>0</v>
      </c>
      <c r="AA99">
        <f ca="1"/>
        <v>0</v>
      </c>
      <c r="AB99">
        <f ca="1"/>
        <v>1.7656973726194181E-2</v>
      </c>
      <c r="AD99" s="2">
        <f t="shared" ca="1" si="12"/>
        <v>45322</v>
      </c>
      <c r="AE99">
        <f t="shared" ca="1" si="13"/>
        <v>0</v>
      </c>
      <c r="AG99" s="63">
        <f t="shared" ca="1" si="17"/>
        <v>39.391408820974704</v>
      </c>
      <c r="AH99" s="63">
        <f t="shared" ca="1" si="18"/>
        <v>39.391408820974704</v>
      </c>
      <c r="AI99" s="3">
        <f t="shared" ca="1" si="19"/>
        <v>0</v>
      </c>
    </row>
    <row r="100" spans="7:35">
      <c r="G100" s="3">
        <f t="shared" ca="1" si="14"/>
        <v>338</v>
      </c>
      <c r="H100" s="95">
        <f t="shared" ca="1" si="16"/>
        <v>45263</v>
      </c>
      <c r="I100" s="119">
        <f ca="1">HLOOKUP($H$5,'Met Data'!$A$2:$F$368,G100,FALSE)</f>
        <v>16.78</v>
      </c>
      <c r="J100" s="119">
        <f ca="1">HLOOKUP($H$5,'Met Data'!$H$2:$M$368,G100,FALSE)*L100</f>
        <v>1.71</v>
      </c>
      <c r="K100" s="96">
        <f ca="1">HLOOKUP($H$5,'Met Data'!$O$2:$T$368,G100,FALSE)</f>
        <v>3.8786861346319301</v>
      </c>
      <c r="L100">
        <f t="shared" ca="1" si="10"/>
        <v>1</v>
      </c>
      <c r="N100" t="b">
        <f t="shared" ca="1" si="15"/>
        <v>0</v>
      </c>
      <c r="O100" t="b">
        <f t="shared" ca="1" si="11"/>
        <v>0</v>
      </c>
      <c r="P100" s="2">
        <f ca="1"/>
        <v>45323</v>
      </c>
      <c r="Q100">
        <f ca="1"/>
        <v>39.528339524209635</v>
      </c>
      <c r="R100">
        <f ca="1"/>
        <v>0.11074800486266567</v>
      </c>
      <c r="S100">
        <f ca="1"/>
        <v>0.11354507672096581</v>
      </c>
      <c r="T100">
        <f ca="1"/>
        <v>0.23833637732178045</v>
      </c>
      <c r="U100">
        <f ca="1"/>
        <v>0</v>
      </c>
      <c r="V100">
        <f ca="1"/>
        <v>2.0159501927272014</v>
      </c>
      <c r="W100">
        <f ca="1"/>
        <v>1.8442211022356247</v>
      </c>
      <c r="X100">
        <f ca="1"/>
        <v>0</v>
      </c>
      <c r="Y100">
        <f ca="1"/>
        <v>0.53278078462039724</v>
      </c>
      <c r="Z100">
        <f ca="1"/>
        <v>0</v>
      </c>
      <c r="AA100">
        <f ca="1"/>
        <v>0</v>
      </c>
      <c r="AB100">
        <f ca="1"/>
        <v>2.0310389502935941E-2</v>
      </c>
      <c r="AD100" s="2">
        <f t="shared" ca="1" si="12"/>
        <v>45323</v>
      </c>
      <c r="AE100">
        <f t="shared" ca="1" si="13"/>
        <v>0</v>
      </c>
      <c r="AG100" s="63">
        <f t="shared" ca="1" si="17"/>
        <v>39.639087529072299</v>
      </c>
      <c r="AH100" s="63">
        <f t="shared" ca="1" si="18"/>
        <v>39.639087529072299</v>
      </c>
      <c r="AI100" s="3">
        <f t="shared" ca="1" si="19"/>
        <v>0</v>
      </c>
    </row>
    <row r="101" spans="7:35">
      <c r="G101" s="3">
        <f t="shared" ca="1" si="14"/>
        <v>339</v>
      </c>
      <c r="H101" s="95">
        <f t="shared" ca="1" si="16"/>
        <v>45264</v>
      </c>
      <c r="I101" s="119">
        <f ca="1">HLOOKUP($H$5,'Met Data'!$A$2:$F$368,G101,FALSE)</f>
        <v>16.8266666666666</v>
      </c>
      <c r="J101" s="119">
        <f ca="1">HLOOKUP($H$5,'Met Data'!$H$2:$M$368,G101,FALSE)*L101</f>
        <v>6.0433333333333303</v>
      </c>
      <c r="K101" s="96">
        <f ca="1">HLOOKUP($H$5,'Met Data'!$O$2:$T$368,G101,FALSE)</f>
        <v>3.6269671816345701</v>
      </c>
      <c r="L101">
        <f t="shared" ca="1" si="10"/>
        <v>1</v>
      </c>
      <c r="N101" t="b">
        <f t="shared" ca="1" si="15"/>
        <v>0</v>
      </c>
      <c r="O101" t="b">
        <f t="shared" ca="1" si="11"/>
        <v>0</v>
      </c>
      <c r="P101" s="2">
        <f ca="1"/>
        <v>45324</v>
      </c>
      <c r="Q101">
        <f ca="1"/>
        <v>39.75485269528653</v>
      </c>
      <c r="R101">
        <f ca="1"/>
        <v>0.11575960244547945</v>
      </c>
      <c r="S101">
        <f ca="1"/>
        <v>0.10035113562155118</v>
      </c>
      <c r="T101">
        <f ca="1"/>
        <v>0.24192163790082005</v>
      </c>
      <c r="U101">
        <f ca="1"/>
        <v>0</v>
      </c>
      <c r="V101">
        <f ca="1"/>
        <v>2.1317097951726809</v>
      </c>
      <c r="W101">
        <f ca="1"/>
        <v>1.9501197015098228</v>
      </c>
      <c r="X101">
        <f ca="1"/>
        <v>0</v>
      </c>
      <c r="Y101">
        <f ca="1"/>
        <v>0.55601714983342776</v>
      </c>
      <c r="Z101">
        <f ca="1"/>
        <v>0</v>
      </c>
      <c r="AA101">
        <f ca="1"/>
        <v>0</v>
      </c>
      <c r="AB101">
        <f ca="1"/>
        <v>2.3316482654433372E-2</v>
      </c>
      <c r="AD101" s="2">
        <f t="shared" ca="1" si="12"/>
        <v>45324</v>
      </c>
      <c r="AE101">
        <f t="shared" ca="1" si="13"/>
        <v>0</v>
      </c>
      <c r="AG101" s="63">
        <f t="shared" ca="1" si="17"/>
        <v>39.870612297732009</v>
      </c>
      <c r="AH101" s="63">
        <f t="shared" ca="1" si="18"/>
        <v>39.870612297732009</v>
      </c>
      <c r="AI101" s="3">
        <f t="shared" ca="1" si="19"/>
        <v>0</v>
      </c>
    </row>
    <row r="102" spans="7:35">
      <c r="G102" s="3">
        <f t="shared" ca="1" si="14"/>
        <v>340</v>
      </c>
      <c r="H102" s="95">
        <f t="shared" ca="1" si="16"/>
        <v>45265</v>
      </c>
      <c r="I102" s="119">
        <f ca="1">HLOOKUP($H$5,'Met Data'!$A$2:$F$368,G102,FALSE)</f>
        <v>16.6516666666666</v>
      </c>
      <c r="J102" s="119">
        <f ca="1">HLOOKUP($H$5,'Met Data'!$H$2:$M$368,G102,FALSE)*L102</f>
        <v>4.9033333333333298</v>
      </c>
      <c r="K102" s="96">
        <f ca="1">HLOOKUP($H$5,'Met Data'!$O$2:$T$368,G102,FALSE)</f>
        <v>3.8159631078200702</v>
      </c>
      <c r="L102">
        <f t="shared" ca="1" si="10"/>
        <v>1</v>
      </c>
      <c r="N102" t="b">
        <f t="shared" ca="1" si="15"/>
        <v>0</v>
      </c>
      <c r="O102" t="b">
        <f t="shared" ca="1" si="11"/>
        <v>0</v>
      </c>
      <c r="P102" s="2">
        <f ca="1"/>
        <v>45325</v>
      </c>
      <c r="Q102">
        <f ca="1"/>
        <v>39.954433771485967</v>
      </c>
      <c r="R102">
        <f ca="1"/>
        <v>0.12089814097607254</v>
      </c>
      <c r="S102">
        <f ca="1"/>
        <v>8.9076510663034902E-2</v>
      </c>
      <c r="T102">
        <f ca="1"/>
        <v>0.23140270651247521</v>
      </c>
      <c r="U102">
        <f ca="1"/>
        <v>0</v>
      </c>
      <c r="V102">
        <f ca="1"/>
        <v>2.2526079361487534</v>
      </c>
      <c r="W102">
        <f ca="1"/>
        <v>2.0607191119583042</v>
      </c>
      <c r="X102">
        <f ca="1"/>
        <v>0</v>
      </c>
      <c r="Y102">
        <f ca="1"/>
        <v>0.53459428860522462</v>
      </c>
      <c r="Z102">
        <f ca="1"/>
        <v>0</v>
      </c>
      <c r="AA102">
        <f ca="1"/>
        <v>0</v>
      </c>
      <c r="AB102">
        <f ca="1"/>
        <v>2.671357759246884E-2</v>
      </c>
      <c r="AD102" s="2">
        <f t="shared" ca="1" si="12"/>
        <v>45325</v>
      </c>
      <c r="AE102">
        <f t="shared" ca="1" si="13"/>
        <v>0</v>
      </c>
      <c r="AG102" s="63">
        <f t="shared" ca="1" si="17"/>
        <v>40.07533191246204</v>
      </c>
      <c r="AH102" s="63">
        <f t="shared" ca="1" si="18"/>
        <v>40.07533191246204</v>
      </c>
      <c r="AI102" s="3">
        <f t="shared" ca="1" si="19"/>
        <v>0</v>
      </c>
    </row>
    <row r="103" spans="7:35">
      <c r="G103" s="3">
        <f t="shared" ca="1" si="14"/>
        <v>341</v>
      </c>
      <c r="H103" s="95">
        <f t="shared" ca="1" si="16"/>
        <v>45266</v>
      </c>
      <c r="I103" s="119">
        <f ca="1">HLOOKUP($H$5,'Met Data'!$A$2:$F$368,G103,FALSE)</f>
        <v>16.68</v>
      </c>
      <c r="J103" s="119">
        <f ca="1">HLOOKUP($H$5,'Met Data'!$H$2:$M$368,G103,FALSE)*L103</f>
        <v>3.7299999999999902</v>
      </c>
      <c r="K103" s="96">
        <f ca="1">HLOOKUP($H$5,'Met Data'!$O$2:$T$368,G103,FALSE)</f>
        <v>3.9805130657979602</v>
      </c>
      <c r="L103">
        <f t="shared" ca="1" si="10"/>
        <v>1</v>
      </c>
      <c r="N103" t="b">
        <f t="shared" ca="1" si="15"/>
        <v>0</v>
      </c>
      <c r="O103" t="b">
        <f t="shared" ca="1" si="11"/>
        <v>0</v>
      </c>
      <c r="P103" s="2">
        <f ca="1"/>
        <v>45326</v>
      </c>
      <c r="Q103">
        <f ca="1"/>
        <v>40.142162296454082</v>
      </c>
      <c r="R103">
        <f ca="1"/>
        <v>0.12350662853675498</v>
      </c>
      <c r="S103">
        <f ca="1"/>
        <v>7.7397307078567401E-2</v>
      </c>
      <c r="T103">
        <f ca="1"/>
        <v>0.2338378464262991</v>
      </c>
      <c r="U103">
        <f ca="1"/>
        <v>0</v>
      </c>
      <c r="V103">
        <f ca="1"/>
        <v>2.3761145646855084</v>
      </c>
      <c r="W103">
        <f ca="1"/>
        <v>2.1737048054715578</v>
      </c>
      <c r="X103">
        <f ca="1"/>
        <v>0</v>
      </c>
      <c r="Y103">
        <f ca="1"/>
        <v>0.57615774957466281</v>
      </c>
      <c r="Z103">
        <f ca="1"/>
        <v>0</v>
      </c>
      <c r="AA103">
        <f ca="1"/>
        <v>0</v>
      </c>
      <c r="AB103">
        <f ca="1"/>
        <v>3.0459002487029162E-2</v>
      </c>
      <c r="AD103" s="2">
        <f t="shared" ca="1" si="12"/>
        <v>45326</v>
      </c>
      <c r="AE103">
        <f t="shared" ca="1" si="13"/>
        <v>0</v>
      </c>
      <c r="AG103" s="63">
        <f t="shared" ca="1" si="17"/>
        <v>40.265668924990834</v>
      </c>
      <c r="AH103" s="63">
        <f t="shared" ca="1" si="18"/>
        <v>40.265668924990834</v>
      </c>
      <c r="AI103" s="3">
        <f t="shared" ca="1" si="19"/>
        <v>0</v>
      </c>
    </row>
    <row r="104" spans="7:35">
      <c r="G104" s="3">
        <f t="shared" ca="1" si="14"/>
        <v>342</v>
      </c>
      <c r="H104" s="95">
        <f t="shared" ca="1" si="16"/>
        <v>45267</v>
      </c>
      <c r="I104" s="119">
        <f ca="1">HLOOKUP($H$5,'Met Data'!$A$2:$F$368,G104,FALSE)</f>
        <v>16.158333333333299</v>
      </c>
      <c r="J104" s="119">
        <f ca="1">HLOOKUP($H$5,'Met Data'!$H$2:$M$368,G104,FALSE)*L104</f>
        <v>3.96999999999999</v>
      </c>
      <c r="K104" s="96">
        <f ca="1">HLOOKUP($H$5,'Met Data'!$O$2:$T$368,G104,FALSE)</f>
        <v>3.9985245379954399</v>
      </c>
      <c r="L104">
        <f t="shared" ca="1" si="10"/>
        <v>1</v>
      </c>
      <c r="N104" t="b">
        <f t="shared" ca="1" si="15"/>
        <v>0</v>
      </c>
      <c r="O104" t="b">
        <f t="shared" ca="1" si="11"/>
        <v>0</v>
      </c>
      <c r="P104" s="2">
        <f ca="1"/>
        <v>45327</v>
      </c>
      <c r="Q104">
        <f ca="1"/>
        <v>40.322834636348659</v>
      </c>
      <c r="R104">
        <f ca="1"/>
        <v>0.13352161327723611</v>
      </c>
      <c r="S104">
        <f ca="1"/>
        <v>7.2741859478661297E-2</v>
      </c>
      <c r="T104">
        <f ca="1"/>
        <v>0.24145209369315843</v>
      </c>
      <c r="U104">
        <f ca="1"/>
        <v>0</v>
      </c>
      <c r="V104">
        <f ca="1"/>
        <v>2.5096361779627445</v>
      </c>
      <c r="W104">
        <f ca="1"/>
        <v>2.2958523553955477</v>
      </c>
      <c r="X104">
        <f ca="1"/>
        <v>0</v>
      </c>
      <c r="Y104">
        <f ca="1"/>
        <v>0.57462185703248669</v>
      </c>
      <c r="Z104">
        <f ca="1"/>
        <v>0</v>
      </c>
      <c r="AA104">
        <f ca="1"/>
        <v>0</v>
      </c>
      <c r="AB104">
        <f ca="1"/>
        <v>3.4823775594602771E-2</v>
      </c>
      <c r="AD104" s="2">
        <f t="shared" ca="1" si="12"/>
        <v>45327</v>
      </c>
      <c r="AE104">
        <f t="shared" ca="1" si="13"/>
        <v>0</v>
      </c>
      <c r="AG104" s="63">
        <f t="shared" ca="1" si="17"/>
        <v>40.456356249625898</v>
      </c>
      <c r="AH104" s="63">
        <f t="shared" ca="1" si="18"/>
        <v>40.456356249625898</v>
      </c>
      <c r="AI104" s="3">
        <f t="shared" ca="1" si="19"/>
        <v>0</v>
      </c>
    </row>
    <row r="105" spans="7:35">
      <c r="G105" s="3">
        <f t="shared" ca="1" si="14"/>
        <v>343</v>
      </c>
      <c r="H105" s="95">
        <f t="shared" ca="1" si="16"/>
        <v>45268</v>
      </c>
      <c r="I105" s="119">
        <f ca="1">HLOOKUP($H$5,'Met Data'!$A$2:$F$368,G105,FALSE)</f>
        <v>16.105</v>
      </c>
      <c r="J105" s="119">
        <f ca="1">HLOOKUP($H$5,'Met Data'!$H$2:$M$368,G105,FALSE)*L105</f>
        <v>2.43333333333333</v>
      </c>
      <c r="K105" s="96">
        <f ca="1">HLOOKUP($H$5,'Met Data'!$O$2:$T$368,G105,FALSE)</f>
        <v>4.0668482894046898</v>
      </c>
      <c r="L105">
        <f t="shared" ca="1" si="10"/>
        <v>1</v>
      </c>
      <c r="N105" t="b">
        <f t="shared" ca="1" si="15"/>
        <v>0</v>
      </c>
      <c r="O105" t="b">
        <f t="shared" ca="1" si="11"/>
        <v>0</v>
      </c>
      <c r="P105" s="2">
        <f ca="1"/>
        <v>45328</v>
      </c>
      <c r="Q105">
        <f ca="1"/>
        <v>40.47691214933171</v>
      </c>
      <c r="R105">
        <f ca="1"/>
        <v>0.14005239711940476</v>
      </c>
      <c r="S105">
        <f ca="1"/>
        <v>6.581046534041235E-2</v>
      </c>
      <c r="T105">
        <f ca="1"/>
        <v>0.22831944476204052</v>
      </c>
      <c r="U105">
        <f ca="1"/>
        <v>0</v>
      </c>
      <c r="V105">
        <f ca="1"/>
        <v>2.6496885750821493</v>
      </c>
      <c r="W105">
        <f ca="1"/>
        <v>2.4239743631307071</v>
      </c>
      <c r="X105">
        <f ca="1"/>
        <v>0</v>
      </c>
      <c r="Y105">
        <f ca="1"/>
        <v>0.53884375613760216</v>
      </c>
      <c r="Z105">
        <f ca="1"/>
        <v>0</v>
      </c>
      <c r="AA105">
        <f ca="1"/>
        <v>0</v>
      </c>
      <c r="AB105">
        <f ca="1"/>
        <v>3.9756650809257027E-2</v>
      </c>
      <c r="AD105" s="2">
        <f t="shared" ca="1" si="12"/>
        <v>45328</v>
      </c>
      <c r="AE105">
        <f t="shared" ca="1" si="13"/>
        <v>0</v>
      </c>
      <c r="AG105" s="63">
        <f t="shared" ca="1" si="17"/>
        <v>40.616964546451115</v>
      </c>
      <c r="AH105" s="63">
        <f t="shared" ca="1" si="18"/>
        <v>40.616964546451115</v>
      </c>
      <c r="AI105" s="3">
        <f t="shared" ca="1" si="19"/>
        <v>0</v>
      </c>
    </row>
    <row r="106" spans="7:35">
      <c r="G106" s="3">
        <f t="shared" ca="1" si="14"/>
        <v>344</v>
      </c>
      <c r="H106" s="95">
        <f t="shared" ca="1" si="16"/>
        <v>45269</v>
      </c>
      <c r="I106" s="119">
        <f ca="1">HLOOKUP($H$5,'Met Data'!$A$2:$F$368,G106,FALSE)</f>
        <v>16.565000000000001</v>
      </c>
      <c r="J106" s="119">
        <f ca="1">HLOOKUP($H$5,'Met Data'!$H$2:$M$368,G106,FALSE)*L106</f>
        <v>1.57666666666666</v>
      </c>
      <c r="K106" s="96">
        <f ca="1">HLOOKUP($H$5,'Met Data'!$O$2:$T$368,G106,FALSE)</f>
        <v>4.3303303245888296</v>
      </c>
      <c r="L106">
        <f t="shared" ca="1" si="10"/>
        <v>1</v>
      </c>
      <c r="N106" t="b">
        <f t="shared" ca="1" si="15"/>
        <v>0</v>
      </c>
      <c r="O106" t="b">
        <f t="shared" ca="1" si="11"/>
        <v>0</v>
      </c>
      <c r="P106" s="2">
        <f ca="1"/>
        <v>45329</v>
      </c>
      <c r="Q106">
        <f ca="1"/>
        <v>40.611804199058462</v>
      </c>
      <c r="R106">
        <f ca="1"/>
        <v>0.14856264116664386</v>
      </c>
      <c r="S106">
        <f ca="1"/>
        <v>6.0664370226287012E-2</v>
      </c>
      <c r="T106">
        <f ca="1"/>
        <v>0.2227903206671111</v>
      </c>
      <c r="U106">
        <f ca="1"/>
        <v>0</v>
      </c>
      <c r="V106">
        <f ca="1"/>
        <v>2.7982512162487931</v>
      </c>
      <c r="W106">
        <f ca="1"/>
        <v>2.5598816681979701</v>
      </c>
      <c r="X106">
        <f ca="1"/>
        <v>0</v>
      </c>
      <c r="Y106">
        <f ca="1"/>
        <v>0.5147280013629113</v>
      </c>
      <c r="Z106">
        <f ca="1"/>
        <v>0</v>
      </c>
      <c r="AA106">
        <f ca="1"/>
        <v>0</v>
      </c>
      <c r="AB106">
        <f ca="1"/>
        <v>4.538722899314282E-2</v>
      </c>
      <c r="AD106" s="2">
        <f t="shared" ca="1" si="12"/>
        <v>45329</v>
      </c>
      <c r="AE106">
        <f t="shared" ca="1" si="13"/>
        <v>0</v>
      </c>
      <c r="AG106" s="63">
        <f t="shared" ca="1" si="17"/>
        <v>40.760366840225103</v>
      </c>
      <c r="AH106" s="63">
        <f t="shared" ca="1" si="18"/>
        <v>40.760366840225103</v>
      </c>
      <c r="AI106" s="3">
        <f t="shared" ca="1" si="19"/>
        <v>0</v>
      </c>
    </row>
    <row r="107" spans="7:35">
      <c r="G107" s="3">
        <f t="shared" ca="1" si="14"/>
        <v>345</v>
      </c>
      <c r="H107" s="95">
        <f t="shared" ca="1" si="16"/>
        <v>45270</v>
      </c>
      <c r="I107" s="119">
        <f ca="1">HLOOKUP($H$5,'Met Data'!$A$2:$F$368,G107,FALSE)</f>
        <v>16.483333333333299</v>
      </c>
      <c r="J107" s="119">
        <f ca="1">HLOOKUP($H$5,'Met Data'!$H$2:$M$368,G107,FALSE)*L107</f>
        <v>2.9733333333333301</v>
      </c>
      <c r="K107" s="96">
        <f ca="1">HLOOKUP($H$5,'Met Data'!$O$2:$T$368,G107,FALSE)</f>
        <v>4.0534379567104599</v>
      </c>
      <c r="L107">
        <f t="shared" ca="1" si="10"/>
        <v>1</v>
      </c>
      <c r="N107" t="b">
        <f t="shared" ca="1" si="15"/>
        <v>0</v>
      </c>
      <c r="O107" t="b">
        <f t="shared" ca="1" si="11"/>
        <v>0</v>
      </c>
      <c r="P107" s="2">
        <f ca="1"/>
        <v>45330</v>
      </c>
      <c r="Q107">
        <f ca="1"/>
        <v>40.73289761616369</v>
      </c>
      <c r="R107">
        <f ca="1"/>
        <v>0.15659483366451976</v>
      </c>
      <c r="S107">
        <f ca="1"/>
        <v>5.5652331921864473E-2</v>
      </c>
      <c r="T107">
        <f ca="1"/>
        <v>0.22203591884788973</v>
      </c>
      <c r="U107">
        <f ca="1"/>
        <v>0</v>
      </c>
      <c r="V107">
        <f ca="1"/>
        <v>2.9548460499133129</v>
      </c>
      <c r="W107">
        <f ca="1"/>
        <v>2.7031369419577342</v>
      </c>
      <c r="X107">
        <f ca="1"/>
        <v>0</v>
      </c>
      <c r="Y107">
        <f ca="1"/>
        <v>0.51325860435393089</v>
      </c>
      <c r="Z107">
        <f ca="1"/>
        <v>0</v>
      </c>
      <c r="AA107">
        <f ca="1"/>
        <v>0</v>
      </c>
      <c r="AB107">
        <f ca="1"/>
        <v>5.1765162902049675E-2</v>
      </c>
      <c r="AD107" s="2">
        <f t="shared" ca="1" si="12"/>
        <v>45330</v>
      </c>
      <c r="AE107">
        <f t="shared" ca="1" si="13"/>
        <v>0</v>
      </c>
      <c r="AG107" s="63">
        <f t="shared" ca="1" si="17"/>
        <v>40.889492449828211</v>
      </c>
      <c r="AH107" s="63">
        <f t="shared" ca="1" si="18"/>
        <v>40.889492449828211</v>
      </c>
      <c r="AI107" s="3">
        <f t="shared" ca="1" si="19"/>
        <v>0</v>
      </c>
    </row>
    <row r="108" spans="7:35">
      <c r="G108" s="3">
        <f t="shared" ca="1" si="14"/>
        <v>346</v>
      </c>
      <c r="H108" s="95">
        <f t="shared" ca="1" si="16"/>
        <v>45271</v>
      </c>
      <c r="I108" s="119">
        <f ca="1">HLOOKUP($H$5,'Met Data'!$A$2:$F$368,G108,FALSE)</f>
        <v>17.015000000000001</v>
      </c>
      <c r="J108" s="119">
        <f ca="1">HLOOKUP($H$5,'Met Data'!$H$2:$M$368,G108,FALSE)*L108</f>
        <v>1.12666666666666</v>
      </c>
      <c r="K108" s="96">
        <f ca="1">HLOOKUP($H$5,'Met Data'!$O$2:$T$368,G108,FALSE)</f>
        <v>4.1505313677650202</v>
      </c>
      <c r="L108">
        <f t="shared" ca="1" si="10"/>
        <v>1</v>
      </c>
      <c r="N108" t="b">
        <f t="shared" ca="1" si="15"/>
        <v>0</v>
      </c>
      <c r="O108" t="b">
        <f t="shared" ca="1" si="11"/>
        <v>0</v>
      </c>
      <c r="P108" s="2">
        <f ca="1"/>
        <v>45331</v>
      </c>
      <c r="Q108">
        <f ca="1"/>
        <v>40.836777878487908</v>
      </c>
      <c r="R108">
        <f ca="1"/>
        <v>0.16641097455066234</v>
      </c>
      <c r="S108">
        <f ca="1"/>
        <v>5.1327010839259835E-2</v>
      </c>
      <c r="T108">
        <f ca="1"/>
        <v>0.21896422603562696</v>
      </c>
      <c r="U108">
        <f ca="1"/>
        <v>0</v>
      </c>
      <c r="V108">
        <f ca="1"/>
        <v>3.1212570244639752</v>
      </c>
      <c r="W108">
        <f ca="1"/>
        <v>2.8553721668244512</v>
      </c>
      <c r="X108">
        <f ca="1"/>
        <v>0</v>
      </c>
      <c r="Y108">
        <f ca="1"/>
        <v>0.49524096461923561</v>
      </c>
      <c r="Z108">
        <f ca="1"/>
        <v>0</v>
      </c>
      <c r="AA108">
        <f ca="1"/>
        <v>0</v>
      </c>
      <c r="AB108">
        <f ca="1"/>
        <v>5.9038073025563263E-2</v>
      </c>
      <c r="AD108" s="2">
        <f t="shared" ca="1" si="12"/>
        <v>45331</v>
      </c>
      <c r="AE108">
        <f t="shared" ca="1" si="13"/>
        <v>0</v>
      </c>
      <c r="AG108" s="63">
        <f t="shared" ca="1" si="17"/>
        <v>41.003188853038573</v>
      </c>
      <c r="AH108" s="63">
        <f t="shared" ca="1" si="18"/>
        <v>41.003188853038573</v>
      </c>
      <c r="AI108" s="3">
        <f t="shared" ca="1" si="19"/>
        <v>0</v>
      </c>
    </row>
    <row r="109" spans="7:35">
      <c r="G109" s="3">
        <f t="shared" ca="1" si="14"/>
        <v>347</v>
      </c>
      <c r="H109" s="95">
        <f t="shared" ca="1" si="16"/>
        <v>45272</v>
      </c>
      <c r="I109" s="119">
        <f ca="1">HLOOKUP($H$5,'Met Data'!$A$2:$F$368,G109,FALSE)</f>
        <v>17.483333333333299</v>
      </c>
      <c r="J109" s="119">
        <f ca="1">HLOOKUP($H$5,'Met Data'!$H$2:$M$368,G109,FALSE)*L109</f>
        <v>1.9166666666666601</v>
      </c>
      <c r="K109" s="96">
        <f ca="1">HLOOKUP($H$5,'Met Data'!$O$2:$T$368,G109,FALSE)</f>
        <v>3.8850422651579102</v>
      </c>
      <c r="L109">
        <f t="shared" ca="1" si="10"/>
        <v>1</v>
      </c>
      <c r="N109" t="b">
        <f t="shared" ca="1" si="15"/>
        <v>0</v>
      </c>
      <c r="O109" t="b">
        <f t="shared" ca="1" si="11"/>
        <v>0</v>
      </c>
      <c r="P109" s="2">
        <f ca="1"/>
        <v>45332</v>
      </c>
      <c r="Q109">
        <f ca="1"/>
        <v>40.928302371457647</v>
      </c>
      <c r="R109">
        <f ca="1"/>
        <v>0.1791149944535988</v>
      </c>
      <c r="S109">
        <f ca="1"/>
        <v>4.8007822964962088E-2</v>
      </c>
      <c r="T109">
        <f ca="1"/>
        <v>0.22263166445837954</v>
      </c>
      <c r="U109">
        <f ca="1"/>
        <v>0</v>
      </c>
      <c r="V109">
        <f ca="1"/>
        <v>3.300372018917574</v>
      </c>
      <c r="W109">
        <f ca="1"/>
        <v>3.0192292173060769</v>
      </c>
      <c r="X109">
        <f ca="1"/>
        <v>0</v>
      </c>
      <c r="Y109">
        <f ca="1"/>
        <v>0.4874265569871335</v>
      </c>
      <c r="Z109">
        <f ca="1"/>
        <v>0</v>
      </c>
      <c r="AA109">
        <f ca="1"/>
        <v>0</v>
      </c>
      <c r="AB109">
        <f ca="1"/>
        <v>6.7429589226327011E-2</v>
      </c>
      <c r="AD109" s="2">
        <f t="shared" ca="1" si="12"/>
        <v>45332</v>
      </c>
      <c r="AE109">
        <f t="shared" ca="1" si="13"/>
        <v>0</v>
      </c>
      <c r="AG109" s="63">
        <f t="shared" ca="1" si="17"/>
        <v>41.107417365911246</v>
      </c>
      <c r="AH109" s="63">
        <f t="shared" ca="1" si="18"/>
        <v>41.107417365911246</v>
      </c>
      <c r="AI109" s="3">
        <f t="shared" ca="1" si="19"/>
        <v>0</v>
      </c>
    </row>
    <row r="110" spans="7:35">
      <c r="G110" s="3">
        <f t="shared" ca="1" si="14"/>
        <v>348</v>
      </c>
      <c r="H110" s="95">
        <f t="shared" ca="1" si="16"/>
        <v>45273</v>
      </c>
      <c r="I110" s="119">
        <f ca="1">HLOOKUP($H$5,'Met Data'!$A$2:$F$368,G110,FALSE)</f>
        <v>17.251666666666601</v>
      </c>
      <c r="J110" s="119">
        <f ca="1">HLOOKUP($H$5,'Met Data'!$H$2:$M$368,G110,FALSE)*L110</f>
        <v>1.93333333333333</v>
      </c>
      <c r="K110" s="96">
        <f ca="1">HLOOKUP($H$5,'Met Data'!$O$2:$T$368,G110,FALSE)</f>
        <v>4.3816384015384404</v>
      </c>
      <c r="L110">
        <f t="shared" ca="1" si="10"/>
        <v>1</v>
      </c>
      <c r="N110" t="b">
        <f t="shared" ca="1" si="15"/>
        <v>0</v>
      </c>
      <c r="O110" t="b">
        <f t="shared" ca="1" si="11"/>
        <v>0</v>
      </c>
      <c r="P110" s="2">
        <f ca="1"/>
        <v>45333</v>
      </c>
      <c r="Q110">
        <f ca="1"/>
        <v>41.010452119421764</v>
      </c>
      <c r="R110">
        <f ca="1"/>
        <v>0.19108473418709382</v>
      </c>
      <c r="S110">
        <f ca="1"/>
        <v>4.5753504413065471E-2</v>
      </c>
      <c r="T110">
        <f ca="1"/>
        <v>0.22748097773814394</v>
      </c>
      <c r="U110">
        <f ca="1"/>
        <v>0</v>
      </c>
      <c r="V110">
        <f ca="1"/>
        <v>3.4914567531046679</v>
      </c>
      <c r="W110">
        <f ca="1"/>
        <v>3.1940363630253805</v>
      </c>
      <c r="X110">
        <f ca="1"/>
        <v>0</v>
      </c>
      <c r="Y110">
        <f ca="1"/>
        <v>0.49352183396098553</v>
      </c>
      <c r="Z110">
        <f ca="1"/>
        <v>0</v>
      </c>
      <c r="AA110">
        <f ca="1"/>
        <v>0</v>
      </c>
      <c r="AB110">
        <f ca="1"/>
        <v>7.7013784303395061E-2</v>
      </c>
      <c r="AD110" s="2">
        <f t="shared" ca="1" si="12"/>
        <v>45333</v>
      </c>
      <c r="AE110">
        <f t="shared" ca="1" si="13"/>
        <v>0</v>
      </c>
      <c r="AG110" s="63">
        <f t="shared" ca="1" si="17"/>
        <v>41.201536853608857</v>
      </c>
      <c r="AH110" s="63">
        <f t="shared" ca="1" si="18"/>
        <v>41.201536853608857</v>
      </c>
      <c r="AI110" s="3">
        <f t="shared" ca="1" si="19"/>
        <v>0</v>
      </c>
    </row>
    <row r="111" spans="7:35">
      <c r="G111" s="3">
        <f t="shared" ca="1" si="14"/>
        <v>349</v>
      </c>
      <c r="H111" s="95">
        <f t="shared" ca="1" si="16"/>
        <v>45274</v>
      </c>
      <c r="I111" s="119">
        <f ca="1">HLOOKUP($H$5,'Met Data'!$A$2:$F$368,G111,FALSE)</f>
        <v>17.1733333333333</v>
      </c>
      <c r="J111" s="119">
        <f ca="1">HLOOKUP($H$5,'Met Data'!$H$2:$M$368,G111,FALSE)*L111</f>
        <v>4.1233333333333304</v>
      </c>
      <c r="K111" s="96">
        <f ca="1">HLOOKUP($H$5,'Met Data'!$O$2:$T$368,G111,FALSE)</f>
        <v>4.03321434314394</v>
      </c>
      <c r="L111">
        <f t="shared" ca="1" si="10"/>
        <v>1</v>
      </c>
      <c r="N111" t="b">
        <f t="shared" ca="1" si="15"/>
        <v>0</v>
      </c>
      <c r="O111" t="b">
        <f t="shared" ca="1" si="11"/>
        <v>0</v>
      </c>
      <c r="P111" s="2">
        <f ca="1"/>
        <v>45334</v>
      </c>
      <c r="Q111">
        <f ca="1"/>
        <v>41.081337467020596</v>
      </c>
      <c r="R111">
        <f ca="1"/>
        <v>0.20113680455473082</v>
      </c>
      <c r="S111">
        <f ca="1"/>
        <v>4.2983653253209297E-2</v>
      </c>
      <c r="T111">
        <f ca="1"/>
        <v>0.22903849890034972</v>
      </c>
      <c r="U111">
        <f ca="1"/>
        <v>0</v>
      </c>
      <c r="V111">
        <f ca="1"/>
        <v>3.6925935576593987</v>
      </c>
      <c r="W111">
        <f ca="1"/>
        <v>3.3780392916365609</v>
      </c>
      <c r="X111">
        <f ca="1"/>
        <v>0</v>
      </c>
      <c r="Y111">
        <f ca="1"/>
        <v>0.50283566440613936</v>
      </c>
      <c r="Z111">
        <f ca="1"/>
        <v>0</v>
      </c>
      <c r="AA111">
        <f ca="1"/>
        <v>0</v>
      </c>
      <c r="AB111">
        <f ca="1"/>
        <v>8.7787946712404391E-2</v>
      </c>
      <c r="AD111" s="2">
        <f t="shared" ca="1" si="12"/>
        <v>45334</v>
      </c>
      <c r="AE111">
        <f t="shared" ca="1" si="13"/>
        <v>0</v>
      </c>
      <c r="AG111" s="63">
        <f t="shared" ca="1" si="17"/>
        <v>41.282474271575325</v>
      </c>
      <c r="AH111" s="63">
        <f t="shared" ca="1" si="18"/>
        <v>41.282474271575325</v>
      </c>
      <c r="AI111" s="3">
        <f t="shared" ca="1" si="19"/>
        <v>0</v>
      </c>
    </row>
    <row r="112" spans="7:35">
      <c r="G112" s="3">
        <f t="shared" ca="1" si="14"/>
        <v>350</v>
      </c>
      <c r="H112" s="95">
        <f t="shared" ca="1" si="16"/>
        <v>45275</v>
      </c>
      <c r="I112" s="119">
        <f ca="1">HLOOKUP($H$5,'Met Data'!$A$2:$F$368,G112,FALSE)</f>
        <v>17.0068965517241</v>
      </c>
      <c r="J112" s="119">
        <f ca="1">HLOOKUP($H$5,'Met Data'!$H$2:$M$368,G112,FALSE)*L112</f>
        <v>2.5793103448275798</v>
      </c>
      <c r="K112" s="96">
        <f ca="1">HLOOKUP($H$5,'Met Data'!$O$2:$T$368,G112,FALSE)</f>
        <v>4.1838965938969297</v>
      </c>
      <c r="L112">
        <f t="shared" ca="1" si="10"/>
        <v>1</v>
      </c>
      <c r="N112" t="b">
        <f t="shared" ca="1" si="15"/>
        <v>0</v>
      </c>
      <c r="O112" t="b">
        <f t="shared" ca="1" si="11"/>
        <v>0</v>
      </c>
      <c r="P112" s="2">
        <f ca="1"/>
        <v>45335</v>
      </c>
      <c r="Q112">
        <f ca="1"/>
        <v>41.127497488890882</v>
      </c>
      <c r="R112">
        <f ca="1"/>
        <v>0.2102763150458995</v>
      </c>
      <c r="S112">
        <f ca="1"/>
        <v>3.7989296901177028E-2</v>
      </c>
      <c r="T112">
        <f ca="1"/>
        <v>0.21844704001500767</v>
      </c>
      <c r="U112">
        <f ca="1"/>
        <v>0</v>
      </c>
      <c r="V112">
        <f ca="1"/>
        <v>3.9028698727052982</v>
      </c>
      <c r="W112">
        <f ca="1"/>
        <v>3.5704031798452167</v>
      </c>
      <c r="X112">
        <f ca="1"/>
        <v>0</v>
      </c>
      <c r="Y112">
        <f ca="1"/>
        <v>0.47763706456952082</v>
      </c>
      <c r="Z112">
        <f ca="1"/>
        <v>0</v>
      </c>
      <c r="AA112">
        <f ca="1"/>
        <v>0</v>
      </c>
      <c r="AB112">
        <f ca="1"/>
        <v>9.9776509575142877E-2</v>
      </c>
      <c r="AD112" s="2">
        <f t="shared" ca="1" si="12"/>
        <v>45335</v>
      </c>
      <c r="AE112">
        <f t="shared" ca="1" si="13"/>
        <v>0</v>
      </c>
      <c r="AG112" s="63">
        <f t="shared" ca="1" si="17"/>
        <v>41.337773803936784</v>
      </c>
      <c r="AH112" s="63">
        <f t="shared" ca="1" si="18"/>
        <v>41.337773803936784</v>
      </c>
      <c r="AI112" s="3">
        <f t="shared" ca="1" si="19"/>
        <v>0</v>
      </c>
    </row>
    <row r="113" spans="7:35">
      <c r="G113" s="3">
        <f t="shared" ca="1" si="14"/>
        <v>351</v>
      </c>
      <c r="H113" s="95">
        <f t="shared" ca="1" si="16"/>
        <v>45276</v>
      </c>
      <c r="I113" s="119">
        <f ca="1">HLOOKUP($H$5,'Met Data'!$A$2:$F$368,G113,FALSE)</f>
        <v>17.105172413793099</v>
      </c>
      <c r="J113" s="119">
        <f ca="1">HLOOKUP($H$5,'Met Data'!$H$2:$M$368,G113,FALSE)*L113</f>
        <v>5.3551724137930998</v>
      </c>
      <c r="K113" s="96">
        <f ca="1">HLOOKUP($H$5,'Met Data'!$O$2:$T$368,G113,FALSE)</f>
        <v>3.9954599380242</v>
      </c>
      <c r="L113">
        <f t="shared" ca="1" si="10"/>
        <v>1</v>
      </c>
      <c r="N113" t="b">
        <f t="shared" ca="1" si="15"/>
        <v>0</v>
      </c>
      <c r="O113" t="b">
        <f t="shared" ca="1" si="11"/>
        <v>0</v>
      </c>
      <c r="P113" s="2">
        <f ca="1"/>
        <v>45336</v>
      </c>
      <c r="Q113">
        <f ca="1"/>
        <v>41.158254592498309</v>
      </c>
      <c r="R113">
        <f ca="1"/>
        <v>0.22226724826994726</v>
      </c>
      <c r="S113">
        <f ca="1"/>
        <v>3.5568185115777418E-2</v>
      </c>
      <c r="T113">
        <f ca="1"/>
        <v>0.21745616676159749</v>
      </c>
      <c r="U113">
        <f ca="1"/>
        <v>0</v>
      </c>
      <c r="V113">
        <f ca="1"/>
        <v>4.1251371209752454</v>
      </c>
      <c r="W113">
        <f ca="1"/>
        <v>3.7737365514106873</v>
      </c>
      <c r="X113">
        <f ca="1"/>
        <v>0</v>
      </c>
      <c r="Y113">
        <f ca="1"/>
        <v>0.47284459142098267</v>
      </c>
      <c r="Z113">
        <f ca="1"/>
        <v>0</v>
      </c>
      <c r="AA113">
        <f ca="1"/>
        <v>0</v>
      </c>
      <c r="AB113">
        <f ca="1"/>
        <v>0.11321636769513581</v>
      </c>
      <c r="AD113" s="2">
        <f t="shared" ca="1" si="12"/>
        <v>45336</v>
      </c>
      <c r="AE113">
        <f t="shared" ca="1" si="13"/>
        <v>0</v>
      </c>
      <c r="AG113" s="63">
        <f t="shared" ca="1" si="17"/>
        <v>41.38052184076826</v>
      </c>
      <c r="AH113" s="63">
        <f t="shared" ca="1" si="18"/>
        <v>41.380521840768253</v>
      </c>
      <c r="AI113" s="3">
        <f t="shared" ca="1" si="19"/>
        <v>0</v>
      </c>
    </row>
    <row r="114" spans="7:35">
      <c r="G114" s="3">
        <f t="shared" ca="1" si="14"/>
        <v>352</v>
      </c>
      <c r="H114" s="95">
        <f t="shared" ca="1" si="16"/>
        <v>45277</v>
      </c>
      <c r="I114" s="119">
        <f ca="1">HLOOKUP($H$5,'Met Data'!$A$2:$F$368,G114,FALSE)</f>
        <v>17.153448275862001</v>
      </c>
      <c r="J114" s="119">
        <f ca="1">HLOOKUP($H$5,'Met Data'!$H$2:$M$368,G114,FALSE)*L114</f>
        <v>4.6827586206896497</v>
      </c>
      <c r="K114" s="96">
        <f ca="1">HLOOKUP($H$5,'Met Data'!$O$2:$T$368,G114,FALSE)</f>
        <v>4.0087446707632299</v>
      </c>
      <c r="L114">
        <f t="shared" ca="1" si="10"/>
        <v>1</v>
      </c>
      <c r="N114" t="b">
        <f t="shared" ca="1" si="15"/>
        <v>0</v>
      </c>
      <c r="O114" t="b">
        <f t="shared" ca="1" si="11"/>
        <v>0</v>
      </c>
      <c r="P114" s="2">
        <f ca="1"/>
        <v>45337</v>
      </c>
      <c r="Q114">
        <f ca="1"/>
        <v>41.176491860707387</v>
      </c>
      <c r="R114">
        <f ca="1"/>
        <v>0.23173418157507175</v>
      </c>
      <c r="S114">
        <f ca="1"/>
        <v>3.3779312558463559E-2</v>
      </c>
      <c r="T114">
        <f ca="1"/>
        <v>0.2161921372256802</v>
      </c>
      <c r="U114">
        <f ca="1"/>
        <v>0</v>
      </c>
      <c r="V114">
        <f ca="1"/>
        <v>4.3568713025503172</v>
      </c>
      <c r="W114">
        <f ca="1"/>
        <v>3.9857304138145491</v>
      </c>
      <c r="X114">
        <f ca="1"/>
        <v>0</v>
      </c>
      <c r="Y114">
        <f ca="1"/>
        <v>0.48136428409397314</v>
      </c>
      <c r="Z114">
        <f ca="1"/>
        <v>0</v>
      </c>
      <c r="AA114">
        <f ca="1"/>
        <v>0</v>
      </c>
      <c r="AB114">
        <f ca="1"/>
        <v>0.12801869466648341</v>
      </c>
      <c r="AD114" s="2">
        <f t="shared" ca="1" si="12"/>
        <v>45337</v>
      </c>
      <c r="AE114">
        <f t="shared" ca="1" si="13"/>
        <v>0</v>
      </c>
      <c r="AG114" s="63">
        <f t="shared" ca="1" si="17"/>
        <v>41.408226042282458</v>
      </c>
      <c r="AH114" s="63">
        <f t="shared" ca="1" si="18"/>
        <v>41.408226042282458</v>
      </c>
      <c r="AI114" s="3">
        <f t="shared" ca="1" si="19"/>
        <v>0</v>
      </c>
    </row>
    <row r="115" spans="7:35">
      <c r="G115" s="3">
        <f t="shared" ca="1" si="14"/>
        <v>353</v>
      </c>
      <c r="H115" s="95">
        <f t="shared" ca="1" si="16"/>
        <v>45278</v>
      </c>
      <c r="I115" s="119">
        <f ca="1">HLOOKUP($H$5,'Met Data'!$A$2:$F$368,G115,FALSE)</f>
        <v>16.853448275862</v>
      </c>
      <c r="J115" s="119">
        <f ca="1">HLOOKUP($H$5,'Met Data'!$H$2:$M$368,G115,FALSE)*L115</f>
        <v>4.4103448275861998</v>
      </c>
      <c r="K115" s="96">
        <f ca="1">HLOOKUP($H$5,'Met Data'!$O$2:$T$368,G115,FALSE)</f>
        <v>3.8624789224218001</v>
      </c>
      <c r="L115">
        <f t="shared" ca="1" si="10"/>
        <v>1</v>
      </c>
      <c r="N115" t="b">
        <f t="shared" ca="1" si="15"/>
        <v>0</v>
      </c>
      <c r="O115" t="b">
        <f t="shared" ca="1" si="11"/>
        <v>0</v>
      </c>
      <c r="P115" s="2">
        <f ca="1"/>
        <v>45338</v>
      </c>
      <c r="Q115">
        <f ca="1"/>
        <v>41.178184267068609</v>
      </c>
      <c r="R115">
        <f ca="1"/>
        <v>0.24318442776592697</v>
      </c>
      <c r="S115">
        <f ca="1"/>
        <v>3.1616690275128256E-2</v>
      </c>
      <c r="T115">
        <f ca="1"/>
        <v>0.21326014385201919</v>
      </c>
      <c r="U115">
        <f ca="1"/>
        <v>0</v>
      </c>
      <c r="V115">
        <f ca="1"/>
        <v>4.6000557303162442</v>
      </c>
      <c r="W115">
        <f ca="1"/>
        <v>4.208199131067083</v>
      </c>
      <c r="X115">
        <f ca="1"/>
        <v>0</v>
      </c>
      <c r="Y115">
        <f ca="1"/>
        <v>0.4762502258248858</v>
      </c>
      <c r="Z115">
        <f ca="1"/>
        <v>0</v>
      </c>
      <c r="AA115">
        <f ca="1"/>
        <v>0</v>
      </c>
      <c r="AB115">
        <f ca="1"/>
        <v>0.14435511273226317</v>
      </c>
      <c r="AD115" s="2">
        <f t="shared" ca="1" si="12"/>
        <v>45338</v>
      </c>
      <c r="AE115">
        <f t="shared" ca="1" si="13"/>
        <v>0</v>
      </c>
      <c r="AG115" s="63">
        <f t="shared" ca="1" si="17"/>
        <v>41.421368694834534</v>
      </c>
      <c r="AH115" s="63">
        <f t="shared" ca="1" si="18"/>
        <v>41.421368694834534</v>
      </c>
      <c r="AI115" s="3">
        <f t="shared" ca="1" si="19"/>
        <v>0</v>
      </c>
    </row>
    <row r="116" spans="7:35">
      <c r="G116" s="3">
        <f t="shared" ca="1" si="14"/>
        <v>354</v>
      </c>
      <c r="H116" s="95">
        <f t="shared" ca="1" si="16"/>
        <v>45279</v>
      </c>
      <c r="I116" s="119">
        <f ca="1">HLOOKUP($H$5,'Met Data'!$A$2:$F$368,G116,FALSE)</f>
        <v>17.030357142857099</v>
      </c>
      <c r="J116" s="119">
        <f ca="1">HLOOKUP($H$5,'Met Data'!$H$2:$M$368,G116,FALSE)*L116</f>
        <v>4.3285714285714203</v>
      </c>
      <c r="K116" s="96">
        <f ca="1">HLOOKUP($H$5,'Met Data'!$O$2:$T$368,G116,FALSE)</f>
        <v>4.1713118658622399</v>
      </c>
      <c r="L116">
        <f t="shared" ca="1" si="10"/>
        <v>1</v>
      </c>
      <c r="N116" t="b">
        <f t="shared" ca="1" si="15"/>
        <v>0</v>
      </c>
      <c r="O116" t="b">
        <f t="shared" ca="1" si="11"/>
        <v>0</v>
      </c>
      <c r="P116" s="2">
        <f ca="1"/>
        <v>45339</v>
      </c>
      <c r="Q116">
        <f ca="1"/>
        <v>41.177276380100935</v>
      </c>
      <c r="R116">
        <f ca="1"/>
        <v>0.25675771115893475</v>
      </c>
      <c r="S116">
        <f ca="1"/>
        <v>3.1765051957473034E-2</v>
      </c>
      <c r="T116">
        <f ca="1"/>
        <v>0.22408477223378886</v>
      </c>
      <c r="U116">
        <f ca="1"/>
        <v>0</v>
      </c>
      <c r="V116">
        <f ca="1"/>
        <v>4.8568134414751789</v>
      </c>
      <c r="W116">
        <f ca="1"/>
        <v>4.4430848890532193</v>
      </c>
      <c r="X116">
        <f ca="1"/>
        <v>0</v>
      </c>
      <c r="Y116">
        <f ca="1"/>
        <v>0.51255500935339204</v>
      </c>
      <c r="Z116">
        <f ca="1"/>
        <v>0</v>
      </c>
      <c r="AA116">
        <f ca="1"/>
        <v>0</v>
      </c>
      <c r="AB116">
        <f ca="1"/>
        <v>0.1624130773170161</v>
      </c>
      <c r="AD116" s="2">
        <f t="shared" ca="1" si="12"/>
        <v>45339</v>
      </c>
      <c r="AE116">
        <f t="shared" ca="1" si="13"/>
        <v>0</v>
      </c>
      <c r="AG116" s="63">
        <f t="shared" ca="1" si="17"/>
        <v>41.434034091259868</v>
      </c>
      <c r="AH116" s="63">
        <f t="shared" ca="1" si="18"/>
        <v>41.434034091259868</v>
      </c>
      <c r="AI116" s="3">
        <f t="shared" ca="1" si="19"/>
        <v>0</v>
      </c>
    </row>
    <row r="117" spans="7:35">
      <c r="G117" s="3">
        <f t="shared" ca="1" si="14"/>
        <v>355</v>
      </c>
      <c r="H117" s="95">
        <f t="shared" ca="1" si="16"/>
        <v>45280</v>
      </c>
      <c r="I117" s="119">
        <f ca="1">HLOOKUP($H$5,'Met Data'!$A$2:$F$368,G117,FALSE)</f>
        <v>17.3086206896551</v>
      </c>
      <c r="J117" s="119">
        <f ca="1">HLOOKUP($H$5,'Met Data'!$H$2:$M$368,G117,FALSE)*L117</f>
        <v>1.38620689655172</v>
      </c>
      <c r="K117" s="96">
        <f ca="1">HLOOKUP($H$5,'Met Data'!$O$2:$T$368,G117,FALSE)</f>
        <v>4.2492728260034598</v>
      </c>
      <c r="L117">
        <f t="shared" ca="1" si="10"/>
        <v>1</v>
      </c>
      <c r="N117" t="b">
        <f t="shared" ca="1" si="15"/>
        <v>0</v>
      </c>
      <c r="O117" t="b">
        <f t="shared" ca="1" si="11"/>
        <v>0</v>
      </c>
      <c r="P117" s="2">
        <f ca="1"/>
        <v>45340</v>
      </c>
      <c r="Q117">
        <f ca="1"/>
        <v>41.157367208722214</v>
      </c>
      <c r="R117">
        <f ca="1"/>
        <v>0.27258729881881916</v>
      </c>
      <c r="S117">
        <f ca="1"/>
        <v>3.0607128811789508E-2</v>
      </c>
      <c r="T117">
        <f ca="1"/>
        <v>0.22207099862831309</v>
      </c>
      <c r="U117">
        <f ca="1"/>
        <v>0</v>
      </c>
      <c r="V117">
        <f ca="1"/>
        <v>5.1294007402939981</v>
      </c>
      <c r="W117">
        <f ca="1"/>
        <v>4.6924517883430275</v>
      </c>
      <c r="X117">
        <f ca="1"/>
        <v>0</v>
      </c>
      <c r="Y117">
        <f ca="1"/>
        <v>0.49851562236411512</v>
      </c>
      <c r="Z117">
        <f ca="1"/>
        <v>0</v>
      </c>
      <c r="AA117">
        <f ca="1"/>
        <v>0</v>
      </c>
      <c r="AB117">
        <f ca="1"/>
        <v>0.18238984153867008</v>
      </c>
      <c r="AD117" s="2">
        <f t="shared" ca="1" si="12"/>
        <v>45340</v>
      </c>
      <c r="AE117">
        <f t="shared" ca="1" si="13"/>
        <v>0</v>
      </c>
      <c r="AG117" s="63">
        <f t="shared" ca="1" si="17"/>
        <v>41.429954507541034</v>
      </c>
      <c r="AH117" s="63">
        <f t="shared" ca="1" si="18"/>
        <v>41.429954507541034</v>
      </c>
      <c r="AI117" s="3">
        <f t="shared" ca="1" si="19"/>
        <v>0</v>
      </c>
    </row>
    <row r="118" spans="7:35">
      <c r="G118" s="3">
        <f t="shared" ca="1" si="14"/>
        <v>356</v>
      </c>
      <c r="H118" s="95">
        <f t="shared" ca="1" si="16"/>
        <v>45281</v>
      </c>
      <c r="I118" s="119">
        <f ca="1">HLOOKUP($H$5,'Met Data'!$A$2:$F$368,G118,FALSE)</f>
        <v>17.3086206896551</v>
      </c>
      <c r="J118" s="119">
        <f ca="1">HLOOKUP($H$5,'Met Data'!$H$2:$M$368,G118,FALSE)*L118</f>
        <v>3.66206896551724</v>
      </c>
      <c r="K118" s="96">
        <f ca="1">HLOOKUP($H$5,'Met Data'!$O$2:$T$368,G118,FALSE)</f>
        <v>3.9108587200843599</v>
      </c>
      <c r="L118">
        <f t="shared" ca="1" si="10"/>
        <v>1</v>
      </c>
      <c r="N118" t="b">
        <f t="shared" ca="1" si="15"/>
        <v>0</v>
      </c>
      <c r="O118" t="b">
        <f t="shared" ca="1" si="11"/>
        <v>0</v>
      </c>
      <c r="P118" s="2">
        <f ca="1"/>
        <v>45341</v>
      </c>
      <c r="Q118">
        <f ca="1"/>
        <v>41.117710672699765</v>
      </c>
      <c r="R118">
        <f ca="1"/>
        <v>0.28749783471727675</v>
      </c>
      <c r="S118">
        <f ca="1"/>
        <v>2.880410214612894E-2</v>
      </c>
      <c r="T118">
        <f ca="1"/>
        <v>0.21903719654869472</v>
      </c>
      <c r="U118">
        <f ca="1"/>
        <v>0</v>
      </c>
      <c r="V118">
        <f ca="1"/>
        <v>5.4168985750112748</v>
      </c>
      <c r="W118">
        <f ca="1"/>
        <v>4.9554590667695742</v>
      </c>
      <c r="X118">
        <f ca="1"/>
        <v>0</v>
      </c>
      <c r="Y118">
        <f ca="1"/>
        <v>0.48784634187792919</v>
      </c>
      <c r="Z118">
        <f ca="1"/>
        <v>0</v>
      </c>
      <c r="AA118">
        <f ca="1"/>
        <v>0</v>
      </c>
      <c r="AB118">
        <f ca="1"/>
        <v>0.20422867606090689</v>
      </c>
      <c r="AD118" s="2">
        <f t="shared" ca="1" si="12"/>
        <v>45341</v>
      </c>
      <c r="AE118">
        <f t="shared" ca="1" si="13"/>
        <v>0</v>
      </c>
      <c r="AG118" s="63">
        <f t="shared" ca="1" si="17"/>
        <v>41.405208507417044</v>
      </c>
      <c r="AH118" s="63">
        <f t="shared" ca="1" si="18"/>
        <v>41.405208507417044</v>
      </c>
      <c r="AI118" s="3">
        <f t="shared" ca="1" si="19"/>
        <v>0</v>
      </c>
    </row>
    <row r="119" spans="7:35">
      <c r="G119" s="3">
        <f t="shared" ca="1" si="14"/>
        <v>357</v>
      </c>
      <c r="H119" s="95">
        <f t="shared" ca="1" si="16"/>
        <v>45282</v>
      </c>
      <c r="I119" s="119">
        <f ca="1">HLOOKUP($H$5,'Met Data'!$A$2:$F$368,G119,FALSE)</f>
        <v>17.474137931034399</v>
      </c>
      <c r="J119" s="119">
        <f ca="1">HLOOKUP($H$5,'Met Data'!$H$2:$M$368,G119,FALSE)*L119</f>
        <v>1.82758620689655</v>
      </c>
      <c r="K119" s="96">
        <f ca="1">HLOOKUP($H$5,'Met Data'!$O$2:$T$368,G119,FALSE)</f>
        <v>4.3560784704810001</v>
      </c>
      <c r="L119">
        <f t="shared" ca="1" si="10"/>
        <v>1</v>
      </c>
      <c r="N119" t="b">
        <f t="shared" ca="1" si="15"/>
        <v>0</v>
      </c>
      <c r="O119" t="b">
        <f t="shared" ca="1" si="11"/>
        <v>0</v>
      </c>
      <c r="P119" s="2">
        <f ca="1"/>
        <v>45342</v>
      </c>
      <c r="Q119">
        <f ca="1"/>
        <v>41.069671574464742</v>
      </c>
      <c r="R119">
        <f ca="1"/>
        <v>0.30453014525827005</v>
      </c>
      <c r="S119">
        <f ca="1"/>
        <v>2.8648435194438271E-2</v>
      </c>
      <c r="T119">
        <f ca="1"/>
        <v>0.22784261182880533</v>
      </c>
      <c r="U119">
        <f ca="1"/>
        <v>0</v>
      </c>
      <c r="V119">
        <f ca="1"/>
        <v>5.7214287202695449</v>
      </c>
      <c r="W119">
        <f ca="1"/>
        <v>5.2340477552095468</v>
      </c>
      <c r="X119">
        <f ca="1"/>
        <v>0</v>
      </c>
      <c r="Y119">
        <f ca="1"/>
        <v>0.51300456230989955</v>
      </c>
      <c r="Z119">
        <f ca="1"/>
        <v>0</v>
      </c>
      <c r="AA119">
        <f ca="1"/>
        <v>0</v>
      </c>
      <c r="AB119">
        <f ca="1"/>
        <v>0.22806509797972235</v>
      </c>
      <c r="AD119" s="2">
        <f t="shared" ca="1" si="12"/>
        <v>45342</v>
      </c>
      <c r="AE119">
        <f t="shared" ca="1" si="13"/>
        <v>0</v>
      </c>
      <c r="AG119" s="63">
        <f t="shared" ca="1" si="17"/>
        <v>41.374201719723011</v>
      </c>
      <c r="AH119" s="63">
        <f t="shared" ca="1" si="18"/>
        <v>41.374201719723011</v>
      </c>
      <c r="AI119" s="3">
        <f t="shared" ca="1" si="19"/>
        <v>0</v>
      </c>
    </row>
    <row r="120" spans="7:35">
      <c r="G120" s="3">
        <f t="shared" ca="1" si="14"/>
        <v>358</v>
      </c>
      <c r="H120" s="95">
        <f t="shared" ca="1" si="16"/>
        <v>45283</v>
      </c>
      <c r="I120" s="119">
        <f ca="1">HLOOKUP($H$5,'Met Data'!$A$2:$F$368,G120,FALSE)</f>
        <v>17.091379310344799</v>
      </c>
      <c r="J120" s="119">
        <f ca="1">HLOOKUP($H$5,'Met Data'!$H$2:$M$368,G120,FALSE)*L120</f>
        <v>2.22413793103448</v>
      </c>
      <c r="K120" s="96">
        <f ca="1">HLOOKUP($H$5,'Met Data'!$O$2:$T$368,G120,FALSE)</f>
        <v>4.1386344294122503</v>
      </c>
      <c r="L120">
        <f t="shared" ca="1" si="10"/>
        <v>1</v>
      </c>
      <c r="N120" t="b">
        <f t="shared" ca="1" si="15"/>
        <v>0</v>
      </c>
      <c r="O120" t="b">
        <f t="shared" ca="1" si="11"/>
        <v>0</v>
      </c>
      <c r="P120" s="2">
        <f ca="1"/>
        <v>45343</v>
      </c>
      <c r="Q120">
        <f ca="1"/>
        <v>41.006877726276578</v>
      </c>
      <c r="R120">
        <f ca="1"/>
        <v>0.31999626744821974</v>
      </c>
      <c r="S120">
        <f ca="1"/>
        <v>2.7581162225787104E-2</v>
      </c>
      <c r="T120">
        <f ca="1"/>
        <v>0.22962125703426817</v>
      </c>
      <c r="U120">
        <f ca="1"/>
        <v>0</v>
      </c>
      <c r="V120">
        <f ca="1"/>
        <v>6.0414249877177646</v>
      </c>
      <c r="W120">
        <f ca="1"/>
        <v>5.5267850813566213</v>
      </c>
      <c r="X120">
        <f ca="1"/>
        <v>0</v>
      </c>
      <c r="Y120">
        <f ca="1"/>
        <v>0.52244498615687063</v>
      </c>
      <c r="Z120">
        <f ca="1"/>
        <v>0</v>
      </c>
      <c r="AA120">
        <f ca="1"/>
        <v>0</v>
      </c>
      <c r="AB120">
        <f ca="1"/>
        <v>0.25370713136115941</v>
      </c>
      <c r="AD120" s="2">
        <f t="shared" ca="1" si="12"/>
        <v>45343</v>
      </c>
      <c r="AE120">
        <f t="shared" ca="1" si="13"/>
        <v>0</v>
      </c>
      <c r="AG120" s="63">
        <f t="shared" ca="1" si="17"/>
        <v>41.326873993724796</v>
      </c>
      <c r="AH120" s="63">
        <f t="shared" ca="1" si="18"/>
        <v>41.326873993724796</v>
      </c>
      <c r="AI120" s="3">
        <f t="shared" ca="1" si="19"/>
        <v>0</v>
      </c>
    </row>
    <row r="121" spans="7:35">
      <c r="G121" s="3">
        <f t="shared" ca="1" si="14"/>
        <v>359</v>
      </c>
      <c r="H121" s="95">
        <f t="shared" ca="1" si="16"/>
        <v>45284</v>
      </c>
      <c r="I121" s="119">
        <f ca="1">HLOOKUP($H$5,'Met Data'!$A$2:$F$368,G121,FALSE)</f>
        <v>17.2275862068965</v>
      </c>
      <c r="J121" s="119">
        <f ca="1">HLOOKUP($H$5,'Met Data'!$H$2:$M$368,G121,FALSE)*L121</f>
        <v>3.0655172413793101</v>
      </c>
      <c r="K121" s="96">
        <f ca="1">HLOOKUP($H$5,'Met Data'!$O$2:$T$368,G121,FALSE)</f>
        <v>3.7757934515094398</v>
      </c>
      <c r="L121">
        <f t="shared" ca="1" si="10"/>
        <v>1</v>
      </c>
      <c r="N121" t="b">
        <f t="shared" ca="1" si="15"/>
        <v>0</v>
      </c>
      <c r="O121" t="b">
        <f t="shared" ca="1" si="11"/>
        <v>0</v>
      </c>
      <c r="P121" s="2">
        <f ca="1"/>
        <v>45344</v>
      </c>
      <c r="Q121">
        <f ca="1"/>
        <v>40.922067164680307</v>
      </c>
      <c r="R121">
        <f ca="1"/>
        <v>0.33354492163268024</v>
      </c>
      <c r="S121">
        <f ca="1"/>
        <v>2.6372081823946125E-2</v>
      </c>
      <c r="T121">
        <f ca="1"/>
        <v>0.22236227821246532</v>
      </c>
      <c r="U121">
        <f ca="1"/>
        <v>0</v>
      </c>
      <c r="V121">
        <f ca="1"/>
        <v>6.3749699093504448</v>
      </c>
      <c r="W121">
        <f ca="1"/>
        <v>5.8319169170724443</v>
      </c>
      <c r="X121">
        <f ca="1"/>
        <v>0</v>
      </c>
      <c r="Y121">
        <f ca="1"/>
        <v>0.50960372125911957</v>
      </c>
      <c r="Z121">
        <f ca="1"/>
        <v>0</v>
      </c>
      <c r="AA121">
        <f ca="1"/>
        <v>0</v>
      </c>
      <c r="AB121">
        <f ca="1"/>
        <v>0.28087575105137247</v>
      </c>
      <c r="AD121" s="2">
        <f t="shared" ca="1" si="12"/>
        <v>45344</v>
      </c>
      <c r="AE121">
        <f t="shared" ca="1" si="13"/>
        <v>0</v>
      </c>
      <c r="AG121" s="63">
        <f t="shared" ca="1" si="17"/>
        <v>41.255612086312986</v>
      </c>
      <c r="AH121" s="63">
        <f t="shared" ca="1" si="18"/>
        <v>41.255612086312986</v>
      </c>
      <c r="AI121" s="3">
        <f t="shared" ca="1" si="19"/>
        <v>0</v>
      </c>
    </row>
    <row r="122" spans="7:35">
      <c r="G122" s="3">
        <f t="shared" ca="1" si="14"/>
        <v>360</v>
      </c>
      <c r="H122" s="95">
        <f t="shared" ca="1" si="16"/>
        <v>45285</v>
      </c>
      <c r="I122" s="119">
        <f ca="1">HLOOKUP($H$5,'Met Data'!$A$2:$F$368,G122,FALSE)</f>
        <v>17.475862068965501</v>
      </c>
      <c r="J122" s="119">
        <f ca="1">HLOOKUP($H$5,'Met Data'!$H$2:$M$368,G122,FALSE)*L122</f>
        <v>4.4724137931034402</v>
      </c>
      <c r="K122" s="96">
        <f ca="1">HLOOKUP($H$5,'Met Data'!$O$2:$T$368,G122,FALSE)</f>
        <v>3.82075028631309</v>
      </c>
      <c r="L122">
        <f t="shared" ca="1" si="10"/>
        <v>1</v>
      </c>
      <c r="N122" t="b">
        <f t="shared" ca="1" si="15"/>
        <v>0</v>
      </c>
      <c r="O122" t="b">
        <f t="shared" ca="1" si="11"/>
        <v>0</v>
      </c>
      <c r="P122" s="2">
        <f ca="1"/>
        <v>45345</v>
      </c>
      <c r="Q122">
        <f ca="1"/>
        <v>40.821806509135371</v>
      </c>
      <c r="R122">
        <f ca="1"/>
        <v>0.35107818862801654</v>
      </c>
      <c r="S122">
        <f ca="1"/>
        <v>2.5636138749704607E-2</v>
      </c>
      <c r="T122">
        <f ca="1"/>
        <v>0.22518139433337581</v>
      </c>
      <c r="U122">
        <f ca="1"/>
        <v>0</v>
      </c>
      <c r="V122">
        <f ca="1"/>
        <v>6.7260480979784614</v>
      </c>
      <c r="W122">
        <f ca="1"/>
        <v>6.1530884451877039</v>
      </c>
      <c r="X122">
        <f ca="1"/>
        <v>0</v>
      </c>
      <c r="Y122">
        <f ca="1"/>
        <v>0.51978971401539142</v>
      </c>
      <c r="Z122">
        <f ca="1"/>
        <v>0</v>
      </c>
      <c r="AA122">
        <f ca="1"/>
        <v>0</v>
      </c>
      <c r="AB122">
        <f ca="1"/>
        <v>0.30972822642544029</v>
      </c>
      <c r="AD122" s="2">
        <f t="shared" ca="1" si="12"/>
        <v>45345</v>
      </c>
      <c r="AE122">
        <f t="shared" ca="1" si="13"/>
        <v>0</v>
      </c>
      <c r="AG122" s="63">
        <f t="shared" ca="1" si="17"/>
        <v>41.172884697763386</v>
      </c>
      <c r="AH122" s="63">
        <f t="shared" ca="1" si="18"/>
        <v>41.172884697763386</v>
      </c>
      <c r="AI122" s="3">
        <f t="shared" ca="1" si="19"/>
        <v>0</v>
      </c>
    </row>
    <row r="123" spans="7:35">
      <c r="G123" s="3">
        <f t="shared" ca="1" si="14"/>
        <v>361</v>
      </c>
      <c r="H123" s="95">
        <f t="shared" ca="1" si="16"/>
        <v>45286</v>
      </c>
      <c r="I123" s="119">
        <f ca="1">HLOOKUP($H$5,'Met Data'!$A$2:$F$368,G123,FALSE)</f>
        <v>17.193103448275799</v>
      </c>
      <c r="J123" s="119">
        <f ca="1">HLOOKUP($H$5,'Met Data'!$H$2:$M$368,G123,FALSE)*L123</f>
        <v>1.2034482758620599</v>
      </c>
      <c r="K123" s="96">
        <f ca="1">HLOOKUP($H$5,'Met Data'!$O$2:$T$368,G123,FALSE)</f>
        <v>4.4822943456663404</v>
      </c>
      <c r="L123">
        <f t="shared" ca="1" si="10"/>
        <v>1</v>
      </c>
      <c r="N123" t="b">
        <f t="shared" ca="1" si="15"/>
        <v>0</v>
      </c>
      <c r="O123" t="b">
        <f t="shared" ca="1" si="11"/>
        <v>0</v>
      </c>
      <c r="P123" s="2">
        <f ca="1"/>
        <v>45346</v>
      </c>
      <c r="Q123">
        <f ca="1"/>
        <v>40.698815325594751</v>
      </c>
      <c r="R123">
        <f ca="1"/>
        <v>0.36126218213754591</v>
      </c>
      <c r="S123">
        <f ca="1"/>
        <v>2.4277657457602686E-2</v>
      </c>
      <c r="T123">
        <f ca="1"/>
        <v>0.21399334113932181</v>
      </c>
      <c r="U123">
        <f ca="1"/>
        <v>0</v>
      </c>
      <c r="V123">
        <f ca="1"/>
        <v>7.0873102801160073</v>
      </c>
      <c r="W123">
        <f ca="1"/>
        <v>6.4835764414394594</v>
      </c>
      <c r="X123">
        <f ca="1"/>
        <v>0</v>
      </c>
      <c r="Y123">
        <f ca="1"/>
        <v>0.50475947079543426</v>
      </c>
      <c r="Z123">
        <f ca="1"/>
        <v>0</v>
      </c>
      <c r="AA123">
        <f ca="1"/>
        <v>0</v>
      </c>
      <c r="AB123">
        <f ca="1"/>
        <v>0.33945176004061084</v>
      </c>
      <c r="AD123" s="2">
        <f t="shared" ca="1" si="12"/>
        <v>45346</v>
      </c>
      <c r="AE123">
        <f t="shared" ca="1" si="13"/>
        <v>0</v>
      </c>
      <c r="AG123" s="63">
        <f t="shared" ca="1" si="17"/>
        <v>41.060077507732295</v>
      </c>
      <c r="AH123" s="63">
        <f t="shared" ca="1" si="18"/>
        <v>41.060077507732295</v>
      </c>
      <c r="AI123" s="3">
        <f t="shared" ca="1" si="19"/>
        <v>0</v>
      </c>
    </row>
    <row r="124" spans="7:35">
      <c r="G124" s="3">
        <f t="shared" ca="1" si="14"/>
        <v>362</v>
      </c>
      <c r="H124" s="95">
        <f t="shared" ca="1" si="16"/>
        <v>45287</v>
      </c>
      <c r="I124" s="119">
        <f ca="1">HLOOKUP($H$5,'Met Data'!$A$2:$F$368,G124,FALSE)</f>
        <v>17.263793103448201</v>
      </c>
      <c r="J124" s="119">
        <f ca="1">HLOOKUP($H$5,'Met Data'!$H$2:$M$368,G124,FALSE)*L124</f>
        <v>1.9379310344827501</v>
      </c>
      <c r="K124" s="96">
        <f ca="1">HLOOKUP($H$5,'Met Data'!$O$2:$T$368,G124,FALSE)</f>
        <v>4.2854150969519402</v>
      </c>
      <c r="L124">
        <f t="shared" ca="1" si="10"/>
        <v>1</v>
      </c>
      <c r="N124" t="b">
        <f t="shared" ca="1" si="15"/>
        <v>0</v>
      </c>
      <c r="O124" t="b">
        <f t="shared" ca="1" si="11"/>
        <v>0</v>
      </c>
      <c r="P124" s="2">
        <f ca="1"/>
        <v>45347</v>
      </c>
      <c r="Q124">
        <f ca="1"/>
        <v>40.551561378917938</v>
      </c>
      <c r="R124">
        <f ca="1"/>
        <v>0.36966998929629469</v>
      </c>
      <c r="S124">
        <f ca="1"/>
        <v>2.2133948867306685E-2</v>
      </c>
      <c r="T124">
        <f ca="1"/>
        <v>0.20028209375218012</v>
      </c>
      <c r="U124">
        <f ca="1"/>
        <v>0</v>
      </c>
      <c r="V124">
        <f ca="1"/>
        <v>7.456980269412302</v>
      </c>
      <c r="W124">
        <f ca="1"/>
        <v>6.8217560242401429</v>
      </c>
      <c r="X124">
        <f ca="1"/>
        <v>0</v>
      </c>
      <c r="Y124">
        <f ca="1"/>
        <v>0.48213013284476447</v>
      </c>
      <c r="Z124">
        <f ca="1"/>
        <v>0</v>
      </c>
      <c r="AA124">
        <f ca="1"/>
        <v>0</v>
      </c>
      <c r="AB124">
        <f ca="1"/>
        <v>0.36966659872339785</v>
      </c>
      <c r="AD124" s="2">
        <f t="shared" ca="1" si="12"/>
        <v>45347</v>
      </c>
      <c r="AE124">
        <f t="shared" ca="1" si="13"/>
        <v>0</v>
      </c>
      <c r="AG124" s="63">
        <f t="shared" ca="1" si="17"/>
        <v>40.921231368214237</v>
      </c>
      <c r="AH124" s="63">
        <f t="shared" ca="1" si="18"/>
        <v>40.921231368214237</v>
      </c>
      <c r="AI124" s="3">
        <f t="shared" ca="1" si="19"/>
        <v>0</v>
      </c>
    </row>
    <row r="125" spans="7:35">
      <c r="G125" s="3">
        <f t="shared" ca="1" si="14"/>
        <v>363</v>
      </c>
      <c r="H125" s="95">
        <f t="shared" ca="1" si="16"/>
        <v>45288</v>
      </c>
      <c r="I125" s="119">
        <f ca="1">HLOOKUP($H$5,'Met Data'!$A$2:$F$368,G125,FALSE)</f>
        <v>18.060344827586199</v>
      </c>
      <c r="J125" s="119">
        <f ca="1">HLOOKUP($H$5,'Met Data'!$H$2:$M$368,G125,FALSE)*L125</f>
        <v>0.81379310344827505</v>
      </c>
      <c r="K125" s="96">
        <f ca="1">HLOOKUP($H$5,'Met Data'!$O$2:$T$368,G125,FALSE)</f>
        <v>4.2768570571644897</v>
      </c>
      <c r="L125">
        <f t="shared" ca="1" si="10"/>
        <v>1</v>
      </c>
      <c r="N125" t="b">
        <f t="shared" ca="1" si="15"/>
        <v>0</v>
      </c>
      <c r="O125" t="b">
        <f t="shared" ca="1" si="11"/>
        <v>0</v>
      </c>
      <c r="P125" s="2">
        <f ca="1"/>
        <v>45348</v>
      </c>
      <c r="Q125">
        <f ca="1"/>
        <v>40.381222304332915</v>
      </c>
      <c r="R125">
        <f ca="1"/>
        <v>0.39052814178442841</v>
      </c>
      <c r="S125">
        <f ca="1"/>
        <v>2.1340215610165636E-2</v>
      </c>
      <c r="T125">
        <f ca="1"/>
        <v>0.19884885158924115</v>
      </c>
      <c r="U125">
        <f ca="1"/>
        <v>0</v>
      </c>
      <c r="V125">
        <f ca="1"/>
        <v>7.8475084111967304</v>
      </c>
      <c r="W125">
        <f ca="1"/>
        <v>7.179016953946638</v>
      </c>
      <c r="X125">
        <f ca="1"/>
        <v>0</v>
      </c>
      <c r="Y125">
        <f ca="1"/>
        <v>0.47035616958620086</v>
      </c>
      <c r="Z125">
        <f ca="1"/>
        <v>0</v>
      </c>
      <c r="AA125">
        <f ca="1"/>
        <v>0</v>
      </c>
      <c r="AB125">
        <f ca="1"/>
        <v>0.40112916796906034</v>
      </c>
      <c r="AD125" s="2">
        <f t="shared" ca="1" si="12"/>
        <v>45348</v>
      </c>
      <c r="AE125">
        <f t="shared" ca="1" si="13"/>
        <v>0</v>
      </c>
      <c r="AG125" s="63">
        <f t="shared" ca="1" si="17"/>
        <v>40.771750446117345</v>
      </c>
      <c r="AH125" s="63">
        <f t="shared" ca="1" si="18"/>
        <v>40.771750446117345</v>
      </c>
      <c r="AI125" s="3">
        <f t="shared" ca="1" si="19"/>
        <v>0</v>
      </c>
    </row>
    <row r="126" spans="7:35">
      <c r="G126" s="3">
        <f t="shared" ca="1" si="14"/>
        <v>364</v>
      </c>
      <c r="H126" s="95">
        <f t="shared" ca="1" si="16"/>
        <v>45289</v>
      </c>
      <c r="I126" s="119">
        <f ca="1">HLOOKUP($H$5,'Met Data'!$A$2:$F$368,G126,FALSE)</f>
        <v>18.386206896551698</v>
      </c>
      <c r="J126" s="119">
        <f ca="1">HLOOKUP($H$5,'Met Data'!$H$2:$M$368,G126,FALSE)*L126</f>
        <v>3.0068965517241302</v>
      </c>
      <c r="K126" s="96">
        <f ca="1">HLOOKUP($H$5,'Met Data'!$O$2:$T$368,G126,FALSE)</f>
        <v>4.2622812571545499</v>
      </c>
      <c r="L126">
        <f t="shared" ca="1" si="10"/>
        <v>1</v>
      </c>
      <c r="N126" t="b">
        <f t="shared" ca="1" si="15"/>
        <v>0</v>
      </c>
      <c r="O126" t="b">
        <f t="shared" ca="1" si="11"/>
        <v>0</v>
      </c>
      <c r="P126" s="2">
        <f ca="1"/>
        <v>45349</v>
      </c>
      <c r="Q126">
        <f ca="1"/>
        <v>40.185096268023806</v>
      </c>
      <c r="R126">
        <f ca="1"/>
        <v>0.41250413933683117</v>
      </c>
      <c r="S126">
        <f ca="1"/>
        <v>2.0352477170724192E-2</v>
      </c>
      <c r="T126">
        <f ca="1"/>
        <v>0.19602562585700037</v>
      </c>
      <c r="U126">
        <f ca="1"/>
        <v>0</v>
      </c>
      <c r="V126">
        <f ca="1"/>
        <v>8.2600125505335615</v>
      </c>
      <c r="W126">
        <f ca="1"/>
        <v>7.5563818517844057</v>
      </c>
      <c r="X126">
        <f ca="1"/>
        <v>0</v>
      </c>
      <c r="Y126">
        <f ca="1"/>
        <v>0.45325128838587742</v>
      </c>
      <c r="Z126">
        <f ca="1"/>
        <v>0</v>
      </c>
      <c r="AA126">
        <f ca="1"/>
        <v>0</v>
      </c>
      <c r="AB126">
        <f ca="1"/>
        <v>0.43361731504361789</v>
      </c>
      <c r="AD126" s="2">
        <f t="shared" ca="1" si="12"/>
        <v>45349</v>
      </c>
      <c r="AE126">
        <f t="shared" ca="1" si="13"/>
        <v>0</v>
      </c>
      <c r="AG126" s="63">
        <f t="shared" ca="1" si="17"/>
        <v>40.597600407360638</v>
      </c>
      <c r="AH126" s="63">
        <f t="shared" ca="1" si="18"/>
        <v>40.597600407360638</v>
      </c>
      <c r="AI126" s="3">
        <f t="shared" ca="1" si="19"/>
        <v>0</v>
      </c>
    </row>
    <row r="127" spans="7:35">
      <c r="G127" s="3">
        <f t="shared" ca="1" si="14"/>
        <v>365</v>
      </c>
      <c r="H127" s="95">
        <f t="shared" ca="1" si="16"/>
        <v>45290</v>
      </c>
      <c r="I127" s="119">
        <f ca="1">HLOOKUP($H$5,'Met Data'!$A$2:$F$368,G127,FALSE)</f>
        <v>18.156896551724099</v>
      </c>
      <c r="J127" s="119">
        <f ca="1">HLOOKUP($H$5,'Met Data'!$H$2:$M$368,G127,FALSE)*L127</f>
        <v>4.4172413793103402</v>
      </c>
      <c r="K127" s="96">
        <f ca="1">HLOOKUP($H$5,'Met Data'!$O$2:$T$368,G127,FALSE)</f>
        <v>3.8040621578745699</v>
      </c>
      <c r="L127">
        <f t="shared" ca="1" si="10"/>
        <v>1</v>
      </c>
      <c r="N127" t="b">
        <f t="shared" ca="1" si="15"/>
        <v>0</v>
      </c>
      <c r="O127" t="b">
        <f t="shared" ca="1" si="11"/>
        <v>0</v>
      </c>
      <c r="P127" s="2">
        <f ca="1"/>
        <v>45350</v>
      </c>
      <c r="Q127">
        <f ca="1"/>
        <v>39.97464870235747</v>
      </c>
      <c r="R127">
        <f ca="1"/>
        <v>0.42686497696785786</v>
      </c>
      <c r="S127">
        <f ca="1"/>
        <v>2.0322381586466598E-2</v>
      </c>
      <c r="T127">
        <f ca="1"/>
        <v>0.19609502971505013</v>
      </c>
      <c r="U127">
        <f ca="1"/>
        <v>0</v>
      </c>
      <c r="V127">
        <f ca="1"/>
        <v>8.6868775275014194</v>
      </c>
      <c r="W127">
        <f ca="1"/>
        <v>7.946884256640188</v>
      </c>
      <c r="X127">
        <f ca="1"/>
        <v>0</v>
      </c>
      <c r="Y127">
        <f ca="1"/>
        <v>0.4685980606806795</v>
      </c>
      <c r="Z127">
        <f ca="1"/>
        <v>0</v>
      </c>
      <c r="AA127">
        <f ca="1"/>
        <v>0</v>
      </c>
      <c r="AB127">
        <f ca="1"/>
        <v>0.46621362105096392</v>
      </c>
      <c r="AD127" s="2">
        <f t="shared" ca="1" si="12"/>
        <v>45350</v>
      </c>
      <c r="AE127">
        <f t="shared" ca="1" si="13"/>
        <v>0</v>
      </c>
      <c r="AG127" s="63">
        <f t="shared" ca="1" si="17"/>
        <v>40.401513679325326</v>
      </c>
      <c r="AH127" s="63">
        <f t="shared" ca="1" si="18"/>
        <v>40.401513679325326</v>
      </c>
      <c r="AI127" s="3">
        <f t="shared" ca="1" si="19"/>
        <v>0</v>
      </c>
    </row>
    <row r="128" spans="7:35">
      <c r="G128" s="3">
        <f t="shared" ca="1" si="14"/>
        <v>366</v>
      </c>
      <c r="H128" s="95">
        <f t="shared" ca="1" si="16"/>
        <v>45291</v>
      </c>
      <c r="I128" s="119">
        <f ca="1">HLOOKUP($H$5,'Met Data'!$A$2:$F$368,G128,FALSE)</f>
        <v>17.8086206896551</v>
      </c>
      <c r="J128" s="119">
        <f ca="1">HLOOKUP($H$5,'Met Data'!$H$2:$M$368,G128,FALSE)*L128</f>
        <v>8.7896551724137897</v>
      </c>
      <c r="K128" s="96">
        <f ca="1">HLOOKUP($H$5,'Met Data'!$O$2:$T$368,G128,FALSE)</f>
        <v>3.8298931146257198</v>
      </c>
      <c r="L128">
        <f t="shared" ca="1" si="10"/>
        <v>1</v>
      </c>
      <c r="N128" t="b">
        <f t="shared" ca="1" si="15"/>
        <v>0</v>
      </c>
      <c r="O128" t="b">
        <f t="shared" ca="1" si="11"/>
        <v>0</v>
      </c>
      <c r="P128" s="2">
        <f ca="1"/>
        <v>45351</v>
      </c>
      <c r="Q128">
        <f ca="1"/>
        <v>39.749122911204061</v>
      </c>
      <c r="R128">
        <f ca="1"/>
        <v>0.4493463849513688</v>
      </c>
      <c r="S128">
        <f ca="1"/>
        <v>2.1033861323610736E-2</v>
      </c>
      <c r="T128">
        <f ca="1"/>
        <v>0.20278673247434847</v>
      </c>
      <c r="U128">
        <f ca="1"/>
        <v>0</v>
      </c>
      <c r="V128">
        <f ca="1"/>
        <v>9.1362239124527882</v>
      </c>
      <c r="W128">
        <f ca="1"/>
        <v>8.35795298657718</v>
      </c>
      <c r="X128">
        <f ca="1"/>
        <v>0</v>
      </c>
      <c r="Y128">
        <f ca="1"/>
        <v>0.49083237562699616</v>
      </c>
      <c r="Z128">
        <f ca="1"/>
        <v>0</v>
      </c>
      <c r="AA128">
        <f ca="1"/>
        <v>0</v>
      </c>
      <c r="AB128">
        <f ca="1"/>
        <v>0.49920968111928532</v>
      </c>
      <c r="AD128" s="2">
        <f t="shared" ca="1" si="12"/>
        <v>45351</v>
      </c>
      <c r="AE128">
        <f t="shared" ca="1" si="13"/>
        <v>0</v>
      </c>
      <c r="AG128" s="63">
        <f t="shared" ca="1" si="17"/>
        <v>40.19846929615543</v>
      </c>
      <c r="AH128" s="63">
        <f t="shared" ca="1" si="18"/>
        <v>40.19846929615543</v>
      </c>
      <c r="AI128" s="3">
        <f t="shared" ca="1" si="19"/>
        <v>0</v>
      </c>
    </row>
    <row r="129" spans="7:35">
      <c r="G129" s="3">
        <f t="shared" ca="1" si="14"/>
        <v>2</v>
      </c>
      <c r="H129" s="95">
        <f t="shared" ca="1" si="16"/>
        <v>45292</v>
      </c>
      <c r="I129" s="119">
        <f ca="1">HLOOKUP($H$5,'Met Data'!$A$2:$F$368,G129,FALSE)</f>
        <v>17.639655172413701</v>
      </c>
      <c r="J129" s="119">
        <f ca="1">HLOOKUP($H$5,'Met Data'!$H$2:$M$368,G129,FALSE)*L129</f>
        <v>2.9862068965517201</v>
      </c>
      <c r="K129" s="96">
        <f ca="1">HLOOKUP($H$5,'Met Data'!$O$2:$T$368,G129,FALSE)</f>
        <v>4.7314305048111098</v>
      </c>
      <c r="L129">
        <f t="shared" ca="1" si="10"/>
        <v>1</v>
      </c>
      <c r="N129" t="b">
        <f t="shared" ca="1" si="15"/>
        <v>0</v>
      </c>
      <c r="O129" t="b">
        <f t="shared" ca="1" si="11"/>
        <v>0</v>
      </c>
      <c r="P129" s="2">
        <f ca="1"/>
        <v>45352</v>
      </c>
      <c r="Q129">
        <f ca="1"/>
        <v>39.495421558094812</v>
      </c>
      <c r="R129">
        <f ca="1"/>
        <v>0.48160741180989675</v>
      </c>
      <c r="S129">
        <f ca="1"/>
        <v>2.0986179683156969E-2</v>
      </c>
      <c r="T129">
        <f ca="1"/>
        <v>0.20691987901749379</v>
      </c>
      <c r="U129">
        <f ca="1"/>
        <v>0</v>
      </c>
      <c r="V129">
        <f ca="1"/>
        <v>9.6178313242626849</v>
      </c>
      <c r="W129">
        <f ca="1"/>
        <v>8.7985345818254928</v>
      </c>
      <c r="X129">
        <f ca="1"/>
        <v>0</v>
      </c>
      <c r="Y129">
        <f ca="1"/>
        <v>0.48429155020569314</v>
      </c>
      <c r="Z129">
        <f ca="1"/>
        <v>0</v>
      </c>
      <c r="AA129">
        <f ca="1"/>
        <v>0</v>
      </c>
      <c r="AB129">
        <f ca="1"/>
        <v>0.53290968707661457</v>
      </c>
      <c r="AD129" s="2">
        <f t="shared" ca="1" si="12"/>
        <v>45352</v>
      </c>
      <c r="AE129">
        <f t="shared" ca="1" si="13"/>
        <v>0</v>
      </c>
      <c r="AG129" s="63">
        <f t="shared" ca="1" si="17"/>
        <v>39.977028969904708</v>
      </c>
      <c r="AH129" s="63">
        <f t="shared" ca="1" si="18"/>
        <v>39.977028969904708</v>
      </c>
      <c r="AI129" s="3">
        <f t="shared" ca="1" si="19"/>
        <v>0</v>
      </c>
    </row>
    <row r="130" spans="7:35">
      <c r="G130" s="3">
        <f t="shared" ca="1" si="14"/>
        <v>3</v>
      </c>
      <c r="H130" s="95">
        <f t="shared" ca="1" si="16"/>
        <v>45293</v>
      </c>
      <c r="I130" s="119">
        <f ca="1">HLOOKUP($H$5,'Met Data'!$A$2:$F$368,G130,FALSE)</f>
        <v>18.013793103448201</v>
      </c>
      <c r="J130" s="119">
        <f ca="1">HLOOKUP($H$5,'Met Data'!$H$2:$M$368,G130,FALSE)*L130</f>
        <v>1.4517241379310299</v>
      </c>
      <c r="K130" s="96">
        <f ca="1">HLOOKUP($H$5,'Met Data'!$O$2:$T$368,G130,FALSE)</f>
        <v>4.7184733001505199</v>
      </c>
      <c r="L130">
        <f t="shared" ca="1" si="10"/>
        <v>1</v>
      </c>
      <c r="N130" t="b">
        <f t="shared" ca="1" si="15"/>
        <v>0</v>
      </c>
      <c r="O130" t="b">
        <f t="shared" ca="1" si="11"/>
        <v>0</v>
      </c>
      <c r="P130" s="2">
        <f ca="1"/>
        <v>45353</v>
      </c>
      <c r="Q130">
        <f ca="1"/>
        <v>39.220153531303595</v>
      </c>
      <c r="R130">
        <f ca="1"/>
        <v>0.50721016306494704</v>
      </c>
      <c r="S130">
        <f ca="1"/>
        <v>2.1208887438715074E-2</v>
      </c>
      <c r="T130">
        <f ca="1"/>
        <v>0.2107332488350106</v>
      </c>
      <c r="U130">
        <f ca="1"/>
        <v>0</v>
      </c>
      <c r="V130">
        <f ca="1"/>
        <v>10.125041487327632</v>
      </c>
      <c r="W130">
        <f ca="1"/>
        <v>9.2625379532219441</v>
      </c>
      <c r="X130">
        <f ca="1"/>
        <v>0</v>
      </c>
      <c r="Y130">
        <f ca="1"/>
        <v>0.49494801357519402</v>
      </c>
      <c r="Z130">
        <f ca="1"/>
        <v>0</v>
      </c>
      <c r="AA130">
        <f ca="1"/>
        <v>0</v>
      </c>
      <c r="AB130">
        <f ca="1"/>
        <v>0.56641535017832201</v>
      </c>
      <c r="AD130" s="2">
        <f t="shared" ca="1" si="12"/>
        <v>45353</v>
      </c>
      <c r="AE130">
        <f t="shared" ca="1" si="13"/>
        <v>0</v>
      </c>
      <c r="AG130" s="63">
        <f t="shared" ca="1" si="17"/>
        <v>39.727363694368542</v>
      </c>
      <c r="AH130" s="63">
        <f t="shared" ca="1" si="18"/>
        <v>39.727363694368542</v>
      </c>
      <c r="AI130" s="3">
        <f t="shared" ca="1" si="19"/>
        <v>0</v>
      </c>
    </row>
    <row r="131" spans="7:35">
      <c r="G131" s="3">
        <f t="shared" ca="1" si="14"/>
        <v>4</v>
      </c>
      <c r="H131" s="95">
        <f t="shared" ca="1" si="16"/>
        <v>45294</v>
      </c>
      <c r="I131" s="119">
        <f ca="1">HLOOKUP($H$5,'Met Data'!$A$2:$F$368,G131,FALSE)</f>
        <v>17.827586206896498</v>
      </c>
      <c r="J131" s="119">
        <f ca="1">HLOOKUP($H$5,'Met Data'!$H$2:$M$368,G131,FALSE)*L131</f>
        <v>1.27241379310344</v>
      </c>
      <c r="K131" s="96">
        <f ca="1">HLOOKUP($H$5,'Met Data'!$O$2:$T$368,G131,FALSE)</f>
        <v>4.5153833563593304</v>
      </c>
      <c r="L131">
        <f t="shared" ca="1" si="10"/>
        <v>1</v>
      </c>
      <c r="N131" t="b">
        <f t="shared" ca="1" si="15"/>
        <v>0</v>
      </c>
      <c r="O131" t="b">
        <f t="shared" ca="1" si="11"/>
        <v>0</v>
      </c>
      <c r="P131" s="2">
        <f ca="1"/>
        <v>45354</v>
      </c>
      <c r="Q131">
        <f ca="1"/>
        <v>38.938506619775112</v>
      </c>
      <c r="R131">
        <f ca="1"/>
        <v>0.51126713798145929</v>
      </c>
      <c r="S131">
        <f ca="1"/>
        <v>2.0078878700585001E-2</v>
      </c>
      <c r="T131">
        <f ca="1"/>
        <v>0.20954134775238153</v>
      </c>
      <c r="U131">
        <f ca="1"/>
        <v>0</v>
      </c>
      <c r="V131">
        <f ca="1"/>
        <v>10.636308625309091</v>
      </c>
      <c r="W131">
        <f ca="1"/>
        <v>9.7302527053753529</v>
      </c>
      <c r="X131">
        <f ca="1"/>
        <v>0</v>
      </c>
      <c r="Y131">
        <f ca="1"/>
        <v>0.53167044891160675</v>
      </c>
      <c r="Z131">
        <f ca="1"/>
        <v>0</v>
      </c>
      <c r="AA131">
        <f ca="1"/>
        <v>0</v>
      </c>
      <c r="AB131">
        <f ca="1"/>
        <v>0.59806256978046068</v>
      </c>
      <c r="AD131" s="2">
        <f t="shared" ca="1" si="12"/>
        <v>45354</v>
      </c>
      <c r="AE131">
        <f t="shared" ca="1" si="13"/>
        <v>0</v>
      </c>
      <c r="AG131" s="63">
        <f t="shared" ca="1" si="17"/>
        <v>39.449773757756567</v>
      </c>
      <c r="AH131" s="63">
        <f t="shared" ca="1" si="18"/>
        <v>39.449773757756574</v>
      </c>
      <c r="AI131" s="3">
        <f t="shared" ca="1" si="19"/>
        <v>0</v>
      </c>
    </row>
    <row r="132" spans="7:35">
      <c r="G132" s="3">
        <f t="shared" ca="1" si="14"/>
        <v>5</v>
      </c>
      <c r="H132" s="95">
        <f t="shared" ca="1" si="16"/>
        <v>45295</v>
      </c>
      <c r="I132" s="119">
        <f ca="1">HLOOKUP($H$5,'Met Data'!$A$2:$F$368,G132,FALSE)</f>
        <v>18.068965517241299</v>
      </c>
      <c r="J132" s="119">
        <f ca="1">HLOOKUP($H$5,'Met Data'!$H$2:$M$368,G132,FALSE)*L132</f>
        <v>1.3206896551724101</v>
      </c>
      <c r="K132" s="96">
        <f ca="1">HLOOKUP($H$5,'Met Data'!$O$2:$T$368,G132,FALSE)</f>
        <v>4.6266971172714904</v>
      </c>
      <c r="L132">
        <f t="shared" ca="1" si="10"/>
        <v>1</v>
      </c>
      <c r="N132" t="b">
        <f t="shared" ca="1" si="15"/>
        <v>0</v>
      </c>
      <c r="O132" t="b">
        <f t="shared" ca="1" si="11"/>
        <v>0</v>
      </c>
      <c r="P132" s="2">
        <f ca="1"/>
        <v>45355</v>
      </c>
      <c r="Q132">
        <f ca="1"/>
        <v>38.631501815303494</v>
      </c>
      <c r="R132">
        <f ca="1"/>
        <v>0.53300617640437409</v>
      </c>
      <c r="S132">
        <f ca="1"/>
        <v>1.9695395875370281E-2</v>
      </c>
      <c r="T132">
        <f ca="1"/>
        <v>0.20630597605737724</v>
      </c>
      <c r="U132">
        <f ca="1"/>
        <v>0</v>
      </c>
      <c r="V132">
        <f ca="1"/>
        <v>11.169314801713465</v>
      </c>
      <c r="W132">
        <f ca="1"/>
        <v>10.217854651937873</v>
      </c>
      <c r="X132">
        <f ca="1"/>
        <v>0</v>
      </c>
      <c r="Y132">
        <f ca="1"/>
        <v>0.52459405173618678</v>
      </c>
      <c r="Z132">
        <f ca="1"/>
        <v>0</v>
      </c>
      <c r="AA132">
        <f ca="1"/>
        <v>0</v>
      </c>
      <c r="AB132">
        <f ca="1"/>
        <v>0.62877463223927976</v>
      </c>
      <c r="AD132" s="2">
        <f t="shared" ca="1" si="12"/>
        <v>45355</v>
      </c>
      <c r="AE132">
        <f t="shared" ca="1" si="13"/>
        <v>0</v>
      </c>
      <c r="AG132" s="63">
        <f t="shared" ca="1" si="17"/>
        <v>39.164507991707865</v>
      </c>
      <c r="AH132" s="63">
        <f t="shared" ca="1" si="18"/>
        <v>39.164507991707865</v>
      </c>
      <c r="AI132" s="3">
        <f t="shared" ca="1" si="19"/>
        <v>0</v>
      </c>
    </row>
    <row r="133" spans="7:35">
      <c r="G133" s="3">
        <f t="shared" ca="1" si="14"/>
        <v>6</v>
      </c>
      <c r="H133" s="95">
        <f t="shared" ca="1" si="16"/>
        <v>45296</v>
      </c>
      <c r="I133" s="119">
        <f ca="1">HLOOKUP($H$5,'Met Data'!$A$2:$F$368,G133,FALSE)</f>
        <v>17.658620689655098</v>
      </c>
      <c r="J133" s="119">
        <f ca="1">HLOOKUP($H$5,'Met Data'!$H$2:$M$368,G133,FALSE)*L133</f>
        <v>1.64137931034482</v>
      </c>
      <c r="K133" s="96">
        <f ca="1">HLOOKUP($H$5,'Met Data'!$O$2:$T$368,G133,FALSE)</f>
        <v>4.7524735832446101</v>
      </c>
      <c r="L133">
        <f t="shared" ca="1" si="10"/>
        <v>1</v>
      </c>
      <c r="N133" t="b">
        <f t="shared" ca="1" si="15"/>
        <v>0</v>
      </c>
      <c r="O133" t="b">
        <f t="shared" ca="1" si="11"/>
        <v>0</v>
      </c>
      <c r="P133" s="2">
        <f ca="1"/>
        <v>45356</v>
      </c>
      <c r="Q133">
        <f ca="1"/>
        <v>38.289308331194619</v>
      </c>
      <c r="R133">
        <f ca="1"/>
        <v>0.57108348433562917</v>
      </c>
      <c r="S133">
        <f ca="1"/>
        <v>1.9997563894282422E-2</v>
      </c>
      <c r="T133">
        <f ca="1"/>
        <v>0.20889243633246632</v>
      </c>
      <c r="U133">
        <f ca="1"/>
        <v>0</v>
      </c>
      <c r="V133">
        <f ca="1"/>
        <v>11.740398286049095</v>
      </c>
      <c r="W133">
        <f ca="1"/>
        <v>10.740290283904171</v>
      </c>
      <c r="X133">
        <f ca="1"/>
        <v>0</v>
      </c>
      <c r="Y133">
        <f ca="1"/>
        <v>0.51069602271865511</v>
      </c>
      <c r="Z133">
        <f ca="1"/>
        <v>0</v>
      </c>
      <c r="AA133">
        <f ca="1"/>
        <v>0</v>
      </c>
      <c r="AB133">
        <f ca="1"/>
        <v>0.65914736397941476</v>
      </c>
      <c r="AD133" s="2">
        <f t="shared" ca="1" si="12"/>
        <v>45356</v>
      </c>
      <c r="AE133">
        <f t="shared" ca="1" si="13"/>
        <v>0</v>
      </c>
      <c r="AG133" s="63">
        <f t="shared" ca="1" si="17"/>
        <v>38.860391815530242</v>
      </c>
      <c r="AH133" s="63">
        <f t="shared" ca="1" si="18"/>
        <v>38.860391815530249</v>
      </c>
      <c r="AI133" s="3">
        <f t="shared" ca="1" si="19"/>
        <v>0</v>
      </c>
    </row>
    <row r="134" spans="7:35">
      <c r="G134" s="3">
        <f t="shared" ca="1" si="14"/>
        <v>7</v>
      </c>
      <c r="H134" s="95">
        <f t="shared" ca="1" si="16"/>
        <v>45297</v>
      </c>
      <c r="I134" s="119">
        <f ca="1">HLOOKUP($H$5,'Met Data'!$A$2:$F$368,G134,FALSE)</f>
        <v>17.7431034482758</v>
      </c>
      <c r="J134" s="119">
        <f ca="1">HLOOKUP($H$5,'Met Data'!$H$2:$M$368,G134,FALSE)*L134</f>
        <v>1.8206896551724101</v>
      </c>
      <c r="K134" s="96">
        <f ca="1">HLOOKUP($H$5,'Met Data'!$O$2:$T$368,G134,FALSE)</f>
        <v>4.5675277776113097</v>
      </c>
      <c r="L134">
        <f t="shared" ca="1" si="10"/>
        <v>1</v>
      </c>
      <c r="N134" t="b">
        <f t="shared" ca="1" si="15"/>
        <v>0</v>
      </c>
      <c r="O134" t="b">
        <f t="shared" ca="1" si="11"/>
        <v>0</v>
      </c>
      <c r="P134" s="2">
        <f ca="1"/>
        <v>45357</v>
      </c>
      <c r="Q134">
        <f ca="1"/>
        <v>37.928854695849381</v>
      </c>
      <c r="R134">
        <f ca="1"/>
        <v>0.57927438119522989</v>
      </c>
      <c r="S134">
        <f ca="1"/>
        <v>1.8976248821305219E-2</v>
      </c>
      <c r="T134">
        <f ca="1"/>
        <v>0.1998444970286837</v>
      </c>
      <c r="U134">
        <f ca="1"/>
        <v>0</v>
      </c>
      <c r="V134">
        <f ca="1"/>
        <v>12.319672667244324</v>
      </c>
      <c r="W134">
        <f ca="1"/>
        <v>11.270219069664254</v>
      </c>
      <c r="X134">
        <f ca="1"/>
        <v>0</v>
      </c>
      <c r="Y134">
        <f ca="1"/>
        <v>0.50963768151155131</v>
      </c>
      <c r="Z134">
        <f ca="1"/>
        <v>0</v>
      </c>
      <c r="AA134">
        <f ca="1"/>
        <v>0</v>
      </c>
      <c r="AB134">
        <f ca="1"/>
        <v>0.68738216306559652</v>
      </c>
      <c r="AD134" s="2">
        <f t="shared" ca="1" si="12"/>
        <v>45357</v>
      </c>
      <c r="AE134">
        <f t="shared" ca="1" si="13"/>
        <v>0</v>
      </c>
      <c r="AG134" s="63">
        <f t="shared" ca="1" si="17"/>
        <v>38.508129077044607</v>
      </c>
      <c r="AH134" s="63">
        <f t="shared" ca="1" si="18"/>
        <v>38.508129077044615</v>
      </c>
      <c r="AI134" s="3">
        <f t="shared" ca="1" si="19"/>
        <v>0</v>
      </c>
    </row>
    <row r="135" spans="7:35">
      <c r="G135" s="3">
        <f t="shared" ca="1" si="14"/>
        <v>8</v>
      </c>
      <c r="H135" s="95">
        <f t="shared" ca="1" si="16"/>
        <v>45298</v>
      </c>
      <c r="I135" s="119">
        <f ca="1">HLOOKUP($H$5,'Met Data'!$A$2:$F$368,G135,FALSE)</f>
        <v>18.181034482758601</v>
      </c>
      <c r="J135" s="119">
        <f ca="1">HLOOKUP($H$5,'Met Data'!$H$2:$M$368,G135,FALSE)*L135</f>
        <v>1.4896551724137901</v>
      </c>
      <c r="K135" s="96">
        <f ca="1">HLOOKUP($H$5,'Met Data'!$O$2:$T$368,G135,FALSE)</f>
        <v>4.0945523595888398</v>
      </c>
      <c r="L135">
        <f t="shared" ref="L135:L198" ca="1" si="20">IF(H135&lt;$B$32,$J$4,$J$5)</f>
        <v>1</v>
      </c>
      <c r="N135" t="b">
        <f t="shared" ca="1" si="15"/>
        <v>0</v>
      </c>
      <c r="O135" t="b">
        <f t="shared" ref="O135:O198" ca="1" si="21">AND(IF(P135&gt;($P$3-1),TRUE,FALSE),IF(P135&lt;($P$4+1),TRUE,FALSE))</f>
        <v>0</v>
      </c>
      <c r="P135" s="2">
        <f ca="1"/>
        <v>45358</v>
      </c>
      <c r="Q135">
        <f ca="1"/>
        <v>37.525358486091321</v>
      </c>
      <c r="R135">
        <f ca="1"/>
        <v>0.6180448415506401</v>
      </c>
      <c r="S135">
        <f ca="1"/>
        <v>1.8276361297216326E-2</v>
      </c>
      <c r="T135">
        <f ca="1"/>
        <v>0.19627227049536428</v>
      </c>
      <c r="U135">
        <f ca="1"/>
        <v>0</v>
      </c>
      <c r="V135">
        <f ca="1"/>
        <v>12.937717508794965</v>
      </c>
      <c r="W135">
        <f ca="1"/>
        <v>11.835615646934652</v>
      </c>
      <c r="X135">
        <f ca="1"/>
        <v>0</v>
      </c>
      <c r="Y135">
        <f ca="1"/>
        <v>0.47572963137233915</v>
      </c>
      <c r="Z135">
        <f ca="1"/>
        <v>0</v>
      </c>
      <c r="AA135">
        <f ca="1"/>
        <v>0</v>
      </c>
      <c r="AB135">
        <f ca="1"/>
        <v>0.71480873441874782</v>
      </c>
      <c r="AD135" s="2">
        <f t="shared" ref="AD135:AD198" ca="1" si="22">IFERROR(P135,$AD$5)</f>
        <v>45358</v>
      </c>
      <c r="AE135">
        <f t="shared" ref="AE135:AE198" ca="1" si="23">IFERROR(U135,0)</f>
        <v>0</v>
      </c>
      <c r="AG135" s="63">
        <f t="shared" ca="1" si="17"/>
        <v>38.143403327641963</v>
      </c>
      <c r="AH135" s="63">
        <f t="shared" ca="1" si="18"/>
        <v>38.143403327641963</v>
      </c>
      <c r="AI135" s="3">
        <f t="shared" ca="1" si="19"/>
        <v>0</v>
      </c>
    </row>
    <row r="136" spans="7:35">
      <c r="G136" s="3">
        <f t="shared" ref="G136:G199" ca="1" si="24">H136-DATE(YEAR(H136),1,0)+1</f>
        <v>9</v>
      </c>
      <c r="H136" s="95">
        <f t="shared" ca="1" si="16"/>
        <v>45299</v>
      </c>
      <c r="I136" s="119">
        <f ca="1">HLOOKUP($H$5,'Met Data'!$A$2:$F$368,G136,FALSE)</f>
        <v>18.393103448275799</v>
      </c>
      <c r="J136" s="119">
        <f ca="1">HLOOKUP($H$5,'Met Data'!$H$2:$M$368,G136,FALSE)*L136</f>
        <v>2.69655172413793</v>
      </c>
      <c r="K136" s="96">
        <f ca="1">HLOOKUP($H$5,'Met Data'!$O$2:$T$368,G136,FALSE)</f>
        <v>4.0360392602952304</v>
      </c>
      <c r="L136">
        <f t="shared" ca="1" si="20"/>
        <v>1</v>
      </c>
      <c r="N136" t="b">
        <f t="shared" ref="N136:N199" ca="1" si="25">IF(P136&lt;$P$4,TRUE,FALSE)</f>
        <v>0</v>
      </c>
      <c r="O136" t="b">
        <f t="shared" ca="1" si="21"/>
        <v>0</v>
      </c>
      <c r="P136" s="2">
        <f ca="1"/>
        <v>45359</v>
      </c>
      <c r="Q136">
        <f ca="1"/>
        <v>37.088754568520095</v>
      </c>
      <c r="R136">
        <f ca="1"/>
        <v>0.65548096104864761</v>
      </c>
      <c r="S136">
        <f ca="1"/>
        <v>1.8451709593013454E-2</v>
      </c>
      <c r="T136">
        <f ca="1"/>
        <v>0.20042533388440423</v>
      </c>
      <c r="U136">
        <f ca="1"/>
        <v>0</v>
      </c>
      <c r="V136">
        <f ca="1"/>
        <v>13.593198469843612</v>
      </c>
      <c r="W136">
        <f ca="1"/>
        <v>12.435259340931008</v>
      </c>
      <c r="X136">
        <f ca="1"/>
        <v>0</v>
      </c>
      <c r="Y136">
        <f ca="1"/>
        <v>0.47802363815734694</v>
      </c>
      <c r="Z136">
        <f ca="1"/>
        <v>0</v>
      </c>
      <c r="AA136">
        <f ca="1"/>
        <v>0</v>
      </c>
      <c r="AB136">
        <f ca="1"/>
        <v>0.74106962051226721</v>
      </c>
      <c r="AD136" s="2">
        <f t="shared" ca="1" si="22"/>
        <v>45359</v>
      </c>
      <c r="AE136">
        <f t="shared" ca="1" si="23"/>
        <v>0</v>
      </c>
      <c r="AG136" s="63">
        <f t="shared" ca="1" si="17"/>
        <v>37.744235529568741</v>
      </c>
      <c r="AH136" s="63">
        <f t="shared" ca="1" si="18"/>
        <v>37.744235529568741</v>
      </c>
      <c r="AI136" s="3">
        <f t="shared" ca="1" si="19"/>
        <v>0</v>
      </c>
    </row>
    <row r="137" spans="7:35">
      <c r="G137" s="3">
        <f t="shared" ca="1" si="24"/>
        <v>10</v>
      </c>
      <c r="H137" s="95">
        <f t="shared" ref="H137:H200" ca="1" si="26">H136+1</f>
        <v>45300</v>
      </c>
      <c r="I137" s="119">
        <f ca="1">HLOOKUP($H$5,'Met Data'!$A$2:$F$368,G137,FALSE)</f>
        <v>18.6103448275862</v>
      </c>
      <c r="J137" s="119">
        <f ca="1">HLOOKUP($H$5,'Met Data'!$H$2:$M$368,G137,FALSE)*L137</f>
        <v>3.0103448275861999</v>
      </c>
      <c r="K137" s="96">
        <f ca="1">HLOOKUP($H$5,'Met Data'!$O$2:$T$368,G137,FALSE)</f>
        <v>4.1608753956650997</v>
      </c>
      <c r="L137">
        <f t="shared" ca="1" si="20"/>
        <v>1</v>
      </c>
      <c r="N137" t="b">
        <f t="shared" ca="1" si="25"/>
        <v>0</v>
      </c>
      <c r="O137" t="b">
        <f t="shared" ca="1" si="21"/>
        <v>0</v>
      </c>
      <c r="P137" s="2">
        <f ca="1"/>
        <v>45360</v>
      </c>
      <c r="Q137">
        <f ca="1"/>
        <v>36.620195361150962</v>
      </c>
      <c r="R137">
        <f ca="1"/>
        <v>0.67530607636897066</v>
      </c>
      <c r="S137">
        <f ca="1"/>
        <v>1.6929491685972131E-2</v>
      </c>
      <c r="T137">
        <f ca="1"/>
        <v>0.18981737731386567</v>
      </c>
      <c r="U137">
        <f ca="1"/>
        <v>0</v>
      </c>
      <c r="V137">
        <f ca="1"/>
        <v>14.268504546212583</v>
      </c>
      <c r="W137">
        <f ca="1"/>
        <v>13.053039344127807</v>
      </c>
      <c r="X137">
        <f ca="1"/>
        <v>0</v>
      </c>
      <c r="Y137">
        <f ca="1"/>
        <v>0.45239056786998932</v>
      </c>
      <c r="Z137">
        <f ca="1"/>
        <v>0</v>
      </c>
      <c r="AA137">
        <f ca="1"/>
        <v>0</v>
      </c>
      <c r="AB137">
        <f ca="1"/>
        <v>0.76534002784599309</v>
      </c>
      <c r="AD137" s="2">
        <f t="shared" ca="1" si="22"/>
        <v>45360</v>
      </c>
      <c r="AE137">
        <f t="shared" ca="1" si="23"/>
        <v>0</v>
      </c>
      <c r="AG137" s="63">
        <f t="shared" ref="AG137:AG200" ca="1" si="27">Q136+S137+T137+U137</f>
        <v>37.295501437519931</v>
      </c>
      <c r="AH137" s="63">
        <f t="shared" ref="AH137:AH200" ca="1" si="28">Q137+R137+X137</f>
        <v>37.295501437519931</v>
      </c>
      <c r="AI137" s="3">
        <f t="shared" ref="AI137:AI200" ca="1" si="29">AH137-AG137</f>
        <v>0</v>
      </c>
    </row>
    <row r="138" spans="7:35">
      <c r="G138" s="3">
        <f t="shared" ca="1" si="24"/>
        <v>11</v>
      </c>
      <c r="H138" s="95">
        <f t="shared" ca="1" si="26"/>
        <v>45301</v>
      </c>
      <c r="I138" s="119">
        <f ca="1">HLOOKUP($H$5,'Met Data'!$A$2:$F$368,G138,FALSE)</f>
        <v>18.453448275862002</v>
      </c>
      <c r="J138" s="119">
        <f ca="1">HLOOKUP($H$5,'Met Data'!$H$2:$M$368,G138,FALSE)*L138</f>
        <v>1.2689655172413701</v>
      </c>
      <c r="K138" s="96">
        <f ca="1">HLOOKUP($H$5,'Met Data'!$O$2:$T$368,G138,FALSE)</f>
        <v>4.5179186785714496</v>
      </c>
      <c r="L138">
        <f t="shared" ca="1" si="20"/>
        <v>1</v>
      </c>
      <c r="N138" t="b">
        <f t="shared" ca="1" si="25"/>
        <v>0</v>
      </c>
      <c r="O138" t="b">
        <f t="shared" ca="1" si="21"/>
        <v>0</v>
      </c>
      <c r="P138" s="2">
        <f ca="1"/>
        <v>45361</v>
      </c>
      <c r="Q138">
        <f ca="1"/>
        <v>36.141567420635937</v>
      </c>
      <c r="R138">
        <f ca="1"/>
        <v>0.69934141018304175</v>
      </c>
      <c r="S138">
        <f ca="1"/>
        <v>1.8283843930804622E-2</v>
      </c>
      <c r="T138">
        <f ca="1"/>
        <v>0.20242962573721981</v>
      </c>
      <c r="U138">
        <f ca="1"/>
        <v>0</v>
      </c>
      <c r="V138">
        <f ca="1"/>
        <v>14.967845956395625</v>
      </c>
      <c r="W138">
        <f ca="1"/>
        <v>13.692807226776738</v>
      </c>
      <c r="X138">
        <f ca="1"/>
        <v>0</v>
      </c>
      <c r="Y138">
        <f ca="1"/>
        <v>0.51127984515794112</v>
      </c>
      <c r="Z138">
        <f ca="1"/>
        <v>0</v>
      </c>
      <c r="AA138">
        <f ca="1"/>
        <v>0</v>
      </c>
      <c r="AB138">
        <f ca="1"/>
        <v>0.78778327061312192</v>
      </c>
      <c r="AD138" s="2">
        <f t="shared" ca="1" si="22"/>
        <v>45361</v>
      </c>
      <c r="AE138">
        <f t="shared" ca="1" si="23"/>
        <v>0</v>
      </c>
      <c r="AG138" s="63">
        <f t="shared" ca="1" si="27"/>
        <v>36.840908830818982</v>
      </c>
      <c r="AH138" s="63">
        <f t="shared" ca="1" si="28"/>
        <v>36.840908830818975</v>
      </c>
      <c r="AI138" s="3">
        <f t="shared" ca="1" si="29"/>
        <v>0</v>
      </c>
    </row>
    <row r="139" spans="7:35">
      <c r="G139" s="3">
        <f t="shared" ca="1" si="24"/>
        <v>12</v>
      </c>
      <c r="H139" s="95">
        <f t="shared" ca="1" si="26"/>
        <v>45302</v>
      </c>
      <c r="I139" s="119">
        <f ca="1">HLOOKUP($H$5,'Met Data'!$A$2:$F$368,G139,FALSE)</f>
        <v>18.186206896551699</v>
      </c>
      <c r="J139" s="119">
        <f ca="1">HLOOKUP($H$5,'Met Data'!$H$2:$M$368,G139,FALSE)*L139</f>
        <v>1.3413793103448199</v>
      </c>
      <c r="K139" s="96">
        <f ca="1">HLOOKUP($H$5,'Met Data'!$O$2:$T$368,G139,FALSE)</f>
        <v>4.5303746944186001</v>
      </c>
      <c r="L139">
        <f t="shared" ca="1" si="20"/>
        <v>1</v>
      </c>
      <c r="N139" t="b">
        <f t="shared" ca="1" si="25"/>
        <v>0</v>
      </c>
      <c r="O139" t="b">
        <f t="shared" ca="1" si="21"/>
        <v>0</v>
      </c>
      <c r="P139" s="2">
        <f ca="1"/>
        <v>45362</v>
      </c>
      <c r="Q139">
        <f ca="1"/>
        <v>35.62634615866007</v>
      </c>
      <c r="R139">
        <f ca="1"/>
        <v>0.73803214090987268</v>
      </c>
      <c r="S139">
        <f ca="1"/>
        <v>1.8291529545507501E-2</v>
      </c>
      <c r="T139">
        <f ca="1"/>
        <v>0.20451934938849842</v>
      </c>
      <c r="U139">
        <f ca="1"/>
        <v>0</v>
      </c>
      <c r="V139">
        <f ca="1"/>
        <v>15.705878097305497</v>
      </c>
      <c r="W139">
        <f ca="1"/>
        <v>14.367969963090585</v>
      </c>
      <c r="X139">
        <f ca="1"/>
        <v>0</v>
      </c>
      <c r="Y139">
        <f ca="1"/>
        <v>0.50889307136530615</v>
      </c>
      <c r="Z139">
        <f ca="1"/>
        <v>0</v>
      </c>
      <c r="AA139">
        <f ca="1"/>
        <v>0</v>
      </c>
      <c r="AB139">
        <f ca="1"/>
        <v>0.80881589504712037</v>
      </c>
      <c r="AD139" s="2">
        <f t="shared" ca="1" si="22"/>
        <v>45362</v>
      </c>
      <c r="AE139">
        <f t="shared" ca="1" si="23"/>
        <v>0</v>
      </c>
      <c r="AG139" s="63">
        <f t="shared" ca="1" si="27"/>
        <v>36.364378299569942</v>
      </c>
      <c r="AH139" s="63">
        <f t="shared" ca="1" si="28"/>
        <v>36.364378299569942</v>
      </c>
      <c r="AI139" s="3">
        <f t="shared" ca="1" si="29"/>
        <v>0</v>
      </c>
    </row>
    <row r="140" spans="7:35">
      <c r="G140" s="3">
        <f t="shared" ca="1" si="24"/>
        <v>13</v>
      </c>
      <c r="H140" s="95">
        <f t="shared" ca="1" si="26"/>
        <v>45303</v>
      </c>
      <c r="I140" s="119">
        <f ca="1">HLOOKUP($H$5,'Met Data'!$A$2:$F$368,G140,FALSE)</f>
        <v>18.314999999999898</v>
      </c>
      <c r="J140" s="119">
        <f ca="1">HLOOKUP($H$5,'Met Data'!$H$2:$M$368,G140,FALSE)*L140</f>
        <v>0.95</v>
      </c>
      <c r="K140" s="96">
        <f ca="1">HLOOKUP($H$5,'Met Data'!$O$2:$T$368,G140,FALSE)</f>
        <v>4.1021279144140701</v>
      </c>
      <c r="L140">
        <f t="shared" ca="1" si="20"/>
        <v>1</v>
      </c>
      <c r="N140" t="b">
        <f t="shared" ca="1" si="25"/>
        <v>0</v>
      </c>
      <c r="O140" t="b">
        <f t="shared" ca="1" si="21"/>
        <v>0</v>
      </c>
      <c r="P140" s="2">
        <f ca="1"/>
        <v>45363</v>
      </c>
      <c r="Q140">
        <f ca="1"/>
        <v>35.082072834180636</v>
      </c>
      <c r="R140">
        <f ca="1"/>
        <v>0.75493041873218303</v>
      </c>
      <c r="S140">
        <f ca="1"/>
        <v>1.7193821260919506E-2</v>
      </c>
      <c r="T140">
        <f ca="1"/>
        <v>0.19346327299183591</v>
      </c>
      <c r="U140">
        <f ca="1"/>
        <v>0</v>
      </c>
      <c r="V140">
        <f ca="1"/>
        <v>16.46080851603768</v>
      </c>
      <c r="W140">
        <f ca="1"/>
        <v>15.058591494301137</v>
      </c>
      <c r="X140">
        <f ca="1"/>
        <v>0</v>
      </c>
      <c r="Y140">
        <f ca="1"/>
        <v>0.48789565190259904</v>
      </c>
      <c r="Z140">
        <f ca="1"/>
        <v>0</v>
      </c>
      <c r="AA140">
        <f ca="1"/>
        <v>0</v>
      </c>
      <c r="AB140">
        <f ca="1"/>
        <v>0.82783750436024628</v>
      </c>
      <c r="AD140" s="2">
        <f t="shared" ca="1" si="22"/>
        <v>45363</v>
      </c>
      <c r="AE140">
        <f t="shared" ca="1" si="23"/>
        <v>0</v>
      </c>
      <c r="AG140" s="63">
        <f t="shared" ca="1" si="27"/>
        <v>35.837003252912822</v>
      </c>
      <c r="AH140" s="63">
        <f t="shared" ca="1" si="28"/>
        <v>35.837003252912822</v>
      </c>
      <c r="AI140" s="3">
        <f t="shared" ca="1" si="29"/>
        <v>0</v>
      </c>
    </row>
    <row r="141" spans="7:35">
      <c r="G141" s="3">
        <f t="shared" ca="1" si="24"/>
        <v>14</v>
      </c>
      <c r="H141" s="95">
        <f t="shared" ca="1" si="26"/>
        <v>45304</v>
      </c>
      <c r="I141" s="119">
        <f ca="1">HLOOKUP($H$5,'Met Data'!$A$2:$F$368,G141,FALSE)</f>
        <v>18.473333333333301</v>
      </c>
      <c r="J141" s="119">
        <f ca="1">HLOOKUP($H$5,'Met Data'!$H$2:$M$368,G141,FALSE)*L141</f>
        <v>3.7233333333333301</v>
      </c>
      <c r="K141" s="96">
        <f ca="1">HLOOKUP($H$5,'Met Data'!$O$2:$T$368,G141,FALSE)</f>
        <v>4.3613860913388498</v>
      </c>
      <c r="L141">
        <f t="shared" ca="1" si="20"/>
        <v>1</v>
      </c>
      <c r="N141" t="b">
        <f t="shared" ca="1" si="25"/>
        <v>0</v>
      </c>
      <c r="O141" t="b">
        <f t="shared" ca="1" si="21"/>
        <v>0</v>
      </c>
      <c r="P141" s="2">
        <f ca="1"/>
        <v>45364</v>
      </c>
      <c r="Q141">
        <f ca="1"/>
        <v>34.499286862006088</v>
      </c>
      <c r="R141">
        <f ca="1"/>
        <v>0.78785781128421206</v>
      </c>
      <c r="S141">
        <f ca="1"/>
        <v>1.6339137815078786E-2</v>
      </c>
      <c r="T141">
        <f ca="1"/>
        <v>0.18873270129458536</v>
      </c>
      <c r="U141">
        <f ca="1"/>
        <v>0</v>
      </c>
      <c r="V141">
        <f ca="1"/>
        <v>17.248666327321892</v>
      </c>
      <c r="W141">
        <f ca="1"/>
        <v>15.779335492031507</v>
      </c>
      <c r="X141">
        <f ca="1"/>
        <v>0</v>
      </c>
      <c r="Y141">
        <f ca="1"/>
        <v>0.46872517513881462</v>
      </c>
      <c r="Z141">
        <f ca="1"/>
        <v>0</v>
      </c>
      <c r="AA141">
        <f ca="1"/>
        <v>0</v>
      </c>
      <c r="AB141">
        <f ca="1"/>
        <v>0.84533209912271123</v>
      </c>
      <c r="AD141" s="2">
        <f t="shared" ca="1" si="22"/>
        <v>45364</v>
      </c>
      <c r="AE141">
        <f t="shared" ca="1" si="23"/>
        <v>0</v>
      </c>
      <c r="AG141" s="63">
        <f t="shared" ca="1" si="27"/>
        <v>35.2871446732903</v>
      </c>
      <c r="AH141" s="63">
        <f t="shared" ca="1" si="28"/>
        <v>35.2871446732903</v>
      </c>
      <c r="AI141" s="3">
        <f t="shared" ca="1" si="29"/>
        <v>0</v>
      </c>
    </row>
    <row r="142" spans="7:35">
      <c r="G142" s="3">
        <f t="shared" ca="1" si="24"/>
        <v>15</v>
      </c>
      <c r="H142" s="95">
        <f t="shared" ca="1" si="26"/>
        <v>45305</v>
      </c>
      <c r="I142" s="119">
        <f ca="1">HLOOKUP($H$5,'Met Data'!$A$2:$F$368,G142,FALSE)</f>
        <v>18.684999999999999</v>
      </c>
      <c r="J142" s="119">
        <f ca="1">HLOOKUP($H$5,'Met Data'!$H$2:$M$368,G142,FALSE)*L142</f>
        <v>2.2466666666666599</v>
      </c>
      <c r="K142" s="96">
        <f ca="1">HLOOKUP($H$5,'Met Data'!$O$2:$T$368,G142,FALSE)</f>
        <v>4.5029029229169799</v>
      </c>
      <c r="L142">
        <f t="shared" ca="1" si="20"/>
        <v>1</v>
      </c>
      <c r="N142" t="b">
        <f t="shared" ca="1" si="25"/>
        <v>0</v>
      </c>
      <c r="O142" t="b">
        <f t="shared" ca="1" si="21"/>
        <v>0</v>
      </c>
      <c r="P142" s="2">
        <f ca="1"/>
        <v>45365</v>
      </c>
      <c r="Q142">
        <f ca="1"/>
        <v>33.888536794167912</v>
      </c>
      <c r="R142">
        <f ca="1"/>
        <v>0.81412364850087471</v>
      </c>
      <c r="S142">
        <f ca="1"/>
        <v>1.6098972082216889E-2</v>
      </c>
      <c r="T142">
        <f ca="1"/>
        <v>0.18727460858047809</v>
      </c>
      <c r="U142">
        <f ca="1"/>
        <v>0</v>
      </c>
      <c r="V142">
        <f ca="1"/>
        <v>18.062789975822767</v>
      </c>
      <c r="W142">
        <f ca="1"/>
        <v>16.5241078667712</v>
      </c>
      <c r="X142">
        <f ca="1"/>
        <v>0</v>
      </c>
      <c r="Y142">
        <f ca="1"/>
        <v>0.47213582224127704</v>
      </c>
      <c r="Z142">
        <f ca="1"/>
        <v>0</v>
      </c>
      <c r="AA142">
        <f ca="1"/>
        <v>0</v>
      </c>
      <c r="AB142">
        <f ca="1"/>
        <v>0.86120841929216574</v>
      </c>
      <c r="AD142" s="2">
        <f t="shared" ca="1" si="22"/>
        <v>45365</v>
      </c>
      <c r="AE142">
        <f t="shared" ca="1" si="23"/>
        <v>0</v>
      </c>
      <c r="AG142" s="63">
        <f t="shared" ca="1" si="27"/>
        <v>34.702660442668787</v>
      </c>
      <c r="AH142" s="63">
        <f t="shared" ca="1" si="28"/>
        <v>34.702660442668787</v>
      </c>
      <c r="AI142" s="3">
        <f t="shared" ca="1" si="29"/>
        <v>0</v>
      </c>
    </row>
    <row r="143" spans="7:35">
      <c r="G143" s="3">
        <f t="shared" ca="1" si="24"/>
        <v>16</v>
      </c>
      <c r="H143" s="95">
        <f t="shared" ca="1" si="26"/>
        <v>45306</v>
      </c>
      <c r="I143" s="119">
        <f ca="1">HLOOKUP($H$5,'Met Data'!$A$2:$F$368,G143,FALSE)</f>
        <v>18.661666666666601</v>
      </c>
      <c r="J143" s="119">
        <f ca="1">HLOOKUP($H$5,'Met Data'!$H$2:$M$368,G143,FALSE)*L143</f>
        <v>1.3333333333333299</v>
      </c>
      <c r="K143" s="96">
        <f ca="1">HLOOKUP($H$5,'Met Data'!$O$2:$T$368,G143,FALSE)</f>
        <v>4.6368762557636201</v>
      </c>
      <c r="L143">
        <f t="shared" ca="1" si="20"/>
        <v>1</v>
      </c>
      <c r="N143" t="b">
        <f t="shared" ca="1" si="25"/>
        <v>0</v>
      </c>
      <c r="O143" t="b">
        <f t="shared" ca="1" si="21"/>
        <v>0</v>
      </c>
      <c r="P143" s="2">
        <f ca="1"/>
        <v>45366</v>
      </c>
      <c r="Q143">
        <f ca="1"/>
        <v>33.238612975731122</v>
      </c>
      <c r="R143">
        <f ca="1"/>
        <v>0.85537569290597304</v>
      </c>
      <c r="S143">
        <f ca="1"/>
        <v>1.608806035383914E-2</v>
      </c>
      <c r="T143">
        <f ca="1"/>
        <v>0.18936381411534334</v>
      </c>
      <c r="U143">
        <f ca="1"/>
        <v>0</v>
      </c>
      <c r="V143">
        <f ca="1"/>
        <v>18.91816566872874</v>
      </c>
      <c r="W143">
        <f ca="1"/>
        <v>17.306618222874068</v>
      </c>
      <c r="X143">
        <f ca="1"/>
        <v>0</v>
      </c>
      <c r="Y143">
        <f ca="1"/>
        <v>0.47239210308811469</v>
      </c>
      <c r="Z143">
        <f ca="1"/>
        <v>0</v>
      </c>
      <c r="AA143">
        <f ca="1"/>
        <v>0</v>
      </c>
      <c r="AB143">
        <f ca="1"/>
        <v>0.87580575249267645</v>
      </c>
      <c r="AD143" s="2">
        <f t="shared" ca="1" si="22"/>
        <v>45366</v>
      </c>
      <c r="AE143">
        <f t="shared" ca="1" si="23"/>
        <v>0</v>
      </c>
      <c r="AG143" s="63">
        <f t="shared" ca="1" si="27"/>
        <v>34.093988668637095</v>
      </c>
      <c r="AH143" s="63">
        <f t="shared" ca="1" si="28"/>
        <v>34.093988668637095</v>
      </c>
      <c r="AI143" s="3">
        <f t="shared" ca="1" si="29"/>
        <v>0</v>
      </c>
    </row>
    <row r="144" spans="7:35">
      <c r="G144" s="3">
        <f t="shared" ca="1" si="24"/>
        <v>17</v>
      </c>
      <c r="H144" s="95">
        <f t="shared" ca="1" si="26"/>
        <v>45307</v>
      </c>
      <c r="I144" s="119">
        <f ca="1">HLOOKUP($H$5,'Met Data'!$A$2:$F$368,G144,FALSE)</f>
        <v>18.636666666666599</v>
      </c>
      <c r="J144" s="119">
        <f ca="1">HLOOKUP($H$5,'Met Data'!$H$2:$M$368,G144,FALSE)*L144</f>
        <v>3.0133333333333301</v>
      </c>
      <c r="K144" s="96">
        <f ca="1">HLOOKUP($H$5,'Met Data'!$O$2:$T$368,G144,FALSE)</f>
        <v>4.4386060395545801</v>
      </c>
      <c r="L144">
        <f t="shared" ca="1" si="20"/>
        <v>1</v>
      </c>
      <c r="N144" t="b">
        <f t="shared" ca="1" si="25"/>
        <v>0</v>
      </c>
      <c r="O144" t="b">
        <f t="shared" ca="1" si="21"/>
        <v>0</v>
      </c>
      <c r="P144" s="2">
        <f ca="1"/>
        <v>45367</v>
      </c>
      <c r="Q144">
        <f ca="1"/>
        <v>32.551030774138354</v>
      </c>
      <c r="R144">
        <f ca="1"/>
        <v>0.8899681327669029</v>
      </c>
      <c r="S144">
        <f ca="1"/>
        <v>1.5582341116390452E-2</v>
      </c>
      <c r="T144">
        <f ca="1"/>
        <v>0.18680359005773955</v>
      </c>
      <c r="U144">
        <f ca="1"/>
        <v>0</v>
      </c>
      <c r="V144">
        <f ca="1"/>
        <v>19.808133801495643</v>
      </c>
      <c r="W144">
        <f ca="1"/>
        <v>18.12077425544231</v>
      </c>
      <c r="X144">
        <f ca="1"/>
        <v>0</v>
      </c>
      <c r="Y144">
        <f ca="1"/>
        <v>0.46344127528733492</v>
      </c>
      <c r="Z144">
        <f ca="1"/>
        <v>0</v>
      </c>
      <c r="AA144">
        <f ca="1"/>
        <v>0</v>
      </c>
      <c r="AB144">
        <f ca="1"/>
        <v>0.88904720852044605</v>
      </c>
      <c r="AD144" s="2">
        <f t="shared" ca="1" si="22"/>
        <v>45367</v>
      </c>
      <c r="AE144">
        <f t="shared" ca="1" si="23"/>
        <v>0</v>
      </c>
      <c r="AG144" s="63">
        <f t="shared" ca="1" si="27"/>
        <v>33.440998906905257</v>
      </c>
      <c r="AH144" s="63">
        <f t="shared" ca="1" si="28"/>
        <v>33.440998906905257</v>
      </c>
      <c r="AI144" s="3">
        <f t="shared" ca="1" si="29"/>
        <v>0</v>
      </c>
    </row>
    <row r="145" spans="7:35">
      <c r="G145" s="3">
        <f t="shared" ca="1" si="24"/>
        <v>18</v>
      </c>
      <c r="H145" s="95">
        <f t="shared" ca="1" si="26"/>
        <v>45308</v>
      </c>
      <c r="I145" s="119">
        <f ca="1">HLOOKUP($H$5,'Met Data'!$A$2:$F$368,G145,FALSE)</f>
        <v>18.4233333333333</v>
      </c>
      <c r="J145" s="119">
        <f ca="1">HLOOKUP($H$5,'Met Data'!$H$2:$M$368,G145,FALSE)*L145</f>
        <v>2.7833333333333301</v>
      </c>
      <c r="K145" s="96">
        <f ca="1">HLOOKUP($H$5,'Met Data'!$O$2:$T$368,G145,FALSE)</f>
        <v>4.10260332014568</v>
      </c>
      <c r="L145">
        <f t="shared" ca="1" si="20"/>
        <v>1</v>
      </c>
      <c r="N145" t="b">
        <f t="shared" ca="1" si="25"/>
        <v>0</v>
      </c>
      <c r="O145" t="b">
        <f t="shared" ca="1" si="21"/>
        <v>0</v>
      </c>
      <c r="P145" s="2">
        <f ca="1"/>
        <v>45368</v>
      </c>
      <c r="Q145">
        <f ca="1"/>
        <v>31.824000102513239</v>
      </c>
      <c r="R145">
        <f ca="1"/>
        <v>0.92265952822491926</v>
      </c>
      <c r="S145">
        <f ca="1"/>
        <v>1.4672368046058537E-2</v>
      </c>
      <c r="T145">
        <f ca="1"/>
        <v>0.18095648855374755</v>
      </c>
      <c r="U145">
        <f ca="1"/>
        <v>0</v>
      </c>
      <c r="V145">
        <f ca="1"/>
        <v>20.730793329720562</v>
      </c>
      <c r="W145">
        <f ca="1"/>
        <v>18.964836860892515</v>
      </c>
      <c r="X145">
        <f ca="1"/>
        <v>0</v>
      </c>
      <c r="Y145">
        <f ca="1"/>
        <v>0.44347794966973803</v>
      </c>
      <c r="Z145">
        <f ca="1"/>
        <v>0</v>
      </c>
      <c r="AA145">
        <f ca="1"/>
        <v>0</v>
      </c>
      <c r="AB145">
        <f ca="1"/>
        <v>0.90098597362261001</v>
      </c>
      <c r="AD145" s="2">
        <f t="shared" ca="1" si="22"/>
        <v>45368</v>
      </c>
      <c r="AE145">
        <f t="shared" ca="1" si="23"/>
        <v>0</v>
      </c>
      <c r="AG145" s="63">
        <f t="shared" ca="1" si="27"/>
        <v>32.746659630738158</v>
      </c>
      <c r="AH145" s="63">
        <f t="shared" ca="1" si="28"/>
        <v>32.746659630738158</v>
      </c>
      <c r="AI145" s="3">
        <f t="shared" ca="1" si="29"/>
        <v>0</v>
      </c>
    </row>
    <row r="146" spans="7:35">
      <c r="G146" s="3">
        <f t="shared" ca="1" si="24"/>
        <v>19</v>
      </c>
      <c r="H146" s="95">
        <f t="shared" ca="1" si="26"/>
        <v>45309</v>
      </c>
      <c r="I146" s="119">
        <f ca="1">HLOOKUP($H$5,'Met Data'!$A$2:$F$368,G146,FALSE)</f>
        <v>18.466666666666601</v>
      </c>
      <c r="J146" s="119">
        <f ca="1">HLOOKUP($H$5,'Met Data'!$H$2:$M$368,G146,FALSE)*L146</f>
        <v>2.1566666666666601</v>
      </c>
      <c r="K146" s="96">
        <f ca="1">HLOOKUP($H$5,'Met Data'!$O$2:$T$368,G146,FALSE)</f>
        <v>4.3976375931712202</v>
      </c>
      <c r="L146">
        <f t="shared" ca="1" si="20"/>
        <v>1</v>
      </c>
      <c r="N146" t="b">
        <f t="shared" ca="1" si="25"/>
        <v>0</v>
      </c>
      <c r="O146" t="b">
        <f t="shared" ca="1" si="21"/>
        <v>0</v>
      </c>
      <c r="P146" s="2">
        <f ca="1"/>
        <v>45369</v>
      </c>
      <c r="Q146">
        <f ca="1"/>
        <v>31.071741233467911</v>
      </c>
      <c r="R146">
        <f ca="1"/>
        <v>0.93525016234978153</v>
      </c>
      <c r="S146">
        <f ca="1"/>
        <v>1.3336805810282293E-2</v>
      </c>
      <c r="T146">
        <f ca="1"/>
        <v>0.16965448749417239</v>
      </c>
      <c r="U146">
        <f ca="1"/>
        <v>0</v>
      </c>
      <c r="V146">
        <f ca="1"/>
        <v>21.666043492070344</v>
      </c>
      <c r="W146">
        <f ca="1"/>
        <v>19.820417564968054</v>
      </c>
      <c r="X146">
        <f ca="1"/>
        <v>0</v>
      </c>
      <c r="Y146">
        <f ca="1"/>
        <v>0.42009940229058951</v>
      </c>
      <c r="Z146">
        <f ca="1"/>
        <v>0</v>
      </c>
      <c r="AA146">
        <f ca="1"/>
        <v>0</v>
      </c>
      <c r="AB146">
        <f ca="1"/>
        <v>0.91150593941574232</v>
      </c>
      <c r="AD146" s="2">
        <f t="shared" ca="1" si="22"/>
        <v>45369</v>
      </c>
      <c r="AE146">
        <f t="shared" ca="1" si="23"/>
        <v>0</v>
      </c>
      <c r="AG146" s="63">
        <f t="shared" ca="1" si="27"/>
        <v>32.006991395817693</v>
      </c>
      <c r="AH146" s="63">
        <f t="shared" ca="1" si="28"/>
        <v>32.006991395817693</v>
      </c>
      <c r="AI146" s="3">
        <f t="shared" ca="1" si="29"/>
        <v>0</v>
      </c>
    </row>
    <row r="147" spans="7:35">
      <c r="G147" s="3">
        <f t="shared" ca="1" si="24"/>
        <v>20</v>
      </c>
      <c r="H147" s="95">
        <f t="shared" ca="1" si="26"/>
        <v>45310</v>
      </c>
      <c r="I147" s="119">
        <f ca="1">HLOOKUP($H$5,'Met Data'!$A$2:$F$368,G147,FALSE)</f>
        <v>18.754999999999999</v>
      </c>
      <c r="J147" s="119">
        <f ca="1">HLOOKUP($H$5,'Met Data'!$H$2:$M$368,G147,FALSE)*L147</f>
        <v>2.2333333333333298</v>
      </c>
      <c r="K147" s="96">
        <f ca="1">HLOOKUP($H$5,'Met Data'!$O$2:$T$368,G147,FALSE)</f>
        <v>4.5811789756342201</v>
      </c>
      <c r="L147">
        <f t="shared" ca="1" si="20"/>
        <v>1</v>
      </c>
      <c r="N147" t="b">
        <f t="shared" ca="1" si="25"/>
        <v>0</v>
      </c>
      <c r="O147" t="b">
        <f t="shared" ca="1" si="21"/>
        <v>0</v>
      </c>
      <c r="P147" s="2">
        <f ca="1"/>
        <v>45370</v>
      </c>
      <c r="Q147">
        <f ca="1"/>
        <v>30.282982700834719</v>
      </c>
      <c r="R147">
        <f ca="1"/>
        <v>0.97497141587136227</v>
      </c>
      <c r="S147">
        <f ca="1"/>
        <v>1.3582463829193259E-2</v>
      </c>
      <c r="T147">
        <f ca="1"/>
        <v>0.17263041940897764</v>
      </c>
      <c r="U147">
        <f ca="1"/>
        <v>0</v>
      </c>
      <c r="V147">
        <f ca="1"/>
        <v>22.641014907941706</v>
      </c>
      <c r="W147">
        <f ca="1"/>
        <v>20.712335860228151</v>
      </c>
      <c r="X147">
        <f ca="1"/>
        <v>0</v>
      </c>
      <c r="Y147">
        <f ca="1"/>
        <v>0.43048707263632313</v>
      </c>
      <c r="Z147">
        <f ca="1"/>
        <v>0</v>
      </c>
      <c r="AA147">
        <f ca="1"/>
        <v>0</v>
      </c>
      <c r="AB147">
        <f ca="1"/>
        <v>0.92103418679228288</v>
      </c>
      <c r="AD147" s="2">
        <f t="shared" ca="1" si="22"/>
        <v>45370</v>
      </c>
      <c r="AE147">
        <f t="shared" ca="1" si="23"/>
        <v>0</v>
      </c>
      <c r="AG147" s="63">
        <f t="shared" ca="1" si="27"/>
        <v>31.257954116706085</v>
      </c>
      <c r="AH147" s="63">
        <f t="shared" ca="1" si="28"/>
        <v>31.257954116706081</v>
      </c>
      <c r="AI147" s="3">
        <f t="shared" ca="1" si="29"/>
        <v>0</v>
      </c>
    </row>
    <row r="148" spans="7:35">
      <c r="G148" s="3">
        <f t="shared" ca="1" si="24"/>
        <v>21</v>
      </c>
      <c r="H148" s="95">
        <f t="shared" ca="1" si="26"/>
        <v>45311</v>
      </c>
      <c r="I148" s="119">
        <f ca="1">HLOOKUP($H$5,'Met Data'!$A$2:$F$368,G148,FALSE)</f>
        <v>18.6933333333333</v>
      </c>
      <c r="J148" s="119">
        <f ca="1">HLOOKUP($H$5,'Met Data'!$H$2:$M$368,G148,FALSE)*L148</f>
        <v>1.02666666666666</v>
      </c>
      <c r="K148" s="96">
        <f ca="1">HLOOKUP($H$5,'Met Data'!$O$2:$T$368,G148,FALSE)</f>
        <v>4.23484882575071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45371</v>
      </c>
      <c r="Q148">
        <f ca="1"/>
        <v>29.435614494592166</v>
      </c>
      <c r="R148">
        <f ca="1"/>
        <v>1.0292661498682243</v>
      </c>
      <c r="S148">
        <f ca="1"/>
        <v>1.267864034411037E-2</v>
      </c>
      <c r="T148">
        <f ca="1"/>
        <v>0.16921930328156182</v>
      </c>
      <c r="U148">
        <f ca="1"/>
        <v>0</v>
      </c>
      <c r="V148">
        <f ca="1"/>
        <v>23.67028105780993</v>
      </c>
      <c r="W148">
        <f ca="1"/>
        <v>21.653923782515012</v>
      </c>
      <c r="X148">
        <f ca="1"/>
        <v>0</v>
      </c>
      <c r="Y148">
        <f ca="1"/>
        <v>0.39813631424305063</v>
      </c>
      <c r="Z148">
        <f ca="1"/>
        <v>0</v>
      </c>
      <c r="AA148">
        <f ca="1"/>
        <v>0</v>
      </c>
      <c r="AB148">
        <f ca="1"/>
        <v>0.92974550335208639</v>
      </c>
      <c r="AD148" s="2">
        <f t="shared" ca="1" si="22"/>
        <v>45371</v>
      </c>
      <c r="AE148">
        <f t="shared" ca="1" si="23"/>
        <v>0</v>
      </c>
      <c r="AG148" s="63">
        <f t="shared" ca="1" si="27"/>
        <v>30.46488064446039</v>
      </c>
      <c r="AH148" s="63">
        <f t="shared" ca="1" si="28"/>
        <v>30.46488064446039</v>
      </c>
      <c r="AI148" s="3">
        <f t="shared" ca="1" si="29"/>
        <v>0</v>
      </c>
    </row>
    <row r="149" spans="7:35">
      <c r="G149" s="3">
        <f t="shared" ca="1" si="24"/>
        <v>22</v>
      </c>
      <c r="H149" s="95">
        <f t="shared" ca="1" si="26"/>
        <v>45312</v>
      </c>
      <c r="I149" s="119">
        <f ca="1">HLOOKUP($H$5,'Met Data'!$A$2:$F$368,G149,FALSE)</f>
        <v>18.914999999999999</v>
      </c>
      <c r="J149" s="119">
        <f ca="1">HLOOKUP($H$5,'Met Data'!$H$2:$M$368,G149,FALSE)*L149</f>
        <v>8.4066666666666592</v>
      </c>
      <c r="K149" s="96">
        <f ca="1">HLOOKUP($H$5,'Met Data'!$O$2:$T$368,G149,FALSE)</f>
        <v>4.2358684276247196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45372</v>
      </c>
      <c r="Q149">
        <f ca="1"/>
        <v>28.553890488327653</v>
      </c>
      <c r="R149">
        <f ca="1"/>
        <v>1.0625321771432041</v>
      </c>
      <c r="S149">
        <f ca="1"/>
        <v>1.2531056505958205E-2</v>
      </c>
      <c r="T149">
        <f ca="1"/>
        <v>0.16827711437273665</v>
      </c>
      <c r="U149">
        <f ca="1"/>
        <v>0</v>
      </c>
      <c r="V149">
        <f ca="1"/>
        <v>24.732813234953134</v>
      </c>
      <c r="W149">
        <f ca="1"/>
        <v>22.625943959383054</v>
      </c>
      <c r="X149">
        <f ca="1"/>
        <v>0</v>
      </c>
      <c r="Y149">
        <f ca="1"/>
        <v>0.40027434379620963</v>
      </c>
      <c r="Z149">
        <f ca="1"/>
        <v>0</v>
      </c>
      <c r="AA149">
        <f ca="1"/>
        <v>0</v>
      </c>
      <c r="AB149">
        <f ca="1"/>
        <v>0.93751530235458935</v>
      </c>
      <c r="AD149" s="2">
        <f t="shared" ca="1" si="22"/>
        <v>45372</v>
      </c>
      <c r="AE149">
        <f t="shared" ca="1" si="23"/>
        <v>0</v>
      </c>
      <c r="AG149" s="63">
        <f t="shared" ca="1" si="27"/>
        <v>29.616422665470857</v>
      </c>
      <c r="AH149" s="63">
        <f t="shared" ca="1" si="28"/>
        <v>29.616422665470857</v>
      </c>
      <c r="AI149" s="3">
        <f t="shared" ca="1" si="29"/>
        <v>0</v>
      </c>
    </row>
    <row r="150" spans="7:35">
      <c r="G150" s="3">
        <f t="shared" ca="1" si="24"/>
        <v>23</v>
      </c>
      <c r="H150" s="95">
        <f t="shared" ca="1" si="26"/>
        <v>45313</v>
      </c>
      <c r="I150" s="119">
        <f ca="1">HLOOKUP($H$5,'Met Data'!$A$2:$F$368,G150,FALSE)</f>
        <v>19.0133333333333</v>
      </c>
      <c r="J150" s="119">
        <f ca="1">HLOOKUP($H$5,'Met Data'!$H$2:$M$368,G150,FALSE)*L150</f>
        <v>3.7366666666666601</v>
      </c>
      <c r="K150" s="96">
        <f ca="1">HLOOKUP($H$5,'Met Data'!$O$2:$T$368,G150,FALSE)</f>
        <v>4.0376213451036698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45373</v>
      </c>
      <c r="Q150">
        <f ca="1"/>
        <v>27.649802612973666</v>
      </c>
      <c r="R150">
        <f ca="1"/>
        <v>1.0811829647005595</v>
      </c>
      <c r="S150">
        <f ca="1"/>
        <v>1.2253905093865924E-2</v>
      </c>
      <c r="T150">
        <f ca="1"/>
        <v>0.16484118425270602</v>
      </c>
      <c r="U150">
        <f ca="1"/>
        <v>0</v>
      </c>
      <c r="V150">
        <f ca="1"/>
        <v>25.813996199653694</v>
      </c>
      <c r="W150">
        <f ca="1"/>
        <v>23.615026153016526</v>
      </c>
      <c r="X150">
        <f ca="1"/>
        <v>0</v>
      </c>
      <c r="Y150">
        <f ca="1"/>
        <v>0.40453133109745715</v>
      </c>
      <c r="Z150">
        <f ca="1"/>
        <v>0</v>
      </c>
      <c r="AA150">
        <f ca="1"/>
        <v>0</v>
      </c>
      <c r="AB150">
        <f ca="1"/>
        <v>0.94434942202528394</v>
      </c>
      <c r="AD150" s="2">
        <f t="shared" ca="1" si="22"/>
        <v>45373</v>
      </c>
      <c r="AE150">
        <f t="shared" ca="1" si="23"/>
        <v>0</v>
      </c>
      <c r="AG150" s="63">
        <f t="shared" ca="1" si="27"/>
        <v>28.730985577674222</v>
      </c>
      <c r="AH150" s="63">
        <f t="shared" ca="1" si="28"/>
        <v>28.730985577674225</v>
      </c>
      <c r="AI150" s="3">
        <f t="shared" ca="1" si="29"/>
        <v>0</v>
      </c>
    </row>
    <row r="151" spans="7:35">
      <c r="G151" s="3">
        <f t="shared" ca="1" si="24"/>
        <v>24</v>
      </c>
      <c r="H151" s="95">
        <f t="shared" ca="1" si="26"/>
        <v>45314</v>
      </c>
      <c r="I151" s="119">
        <f ca="1">HLOOKUP($H$5,'Met Data'!$A$2:$F$368,G151,FALSE)</f>
        <v>19.03</v>
      </c>
      <c r="J151" s="119">
        <f ca="1">HLOOKUP($H$5,'Met Data'!$H$2:$M$368,G151,FALSE)*L151</f>
        <v>2.4266666666666601</v>
      </c>
      <c r="K151" s="96">
        <f ca="1">HLOOKUP($H$5,'Met Data'!$O$2:$T$368,G151,FALSE)</f>
        <v>4.3725520099572401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45374</v>
      </c>
      <c r="Q151">
        <f ca="1"/>
        <v>26.706993601711496</v>
      </c>
      <c r="R151">
        <f ca="1"/>
        <v>1.1155230343814111</v>
      </c>
      <c r="S151">
        <f ca="1"/>
        <v>1.1666781107940949E-2</v>
      </c>
      <c r="T151">
        <f ca="1"/>
        <v>0.16104724201130036</v>
      </c>
      <c r="U151">
        <f ca="1"/>
        <v>0</v>
      </c>
      <c r="V151">
        <f ca="1"/>
        <v>26.929519234035105</v>
      </c>
      <c r="W151">
        <f ca="1"/>
        <v>24.635523151135818</v>
      </c>
      <c r="X151">
        <f ca="1"/>
        <v>0</v>
      </c>
      <c r="Y151">
        <f ca="1"/>
        <v>0.39095561937583129</v>
      </c>
      <c r="Z151">
        <f ca="1"/>
        <v>0</v>
      </c>
      <c r="AA151">
        <f ca="1"/>
        <v>0</v>
      </c>
      <c r="AB151">
        <f ca="1"/>
        <v>0.95044837216037059</v>
      </c>
      <c r="AD151" s="2">
        <f t="shared" ca="1" si="22"/>
        <v>45374</v>
      </c>
      <c r="AE151">
        <f t="shared" ca="1" si="23"/>
        <v>0</v>
      </c>
      <c r="AG151" s="63">
        <f t="shared" ca="1" si="27"/>
        <v>27.822516636092907</v>
      </c>
      <c r="AH151" s="63">
        <f t="shared" ca="1" si="28"/>
        <v>27.822516636092907</v>
      </c>
      <c r="AI151" s="3">
        <f t="shared" ca="1" si="29"/>
        <v>0</v>
      </c>
    </row>
    <row r="152" spans="7:35">
      <c r="G152" s="3">
        <f t="shared" ca="1" si="24"/>
        <v>25</v>
      </c>
      <c r="H152" s="95">
        <f t="shared" ca="1" si="26"/>
        <v>45315</v>
      </c>
      <c r="I152" s="119">
        <f ca="1">HLOOKUP($H$5,'Met Data'!$A$2:$F$368,G152,FALSE)</f>
        <v>19.07</v>
      </c>
      <c r="J152" s="119">
        <f ca="1">HLOOKUP($H$5,'Met Data'!$H$2:$M$368,G152,FALSE)*L152</f>
        <v>3.4166666666666599</v>
      </c>
      <c r="K152" s="96">
        <f ca="1">HLOOKUP($H$5,'Met Data'!$O$2:$T$368,G152,FALSE)</f>
        <v>4.19340465226154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45375</v>
      </c>
      <c r="Q152">
        <f ca="1"/>
        <v>25.720322638026698</v>
      </c>
      <c r="R152">
        <f ca="1"/>
        <v>1.1564332984272916</v>
      </c>
      <c r="S152">
        <f ca="1"/>
        <v>1.1181798330534676E-2</v>
      </c>
      <c r="T152">
        <f ca="1"/>
        <v>0.15858053641195699</v>
      </c>
      <c r="U152">
        <f ca="1"/>
        <v>0</v>
      </c>
      <c r="V152">
        <f ca="1"/>
        <v>28.085952532462397</v>
      </c>
      <c r="W152">
        <f ca="1"/>
        <v>25.693445464882267</v>
      </c>
      <c r="X152">
        <f ca="1"/>
        <v>0</v>
      </c>
      <c r="Y152">
        <f ca="1"/>
        <v>0.37784502195448277</v>
      </c>
      <c r="Z152">
        <f ca="1"/>
        <v>0</v>
      </c>
      <c r="AA152">
        <f ca="1"/>
        <v>0</v>
      </c>
      <c r="AB152">
        <f ca="1"/>
        <v>0.95591367170129737</v>
      </c>
      <c r="AD152" s="2">
        <f t="shared" ca="1" si="22"/>
        <v>45375</v>
      </c>
      <c r="AE152">
        <f t="shared" ca="1" si="23"/>
        <v>0</v>
      </c>
      <c r="AG152" s="63">
        <f t="shared" ca="1" si="27"/>
        <v>26.876755936453986</v>
      </c>
      <c r="AH152" s="63">
        <f t="shared" ca="1" si="28"/>
        <v>26.876755936453989</v>
      </c>
      <c r="AI152" s="3">
        <f t="shared" ca="1" si="29"/>
        <v>0</v>
      </c>
    </row>
    <row r="153" spans="7:35">
      <c r="G153" s="3">
        <f t="shared" ca="1" si="24"/>
        <v>26</v>
      </c>
      <c r="H153" s="95">
        <f t="shared" ca="1" si="26"/>
        <v>45316</v>
      </c>
      <c r="I153" s="119">
        <f ca="1">HLOOKUP($H$5,'Met Data'!$A$2:$F$368,G153,FALSE)</f>
        <v>19.3</v>
      </c>
      <c r="J153" s="119">
        <f ca="1">HLOOKUP($H$5,'Met Data'!$H$2:$M$368,G153,FALSE)*L153</f>
        <v>3.70333333333333</v>
      </c>
      <c r="K153" s="96">
        <f ca="1">HLOOKUP($H$5,'Met Data'!$O$2:$T$368,G153,FALSE)</f>
        <v>4.6119458181628401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45376</v>
      </c>
      <c r="Q153">
        <f ca="1"/>
        <v>24.691112699820771</v>
      </c>
      <c r="R153">
        <f ca="1"/>
        <v>1.2030333018199286</v>
      </c>
      <c r="S153">
        <f ca="1"/>
        <v>1.15397617237738E-2</v>
      </c>
      <c r="T153">
        <f ca="1"/>
        <v>0.16228360189022756</v>
      </c>
      <c r="U153">
        <f ca="1"/>
        <v>0</v>
      </c>
      <c r="V153">
        <f ca="1"/>
        <v>29.288985834282325</v>
      </c>
      <c r="W153">
        <f ca="1"/>
        <v>26.79399815210272</v>
      </c>
      <c r="X153">
        <f ca="1"/>
        <v>0</v>
      </c>
      <c r="Y153">
        <f ca="1"/>
        <v>0.39140892422245871</v>
      </c>
      <c r="Z153">
        <f ca="1"/>
        <v>0</v>
      </c>
      <c r="AA153">
        <f ca="1"/>
        <v>0</v>
      </c>
      <c r="AB153">
        <f ca="1"/>
        <v>0.96082264735697342</v>
      </c>
      <c r="AD153" s="2">
        <f t="shared" ca="1" si="22"/>
        <v>45376</v>
      </c>
      <c r="AE153">
        <f t="shared" ca="1" si="23"/>
        <v>0</v>
      </c>
      <c r="AG153" s="63">
        <f t="shared" ca="1" si="27"/>
        <v>25.894146001640699</v>
      </c>
      <c r="AH153" s="63">
        <f t="shared" ca="1" si="28"/>
        <v>25.894146001640699</v>
      </c>
      <c r="AI153" s="3">
        <f t="shared" ca="1" si="29"/>
        <v>0</v>
      </c>
    </row>
    <row r="154" spans="7:35">
      <c r="G154" s="3">
        <f t="shared" ca="1" si="24"/>
        <v>27</v>
      </c>
      <c r="H154" s="95">
        <f t="shared" ca="1" si="26"/>
        <v>45317</v>
      </c>
      <c r="I154" s="119">
        <f ca="1">HLOOKUP($H$5,'Met Data'!$A$2:$F$368,G154,FALSE)</f>
        <v>19.418333333333301</v>
      </c>
      <c r="J154" s="119">
        <f ca="1">HLOOKUP($H$5,'Met Data'!$H$2:$M$368,G154,FALSE)*L154</f>
        <v>1.2566666666666599</v>
      </c>
      <c r="K154" s="96">
        <f ca="1">HLOOKUP($H$5,'Met Data'!$O$2:$T$368,G154,FALSE)</f>
        <v>4.4486726941054897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45377</v>
      </c>
      <c r="Q154">
        <f ca="1"/>
        <v>23.605328553395776</v>
      </c>
      <c r="R154">
        <f ca="1"/>
        <v>1.2556689134833867</v>
      </c>
      <c r="S154">
        <f ca="1"/>
        <v>1.0809206548180406E-2</v>
      </c>
      <c r="T154">
        <f ca="1"/>
        <v>0.15907556051021207</v>
      </c>
      <c r="U154">
        <f ca="1"/>
        <v>0</v>
      </c>
      <c r="V154">
        <f ca="1"/>
        <v>30.544654747765712</v>
      </c>
      <c r="W154">
        <f ca="1"/>
        <v>27.942702676659742</v>
      </c>
      <c r="X154">
        <f ca="1"/>
        <v>0</v>
      </c>
      <c r="Y154">
        <f ca="1"/>
        <v>0.36638341249303558</v>
      </c>
      <c r="Z154">
        <f ca="1"/>
        <v>0</v>
      </c>
      <c r="AA154">
        <f ca="1"/>
        <v>0</v>
      </c>
      <c r="AB154">
        <f ca="1"/>
        <v>0.96523969072269011</v>
      </c>
      <c r="AD154" s="2">
        <f t="shared" ca="1" si="22"/>
        <v>45377</v>
      </c>
      <c r="AE154">
        <f t="shared" ca="1" si="23"/>
        <v>0</v>
      </c>
      <c r="AG154" s="63">
        <f t="shared" ca="1" si="27"/>
        <v>24.860997466879162</v>
      </c>
      <c r="AH154" s="63">
        <f t="shared" ca="1" si="28"/>
        <v>24.860997466879162</v>
      </c>
      <c r="AI154" s="3">
        <f t="shared" ca="1" si="29"/>
        <v>0</v>
      </c>
    </row>
    <row r="155" spans="7:35">
      <c r="G155" s="3">
        <f t="shared" ca="1" si="24"/>
        <v>28</v>
      </c>
      <c r="H155" s="95">
        <f t="shared" ca="1" si="26"/>
        <v>45318</v>
      </c>
      <c r="I155" s="119">
        <f ca="1">HLOOKUP($H$5,'Met Data'!$A$2:$F$368,G155,FALSE)</f>
        <v>19.086666666666599</v>
      </c>
      <c r="J155" s="119">
        <f ca="1">HLOOKUP($H$5,'Met Data'!$H$2:$M$368,G155,FALSE)*L155</f>
        <v>2.65</v>
      </c>
      <c r="K155" s="96">
        <f ca="1">HLOOKUP($H$5,'Met Data'!$O$2:$T$368,G155,FALSE)</f>
        <v>4.6925683722845504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45378</v>
      </c>
      <c r="Q155">
        <f ca="1"/>
        <v>22.480272509264434</v>
      </c>
      <c r="R155">
        <f ca="1"/>
        <v>1.2939260490206976</v>
      </c>
      <c r="S155">
        <f ca="1"/>
        <v>1.065541124680891E-2</v>
      </c>
      <c r="T155">
        <f ca="1"/>
        <v>0.15821459364254831</v>
      </c>
      <c r="U155">
        <f ca="1"/>
        <v>0</v>
      </c>
      <c r="V155">
        <f ca="1"/>
        <v>31.83858079678641</v>
      </c>
      <c r="W155">
        <f ca="1"/>
        <v>29.126405395578679</v>
      </c>
      <c r="X155">
        <f ca="1"/>
        <v>0</v>
      </c>
      <c r="Y155">
        <f ca="1"/>
        <v>0.36614206640659508</v>
      </c>
      <c r="Z155">
        <f ca="1"/>
        <v>0</v>
      </c>
      <c r="AA155">
        <f ca="1"/>
        <v>0</v>
      </c>
      <c r="AB155">
        <f ca="1"/>
        <v>0.96916039092645323</v>
      </c>
      <c r="AD155" s="2">
        <f t="shared" ca="1" si="22"/>
        <v>45378</v>
      </c>
      <c r="AE155">
        <f t="shared" ca="1" si="23"/>
        <v>0</v>
      </c>
      <c r="AG155" s="63">
        <f t="shared" ca="1" si="27"/>
        <v>23.774198558285132</v>
      </c>
      <c r="AH155" s="63">
        <f t="shared" ca="1" si="28"/>
        <v>23.774198558285132</v>
      </c>
      <c r="AI155" s="3">
        <f t="shared" ca="1" si="29"/>
        <v>0</v>
      </c>
    </row>
    <row r="156" spans="7:35">
      <c r="G156" s="3">
        <f t="shared" ca="1" si="24"/>
        <v>29</v>
      </c>
      <c r="H156" s="95">
        <f t="shared" ca="1" si="26"/>
        <v>45319</v>
      </c>
      <c r="I156" s="119">
        <f ca="1">HLOOKUP($H$5,'Met Data'!$A$2:$F$368,G156,FALSE)</f>
        <v>19.248333333333299</v>
      </c>
      <c r="J156" s="119">
        <f ca="1">HLOOKUP($H$5,'Met Data'!$H$2:$M$368,G156,FALSE)*L156</f>
        <v>1.81</v>
      </c>
      <c r="K156" s="96">
        <f ca="1">HLOOKUP($H$5,'Met Data'!$O$2:$T$368,G156,FALSE)</f>
        <v>4.8021312602016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45379</v>
      </c>
      <c r="Q156">
        <f ca="1"/>
        <v>21.299764327455662</v>
      </c>
      <c r="R156">
        <f ca="1"/>
        <v>1.3531373854285036</v>
      </c>
      <c r="S156">
        <f ca="1"/>
        <v>1.0868233703659413E-2</v>
      </c>
      <c r="T156">
        <f ca="1"/>
        <v>0.16176096991607022</v>
      </c>
      <c r="U156">
        <f ca="1"/>
        <v>0</v>
      </c>
      <c r="V156">
        <f ca="1"/>
        <v>33.191718182214913</v>
      </c>
      <c r="W156">
        <f ca="1"/>
        <v>30.364275522248459</v>
      </c>
      <c r="X156">
        <f ca="1"/>
        <v>0</v>
      </c>
      <c r="Y156">
        <f ca="1"/>
        <v>0.37182391440668139</v>
      </c>
      <c r="Z156">
        <f ca="1"/>
        <v>0</v>
      </c>
      <c r="AA156">
        <f ca="1"/>
        <v>0</v>
      </c>
      <c r="AB156">
        <f ca="1"/>
        <v>0.9726891313741598</v>
      </c>
      <c r="AD156" s="2">
        <f t="shared" ca="1" si="22"/>
        <v>45379</v>
      </c>
      <c r="AE156">
        <f t="shared" ca="1" si="23"/>
        <v>0</v>
      </c>
      <c r="AG156" s="63">
        <f t="shared" ca="1" si="27"/>
        <v>22.652901712884162</v>
      </c>
      <c r="AH156" s="63">
        <f t="shared" ca="1" si="28"/>
        <v>22.652901712884166</v>
      </c>
      <c r="AI156" s="3">
        <f t="shared" ca="1" si="29"/>
        <v>0</v>
      </c>
    </row>
    <row r="157" spans="7:35">
      <c r="G157" s="3">
        <f t="shared" ca="1" si="24"/>
        <v>30</v>
      </c>
      <c r="H157" s="95">
        <f t="shared" ca="1" si="26"/>
        <v>45320</v>
      </c>
      <c r="I157" s="119">
        <f ca="1">HLOOKUP($H$5,'Met Data'!$A$2:$F$368,G157,FALSE)</f>
        <v>19.486666666666601</v>
      </c>
      <c r="J157" s="119">
        <f ca="1">HLOOKUP($H$5,'Met Data'!$H$2:$M$368,G157,FALSE)*L157</f>
        <v>2.1066666666666598</v>
      </c>
      <c r="K157" s="96">
        <f ca="1">HLOOKUP($H$5,'Met Data'!$O$2:$T$368,G157,FALSE)</f>
        <v>4.81456570354226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45380</v>
      </c>
      <c r="Q157">
        <f ca="1"/>
        <v>20.083455035465459</v>
      </c>
      <c r="R157">
        <f ca="1"/>
        <v>1.3817300669691051</v>
      </c>
      <c r="S157">
        <f ca="1"/>
        <v>1.0044248671306377E-2</v>
      </c>
      <c r="T157">
        <f ca="1"/>
        <v>0.15537652630759638</v>
      </c>
      <c r="U157">
        <f ca="1"/>
        <v>0</v>
      </c>
      <c r="V157">
        <f ca="1"/>
        <v>34.573448249184018</v>
      </c>
      <c r="W157">
        <f ca="1"/>
        <v>31.628302657586861</v>
      </c>
      <c r="X157">
        <f ca="1"/>
        <v>0</v>
      </c>
      <c r="Y157">
        <f ca="1"/>
        <v>0.35168451829291963</v>
      </c>
      <c r="Z157">
        <f ca="1"/>
        <v>0</v>
      </c>
      <c r="AA157">
        <f ca="1"/>
        <v>0</v>
      </c>
      <c r="AB157">
        <f ca="1"/>
        <v>0.97578973419234527</v>
      </c>
      <c r="AD157" s="2">
        <f t="shared" ca="1" si="22"/>
        <v>45380</v>
      </c>
      <c r="AE157">
        <f t="shared" ca="1" si="23"/>
        <v>0</v>
      </c>
      <c r="AG157" s="63">
        <f t="shared" ca="1" si="27"/>
        <v>21.465185102434564</v>
      </c>
      <c r="AH157" s="63">
        <f t="shared" ca="1" si="28"/>
        <v>21.465185102434564</v>
      </c>
      <c r="AI157" s="3">
        <f t="shared" ca="1" si="29"/>
        <v>0</v>
      </c>
    </row>
    <row r="158" spans="7:35">
      <c r="G158" s="3">
        <f t="shared" ca="1" si="24"/>
        <v>31</v>
      </c>
      <c r="H158" s="95">
        <f t="shared" ca="1" si="26"/>
        <v>45321</v>
      </c>
      <c r="I158" s="119">
        <f ca="1">HLOOKUP($H$5,'Met Data'!$A$2:$F$368,G158,FALSE)</f>
        <v>19.725000000000001</v>
      </c>
      <c r="J158" s="119">
        <f ca="1">HLOOKUP($H$5,'Met Data'!$H$2:$M$368,G158,FALSE)*L158</f>
        <v>3.1033333333333299</v>
      </c>
      <c r="K158" s="96">
        <f ca="1">HLOOKUP($H$5,'Met Data'!$O$2:$T$368,G158,FALSE)</f>
        <v>4.4640725934925003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45381</v>
      </c>
      <c r="Q158">
        <f ca="1"/>
        <v>18.839930129151426</v>
      </c>
      <c r="R158">
        <f ca="1"/>
        <v>1.4082117641770324</v>
      </c>
      <c r="S158">
        <f ca="1"/>
        <v>1.0074815560296102E-2</v>
      </c>
      <c r="T158">
        <f ca="1"/>
        <v>0.15461204230270423</v>
      </c>
      <c r="U158">
        <f ca="1"/>
        <v>0</v>
      </c>
      <c r="V158">
        <f ca="1"/>
        <v>35.981660013361051</v>
      </c>
      <c r="W158">
        <f ca="1"/>
        <v>32.916555641852518</v>
      </c>
      <c r="X158">
        <f ca="1"/>
        <v>0</v>
      </c>
      <c r="Y158">
        <f ca="1"/>
        <v>0.36124114953514613</v>
      </c>
      <c r="Z158">
        <f ca="1"/>
        <v>0</v>
      </c>
      <c r="AA158">
        <f ca="1"/>
        <v>0</v>
      </c>
      <c r="AB158">
        <f ca="1"/>
        <v>0.97851366881886537</v>
      </c>
      <c r="AD158" s="2">
        <f t="shared" ca="1" si="22"/>
        <v>45381</v>
      </c>
      <c r="AE158">
        <f t="shared" ca="1" si="23"/>
        <v>0</v>
      </c>
      <c r="AG158" s="63">
        <f t="shared" ca="1" si="27"/>
        <v>20.248141893328462</v>
      </c>
      <c r="AH158" s="63">
        <f t="shared" ca="1" si="28"/>
        <v>20.248141893328459</v>
      </c>
      <c r="AI158" s="3">
        <f t="shared" ca="1" si="29"/>
        <v>0</v>
      </c>
    </row>
    <row r="159" spans="7:35">
      <c r="G159" s="3">
        <f t="shared" ca="1" si="24"/>
        <v>32</v>
      </c>
      <c r="H159" s="95">
        <f t="shared" ca="1" si="26"/>
        <v>45322</v>
      </c>
      <c r="I159" s="119">
        <f ca="1">HLOOKUP($H$5,'Met Data'!$A$2:$F$368,G159,FALSE)</f>
        <v>19.670000000000002</v>
      </c>
      <c r="J159" s="119">
        <f ca="1">HLOOKUP($H$5,'Met Data'!$H$2:$M$368,G159,FALSE)*L159</f>
        <v>2.7466666666666599</v>
      </c>
      <c r="K159" s="96">
        <f ca="1">HLOOKUP($H$5,'Met Data'!$O$2:$T$368,G159,FALSE)</f>
        <v>4.1799437739427896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45382</v>
      </c>
      <c r="Q159">
        <f ca="1"/>
        <v>17.57224890378922</v>
      </c>
      <c r="R159">
        <f ca="1"/>
        <v>1.4265425289870706</v>
      </c>
      <c r="S159">
        <f ca="1"/>
        <v>9.5230354250643856E-3</v>
      </c>
      <c r="T159">
        <f ca="1"/>
        <v>0.1493382681997977</v>
      </c>
      <c r="U159">
        <f ca="1"/>
        <v>0</v>
      </c>
      <c r="V159">
        <f ca="1"/>
        <v>37.408202542348121</v>
      </c>
      <c r="W159">
        <f ca="1"/>
        <v>34.221577881333282</v>
      </c>
      <c r="X159">
        <f ca="1"/>
        <v>0</v>
      </c>
      <c r="Y159">
        <f ca="1"/>
        <v>0.35155154517748699</v>
      </c>
      <c r="Z159">
        <f ca="1"/>
        <v>0</v>
      </c>
      <c r="AA159">
        <f ca="1"/>
        <v>0</v>
      </c>
      <c r="AB159">
        <f ca="1"/>
        <v>0.98089760806776938</v>
      </c>
      <c r="AD159" s="2">
        <f t="shared" ca="1" si="22"/>
        <v>45382</v>
      </c>
      <c r="AE159">
        <f t="shared" ca="1" si="23"/>
        <v>0</v>
      </c>
      <c r="AG159" s="63">
        <f t="shared" ca="1" si="27"/>
        <v>18.99879143277629</v>
      </c>
      <c r="AH159" s="63">
        <f t="shared" ca="1" si="28"/>
        <v>18.99879143277629</v>
      </c>
      <c r="AI159" s="3">
        <f t="shared" ca="1" si="29"/>
        <v>0</v>
      </c>
    </row>
    <row r="160" spans="7:35">
      <c r="G160" s="3">
        <f t="shared" ca="1" si="24"/>
        <v>33</v>
      </c>
      <c r="H160" s="95">
        <f t="shared" ca="1" si="26"/>
        <v>45323</v>
      </c>
      <c r="I160" s="119">
        <f ca="1">HLOOKUP($H$5,'Met Data'!$A$2:$F$368,G160,FALSE)</f>
        <v>19.770689655172401</v>
      </c>
      <c r="J160" s="119">
        <f ca="1">HLOOKUP($H$5,'Met Data'!$H$2:$M$368,G160,FALSE)*L160</f>
        <v>1.1103448275862</v>
      </c>
      <c r="K160" s="96">
        <f ca="1">HLOOKUP($H$5,'Met Data'!$O$2:$T$368,G160,FALSE)</f>
        <v>4.5867414057587403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45383</v>
      </c>
      <c r="Q160">
        <f ca="1"/>
        <v>16.272188725303199</v>
      </c>
      <c r="R160">
        <f ca="1"/>
        <v>1.4608343780393298</v>
      </c>
      <c r="S160">
        <f ca="1"/>
        <v>9.7778192701598599E-3</v>
      </c>
      <c r="T160">
        <f ca="1"/>
        <v>0.15099638028314893</v>
      </c>
      <c r="U160">
        <f ca="1"/>
        <v>0</v>
      </c>
      <c r="V160">
        <f ca="1"/>
        <v>38.869036920387451</v>
      </c>
      <c r="W160">
        <f ca="1"/>
        <v>35.557970812354441</v>
      </c>
      <c r="X160">
        <f ca="1"/>
        <v>0</v>
      </c>
      <c r="Y160">
        <f ca="1"/>
        <v>0.3665080375272689</v>
      </c>
      <c r="Z160">
        <f ca="1"/>
        <v>0</v>
      </c>
      <c r="AA160">
        <f ca="1"/>
        <v>0</v>
      </c>
      <c r="AB160">
        <f ca="1"/>
        <v>0.98301054009195554</v>
      </c>
      <c r="AD160" s="2">
        <f t="shared" ca="1" si="22"/>
        <v>45383</v>
      </c>
      <c r="AE160">
        <f t="shared" ca="1" si="23"/>
        <v>0</v>
      </c>
      <c r="AG160" s="63">
        <f t="shared" ca="1" si="27"/>
        <v>17.733023103342529</v>
      </c>
      <c r="AH160" s="63">
        <f t="shared" ca="1" si="28"/>
        <v>17.733023103342529</v>
      </c>
      <c r="AI160" s="3">
        <f t="shared" ca="1" si="29"/>
        <v>0</v>
      </c>
    </row>
    <row r="161" spans="7:35">
      <c r="G161" s="3">
        <f t="shared" ca="1" si="24"/>
        <v>34</v>
      </c>
      <c r="H161" s="95">
        <f t="shared" ca="1" si="26"/>
        <v>45324</v>
      </c>
      <c r="I161" s="119">
        <f ca="1">HLOOKUP($H$5,'Met Data'!$A$2:$F$368,G161,FALSE)</f>
        <v>19.548275862068898</v>
      </c>
      <c r="J161" s="119">
        <f ca="1">HLOOKUP($H$5,'Met Data'!$H$2:$M$368,G161,FALSE)*L161</f>
        <v>4.0620689655172404</v>
      </c>
      <c r="K161" s="96">
        <f ca="1">HLOOKUP($H$5,'Met Data'!$O$2:$T$368,G161,FALSE)</f>
        <v>4.65070177511826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45384</v>
      </c>
      <c r="Q161">
        <f ca="1"/>
        <v>14.91867693870012</v>
      </c>
      <c r="R161">
        <f ca="1"/>
        <v>1.5173706973007413</v>
      </c>
      <c r="S161">
        <f ca="1"/>
        <v>9.9432876417315796E-3</v>
      </c>
      <c r="T161">
        <f ca="1"/>
        <v>0.1539156230559291</v>
      </c>
      <c r="U161">
        <f ca="1"/>
        <v>0</v>
      </c>
      <c r="V161">
        <f ca="1"/>
        <v>40.386407617688192</v>
      </c>
      <c r="W161">
        <f ca="1"/>
        <v>36.946084005811052</v>
      </c>
      <c r="X161">
        <f ca="1"/>
        <v>0</v>
      </c>
      <c r="Y161">
        <f ca="1"/>
        <v>0.37214046123892935</v>
      </c>
      <c r="Z161">
        <f ca="1"/>
        <v>0</v>
      </c>
      <c r="AA161">
        <f ca="1"/>
        <v>0</v>
      </c>
      <c r="AB161">
        <f ca="1"/>
        <v>0.98491001376645826</v>
      </c>
      <c r="AD161" s="2">
        <f t="shared" ca="1" si="22"/>
        <v>45384</v>
      </c>
      <c r="AE161">
        <f t="shared" ca="1" si="23"/>
        <v>0</v>
      </c>
      <c r="AG161" s="63">
        <f t="shared" ca="1" si="27"/>
        <v>16.436047636000861</v>
      </c>
      <c r="AH161" s="63">
        <f t="shared" ca="1" si="28"/>
        <v>16.436047636000861</v>
      </c>
      <c r="AI161" s="3">
        <f t="shared" ca="1" si="29"/>
        <v>0</v>
      </c>
    </row>
    <row r="162" spans="7:35">
      <c r="G162" s="3">
        <f t="shared" ca="1" si="24"/>
        <v>35</v>
      </c>
      <c r="H162" s="95">
        <f t="shared" ca="1" si="26"/>
        <v>45325</v>
      </c>
      <c r="I162" s="119">
        <f ca="1">HLOOKUP($H$5,'Met Data'!$A$2:$F$368,G162,FALSE)</f>
        <v>19.325862068965499</v>
      </c>
      <c r="J162" s="119">
        <f ca="1">HLOOKUP($H$5,'Met Data'!$H$2:$M$368,G162,FALSE)*L162</f>
        <v>1.00344827586206</v>
      </c>
      <c r="K162" s="96">
        <f ca="1">HLOOKUP($H$5,'Met Data'!$O$2:$T$368,G162,FALSE)</f>
        <v>4.2568283320677196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45385</v>
      </c>
      <c r="Q162">
        <f ca="1"/>
        <v>13.551859991965564</v>
      </c>
      <c r="R162">
        <f ca="1"/>
        <v>1.5222818581519704</v>
      </c>
      <c r="S162">
        <f ca="1"/>
        <v>9.1826686706335536E-3</v>
      </c>
      <c r="T162">
        <f ca="1"/>
        <v>0.14628224274678245</v>
      </c>
      <c r="U162">
        <f ca="1"/>
        <v>0</v>
      </c>
      <c r="V162">
        <f ca="1"/>
        <v>41.908689475840163</v>
      </c>
      <c r="W162">
        <f ca="1"/>
        <v>38.338690001972296</v>
      </c>
      <c r="X162">
        <f ca="1"/>
        <v>0</v>
      </c>
      <c r="Y162">
        <f ca="1"/>
        <v>0.35664068243221947</v>
      </c>
      <c r="Z162">
        <f ca="1"/>
        <v>0</v>
      </c>
      <c r="AA162">
        <f ca="1"/>
        <v>0</v>
      </c>
      <c r="AB162">
        <f ca="1"/>
        <v>0.98656149424310768</v>
      </c>
      <c r="AD162" s="2">
        <f t="shared" ca="1" si="22"/>
        <v>45385</v>
      </c>
      <c r="AE162">
        <f t="shared" ca="1" si="23"/>
        <v>0</v>
      </c>
      <c r="AG162" s="63">
        <f t="shared" ca="1" si="27"/>
        <v>15.074141850117535</v>
      </c>
      <c r="AH162" s="63">
        <f t="shared" ca="1" si="28"/>
        <v>15.074141850117535</v>
      </c>
      <c r="AI162" s="3">
        <f t="shared" ca="1" si="29"/>
        <v>0</v>
      </c>
    </row>
    <row r="163" spans="7:35">
      <c r="G163" s="3">
        <f t="shared" ca="1" si="24"/>
        <v>36</v>
      </c>
      <c r="H163" s="95">
        <f t="shared" ca="1" si="26"/>
        <v>45326</v>
      </c>
      <c r="I163" s="119">
        <f ca="1">HLOOKUP($H$5,'Met Data'!$A$2:$F$368,G163,FALSE)</f>
        <v>18.712068965517201</v>
      </c>
      <c r="J163" s="119">
        <f ca="1">HLOOKUP($H$5,'Met Data'!$H$2:$M$368,G163,FALSE)*L163</f>
        <v>4.7586206896551699</v>
      </c>
      <c r="K163" s="96">
        <f ca="1">HLOOKUP($H$5,'Met Data'!$O$2:$T$368,G163,FALSE)</f>
        <v>3.6726350990735899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45386</v>
      </c>
      <c r="Q163">
        <f ca="1"/>
        <v>12.142702415843864</v>
      </c>
      <c r="R163">
        <f ca="1"/>
        <v>1.5623309303501998</v>
      </c>
      <c r="S163">
        <f ca="1"/>
        <v>8.8329393670205647E-3</v>
      </c>
      <c r="T163">
        <f ca="1"/>
        <v>0.14434041486148044</v>
      </c>
      <c r="U163">
        <f ca="1"/>
        <v>0</v>
      </c>
      <c r="V163">
        <f ca="1"/>
        <v>43.471020406190362</v>
      </c>
      <c r="W163">
        <f ca="1"/>
        <v>39.767933482700073</v>
      </c>
      <c r="X163">
        <f ca="1"/>
        <v>0</v>
      </c>
      <c r="Y163">
        <f ca="1"/>
        <v>0.34629820741121586</v>
      </c>
      <c r="Z163">
        <f ca="1"/>
        <v>0</v>
      </c>
      <c r="AA163">
        <f ca="1"/>
        <v>0</v>
      </c>
      <c r="AB163">
        <f ca="1"/>
        <v>0.98803357558256699</v>
      </c>
      <c r="AD163" s="2">
        <f t="shared" ca="1" si="22"/>
        <v>45386</v>
      </c>
      <c r="AE163">
        <f t="shared" ca="1" si="23"/>
        <v>0</v>
      </c>
      <c r="AG163" s="63">
        <f t="shared" ca="1" si="27"/>
        <v>13.705033346194066</v>
      </c>
      <c r="AH163" s="63">
        <f t="shared" ca="1" si="28"/>
        <v>13.705033346194064</v>
      </c>
      <c r="AI163" s="3">
        <f t="shared" ca="1" si="29"/>
        <v>0</v>
      </c>
    </row>
    <row r="164" spans="7:35">
      <c r="G164" s="3">
        <f t="shared" ca="1" si="24"/>
        <v>37</v>
      </c>
      <c r="H164" s="95">
        <f t="shared" ca="1" si="26"/>
        <v>45327</v>
      </c>
      <c r="I164" s="119">
        <f ca="1">HLOOKUP($H$5,'Met Data'!$A$2:$F$368,G164,FALSE)</f>
        <v>19.178333333333299</v>
      </c>
      <c r="J164" s="119">
        <f ca="1">HLOOKUP($H$5,'Met Data'!$H$2:$M$368,G164,FALSE)*L164</f>
        <v>2.2833333333333301</v>
      </c>
      <c r="K164" s="96">
        <f ca="1">HLOOKUP($H$5,'Met Data'!$O$2:$T$368,G164,FALSE)</f>
        <v>4.0355922642947899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45387</v>
      </c>
      <c r="Q164">
        <f ca="1"/>
        <v>10.694368606184131</v>
      </c>
      <c r="R164">
        <f ca="1"/>
        <v>1.6040150658335861</v>
      </c>
      <c r="S164">
        <f ca="1"/>
        <v>9.0713908896251638E-3</v>
      </c>
      <c r="T164">
        <f ca="1"/>
        <v>0.14660986528422773</v>
      </c>
      <c r="U164">
        <f ca="1"/>
        <v>0</v>
      </c>
      <c r="V164">
        <f ca="1"/>
        <v>45.075035472023949</v>
      </c>
      <c r="W164">
        <f ca="1"/>
        <v>41.235310228110798</v>
      </c>
      <c r="X164">
        <f ca="1"/>
        <v>0</v>
      </c>
      <c r="Y164">
        <f ca="1"/>
        <v>0.35858054739938544</v>
      </c>
      <c r="Z164">
        <f ca="1"/>
        <v>0</v>
      </c>
      <c r="AA164">
        <f ca="1"/>
        <v>0</v>
      </c>
      <c r="AB164">
        <f ca="1"/>
        <v>0.98934677750653632</v>
      </c>
      <c r="AD164" s="2">
        <f t="shared" ca="1" si="22"/>
        <v>45387</v>
      </c>
      <c r="AE164">
        <f t="shared" ca="1" si="23"/>
        <v>0</v>
      </c>
      <c r="AG164" s="63">
        <f t="shared" ca="1" si="27"/>
        <v>12.298383672017717</v>
      </c>
      <c r="AH164" s="63">
        <f t="shared" ca="1" si="28"/>
        <v>12.298383672017717</v>
      </c>
      <c r="AI164" s="3">
        <f t="shared" ca="1" si="29"/>
        <v>0</v>
      </c>
    </row>
    <row r="165" spans="7:35">
      <c r="G165" s="3">
        <f t="shared" ca="1" si="24"/>
        <v>38</v>
      </c>
      <c r="H165" s="95">
        <f t="shared" ca="1" si="26"/>
        <v>45328</v>
      </c>
      <c r="I165" s="119">
        <f ca="1">HLOOKUP($H$5,'Met Data'!$A$2:$F$368,G165,FALSE)</f>
        <v>19.063333333333301</v>
      </c>
      <c r="J165" s="119">
        <f ca="1">HLOOKUP($H$5,'Met Data'!$H$2:$M$368,G165,FALSE)*L165</f>
        <v>0.35</v>
      </c>
      <c r="K165" s="96">
        <f ca="1">HLOOKUP($H$5,'Met Data'!$O$2:$T$368,G165,FALSE)</f>
        <v>4.5836031413853302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45388</v>
      </c>
      <c r="Q165">
        <f ca="1"/>
        <v>9.2087243399405843</v>
      </c>
      <c r="R165">
        <f ca="1"/>
        <v>1.6405194665902556</v>
      </c>
      <c r="S165">
        <f ca="1"/>
        <v>8.9372955561346501E-3</v>
      </c>
      <c r="T165">
        <f ca="1"/>
        <v>0.14593790479057484</v>
      </c>
      <c r="U165">
        <f ca="1"/>
        <v>0</v>
      </c>
      <c r="V165">
        <f ca="1"/>
        <v>46.715554938614204</v>
      </c>
      <c r="W165">
        <f ca="1"/>
        <v>42.73608174013966</v>
      </c>
      <c r="X165">
        <f ca="1"/>
        <v>0</v>
      </c>
      <c r="Y165">
        <f ca="1"/>
        <v>0.35747855875393447</v>
      </c>
      <c r="Z165">
        <f ca="1"/>
        <v>0</v>
      </c>
      <c r="AA165">
        <f ca="1"/>
        <v>0</v>
      </c>
      <c r="AB165">
        <f ca="1"/>
        <v>0.99051448241050832</v>
      </c>
      <c r="AD165" s="2">
        <f t="shared" ca="1" si="22"/>
        <v>45388</v>
      </c>
      <c r="AE165">
        <f t="shared" ca="1" si="23"/>
        <v>0</v>
      </c>
      <c r="AG165" s="63">
        <f t="shared" ca="1" si="27"/>
        <v>10.84924380653084</v>
      </c>
      <c r="AH165" s="63">
        <f t="shared" ca="1" si="28"/>
        <v>10.84924380653084</v>
      </c>
      <c r="AI165" s="3">
        <f t="shared" ca="1" si="29"/>
        <v>0</v>
      </c>
    </row>
    <row r="166" spans="7:35">
      <c r="G166" s="3">
        <f t="shared" ca="1" si="24"/>
        <v>39</v>
      </c>
      <c r="H166" s="95">
        <f t="shared" ca="1" si="26"/>
        <v>45329</v>
      </c>
      <c r="I166" s="119">
        <f ca="1">HLOOKUP($H$5,'Met Data'!$A$2:$F$368,G166,FALSE)</f>
        <v>19.164999999999999</v>
      </c>
      <c r="J166" s="119">
        <f ca="1">HLOOKUP($H$5,'Met Data'!$H$2:$M$368,G166,FALSE)*L166</f>
        <v>0.80666666666666598</v>
      </c>
      <c r="K166" s="96">
        <f ca="1">HLOOKUP($H$5,'Met Data'!$O$2:$T$368,G166,FALSE)</f>
        <v>4.2844164584952198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45389</v>
      </c>
      <c r="Q166">
        <f ca="1"/>
        <v>7.7085305265352826</v>
      </c>
      <c r="R166">
        <f ca="1"/>
        <v>1.6539305880549762</v>
      </c>
      <c r="S166">
        <f ca="1"/>
        <v>8.9493512265708119E-3</v>
      </c>
      <c r="T166">
        <f ca="1"/>
        <v>0.14478742342310408</v>
      </c>
      <c r="U166">
        <f ca="1"/>
        <v>0</v>
      </c>
      <c r="V166">
        <f ca="1"/>
        <v>48.36948552666918</v>
      </c>
      <c r="W166">
        <f ca="1"/>
        <v>44.24912194476773</v>
      </c>
      <c r="X166">
        <f ca="1"/>
        <v>0</v>
      </c>
      <c r="Y166">
        <f ca="1"/>
        <v>0.36767707949899769</v>
      </c>
      <c r="Z166">
        <f ca="1"/>
        <v>0</v>
      </c>
      <c r="AA166">
        <f ca="1"/>
        <v>0</v>
      </c>
      <c r="AB166">
        <f ca="1"/>
        <v>0.99153982664518614</v>
      </c>
      <c r="AD166" s="2">
        <f t="shared" ca="1" si="22"/>
        <v>45389</v>
      </c>
      <c r="AE166">
        <f t="shared" ca="1" si="23"/>
        <v>0</v>
      </c>
      <c r="AG166" s="63">
        <f t="shared" ca="1" si="27"/>
        <v>9.3624611145902588</v>
      </c>
      <c r="AH166" s="63">
        <f t="shared" ca="1" si="28"/>
        <v>9.3624611145902588</v>
      </c>
      <c r="AI166" s="3">
        <f t="shared" ca="1" si="29"/>
        <v>0</v>
      </c>
    </row>
    <row r="167" spans="7:35">
      <c r="G167" s="3">
        <f t="shared" ca="1" si="24"/>
        <v>40</v>
      </c>
      <c r="H167" s="95">
        <f t="shared" ca="1" si="26"/>
        <v>45330</v>
      </c>
      <c r="I167" s="119">
        <f ca="1">HLOOKUP($H$5,'Met Data'!$A$2:$F$368,G167,FALSE)</f>
        <v>19.145</v>
      </c>
      <c r="J167" s="119">
        <f ca="1">HLOOKUP($H$5,'Met Data'!$H$2:$M$368,G167,FALSE)*L167</f>
        <v>2.1066666666666598</v>
      </c>
      <c r="K167" s="96">
        <f ca="1">HLOOKUP($H$5,'Met Data'!$O$2:$T$368,G167,FALSE)</f>
        <v>4.0819751344129296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45390</v>
      </c>
      <c r="Q167">
        <f ca="1"/>
        <v>6.2043465255665495</v>
      </c>
      <c r="R167">
        <f ca="1"/>
        <v>1.6611925398516689</v>
      </c>
      <c r="S167">
        <f ca="1"/>
        <v>9.487785497592327E-3</v>
      </c>
      <c r="T167">
        <f ca="1"/>
        <v>0.14752075338534387</v>
      </c>
      <c r="U167">
        <f ca="1"/>
        <v>0</v>
      </c>
      <c r="V167">
        <f ca="1"/>
        <v>50.030678066520849</v>
      </c>
      <c r="W167">
        <f ca="1"/>
        <v>45.768805490483892</v>
      </c>
      <c r="X167">
        <f ca="1"/>
        <v>0</v>
      </c>
      <c r="Y167">
        <f ca="1"/>
        <v>0.40156314359430734</v>
      </c>
      <c r="Z167">
        <f ca="1"/>
        <v>0</v>
      </c>
      <c r="AA167">
        <f ca="1"/>
        <v>0</v>
      </c>
      <c r="AB167">
        <f ca="1"/>
        <v>0.99243938476597682</v>
      </c>
      <c r="AD167" s="2">
        <f t="shared" ca="1" si="22"/>
        <v>45390</v>
      </c>
      <c r="AE167">
        <f t="shared" ca="1" si="23"/>
        <v>0</v>
      </c>
      <c r="AG167" s="63">
        <f t="shared" ca="1" si="27"/>
        <v>7.8655390654182185</v>
      </c>
      <c r="AH167" s="63">
        <f t="shared" ca="1" si="28"/>
        <v>7.8655390654182185</v>
      </c>
      <c r="AI167" s="3">
        <f t="shared" ca="1" si="29"/>
        <v>0</v>
      </c>
    </row>
    <row r="168" spans="7:35">
      <c r="G168" s="3">
        <f t="shared" ca="1" si="24"/>
        <v>41</v>
      </c>
      <c r="H168" s="95">
        <f t="shared" ca="1" si="26"/>
        <v>45331</v>
      </c>
      <c r="I168" s="119">
        <f ca="1">HLOOKUP($H$5,'Met Data'!$A$2:$F$368,G168,FALSE)</f>
        <v>19.28</v>
      </c>
      <c r="J168" s="119">
        <f ca="1">HLOOKUP($H$5,'Met Data'!$H$2:$M$368,G168,FALSE)*L168</f>
        <v>1.1200000000000001</v>
      </c>
      <c r="K168" s="96">
        <f ca="1">HLOOKUP($H$5,'Met Data'!$O$2:$T$368,G168,FALSE)</f>
        <v>4.260490854165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45391</v>
      </c>
      <c r="Q168">
        <f ca="1"/>
        <v>4.6734534193426214</v>
      </c>
      <c r="R168">
        <f ca="1"/>
        <v>1.6876210494851378</v>
      </c>
      <c r="S168">
        <f ca="1"/>
        <v>9.443462023164706E-3</v>
      </c>
      <c r="T168">
        <f ca="1"/>
        <v>0.1472844812380448</v>
      </c>
      <c r="U168">
        <f ca="1"/>
        <v>0</v>
      </c>
      <c r="V168">
        <f ca="1"/>
        <v>51.718299116005987</v>
      </c>
      <c r="W168">
        <f ca="1"/>
        <v>47.312666228346217</v>
      </c>
      <c r="X168">
        <f ca="1"/>
        <v>0</v>
      </c>
      <c r="Y168">
        <f ca="1"/>
        <v>0.40629117602045378</v>
      </c>
      <c r="Z168">
        <f ca="1"/>
        <v>0</v>
      </c>
      <c r="AA168">
        <f ca="1"/>
        <v>0</v>
      </c>
      <c r="AB168">
        <f ca="1"/>
        <v>0.99323942365721063</v>
      </c>
      <c r="AD168" s="2">
        <f t="shared" ca="1" si="22"/>
        <v>45391</v>
      </c>
      <c r="AE168">
        <f t="shared" ca="1" si="23"/>
        <v>0</v>
      </c>
      <c r="AG168" s="63">
        <f t="shared" ca="1" si="27"/>
        <v>6.3610744688277592</v>
      </c>
      <c r="AH168" s="63">
        <f t="shared" ca="1" si="28"/>
        <v>6.3610744688277592</v>
      </c>
      <c r="AI168" s="3">
        <f t="shared" ca="1" si="29"/>
        <v>0</v>
      </c>
    </row>
    <row r="169" spans="7:35">
      <c r="G169" s="3">
        <f t="shared" ca="1" si="24"/>
        <v>42</v>
      </c>
      <c r="H169" s="95">
        <f t="shared" ca="1" si="26"/>
        <v>45332</v>
      </c>
      <c r="I169" s="119">
        <f ca="1">HLOOKUP($H$5,'Met Data'!$A$2:$F$368,G169,FALSE)</f>
        <v>19.6533333333333</v>
      </c>
      <c r="J169" s="119">
        <f ca="1">HLOOKUP($H$5,'Met Data'!$H$2:$M$368,G169,FALSE)*L169</f>
        <v>1.4866666666666599</v>
      </c>
      <c r="K169" s="96">
        <f ca="1">HLOOKUP($H$5,'Met Data'!$O$2:$T$368,G169,FALSE)</f>
        <v>3.7833097987788902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45392</v>
      </c>
      <c r="Q169">
        <f ca="1"/>
        <v>3.1344809889742029</v>
      </c>
      <c r="R169">
        <f ca="1"/>
        <v>1.6929519268773632</v>
      </c>
      <c r="S169">
        <f ca="1"/>
        <v>9.2577808335816414E-3</v>
      </c>
      <c r="T169">
        <f ca="1"/>
        <v>0.14472171567536268</v>
      </c>
      <c r="U169">
        <f ca="1"/>
        <v>0</v>
      </c>
      <c r="V169">
        <f ca="1"/>
        <v>53.41125104288335</v>
      </c>
      <c r="W169">
        <f ca="1"/>
        <v>48.861403731822911</v>
      </c>
      <c r="X169">
        <f ca="1"/>
        <v>0</v>
      </c>
      <c r="Y169">
        <f ca="1"/>
        <v>0.40993886778866562</v>
      </c>
      <c r="Z169">
        <f ca="1"/>
        <v>0</v>
      </c>
      <c r="AA169">
        <f ca="1"/>
        <v>0</v>
      </c>
      <c r="AB169">
        <f ca="1"/>
        <v>0.9939435278876767</v>
      </c>
      <c r="AD169" s="2">
        <f t="shared" ca="1" si="22"/>
        <v>45392</v>
      </c>
      <c r="AE169">
        <f t="shared" ca="1" si="23"/>
        <v>0</v>
      </c>
      <c r="AG169" s="63">
        <f t="shared" ca="1" si="27"/>
        <v>4.8274329158515661</v>
      </c>
      <c r="AH169" s="63">
        <f t="shared" ca="1" si="28"/>
        <v>4.8274329158515661</v>
      </c>
      <c r="AI169" s="3">
        <f t="shared" ca="1" si="29"/>
        <v>0</v>
      </c>
    </row>
    <row r="170" spans="7:35">
      <c r="G170" s="3">
        <f t="shared" ca="1" si="24"/>
        <v>43</v>
      </c>
      <c r="H170" s="95">
        <f t="shared" ca="1" si="26"/>
        <v>45333</v>
      </c>
      <c r="I170" s="119">
        <f ca="1">HLOOKUP($H$5,'Met Data'!$A$2:$F$368,G170,FALSE)</f>
        <v>19.843333333333302</v>
      </c>
      <c r="J170" s="119">
        <f ca="1">HLOOKUP($H$5,'Met Data'!$H$2:$M$368,G170,FALSE)*L170</f>
        <v>2.3199999999999998</v>
      </c>
      <c r="K170" s="96">
        <f ca="1">HLOOKUP($H$5,'Met Data'!$O$2:$T$368,G170,FALSE)</f>
        <v>3.6396000191553801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45393</v>
      </c>
      <c r="Q170">
        <f ca="1"/>
        <v>1.560814129526539</v>
      </c>
      <c r="R170">
        <f ca="1"/>
        <v>1.7331646886533747</v>
      </c>
      <c r="S170">
        <f ca="1"/>
        <v>9.7215906356780124E-3</v>
      </c>
      <c r="T170">
        <f ca="1"/>
        <v>0.14977623857003292</v>
      </c>
      <c r="U170">
        <f ca="1"/>
        <v>0</v>
      </c>
      <c r="V170">
        <f ca="1"/>
        <v>55.144415731536725</v>
      </c>
      <c r="W170">
        <f ca="1"/>
        <v>50.446928465516919</v>
      </c>
      <c r="X170">
        <f ca="1"/>
        <v>0</v>
      </c>
      <c r="Y170">
        <f ca="1"/>
        <v>0.43322426366581618</v>
      </c>
      <c r="Z170">
        <f ca="1"/>
        <v>0</v>
      </c>
      <c r="AA170">
        <f ca="1"/>
        <v>0</v>
      </c>
      <c r="AB170">
        <f ca="1"/>
        <v>0.99457690783160646</v>
      </c>
      <c r="AD170" s="2">
        <f t="shared" ca="1" si="22"/>
        <v>45393</v>
      </c>
      <c r="AE170">
        <f t="shared" ca="1" si="23"/>
        <v>0</v>
      </c>
      <c r="AG170" s="63">
        <f t="shared" ca="1" si="27"/>
        <v>3.2939788181799137</v>
      </c>
      <c r="AH170" s="63">
        <f t="shared" ca="1" si="28"/>
        <v>3.2939788181799137</v>
      </c>
      <c r="AI170" s="3">
        <f t="shared" ca="1" si="29"/>
        <v>0</v>
      </c>
    </row>
    <row r="171" spans="7:35">
      <c r="G171" s="3">
        <f t="shared" ca="1" si="24"/>
        <v>44</v>
      </c>
      <c r="H171" s="95">
        <f t="shared" ca="1" si="26"/>
        <v>45334</v>
      </c>
      <c r="I171" s="119">
        <f ca="1">HLOOKUP($H$5,'Met Data'!$A$2:$F$368,G171,FALSE)</f>
        <v>19.767241379310299</v>
      </c>
      <c r="J171" s="119">
        <f ca="1">HLOOKUP($H$5,'Met Data'!$H$2:$M$368,G171,FALSE)*L171</f>
        <v>2.6066666666666598</v>
      </c>
      <c r="K171" s="96">
        <f ca="1">HLOOKUP($H$5,'Met Data'!$O$2:$T$368,G171,FALSE)</f>
        <v>3.70262305339519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45394</v>
      </c>
      <c r="Q171">
        <f ca="1"/>
        <v>-7.2540361759528604E-2</v>
      </c>
      <c r="R171">
        <f ca="1"/>
        <v>1.7958218441131564</v>
      </c>
      <c r="S171">
        <f ca="1"/>
        <v>9.7650801300144252E-3</v>
      </c>
      <c r="T171">
        <f ca="1"/>
        <v>0.15270227269707445</v>
      </c>
      <c r="U171">
        <f ca="1"/>
        <v>0</v>
      </c>
      <c r="V171">
        <f ca="1"/>
        <v>56.940237575649881</v>
      </c>
      <c r="W171">
        <f ca="1"/>
        <v>52.089772893279708</v>
      </c>
      <c r="X171">
        <f ca="1"/>
        <v>0</v>
      </c>
      <c r="Y171">
        <f ca="1"/>
        <v>0.43220509162595955</v>
      </c>
      <c r="Z171">
        <f ca="1"/>
        <v>0</v>
      </c>
      <c r="AA171">
        <f ca="1"/>
        <v>0</v>
      </c>
      <c r="AB171">
        <f ca="1"/>
        <v>0.99515320652299144</v>
      </c>
      <c r="AD171" s="2">
        <f t="shared" ca="1" si="22"/>
        <v>45394</v>
      </c>
      <c r="AE171">
        <f t="shared" ca="1" si="23"/>
        <v>0</v>
      </c>
      <c r="AG171" s="63">
        <f t="shared" ca="1" si="27"/>
        <v>1.7232814823536278</v>
      </c>
      <c r="AH171" s="63">
        <f t="shared" ca="1" si="28"/>
        <v>1.7232814823536278</v>
      </c>
      <c r="AI171" s="3">
        <f t="shared" ca="1" si="29"/>
        <v>0</v>
      </c>
    </row>
    <row r="172" spans="7:35">
      <c r="G172" s="3">
        <f t="shared" ca="1" si="24"/>
        <v>45</v>
      </c>
      <c r="H172" s="95">
        <f t="shared" ca="1" si="26"/>
        <v>45335</v>
      </c>
      <c r="I172" s="119">
        <f ca="1">HLOOKUP($H$5,'Met Data'!$A$2:$F$368,G172,FALSE)</f>
        <v>19.5672413793103</v>
      </c>
      <c r="J172" s="119">
        <f ca="1">HLOOKUP($H$5,'Met Data'!$H$2:$M$368,G172,FALSE)*L172</f>
        <v>0.59</v>
      </c>
      <c r="K172" s="96">
        <f ca="1">HLOOKUP($H$5,'Met Data'!$O$2:$T$368,G172,FALSE)</f>
        <v>4.0784584132757997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45395</v>
      </c>
      <c r="Q172">
        <f ca="1"/>
        <v>-1.7045042009608056</v>
      </c>
      <c r="R172">
        <f ca="1"/>
        <v>1.7937717925726702</v>
      </c>
      <c r="S172">
        <f ca="1"/>
        <v>9.7993585713744835E-3</v>
      </c>
      <c r="T172">
        <f ca="1"/>
        <v>0.15200859480001866</v>
      </c>
      <c r="U172">
        <f ca="1"/>
        <v>0</v>
      </c>
      <c r="V172">
        <f ca="1"/>
        <v>58.734009368222551</v>
      </c>
      <c r="W172">
        <f ca="1"/>
        <v>53.730741903522116</v>
      </c>
      <c r="X172">
        <f ca="1"/>
        <v>0</v>
      </c>
      <c r="Y172">
        <f ca="1"/>
        <v>0.44777977073452296</v>
      </c>
      <c r="Z172">
        <f ca="1"/>
        <v>0</v>
      </c>
      <c r="AA172">
        <f ca="1"/>
        <v>0</v>
      </c>
      <c r="AB172">
        <f ca="1"/>
        <v>0.99565913088572344</v>
      </c>
      <c r="AD172" s="2">
        <f t="shared" ca="1" si="22"/>
        <v>45395</v>
      </c>
      <c r="AE172">
        <f t="shared" ca="1" si="23"/>
        <v>0</v>
      </c>
      <c r="AG172" s="63">
        <f t="shared" ca="1" si="27"/>
        <v>8.9267591611864539E-2</v>
      </c>
      <c r="AH172" s="63">
        <f t="shared" ca="1" si="28"/>
        <v>8.9267591611864594E-2</v>
      </c>
      <c r="AI172" s="3">
        <f t="shared" ca="1" si="29"/>
        <v>0</v>
      </c>
    </row>
    <row r="173" spans="7:35">
      <c r="G173" s="3">
        <f t="shared" ca="1" si="24"/>
        <v>46</v>
      </c>
      <c r="H173" s="95">
        <f t="shared" ca="1" si="26"/>
        <v>45336</v>
      </c>
      <c r="I173" s="119">
        <f ca="1">HLOOKUP($H$5,'Met Data'!$A$2:$F$368,G173,FALSE)</f>
        <v>19.5910714285714</v>
      </c>
      <c r="J173" s="119">
        <f ca="1">HLOOKUP($H$5,'Met Data'!$H$2:$M$368,G173,FALSE)*L173</f>
        <v>1.8724137931034399</v>
      </c>
      <c r="K173" s="96">
        <f ca="1">HLOOKUP($H$5,'Met Data'!$O$2:$T$368,G173,FALSE)</f>
        <v>4.0775156504528702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45396</v>
      </c>
      <c r="Q173">
        <f ca="1"/>
        <v>-3.3467841116663513</v>
      </c>
      <c r="R173">
        <f ca="1"/>
        <v>1.803246118873794</v>
      </c>
      <c r="S173">
        <f ca="1"/>
        <v>9.7319379848546106E-3</v>
      </c>
      <c r="T173">
        <f ca="1"/>
        <v>0.15123427018339383</v>
      </c>
      <c r="U173">
        <f ca="1"/>
        <v>0</v>
      </c>
      <c r="V173">
        <f ca="1"/>
        <v>60.537255487096346</v>
      </c>
      <c r="W173">
        <f ca="1"/>
        <v>55.380378167825171</v>
      </c>
      <c r="X173">
        <f ca="1"/>
        <v>0</v>
      </c>
      <c r="Y173">
        <f ca="1"/>
        <v>0.4554124711300247</v>
      </c>
      <c r="Z173">
        <f ca="1"/>
        <v>0</v>
      </c>
      <c r="AA173">
        <f ca="1"/>
        <v>0</v>
      </c>
      <c r="AB173">
        <f ca="1"/>
        <v>0.99610735376423931</v>
      </c>
      <c r="AD173" s="2">
        <f t="shared" ca="1" si="22"/>
        <v>45396</v>
      </c>
      <c r="AE173">
        <f t="shared" ca="1" si="23"/>
        <v>0</v>
      </c>
      <c r="AG173" s="63">
        <f t="shared" ca="1" si="27"/>
        <v>-1.5435379927925572</v>
      </c>
      <c r="AH173" s="63">
        <f t="shared" ca="1" si="28"/>
        <v>-1.5435379927925572</v>
      </c>
      <c r="AI173" s="3">
        <f t="shared" ca="1" si="29"/>
        <v>0</v>
      </c>
    </row>
    <row r="174" spans="7:35">
      <c r="G174" s="3">
        <f t="shared" ca="1" si="24"/>
        <v>47</v>
      </c>
      <c r="H174" s="95">
        <f t="shared" ca="1" si="26"/>
        <v>45337</v>
      </c>
      <c r="I174" s="119">
        <f ca="1">HLOOKUP($H$5,'Met Data'!$A$2:$F$368,G174,FALSE)</f>
        <v>19.355357142857098</v>
      </c>
      <c r="J174" s="119">
        <f ca="1">HLOOKUP($H$5,'Met Data'!$H$2:$M$368,G174,FALSE)*L174</f>
        <v>2.8206896551724099</v>
      </c>
      <c r="K174" s="96">
        <f ca="1">HLOOKUP($H$5,'Met Data'!$O$2:$T$368,G174,FALSE)</f>
        <v>4.1796467400508099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45397</v>
      </c>
      <c r="Q174">
        <f ca="1"/>
        <v>-5.067767959366682</v>
      </c>
      <c r="R174">
        <f ca="1"/>
        <v>1.8934124117782005</v>
      </c>
      <c r="S174">
        <f ca="1"/>
        <v>1.0428193497308058E-2</v>
      </c>
      <c r="T174">
        <f ca="1"/>
        <v>0.1620003705805621</v>
      </c>
      <c r="U174">
        <f ca="1"/>
        <v>0</v>
      </c>
      <c r="V174">
        <f ca="1"/>
        <v>62.430667898874546</v>
      </c>
      <c r="W174">
        <f ca="1"/>
        <v>57.112499892674123</v>
      </c>
      <c r="X174">
        <f ca="1"/>
        <v>0</v>
      </c>
      <c r="Y174">
        <f ca="1"/>
        <v>0.47704944205936023</v>
      </c>
      <c r="Z174">
        <f ca="1"/>
        <v>0</v>
      </c>
      <c r="AA174">
        <f ca="1"/>
        <v>0</v>
      </c>
      <c r="AB174">
        <f ca="1"/>
        <v>0.99652190735216506</v>
      </c>
      <c r="AD174" s="2">
        <f t="shared" ca="1" si="22"/>
        <v>45397</v>
      </c>
      <c r="AE174">
        <f t="shared" ca="1" si="23"/>
        <v>0</v>
      </c>
      <c r="AG174" s="63">
        <f t="shared" ca="1" si="27"/>
        <v>-3.174355547588481</v>
      </c>
      <c r="AH174" s="63">
        <f t="shared" ca="1" si="28"/>
        <v>-3.1743555475884815</v>
      </c>
      <c r="AI174" s="3">
        <f t="shared" ca="1" si="29"/>
        <v>0</v>
      </c>
    </row>
    <row r="175" spans="7:35">
      <c r="G175" s="3">
        <f t="shared" ca="1" si="24"/>
        <v>48</v>
      </c>
      <c r="H175" s="95">
        <f t="shared" ca="1" si="26"/>
        <v>45338</v>
      </c>
      <c r="I175" s="119">
        <f ca="1">HLOOKUP($H$5,'Met Data'!$A$2:$F$368,G175,FALSE)</f>
        <v>19.258928571428498</v>
      </c>
      <c r="J175" s="119">
        <f ca="1">HLOOKUP($H$5,'Met Data'!$H$2:$M$368,G175,FALSE)*L175</f>
        <v>1.80344827586206</v>
      </c>
      <c r="K175" s="96">
        <f ca="1">HLOOKUP($H$5,'Met Data'!$O$2:$T$368,G175,FALSE)</f>
        <v>3.8490703816040499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45398</v>
      </c>
      <c r="Q175">
        <f ca="1"/>
        <v>-6.7896910060375726</v>
      </c>
      <c r="R175">
        <f ca="1"/>
        <v>1.8928852964714906</v>
      </c>
      <c r="S175">
        <f ca="1"/>
        <v>1.0317510021175202E-2</v>
      </c>
      <c r="T175">
        <f ca="1"/>
        <v>0.16064473977942523</v>
      </c>
      <c r="U175">
        <f ca="1"/>
        <v>0</v>
      </c>
      <c r="V175">
        <f ca="1"/>
        <v>64.323553195346037</v>
      </c>
      <c r="W175">
        <f ca="1"/>
        <v>58.84413940463137</v>
      </c>
      <c r="X175">
        <f ca="1"/>
        <v>0</v>
      </c>
      <c r="Y175">
        <f ca="1"/>
        <v>0.48619124578995754</v>
      </c>
      <c r="Z175">
        <f ca="1"/>
        <v>0</v>
      </c>
      <c r="AA175">
        <f ca="1"/>
        <v>0</v>
      </c>
      <c r="AB175">
        <f ca="1"/>
        <v>0.99688685489403595</v>
      </c>
      <c r="AD175" s="2">
        <f t="shared" ca="1" si="22"/>
        <v>45398</v>
      </c>
      <c r="AE175">
        <f t="shared" ca="1" si="23"/>
        <v>0</v>
      </c>
      <c r="AG175" s="63">
        <f t="shared" ca="1" si="27"/>
        <v>-4.896805709566082</v>
      </c>
      <c r="AH175" s="63">
        <f t="shared" ca="1" si="28"/>
        <v>-4.896805709566082</v>
      </c>
      <c r="AI175" s="3">
        <f t="shared" ca="1" si="29"/>
        <v>0</v>
      </c>
    </row>
    <row r="176" spans="7:35">
      <c r="G176" s="3">
        <f t="shared" ca="1" si="24"/>
        <v>49</v>
      </c>
      <c r="H176" s="95">
        <f t="shared" ca="1" si="26"/>
        <v>45339</v>
      </c>
      <c r="I176" s="119">
        <f ca="1">HLOOKUP($H$5,'Met Data'!$A$2:$F$368,G176,FALSE)</f>
        <v>19.284482758620602</v>
      </c>
      <c r="J176" s="119">
        <f ca="1">HLOOKUP($H$5,'Met Data'!$H$2:$M$368,G176,FALSE)*L176</f>
        <v>4.5</v>
      </c>
      <c r="K176" s="96">
        <f ca="1">HLOOKUP($H$5,'Met Data'!$O$2:$T$368,G176,FALSE)</f>
        <v>3.7481412243719401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45399</v>
      </c>
      <c r="Q176">
        <f ca="1"/>
        <v>-8.5390147798650204</v>
      </c>
      <c r="R176">
        <f ca="1"/>
        <v>1.922751526293581</v>
      </c>
      <c r="S176">
        <f ca="1"/>
        <v>1.0414943562534695E-2</v>
      </c>
      <c r="T176">
        <f ca="1"/>
        <v>0.16301280890359843</v>
      </c>
      <c r="U176">
        <f ca="1"/>
        <v>0</v>
      </c>
      <c r="V176">
        <f ca="1"/>
        <v>66.246304721639618</v>
      </c>
      <c r="W176">
        <f ca="1"/>
        <v>60.603100986092528</v>
      </c>
      <c r="X176">
        <f ca="1"/>
        <v>0</v>
      </c>
      <c r="Y176">
        <f ca="1"/>
        <v>0.49654178015303496</v>
      </c>
      <c r="Z176">
        <f ca="1"/>
        <v>0</v>
      </c>
      <c r="AA176">
        <f ca="1"/>
        <v>0</v>
      </c>
      <c r="AB176">
        <f ca="1"/>
        <v>0.99721387525585481</v>
      </c>
      <c r="AD176" s="2">
        <f t="shared" ca="1" si="22"/>
        <v>45399</v>
      </c>
      <c r="AE176">
        <f t="shared" ca="1" si="23"/>
        <v>0</v>
      </c>
      <c r="AG176" s="63">
        <f t="shared" ca="1" si="27"/>
        <v>-6.6162632535714394</v>
      </c>
      <c r="AH176" s="63">
        <f t="shared" ca="1" si="28"/>
        <v>-6.6162632535714394</v>
      </c>
      <c r="AI176" s="3">
        <f t="shared" ca="1" si="29"/>
        <v>0</v>
      </c>
    </row>
    <row r="177" spans="7:35">
      <c r="G177" s="3">
        <f t="shared" ca="1" si="24"/>
        <v>50</v>
      </c>
      <c r="H177" s="95">
        <f t="shared" ca="1" si="26"/>
        <v>45340</v>
      </c>
      <c r="I177" s="119">
        <f ca="1">HLOOKUP($H$5,'Met Data'!$A$2:$F$368,G177,FALSE)</f>
        <v>19.415517241379298</v>
      </c>
      <c r="J177" s="119">
        <f ca="1">HLOOKUP($H$5,'Met Data'!$H$2:$M$368,G177,FALSE)*L177</f>
        <v>1.4</v>
      </c>
      <c r="K177" s="96">
        <f ca="1">HLOOKUP($H$5,'Met Data'!$O$2:$T$368,G177,FALSE)</f>
        <v>3.8682529987421499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45400</v>
      </c>
      <c r="Q177">
        <f ca="1"/>
        <v>-10.289228079350959</v>
      </c>
      <c r="R177">
        <f ca="1"/>
        <v>1.9207929719787415</v>
      </c>
      <c r="S177">
        <f ca="1"/>
        <v>1.0162932697244109E-2</v>
      </c>
      <c r="T177">
        <f ca="1"/>
        <v>0.16041673979555873</v>
      </c>
      <c r="U177">
        <f ca="1"/>
        <v>0</v>
      </c>
      <c r="V177">
        <f ca="1"/>
        <v>68.167097693618359</v>
      </c>
      <c r="W177">
        <f ca="1"/>
        <v>62.360270853050864</v>
      </c>
      <c r="X177">
        <f ca="1"/>
        <v>0</v>
      </c>
      <c r="Y177">
        <f ca="1"/>
        <v>0.49852332305795921</v>
      </c>
      <c r="Z177">
        <f ca="1"/>
        <v>0</v>
      </c>
      <c r="AA177">
        <f ca="1"/>
        <v>0</v>
      </c>
      <c r="AB177">
        <f ca="1"/>
        <v>0.99750254360150381</v>
      </c>
      <c r="AD177" s="2">
        <f t="shared" ca="1" si="22"/>
        <v>45400</v>
      </c>
      <c r="AE177">
        <f t="shared" ca="1" si="23"/>
        <v>0</v>
      </c>
      <c r="AG177" s="63">
        <f t="shared" ca="1" si="27"/>
        <v>-8.3684351073722159</v>
      </c>
      <c r="AH177" s="63">
        <f t="shared" ca="1" si="28"/>
        <v>-8.3684351073722176</v>
      </c>
      <c r="AI177" s="3">
        <f t="shared" ca="1" si="29"/>
        <v>0</v>
      </c>
    </row>
    <row r="178" spans="7:35">
      <c r="G178" s="3">
        <f t="shared" ca="1" si="24"/>
        <v>51</v>
      </c>
      <c r="H178" s="95">
        <f t="shared" ca="1" si="26"/>
        <v>45341</v>
      </c>
      <c r="I178" s="119">
        <f ca="1">HLOOKUP($H$5,'Met Data'!$A$2:$F$368,G178,FALSE)</f>
        <v>19.4189655172413</v>
      </c>
      <c r="J178" s="119">
        <f ca="1">HLOOKUP($H$5,'Met Data'!$H$2:$M$368,G178,FALSE)*L178</f>
        <v>1.4655172413793101</v>
      </c>
      <c r="K178" s="96">
        <f ca="1">HLOOKUP($H$5,'Met Data'!$O$2:$T$368,G178,FALSE)</f>
        <v>3.6105345286952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45401</v>
      </c>
      <c r="Q178">
        <f ca="1"/>
        <v>-12.091322536456907</v>
      </c>
      <c r="R178">
        <f ca="1"/>
        <v>1.9734987083605375</v>
      </c>
      <c r="S178">
        <f ca="1"/>
        <v>1.0005084174216528E-2</v>
      </c>
      <c r="T178">
        <f ca="1"/>
        <v>0.16139916708037219</v>
      </c>
      <c r="U178">
        <f ca="1"/>
        <v>0</v>
      </c>
      <c r="V178">
        <f ca="1"/>
        <v>70.140596401978897</v>
      </c>
      <c r="W178">
        <f ca="1"/>
        <v>64.165656708476988</v>
      </c>
      <c r="X178">
        <f ca="1"/>
        <v>0</v>
      </c>
      <c r="Y178">
        <f ca="1"/>
        <v>0.48966567322515697</v>
      </c>
      <c r="Z178">
        <f ca="1"/>
        <v>0</v>
      </c>
      <c r="AA178">
        <f ca="1"/>
        <v>0</v>
      </c>
      <c r="AB178">
        <f ca="1"/>
        <v>0.99776485219644329</v>
      </c>
      <c r="AD178" s="2">
        <f t="shared" ca="1" si="22"/>
        <v>45401</v>
      </c>
      <c r="AE178">
        <f t="shared" ca="1" si="23"/>
        <v>0</v>
      </c>
      <c r="AG178" s="63">
        <f t="shared" ca="1" si="27"/>
        <v>-10.11782382809637</v>
      </c>
      <c r="AH178" s="63">
        <f t="shared" ca="1" si="28"/>
        <v>-10.11782382809637</v>
      </c>
      <c r="AI178" s="3">
        <f t="shared" ca="1" si="29"/>
        <v>0</v>
      </c>
    </row>
    <row r="179" spans="7:35">
      <c r="G179" s="3">
        <f t="shared" ca="1" si="24"/>
        <v>52</v>
      </c>
      <c r="H179" s="95">
        <f t="shared" ca="1" si="26"/>
        <v>45342</v>
      </c>
      <c r="I179" s="119">
        <f ca="1">HLOOKUP($H$5,'Met Data'!$A$2:$F$368,G179,FALSE)</f>
        <v>19.5068965517241</v>
      </c>
      <c r="J179" s="119">
        <f ca="1">HLOOKUP($H$5,'Met Data'!$H$2:$M$368,G179,FALSE)*L179</f>
        <v>3.8517241379310301</v>
      </c>
      <c r="K179" s="96">
        <f ca="1">HLOOKUP($H$5,'Met Data'!$O$2:$T$368,G179,FALSE)</f>
        <v>3.6240453059598501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45402</v>
      </c>
      <c r="Q179">
        <f ca="1"/>
        <v>-13.894721219735796</v>
      </c>
      <c r="R179">
        <f ca="1"/>
        <v>1.9782866460043067</v>
      </c>
      <c r="S179">
        <f ca="1"/>
        <v>9.982945010795774E-3</v>
      </c>
      <c r="T179">
        <f ca="1"/>
        <v>0.16490501771462113</v>
      </c>
      <c r="U179">
        <f ca="1"/>
        <v>0</v>
      </c>
      <c r="V179">
        <f ca="1"/>
        <v>72.118883047983203</v>
      </c>
      <c r="W179">
        <f ca="1"/>
        <v>65.97542264019205</v>
      </c>
      <c r="X179">
        <f ca="1"/>
        <v>0</v>
      </c>
      <c r="Y179">
        <f ca="1"/>
        <v>0.51521691291671701</v>
      </c>
      <c r="Z179">
        <f ca="1"/>
        <v>0</v>
      </c>
      <c r="AA179">
        <f ca="1"/>
        <v>0</v>
      </c>
      <c r="AB179">
        <f ca="1"/>
        <v>0.99799753176327999</v>
      </c>
      <c r="AD179" s="2">
        <f t="shared" ca="1" si="22"/>
        <v>45402</v>
      </c>
      <c r="AE179">
        <f t="shared" ca="1" si="23"/>
        <v>0</v>
      </c>
      <c r="AG179" s="63">
        <f t="shared" ca="1" si="27"/>
        <v>-11.91643457373149</v>
      </c>
      <c r="AH179" s="63">
        <f t="shared" ca="1" si="28"/>
        <v>-11.91643457373149</v>
      </c>
      <c r="AI179" s="3">
        <f t="shared" ca="1" si="29"/>
        <v>0</v>
      </c>
    </row>
    <row r="180" spans="7:35">
      <c r="G180" s="3">
        <f t="shared" ca="1" si="24"/>
        <v>53</v>
      </c>
      <c r="H180" s="95">
        <f t="shared" ca="1" si="26"/>
        <v>45343</v>
      </c>
      <c r="I180" s="119">
        <f ca="1">HLOOKUP($H$5,'Met Data'!$A$2:$F$368,G180,FALSE)</f>
        <v>19.441666666666599</v>
      </c>
      <c r="J180" s="119">
        <f ca="1">HLOOKUP($H$5,'Met Data'!$H$2:$M$368,G180,FALSE)*L180</f>
        <v>3</v>
      </c>
      <c r="K180" s="96">
        <f ca="1">HLOOKUP($H$5,'Met Data'!$O$2:$T$368,G180,FALSE)</f>
        <v>3.73403385362748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45403</v>
      </c>
      <c r="Q180">
        <f ca="1"/>
        <v>-15.629863975352684</v>
      </c>
      <c r="R180">
        <f ca="1"/>
        <v>1.9037856818105467</v>
      </c>
      <c r="S180">
        <f ca="1"/>
        <v>9.3687193474156771E-3</v>
      </c>
      <c r="T180">
        <f ca="1"/>
        <v>0.15927420684624355</v>
      </c>
      <c r="U180">
        <f ca="1"/>
        <v>0</v>
      </c>
      <c r="V180">
        <f ca="1"/>
        <v>74.02266872979375</v>
      </c>
      <c r="W180">
        <f ca="1"/>
        <v>67.717033986144642</v>
      </c>
      <c r="X180">
        <f ca="1"/>
        <v>0</v>
      </c>
      <c r="Y180">
        <f ca="1"/>
        <v>0.53505472327461223</v>
      </c>
      <c r="Z180">
        <f ca="1"/>
        <v>0</v>
      </c>
      <c r="AA180">
        <f ca="1"/>
        <v>0</v>
      </c>
      <c r="AB180">
        <f ca="1"/>
        <v>0.99819652892421196</v>
      </c>
      <c r="AD180" s="2">
        <f t="shared" ca="1" si="22"/>
        <v>45403</v>
      </c>
      <c r="AE180">
        <f t="shared" ca="1" si="23"/>
        <v>0</v>
      </c>
      <c r="AG180" s="63">
        <f t="shared" ca="1" si="27"/>
        <v>-13.726078293542137</v>
      </c>
      <c r="AH180" s="63">
        <f t="shared" ca="1" si="28"/>
        <v>-13.726078293542137</v>
      </c>
      <c r="AI180" s="3">
        <f t="shared" ca="1" si="29"/>
        <v>0</v>
      </c>
    </row>
    <row r="181" spans="7:35">
      <c r="G181" s="3">
        <f t="shared" ca="1" si="24"/>
        <v>54</v>
      </c>
      <c r="H181" s="95">
        <f t="shared" ca="1" si="26"/>
        <v>45344</v>
      </c>
      <c r="I181" s="119">
        <f ca="1">HLOOKUP($H$5,'Met Data'!$A$2:$F$368,G181,FALSE)</f>
        <v>19.231666666666602</v>
      </c>
      <c r="J181" s="119">
        <f ca="1">HLOOKUP($H$5,'Met Data'!$H$2:$M$368,G181,FALSE)*L181</f>
        <v>1.5333333333333301</v>
      </c>
      <c r="K181" s="96">
        <f ca="1">HLOOKUP($H$5,'Met Data'!$O$2:$T$368,G181,FALSE)</f>
        <v>3.6261565374234999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45404</v>
      </c>
      <c r="Q181">
        <f ca="1"/>
        <v>-17.401683030813871</v>
      </c>
      <c r="R181">
        <f ca="1"/>
        <v>1.9425971603724292</v>
      </c>
      <c r="S181">
        <f ca="1"/>
        <v>9.3502136742333875E-3</v>
      </c>
      <c r="T181">
        <f ca="1"/>
        <v>0.16142789123701118</v>
      </c>
      <c r="U181">
        <f ca="1"/>
        <v>0</v>
      </c>
      <c r="V181">
        <f ca="1"/>
        <v>75.965265890166179</v>
      </c>
      <c r="W181">
        <f ca="1"/>
        <v>69.494150647670551</v>
      </c>
      <c r="X181">
        <f ca="1"/>
        <v>0</v>
      </c>
      <c r="Y181">
        <f ca="1"/>
        <v>0.53558140102302976</v>
      </c>
      <c r="Z181">
        <f ca="1"/>
        <v>0</v>
      </c>
      <c r="AA181">
        <f ca="1"/>
        <v>0</v>
      </c>
      <c r="AB181">
        <f ca="1"/>
        <v>0.99837755698351693</v>
      </c>
      <c r="AD181" s="2">
        <f t="shared" ca="1" si="22"/>
        <v>45404</v>
      </c>
      <c r="AE181">
        <f t="shared" ca="1" si="23"/>
        <v>0</v>
      </c>
      <c r="AG181" s="63">
        <f t="shared" ca="1" si="27"/>
        <v>-15.45908587044144</v>
      </c>
      <c r="AH181" s="63">
        <f t="shared" ca="1" si="28"/>
        <v>-15.459085870441442</v>
      </c>
      <c r="AI181" s="3">
        <f t="shared" ca="1" si="29"/>
        <v>0</v>
      </c>
    </row>
    <row r="182" spans="7:35">
      <c r="G182" s="3">
        <f t="shared" ca="1" si="24"/>
        <v>55</v>
      </c>
      <c r="H182" s="95">
        <f t="shared" ca="1" si="26"/>
        <v>45345</v>
      </c>
      <c r="I182" s="119">
        <f ca="1">HLOOKUP($H$5,'Met Data'!$A$2:$F$368,G182,FALSE)</f>
        <v>19.22</v>
      </c>
      <c r="J182" s="119">
        <f ca="1">HLOOKUP($H$5,'Met Data'!$H$2:$M$368,G182,FALSE)*L182</f>
        <v>3.06</v>
      </c>
      <c r="K182" s="96">
        <f ca="1">HLOOKUP($H$5,'Met Data'!$O$2:$T$368,G182,FALSE)</f>
        <v>3.6095974227769201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45405</v>
      </c>
      <c r="Q182">
        <f ca="1"/>
        <v>-19.161911722242799</v>
      </c>
      <c r="R182">
        <f ca="1"/>
        <v>1.9351234741700267</v>
      </c>
      <c r="S182">
        <f ca="1"/>
        <v>9.114912439373235E-3</v>
      </c>
      <c r="T182">
        <f ca="1"/>
        <v>0.16577987030172694</v>
      </c>
      <c r="U182">
        <f ca="1"/>
        <v>0</v>
      </c>
      <c r="V182">
        <f ca="1"/>
        <v>77.900389364336206</v>
      </c>
      <c r="W182">
        <f ca="1"/>
        <v>71.264430270337201</v>
      </c>
      <c r="X182">
        <f ca="1"/>
        <v>0</v>
      </c>
      <c r="Y182">
        <f ca="1"/>
        <v>0.5674086000356301</v>
      </c>
      <c r="Z182">
        <f ca="1"/>
        <v>0</v>
      </c>
      <c r="AA182">
        <f ca="1"/>
        <v>0</v>
      </c>
      <c r="AB182">
        <f ca="1"/>
        <v>0.99853847543004315</v>
      </c>
      <c r="AD182" s="2">
        <f t="shared" ca="1" si="22"/>
        <v>45405</v>
      </c>
      <c r="AE182">
        <f t="shared" ca="1" si="23"/>
        <v>0</v>
      </c>
      <c r="AG182" s="63">
        <f t="shared" ca="1" si="27"/>
        <v>-17.226788248072772</v>
      </c>
      <c r="AH182" s="63">
        <f t="shared" ca="1" si="28"/>
        <v>-17.226788248072772</v>
      </c>
      <c r="AI182" s="3">
        <f t="shared" ca="1" si="29"/>
        <v>0</v>
      </c>
    </row>
    <row r="183" spans="7:35">
      <c r="G183" s="3">
        <f t="shared" ca="1" si="24"/>
        <v>56</v>
      </c>
      <c r="H183" s="95">
        <f t="shared" ca="1" si="26"/>
        <v>45346</v>
      </c>
      <c r="I183" s="119">
        <f ca="1">HLOOKUP($H$5,'Met Data'!$A$2:$F$368,G183,FALSE)</f>
        <v>18.793333333333301</v>
      </c>
      <c r="J183" s="119">
        <f ca="1">HLOOKUP($H$5,'Met Data'!$H$2:$M$368,G183,FALSE)*L183</f>
        <v>1.73</v>
      </c>
      <c r="K183" s="96">
        <f ca="1">HLOOKUP($H$5,'Met Data'!$O$2:$T$368,G183,FALSE)</f>
        <v>3.9865323105658801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45406</v>
      </c>
      <c r="Q183">
        <f ca="1"/>
        <v>-20.95563533977888</v>
      </c>
      <c r="R183">
        <f ca="1"/>
        <v>1.9885797415955437</v>
      </c>
      <c r="S183">
        <f ca="1"/>
        <v>9.1766134854234238E-3</v>
      </c>
      <c r="T183">
        <f ca="1"/>
        <v>0.18567951057403856</v>
      </c>
      <c r="U183">
        <f ca="1"/>
        <v>0</v>
      </c>
      <c r="V183">
        <f ca="1"/>
        <v>79.88896910593175</v>
      </c>
      <c r="W183">
        <f ca="1"/>
        <v>73.083612478389412</v>
      </c>
      <c r="X183">
        <f ca="1"/>
        <v>0</v>
      </c>
      <c r="Y183">
        <f ca="1"/>
        <v>0.63480540320364631</v>
      </c>
      <c r="Z183">
        <f ca="1"/>
        <v>0</v>
      </c>
      <c r="AA183">
        <f ca="1"/>
        <v>0</v>
      </c>
      <c r="AB183">
        <f ca="1"/>
        <v>0.99868610922301404</v>
      </c>
      <c r="AD183" s="2">
        <f t="shared" ca="1" si="22"/>
        <v>45406</v>
      </c>
      <c r="AE183">
        <f t="shared" ca="1" si="23"/>
        <v>0</v>
      </c>
      <c r="AG183" s="63">
        <f t="shared" ca="1" si="27"/>
        <v>-18.967055598183336</v>
      </c>
      <c r="AH183" s="63">
        <f t="shared" ca="1" si="28"/>
        <v>-18.967055598183336</v>
      </c>
      <c r="AI183" s="3">
        <f t="shared" ca="1" si="29"/>
        <v>0</v>
      </c>
    </row>
    <row r="184" spans="7:35">
      <c r="G184" s="3">
        <f t="shared" ca="1" si="24"/>
        <v>57</v>
      </c>
      <c r="H184" s="95">
        <f t="shared" ca="1" si="26"/>
        <v>45347</v>
      </c>
      <c r="I184" s="119">
        <f ca="1">HLOOKUP($H$5,'Met Data'!$A$2:$F$368,G184,FALSE)</f>
        <v>18.3</v>
      </c>
      <c r="J184" s="119">
        <f ca="1">HLOOKUP($H$5,'Met Data'!$H$2:$M$368,G184,FALSE)*L184</f>
        <v>1.1766666666666601</v>
      </c>
      <c r="K184" s="96">
        <f ca="1">HLOOKUP($H$5,'Met Data'!$O$2:$T$368,G184,FALSE)</f>
        <v>3.88204927928038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45407</v>
      </c>
      <c r="Q184">
        <f ca="1"/>
        <v>-22.786943437826451</v>
      </c>
      <c r="R184">
        <f ca="1"/>
        <v>2.0337989826546732</v>
      </c>
      <c r="S184">
        <f ca="1"/>
        <v>9.2008541652175424E-3</v>
      </c>
      <c r="T184">
        <f ca="1"/>
        <v>0.19329003044188259</v>
      </c>
      <c r="U184">
        <f ca="1"/>
        <v>0</v>
      </c>
      <c r="V184">
        <f ca="1"/>
        <v>81.922768088586423</v>
      </c>
      <c r="W184">
        <f ca="1"/>
        <v>74.944161918077214</v>
      </c>
      <c r="X184">
        <f ca="1"/>
        <v>0</v>
      </c>
      <c r="Y184">
        <f ca="1"/>
        <v>0.65089245205699009</v>
      </c>
      <c r="Z184">
        <f ca="1"/>
        <v>0</v>
      </c>
      <c r="AA184">
        <f ca="1"/>
        <v>0</v>
      </c>
      <c r="AB184">
        <f ca="1"/>
        <v>0.99882076209769877</v>
      </c>
      <c r="AD184" s="2">
        <f t="shared" ca="1" si="22"/>
        <v>45407</v>
      </c>
      <c r="AE184">
        <f t="shared" ca="1" si="23"/>
        <v>0</v>
      </c>
      <c r="AG184" s="63">
        <f t="shared" ca="1" si="27"/>
        <v>-20.753144455171778</v>
      </c>
      <c r="AH184" s="63">
        <f t="shared" ca="1" si="28"/>
        <v>-20.753144455171778</v>
      </c>
      <c r="AI184" s="3">
        <f t="shared" ca="1" si="29"/>
        <v>0</v>
      </c>
    </row>
    <row r="185" spans="7:35">
      <c r="G185" s="3">
        <f t="shared" ca="1" si="24"/>
        <v>58</v>
      </c>
      <c r="H185" s="95">
        <f t="shared" ca="1" si="26"/>
        <v>45348</v>
      </c>
      <c r="I185" s="119">
        <f ca="1">HLOOKUP($H$5,'Met Data'!$A$2:$F$368,G185,FALSE)</f>
        <v>18.41</v>
      </c>
      <c r="J185" s="119">
        <f ca="1">HLOOKUP($H$5,'Met Data'!$H$2:$M$368,G185,FALSE)*L185</f>
        <v>2.0233333333333299</v>
      </c>
      <c r="K185" s="96">
        <f ca="1">HLOOKUP($H$5,'Met Data'!$O$2:$T$368,G185,FALSE)</f>
        <v>4.05937925457948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45408</v>
      </c>
      <c r="Q185">
        <f ca="1"/>
        <v>-24.676384105598451</v>
      </c>
      <c r="R185">
        <f ca="1"/>
        <v>2.1013998301449277</v>
      </c>
      <c r="S185">
        <f ca="1"/>
        <v>9.3322533479449632E-3</v>
      </c>
      <c r="T185">
        <f ca="1"/>
        <v>0.20262690902498212</v>
      </c>
      <c r="U185">
        <f ca="1"/>
        <v>0</v>
      </c>
      <c r="V185">
        <f ca="1"/>
        <v>84.024167918731351</v>
      </c>
      <c r="W185">
        <f ca="1"/>
        <v>76.866553614543122</v>
      </c>
      <c r="X185">
        <f ca="1"/>
        <v>0</v>
      </c>
      <c r="Y185">
        <f ca="1"/>
        <v>0.66178293678973898</v>
      </c>
      <c r="Z185">
        <f ca="1"/>
        <v>0</v>
      </c>
      <c r="AA185">
        <f ca="1"/>
        <v>0</v>
      </c>
      <c r="AB185">
        <f ca="1"/>
        <v>0.99894465259204079</v>
      </c>
      <c r="AD185" s="2">
        <f t="shared" ca="1" si="22"/>
        <v>45408</v>
      </c>
      <c r="AE185">
        <f t="shared" ca="1" si="23"/>
        <v>0</v>
      </c>
      <c r="AG185" s="63">
        <f t="shared" ca="1" si="27"/>
        <v>-22.574984275453524</v>
      </c>
      <c r="AH185" s="63">
        <f t="shared" ca="1" si="28"/>
        <v>-22.574984275453524</v>
      </c>
      <c r="AI185" s="3">
        <f t="shared" ca="1" si="29"/>
        <v>0</v>
      </c>
    </row>
    <row r="186" spans="7:35">
      <c r="G186" s="3">
        <f t="shared" ca="1" si="24"/>
        <v>59</v>
      </c>
      <c r="H186" s="95">
        <f t="shared" ca="1" si="26"/>
        <v>45349</v>
      </c>
      <c r="I186" s="119">
        <f ca="1">HLOOKUP($H$5,'Met Data'!$A$2:$F$368,G186,FALSE)</f>
        <v>18.516666666666602</v>
      </c>
      <c r="J186" s="119">
        <f ca="1">HLOOKUP($H$5,'Met Data'!$H$2:$M$368,G186,FALSE)*L186</f>
        <v>1.5499999999999901</v>
      </c>
      <c r="K186" s="96">
        <f ca="1">HLOOKUP($H$5,'Met Data'!$O$2:$T$368,G186,FALSE)</f>
        <v>3.8269283002116601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45409</v>
      </c>
      <c r="Q186">
        <f ca="1"/>
        <v>-26.600415040633056</v>
      </c>
      <c r="R186">
        <f ca="1"/>
        <v>2.1473656278017614</v>
      </c>
      <c r="S186">
        <f ca="1"/>
        <v>9.3639264702778391E-3</v>
      </c>
      <c r="T186">
        <f ca="1"/>
        <v>0.2139707662968765</v>
      </c>
      <c r="U186">
        <f ca="1"/>
        <v>0</v>
      </c>
      <c r="V186">
        <f ca="1"/>
        <v>86.171533546533112</v>
      </c>
      <c r="W186">
        <f ca="1"/>
        <v>78.830995503680299</v>
      </c>
      <c r="X186">
        <f ca="1"/>
        <v>0</v>
      </c>
      <c r="Y186">
        <f ca="1"/>
        <v>0.68763154302244511</v>
      </c>
      <c r="Z186">
        <f ca="1"/>
        <v>0</v>
      </c>
      <c r="AA186">
        <f ca="1"/>
        <v>0</v>
      </c>
      <c r="AB186">
        <f ca="1"/>
        <v>0.99905721602492747</v>
      </c>
      <c r="AD186" s="2">
        <f t="shared" ca="1" si="22"/>
        <v>45409</v>
      </c>
      <c r="AE186">
        <f t="shared" ca="1" si="23"/>
        <v>0</v>
      </c>
      <c r="AG186" s="63">
        <f t="shared" ca="1" si="27"/>
        <v>-24.453049412831295</v>
      </c>
      <c r="AH186" s="63">
        <f t="shared" ca="1" si="28"/>
        <v>-24.453049412831295</v>
      </c>
      <c r="AI186" s="3">
        <f t="shared" ca="1" si="29"/>
        <v>0</v>
      </c>
    </row>
    <row r="187" spans="7:35">
      <c r="G187" s="3">
        <f t="shared" ca="1" si="24"/>
        <v>60</v>
      </c>
      <c r="H187" s="95">
        <f t="shared" ca="1" si="26"/>
        <v>45350</v>
      </c>
      <c r="I187" s="119">
        <f ca="1">HLOOKUP($H$5,'Met Data'!$A$2:$F$368,G187,FALSE)</f>
        <v>18.253571428571401</v>
      </c>
      <c r="J187" s="119">
        <f ca="1">HLOOKUP($H$5,'Met Data'!$H$2:$M$368,G187,FALSE)*L187</f>
        <v>3.4793103448275802</v>
      </c>
      <c r="K187" s="96">
        <f ca="1">HLOOKUP($H$5,'Met Data'!$O$2:$T$368,G187,FALSE)</f>
        <v>3.4828962462929298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45410</v>
      </c>
      <c r="Q187">
        <f ca="1"/>
        <v>-28.42049738770379</v>
      </c>
      <c r="R187">
        <f ca="1"/>
        <v>2.0321231219202645</v>
      </c>
      <c r="S187">
        <f ca="1"/>
        <v>8.6748330690671338E-3</v>
      </c>
      <c r="T187">
        <f ca="1"/>
        <v>0.20336594178046311</v>
      </c>
      <c r="U187">
        <f ca="1"/>
        <v>0</v>
      </c>
      <c r="V187">
        <f ca="1"/>
        <v>88.203656668453377</v>
      </c>
      <c r="W187">
        <f ca="1"/>
        <v>80.690011841140688</v>
      </c>
      <c r="X187">
        <f ca="1"/>
        <v>0</v>
      </c>
      <c r="Y187">
        <f ca="1"/>
        <v>0.70571497679271533</v>
      </c>
      <c r="Z187">
        <f ca="1"/>
        <v>0</v>
      </c>
      <c r="AA187">
        <f ca="1"/>
        <v>0</v>
      </c>
      <c r="AB187">
        <f ca="1"/>
        <v>0.9991522464240028</v>
      </c>
      <c r="AD187" s="2">
        <f t="shared" ca="1" si="22"/>
        <v>45410</v>
      </c>
      <c r="AE187">
        <f t="shared" ca="1" si="23"/>
        <v>0</v>
      </c>
      <c r="AG187" s="63">
        <f t="shared" ca="1" si="27"/>
        <v>-26.388374265783526</v>
      </c>
      <c r="AH187" s="63">
        <f t="shared" ca="1" si="28"/>
        <v>-26.388374265783526</v>
      </c>
      <c r="AI187" s="3">
        <f t="shared" ca="1" si="29"/>
        <v>0</v>
      </c>
    </row>
    <row r="188" spans="7:35">
      <c r="G188" s="3">
        <f t="shared" ca="1" si="24"/>
        <v>61</v>
      </c>
      <c r="H188" s="95">
        <f t="shared" ca="1" si="26"/>
        <v>45351</v>
      </c>
      <c r="I188" s="119">
        <f ca="1">HLOOKUP($H$5,'Met Data'!$A$2:$F$368,G188,FALSE)</f>
        <v>18.313793103448202</v>
      </c>
      <c r="J188" s="119">
        <f ca="1">HLOOKUP($H$5,'Met Data'!$H$2:$M$368,G188,FALSE)*L188</f>
        <v>4.1758620689655102</v>
      </c>
      <c r="K188" s="96">
        <f ca="1">HLOOKUP($H$5,'Met Data'!$O$2:$T$368,G188,FALSE)</f>
        <v>3.6905226687271502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45411</v>
      </c>
      <c r="Q188">
        <f ca="1"/>
        <v>-30.188641663010543</v>
      </c>
      <c r="R188">
        <f ca="1"/>
        <v>1.9840599040477969</v>
      </c>
      <c r="S188">
        <f ca="1"/>
        <v>8.3293015796206404E-3</v>
      </c>
      <c r="T188">
        <f ca="1"/>
        <v>0.20758632716142233</v>
      </c>
      <c r="U188">
        <f ca="1"/>
        <v>0</v>
      </c>
      <c r="V188">
        <f ca="1"/>
        <v>90.187716572501174</v>
      </c>
      <c r="W188">
        <f ca="1"/>
        <v>82.505059234843657</v>
      </c>
      <c r="X188">
        <f ca="1"/>
        <v>0</v>
      </c>
      <c r="Y188">
        <f ca="1"/>
        <v>0.74670945101202402</v>
      </c>
      <c r="Z188">
        <f ca="1"/>
        <v>0</v>
      </c>
      <c r="AA188">
        <f ca="1"/>
        <v>0</v>
      </c>
      <c r="AB188">
        <f ca="1"/>
        <v>0.99923550287374785</v>
      </c>
      <c r="AD188" s="2">
        <f t="shared" ca="1" si="22"/>
        <v>45411</v>
      </c>
      <c r="AE188">
        <f t="shared" ca="1" si="23"/>
        <v>0</v>
      </c>
      <c r="AG188" s="63">
        <f t="shared" ca="1" si="27"/>
        <v>-28.204581758962746</v>
      </c>
      <c r="AH188" s="63">
        <f t="shared" ca="1" si="28"/>
        <v>-28.204581758962746</v>
      </c>
      <c r="AI188" s="3">
        <f t="shared" ca="1" si="29"/>
        <v>0</v>
      </c>
    </row>
    <row r="189" spans="7:35">
      <c r="G189" s="3">
        <f t="shared" ca="1" si="24"/>
        <v>62</v>
      </c>
      <c r="H189" s="95">
        <f t="shared" ca="1" si="26"/>
        <v>45352</v>
      </c>
      <c r="I189" s="119">
        <f ca="1">HLOOKUP($H$5,'Met Data'!$A$2:$F$368,G189,FALSE)</f>
        <v>18.701724137930999</v>
      </c>
      <c r="J189" s="119">
        <f ca="1">HLOOKUP($H$5,'Met Data'!$H$2:$M$368,G189,FALSE)*L189</f>
        <v>2.4379310344827498</v>
      </c>
      <c r="K189" s="96">
        <f ca="1">HLOOKUP($H$5,'Met Data'!$O$2:$T$368,G189,FALSE)</f>
        <v>3.7650592582328399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45412</v>
      </c>
      <c r="Q189">
        <f ca="1"/>
        <v>-31.964869194825148</v>
      </c>
      <c r="R189">
        <f ca="1"/>
        <v>1.9984903854307845</v>
      </c>
      <c r="S189">
        <f ca="1"/>
        <v>8.2605390652998878E-3</v>
      </c>
      <c r="T189">
        <f ca="1"/>
        <v>0.21400231455087707</v>
      </c>
      <c r="U189">
        <f ca="1"/>
        <v>0</v>
      </c>
      <c r="V189">
        <f ca="1"/>
        <v>92.186206957931958</v>
      </c>
      <c r="W189">
        <f ca="1"/>
        <v>84.33330784670072</v>
      </c>
      <c r="X189">
        <f ca="1"/>
        <v>0</v>
      </c>
      <c r="Y189">
        <f ca="1"/>
        <v>0.76563525226628415</v>
      </c>
      <c r="Z189">
        <f ca="1"/>
        <v>0</v>
      </c>
      <c r="AA189">
        <f ca="1"/>
        <v>0</v>
      </c>
      <c r="AB189">
        <f ca="1"/>
        <v>0.99931091421682727</v>
      </c>
      <c r="AD189" s="2">
        <f t="shared" ca="1" si="22"/>
        <v>45412</v>
      </c>
      <c r="AE189">
        <f t="shared" ca="1" si="23"/>
        <v>0</v>
      </c>
      <c r="AG189" s="63">
        <f t="shared" ca="1" si="27"/>
        <v>-29.966378809394364</v>
      </c>
      <c r="AH189" s="63">
        <f t="shared" ca="1" si="28"/>
        <v>-29.966378809394364</v>
      </c>
      <c r="AI189" s="3">
        <f t="shared" ca="1" si="29"/>
        <v>0</v>
      </c>
    </row>
    <row r="190" spans="7:35">
      <c r="G190" s="3">
        <f t="shared" ca="1" si="24"/>
        <v>63</v>
      </c>
      <c r="H190" s="95">
        <f t="shared" ca="1" si="26"/>
        <v>45353</v>
      </c>
      <c r="I190" s="119">
        <f ca="1">HLOOKUP($H$5,'Met Data'!$A$2:$F$368,G190,FALSE)</f>
        <v>18.759999999999899</v>
      </c>
      <c r="J190" s="119">
        <f ca="1">HLOOKUP($H$5,'Met Data'!$H$2:$M$368,G190,FALSE)*L190</f>
        <v>3.53666666666666</v>
      </c>
      <c r="K190" s="96">
        <f ca="1">HLOOKUP($H$5,'Met Data'!$O$2:$T$368,G190,FALSE)</f>
        <v>3.6493457095997699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45413</v>
      </c>
      <c r="Q190">
        <f ca="1"/>
        <v>-33.712352164923082</v>
      </c>
      <c r="R190">
        <f ca="1"/>
        <v>1.9880172683130155</v>
      </c>
      <c r="S190">
        <f ca="1"/>
        <v>8.0976400321990383E-3</v>
      </c>
      <c r="T190">
        <f ca="1"/>
        <v>0.23243665818288253</v>
      </c>
      <c r="U190">
        <f ca="1"/>
        <v>0</v>
      </c>
      <c r="V190">
        <f ca="1"/>
        <v>94.174224226244974</v>
      </c>
      <c r="W190">
        <f ca="1"/>
        <v>86.151975495861137</v>
      </c>
      <c r="X190">
        <f ca="1"/>
        <v>0</v>
      </c>
      <c r="Y190">
        <f ca="1"/>
        <v>0.83565487220434276</v>
      </c>
      <c r="Z190">
        <f ca="1"/>
        <v>0</v>
      </c>
      <c r="AA190">
        <f ca="1"/>
        <v>0</v>
      </c>
      <c r="AB190">
        <f ca="1"/>
        <v>0.99937843605641652</v>
      </c>
      <c r="AD190" s="2">
        <f t="shared" ca="1" si="22"/>
        <v>45413</v>
      </c>
      <c r="AE190">
        <f t="shared" ca="1" si="23"/>
        <v>0</v>
      </c>
      <c r="AG190" s="63">
        <f t="shared" ca="1" si="27"/>
        <v>-31.724334896610067</v>
      </c>
      <c r="AH190" s="63">
        <f t="shared" ca="1" si="28"/>
        <v>-31.724334896610067</v>
      </c>
      <c r="AI190" s="3">
        <f t="shared" ca="1" si="29"/>
        <v>0</v>
      </c>
    </row>
    <row r="191" spans="7:35">
      <c r="G191" s="3">
        <f t="shared" ca="1" si="24"/>
        <v>64</v>
      </c>
      <c r="H191" s="95">
        <f t="shared" ca="1" si="26"/>
        <v>45354</v>
      </c>
      <c r="I191" s="119">
        <f ca="1">HLOOKUP($H$5,'Met Data'!$A$2:$F$368,G191,FALSE)</f>
        <v>18.0322580645161</v>
      </c>
      <c r="J191" s="119">
        <f ca="1">HLOOKUP($H$5,'Met Data'!$H$2:$M$368,G191,FALSE)*L191</f>
        <v>5.3612903225806399</v>
      </c>
      <c r="K191" s="96">
        <f ca="1">HLOOKUP($H$5,'Met Data'!$O$2:$T$368,G191,FALSE)</f>
        <v>3.6858306163975501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45414</v>
      </c>
      <c r="Q191">
        <f ca="1"/>
        <v>-35.44548575513906</v>
      </c>
      <c r="R191">
        <f ca="1"/>
        <v>1.9746296574694213</v>
      </c>
      <c r="S191">
        <f ca="1"/>
        <v>7.9336323140095644E-3</v>
      </c>
      <c r="T191">
        <f ca="1"/>
        <v>0.23356243493943593</v>
      </c>
      <c r="U191">
        <f ca="1"/>
        <v>0</v>
      </c>
      <c r="V191">
        <f ca="1"/>
        <v>96.148853883714395</v>
      </c>
      <c r="W191">
        <f ca="1"/>
        <v>87.958395960286865</v>
      </c>
      <c r="X191">
        <f ca="1"/>
        <v>0</v>
      </c>
      <c r="Y191">
        <f ca="1"/>
        <v>0.84664379093534226</v>
      </c>
      <c r="Z191">
        <f ca="1"/>
        <v>0</v>
      </c>
      <c r="AA191">
        <f ca="1"/>
        <v>0</v>
      </c>
      <c r="AB191">
        <f ca="1"/>
        <v>0.99943890022652693</v>
      </c>
      <c r="AD191" s="2">
        <f t="shared" ca="1" si="22"/>
        <v>45414</v>
      </c>
      <c r="AE191">
        <f t="shared" ca="1" si="23"/>
        <v>0</v>
      </c>
      <c r="AG191" s="63">
        <f t="shared" ca="1" si="27"/>
        <v>-33.470856097669639</v>
      </c>
      <c r="AH191" s="63">
        <f t="shared" ca="1" si="28"/>
        <v>-33.470856097669639</v>
      </c>
      <c r="AI191" s="3">
        <f t="shared" ca="1" si="29"/>
        <v>0</v>
      </c>
    </row>
    <row r="192" spans="7:35">
      <c r="G192" s="3">
        <f t="shared" ca="1" si="24"/>
        <v>65</v>
      </c>
      <c r="H192" s="95">
        <f t="shared" ca="1" si="26"/>
        <v>45355</v>
      </c>
      <c r="I192" s="119">
        <f ca="1">HLOOKUP($H$5,'Met Data'!$A$2:$F$368,G192,FALSE)</f>
        <v>17.95</v>
      </c>
      <c r="J192" s="119">
        <f ca="1">HLOOKUP($H$5,'Met Data'!$H$2:$M$368,G192,FALSE)*L192</f>
        <v>2.5580645161290301</v>
      </c>
      <c r="K192" s="96">
        <f ca="1">HLOOKUP($H$5,'Met Data'!$O$2:$T$368,G192,FALSE)</f>
        <v>3.6617176102227802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45415</v>
      </c>
      <c r="Q192">
        <f ca="1"/>
        <v>-37.144473556338781</v>
      </c>
      <c r="R192">
        <f ca="1"/>
        <v>1.9365454849018704</v>
      </c>
      <c r="S192">
        <f ca="1"/>
        <v>7.6852405334708607E-3</v>
      </c>
      <c r="T192">
        <f ca="1"/>
        <v>0.22987244316867933</v>
      </c>
      <c r="U192">
        <f ca="1"/>
        <v>0</v>
      </c>
      <c r="V192">
        <f ca="1"/>
        <v>98.085399368616265</v>
      </c>
      <c r="W192">
        <f ca="1"/>
        <v>89.729976459437836</v>
      </c>
      <c r="X192">
        <f ca="1"/>
        <v>0</v>
      </c>
      <c r="Y192">
        <f ca="1"/>
        <v>0.85256599197546157</v>
      </c>
      <c r="Z192">
        <f ca="1"/>
        <v>0</v>
      </c>
      <c r="AA192">
        <f ca="1"/>
        <v>0</v>
      </c>
      <c r="AB192">
        <f ca="1"/>
        <v>0.99949247829276233</v>
      </c>
      <c r="AD192" s="2">
        <f t="shared" ca="1" si="22"/>
        <v>45415</v>
      </c>
      <c r="AE192">
        <f t="shared" ca="1" si="23"/>
        <v>0</v>
      </c>
      <c r="AG192" s="63">
        <f t="shared" ca="1" si="27"/>
        <v>-35.20792807143691</v>
      </c>
      <c r="AH192" s="63">
        <f t="shared" ca="1" si="28"/>
        <v>-35.20792807143691</v>
      </c>
      <c r="AI192" s="3">
        <f t="shared" ca="1" si="29"/>
        <v>0</v>
      </c>
    </row>
    <row r="193" spans="7:35">
      <c r="G193" s="3">
        <f t="shared" ca="1" si="24"/>
        <v>66</v>
      </c>
      <c r="H193" s="95">
        <f t="shared" ca="1" si="26"/>
        <v>45356</v>
      </c>
      <c r="I193" s="119">
        <f ca="1">HLOOKUP($H$5,'Met Data'!$A$2:$F$368,G193,FALSE)</f>
        <v>18.361290322580601</v>
      </c>
      <c r="J193" s="119">
        <f ca="1">HLOOKUP($H$5,'Met Data'!$H$2:$M$368,G193,FALSE)*L193</f>
        <v>2.3129032258064499</v>
      </c>
      <c r="K193" s="96">
        <f ca="1">HLOOKUP($H$5,'Met Data'!$O$2:$T$368,G193,FALSE)</f>
        <v>3.8548213926682098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45416</v>
      </c>
      <c r="Q193">
        <f ca="1"/>
        <v>-38.846560014622007</v>
      </c>
      <c r="R193">
        <f ca="1"/>
        <v>1.9470862400322346</v>
      </c>
      <c r="S193">
        <f ca="1"/>
        <v>7.6333736151710241E-3</v>
      </c>
      <c r="T193">
        <f ca="1"/>
        <v>0.23736640813384094</v>
      </c>
      <c r="U193">
        <f ca="1"/>
        <v>0</v>
      </c>
      <c r="V193">
        <f ca="1"/>
        <v>100.0324856086485</v>
      </c>
      <c r="W193">
        <f ca="1"/>
        <v>91.511199797541408</v>
      </c>
      <c r="X193">
        <f ca="1"/>
        <v>0</v>
      </c>
      <c r="Y193">
        <f ca="1"/>
        <v>0.8718629458539594</v>
      </c>
      <c r="Z193">
        <f ca="1"/>
        <v>0</v>
      </c>
      <c r="AA193">
        <f ca="1"/>
        <v>0</v>
      </c>
      <c r="AB193">
        <f ca="1"/>
        <v>0.99954122534719447</v>
      </c>
      <c r="AD193" s="2">
        <f t="shared" ca="1" si="22"/>
        <v>45416</v>
      </c>
      <c r="AE193">
        <f t="shared" ca="1" si="23"/>
        <v>0</v>
      </c>
      <c r="AG193" s="63">
        <f t="shared" ca="1" si="27"/>
        <v>-36.899473774589772</v>
      </c>
      <c r="AH193" s="63">
        <f t="shared" ca="1" si="28"/>
        <v>-36.899473774589772</v>
      </c>
      <c r="AI193" s="3">
        <f t="shared" ca="1" si="29"/>
        <v>0</v>
      </c>
    </row>
    <row r="194" spans="7:35">
      <c r="G194" s="3">
        <f t="shared" ca="1" si="24"/>
        <v>67</v>
      </c>
      <c r="H194" s="95">
        <f t="shared" ca="1" si="26"/>
        <v>45357</v>
      </c>
      <c r="I194" s="119">
        <f ca="1">HLOOKUP($H$5,'Met Data'!$A$2:$F$368,G194,FALSE)</f>
        <v>17.7903225806451</v>
      </c>
      <c r="J194" s="119">
        <f ca="1">HLOOKUP($H$5,'Met Data'!$H$2:$M$368,G194,FALSE)*L194</f>
        <v>2.88709677419354</v>
      </c>
      <c r="K194" s="96">
        <f ca="1">HLOOKUP($H$5,'Met Data'!$O$2:$T$368,G194,FALSE)</f>
        <v>3.4909393601542198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45417</v>
      </c>
      <c r="Q194">
        <f ca="1"/>
        <v>-40.557171465073004</v>
      </c>
      <c r="R194">
        <f ca="1"/>
        <v>1.9667742782304316</v>
      </c>
      <c r="S194">
        <f ca="1"/>
        <v>7.6215370607286559E-3</v>
      </c>
      <c r="T194">
        <f ca="1"/>
        <v>0.24854129071870318</v>
      </c>
      <c r="U194">
        <f ca="1"/>
        <v>0</v>
      </c>
      <c r="V194">
        <f ca="1"/>
        <v>101.99925988687893</v>
      </c>
      <c r="W194">
        <f ca="1"/>
        <v>93.31043404466331</v>
      </c>
      <c r="X194">
        <f ca="1"/>
        <v>0</v>
      </c>
      <c r="Y194">
        <f ca="1"/>
        <v>0.8970250923174713</v>
      </c>
      <c r="Z194">
        <f ca="1"/>
        <v>0</v>
      </c>
      <c r="AA194">
        <f ca="1"/>
        <v>0</v>
      </c>
      <c r="AB194">
        <f ca="1"/>
        <v>0.99958577969539841</v>
      </c>
      <c r="AD194" s="2">
        <f t="shared" ca="1" si="22"/>
        <v>45417</v>
      </c>
      <c r="AE194">
        <f t="shared" ca="1" si="23"/>
        <v>0</v>
      </c>
      <c r="AG194" s="63">
        <f t="shared" ca="1" si="27"/>
        <v>-38.590397186842573</v>
      </c>
      <c r="AH194" s="63">
        <f t="shared" ca="1" si="28"/>
        <v>-38.590397186842573</v>
      </c>
      <c r="AI194" s="3">
        <f t="shared" ca="1" si="29"/>
        <v>0</v>
      </c>
    </row>
    <row r="195" spans="7:35">
      <c r="G195" s="3">
        <f t="shared" ca="1" si="24"/>
        <v>68</v>
      </c>
      <c r="H195" s="95">
        <f t="shared" ca="1" si="26"/>
        <v>45358</v>
      </c>
      <c r="I195" s="119">
        <f ca="1">HLOOKUP($H$5,'Met Data'!$A$2:$F$368,G195,FALSE)</f>
        <v>18.141379310344799</v>
      </c>
      <c r="J195" s="119">
        <f ca="1">HLOOKUP($H$5,'Met Data'!$H$2:$M$368,G195,FALSE)*L195</f>
        <v>1.0379310344827499</v>
      </c>
      <c r="K195" s="96">
        <f ca="1">HLOOKUP($H$5,'Met Data'!$O$2:$T$368,G195,FALSE)</f>
        <v>3.8084649299222599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45418</v>
      </c>
      <c r="Q195">
        <f ca="1"/>
        <v>-42.226110597706246</v>
      </c>
      <c r="R195">
        <f ca="1"/>
        <v>1.9179519141339938</v>
      </c>
      <c r="S195">
        <f ca="1"/>
        <v>7.3596300348510724E-3</v>
      </c>
      <c r="T195">
        <f ca="1"/>
        <v>0.24165315146590344</v>
      </c>
      <c r="U195">
        <f ca="1"/>
        <v>0</v>
      </c>
      <c r="V195">
        <f ca="1"/>
        <v>103.91721180101293</v>
      </c>
      <c r="W195">
        <f ca="1"/>
        <v>95.065004869815539</v>
      </c>
      <c r="X195">
        <f ca="1"/>
        <v>0</v>
      </c>
      <c r="Y195">
        <f ca="1"/>
        <v>0.89643360743525868</v>
      </c>
      <c r="Z195">
        <f ca="1"/>
        <v>0</v>
      </c>
      <c r="AA195">
        <f ca="1"/>
        <v>0</v>
      </c>
      <c r="AB195">
        <f ca="1"/>
        <v>0.99962514595417706</v>
      </c>
      <c r="AD195" s="2">
        <f t="shared" ca="1" si="22"/>
        <v>45418</v>
      </c>
      <c r="AE195">
        <f t="shared" ca="1" si="23"/>
        <v>0</v>
      </c>
      <c r="AG195" s="63">
        <f t="shared" ca="1" si="27"/>
        <v>-40.308158683572252</v>
      </c>
      <c r="AH195" s="63">
        <f t="shared" ca="1" si="28"/>
        <v>-40.308158683572252</v>
      </c>
      <c r="AI195" s="3">
        <f t="shared" ca="1" si="29"/>
        <v>0</v>
      </c>
    </row>
    <row r="196" spans="7:35">
      <c r="G196" s="3">
        <f t="shared" ca="1" si="24"/>
        <v>69</v>
      </c>
      <c r="H196" s="95">
        <f t="shared" ca="1" si="26"/>
        <v>45359</v>
      </c>
      <c r="I196" s="119">
        <f ca="1">HLOOKUP($H$5,'Met Data'!$A$2:$F$368,G196,FALSE)</f>
        <v>18.3816666666666</v>
      </c>
      <c r="J196" s="119">
        <f ca="1">HLOOKUP($H$5,'Met Data'!$H$2:$M$368,G196,FALSE)*L196</f>
        <v>3.2766666666666602</v>
      </c>
      <c r="K196" s="96">
        <f ca="1">HLOOKUP($H$5,'Met Data'!$O$2:$T$368,G196,FALSE)</f>
        <v>3.6161533155938699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45419</v>
      </c>
      <c r="Q196">
        <f ca="1"/>
        <v>-43.851357032230716</v>
      </c>
      <c r="R196">
        <f ca="1"/>
        <v>1.875762143110137</v>
      </c>
      <c r="S196">
        <f ca="1"/>
        <v>7.1360793259040989E-3</v>
      </c>
      <c r="T196">
        <f ca="1"/>
        <v>0.24337962925976095</v>
      </c>
      <c r="U196">
        <f ca="1"/>
        <v>0</v>
      </c>
      <c r="V196">
        <f ca="1"/>
        <v>105.79297394412306</v>
      </c>
      <c r="W196">
        <f ca="1"/>
        <v>96.780979867401456</v>
      </c>
      <c r="X196">
        <f ca="1"/>
        <v>0</v>
      </c>
      <c r="Y196">
        <f ca="1"/>
        <v>0.92002071310048128</v>
      </c>
      <c r="Z196">
        <f ca="1"/>
        <v>0</v>
      </c>
      <c r="AA196">
        <f ca="1"/>
        <v>0</v>
      </c>
      <c r="AB196">
        <f ca="1"/>
        <v>0.9996601281007963</v>
      </c>
      <c r="AD196" s="2">
        <f t="shared" ca="1" si="22"/>
        <v>45419</v>
      </c>
      <c r="AE196">
        <f t="shared" ca="1" si="23"/>
        <v>0</v>
      </c>
      <c r="AG196" s="63">
        <f t="shared" ca="1" si="27"/>
        <v>-41.975594889120579</v>
      </c>
      <c r="AH196" s="63">
        <f t="shared" ca="1" si="28"/>
        <v>-41.975594889120579</v>
      </c>
      <c r="AI196" s="3">
        <f t="shared" ca="1" si="29"/>
        <v>0</v>
      </c>
    </row>
    <row r="197" spans="7:35">
      <c r="G197" s="3">
        <f t="shared" ca="1" si="24"/>
        <v>70</v>
      </c>
      <c r="H197" s="95">
        <f t="shared" ca="1" si="26"/>
        <v>45360</v>
      </c>
      <c r="I197" s="119">
        <f ca="1">HLOOKUP($H$5,'Met Data'!$A$2:$F$368,G197,FALSE)</f>
        <v>18.100000000000001</v>
      </c>
      <c r="J197" s="119">
        <f ca="1">HLOOKUP($H$5,'Met Data'!$H$2:$M$368,G197,FALSE)*L197</f>
        <v>1.75</v>
      </c>
      <c r="K197" s="96">
        <f ca="1">HLOOKUP($H$5,'Met Data'!$O$2:$T$368,G197,FALSE)</f>
        <v>3.9222011256035199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45420</v>
      </c>
      <c r="Q197">
        <f ca="1"/>
        <v>-45.418645767517049</v>
      </c>
      <c r="R197">
        <f ca="1"/>
        <v>1.8114909523336564</v>
      </c>
      <c r="S197">
        <f ca="1"/>
        <v>6.8479209768499416E-3</v>
      </c>
      <c r="T197">
        <f ca="1"/>
        <v>0.23735429607047082</v>
      </c>
      <c r="U197">
        <f ca="1"/>
        <v>0</v>
      </c>
      <c r="V197">
        <f ca="1"/>
        <v>107.60446489645672</v>
      </c>
      <c r="W197">
        <f ca="1"/>
        <v>98.438158627499291</v>
      </c>
      <c r="X197">
        <f ca="1"/>
        <v>0</v>
      </c>
      <c r="Y197">
        <f ca="1"/>
        <v>0.92902095825569142</v>
      </c>
      <c r="Z197">
        <f ca="1"/>
        <v>0</v>
      </c>
      <c r="AA197">
        <f ca="1"/>
        <v>0</v>
      </c>
      <c r="AB197">
        <f ca="1"/>
        <v>0.99969091995718262</v>
      </c>
      <c r="AD197" s="2">
        <f t="shared" ca="1" si="22"/>
        <v>45420</v>
      </c>
      <c r="AE197">
        <f t="shared" ca="1" si="23"/>
        <v>0</v>
      </c>
      <c r="AG197" s="63">
        <f t="shared" ca="1" si="27"/>
        <v>-43.607154815183392</v>
      </c>
      <c r="AH197" s="63">
        <f t="shared" ca="1" si="28"/>
        <v>-43.607154815183392</v>
      </c>
      <c r="AI197" s="3">
        <f t="shared" ca="1" si="29"/>
        <v>0</v>
      </c>
    </row>
    <row r="198" spans="7:35">
      <c r="G198" s="3">
        <f t="shared" ca="1" si="24"/>
        <v>71</v>
      </c>
      <c r="H198" s="95">
        <f t="shared" ca="1" si="26"/>
        <v>45361</v>
      </c>
      <c r="I198" s="119">
        <f ca="1">HLOOKUP($H$5,'Met Data'!$A$2:$F$368,G198,FALSE)</f>
        <v>17.931666666666601</v>
      </c>
      <c r="J198" s="119">
        <f ca="1">HLOOKUP($H$5,'Met Data'!$H$2:$M$368,G198,FALSE)*L198</f>
        <v>6.9499999999999904</v>
      </c>
      <c r="K198" s="96">
        <f ca="1">HLOOKUP($H$5,'Met Data'!$O$2:$T$368,G198,FALSE)</f>
        <v>3.4661109817168501</v>
      </c>
      <c r="L198">
        <f t="shared" ca="1" si="20"/>
        <v>1</v>
      </c>
      <c r="N198" t="b">
        <f t="shared" ca="1" si="25"/>
        <v>0</v>
      </c>
      <c r="O198" t="b">
        <f t="shared" ca="1" si="21"/>
        <v>0</v>
      </c>
      <c r="P198" s="2">
        <f ca="1"/>
        <v>45421</v>
      </c>
      <c r="Q198">
        <f ca="1"/>
        <v>-46.986147812210497</v>
      </c>
      <c r="R198">
        <f ca="1"/>
        <v>1.8213970086386695</v>
      </c>
      <c r="S198">
        <f ca="1"/>
        <v>6.8257858164697538E-3</v>
      </c>
      <c r="T198">
        <f ca="1"/>
        <v>0.24706917812875487</v>
      </c>
      <c r="U198">
        <f ca="1"/>
        <v>0</v>
      </c>
      <c r="V198">
        <f ca="1"/>
        <v>109.42586190509539</v>
      </c>
      <c r="W198">
        <f ca="1"/>
        <v>100.10439959466134</v>
      </c>
      <c r="X198">
        <f ca="1"/>
        <v>0</v>
      </c>
      <c r="Y198">
        <f ca="1"/>
        <v>0.95186685714895514</v>
      </c>
      <c r="Z198">
        <f ca="1"/>
        <v>0</v>
      </c>
      <c r="AA198">
        <f ca="1"/>
        <v>0</v>
      </c>
      <c r="AB198">
        <f ca="1"/>
        <v>0.99971918776302704</v>
      </c>
      <c r="AD198" s="2">
        <f t="shared" ca="1" si="22"/>
        <v>45421</v>
      </c>
      <c r="AE198">
        <f t="shared" ca="1" si="23"/>
        <v>0</v>
      </c>
      <c r="AG198" s="63">
        <f t="shared" ca="1" si="27"/>
        <v>-45.164750803571827</v>
      </c>
      <c r="AH198" s="63">
        <f t="shared" ca="1" si="28"/>
        <v>-45.164750803571827</v>
      </c>
      <c r="AI198" s="3">
        <f t="shared" ca="1" si="29"/>
        <v>0</v>
      </c>
    </row>
    <row r="199" spans="7:35">
      <c r="G199" s="3">
        <f t="shared" ca="1" si="24"/>
        <v>72</v>
      </c>
      <c r="H199" s="95">
        <f t="shared" ca="1" si="26"/>
        <v>45362</v>
      </c>
      <c r="I199" s="119">
        <f ca="1">HLOOKUP($H$5,'Met Data'!$A$2:$F$368,G199,FALSE)</f>
        <v>18.11</v>
      </c>
      <c r="J199" s="119">
        <f ca="1">HLOOKUP($H$5,'Met Data'!$H$2:$M$368,G199,FALSE)*L199</f>
        <v>3.0533333333333301</v>
      </c>
      <c r="K199" s="96">
        <f ca="1">HLOOKUP($H$5,'Met Data'!$O$2:$T$368,G199,FALSE)</f>
        <v>3.54178935257598</v>
      </c>
      <c r="L199">
        <f t="shared" ref="L199:L262" ca="1" si="30">IF(H199&lt;$B$32,$J$4,$J$5)</f>
        <v>1</v>
      </c>
      <c r="N199" t="b">
        <f t="shared" ca="1" si="25"/>
        <v>0</v>
      </c>
      <c r="O199" t="b">
        <f t="shared" ref="O199:O262" ca="1" si="31">AND(IF(P199&gt;($P$3-1),TRUE,FALSE),IF(P199&lt;($P$4+1),TRUE,FALSE))</f>
        <v>0</v>
      </c>
      <c r="P199" s="2">
        <f ca="1"/>
        <v>45422</v>
      </c>
      <c r="Q199">
        <f ca="1"/>
        <v>-48.574024502111577</v>
      </c>
      <c r="R199">
        <f ca="1"/>
        <v>1.8508139464110087</v>
      </c>
      <c r="S199">
        <f ca="1"/>
        <v>6.8756192975483188E-3</v>
      </c>
      <c r="T199">
        <f ca="1"/>
        <v>0.25606163721238068</v>
      </c>
      <c r="U199">
        <f ca="1"/>
        <v>0</v>
      </c>
      <c r="V199">
        <f ca="1"/>
        <v>111.2766758515064</v>
      </c>
      <c r="W199">
        <f ca="1"/>
        <v>101.79755161230399</v>
      </c>
      <c r="X199">
        <f ca="1"/>
        <v>0</v>
      </c>
      <c r="Y199">
        <f ca="1"/>
        <v>0.9609455833561279</v>
      </c>
      <c r="Z199">
        <f ca="1"/>
        <v>0</v>
      </c>
      <c r="AA199">
        <f ca="1"/>
        <v>0</v>
      </c>
      <c r="AB199">
        <f ca="1"/>
        <v>0.99974539597089396</v>
      </c>
      <c r="AD199" s="2">
        <f t="shared" ref="AD199:AD262" ca="1" si="32">IFERROR(P199,$AD$5)</f>
        <v>45422</v>
      </c>
      <c r="AE199">
        <f t="shared" ref="AE199:AE262" ca="1" si="33">IFERROR(U199,0)</f>
        <v>0</v>
      </c>
      <c r="AG199" s="63">
        <f t="shared" ca="1" si="27"/>
        <v>-46.723210555700568</v>
      </c>
      <c r="AH199" s="63">
        <f t="shared" ca="1" si="28"/>
        <v>-46.723210555700568</v>
      </c>
      <c r="AI199" s="3">
        <f t="shared" ca="1" si="29"/>
        <v>0</v>
      </c>
    </row>
    <row r="200" spans="7:35">
      <c r="G200" s="3">
        <f t="shared" ref="G200:G263" ca="1" si="34">H200-DATE(YEAR(H200),1,0)+1</f>
        <v>73</v>
      </c>
      <c r="H200" s="95">
        <f t="shared" ca="1" si="26"/>
        <v>45363</v>
      </c>
      <c r="I200" s="119">
        <f ca="1">HLOOKUP($H$5,'Met Data'!$A$2:$F$368,G200,FALSE)</f>
        <v>17.7392857142857</v>
      </c>
      <c r="J200" s="119">
        <f ca="1">HLOOKUP($H$5,'Met Data'!$H$2:$M$368,G200,FALSE)*L200</f>
        <v>1.6892857142857101</v>
      </c>
      <c r="K200" s="96">
        <f ca="1">HLOOKUP($H$5,'Met Data'!$O$2:$T$368,G200,FALSE)</f>
        <v>3.3591305391228099</v>
      </c>
      <c r="L200">
        <f t="shared" ca="1" si="30"/>
        <v>1</v>
      </c>
      <c r="N200" t="b">
        <f t="shared" ref="N200:N263" ca="1" si="35">IF(P200&lt;$P$4,TRUE,FALSE)</f>
        <v>0</v>
      </c>
      <c r="O200" t="b">
        <f t="shared" ca="1" si="31"/>
        <v>0</v>
      </c>
      <c r="P200" s="2">
        <f ca="1"/>
        <v>45423</v>
      </c>
      <c r="Q200">
        <f ca="1"/>
        <v>-50.186850098440331</v>
      </c>
      <c r="R200">
        <f ca="1"/>
        <v>1.8830289888618523</v>
      </c>
      <c r="S200">
        <f ca="1"/>
        <v>6.94073137821416E-3</v>
      </c>
      <c r="T200">
        <f ca="1"/>
        <v>0.26326266115488522</v>
      </c>
      <c r="U200">
        <f ca="1"/>
        <v>0</v>
      </c>
      <c r="V200">
        <f ca="1"/>
        <v>113.15970484036825</v>
      </c>
      <c r="W200">
        <f ca="1"/>
        <v>103.52017442804058</v>
      </c>
      <c r="X200">
        <f ca="1"/>
        <v>0</v>
      </c>
      <c r="Y200">
        <f ca="1"/>
        <v>0.99092806925943544</v>
      </c>
      <c r="Z200">
        <f ca="1"/>
        <v>0</v>
      </c>
      <c r="AA200">
        <f ca="1"/>
        <v>0</v>
      </c>
      <c r="AB200">
        <f ca="1"/>
        <v>0.99976969279591132</v>
      </c>
      <c r="AD200" s="2">
        <f t="shared" ca="1" si="32"/>
        <v>45423</v>
      </c>
      <c r="AE200">
        <f t="shared" ca="1" si="33"/>
        <v>0</v>
      </c>
      <c r="AG200" s="63">
        <f t="shared" ca="1" si="27"/>
        <v>-48.303821109578479</v>
      </c>
      <c r="AH200" s="63">
        <f t="shared" ca="1" si="28"/>
        <v>-48.303821109578479</v>
      </c>
      <c r="AI200" s="3">
        <f t="shared" ca="1" si="29"/>
        <v>0</v>
      </c>
    </row>
    <row r="201" spans="7:35">
      <c r="G201" s="3">
        <f t="shared" ca="1" si="34"/>
        <v>74</v>
      </c>
      <c r="H201" s="95">
        <f t="shared" ref="H201:H264" ca="1" si="36">H200+1</f>
        <v>45364</v>
      </c>
      <c r="I201" s="119">
        <f ca="1">HLOOKUP($H$5,'Met Data'!$A$2:$F$368,G201,FALSE)</f>
        <v>17.7431034482758</v>
      </c>
      <c r="J201" s="119">
        <f ca="1">HLOOKUP($H$5,'Met Data'!$H$2:$M$368,G201,FALSE)*L201</f>
        <v>1.84</v>
      </c>
      <c r="K201" s="96">
        <f ca="1">HLOOKUP($H$5,'Met Data'!$O$2:$T$368,G201,FALSE)</f>
        <v>3.37236322021164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45424</v>
      </c>
      <c r="Q201">
        <f ca="1"/>
        <v>-51.777937531830261</v>
      </c>
      <c r="R201">
        <f ca="1"/>
        <v>1.8593794671760548</v>
      </c>
      <c r="S201">
        <f ca="1"/>
        <v>6.8138465416787142E-3</v>
      </c>
      <c r="T201">
        <f ca="1"/>
        <v>0.26147818724445032</v>
      </c>
      <c r="U201">
        <f ca="1"/>
        <v>0</v>
      </c>
      <c r="V201">
        <f ca="1"/>
        <v>115.0190843075443</v>
      </c>
      <c r="W201">
        <f ca="1"/>
        <v>105.22116231097571</v>
      </c>
      <c r="X201">
        <f ca="1"/>
        <v>0</v>
      </c>
      <c r="Y201">
        <f ca="1"/>
        <v>1</v>
      </c>
      <c r="Z201">
        <f ca="1"/>
        <v>1.0270063203121254</v>
      </c>
      <c r="AA201">
        <f ca="1"/>
        <v>0</v>
      </c>
      <c r="AB201">
        <f ca="1"/>
        <v>0.99979155260912511</v>
      </c>
      <c r="AD201" s="2">
        <f t="shared" ca="1" si="32"/>
        <v>45424</v>
      </c>
      <c r="AE201">
        <f t="shared" ca="1" si="33"/>
        <v>0</v>
      </c>
      <c r="AG201" s="63">
        <f ca="1">Q200+S201+T201+U201</f>
        <v>-49.918558064654206</v>
      </c>
      <c r="AH201" s="63">
        <f ca="1">Q201+R201+X201</f>
        <v>-49.918558064654206</v>
      </c>
      <c r="AI201" s="3">
        <f ca="1">AH201-AG201</f>
        <v>0</v>
      </c>
    </row>
    <row r="202" spans="7:35">
      <c r="G202" s="3">
        <f t="shared" ca="1" si="34"/>
        <v>75</v>
      </c>
      <c r="H202" s="95">
        <f t="shared" ca="1" si="36"/>
        <v>45365</v>
      </c>
      <c r="I202" s="119">
        <f ca="1">HLOOKUP($H$5,'Met Data'!$A$2:$F$368,G202,FALSE)</f>
        <v>17.582758620689599</v>
      </c>
      <c r="J202" s="119">
        <f ca="1">HLOOKUP($H$5,'Met Data'!$H$2:$M$368,G202,FALSE)*L202</f>
        <v>3.1862068965517198</v>
      </c>
      <c r="K202" s="96">
        <f ca="1">HLOOKUP($H$5,'Met Data'!$O$2:$T$368,G202,FALSE)</f>
        <v>3.1968269295082399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45425</v>
      </c>
      <c r="Q202">
        <f ca="1"/>
        <v>-53.318582555538981</v>
      </c>
      <c r="R202">
        <f ca="1"/>
        <v>1.8013417031070986</v>
      </c>
      <c r="S202">
        <f ca="1"/>
        <v>6.5751410508454455E-3</v>
      </c>
      <c r="T202">
        <f ca="1"/>
        <v>0.25412153834753565</v>
      </c>
      <c r="U202">
        <f ca="1"/>
        <v>0</v>
      </c>
      <c r="V202">
        <f ca="1"/>
        <v>116.8204260106514</v>
      </c>
      <c r="W202">
        <f ca="1"/>
        <v>106.86905638752182</v>
      </c>
      <c r="X202">
        <f ca="1"/>
        <v>0</v>
      </c>
      <c r="Y202">
        <f ca="1"/>
        <v>1</v>
      </c>
      <c r="Z202">
        <f ca="1"/>
        <v>1.2119786820522194</v>
      </c>
      <c r="AA202">
        <f ca="1"/>
        <v>0</v>
      </c>
      <c r="AB202">
        <f ca="1"/>
        <v>0.99981088901332271</v>
      </c>
      <c r="AD202" s="2">
        <f t="shared" ca="1" si="32"/>
        <v>45425</v>
      </c>
      <c r="AE202">
        <f t="shared" ca="1" si="33"/>
        <v>0</v>
      </c>
      <c r="AG202" s="63">
        <f ca="1">Q201+S202+T202+U202</f>
        <v>-51.517240852431883</v>
      </c>
      <c r="AH202" s="63">
        <f ca="1">Q202+R202+X202</f>
        <v>-51.517240852431883</v>
      </c>
      <c r="AI202" s="3">
        <f ca="1">AH202-AG202</f>
        <v>0</v>
      </c>
    </row>
    <row r="203" spans="7:35">
      <c r="G203" s="3">
        <f t="shared" ca="1" si="34"/>
        <v>76</v>
      </c>
      <c r="H203" s="95">
        <f t="shared" ca="1" si="36"/>
        <v>45366</v>
      </c>
      <c r="I203" s="119">
        <f ca="1">HLOOKUP($H$5,'Met Data'!$A$2:$F$368,G203,FALSE)</f>
        <v>17.724137931034399</v>
      </c>
      <c r="J203" s="119">
        <f ca="1">HLOOKUP($H$5,'Met Data'!$H$2:$M$368,G203,FALSE)*L203</f>
        <v>2.9633333333333298</v>
      </c>
      <c r="K203" s="96">
        <f ca="1">HLOOKUP($H$5,'Met Data'!$O$2:$T$368,G203,FALSE)</f>
        <v>3.15313078143424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45426</v>
      </c>
      <c r="Q203">
        <f ca="1"/>
        <v>-54.83558646081552</v>
      </c>
      <c r="R203">
        <f ca="1"/>
        <v>1.7757707475856108</v>
      </c>
      <c r="S203">
        <f ca="1"/>
        <v>6.4554773723006775E-3</v>
      </c>
      <c r="T203">
        <f ca="1"/>
        <v>0.25231136493677425</v>
      </c>
      <c r="U203">
        <f ca="1"/>
        <v>0</v>
      </c>
      <c r="V203">
        <f ca="1"/>
        <v>118.59619675823701</v>
      </c>
      <c r="W203">
        <f ca="1"/>
        <v>108.49355777512794</v>
      </c>
      <c r="X203">
        <f ca="1"/>
        <v>0</v>
      </c>
      <c r="Y203">
        <f ca="1"/>
        <v>1</v>
      </c>
      <c r="Z203">
        <f ca="1"/>
        <v>2.3369812874923213</v>
      </c>
      <c r="AA203">
        <f ca="1"/>
        <v>0</v>
      </c>
      <c r="AB203">
        <f ca="1"/>
        <v>0.99982833052316622</v>
      </c>
      <c r="AD203" s="2">
        <f t="shared" ca="1" si="32"/>
        <v>45426</v>
      </c>
      <c r="AE203">
        <f t="shared" ca="1" si="33"/>
        <v>0</v>
      </c>
      <c r="AG203" s="63">
        <f ca="1">Q202+S203+T203+U203</f>
        <v>-53.059815713229909</v>
      </c>
      <c r="AH203" s="63">
        <f ca="1">Q203+R203+X203</f>
        <v>-53.059815713229909</v>
      </c>
      <c r="AI203" s="3">
        <f ca="1">AH203-AG203</f>
        <v>0</v>
      </c>
    </row>
    <row r="204" spans="7:35">
      <c r="G204" s="3">
        <f t="shared" ca="1" si="34"/>
        <v>77</v>
      </c>
      <c r="H204" s="95">
        <f t="shared" ca="1" si="36"/>
        <v>45367</v>
      </c>
      <c r="I204" s="119">
        <f ca="1">HLOOKUP($H$5,'Met Data'!$A$2:$F$368,G204,FALSE)</f>
        <v>17.698333333333299</v>
      </c>
      <c r="J204" s="119">
        <f ca="1">HLOOKUP($H$5,'Met Data'!$H$2:$M$368,G204,FALSE)*L204</f>
        <v>2.61666666666666</v>
      </c>
      <c r="K204" s="96">
        <f ca="1">HLOOKUP($H$5,'Met Data'!$O$2:$T$368,G204,FALSE)</f>
        <v>3.4068572568745799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45427</v>
      </c>
      <c r="Q204">
        <f ca="1"/>
        <v>-56.338169093410031</v>
      </c>
      <c r="R204">
        <f ca="1"/>
        <v>1.7615219986892043</v>
      </c>
      <c r="S204">
        <f ca="1"/>
        <v>6.3790401737735536E-3</v>
      </c>
      <c r="T204">
        <f ca="1"/>
        <v>0.25256032592091954</v>
      </c>
      <c r="U204">
        <f ca="1"/>
        <v>0</v>
      </c>
      <c r="V204">
        <f ca="1"/>
        <v>120.35771875692622</v>
      </c>
      <c r="W204">
        <f ca="1"/>
        <v>110.10502419615102</v>
      </c>
      <c r="X204">
        <f ca="1"/>
        <v>0</v>
      </c>
      <c r="Y204">
        <f ca="1"/>
        <v>1</v>
      </c>
      <c r="Z204">
        <f ca="1"/>
        <v>2.3412689420328974</v>
      </c>
      <c r="AA204">
        <f ca="1"/>
        <v>0</v>
      </c>
      <c r="AB204">
        <f ca="1"/>
        <v>0.99984417636871048</v>
      </c>
      <c r="AD204" s="2">
        <f t="shared" ca="1" si="32"/>
        <v>45427</v>
      </c>
      <c r="AE204">
        <f t="shared" ca="1" si="33"/>
        <v>0</v>
      </c>
      <c r="AG204" s="63">
        <f t="shared" ref="AG204:AG267" ca="1" si="37">Q203+S204+T204+U204</f>
        <v>-54.576647094720826</v>
      </c>
      <c r="AH204" s="63">
        <f t="shared" ref="AH204:AH267" ca="1" si="38">Q204+R204+X204</f>
        <v>-54.576647094720826</v>
      </c>
      <c r="AI204" s="3">
        <f t="shared" ref="AI204:AI267" ca="1" si="39">AH204-AG204</f>
        <v>0</v>
      </c>
    </row>
    <row r="205" spans="7:35">
      <c r="G205" s="3">
        <f t="shared" ca="1" si="34"/>
        <v>78</v>
      </c>
      <c r="H205" s="95">
        <f t="shared" ca="1" si="36"/>
        <v>45368</v>
      </c>
      <c r="I205" s="119">
        <f ca="1">HLOOKUP($H$5,'Met Data'!$A$2:$F$368,G205,FALSE)</f>
        <v>17.62</v>
      </c>
      <c r="J205" s="119">
        <f ca="1">HLOOKUP($H$5,'Met Data'!$H$2:$M$368,G205,FALSE)*L205</f>
        <v>1.69</v>
      </c>
      <c r="K205" s="96">
        <f ca="1">HLOOKUP($H$5,'Met Data'!$O$2:$T$368,G205,FALSE)</f>
        <v>3.17632774581707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45428</v>
      </c>
      <c r="Q205">
        <f ca="1"/>
        <v>-57.780961872349565</v>
      </c>
      <c r="R205">
        <f ca="1"/>
        <v>1.6927163757898143</v>
      </c>
      <c r="S205">
        <f ca="1"/>
        <v>6.126474023770534E-3</v>
      </c>
      <c r="T205">
        <f ca="1"/>
        <v>0.24379712282650554</v>
      </c>
      <c r="U205">
        <f ca="1"/>
        <v>0</v>
      </c>
      <c r="V205">
        <f ca="1"/>
        <v>122.05043513271603</v>
      </c>
      <c r="W205">
        <f ca="1"/>
        <v>111.65354621400319</v>
      </c>
      <c r="X205">
        <f ca="1"/>
        <v>0</v>
      </c>
      <c r="Y205">
        <f ca="1"/>
        <v>1</v>
      </c>
      <c r="Z205">
        <f ca="1"/>
        <v>2.1851901968618677</v>
      </c>
      <c r="AA205">
        <f ca="1"/>
        <v>0</v>
      </c>
      <c r="AB205">
        <f ca="1"/>
        <v>0.99985814922589378</v>
      </c>
      <c r="AD205" s="2">
        <f t="shared" ca="1" si="32"/>
        <v>45428</v>
      </c>
      <c r="AE205">
        <f t="shared" ca="1" si="33"/>
        <v>0</v>
      </c>
      <c r="AG205" s="63">
        <f t="shared" ca="1" si="37"/>
        <v>-56.08824549655975</v>
      </c>
      <c r="AH205" s="63">
        <f t="shared" ca="1" si="38"/>
        <v>-56.08824549655975</v>
      </c>
      <c r="AI205" s="3">
        <f t="shared" ca="1" si="39"/>
        <v>0</v>
      </c>
    </row>
    <row r="206" spans="7:35">
      <c r="G206" s="3">
        <f t="shared" ca="1" si="34"/>
        <v>79</v>
      </c>
      <c r="H206" s="95">
        <f t="shared" ca="1" si="36"/>
        <v>45369</v>
      </c>
      <c r="I206" s="119">
        <f ca="1">HLOOKUP($H$5,'Met Data'!$A$2:$F$368,G206,FALSE)</f>
        <v>17.170000000000002</v>
      </c>
      <c r="J206" s="119">
        <f ca="1">HLOOKUP($H$5,'Met Data'!$H$2:$M$368,G206,FALSE)*L206</f>
        <v>1.5166666666666599</v>
      </c>
      <c r="K206" s="96">
        <f ca="1">HLOOKUP($H$5,'Met Data'!$O$2:$T$368,G206,FALSE)</f>
        <v>3.38121466442426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45429</v>
      </c>
      <c r="Q206">
        <f ca="1"/>
        <v>-59.192121616435003</v>
      </c>
      <c r="R206">
        <f ca="1"/>
        <v>1.6579325627719186</v>
      </c>
      <c r="S206">
        <f ca="1"/>
        <v>5.9926494947850628E-3</v>
      </c>
      <c r="T206">
        <f ca="1"/>
        <v>0.24078016919169437</v>
      </c>
      <c r="U206">
        <f ca="1"/>
        <v>0</v>
      </c>
      <c r="V206">
        <f ca="1"/>
        <v>123.70836769548795</v>
      </c>
      <c r="W206">
        <f ca="1"/>
        <v>113.17024748439083</v>
      </c>
      <c r="X206">
        <f ca="1"/>
        <v>0</v>
      </c>
      <c r="Y206">
        <f ca="1"/>
        <v>1</v>
      </c>
      <c r="Z206">
        <f ca="1"/>
        <v>2.032063936865498</v>
      </c>
      <c r="AA206">
        <f ca="1"/>
        <v>0</v>
      </c>
      <c r="AB206">
        <f ca="1"/>
        <v>0.99987073844444596</v>
      </c>
      <c r="AD206" s="2">
        <f t="shared" ca="1" si="32"/>
        <v>45429</v>
      </c>
      <c r="AE206">
        <f t="shared" ca="1" si="33"/>
        <v>0</v>
      </c>
      <c r="AG206" s="63">
        <f t="shared" ca="1" si="37"/>
        <v>-57.534189053663084</v>
      </c>
      <c r="AH206" s="63">
        <f t="shared" ca="1" si="38"/>
        <v>-57.534189053663084</v>
      </c>
      <c r="AI206" s="3">
        <f t="shared" ca="1" si="39"/>
        <v>0</v>
      </c>
    </row>
    <row r="207" spans="7:35">
      <c r="G207" s="3">
        <f t="shared" ca="1" si="34"/>
        <v>80</v>
      </c>
      <c r="H207" s="95">
        <f t="shared" ca="1" si="36"/>
        <v>45370</v>
      </c>
      <c r="I207" s="119">
        <f ca="1">HLOOKUP($H$5,'Met Data'!$A$2:$F$368,G207,FALSE)</f>
        <v>17.223333333333301</v>
      </c>
      <c r="J207" s="119">
        <f ca="1">HLOOKUP($H$5,'Met Data'!$H$2:$M$368,G207,FALSE)*L207</f>
        <v>3.56451612903225</v>
      </c>
      <c r="K207" s="96">
        <f ca="1">HLOOKUP($H$5,'Met Data'!$O$2:$T$368,G207,FALSE)</f>
        <v>3.2035769560803802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45430</v>
      </c>
      <c r="Q207">
        <f ca="1"/>
        <v>-60.636778749605341</v>
      </c>
      <c r="R207">
        <f ca="1"/>
        <v>1.7020946545754896</v>
      </c>
      <c r="S207">
        <f ca="1"/>
        <v>6.1204911861629796E-3</v>
      </c>
      <c r="T207">
        <f ca="1"/>
        <v>0.25131703021898794</v>
      </c>
      <c r="U207">
        <f ca="1"/>
        <v>0</v>
      </c>
      <c r="V207">
        <f ca="1"/>
        <v>125.41046235006344</v>
      </c>
      <c r="W207">
        <f ca="1"/>
        <v>114.72734889061358</v>
      </c>
      <c r="X207">
        <f ca="1"/>
        <v>0</v>
      </c>
      <c r="Y207">
        <f ca="1"/>
        <v>0.99435109697764656</v>
      </c>
      <c r="Z207">
        <f ca="1"/>
        <v>0</v>
      </c>
      <c r="AA207">
        <f ca="1"/>
        <v>0</v>
      </c>
      <c r="AB207">
        <f ca="1"/>
        <v>0.99988262249949211</v>
      </c>
      <c r="AD207" s="2">
        <f t="shared" ca="1" si="32"/>
        <v>45430</v>
      </c>
      <c r="AE207">
        <f t="shared" ca="1" si="33"/>
        <v>0</v>
      </c>
      <c r="AG207" s="63">
        <f t="shared" ca="1" si="37"/>
        <v>-58.934684095029851</v>
      </c>
      <c r="AH207" s="63">
        <f t="shared" ca="1" si="38"/>
        <v>-58.934684095029851</v>
      </c>
      <c r="AI207" s="3">
        <f t="shared" ca="1" si="39"/>
        <v>0</v>
      </c>
    </row>
    <row r="208" spans="7:35">
      <c r="G208" s="3">
        <f t="shared" ca="1" si="34"/>
        <v>81</v>
      </c>
      <c r="H208" s="95">
        <f t="shared" ca="1" si="36"/>
        <v>45371</v>
      </c>
      <c r="I208" s="119">
        <f ca="1">HLOOKUP($H$5,'Met Data'!$A$2:$F$368,G208,FALSE)</f>
        <v>17.498333333333299</v>
      </c>
      <c r="J208" s="119">
        <f ca="1">HLOOKUP($H$5,'Met Data'!$H$2:$M$368,G208,FALSE)*L208</f>
        <v>0.80645161290322498</v>
      </c>
      <c r="K208" s="96">
        <f ca="1">HLOOKUP($H$5,'Met Data'!$O$2:$T$368,G208,FALSE)</f>
        <v>3.31927458571925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45431</v>
      </c>
      <c r="Q208">
        <f ca="1"/>
        <v>-62.056927088214756</v>
      </c>
      <c r="R208">
        <f ca="1"/>
        <v>1.6764253096561532</v>
      </c>
      <c r="S208">
        <f ca="1"/>
        <v>6.0226207173927904E-3</v>
      </c>
      <c r="T208">
        <f ca="1"/>
        <v>0.25025435032934168</v>
      </c>
      <c r="U208">
        <f ca="1"/>
        <v>0</v>
      </c>
      <c r="V208">
        <f ca="1"/>
        <v>127.08688765971959</v>
      </c>
      <c r="W208">
        <f ca="1"/>
        <v>116.26096759981756</v>
      </c>
      <c r="X208">
        <f ca="1"/>
        <v>0</v>
      </c>
      <c r="Y208">
        <f ca="1"/>
        <v>1</v>
      </c>
      <c r="Z208">
        <f ca="1"/>
        <v>3.3866184614830104</v>
      </c>
      <c r="AA208">
        <f ca="1"/>
        <v>0</v>
      </c>
      <c r="AB208">
        <f ca="1"/>
        <v>0.99989337684523094</v>
      </c>
      <c r="AD208" s="2">
        <f t="shared" ca="1" si="32"/>
        <v>45431</v>
      </c>
      <c r="AE208">
        <f t="shared" ca="1" si="33"/>
        <v>0</v>
      </c>
      <c r="AG208" s="63">
        <f t="shared" ca="1" si="37"/>
        <v>-60.380501778558603</v>
      </c>
      <c r="AH208" s="63">
        <f t="shared" ca="1" si="38"/>
        <v>-60.380501778558603</v>
      </c>
      <c r="AI208" s="3">
        <f t="shared" ca="1" si="39"/>
        <v>0</v>
      </c>
    </row>
    <row r="209" spans="7:35">
      <c r="G209" s="3">
        <f t="shared" ca="1" si="34"/>
        <v>82</v>
      </c>
      <c r="H209" s="95">
        <f t="shared" ca="1" si="36"/>
        <v>45372</v>
      </c>
      <c r="I209" s="119">
        <f ca="1">HLOOKUP($H$5,'Met Data'!$A$2:$F$368,G209,FALSE)</f>
        <v>17.390322580645101</v>
      </c>
      <c r="J209" s="119">
        <f ca="1">HLOOKUP($H$5,'Met Data'!$H$2:$M$368,G209,FALSE)*L209</f>
        <v>2.8516129032258002</v>
      </c>
      <c r="K209" s="96">
        <f ca="1">HLOOKUP($H$5,'Met Data'!$O$2:$T$368,G209,FALSE)</f>
        <v>3.3284502448926401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45432</v>
      </c>
      <c r="Q209">
        <f ca="1"/>
        <v>-63.485485626057994</v>
      </c>
      <c r="R209">
        <f ca="1"/>
        <v>1.6911504057602542</v>
      </c>
      <c r="S209">
        <f ca="1"/>
        <v>6.0635459749986964E-3</v>
      </c>
      <c r="T209">
        <f ca="1"/>
        <v>0.25652832194202085</v>
      </c>
      <c r="U209">
        <f ca="1"/>
        <v>0</v>
      </c>
      <c r="V209">
        <f ca="1"/>
        <v>128.77803806547985</v>
      </c>
      <c r="W209">
        <f ca="1"/>
        <v>117.80805704508712</v>
      </c>
      <c r="X209">
        <f ca="1"/>
        <v>0</v>
      </c>
      <c r="Y209">
        <f ca="1"/>
        <v>1</v>
      </c>
      <c r="Z209">
        <f ca="1"/>
        <v>3.6573517089452139</v>
      </c>
      <c r="AA209">
        <f ca="1"/>
        <v>0</v>
      </c>
      <c r="AB209">
        <f ca="1"/>
        <v>0.99990334418521776</v>
      </c>
      <c r="AD209" s="2">
        <f t="shared" ca="1" si="32"/>
        <v>45432</v>
      </c>
      <c r="AE209">
        <f t="shared" ca="1" si="33"/>
        <v>0</v>
      </c>
      <c r="AG209" s="63">
        <f t="shared" ca="1" si="37"/>
        <v>-61.794335220297739</v>
      </c>
      <c r="AH209" s="63">
        <f t="shared" ca="1" si="38"/>
        <v>-61.794335220297739</v>
      </c>
      <c r="AI209" s="3">
        <f t="shared" ca="1" si="39"/>
        <v>0</v>
      </c>
    </row>
    <row r="210" spans="7:35">
      <c r="G210" s="3">
        <f t="shared" ca="1" si="34"/>
        <v>83</v>
      </c>
      <c r="H210" s="95">
        <f t="shared" ca="1" si="36"/>
        <v>45373</v>
      </c>
      <c r="I210" s="119">
        <f ca="1">HLOOKUP($H$5,'Met Data'!$A$2:$F$368,G210,FALSE)</f>
        <v>17.053333333333299</v>
      </c>
      <c r="J210" s="119">
        <f ca="1">HLOOKUP($H$5,'Met Data'!$H$2:$M$368,G210,FALSE)*L210</f>
        <v>2.9933333333333301</v>
      </c>
      <c r="K210" s="96">
        <f ca="1">HLOOKUP($H$5,'Met Data'!$O$2:$T$368,G210,FALSE)</f>
        <v>3.1676733133647299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45433</v>
      </c>
      <c r="Q210">
        <f ca="1"/>
        <v>-64.83980953160642</v>
      </c>
      <c r="R210">
        <f ca="1"/>
        <v>1.6051139314473915</v>
      </c>
      <c r="S210">
        <f ca="1"/>
        <v>5.77263675125117E-3</v>
      </c>
      <c r="T210">
        <f ca="1"/>
        <v>0.24501738914771648</v>
      </c>
      <c r="U210">
        <f ca="1"/>
        <v>0</v>
      </c>
      <c r="V210">
        <f ca="1"/>
        <v>130.38315199692724</v>
      </c>
      <c r="W210">
        <f ca="1"/>
        <v>119.27643904904082</v>
      </c>
      <c r="X210">
        <f ca="1"/>
        <v>0</v>
      </c>
      <c r="Y210">
        <f ca="1"/>
        <v>1</v>
      </c>
      <c r="Z210">
        <f ca="1"/>
        <v>3.3251396957355013</v>
      </c>
      <c r="AA210">
        <f ca="1"/>
        <v>0</v>
      </c>
      <c r="AB210">
        <f ca="1"/>
        <v>0.99991204771570619</v>
      </c>
      <c r="AD210" s="2">
        <f t="shared" ca="1" si="32"/>
        <v>45433</v>
      </c>
      <c r="AE210">
        <f t="shared" ca="1" si="33"/>
        <v>0</v>
      </c>
      <c r="AG210" s="63">
        <f t="shared" ca="1" si="37"/>
        <v>-63.234695600159021</v>
      </c>
      <c r="AH210" s="63">
        <f t="shared" ca="1" si="38"/>
        <v>-63.234695600159029</v>
      </c>
      <c r="AI210" s="3">
        <f t="shared" ca="1" si="39"/>
        <v>0</v>
      </c>
    </row>
    <row r="211" spans="7:35">
      <c r="G211" s="3">
        <f t="shared" ca="1" si="34"/>
        <v>84</v>
      </c>
      <c r="H211" s="95">
        <f t="shared" ca="1" si="36"/>
        <v>45374</v>
      </c>
      <c r="I211" s="119">
        <f ca="1">HLOOKUP($H$5,'Met Data'!$A$2:$F$368,G211,FALSE)</f>
        <v>16.973333333333301</v>
      </c>
      <c r="J211" s="119">
        <f ca="1">HLOOKUP($H$5,'Met Data'!$H$2:$M$368,G211,FALSE)*L211</f>
        <v>1.83666666666666</v>
      </c>
      <c r="K211" s="96">
        <f ca="1">HLOOKUP($H$5,'Met Data'!$O$2:$T$368,G211,FALSE)</f>
        <v>3.1307694102164598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45434</v>
      </c>
      <c r="Q211">
        <f ca="1"/>
        <v>-66.14936410008103</v>
      </c>
      <c r="R211">
        <f ca="1"/>
        <v>1.5550097717172093</v>
      </c>
      <c r="S211">
        <f ca="1"/>
        <v>5.6066128929632697E-3</v>
      </c>
      <c r="T211">
        <f ca="1"/>
        <v>0.23984859034963407</v>
      </c>
      <c r="U211">
        <f ca="1"/>
        <v>0</v>
      </c>
      <c r="V211">
        <f ca="1"/>
        <v>131.93816176864445</v>
      </c>
      <c r="W211">
        <f ca="1"/>
        <v>120.69898502538958</v>
      </c>
      <c r="X211">
        <f ca="1"/>
        <v>0</v>
      </c>
      <c r="Y211">
        <f ca="1"/>
        <v>1</v>
      </c>
      <c r="Z211">
        <f ca="1"/>
        <v>6.3600079202861934</v>
      </c>
      <c r="AA211">
        <f ca="1"/>
        <v>0</v>
      </c>
      <c r="AB211">
        <f ca="1"/>
        <v>0.99991982864626849</v>
      </c>
      <c r="AD211" s="2">
        <f t="shared" ca="1" si="32"/>
        <v>45434</v>
      </c>
      <c r="AE211">
        <f t="shared" ca="1" si="33"/>
        <v>0</v>
      </c>
      <c r="AG211" s="63">
        <f t="shared" ca="1" si="37"/>
        <v>-64.594354328363821</v>
      </c>
      <c r="AH211" s="63">
        <f t="shared" ca="1" si="38"/>
        <v>-64.594354328363821</v>
      </c>
      <c r="AI211" s="3">
        <f t="shared" ca="1" si="39"/>
        <v>0</v>
      </c>
    </row>
    <row r="212" spans="7:35">
      <c r="G212" s="3">
        <f t="shared" ca="1" si="34"/>
        <v>85</v>
      </c>
      <c r="H212" s="95">
        <f t="shared" ca="1" si="36"/>
        <v>45375</v>
      </c>
      <c r="I212" s="119">
        <f ca="1">HLOOKUP($H$5,'Met Data'!$A$2:$F$368,G212,FALSE)</f>
        <v>16.984999999999999</v>
      </c>
      <c r="J212" s="119">
        <f ca="1">HLOOKUP($H$5,'Met Data'!$H$2:$M$368,G212,FALSE)*L212</f>
        <v>1.7666666666666599</v>
      </c>
      <c r="K212" s="96">
        <f ca="1">HLOOKUP($H$5,'Met Data'!$O$2:$T$368,G212,FALSE)</f>
        <v>2.9971927749729499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45435</v>
      </c>
      <c r="Q212">
        <f ca="1"/>
        <v>-67.430883360581745</v>
      </c>
      <c r="R212">
        <f ca="1"/>
        <v>1.5253298164217597</v>
      </c>
      <c r="S212">
        <f ca="1"/>
        <v>5.5096360731390348E-3</v>
      </c>
      <c r="T212">
        <f ca="1"/>
        <v>0.23830091984790006</v>
      </c>
      <c r="U212">
        <f ca="1"/>
        <v>0</v>
      </c>
      <c r="V212">
        <f ca="1"/>
        <v>133.46349158506621</v>
      </c>
      <c r="W212">
        <f ca="1"/>
        <v>122.09437933893093</v>
      </c>
      <c r="X212">
        <f ca="1"/>
        <v>0</v>
      </c>
      <c r="Y212">
        <f ca="1"/>
        <v>1</v>
      </c>
      <c r="Z212">
        <f ca="1"/>
        <v>3.8288114340229527</v>
      </c>
      <c r="AA212">
        <f ca="1"/>
        <v>0</v>
      </c>
      <c r="AB212">
        <f ca="1"/>
        <v>0.99992688297393484</v>
      </c>
      <c r="AD212" s="2">
        <f t="shared" ca="1" si="32"/>
        <v>45435</v>
      </c>
      <c r="AE212">
        <f t="shared" ca="1" si="33"/>
        <v>0</v>
      </c>
      <c r="AG212" s="63">
        <f t="shared" ca="1" si="37"/>
        <v>-65.905553544159986</v>
      </c>
      <c r="AH212" s="63">
        <f t="shared" ca="1" si="38"/>
        <v>-65.905553544159986</v>
      </c>
      <c r="AI212" s="3">
        <f t="shared" ca="1" si="39"/>
        <v>0</v>
      </c>
    </row>
    <row r="213" spans="7:35">
      <c r="G213" s="3">
        <f t="shared" ca="1" si="34"/>
        <v>86</v>
      </c>
      <c r="H213" s="95">
        <f t="shared" ca="1" si="36"/>
        <v>45376</v>
      </c>
      <c r="I213" s="119">
        <f ca="1">HLOOKUP($H$5,'Met Data'!$A$2:$F$368,G213,FALSE)</f>
        <v>17.064516129032199</v>
      </c>
      <c r="J213" s="119">
        <f ca="1">HLOOKUP($H$5,'Met Data'!$H$2:$M$368,G213,FALSE)*L213</f>
        <v>3.4354838709677402</v>
      </c>
      <c r="K213" s="96">
        <f ca="1">HLOOKUP($H$5,'Met Data'!$O$2:$T$368,G213,FALSE)</f>
        <v>3.1405308327099699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45436</v>
      </c>
      <c r="Q213">
        <f ca="1"/>
        <v>-68.717566827756329</v>
      </c>
      <c r="R213">
        <f ca="1"/>
        <v>1.5365084149337918</v>
      </c>
      <c r="S213">
        <f ca="1"/>
        <v>5.5471403348752446E-3</v>
      </c>
      <c r="T213">
        <f ca="1"/>
        <v>0.24427780742434133</v>
      </c>
      <c r="U213">
        <f ca="1"/>
        <v>0</v>
      </c>
      <c r="V213">
        <f ca="1"/>
        <v>135</v>
      </c>
      <c r="W213">
        <f ca="1"/>
        <v>123.5</v>
      </c>
      <c r="X213">
        <f ca="1"/>
        <v>0</v>
      </c>
      <c r="Y213">
        <f ca="1"/>
        <v>1</v>
      </c>
      <c r="Z213">
        <f ca="1"/>
        <v>4.4719561770488241</v>
      </c>
      <c r="AA213">
        <f ca="1"/>
        <v>0</v>
      </c>
      <c r="AB213">
        <f ca="1"/>
        <v>0.99993345063478134</v>
      </c>
      <c r="AD213" s="2">
        <f t="shared" ca="1" si="32"/>
        <v>45436</v>
      </c>
      <c r="AE213">
        <f t="shared" ca="1" si="33"/>
        <v>0</v>
      </c>
      <c r="AG213" s="63">
        <f t="shared" ca="1" si="37"/>
        <v>-67.181058412822537</v>
      </c>
      <c r="AH213" s="63">
        <f t="shared" ca="1" si="38"/>
        <v>-67.181058412822537</v>
      </c>
      <c r="AI213" s="3">
        <f t="shared" ca="1" si="39"/>
        <v>0</v>
      </c>
    </row>
    <row r="214" spans="7:35">
      <c r="G214" s="3">
        <f t="shared" ca="1" si="34"/>
        <v>87</v>
      </c>
      <c r="H214" s="95">
        <f t="shared" ca="1" si="36"/>
        <v>45377</v>
      </c>
      <c r="I214" s="119">
        <f ca="1">HLOOKUP($H$5,'Met Data'!$A$2:$F$368,G214,FALSE)</f>
        <v>17.208064516128999</v>
      </c>
      <c r="J214" s="119">
        <f ca="1">HLOOKUP($H$5,'Met Data'!$H$2:$M$368,G214,FALSE)*L214</f>
        <v>0.97419354838709604</v>
      </c>
      <c r="K214" s="96">
        <f ca="1">HLOOKUP($H$5,'Met Data'!$O$2:$T$368,G214,FALSE)</f>
        <v>3.1295018555019598</v>
      </c>
      <c r="L214">
        <f t="shared" ca="1" si="30"/>
        <v>1</v>
      </c>
      <c r="N214" t="e">
        <f t="shared" ca="1" si="35"/>
        <v>#N/A</v>
      </c>
      <c r="O214" t="e">
        <f t="shared" ca="1" si="31"/>
        <v>#N/A</v>
      </c>
      <c r="P214" s="2" t="e">
        <f ca="1"/>
        <v>#N/A</v>
      </c>
      <c r="Q214" t="e">
        <f ca="1"/>
        <v>#N/A</v>
      </c>
      <c r="R214" t="e">
        <f ca="1"/>
        <v>#N/A</v>
      </c>
      <c r="S214" t="e">
        <f ca="1"/>
        <v>#N/A</v>
      </c>
      <c r="T214" t="e">
        <f ca="1"/>
        <v>#N/A</v>
      </c>
      <c r="U214" t="e">
        <f ca="1"/>
        <v>#N/A</v>
      </c>
      <c r="V214" t="e">
        <f ca="1"/>
        <v>#N/A</v>
      </c>
      <c r="W214" t="e">
        <f ca="1"/>
        <v>#N/A</v>
      </c>
      <c r="X214" t="e">
        <f ca="1"/>
        <v>#N/A</v>
      </c>
      <c r="Y214" t="e">
        <f ca="1"/>
        <v>#N/A</v>
      </c>
      <c r="Z214" t="e">
        <f ca="1"/>
        <v>#N/A</v>
      </c>
      <c r="AA214" t="e">
        <f ca="1"/>
        <v>#N/A</v>
      </c>
      <c r="AB214" t="e">
        <f ca="1"/>
        <v>#N/A</v>
      </c>
      <c r="AD214" s="2">
        <f t="shared" ca="1" si="32"/>
        <v>0</v>
      </c>
      <c r="AE214">
        <f t="shared" ca="1" si="33"/>
        <v>0</v>
      </c>
      <c r="AG214" s="63" t="e">
        <f t="shared" ca="1" si="37"/>
        <v>#N/A</v>
      </c>
      <c r="AH214" s="63" t="e">
        <f t="shared" ca="1" si="38"/>
        <v>#N/A</v>
      </c>
      <c r="AI214" s="3" t="e">
        <f t="shared" ca="1" si="39"/>
        <v>#N/A</v>
      </c>
    </row>
    <row r="215" spans="7:35">
      <c r="G215" s="3">
        <f t="shared" ca="1" si="34"/>
        <v>88</v>
      </c>
      <c r="H215" s="95">
        <f t="shared" ca="1" si="36"/>
        <v>45378</v>
      </c>
      <c r="I215" s="119">
        <f ca="1">HLOOKUP($H$5,'Met Data'!$A$2:$F$368,G215,FALSE)</f>
        <v>17.141666666666602</v>
      </c>
      <c r="J215" s="119">
        <f ca="1">HLOOKUP($H$5,'Met Data'!$H$2:$M$368,G215,FALSE)*L215</f>
        <v>2.43225806451612</v>
      </c>
      <c r="K215" s="96">
        <f ca="1">HLOOKUP($H$5,'Met Data'!$O$2:$T$368,G215,FALSE)</f>
        <v>2.6600638405747499</v>
      </c>
      <c r="L215">
        <f t="shared" ca="1" si="30"/>
        <v>1</v>
      </c>
      <c r="N215" t="e">
        <f t="shared" ca="1" si="35"/>
        <v>#N/A</v>
      </c>
      <c r="O215" t="e">
        <f t="shared" ca="1" si="31"/>
        <v>#N/A</v>
      </c>
      <c r="P215" s="2" t="e">
        <f ca="1"/>
        <v>#N/A</v>
      </c>
      <c r="Q215" t="e">
        <f ca="1"/>
        <v>#N/A</v>
      </c>
      <c r="R215" t="e">
        <f ca="1"/>
        <v>#N/A</v>
      </c>
      <c r="S215" t="e">
        <f ca="1"/>
        <v>#N/A</v>
      </c>
      <c r="T215" t="e">
        <f ca="1"/>
        <v>#N/A</v>
      </c>
      <c r="U215" t="e">
        <f ca="1"/>
        <v>#N/A</v>
      </c>
      <c r="V215" t="e">
        <f ca="1"/>
        <v>#N/A</v>
      </c>
      <c r="W215" t="e">
        <f ca="1"/>
        <v>#N/A</v>
      </c>
      <c r="X215" t="e">
        <f ca="1"/>
        <v>#N/A</v>
      </c>
      <c r="Y215" t="e">
        <f ca="1"/>
        <v>#N/A</v>
      </c>
      <c r="Z215" t="e">
        <f ca="1"/>
        <v>#N/A</v>
      </c>
      <c r="AA215" t="e">
        <f ca="1"/>
        <v>#N/A</v>
      </c>
      <c r="AB215" t="e">
        <f ca="1"/>
        <v>#N/A</v>
      </c>
      <c r="AD215" s="2">
        <f t="shared" ca="1" si="32"/>
        <v>0</v>
      </c>
      <c r="AE215">
        <f t="shared" ca="1" si="33"/>
        <v>0</v>
      </c>
      <c r="AG215" s="63" t="e">
        <f t="shared" ca="1" si="37"/>
        <v>#N/A</v>
      </c>
      <c r="AH215" s="63" t="e">
        <f t="shared" ca="1" si="38"/>
        <v>#N/A</v>
      </c>
      <c r="AI215" s="3" t="e">
        <f t="shared" ca="1" si="39"/>
        <v>#N/A</v>
      </c>
    </row>
    <row r="216" spans="7:35">
      <c r="G216" s="3">
        <f t="shared" ca="1" si="34"/>
        <v>89</v>
      </c>
      <c r="H216" s="95">
        <f t="shared" ca="1" si="36"/>
        <v>45379</v>
      </c>
      <c r="I216" s="119">
        <f ca="1">HLOOKUP($H$5,'Met Data'!$A$2:$F$368,G216,FALSE)</f>
        <v>17.338333333333299</v>
      </c>
      <c r="J216" s="119">
        <f ca="1">HLOOKUP($H$5,'Met Data'!$H$2:$M$368,G216,FALSE)*L216</f>
        <v>2.8193548387096699</v>
      </c>
      <c r="K216" s="96">
        <f ca="1">HLOOKUP($H$5,'Met Data'!$O$2:$T$368,G216,FALSE)</f>
        <v>2.7816184084358899</v>
      </c>
      <c r="L216">
        <f t="shared" ca="1" si="30"/>
        <v>1</v>
      </c>
      <c r="N216" t="e">
        <f t="shared" ca="1" si="35"/>
        <v>#N/A</v>
      </c>
      <c r="O216" t="e">
        <f t="shared" ca="1" si="31"/>
        <v>#N/A</v>
      </c>
      <c r="P216" s="2" t="e">
        <f ca="1"/>
        <v>#N/A</v>
      </c>
      <c r="Q216" t="e">
        <f ca="1"/>
        <v>#N/A</v>
      </c>
      <c r="R216" t="e">
        <f ca="1"/>
        <v>#N/A</v>
      </c>
      <c r="S216" t="e">
        <f ca="1"/>
        <v>#N/A</v>
      </c>
      <c r="T216" t="e">
        <f ca="1"/>
        <v>#N/A</v>
      </c>
      <c r="U216" t="e">
        <f ca="1"/>
        <v>#N/A</v>
      </c>
      <c r="V216" t="e">
        <f ca="1"/>
        <v>#N/A</v>
      </c>
      <c r="W216" t="e">
        <f ca="1"/>
        <v>#N/A</v>
      </c>
      <c r="X216" t="e">
        <f ca="1"/>
        <v>#N/A</v>
      </c>
      <c r="Y216" t="e">
        <f ca="1"/>
        <v>#N/A</v>
      </c>
      <c r="Z216" t="e">
        <f ca="1"/>
        <v>#N/A</v>
      </c>
      <c r="AA216" t="e">
        <f ca="1"/>
        <v>#N/A</v>
      </c>
      <c r="AB216" t="e">
        <f ca="1"/>
        <v>#N/A</v>
      </c>
      <c r="AD216" s="2">
        <f t="shared" ca="1" si="32"/>
        <v>0</v>
      </c>
      <c r="AE216">
        <f t="shared" ca="1" si="33"/>
        <v>0</v>
      </c>
      <c r="AG216" s="63" t="e">
        <f t="shared" ca="1" si="37"/>
        <v>#N/A</v>
      </c>
      <c r="AH216" s="63" t="e">
        <f t="shared" ca="1" si="38"/>
        <v>#N/A</v>
      </c>
      <c r="AI216" s="3" t="e">
        <f t="shared" ca="1" si="39"/>
        <v>#N/A</v>
      </c>
    </row>
    <row r="217" spans="7:35">
      <c r="G217" s="3">
        <f t="shared" ca="1" si="34"/>
        <v>90</v>
      </c>
      <c r="H217" s="95">
        <f t="shared" ca="1" si="36"/>
        <v>45380</v>
      </c>
      <c r="I217" s="119">
        <f ca="1">HLOOKUP($H$5,'Met Data'!$A$2:$F$368,G217,FALSE)</f>
        <v>17.136206896551698</v>
      </c>
      <c r="J217" s="119">
        <f ca="1">HLOOKUP($H$5,'Met Data'!$H$2:$M$368,G217,FALSE)*L217</f>
        <v>1.15333333333333</v>
      </c>
      <c r="K217" s="96">
        <f ca="1">HLOOKUP($H$5,'Met Data'!$O$2:$T$368,G217,FALSE)</f>
        <v>3.16549451986696</v>
      </c>
      <c r="L217">
        <f t="shared" ca="1" si="30"/>
        <v>1</v>
      </c>
      <c r="N217" t="e">
        <f t="shared" ca="1" si="35"/>
        <v>#N/A</v>
      </c>
      <c r="O217" t="e">
        <f t="shared" ca="1" si="31"/>
        <v>#N/A</v>
      </c>
      <c r="P217" s="2" t="e">
        <f ca="1"/>
        <v>#N/A</v>
      </c>
      <c r="Q217" t="e">
        <f ca="1"/>
        <v>#N/A</v>
      </c>
      <c r="R217" t="e">
        <f ca="1"/>
        <v>#N/A</v>
      </c>
      <c r="S217" t="e">
        <f ca="1"/>
        <v>#N/A</v>
      </c>
      <c r="T217" t="e">
        <f ca="1"/>
        <v>#N/A</v>
      </c>
      <c r="U217" t="e">
        <f ca="1"/>
        <v>#N/A</v>
      </c>
      <c r="V217" t="e">
        <f ca="1"/>
        <v>#N/A</v>
      </c>
      <c r="W217" t="e">
        <f ca="1"/>
        <v>#N/A</v>
      </c>
      <c r="X217" t="e">
        <f ca="1"/>
        <v>#N/A</v>
      </c>
      <c r="Y217" t="e">
        <f ca="1"/>
        <v>#N/A</v>
      </c>
      <c r="Z217" t="e">
        <f ca="1"/>
        <v>#N/A</v>
      </c>
      <c r="AA217" t="e">
        <f ca="1"/>
        <v>#N/A</v>
      </c>
      <c r="AB217" t="e">
        <f ca="1"/>
        <v>#N/A</v>
      </c>
      <c r="AD217" s="2">
        <f t="shared" ca="1" si="32"/>
        <v>0</v>
      </c>
      <c r="AE217">
        <f t="shared" ca="1" si="33"/>
        <v>0</v>
      </c>
      <c r="AG217" s="63" t="e">
        <f t="shared" ca="1" si="37"/>
        <v>#N/A</v>
      </c>
      <c r="AH217" s="63" t="e">
        <f t="shared" ca="1" si="38"/>
        <v>#N/A</v>
      </c>
      <c r="AI217" s="3" t="e">
        <f t="shared" ca="1" si="39"/>
        <v>#N/A</v>
      </c>
    </row>
    <row r="218" spans="7:35">
      <c r="G218" s="3">
        <f t="shared" ca="1" si="34"/>
        <v>91</v>
      </c>
      <c r="H218" s="95">
        <f t="shared" ca="1" si="36"/>
        <v>45381</v>
      </c>
      <c r="I218" s="119">
        <f ca="1">HLOOKUP($H$5,'Met Data'!$A$2:$F$368,G218,FALSE)</f>
        <v>16.922413793103399</v>
      </c>
      <c r="J218" s="119">
        <f ca="1">HLOOKUP($H$5,'Met Data'!$H$2:$M$368,G218,FALSE)*L218</f>
        <v>2.9733333333333301</v>
      </c>
      <c r="K218" s="96">
        <f ca="1">HLOOKUP($H$5,'Met Data'!$O$2:$T$368,G218,FALSE)</f>
        <v>2.84233525233393</v>
      </c>
      <c r="L218">
        <f t="shared" ca="1" si="30"/>
        <v>1</v>
      </c>
      <c r="N218" t="e">
        <f t="shared" ca="1" si="35"/>
        <v>#N/A</v>
      </c>
      <c r="O218" t="e">
        <f t="shared" ca="1" si="31"/>
        <v>#N/A</v>
      </c>
      <c r="P218" s="2" t="e">
        <f ca="1"/>
        <v>#N/A</v>
      </c>
      <c r="Q218" t="e">
        <f ca="1"/>
        <v>#N/A</v>
      </c>
      <c r="R218" t="e">
        <f ca="1"/>
        <v>#N/A</v>
      </c>
      <c r="S218" t="e">
        <f ca="1"/>
        <v>#N/A</v>
      </c>
      <c r="T218" t="e">
        <f ca="1"/>
        <v>#N/A</v>
      </c>
      <c r="U218" t="e">
        <f ca="1"/>
        <v>#N/A</v>
      </c>
      <c r="V218" t="e">
        <f ca="1"/>
        <v>#N/A</v>
      </c>
      <c r="W218" t="e">
        <f ca="1"/>
        <v>#N/A</v>
      </c>
      <c r="X218" t="e">
        <f ca="1"/>
        <v>#N/A</v>
      </c>
      <c r="Y218" t="e">
        <f ca="1"/>
        <v>#N/A</v>
      </c>
      <c r="Z218" t="e">
        <f ca="1"/>
        <v>#N/A</v>
      </c>
      <c r="AA218" t="e">
        <f ca="1"/>
        <v>#N/A</v>
      </c>
      <c r="AB218" t="e">
        <f ca="1"/>
        <v>#N/A</v>
      </c>
      <c r="AD218" s="2">
        <f t="shared" ca="1" si="32"/>
        <v>0</v>
      </c>
      <c r="AE218">
        <f t="shared" ca="1" si="33"/>
        <v>0</v>
      </c>
      <c r="AG218" s="63" t="e">
        <f t="shared" ca="1" si="37"/>
        <v>#N/A</v>
      </c>
      <c r="AH218" s="63" t="e">
        <f t="shared" ca="1" si="38"/>
        <v>#N/A</v>
      </c>
      <c r="AI218" s="3" t="e">
        <f t="shared" ca="1" si="39"/>
        <v>#N/A</v>
      </c>
    </row>
    <row r="219" spans="7:35">
      <c r="G219" s="3">
        <f t="shared" ca="1" si="34"/>
        <v>92</v>
      </c>
      <c r="H219" s="95">
        <f t="shared" ca="1" si="36"/>
        <v>45382</v>
      </c>
      <c r="I219" s="119">
        <f ca="1">HLOOKUP($H$5,'Met Data'!$A$2:$F$368,G219,FALSE)</f>
        <v>16.63</v>
      </c>
      <c r="J219" s="119">
        <f ca="1">HLOOKUP($H$5,'Met Data'!$H$2:$M$368,G219,FALSE)*L219</f>
        <v>1.76451612903225</v>
      </c>
      <c r="K219" s="96">
        <f ca="1">HLOOKUP($H$5,'Met Data'!$O$2:$T$368,G219,FALSE)</f>
        <v>2.8748972399291501</v>
      </c>
      <c r="L219">
        <f t="shared" ca="1" si="30"/>
        <v>1</v>
      </c>
      <c r="N219" t="e">
        <f t="shared" ca="1" si="35"/>
        <v>#N/A</v>
      </c>
      <c r="O219" t="e">
        <f t="shared" ca="1" si="31"/>
        <v>#N/A</v>
      </c>
      <c r="P219" s="2" t="e">
        <f ca="1"/>
        <v>#N/A</v>
      </c>
      <c r="Q219" t="e">
        <f ca="1"/>
        <v>#N/A</v>
      </c>
      <c r="R219" t="e">
        <f ca="1"/>
        <v>#N/A</v>
      </c>
      <c r="S219" t="e">
        <f ca="1"/>
        <v>#N/A</v>
      </c>
      <c r="T219" t="e">
        <f ca="1"/>
        <v>#N/A</v>
      </c>
      <c r="U219" t="e">
        <f ca="1"/>
        <v>#N/A</v>
      </c>
      <c r="V219" t="e">
        <f ca="1"/>
        <v>#N/A</v>
      </c>
      <c r="W219" t="e">
        <f ca="1"/>
        <v>#N/A</v>
      </c>
      <c r="X219" t="e">
        <f ca="1"/>
        <v>#N/A</v>
      </c>
      <c r="Y219" t="e">
        <f ca="1"/>
        <v>#N/A</v>
      </c>
      <c r="Z219" t="e">
        <f ca="1"/>
        <v>#N/A</v>
      </c>
      <c r="AA219" t="e">
        <f ca="1"/>
        <v>#N/A</v>
      </c>
      <c r="AB219" t="e">
        <f ca="1"/>
        <v>#N/A</v>
      </c>
      <c r="AD219" s="2">
        <f t="shared" ca="1" si="32"/>
        <v>0</v>
      </c>
      <c r="AE219">
        <f t="shared" ca="1" si="33"/>
        <v>0</v>
      </c>
      <c r="AG219" s="63" t="e">
        <f t="shared" ca="1" si="37"/>
        <v>#N/A</v>
      </c>
      <c r="AH219" s="63" t="e">
        <f t="shared" ca="1" si="38"/>
        <v>#N/A</v>
      </c>
      <c r="AI219" s="3" t="e">
        <f t="shared" ca="1" si="39"/>
        <v>#N/A</v>
      </c>
    </row>
    <row r="220" spans="7:35">
      <c r="G220" s="3">
        <f t="shared" ca="1" si="34"/>
        <v>93</v>
      </c>
      <c r="H220" s="95">
        <f t="shared" ca="1" si="36"/>
        <v>45383</v>
      </c>
      <c r="I220" s="119">
        <f ca="1">HLOOKUP($H$5,'Met Data'!$A$2:$F$368,G220,FALSE)</f>
        <v>16.5379310344827</v>
      </c>
      <c r="J220" s="119">
        <f ca="1">HLOOKUP($H$5,'Met Data'!$H$2:$M$368,G220,FALSE)*L220</f>
        <v>3.32258064516129</v>
      </c>
      <c r="K220" s="96">
        <f ca="1">HLOOKUP($H$5,'Met Data'!$O$2:$T$368,G220,FALSE)</f>
        <v>2.5469261916112398</v>
      </c>
      <c r="L220">
        <f t="shared" ca="1" si="30"/>
        <v>1</v>
      </c>
      <c r="N220" t="e">
        <f t="shared" ca="1" si="35"/>
        <v>#N/A</v>
      </c>
      <c r="O220" t="e">
        <f t="shared" ca="1" si="31"/>
        <v>#N/A</v>
      </c>
      <c r="P220" s="2" t="e">
        <f ca="1"/>
        <v>#N/A</v>
      </c>
      <c r="Q220" t="e">
        <f ca="1"/>
        <v>#N/A</v>
      </c>
      <c r="R220" t="e">
        <f ca="1"/>
        <v>#N/A</v>
      </c>
      <c r="S220" t="e">
        <f ca="1"/>
        <v>#N/A</v>
      </c>
      <c r="T220" t="e">
        <f ca="1"/>
        <v>#N/A</v>
      </c>
      <c r="U220" t="e">
        <f ca="1"/>
        <v>#N/A</v>
      </c>
      <c r="V220" t="e">
        <f ca="1"/>
        <v>#N/A</v>
      </c>
      <c r="W220" t="e">
        <f ca="1"/>
        <v>#N/A</v>
      </c>
      <c r="X220" t="e">
        <f ca="1"/>
        <v>#N/A</v>
      </c>
      <c r="Y220" t="e">
        <f ca="1"/>
        <v>#N/A</v>
      </c>
      <c r="Z220" t="e">
        <f ca="1"/>
        <v>#N/A</v>
      </c>
      <c r="AA220" t="e">
        <f ca="1"/>
        <v>#N/A</v>
      </c>
      <c r="AB220" t="e">
        <f ca="1"/>
        <v>#N/A</v>
      </c>
      <c r="AD220" s="2">
        <f t="shared" ca="1" si="32"/>
        <v>0</v>
      </c>
      <c r="AE220">
        <f t="shared" ca="1" si="33"/>
        <v>0</v>
      </c>
      <c r="AG220" s="63" t="e">
        <f t="shared" ca="1" si="37"/>
        <v>#N/A</v>
      </c>
      <c r="AH220" s="63" t="e">
        <f t="shared" ca="1" si="38"/>
        <v>#N/A</v>
      </c>
      <c r="AI220" s="3" t="e">
        <f t="shared" ca="1" si="39"/>
        <v>#N/A</v>
      </c>
    </row>
    <row r="221" spans="7:35">
      <c r="G221" s="3">
        <f t="shared" ca="1" si="34"/>
        <v>94</v>
      </c>
      <c r="H221" s="95">
        <f t="shared" ca="1" si="36"/>
        <v>45384</v>
      </c>
      <c r="I221" s="119">
        <f ca="1">HLOOKUP($H$5,'Met Data'!$A$2:$F$368,G221,FALSE)</f>
        <v>16.693103448275799</v>
      </c>
      <c r="J221" s="119">
        <f ca="1">HLOOKUP($H$5,'Met Data'!$H$2:$M$368,G221,FALSE)*L221</f>
        <v>2.8064516129032202</v>
      </c>
      <c r="K221" s="96">
        <f ca="1">HLOOKUP($H$5,'Met Data'!$O$2:$T$368,G221,FALSE)</f>
        <v>2.8493466745517901</v>
      </c>
      <c r="L221">
        <f t="shared" ca="1" si="30"/>
        <v>1</v>
      </c>
      <c r="N221" t="e">
        <f t="shared" ca="1" si="35"/>
        <v>#N/A</v>
      </c>
      <c r="O221" t="e">
        <f t="shared" ca="1" si="31"/>
        <v>#N/A</v>
      </c>
      <c r="P221" s="2" t="e">
        <f ca="1"/>
        <v>#N/A</v>
      </c>
      <c r="Q221" t="e">
        <f ca="1"/>
        <v>#N/A</v>
      </c>
      <c r="R221" t="e">
        <f ca="1"/>
        <v>#N/A</v>
      </c>
      <c r="S221" t="e">
        <f ca="1"/>
        <v>#N/A</v>
      </c>
      <c r="T221" t="e">
        <f ca="1"/>
        <v>#N/A</v>
      </c>
      <c r="U221" t="e">
        <f ca="1"/>
        <v>#N/A</v>
      </c>
      <c r="V221" t="e">
        <f ca="1"/>
        <v>#N/A</v>
      </c>
      <c r="W221" t="e">
        <f ca="1"/>
        <v>#N/A</v>
      </c>
      <c r="X221" t="e">
        <f ca="1"/>
        <v>#N/A</v>
      </c>
      <c r="Y221" t="e">
        <f ca="1"/>
        <v>#N/A</v>
      </c>
      <c r="Z221" t="e">
        <f ca="1"/>
        <v>#N/A</v>
      </c>
      <c r="AA221" t="e">
        <f ca="1"/>
        <v>#N/A</v>
      </c>
      <c r="AB221" t="e">
        <f ca="1"/>
        <v>#N/A</v>
      </c>
      <c r="AD221" s="2">
        <f t="shared" ca="1" si="32"/>
        <v>0</v>
      </c>
      <c r="AE221">
        <f t="shared" ca="1" si="33"/>
        <v>0</v>
      </c>
      <c r="AG221" s="63" t="e">
        <f t="shared" ca="1" si="37"/>
        <v>#N/A</v>
      </c>
      <c r="AH221" s="63" t="e">
        <f t="shared" ca="1" si="38"/>
        <v>#N/A</v>
      </c>
      <c r="AI221" s="3" t="e">
        <f t="shared" ca="1" si="39"/>
        <v>#N/A</v>
      </c>
    </row>
    <row r="222" spans="7:35">
      <c r="G222" s="3">
        <f t="shared" ca="1" si="34"/>
        <v>95</v>
      </c>
      <c r="H222" s="95">
        <f t="shared" ca="1" si="36"/>
        <v>45385</v>
      </c>
      <c r="I222" s="119">
        <f ca="1">HLOOKUP($H$5,'Met Data'!$A$2:$F$368,G222,FALSE)</f>
        <v>16.29</v>
      </c>
      <c r="J222" s="119">
        <f ca="1">HLOOKUP($H$5,'Met Data'!$H$2:$M$368,G222,FALSE)*L222</f>
        <v>1.4483870967741901</v>
      </c>
      <c r="K222" s="96">
        <f ca="1">HLOOKUP($H$5,'Met Data'!$O$2:$T$368,G222,FALSE)</f>
        <v>3.04847392107171</v>
      </c>
      <c r="L222">
        <f t="shared" ca="1" si="30"/>
        <v>1</v>
      </c>
      <c r="N222" t="e">
        <f t="shared" ca="1" si="35"/>
        <v>#N/A</v>
      </c>
      <c r="O222" t="e">
        <f t="shared" ca="1" si="31"/>
        <v>#N/A</v>
      </c>
      <c r="P222" s="2" t="e">
        <f ca="1"/>
        <v>#N/A</v>
      </c>
      <c r="Q222" t="e">
        <f ca="1"/>
        <v>#N/A</v>
      </c>
      <c r="R222" t="e">
        <f ca="1"/>
        <v>#N/A</v>
      </c>
      <c r="S222" t="e">
        <f ca="1"/>
        <v>#N/A</v>
      </c>
      <c r="T222" t="e">
        <f ca="1"/>
        <v>#N/A</v>
      </c>
      <c r="U222" t="e">
        <f ca="1"/>
        <v>#N/A</v>
      </c>
      <c r="V222" t="e">
        <f ca="1"/>
        <v>#N/A</v>
      </c>
      <c r="W222" t="e">
        <f ca="1"/>
        <v>#N/A</v>
      </c>
      <c r="X222" t="e">
        <f ca="1"/>
        <v>#N/A</v>
      </c>
      <c r="Y222" t="e">
        <f ca="1"/>
        <v>#N/A</v>
      </c>
      <c r="Z222" t="e">
        <f ca="1"/>
        <v>#N/A</v>
      </c>
      <c r="AA222" t="e">
        <f ca="1"/>
        <v>#N/A</v>
      </c>
      <c r="AB222" t="e">
        <f ca="1"/>
        <v>#N/A</v>
      </c>
      <c r="AD222" s="2">
        <f t="shared" ca="1" si="32"/>
        <v>0</v>
      </c>
      <c r="AE222">
        <f t="shared" ca="1" si="33"/>
        <v>0</v>
      </c>
      <c r="AG222" s="63" t="e">
        <f t="shared" ca="1" si="37"/>
        <v>#N/A</v>
      </c>
      <c r="AH222" s="63" t="e">
        <f t="shared" ca="1" si="38"/>
        <v>#N/A</v>
      </c>
      <c r="AI222" s="3" t="e">
        <f t="shared" ca="1" si="39"/>
        <v>#N/A</v>
      </c>
    </row>
    <row r="223" spans="7:35">
      <c r="G223" s="3">
        <f t="shared" ca="1" si="34"/>
        <v>96</v>
      </c>
      <c r="H223" s="95">
        <f t="shared" ca="1" si="36"/>
        <v>45386</v>
      </c>
      <c r="I223" s="119">
        <f ca="1">HLOOKUP($H$5,'Met Data'!$A$2:$F$368,G223,FALSE)</f>
        <v>16.28</v>
      </c>
      <c r="J223" s="119">
        <f ca="1">HLOOKUP($H$5,'Met Data'!$H$2:$M$368,G223,FALSE)*L223</f>
        <v>1.6838709677419299</v>
      </c>
      <c r="K223" s="96">
        <f ca="1">HLOOKUP($H$5,'Met Data'!$O$2:$T$368,G223,FALSE)</f>
        <v>2.9631357104845102</v>
      </c>
      <c r="L223">
        <f t="shared" ca="1" si="30"/>
        <v>1</v>
      </c>
      <c r="N223" t="e">
        <f t="shared" ca="1" si="35"/>
        <v>#N/A</v>
      </c>
      <c r="O223" t="e">
        <f t="shared" ca="1" si="31"/>
        <v>#N/A</v>
      </c>
      <c r="P223" s="2" t="e">
        <f ca="1"/>
        <v>#N/A</v>
      </c>
      <c r="Q223" t="e">
        <f ca="1"/>
        <v>#N/A</v>
      </c>
      <c r="R223" t="e">
        <f ca="1"/>
        <v>#N/A</v>
      </c>
      <c r="S223" t="e">
        <f ca="1"/>
        <v>#N/A</v>
      </c>
      <c r="T223" t="e">
        <f ca="1"/>
        <v>#N/A</v>
      </c>
      <c r="U223" t="e">
        <f ca="1"/>
        <v>#N/A</v>
      </c>
      <c r="V223" t="e">
        <f ca="1"/>
        <v>#N/A</v>
      </c>
      <c r="W223" t="e">
        <f ca="1"/>
        <v>#N/A</v>
      </c>
      <c r="X223" t="e">
        <f ca="1"/>
        <v>#N/A</v>
      </c>
      <c r="Y223" t="e">
        <f ca="1"/>
        <v>#N/A</v>
      </c>
      <c r="Z223" t="e">
        <f ca="1"/>
        <v>#N/A</v>
      </c>
      <c r="AA223" t="e">
        <f ca="1"/>
        <v>#N/A</v>
      </c>
      <c r="AB223" t="e">
        <f ca="1"/>
        <v>#N/A</v>
      </c>
      <c r="AD223" s="2">
        <f t="shared" ca="1" si="32"/>
        <v>0</v>
      </c>
      <c r="AE223">
        <f t="shared" ca="1" si="33"/>
        <v>0</v>
      </c>
      <c r="AG223" s="63" t="e">
        <f t="shared" ca="1" si="37"/>
        <v>#N/A</v>
      </c>
      <c r="AH223" s="63" t="e">
        <f t="shared" ca="1" si="38"/>
        <v>#N/A</v>
      </c>
      <c r="AI223" s="3" t="e">
        <f t="shared" ca="1" si="39"/>
        <v>#N/A</v>
      </c>
    </row>
    <row r="224" spans="7:35">
      <c r="G224" s="3">
        <f t="shared" ca="1" si="34"/>
        <v>97</v>
      </c>
      <c r="H224" s="95">
        <f t="shared" ca="1" si="36"/>
        <v>45387</v>
      </c>
      <c r="I224" s="119">
        <f ca="1">HLOOKUP($H$5,'Met Data'!$A$2:$F$368,G224,FALSE)</f>
        <v>16.288333333333298</v>
      </c>
      <c r="J224" s="119">
        <f ca="1">HLOOKUP($H$5,'Met Data'!$H$2:$M$368,G224,FALSE)*L224</f>
        <v>3.1066666666666598</v>
      </c>
      <c r="K224" s="96">
        <f ca="1">HLOOKUP($H$5,'Met Data'!$O$2:$T$368,G224,FALSE)</f>
        <v>2.8364094228266699</v>
      </c>
      <c r="L224">
        <f t="shared" ca="1" si="30"/>
        <v>1</v>
      </c>
      <c r="N224" t="e">
        <f t="shared" ca="1" si="35"/>
        <v>#N/A</v>
      </c>
      <c r="O224" t="e">
        <f t="shared" ca="1" si="31"/>
        <v>#N/A</v>
      </c>
      <c r="P224" s="2" t="e">
        <f ca="1"/>
        <v>#N/A</v>
      </c>
      <c r="Q224" t="e">
        <f ca="1"/>
        <v>#N/A</v>
      </c>
      <c r="R224" t="e">
        <f ca="1"/>
        <v>#N/A</v>
      </c>
      <c r="S224" t="e">
        <f ca="1"/>
        <v>#N/A</v>
      </c>
      <c r="T224" t="e">
        <f ca="1"/>
        <v>#N/A</v>
      </c>
      <c r="U224" t="e">
        <f ca="1"/>
        <v>#N/A</v>
      </c>
      <c r="V224" t="e">
        <f ca="1"/>
        <v>#N/A</v>
      </c>
      <c r="W224" t="e">
        <f ca="1"/>
        <v>#N/A</v>
      </c>
      <c r="X224" t="e">
        <f ca="1"/>
        <v>#N/A</v>
      </c>
      <c r="Y224" t="e">
        <f ca="1"/>
        <v>#N/A</v>
      </c>
      <c r="Z224" t="e">
        <f ca="1"/>
        <v>#N/A</v>
      </c>
      <c r="AA224" t="e">
        <f ca="1"/>
        <v>#N/A</v>
      </c>
      <c r="AB224" t="e">
        <f ca="1"/>
        <v>#N/A</v>
      </c>
      <c r="AD224" s="2">
        <f t="shared" ca="1" si="32"/>
        <v>0</v>
      </c>
      <c r="AE224">
        <f t="shared" ca="1" si="33"/>
        <v>0</v>
      </c>
      <c r="AG224" s="63" t="e">
        <f t="shared" ca="1" si="37"/>
        <v>#N/A</v>
      </c>
      <c r="AH224" s="63" t="e">
        <f t="shared" ca="1" si="38"/>
        <v>#N/A</v>
      </c>
      <c r="AI224" s="3" t="e">
        <f t="shared" ca="1" si="39"/>
        <v>#N/A</v>
      </c>
    </row>
    <row r="225" spans="7:35">
      <c r="G225" s="3">
        <f t="shared" ca="1" si="34"/>
        <v>98</v>
      </c>
      <c r="H225" s="95">
        <f t="shared" ca="1" si="36"/>
        <v>45388</v>
      </c>
      <c r="I225" s="119">
        <f ca="1">HLOOKUP($H$5,'Met Data'!$A$2:$F$368,G225,FALSE)</f>
        <v>16.247502601456802</v>
      </c>
      <c r="J225" s="119">
        <f ca="1">HLOOKUP($H$5,'Met Data'!$H$2:$M$368,G225,FALSE)*L225</f>
        <v>2.3033333333333301</v>
      </c>
      <c r="K225" s="96">
        <f ca="1">HLOOKUP($H$5,'Met Data'!$O$2:$T$368,G225,FALSE)</f>
        <v>2.7733248568186499</v>
      </c>
      <c r="L225">
        <f t="shared" ca="1" si="30"/>
        <v>1</v>
      </c>
      <c r="N225" t="e">
        <f t="shared" ca="1" si="35"/>
        <v>#N/A</v>
      </c>
      <c r="O225" t="e">
        <f t="shared" ca="1" si="31"/>
        <v>#N/A</v>
      </c>
      <c r="P225" s="2" t="e">
        <f ca="1"/>
        <v>#N/A</v>
      </c>
      <c r="Q225" t="e">
        <f ca="1"/>
        <v>#N/A</v>
      </c>
      <c r="R225" t="e">
        <f ca="1"/>
        <v>#N/A</v>
      </c>
      <c r="S225" t="e">
        <f ca="1"/>
        <v>#N/A</v>
      </c>
      <c r="T225" t="e">
        <f ca="1"/>
        <v>#N/A</v>
      </c>
      <c r="U225" t="e">
        <f ca="1"/>
        <v>#N/A</v>
      </c>
      <c r="V225" t="e">
        <f ca="1"/>
        <v>#N/A</v>
      </c>
      <c r="W225" t="e">
        <f ca="1"/>
        <v>#N/A</v>
      </c>
      <c r="X225" t="e">
        <f ca="1"/>
        <v>#N/A</v>
      </c>
      <c r="Y225" t="e">
        <f ca="1"/>
        <v>#N/A</v>
      </c>
      <c r="Z225" t="e">
        <f ca="1"/>
        <v>#N/A</v>
      </c>
      <c r="AA225" t="e">
        <f ca="1"/>
        <v>#N/A</v>
      </c>
      <c r="AB225" t="e">
        <f ca="1"/>
        <v>#N/A</v>
      </c>
      <c r="AD225" s="2">
        <f t="shared" ca="1" si="32"/>
        <v>0</v>
      </c>
      <c r="AE225">
        <f t="shared" ca="1" si="33"/>
        <v>0</v>
      </c>
      <c r="AG225" s="63" t="e">
        <f t="shared" ca="1" si="37"/>
        <v>#N/A</v>
      </c>
      <c r="AH225" s="63" t="e">
        <f t="shared" ca="1" si="38"/>
        <v>#N/A</v>
      </c>
      <c r="AI225" s="3" t="e">
        <f t="shared" ca="1" si="39"/>
        <v>#N/A</v>
      </c>
    </row>
    <row r="226" spans="7:35">
      <c r="G226" s="3">
        <f t="shared" ca="1" si="34"/>
        <v>99</v>
      </c>
      <c r="H226" s="95">
        <f t="shared" ca="1" si="36"/>
        <v>45389</v>
      </c>
      <c r="I226" s="119">
        <f ca="1">HLOOKUP($H$5,'Met Data'!$A$2:$F$368,G226,FALSE)</f>
        <v>15.9919354838709</v>
      </c>
      <c r="J226" s="119">
        <f ca="1">HLOOKUP($H$5,'Met Data'!$H$2:$M$368,G226,FALSE)*L226</f>
        <v>3.04</v>
      </c>
      <c r="K226" s="96">
        <f ca="1">HLOOKUP($H$5,'Met Data'!$O$2:$T$368,G226,FALSE)</f>
        <v>2.4928303491288801</v>
      </c>
      <c r="L226">
        <f t="shared" ca="1" si="30"/>
        <v>1</v>
      </c>
      <c r="N226" t="e">
        <f t="shared" ca="1" si="35"/>
        <v>#N/A</v>
      </c>
      <c r="O226" t="e">
        <f t="shared" ca="1" si="31"/>
        <v>#N/A</v>
      </c>
      <c r="P226" s="2" t="e">
        <f ca="1"/>
        <v>#N/A</v>
      </c>
      <c r="Q226" t="e">
        <f ca="1"/>
        <v>#N/A</v>
      </c>
      <c r="R226" t="e">
        <f ca="1"/>
        <v>#N/A</v>
      </c>
      <c r="S226" t="e">
        <f ca="1"/>
        <v>#N/A</v>
      </c>
      <c r="T226" t="e">
        <f ca="1"/>
        <v>#N/A</v>
      </c>
      <c r="U226" t="e">
        <f ca="1"/>
        <v>#N/A</v>
      </c>
      <c r="V226" t="e">
        <f ca="1"/>
        <v>#N/A</v>
      </c>
      <c r="W226" t="e">
        <f ca="1"/>
        <v>#N/A</v>
      </c>
      <c r="X226" t="e">
        <f ca="1"/>
        <v>#N/A</v>
      </c>
      <c r="Y226" t="e">
        <f ca="1"/>
        <v>#N/A</v>
      </c>
      <c r="Z226" t="e">
        <f ca="1"/>
        <v>#N/A</v>
      </c>
      <c r="AA226" t="e">
        <f ca="1"/>
        <v>#N/A</v>
      </c>
      <c r="AB226" t="e">
        <f ca="1"/>
        <v>#N/A</v>
      </c>
      <c r="AD226" s="2">
        <f t="shared" ca="1" si="32"/>
        <v>0</v>
      </c>
      <c r="AE226">
        <f t="shared" ca="1" si="33"/>
        <v>0</v>
      </c>
      <c r="AG226" s="63" t="e">
        <f t="shared" ca="1" si="37"/>
        <v>#N/A</v>
      </c>
      <c r="AH226" s="63" t="e">
        <f t="shared" ca="1" si="38"/>
        <v>#N/A</v>
      </c>
      <c r="AI226" s="3" t="e">
        <f t="shared" ca="1" si="39"/>
        <v>#N/A</v>
      </c>
    </row>
    <row r="227" spans="7:35">
      <c r="G227" s="3">
        <f t="shared" ca="1" si="34"/>
        <v>100</v>
      </c>
      <c r="H227" s="95">
        <f t="shared" ca="1" si="36"/>
        <v>45390</v>
      </c>
      <c r="I227" s="119">
        <f ca="1">HLOOKUP($H$5,'Met Data'!$A$2:$F$368,G227,FALSE)</f>
        <v>15.7</v>
      </c>
      <c r="J227" s="119">
        <f ca="1">HLOOKUP($H$5,'Met Data'!$H$2:$M$368,G227,FALSE)*L227</f>
        <v>4.67</v>
      </c>
      <c r="K227" s="96">
        <f ca="1">HLOOKUP($H$5,'Met Data'!$O$2:$T$368,G227,FALSE)</f>
        <v>2.4645244256425198</v>
      </c>
      <c r="L227">
        <f t="shared" ca="1" si="30"/>
        <v>1</v>
      </c>
      <c r="N227" t="e">
        <f t="shared" ca="1" si="35"/>
        <v>#N/A</v>
      </c>
      <c r="O227" t="e">
        <f t="shared" ca="1" si="31"/>
        <v>#N/A</v>
      </c>
      <c r="P227" s="2" t="e">
        <f ca="1"/>
        <v>#N/A</v>
      </c>
      <c r="Q227" t="e">
        <f ca="1"/>
        <v>#N/A</v>
      </c>
      <c r="R227" t="e">
        <f ca="1"/>
        <v>#N/A</v>
      </c>
      <c r="S227" t="e">
        <f ca="1"/>
        <v>#N/A</v>
      </c>
      <c r="T227" t="e">
        <f ca="1"/>
        <v>#N/A</v>
      </c>
      <c r="U227" t="e">
        <f ca="1"/>
        <v>#N/A</v>
      </c>
      <c r="V227" t="e">
        <f ca="1"/>
        <v>#N/A</v>
      </c>
      <c r="W227" t="e">
        <f ca="1"/>
        <v>#N/A</v>
      </c>
      <c r="X227" t="e">
        <f ca="1"/>
        <v>#N/A</v>
      </c>
      <c r="Y227" t="e">
        <f ca="1"/>
        <v>#N/A</v>
      </c>
      <c r="Z227" t="e">
        <f ca="1"/>
        <v>#N/A</v>
      </c>
      <c r="AA227" t="e">
        <f ca="1"/>
        <v>#N/A</v>
      </c>
      <c r="AB227" t="e">
        <f ca="1"/>
        <v>#N/A</v>
      </c>
      <c r="AD227" s="2">
        <f t="shared" ca="1" si="32"/>
        <v>0</v>
      </c>
      <c r="AE227">
        <f t="shared" ca="1" si="33"/>
        <v>0</v>
      </c>
      <c r="AG227" s="63" t="e">
        <f t="shared" ca="1" si="37"/>
        <v>#N/A</v>
      </c>
      <c r="AH227" s="63" t="e">
        <f t="shared" ca="1" si="38"/>
        <v>#N/A</v>
      </c>
      <c r="AI227" s="3" t="e">
        <f t="shared" ca="1" si="39"/>
        <v>#N/A</v>
      </c>
    </row>
    <row r="228" spans="7:35">
      <c r="G228" s="3">
        <f t="shared" ca="1" si="34"/>
        <v>101</v>
      </c>
      <c r="H228" s="95">
        <f t="shared" ca="1" si="36"/>
        <v>45391</v>
      </c>
      <c r="I228" s="119">
        <f ca="1">HLOOKUP($H$5,'Met Data'!$A$2:$F$368,G228,FALSE)</f>
        <v>15.6066666666666</v>
      </c>
      <c r="J228" s="119">
        <f ca="1">HLOOKUP($H$5,'Met Data'!$H$2:$M$368,G228,FALSE)*L228</f>
        <v>2.9099999999999899</v>
      </c>
      <c r="K228" s="96">
        <f ca="1">HLOOKUP($H$5,'Met Data'!$O$2:$T$368,G228,FALSE)</f>
        <v>2.6085032852196299</v>
      </c>
      <c r="L228">
        <f t="shared" ca="1" si="30"/>
        <v>1</v>
      </c>
      <c r="N228" t="e">
        <f t="shared" ca="1" si="35"/>
        <v>#N/A</v>
      </c>
      <c r="O228" t="e">
        <f t="shared" ca="1" si="31"/>
        <v>#N/A</v>
      </c>
      <c r="P228" s="2" t="e">
        <f ca="1"/>
        <v>#N/A</v>
      </c>
      <c r="Q228" t="e">
        <f ca="1"/>
        <v>#N/A</v>
      </c>
      <c r="R228" t="e">
        <f ca="1"/>
        <v>#N/A</v>
      </c>
      <c r="S228" t="e">
        <f ca="1"/>
        <v>#N/A</v>
      </c>
      <c r="T228" t="e">
        <f ca="1"/>
        <v>#N/A</v>
      </c>
      <c r="U228" t="e">
        <f ca="1"/>
        <v>#N/A</v>
      </c>
      <c r="V228" t="e">
        <f ca="1"/>
        <v>#N/A</v>
      </c>
      <c r="W228" t="e">
        <f ca="1"/>
        <v>#N/A</v>
      </c>
      <c r="X228" t="e">
        <f ca="1"/>
        <v>#N/A</v>
      </c>
      <c r="Y228" t="e">
        <f ca="1"/>
        <v>#N/A</v>
      </c>
      <c r="Z228" t="e">
        <f ca="1"/>
        <v>#N/A</v>
      </c>
      <c r="AA228" t="e">
        <f ca="1"/>
        <v>#N/A</v>
      </c>
      <c r="AB228" t="e">
        <f ca="1"/>
        <v>#N/A</v>
      </c>
      <c r="AD228" s="2">
        <f t="shared" ca="1" si="32"/>
        <v>0</v>
      </c>
      <c r="AE228">
        <f t="shared" ca="1" si="33"/>
        <v>0</v>
      </c>
      <c r="AG228" s="63" t="e">
        <f t="shared" ca="1" si="37"/>
        <v>#N/A</v>
      </c>
      <c r="AH228" s="63" t="e">
        <f t="shared" ca="1" si="38"/>
        <v>#N/A</v>
      </c>
      <c r="AI228" s="3" t="e">
        <f t="shared" ca="1" si="39"/>
        <v>#N/A</v>
      </c>
    </row>
    <row r="229" spans="7:35">
      <c r="G229" s="3">
        <f t="shared" ca="1" si="34"/>
        <v>102</v>
      </c>
      <c r="H229" s="95">
        <f t="shared" ca="1" si="36"/>
        <v>45392</v>
      </c>
      <c r="I229" s="119">
        <f ca="1">HLOOKUP($H$5,'Met Data'!$A$2:$F$368,G229,FALSE)</f>
        <v>15.335000000000001</v>
      </c>
      <c r="J229" s="119">
        <f ca="1">HLOOKUP($H$5,'Met Data'!$H$2:$M$368,G229,FALSE)*L229</f>
        <v>2.68333333333333</v>
      </c>
      <c r="K229" s="96">
        <f ca="1">HLOOKUP($H$5,'Met Data'!$O$2:$T$368,G229,FALSE)</f>
        <v>2.45140037536581</v>
      </c>
      <c r="L229">
        <f t="shared" ca="1" si="30"/>
        <v>1</v>
      </c>
      <c r="N229" t="e">
        <f t="shared" ca="1" si="35"/>
        <v>#N/A</v>
      </c>
      <c r="O229" t="e">
        <f t="shared" ca="1" si="31"/>
        <v>#N/A</v>
      </c>
      <c r="P229" s="2" t="e">
        <f ca="1"/>
        <v>#N/A</v>
      </c>
      <c r="Q229" t="e">
        <f ca="1"/>
        <v>#N/A</v>
      </c>
      <c r="R229" t="e">
        <f ca="1"/>
        <v>#N/A</v>
      </c>
      <c r="S229" t="e">
        <f ca="1"/>
        <v>#N/A</v>
      </c>
      <c r="T229" t="e">
        <f ca="1"/>
        <v>#N/A</v>
      </c>
      <c r="U229" t="e">
        <f ca="1"/>
        <v>#N/A</v>
      </c>
      <c r="V229" t="e">
        <f ca="1"/>
        <v>#N/A</v>
      </c>
      <c r="W229" t="e">
        <f ca="1"/>
        <v>#N/A</v>
      </c>
      <c r="X229" t="e">
        <f ca="1"/>
        <v>#N/A</v>
      </c>
      <c r="Y229" t="e">
        <f ca="1"/>
        <v>#N/A</v>
      </c>
      <c r="Z229" t="e">
        <f ca="1"/>
        <v>#N/A</v>
      </c>
      <c r="AA229" t="e">
        <f ca="1"/>
        <v>#N/A</v>
      </c>
      <c r="AB229" t="e">
        <f ca="1"/>
        <v>#N/A</v>
      </c>
      <c r="AD229" s="2">
        <f t="shared" ca="1" si="32"/>
        <v>0</v>
      </c>
      <c r="AE229">
        <f t="shared" ca="1" si="33"/>
        <v>0</v>
      </c>
      <c r="AG229" s="63" t="e">
        <f t="shared" ca="1" si="37"/>
        <v>#N/A</v>
      </c>
      <c r="AH229" s="63" t="e">
        <f t="shared" ca="1" si="38"/>
        <v>#N/A</v>
      </c>
      <c r="AI229" s="3" t="e">
        <f t="shared" ca="1" si="39"/>
        <v>#N/A</v>
      </c>
    </row>
    <row r="230" spans="7:35">
      <c r="G230" s="3">
        <f t="shared" ca="1" si="34"/>
        <v>103</v>
      </c>
      <c r="H230" s="95">
        <f t="shared" ca="1" si="36"/>
        <v>45393</v>
      </c>
      <c r="I230" s="119">
        <f ca="1">HLOOKUP($H$5,'Met Data'!$A$2:$F$368,G230,FALSE)</f>
        <v>15.3916666666666</v>
      </c>
      <c r="J230" s="119">
        <f ca="1">HLOOKUP($H$5,'Met Data'!$H$2:$M$368,G230,FALSE)*L230</f>
        <v>4.07</v>
      </c>
      <c r="K230" s="96">
        <f ca="1">HLOOKUP($H$5,'Met Data'!$O$2:$T$368,G230,FALSE)</f>
        <v>2.54129590695179</v>
      </c>
      <c r="L230">
        <f t="shared" ca="1" si="30"/>
        <v>1</v>
      </c>
      <c r="N230" t="e">
        <f t="shared" ca="1" si="35"/>
        <v>#N/A</v>
      </c>
      <c r="O230" t="e">
        <f t="shared" ca="1" si="31"/>
        <v>#N/A</v>
      </c>
      <c r="P230" s="2" t="e">
        <f ca="1"/>
        <v>#N/A</v>
      </c>
      <c r="Q230" t="e">
        <f ca="1"/>
        <v>#N/A</v>
      </c>
      <c r="R230" t="e">
        <f ca="1"/>
        <v>#N/A</v>
      </c>
      <c r="S230" t="e">
        <f ca="1"/>
        <v>#N/A</v>
      </c>
      <c r="T230" t="e">
        <f ca="1"/>
        <v>#N/A</v>
      </c>
      <c r="U230" t="e">
        <f ca="1"/>
        <v>#N/A</v>
      </c>
      <c r="V230" t="e">
        <f ca="1"/>
        <v>#N/A</v>
      </c>
      <c r="W230" t="e">
        <f ca="1"/>
        <v>#N/A</v>
      </c>
      <c r="X230" t="e">
        <f ca="1"/>
        <v>#N/A</v>
      </c>
      <c r="Y230" t="e">
        <f ca="1"/>
        <v>#N/A</v>
      </c>
      <c r="Z230" t="e">
        <f ca="1"/>
        <v>#N/A</v>
      </c>
      <c r="AA230" t="e">
        <f ca="1"/>
        <v>#N/A</v>
      </c>
      <c r="AB230" t="e">
        <f ca="1"/>
        <v>#N/A</v>
      </c>
      <c r="AD230" s="2">
        <f t="shared" ca="1" si="32"/>
        <v>0</v>
      </c>
      <c r="AE230">
        <f t="shared" ca="1" si="33"/>
        <v>0</v>
      </c>
      <c r="AG230" s="63" t="e">
        <f t="shared" ca="1" si="37"/>
        <v>#N/A</v>
      </c>
      <c r="AH230" s="63" t="e">
        <f t="shared" ca="1" si="38"/>
        <v>#N/A</v>
      </c>
      <c r="AI230" s="3" t="e">
        <f t="shared" ca="1" si="39"/>
        <v>#N/A</v>
      </c>
    </row>
    <row r="231" spans="7:35">
      <c r="G231" s="3">
        <f t="shared" ca="1" si="34"/>
        <v>104</v>
      </c>
      <c r="H231" s="95">
        <f t="shared" ca="1" si="36"/>
        <v>45394</v>
      </c>
      <c r="I231" s="119">
        <f ca="1">HLOOKUP($H$5,'Met Data'!$A$2:$F$368,G231,FALSE)</f>
        <v>15.6451612903225</v>
      </c>
      <c r="J231" s="119">
        <f ca="1">HLOOKUP($H$5,'Met Data'!$H$2:$M$368,G231,FALSE)*L231</f>
        <v>2.43333333333333</v>
      </c>
      <c r="K231" s="96">
        <f ca="1">HLOOKUP($H$5,'Met Data'!$O$2:$T$368,G231,FALSE)</f>
        <v>2.5074868670786801</v>
      </c>
      <c r="L231">
        <f t="shared" ca="1" si="30"/>
        <v>1</v>
      </c>
      <c r="N231" t="e">
        <f t="shared" ca="1" si="35"/>
        <v>#N/A</v>
      </c>
      <c r="O231" t="e">
        <f t="shared" ca="1" si="31"/>
        <v>#N/A</v>
      </c>
      <c r="P231" s="2" t="e">
        <f ca="1"/>
        <v>#N/A</v>
      </c>
      <c r="Q231" t="e">
        <f ca="1"/>
        <v>#N/A</v>
      </c>
      <c r="R231" t="e">
        <f ca="1"/>
        <v>#N/A</v>
      </c>
      <c r="S231" t="e">
        <f ca="1"/>
        <v>#N/A</v>
      </c>
      <c r="T231" t="e">
        <f ca="1"/>
        <v>#N/A</v>
      </c>
      <c r="U231" t="e">
        <f ca="1"/>
        <v>#N/A</v>
      </c>
      <c r="V231" t="e">
        <f ca="1"/>
        <v>#N/A</v>
      </c>
      <c r="W231" t="e">
        <f ca="1"/>
        <v>#N/A</v>
      </c>
      <c r="X231" t="e">
        <f ca="1"/>
        <v>#N/A</v>
      </c>
      <c r="Y231" t="e">
        <f ca="1"/>
        <v>#N/A</v>
      </c>
      <c r="Z231" t="e">
        <f ca="1"/>
        <v>#N/A</v>
      </c>
      <c r="AA231" t="e">
        <f ca="1"/>
        <v>#N/A</v>
      </c>
      <c r="AB231" t="e">
        <f ca="1"/>
        <v>#N/A</v>
      </c>
      <c r="AD231" s="2">
        <f t="shared" ca="1" si="32"/>
        <v>0</v>
      </c>
      <c r="AE231">
        <f t="shared" ca="1" si="33"/>
        <v>0</v>
      </c>
      <c r="AG231" s="63" t="e">
        <f t="shared" ca="1" si="37"/>
        <v>#N/A</v>
      </c>
      <c r="AH231" s="63" t="e">
        <f t="shared" ca="1" si="38"/>
        <v>#N/A</v>
      </c>
      <c r="AI231" s="3" t="e">
        <f t="shared" ca="1" si="39"/>
        <v>#N/A</v>
      </c>
    </row>
    <row r="232" spans="7:35">
      <c r="G232" s="3">
        <f t="shared" ca="1" si="34"/>
        <v>105</v>
      </c>
      <c r="H232" s="95">
        <f t="shared" ca="1" si="36"/>
        <v>45395</v>
      </c>
      <c r="I232" s="119">
        <f ca="1">HLOOKUP($H$5,'Met Data'!$A$2:$F$368,G232,FALSE)</f>
        <v>15.3435483870967</v>
      </c>
      <c r="J232" s="119">
        <f ca="1">HLOOKUP($H$5,'Met Data'!$H$2:$M$368,G232,FALSE)*L232</f>
        <v>3.5533333333333301</v>
      </c>
      <c r="K232" s="96">
        <f ca="1">HLOOKUP($H$5,'Met Data'!$O$2:$T$368,G232,FALSE)</f>
        <v>2.53164431510397</v>
      </c>
      <c r="L232">
        <f t="shared" ca="1" si="30"/>
        <v>1</v>
      </c>
      <c r="N232" t="e">
        <f t="shared" ca="1" si="35"/>
        <v>#N/A</v>
      </c>
      <c r="O232" t="e">
        <f t="shared" ca="1" si="31"/>
        <v>#N/A</v>
      </c>
      <c r="P232" s="2" t="e">
        <f ca="1"/>
        <v>#N/A</v>
      </c>
      <c r="Q232" t="e">
        <f ca="1"/>
        <v>#N/A</v>
      </c>
      <c r="R232" t="e">
        <f ca="1"/>
        <v>#N/A</v>
      </c>
      <c r="S232" t="e">
        <f ca="1"/>
        <v>#N/A</v>
      </c>
      <c r="T232" t="e">
        <f ca="1"/>
        <v>#N/A</v>
      </c>
      <c r="U232" t="e">
        <f ca="1"/>
        <v>#N/A</v>
      </c>
      <c r="V232" t="e">
        <f ca="1"/>
        <v>#N/A</v>
      </c>
      <c r="W232" t="e">
        <f ca="1"/>
        <v>#N/A</v>
      </c>
      <c r="X232" t="e">
        <f ca="1"/>
        <v>#N/A</v>
      </c>
      <c r="Y232" t="e">
        <f ca="1"/>
        <v>#N/A</v>
      </c>
      <c r="Z232" t="e">
        <f ca="1"/>
        <v>#N/A</v>
      </c>
      <c r="AA232" t="e">
        <f ca="1"/>
        <v>#N/A</v>
      </c>
      <c r="AB232" t="e">
        <f ca="1"/>
        <v>#N/A</v>
      </c>
      <c r="AD232" s="2">
        <f t="shared" ca="1" si="32"/>
        <v>0</v>
      </c>
      <c r="AE232">
        <f t="shared" ca="1" si="33"/>
        <v>0</v>
      </c>
      <c r="AG232" s="63" t="e">
        <f t="shared" ca="1" si="37"/>
        <v>#N/A</v>
      </c>
      <c r="AH232" s="63" t="e">
        <f t="shared" ca="1" si="38"/>
        <v>#N/A</v>
      </c>
      <c r="AI232" s="3" t="e">
        <f t="shared" ca="1" si="39"/>
        <v>#N/A</v>
      </c>
    </row>
    <row r="233" spans="7:35">
      <c r="G233" s="3">
        <f t="shared" ca="1" si="34"/>
        <v>106</v>
      </c>
      <c r="H233" s="95">
        <f t="shared" ca="1" si="36"/>
        <v>45396</v>
      </c>
      <c r="I233" s="119">
        <f ca="1">HLOOKUP($H$5,'Met Data'!$A$2:$F$368,G233,FALSE)</f>
        <v>15.1612903225806</v>
      </c>
      <c r="J233" s="119">
        <f ca="1">HLOOKUP($H$5,'Met Data'!$H$2:$M$368,G233,FALSE)*L233</f>
        <v>2.7451612903225802</v>
      </c>
      <c r="K233" s="96">
        <f ca="1">HLOOKUP($H$5,'Met Data'!$O$2:$T$368,G233,FALSE)</f>
        <v>2.2462315590791202</v>
      </c>
      <c r="L233">
        <f t="shared" ca="1" si="30"/>
        <v>1</v>
      </c>
      <c r="N233" t="e">
        <f t="shared" ca="1" si="35"/>
        <v>#N/A</v>
      </c>
      <c r="O233" t="e">
        <f t="shared" ca="1" si="31"/>
        <v>#N/A</v>
      </c>
      <c r="P233" s="2" t="e">
        <f ca="1"/>
        <v>#N/A</v>
      </c>
      <c r="Q233" t="e">
        <f ca="1"/>
        <v>#N/A</v>
      </c>
      <c r="R233" t="e">
        <f ca="1"/>
        <v>#N/A</v>
      </c>
      <c r="S233" t="e">
        <f ca="1"/>
        <v>#N/A</v>
      </c>
      <c r="T233" t="e">
        <f ca="1"/>
        <v>#N/A</v>
      </c>
      <c r="U233" t="e">
        <f ca="1"/>
        <v>#N/A</v>
      </c>
      <c r="V233" t="e">
        <f ca="1"/>
        <v>#N/A</v>
      </c>
      <c r="W233" t="e">
        <f ca="1"/>
        <v>#N/A</v>
      </c>
      <c r="X233" t="e">
        <f ca="1"/>
        <v>#N/A</v>
      </c>
      <c r="Y233" t="e">
        <f ca="1"/>
        <v>#N/A</v>
      </c>
      <c r="Z233" t="e">
        <f ca="1"/>
        <v>#N/A</v>
      </c>
      <c r="AA233" t="e">
        <f ca="1"/>
        <v>#N/A</v>
      </c>
      <c r="AB233" t="e">
        <f ca="1"/>
        <v>#N/A</v>
      </c>
      <c r="AD233" s="2">
        <f t="shared" ca="1" si="32"/>
        <v>0</v>
      </c>
      <c r="AE233">
        <f t="shared" ca="1" si="33"/>
        <v>0</v>
      </c>
      <c r="AG233" s="63" t="e">
        <f t="shared" ca="1" si="37"/>
        <v>#N/A</v>
      </c>
      <c r="AH233" s="63" t="e">
        <f t="shared" ca="1" si="38"/>
        <v>#N/A</v>
      </c>
      <c r="AI233" s="3" t="e">
        <f t="shared" ca="1" si="39"/>
        <v>#N/A</v>
      </c>
    </row>
    <row r="234" spans="7:35">
      <c r="G234" s="3">
        <f t="shared" ca="1" si="34"/>
        <v>107</v>
      </c>
      <c r="H234" s="95">
        <f t="shared" ca="1" si="36"/>
        <v>45397</v>
      </c>
      <c r="I234" s="119">
        <f ca="1">HLOOKUP($H$5,'Met Data'!$A$2:$F$368,G234,FALSE)</f>
        <v>15.658064516129</v>
      </c>
      <c r="J234" s="119">
        <f ca="1">HLOOKUP($H$5,'Met Data'!$H$2:$M$368,G234,FALSE)*L234</f>
        <v>3.7677419354838699</v>
      </c>
      <c r="K234" s="96">
        <f ca="1">HLOOKUP($H$5,'Met Data'!$O$2:$T$368,G234,FALSE)</f>
        <v>2.3441419540899799</v>
      </c>
      <c r="L234">
        <f t="shared" ca="1" si="30"/>
        <v>1</v>
      </c>
      <c r="N234" t="e">
        <f t="shared" ca="1" si="35"/>
        <v>#N/A</v>
      </c>
      <c r="O234" t="e">
        <f t="shared" ca="1" si="31"/>
        <v>#N/A</v>
      </c>
      <c r="P234" s="2" t="e">
        <f ca="1"/>
        <v>#N/A</v>
      </c>
      <c r="Q234" t="e">
        <f ca="1"/>
        <v>#N/A</v>
      </c>
      <c r="R234" t="e">
        <f ca="1"/>
        <v>#N/A</v>
      </c>
      <c r="S234" t="e">
        <f ca="1"/>
        <v>#N/A</v>
      </c>
      <c r="T234" t="e">
        <f ca="1"/>
        <v>#N/A</v>
      </c>
      <c r="U234" t="e">
        <f ca="1"/>
        <v>#N/A</v>
      </c>
      <c r="V234" t="e">
        <f ca="1"/>
        <v>#N/A</v>
      </c>
      <c r="W234" t="e">
        <f ca="1"/>
        <v>#N/A</v>
      </c>
      <c r="X234" t="e">
        <f ca="1"/>
        <v>#N/A</v>
      </c>
      <c r="Y234" t="e">
        <f ca="1"/>
        <v>#N/A</v>
      </c>
      <c r="Z234" t="e">
        <f ca="1"/>
        <v>#N/A</v>
      </c>
      <c r="AA234" t="e">
        <f ca="1"/>
        <v>#N/A</v>
      </c>
      <c r="AB234" t="e">
        <f ca="1"/>
        <v>#N/A</v>
      </c>
      <c r="AD234" s="2">
        <f t="shared" ca="1" si="32"/>
        <v>0</v>
      </c>
      <c r="AE234">
        <f t="shared" ca="1" si="33"/>
        <v>0</v>
      </c>
      <c r="AG234" s="63" t="e">
        <f t="shared" ca="1" si="37"/>
        <v>#N/A</v>
      </c>
      <c r="AH234" s="63" t="e">
        <f t="shared" ca="1" si="38"/>
        <v>#N/A</v>
      </c>
      <c r="AI234" s="3" t="e">
        <f t="shared" ca="1" si="39"/>
        <v>#N/A</v>
      </c>
    </row>
    <row r="235" spans="7:35">
      <c r="G235" s="3">
        <f t="shared" ca="1" si="34"/>
        <v>108</v>
      </c>
      <c r="H235" s="95">
        <f t="shared" ca="1" si="36"/>
        <v>45398</v>
      </c>
      <c r="I235" s="119">
        <f ca="1">HLOOKUP($H$5,'Met Data'!$A$2:$F$368,G235,FALSE)</f>
        <v>15.408064516129</v>
      </c>
      <c r="J235" s="119">
        <f ca="1">HLOOKUP($H$5,'Met Data'!$H$2:$M$368,G235,FALSE)*L235</f>
        <v>2.6870967741935399</v>
      </c>
      <c r="K235" s="96">
        <f ca="1">HLOOKUP($H$5,'Met Data'!$O$2:$T$368,G235,FALSE)</f>
        <v>2.0871356285448601</v>
      </c>
      <c r="L235">
        <f t="shared" ca="1" si="30"/>
        <v>1</v>
      </c>
      <c r="N235" t="e">
        <f t="shared" ca="1" si="35"/>
        <v>#N/A</v>
      </c>
      <c r="O235" t="e">
        <f t="shared" ca="1" si="31"/>
        <v>#N/A</v>
      </c>
      <c r="P235" s="2" t="e">
        <f ca="1"/>
        <v>#N/A</v>
      </c>
      <c r="Q235" t="e">
        <f ca="1"/>
        <v>#N/A</v>
      </c>
      <c r="R235" t="e">
        <f ca="1"/>
        <v>#N/A</v>
      </c>
      <c r="S235" t="e">
        <f ca="1"/>
        <v>#N/A</v>
      </c>
      <c r="T235" t="e">
        <f ca="1"/>
        <v>#N/A</v>
      </c>
      <c r="U235" t="e">
        <f ca="1"/>
        <v>#N/A</v>
      </c>
      <c r="V235" t="e">
        <f ca="1"/>
        <v>#N/A</v>
      </c>
      <c r="W235" t="e">
        <f ca="1"/>
        <v>#N/A</v>
      </c>
      <c r="X235" t="e">
        <f ca="1"/>
        <v>#N/A</v>
      </c>
      <c r="Y235" t="e">
        <f ca="1"/>
        <v>#N/A</v>
      </c>
      <c r="Z235" t="e">
        <f ca="1"/>
        <v>#N/A</v>
      </c>
      <c r="AA235" t="e">
        <f ca="1"/>
        <v>#N/A</v>
      </c>
      <c r="AB235" t="e">
        <f ca="1"/>
        <v>#N/A</v>
      </c>
      <c r="AD235" s="2">
        <f t="shared" ca="1" si="32"/>
        <v>0</v>
      </c>
      <c r="AE235">
        <f t="shared" ca="1" si="33"/>
        <v>0</v>
      </c>
      <c r="AG235" s="63" t="e">
        <f t="shared" ca="1" si="37"/>
        <v>#N/A</v>
      </c>
      <c r="AH235" s="63" t="e">
        <f t="shared" ca="1" si="38"/>
        <v>#N/A</v>
      </c>
      <c r="AI235" s="3" t="e">
        <f t="shared" ca="1" si="39"/>
        <v>#N/A</v>
      </c>
    </row>
    <row r="236" spans="7:35">
      <c r="G236" s="3">
        <f t="shared" ca="1" si="34"/>
        <v>109</v>
      </c>
      <c r="H236" s="95">
        <f t="shared" ca="1" si="36"/>
        <v>45399</v>
      </c>
      <c r="I236" s="119">
        <f ca="1">HLOOKUP($H$5,'Met Data'!$A$2:$F$368,G236,FALSE)</f>
        <v>15.420967741935399</v>
      </c>
      <c r="J236" s="119">
        <f ca="1">HLOOKUP($H$5,'Met Data'!$H$2:$M$368,G236,FALSE)*L236</f>
        <v>2.8516129032258002</v>
      </c>
      <c r="K236" s="96">
        <f ca="1">HLOOKUP($H$5,'Met Data'!$O$2:$T$368,G236,FALSE)</f>
        <v>2.1715863377271001</v>
      </c>
      <c r="L236">
        <f t="shared" ca="1" si="30"/>
        <v>1</v>
      </c>
      <c r="N236" t="e">
        <f t="shared" ca="1" si="35"/>
        <v>#N/A</v>
      </c>
      <c r="O236" t="e">
        <f t="shared" ca="1" si="31"/>
        <v>#N/A</v>
      </c>
      <c r="P236" s="2" t="e">
        <f ca="1"/>
        <v>#N/A</v>
      </c>
      <c r="Q236" t="e">
        <f ca="1"/>
        <v>#N/A</v>
      </c>
      <c r="R236" t="e">
        <f ca="1"/>
        <v>#N/A</v>
      </c>
      <c r="S236" t="e">
        <f ca="1"/>
        <v>#N/A</v>
      </c>
      <c r="T236" t="e">
        <f ca="1"/>
        <v>#N/A</v>
      </c>
      <c r="U236" t="e">
        <f ca="1"/>
        <v>#N/A</v>
      </c>
      <c r="V236" t="e">
        <f ca="1"/>
        <v>#N/A</v>
      </c>
      <c r="W236" t="e">
        <f ca="1"/>
        <v>#N/A</v>
      </c>
      <c r="X236" t="e">
        <f ca="1"/>
        <v>#N/A</v>
      </c>
      <c r="Y236" t="e">
        <f ca="1"/>
        <v>#N/A</v>
      </c>
      <c r="Z236" t="e">
        <f ca="1"/>
        <v>#N/A</v>
      </c>
      <c r="AA236" t="e">
        <f ca="1"/>
        <v>#N/A</v>
      </c>
      <c r="AB236" t="e">
        <f ca="1"/>
        <v>#N/A</v>
      </c>
      <c r="AD236" s="2">
        <f t="shared" ca="1" si="32"/>
        <v>0</v>
      </c>
      <c r="AE236">
        <f t="shared" ca="1" si="33"/>
        <v>0</v>
      </c>
      <c r="AG236" s="63" t="e">
        <f t="shared" ca="1" si="37"/>
        <v>#N/A</v>
      </c>
      <c r="AH236" s="63" t="e">
        <f t="shared" ca="1" si="38"/>
        <v>#N/A</v>
      </c>
      <c r="AI236" s="3" t="e">
        <f t="shared" ca="1" si="39"/>
        <v>#N/A</v>
      </c>
    </row>
    <row r="237" spans="7:35">
      <c r="G237" s="3">
        <f t="shared" ca="1" si="34"/>
        <v>110</v>
      </c>
      <c r="H237" s="95">
        <f t="shared" ca="1" si="36"/>
        <v>45400</v>
      </c>
      <c r="I237" s="119">
        <f ca="1">HLOOKUP($H$5,'Met Data'!$A$2:$F$368,G237,FALSE)</f>
        <v>15.193548387096699</v>
      </c>
      <c r="J237" s="119">
        <f ca="1">HLOOKUP($H$5,'Met Data'!$H$2:$M$368,G237,FALSE)*L237</f>
        <v>2.4258064516129001</v>
      </c>
      <c r="K237" s="96">
        <f ca="1">HLOOKUP($H$5,'Met Data'!$O$2:$T$368,G237,FALSE)</f>
        <v>2.2979139363353802</v>
      </c>
      <c r="L237">
        <f t="shared" ca="1" si="30"/>
        <v>1</v>
      </c>
      <c r="N237" t="e">
        <f t="shared" ca="1" si="35"/>
        <v>#N/A</v>
      </c>
      <c r="O237" t="e">
        <f t="shared" ca="1" si="31"/>
        <v>#N/A</v>
      </c>
      <c r="P237" s="2" t="e">
        <f ca="1"/>
        <v>#N/A</v>
      </c>
      <c r="Q237" t="e">
        <f ca="1"/>
        <v>#N/A</v>
      </c>
      <c r="R237" t="e">
        <f ca="1"/>
        <v>#N/A</v>
      </c>
      <c r="S237" t="e">
        <f ca="1"/>
        <v>#N/A</v>
      </c>
      <c r="T237" t="e">
        <f ca="1"/>
        <v>#N/A</v>
      </c>
      <c r="U237" t="e">
        <f ca="1"/>
        <v>#N/A</v>
      </c>
      <c r="V237" t="e">
        <f ca="1"/>
        <v>#N/A</v>
      </c>
      <c r="W237" t="e">
        <f ca="1"/>
        <v>#N/A</v>
      </c>
      <c r="X237" t="e">
        <f ca="1"/>
        <v>#N/A</v>
      </c>
      <c r="Y237" t="e">
        <f ca="1"/>
        <v>#N/A</v>
      </c>
      <c r="Z237" t="e">
        <f ca="1"/>
        <v>#N/A</v>
      </c>
      <c r="AA237" t="e">
        <f ca="1"/>
        <v>#N/A</v>
      </c>
      <c r="AB237" t="e">
        <f ca="1"/>
        <v>#N/A</v>
      </c>
      <c r="AD237" s="2">
        <f t="shared" ca="1" si="32"/>
        <v>0</v>
      </c>
      <c r="AE237">
        <f t="shared" ca="1" si="33"/>
        <v>0</v>
      </c>
      <c r="AG237" s="63" t="e">
        <f t="shared" ca="1" si="37"/>
        <v>#N/A</v>
      </c>
      <c r="AH237" s="63" t="e">
        <f t="shared" ca="1" si="38"/>
        <v>#N/A</v>
      </c>
      <c r="AI237" s="3" t="e">
        <f t="shared" ca="1" si="39"/>
        <v>#N/A</v>
      </c>
    </row>
    <row r="238" spans="7:35">
      <c r="G238" s="3">
        <f t="shared" ca="1" si="34"/>
        <v>111</v>
      </c>
      <c r="H238" s="95">
        <f t="shared" ca="1" si="36"/>
        <v>45401</v>
      </c>
      <c r="I238" s="119">
        <f ca="1">HLOOKUP($H$5,'Met Data'!$A$2:$F$368,G238,FALSE)</f>
        <v>15.4096774193548</v>
      </c>
      <c r="J238" s="119">
        <f ca="1">HLOOKUP($H$5,'Met Data'!$H$2:$M$368,G238,FALSE)*L238</f>
        <v>1.7322580645161201</v>
      </c>
      <c r="K238" s="96">
        <f ca="1">HLOOKUP($H$5,'Met Data'!$O$2:$T$368,G238,FALSE)</f>
        <v>2.3194627801487999</v>
      </c>
      <c r="L238">
        <f t="shared" ca="1" si="30"/>
        <v>1</v>
      </c>
      <c r="N238" t="e">
        <f t="shared" ca="1" si="35"/>
        <v>#N/A</v>
      </c>
      <c r="O238" t="e">
        <f t="shared" ca="1" si="31"/>
        <v>#N/A</v>
      </c>
      <c r="P238" s="2" t="e">
        <f ca="1"/>
        <v>#N/A</v>
      </c>
      <c r="Q238" t="e">
        <f ca="1"/>
        <v>#N/A</v>
      </c>
      <c r="R238" t="e">
        <f ca="1"/>
        <v>#N/A</v>
      </c>
      <c r="S238" t="e">
        <f ca="1"/>
        <v>#N/A</v>
      </c>
      <c r="T238" t="e">
        <f ca="1"/>
        <v>#N/A</v>
      </c>
      <c r="U238" t="e">
        <f ca="1"/>
        <v>#N/A</v>
      </c>
      <c r="V238" t="e">
        <f ca="1"/>
        <v>#N/A</v>
      </c>
      <c r="W238" t="e">
        <f ca="1"/>
        <v>#N/A</v>
      </c>
      <c r="X238" t="e">
        <f ca="1"/>
        <v>#N/A</v>
      </c>
      <c r="Y238" t="e">
        <f ca="1"/>
        <v>#N/A</v>
      </c>
      <c r="Z238" t="e">
        <f ca="1"/>
        <v>#N/A</v>
      </c>
      <c r="AA238" t="e">
        <f ca="1"/>
        <v>#N/A</v>
      </c>
      <c r="AB238" t="e">
        <f ca="1"/>
        <v>#N/A</v>
      </c>
      <c r="AD238" s="2">
        <f t="shared" ca="1" si="32"/>
        <v>0</v>
      </c>
      <c r="AE238">
        <f t="shared" ca="1" si="33"/>
        <v>0</v>
      </c>
      <c r="AG238" s="63" t="e">
        <f t="shared" ca="1" si="37"/>
        <v>#N/A</v>
      </c>
      <c r="AH238" s="63" t="e">
        <f t="shared" ca="1" si="38"/>
        <v>#N/A</v>
      </c>
      <c r="AI238" s="3" t="e">
        <f t="shared" ca="1" si="39"/>
        <v>#N/A</v>
      </c>
    </row>
    <row r="239" spans="7:35">
      <c r="G239" s="3">
        <f t="shared" ca="1" si="34"/>
        <v>112</v>
      </c>
      <c r="H239" s="95">
        <f t="shared" ca="1" si="36"/>
        <v>45402</v>
      </c>
      <c r="I239" s="119">
        <f ca="1">HLOOKUP($H$5,'Met Data'!$A$2:$F$368,G239,FALSE)</f>
        <v>15.261666666666599</v>
      </c>
      <c r="J239" s="119">
        <f ca="1">HLOOKUP($H$5,'Met Data'!$H$2:$M$368,G239,FALSE)*L239</f>
        <v>4.0161290322580596</v>
      </c>
      <c r="K239" s="96">
        <f ca="1">HLOOKUP($H$5,'Met Data'!$O$2:$T$368,G239,FALSE)</f>
        <v>2.3321304827068001</v>
      </c>
      <c r="L239">
        <f t="shared" ca="1" si="30"/>
        <v>1</v>
      </c>
      <c r="N239" t="e">
        <f t="shared" ca="1" si="35"/>
        <v>#N/A</v>
      </c>
      <c r="O239" t="e">
        <f t="shared" ca="1" si="31"/>
        <v>#N/A</v>
      </c>
      <c r="P239" s="2" t="e">
        <f ca="1"/>
        <v>#N/A</v>
      </c>
      <c r="Q239" t="e">
        <f ca="1"/>
        <v>#N/A</v>
      </c>
      <c r="R239" t="e">
        <f ca="1"/>
        <v>#N/A</v>
      </c>
      <c r="S239" t="e">
        <f ca="1"/>
        <v>#N/A</v>
      </c>
      <c r="T239" t="e">
        <f ca="1"/>
        <v>#N/A</v>
      </c>
      <c r="U239" t="e">
        <f ca="1"/>
        <v>#N/A</v>
      </c>
      <c r="V239" t="e">
        <f ca="1"/>
        <v>#N/A</v>
      </c>
      <c r="W239" t="e">
        <f ca="1"/>
        <v>#N/A</v>
      </c>
      <c r="X239" t="e">
        <f ca="1"/>
        <v>#N/A</v>
      </c>
      <c r="Y239" t="e">
        <f ca="1"/>
        <v>#N/A</v>
      </c>
      <c r="Z239" t="e">
        <f ca="1"/>
        <v>#N/A</v>
      </c>
      <c r="AA239" t="e">
        <f ca="1"/>
        <v>#N/A</v>
      </c>
      <c r="AB239" t="e">
        <f ca="1"/>
        <v>#N/A</v>
      </c>
      <c r="AD239" s="2">
        <f t="shared" ca="1" si="32"/>
        <v>0</v>
      </c>
      <c r="AE239">
        <f t="shared" ca="1" si="33"/>
        <v>0</v>
      </c>
      <c r="AG239" s="63" t="e">
        <f t="shared" ca="1" si="37"/>
        <v>#N/A</v>
      </c>
      <c r="AH239" s="63" t="e">
        <f t="shared" ca="1" si="38"/>
        <v>#N/A</v>
      </c>
      <c r="AI239" s="3" t="e">
        <f t="shared" ca="1" si="39"/>
        <v>#N/A</v>
      </c>
    </row>
    <row r="240" spans="7:35">
      <c r="G240" s="3">
        <f t="shared" ca="1" si="34"/>
        <v>113</v>
      </c>
      <c r="H240" s="95">
        <f t="shared" ca="1" si="36"/>
        <v>45403</v>
      </c>
      <c r="I240" s="119">
        <f ca="1">HLOOKUP($H$5,'Met Data'!$A$2:$F$368,G240,FALSE)</f>
        <v>14.5283333333333</v>
      </c>
      <c r="J240" s="119">
        <f ca="1">HLOOKUP($H$5,'Met Data'!$H$2:$M$368,G240,FALSE)*L240</f>
        <v>3.5258064516129002</v>
      </c>
      <c r="K240" s="96">
        <f ca="1">HLOOKUP($H$5,'Met Data'!$O$2:$T$368,G240,FALSE)</f>
        <v>2.2184505421646001</v>
      </c>
      <c r="L240">
        <f t="shared" ca="1" si="30"/>
        <v>1</v>
      </c>
      <c r="N240" t="e">
        <f t="shared" ca="1" si="35"/>
        <v>#N/A</v>
      </c>
      <c r="O240" t="e">
        <f t="shared" ca="1" si="31"/>
        <v>#N/A</v>
      </c>
      <c r="P240" s="2" t="e">
        <f ca="1"/>
        <v>#N/A</v>
      </c>
      <c r="Q240" t="e">
        <f ca="1"/>
        <v>#N/A</v>
      </c>
      <c r="R240" t="e">
        <f ca="1"/>
        <v>#N/A</v>
      </c>
      <c r="S240" t="e">
        <f ca="1"/>
        <v>#N/A</v>
      </c>
      <c r="T240" t="e">
        <f ca="1"/>
        <v>#N/A</v>
      </c>
      <c r="U240" t="e">
        <f ca="1"/>
        <v>#N/A</v>
      </c>
      <c r="V240" t="e">
        <f ca="1"/>
        <v>#N/A</v>
      </c>
      <c r="W240" t="e">
        <f ca="1"/>
        <v>#N/A</v>
      </c>
      <c r="X240" t="e">
        <f ca="1"/>
        <v>#N/A</v>
      </c>
      <c r="Y240" t="e">
        <f ca="1"/>
        <v>#N/A</v>
      </c>
      <c r="Z240" t="e">
        <f ca="1"/>
        <v>#N/A</v>
      </c>
      <c r="AA240" t="e">
        <f ca="1"/>
        <v>#N/A</v>
      </c>
      <c r="AB240" t="e">
        <f ca="1"/>
        <v>#N/A</v>
      </c>
      <c r="AD240" s="2">
        <f t="shared" ca="1" si="32"/>
        <v>0</v>
      </c>
      <c r="AE240">
        <f t="shared" ca="1" si="33"/>
        <v>0</v>
      </c>
      <c r="AG240" s="63" t="e">
        <f t="shared" ca="1" si="37"/>
        <v>#N/A</v>
      </c>
      <c r="AH240" s="63" t="e">
        <f t="shared" ca="1" si="38"/>
        <v>#N/A</v>
      </c>
      <c r="AI240" s="3" t="e">
        <f t="shared" ca="1" si="39"/>
        <v>#N/A</v>
      </c>
    </row>
    <row r="241" spans="7:35">
      <c r="G241" s="3">
        <f t="shared" ca="1" si="34"/>
        <v>114</v>
      </c>
      <c r="H241" s="95">
        <f t="shared" ca="1" si="36"/>
        <v>45404</v>
      </c>
      <c r="I241" s="119">
        <f ca="1">HLOOKUP($H$5,'Met Data'!$A$2:$F$368,G241,FALSE)</f>
        <v>14.68</v>
      </c>
      <c r="J241" s="119">
        <f ca="1">HLOOKUP($H$5,'Met Data'!$H$2:$M$368,G241,FALSE)*L241</f>
        <v>2.28709677419354</v>
      </c>
      <c r="K241" s="96">
        <f ca="1">HLOOKUP($H$5,'Met Data'!$O$2:$T$368,G241,FALSE)</f>
        <v>2.2540363688604601</v>
      </c>
      <c r="L241">
        <f t="shared" ca="1" si="30"/>
        <v>1</v>
      </c>
      <c r="N241" t="e">
        <f t="shared" ca="1" si="35"/>
        <v>#N/A</v>
      </c>
      <c r="O241" t="e">
        <f t="shared" ca="1" si="31"/>
        <v>#N/A</v>
      </c>
      <c r="P241" s="2" t="e">
        <f ca="1"/>
        <v>#N/A</v>
      </c>
      <c r="Q241" t="e">
        <f ca="1"/>
        <v>#N/A</v>
      </c>
      <c r="R241" t="e">
        <f ca="1"/>
        <v>#N/A</v>
      </c>
      <c r="S241" t="e">
        <f ca="1"/>
        <v>#N/A</v>
      </c>
      <c r="T241" t="e">
        <f ca="1"/>
        <v>#N/A</v>
      </c>
      <c r="U241" t="e">
        <f ca="1"/>
        <v>#N/A</v>
      </c>
      <c r="V241" t="e">
        <f ca="1"/>
        <v>#N/A</v>
      </c>
      <c r="W241" t="e">
        <f ca="1"/>
        <v>#N/A</v>
      </c>
      <c r="X241" t="e">
        <f ca="1"/>
        <v>#N/A</v>
      </c>
      <c r="Y241" t="e">
        <f ca="1"/>
        <v>#N/A</v>
      </c>
      <c r="Z241" t="e">
        <f ca="1"/>
        <v>#N/A</v>
      </c>
      <c r="AA241" t="e">
        <f ca="1"/>
        <v>#N/A</v>
      </c>
      <c r="AB241" t="e">
        <f ca="1"/>
        <v>#N/A</v>
      </c>
      <c r="AD241" s="2">
        <f t="shared" ca="1" si="32"/>
        <v>0</v>
      </c>
      <c r="AE241">
        <f t="shared" ca="1" si="33"/>
        <v>0</v>
      </c>
      <c r="AG241" s="63" t="e">
        <f t="shared" ca="1" si="37"/>
        <v>#N/A</v>
      </c>
      <c r="AH241" s="63" t="e">
        <f t="shared" ca="1" si="38"/>
        <v>#N/A</v>
      </c>
      <c r="AI241" s="3" t="e">
        <f t="shared" ca="1" si="39"/>
        <v>#N/A</v>
      </c>
    </row>
    <row r="242" spans="7:35">
      <c r="G242" s="3">
        <f t="shared" ca="1" si="34"/>
        <v>115</v>
      </c>
      <c r="H242" s="95">
        <f t="shared" ca="1" si="36"/>
        <v>45405</v>
      </c>
      <c r="I242" s="119">
        <f ca="1">HLOOKUP($H$5,'Met Data'!$A$2:$F$368,G242,FALSE)</f>
        <v>14.4933333333333</v>
      </c>
      <c r="J242" s="119">
        <f ca="1">HLOOKUP($H$5,'Met Data'!$H$2:$M$368,G242,FALSE)*L242</f>
        <v>4.3387096774193497</v>
      </c>
      <c r="K242" s="96">
        <f ca="1">HLOOKUP($H$5,'Met Data'!$O$2:$T$368,G242,FALSE)</f>
        <v>2.2396347152399998</v>
      </c>
      <c r="L242">
        <f t="shared" ca="1" si="30"/>
        <v>1</v>
      </c>
      <c r="N242" t="e">
        <f t="shared" ca="1" si="35"/>
        <v>#N/A</v>
      </c>
      <c r="O242" t="e">
        <f t="shared" ca="1" si="31"/>
        <v>#N/A</v>
      </c>
      <c r="P242" s="2" t="e">
        <f ca="1"/>
        <v>#N/A</v>
      </c>
      <c r="Q242" t="e">
        <f ca="1"/>
        <v>#N/A</v>
      </c>
      <c r="R242" t="e">
        <f ca="1"/>
        <v>#N/A</v>
      </c>
      <c r="S242" t="e">
        <f ca="1"/>
        <v>#N/A</v>
      </c>
      <c r="T242" t="e">
        <f ca="1"/>
        <v>#N/A</v>
      </c>
      <c r="U242" t="e">
        <f ca="1"/>
        <v>#N/A</v>
      </c>
      <c r="V242" t="e">
        <f ca="1"/>
        <v>#N/A</v>
      </c>
      <c r="W242" t="e">
        <f ca="1"/>
        <v>#N/A</v>
      </c>
      <c r="X242" t="e">
        <f ca="1"/>
        <v>#N/A</v>
      </c>
      <c r="Y242" t="e">
        <f ca="1"/>
        <v>#N/A</v>
      </c>
      <c r="Z242" t="e">
        <f ca="1"/>
        <v>#N/A</v>
      </c>
      <c r="AA242" t="e">
        <f ca="1"/>
        <v>#N/A</v>
      </c>
      <c r="AB242" t="e">
        <f ca="1"/>
        <v>#N/A</v>
      </c>
      <c r="AD242" s="2">
        <f t="shared" ca="1" si="32"/>
        <v>0</v>
      </c>
      <c r="AE242">
        <f t="shared" ca="1" si="33"/>
        <v>0</v>
      </c>
      <c r="AG242" s="63" t="e">
        <f t="shared" ca="1" si="37"/>
        <v>#N/A</v>
      </c>
      <c r="AH242" s="63" t="e">
        <f t="shared" ca="1" si="38"/>
        <v>#N/A</v>
      </c>
      <c r="AI242" s="3" t="e">
        <f t="shared" ca="1" si="39"/>
        <v>#N/A</v>
      </c>
    </row>
    <row r="243" spans="7:35">
      <c r="G243" s="3">
        <f t="shared" ca="1" si="34"/>
        <v>116</v>
      </c>
      <c r="H243" s="95">
        <f t="shared" ca="1" si="36"/>
        <v>45406</v>
      </c>
      <c r="I243" s="119">
        <f ca="1">HLOOKUP($H$5,'Met Data'!$A$2:$F$368,G243,FALSE)</f>
        <v>14.7733333333333</v>
      </c>
      <c r="J243" s="119">
        <f ca="1">HLOOKUP($H$5,'Met Data'!$H$2:$M$368,G243,FALSE)*L243</f>
        <v>6.4580645161290304</v>
      </c>
      <c r="K243" s="96">
        <f ca="1">HLOOKUP($H$5,'Met Data'!$O$2:$T$368,G243,FALSE)</f>
        <v>2.0110185254269899</v>
      </c>
      <c r="L243">
        <f t="shared" ca="1" si="30"/>
        <v>1</v>
      </c>
      <c r="N243" t="e">
        <f t="shared" ca="1" si="35"/>
        <v>#N/A</v>
      </c>
      <c r="O243" t="e">
        <f t="shared" ca="1" si="31"/>
        <v>#N/A</v>
      </c>
      <c r="P243" s="2" t="e">
        <f ca="1"/>
        <v>#N/A</v>
      </c>
      <c r="Q243" t="e">
        <f ca="1"/>
        <v>#N/A</v>
      </c>
      <c r="R243" t="e">
        <f ca="1"/>
        <v>#N/A</v>
      </c>
      <c r="S243" t="e">
        <f ca="1"/>
        <v>#N/A</v>
      </c>
      <c r="T243" t="e">
        <f ca="1"/>
        <v>#N/A</v>
      </c>
      <c r="U243" t="e">
        <f ca="1"/>
        <v>#N/A</v>
      </c>
      <c r="V243" t="e">
        <f ca="1"/>
        <v>#N/A</v>
      </c>
      <c r="W243" t="e">
        <f ca="1"/>
        <v>#N/A</v>
      </c>
      <c r="X243" t="e">
        <f ca="1"/>
        <v>#N/A</v>
      </c>
      <c r="Y243" t="e">
        <f ca="1"/>
        <v>#N/A</v>
      </c>
      <c r="Z243" t="e">
        <f ca="1"/>
        <v>#N/A</v>
      </c>
      <c r="AA243" t="e">
        <f ca="1"/>
        <v>#N/A</v>
      </c>
      <c r="AB243" t="e">
        <f ca="1"/>
        <v>#N/A</v>
      </c>
      <c r="AD243" s="2">
        <f t="shared" ca="1" si="32"/>
        <v>0</v>
      </c>
      <c r="AE243">
        <f t="shared" ca="1" si="33"/>
        <v>0</v>
      </c>
      <c r="AG243" s="63" t="e">
        <f t="shared" ca="1" si="37"/>
        <v>#N/A</v>
      </c>
      <c r="AH243" s="63" t="e">
        <f t="shared" ca="1" si="38"/>
        <v>#N/A</v>
      </c>
      <c r="AI243" s="3" t="e">
        <f t="shared" ca="1" si="39"/>
        <v>#N/A</v>
      </c>
    </row>
    <row r="244" spans="7:35">
      <c r="G244" s="3">
        <f t="shared" ca="1" si="34"/>
        <v>117</v>
      </c>
      <c r="H244" s="95">
        <f t="shared" ca="1" si="36"/>
        <v>45407</v>
      </c>
      <c r="I244" s="119">
        <f ca="1">HLOOKUP($H$5,'Met Data'!$A$2:$F$368,G244,FALSE)</f>
        <v>14.998333333333299</v>
      </c>
      <c r="J244" s="119">
        <f ca="1">HLOOKUP($H$5,'Met Data'!$H$2:$M$368,G244,FALSE)*L244</f>
        <v>3.1903225806451601</v>
      </c>
      <c r="K244" s="96">
        <f ca="1">HLOOKUP($H$5,'Met Data'!$O$2:$T$368,G244,FALSE)</f>
        <v>2.1294944258891699</v>
      </c>
      <c r="L244">
        <f t="shared" ca="1" si="30"/>
        <v>1</v>
      </c>
      <c r="N244" t="e">
        <f t="shared" ca="1" si="35"/>
        <v>#N/A</v>
      </c>
      <c r="O244" t="e">
        <f t="shared" ca="1" si="31"/>
        <v>#N/A</v>
      </c>
      <c r="P244" s="2" t="e">
        <f ca="1"/>
        <v>#N/A</v>
      </c>
      <c r="Q244" t="e">
        <f ca="1"/>
        <v>#N/A</v>
      </c>
      <c r="R244" t="e">
        <f ca="1"/>
        <v>#N/A</v>
      </c>
      <c r="S244" t="e">
        <f ca="1"/>
        <v>#N/A</v>
      </c>
      <c r="T244" t="e">
        <f ca="1"/>
        <v>#N/A</v>
      </c>
      <c r="U244" t="e">
        <f ca="1"/>
        <v>#N/A</v>
      </c>
      <c r="V244" t="e">
        <f ca="1"/>
        <v>#N/A</v>
      </c>
      <c r="W244" t="e">
        <f ca="1"/>
        <v>#N/A</v>
      </c>
      <c r="X244" t="e">
        <f ca="1"/>
        <v>#N/A</v>
      </c>
      <c r="Y244" t="e">
        <f ca="1"/>
        <v>#N/A</v>
      </c>
      <c r="Z244" t="e">
        <f ca="1"/>
        <v>#N/A</v>
      </c>
      <c r="AA244" t="e">
        <f ca="1"/>
        <v>#N/A</v>
      </c>
      <c r="AB244" t="e">
        <f ca="1"/>
        <v>#N/A</v>
      </c>
      <c r="AD244" s="2">
        <f t="shared" ca="1" si="32"/>
        <v>0</v>
      </c>
      <c r="AE244">
        <f t="shared" ca="1" si="33"/>
        <v>0</v>
      </c>
      <c r="AG244" s="63" t="e">
        <f t="shared" ca="1" si="37"/>
        <v>#N/A</v>
      </c>
      <c r="AH244" s="63" t="e">
        <f t="shared" ca="1" si="38"/>
        <v>#N/A</v>
      </c>
      <c r="AI244" s="3" t="e">
        <f t="shared" ca="1" si="39"/>
        <v>#N/A</v>
      </c>
    </row>
    <row r="245" spans="7:35">
      <c r="G245" s="3">
        <f t="shared" ca="1" si="34"/>
        <v>118</v>
      </c>
      <c r="H245" s="95">
        <f t="shared" ca="1" si="36"/>
        <v>45408</v>
      </c>
      <c r="I245" s="119">
        <f ca="1">HLOOKUP($H$5,'Met Data'!$A$2:$F$368,G245,FALSE)</f>
        <v>15.395</v>
      </c>
      <c r="J245" s="119">
        <f ca="1">HLOOKUP($H$5,'Met Data'!$H$2:$M$368,G245,FALSE)*L245</f>
        <v>2.8516129032258002</v>
      </c>
      <c r="K245" s="96">
        <f ca="1">HLOOKUP($H$5,'Met Data'!$O$2:$T$368,G245,FALSE)</f>
        <v>2.1336270025185899</v>
      </c>
      <c r="L245">
        <f t="shared" ca="1" si="30"/>
        <v>1</v>
      </c>
      <c r="N245" t="e">
        <f t="shared" ca="1" si="35"/>
        <v>#N/A</v>
      </c>
      <c r="O245" t="e">
        <f t="shared" ca="1" si="31"/>
        <v>#N/A</v>
      </c>
      <c r="P245" s="2" t="e">
        <f ca="1"/>
        <v>#N/A</v>
      </c>
      <c r="Q245" t="e">
        <f ca="1"/>
        <v>#N/A</v>
      </c>
      <c r="R245" t="e">
        <f ca="1"/>
        <v>#N/A</v>
      </c>
      <c r="S245" t="e">
        <f ca="1"/>
        <v>#N/A</v>
      </c>
      <c r="T245" t="e">
        <f ca="1"/>
        <v>#N/A</v>
      </c>
      <c r="U245" t="e">
        <f ca="1"/>
        <v>#N/A</v>
      </c>
      <c r="V245" t="e">
        <f ca="1"/>
        <v>#N/A</v>
      </c>
      <c r="W245" t="e">
        <f ca="1"/>
        <v>#N/A</v>
      </c>
      <c r="X245" t="e">
        <f ca="1"/>
        <v>#N/A</v>
      </c>
      <c r="Y245" t="e">
        <f ca="1"/>
        <v>#N/A</v>
      </c>
      <c r="Z245" t="e">
        <f ca="1"/>
        <v>#N/A</v>
      </c>
      <c r="AA245" t="e">
        <f ca="1"/>
        <v>#N/A</v>
      </c>
      <c r="AB245" t="e">
        <f ca="1"/>
        <v>#N/A</v>
      </c>
      <c r="AD245" s="2">
        <f t="shared" ca="1" si="32"/>
        <v>0</v>
      </c>
      <c r="AE245">
        <f t="shared" ca="1" si="33"/>
        <v>0</v>
      </c>
      <c r="AG245" s="63" t="e">
        <f t="shared" ca="1" si="37"/>
        <v>#N/A</v>
      </c>
      <c r="AH245" s="63" t="e">
        <f t="shared" ca="1" si="38"/>
        <v>#N/A</v>
      </c>
      <c r="AI245" s="3" t="e">
        <f t="shared" ca="1" si="39"/>
        <v>#N/A</v>
      </c>
    </row>
    <row r="246" spans="7:35">
      <c r="G246" s="3">
        <f t="shared" ca="1" si="34"/>
        <v>119</v>
      </c>
      <c r="H246" s="95">
        <f t="shared" ca="1" si="36"/>
        <v>45409</v>
      </c>
      <c r="I246" s="119">
        <f ca="1">HLOOKUP($H$5,'Met Data'!$A$2:$F$368,G246,FALSE)</f>
        <v>15.641379310344799</v>
      </c>
      <c r="J246" s="119">
        <f ca="1">HLOOKUP($H$5,'Met Data'!$H$2:$M$368,G246,FALSE)*L246</f>
        <v>3.74193548387096</v>
      </c>
      <c r="K246" s="96">
        <f ca="1">HLOOKUP($H$5,'Met Data'!$O$2:$T$368,G246,FALSE)</f>
        <v>2.0365768668725401</v>
      </c>
      <c r="L246">
        <f t="shared" ca="1" si="30"/>
        <v>1</v>
      </c>
      <c r="N246" t="e">
        <f t="shared" ca="1" si="35"/>
        <v>#N/A</v>
      </c>
      <c r="O246" t="e">
        <f t="shared" ca="1" si="31"/>
        <v>#N/A</v>
      </c>
      <c r="P246" s="2" t="e">
        <f ca="1"/>
        <v>#N/A</v>
      </c>
      <c r="Q246" t="e">
        <f ca="1"/>
        <v>#N/A</v>
      </c>
      <c r="R246" t="e">
        <f ca="1"/>
        <v>#N/A</v>
      </c>
      <c r="S246" t="e">
        <f ca="1"/>
        <v>#N/A</v>
      </c>
      <c r="T246" t="e">
        <f ca="1"/>
        <v>#N/A</v>
      </c>
      <c r="U246" t="e">
        <f ca="1"/>
        <v>#N/A</v>
      </c>
      <c r="V246" t="e">
        <f ca="1"/>
        <v>#N/A</v>
      </c>
      <c r="W246" t="e">
        <f ca="1"/>
        <v>#N/A</v>
      </c>
      <c r="X246" t="e">
        <f ca="1"/>
        <v>#N/A</v>
      </c>
      <c r="Y246" t="e">
        <f ca="1"/>
        <v>#N/A</v>
      </c>
      <c r="Z246" t="e">
        <f ca="1"/>
        <v>#N/A</v>
      </c>
      <c r="AA246" t="e">
        <f ca="1"/>
        <v>#N/A</v>
      </c>
      <c r="AB246" t="e">
        <f ca="1"/>
        <v>#N/A</v>
      </c>
      <c r="AD246" s="2">
        <f t="shared" ca="1" si="32"/>
        <v>0</v>
      </c>
      <c r="AE246">
        <f t="shared" ca="1" si="33"/>
        <v>0</v>
      </c>
      <c r="AG246" s="63" t="e">
        <f t="shared" ca="1" si="37"/>
        <v>#N/A</v>
      </c>
      <c r="AH246" s="63" t="e">
        <f t="shared" ca="1" si="38"/>
        <v>#N/A</v>
      </c>
      <c r="AI246" s="3" t="e">
        <f t="shared" ca="1" si="39"/>
        <v>#N/A</v>
      </c>
    </row>
    <row r="247" spans="7:35">
      <c r="G247" s="3">
        <f t="shared" ca="1" si="34"/>
        <v>120</v>
      </c>
      <c r="H247" s="95">
        <f t="shared" ca="1" si="36"/>
        <v>45410</v>
      </c>
      <c r="I247" s="119">
        <f ca="1">HLOOKUP($H$5,'Met Data'!$A$2:$F$368,G247,FALSE)</f>
        <v>14.7327586206896</v>
      </c>
      <c r="J247" s="119">
        <f ca="1">HLOOKUP($H$5,'Met Data'!$H$2:$M$368,G247,FALSE)*L247</f>
        <v>3.3129032258064499</v>
      </c>
      <c r="K247" s="96">
        <f ca="1">HLOOKUP($H$5,'Met Data'!$O$2:$T$368,G247,FALSE)</f>
        <v>2.1199579861729001</v>
      </c>
      <c r="L247">
        <f t="shared" ca="1" si="30"/>
        <v>1</v>
      </c>
      <c r="N247" t="e">
        <f t="shared" ca="1" si="35"/>
        <v>#N/A</v>
      </c>
      <c r="O247" t="e">
        <f t="shared" ca="1" si="31"/>
        <v>#N/A</v>
      </c>
      <c r="P247" s="2" t="e">
        <f ca="1"/>
        <v>#N/A</v>
      </c>
      <c r="Q247" t="e">
        <f ca="1"/>
        <v>#N/A</v>
      </c>
      <c r="R247" t="e">
        <f ca="1"/>
        <v>#N/A</v>
      </c>
      <c r="S247" t="e">
        <f ca="1"/>
        <v>#N/A</v>
      </c>
      <c r="T247" t="e">
        <f ca="1"/>
        <v>#N/A</v>
      </c>
      <c r="U247" t="e">
        <f ca="1"/>
        <v>#N/A</v>
      </c>
      <c r="V247" t="e">
        <f ca="1"/>
        <v>#N/A</v>
      </c>
      <c r="W247" t="e">
        <f ca="1"/>
        <v>#N/A</v>
      </c>
      <c r="X247" t="e">
        <f ca="1"/>
        <v>#N/A</v>
      </c>
      <c r="Y247" t="e">
        <f ca="1"/>
        <v>#N/A</v>
      </c>
      <c r="Z247" t="e">
        <f ca="1"/>
        <v>#N/A</v>
      </c>
      <c r="AA247" t="e">
        <f ca="1"/>
        <v>#N/A</v>
      </c>
      <c r="AB247" t="e">
        <f ca="1"/>
        <v>#N/A</v>
      </c>
      <c r="AD247" s="2">
        <f t="shared" ca="1" si="32"/>
        <v>0</v>
      </c>
      <c r="AE247">
        <f t="shared" ca="1" si="33"/>
        <v>0</v>
      </c>
      <c r="AG247" s="63" t="e">
        <f t="shared" ca="1" si="37"/>
        <v>#N/A</v>
      </c>
      <c r="AH247" s="63" t="e">
        <f t="shared" ca="1" si="38"/>
        <v>#N/A</v>
      </c>
      <c r="AI247" s="3" t="e">
        <f t="shared" ca="1" si="39"/>
        <v>#N/A</v>
      </c>
    </row>
    <row r="248" spans="7:35">
      <c r="G248" s="3">
        <f t="shared" ca="1" si="34"/>
        <v>121</v>
      </c>
      <c r="H248" s="95">
        <f t="shared" ca="1" si="36"/>
        <v>45411</v>
      </c>
      <c r="I248" s="119">
        <f ca="1">HLOOKUP($H$5,'Met Data'!$A$2:$F$368,G248,FALSE)</f>
        <v>14.332758620689599</v>
      </c>
      <c r="J248" s="119">
        <f ca="1">HLOOKUP($H$5,'Met Data'!$H$2:$M$368,G248,FALSE)*L248</f>
        <v>4.4322580645161196</v>
      </c>
      <c r="K248" s="96">
        <f ca="1">HLOOKUP($H$5,'Met Data'!$O$2:$T$368,G248,FALSE)</f>
        <v>1.7270113091402699</v>
      </c>
      <c r="L248">
        <f t="shared" ca="1" si="30"/>
        <v>1</v>
      </c>
      <c r="N248" t="e">
        <f t="shared" ca="1" si="35"/>
        <v>#N/A</v>
      </c>
      <c r="O248" t="e">
        <f t="shared" ca="1" si="31"/>
        <v>#N/A</v>
      </c>
      <c r="P248" s="2" t="e">
        <f ca="1"/>
        <v>#N/A</v>
      </c>
      <c r="Q248" t="e">
        <f ca="1"/>
        <v>#N/A</v>
      </c>
      <c r="R248" t="e">
        <f ca="1"/>
        <v>#N/A</v>
      </c>
      <c r="S248" t="e">
        <f ca="1"/>
        <v>#N/A</v>
      </c>
      <c r="T248" t="e">
        <f ca="1"/>
        <v>#N/A</v>
      </c>
      <c r="U248" t="e">
        <f ca="1"/>
        <v>#N/A</v>
      </c>
      <c r="V248" t="e">
        <f ca="1"/>
        <v>#N/A</v>
      </c>
      <c r="W248" t="e">
        <f ca="1"/>
        <v>#N/A</v>
      </c>
      <c r="X248" t="e">
        <f ca="1"/>
        <v>#N/A</v>
      </c>
      <c r="Y248" t="e">
        <f ca="1"/>
        <v>#N/A</v>
      </c>
      <c r="Z248" t="e">
        <f ca="1"/>
        <v>#N/A</v>
      </c>
      <c r="AA248" t="e">
        <f ca="1"/>
        <v>#N/A</v>
      </c>
      <c r="AB248" t="e">
        <f ca="1"/>
        <v>#N/A</v>
      </c>
      <c r="AD248" s="2">
        <f t="shared" ca="1" si="32"/>
        <v>0</v>
      </c>
      <c r="AE248">
        <f t="shared" ca="1" si="33"/>
        <v>0</v>
      </c>
      <c r="AG248" s="63" t="e">
        <f t="shared" ca="1" si="37"/>
        <v>#N/A</v>
      </c>
      <c r="AH248" s="63" t="e">
        <f t="shared" ca="1" si="38"/>
        <v>#N/A</v>
      </c>
      <c r="AI248" s="3" t="e">
        <f t="shared" ca="1" si="39"/>
        <v>#N/A</v>
      </c>
    </row>
    <row r="249" spans="7:35">
      <c r="G249" s="3">
        <f t="shared" ca="1" si="34"/>
        <v>122</v>
      </c>
      <c r="H249" s="95">
        <f t="shared" ca="1" si="36"/>
        <v>45412</v>
      </c>
      <c r="I249" s="119">
        <f ca="1">HLOOKUP($H$5,'Met Data'!$A$2:$F$368,G249,FALSE)</f>
        <v>14.3982758620689</v>
      </c>
      <c r="J249" s="119">
        <f ca="1">HLOOKUP($H$5,'Met Data'!$H$2:$M$368,G249,FALSE)*L249</f>
        <v>3.1838709677419299</v>
      </c>
      <c r="K249" s="96">
        <f ca="1">HLOOKUP($H$5,'Met Data'!$O$2:$T$368,G249,FALSE)</f>
        <v>1.93510583623638</v>
      </c>
      <c r="L249">
        <f t="shared" ca="1" si="30"/>
        <v>1</v>
      </c>
      <c r="N249" t="e">
        <f t="shared" ca="1" si="35"/>
        <v>#N/A</v>
      </c>
      <c r="O249" t="e">
        <f t="shared" ca="1" si="31"/>
        <v>#N/A</v>
      </c>
      <c r="P249" s="2" t="e">
        <f ca="1"/>
        <v>#N/A</v>
      </c>
      <c r="Q249" t="e">
        <f ca="1"/>
        <v>#N/A</v>
      </c>
      <c r="R249" t="e">
        <f ca="1"/>
        <v>#N/A</v>
      </c>
      <c r="S249" t="e">
        <f ca="1"/>
        <v>#N/A</v>
      </c>
      <c r="T249" t="e">
        <f ca="1"/>
        <v>#N/A</v>
      </c>
      <c r="U249" t="e">
        <f ca="1"/>
        <v>#N/A</v>
      </c>
      <c r="V249" t="e">
        <f ca="1"/>
        <v>#N/A</v>
      </c>
      <c r="W249" t="e">
        <f ca="1"/>
        <v>#N/A</v>
      </c>
      <c r="X249" t="e">
        <f ca="1"/>
        <v>#N/A</v>
      </c>
      <c r="Y249" t="e">
        <f ca="1"/>
        <v>#N/A</v>
      </c>
      <c r="Z249" t="e">
        <f ca="1"/>
        <v>#N/A</v>
      </c>
      <c r="AA249" t="e">
        <f ca="1"/>
        <v>#N/A</v>
      </c>
      <c r="AB249" t="e">
        <f ca="1"/>
        <v>#N/A</v>
      </c>
      <c r="AD249" s="2">
        <f t="shared" ca="1" si="32"/>
        <v>0</v>
      </c>
      <c r="AE249">
        <f t="shared" ca="1" si="33"/>
        <v>0</v>
      </c>
      <c r="AG249" s="63" t="e">
        <f t="shared" ca="1" si="37"/>
        <v>#N/A</v>
      </c>
      <c r="AH249" s="63" t="e">
        <f t="shared" ca="1" si="38"/>
        <v>#N/A</v>
      </c>
      <c r="AI249" s="3" t="e">
        <f t="shared" ca="1" si="39"/>
        <v>#N/A</v>
      </c>
    </row>
    <row r="250" spans="7:35">
      <c r="G250" s="3">
        <f t="shared" ca="1" si="34"/>
        <v>123</v>
      </c>
      <c r="H250" s="95">
        <f t="shared" ca="1" si="36"/>
        <v>45413</v>
      </c>
      <c r="I250" s="119">
        <f ca="1">HLOOKUP($H$5,'Met Data'!$A$2:$F$368,G250,FALSE)</f>
        <v>14.296666666666599</v>
      </c>
      <c r="J250" s="119">
        <f ca="1">HLOOKUP($H$5,'Met Data'!$H$2:$M$368,G250,FALSE)*L250</f>
        <v>6.4709677419354801</v>
      </c>
      <c r="K250" s="96">
        <f ca="1">HLOOKUP($H$5,'Met Data'!$O$2:$T$368,G250,FALSE)</f>
        <v>1.84994231207221</v>
      </c>
      <c r="L250">
        <f t="shared" ca="1" si="30"/>
        <v>1</v>
      </c>
      <c r="N250" t="e">
        <f t="shared" ca="1" si="35"/>
        <v>#N/A</v>
      </c>
      <c r="O250" t="e">
        <f t="shared" ca="1" si="31"/>
        <v>#N/A</v>
      </c>
      <c r="P250" s="2" t="e">
        <f ca="1"/>
        <v>#N/A</v>
      </c>
      <c r="Q250" t="e">
        <f ca="1"/>
        <v>#N/A</v>
      </c>
      <c r="R250" t="e">
        <f ca="1"/>
        <v>#N/A</v>
      </c>
      <c r="S250" t="e">
        <f ca="1"/>
        <v>#N/A</v>
      </c>
      <c r="T250" t="e">
        <f ca="1"/>
        <v>#N/A</v>
      </c>
      <c r="U250" t="e">
        <f ca="1"/>
        <v>#N/A</v>
      </c>
      <c r="V250" t="e">
        <f ca="1"/>
        <v>#N/A</v>
      </c>
      <c r="W250" t="e">
        <f ca="1"/>
        <v>#N/A</v>
      </c>
      <c r="X250" t="e">
        <f ca="1"/>
        <v>#N/A</v>
      </c>
      <c r="Y250" t="e">
        <f ca="1"/>
        <v>#N/A</v>
      </c>
      <c r="Z250" t="e">
        <f ca="1"/>
        <v>#N/A</v>
      </c>
      <c r="AA250" t="e">
        <f ca="1"/>
        <v>#N/A</v>
      </c>
      <c r="AB250" t="e">
        <f ca="1"/>
        <v>#N/A</v>
      </c>
      <c r="AD250" s="2">
        <f t="shared" ca="1" si="32"/>
        <v>0</v>
      </c>
      <c r="AE250">
        <f t="shared" ca="1" si="33"/>
        <v>0</v>
      </c>
      <c r="AG250" s="63" t="e">
        <f t="shared" ca="1" si="37"/>
        <v>#N/A</v>
      </c>
      <c r="AH250" s="63" t="e">
        <f t="shared" ca="1" si="38"/>
        <v>#N/A</v>
      </c>
      <c r="AI250" s="3" t="e">
        <f t="shared" ca="1" si="39"/>
        <v>#N/A</v>
      </c>
    </row>
    <row r="251" spans="7:35">
      <c r="G251" s="3">
        <f t="shared" ca="1" si="34"/>
        <v>124</v>
      </c>
      <c r="H251" s="95">
        <f t="shared" ca="1" si="36"/>
        <v>45414</v>
      </c>
      <c r="I251" s="119">
        <f ca="1">HLOOKUP($H$5,'Met Data'!$A$2:$F$368,G251,FALSE)</f>
        <v>14.1866666666666</v>
      </c>
      <c r="J251" s="119">
        <f ca="1">HLOOKUP($H$5,'Met Data'!$H$2:$M$368,G251,FALSE)*L251</f>
        <v>2.59032258064516</v>
      </c>
      <c r="K251" s="96">
        <f ca="1">HLOOKUP($H$5,'Met Data'!$O$2:$T$368,G251,FALSE)</f>
        <v>1.8652259443704999</v>
      </c>
      <c r="L251">
        <f t="shared" ca="1" si="30"/>
        <v>1</v>
      </c>
      <c r="N251" t="e">
        <f t="shared" ca="1" si="35"/>
        <v>#N/A</v>
      </c>
      <c r="O251" t="e">
        <f t="shared" ca="1" si="31"/>
        <v>#N/A</v>
      </c>
      <c r="P251" s="2" t="e">
        <f ca="1"/>
        <v>#N/A</v>
      </c>
      <c r="Q251" t="e">
        <f ca="1"/>
        <v>#N/A</v>
      </c>
      <c r="R251" t="e">
        <f ca="1"/>
        <v>#N/A</v>
      </c>
      <c r="S251" t="e">
        <f ca="1"/>
        <v>#N/A</v>
      </c>
      <c r="T251" t="e">
        <f ca="1"/>
        <v>#N/A</v>
      </c>
      <c r="U251" t="e">
        <f ca="1"/>
        <v>#N/A</v>
      </c>
      <c r="V251" t="e">
        <f ca="1"/>
        <v>#N/A</v>
      </c>
      <c r="W251" t="e">
        <f ca="1"/>
        <v>#N/A</v>
      </c>
      <c r="X251" t="e">
        <f ca="1"/>
        <v>#N/A</v>
      </c>
      <c r="Y251" t="e">
        <f ca="1"/>
        <v>#N/A</v>
      </c>
      <c r="Z251" t="e">
        <f ca="1"/>
        <v>#N/A</v>
      </c>
      <c r="AA251" t="e">
        <f ca="1"/>
        <v>#N/A</v>
      </c>
      <c r="AB251" t="e">
        <f ca="1"/>
        <v>#N/A</v>
      </c>
      <c r="AD251" s="2">
        <f t="shared" ca="1" si="32"/>
        <v>0</v>
      </c>
      <c r="AE251">
        <f t="shared" ca="1" si="33"/>
        <v>0</v>
      </c>
      <c r="AG251" s="63" t="e">
        <f t="shared" ca="1" si="37"/>
        <v>#N/A</v>
      </c>
      <c r="AH251" s="63" t="e">
        <f t="shared" ca="1" si="38"/>
        <v>#N/A</v>
      </c>
      <c r="AI251" s="3" t="e">
        <f t="shared" ca="1" si="39"/>
        <v>#N/A</v>
      </c>
    </row>
    <row r="252" spans="7:35">
      <c r="G252" s="3">
        <f t="shared" ca="1" si="34"/>
        <v>125</v>
      </c>
      <c r="H252" s="95">
        <f t="shared" ca="1" si="36"/>
        <v>45415</v>
      </c>
      <c r="I252" s="119">
        <f ca="1">HLOOKUP($H$5,'Met Data'!$A$2:$F$368,G252,FALSE)</f>
        <v>13.9112903225806</v>
      </c>
      <c r="J252" s="119">
        <f ca="1">HLOOKUP($H$5,'Met Data'!$H$2:$M$368,G252,FALSE)*L252</f>
        <v>2.2741935483870899</v>
      </c>
      <c r="K252" s="96">
        <f ca="1">HLOOKUP($H$5,'Met Data'!$O$2:$T$368,G252,FALSE)</f>
        <v>1.88347487361168</v>
      </c>
      <c r="L252">
        <f t="shared" ca="1" si="30"/>
        <v>1</v>
      </c>
      <c r="N252" t="e">
        <f t="shared" ca="1" si="35"/>
        <v>#N/A</v>
      </c>
      <c r="O252" t="e">
        <f t="shared" ca="1" si="31"/>
        <v>#N/A</v>
      </c>
      <c r="P252" s="2" t="e">
        <f ca="1"/>
        <v>#N/A</v>
      </c>
      <c r="Q252" t="e">
        <f ca="1"/>
        <v>#N/A</v>
      </c>
      <c r="R252" t="e">
        <f ca="1"/>
        <v>#N/A</v>
      </c>
      <c r="S252" t="e">
        <f ca="1"/>
        <v>#N/A</v>
      </c>
      <c r="T252" t="e">
        <f ca="1"/>
        <v>#N/A</v>
      </c>
      <c r="U252" t="e">
        <f ca="1"/>
        <v>#N/A</v>
      </c>
      <c r="V252" t="e">
        <f ca="1"/>
        <v>#N/A</v>
      </c>
      <c r="W252" t="e">
        <f ca="1"/>
        <v>#N/A</v>
      </c>
      <c r="X252" t="e">
        <f ca="1"/>
        <v>#N/A</v>
      </c>
      <c r="Y252" t="e">
        <f ca="1"/>
        <v>#N/A</v>
      </c>
      <c r="Z252" t="e">
        <f ca="1"/>
        <v>#N/A</v>
      </c>
      <c r="AA252" t="e">
        <f ca="1"/>
        <v>#N/A</v>
      </c>
      <c r="AB252" t="e">
        <f ca="1"/>
        <v>#N/A</v>
      </c>
      <c r="AD252" s="2">
        <f t="shared" ca="1" si="32"/>
        <v>0</v>
      </c>
      <c r="AE252">
        <f t="shared" ca="1" si="33"/>
        <v>0</v>
      </c>
      <c r="AG252" s="63" t="e">
        <f t="shared" ca="1" si="37"/>
        <v>#N/A</v>
      </c>
      <c r="AH252" s="63" t="e">
        <f t="shared" ca="1" si="38"/>
        <v>#N/A</v>
      </c>
      <c r="AI252" s="3" t="e">
        <f t="shared" ca="1" si="39"/>
        <v>#N/A</v>
      </c>
    </row>
    <row r="253" spans="7:35">
      <c r="G253" s="3">
        <f t="shared" ca="1" si="34"/>
        <v>126</v>
      </c>
      <c r="H253" s="95">
        <f t="shared" ca="1" si="36"/>
        <v>45416</v>
      </c>
      <c r="I253" s="119">
        <f ca="1">HLOOKUP($H$5,'Met Data'!$A$2:$F$368,G253,FALSE)</f>
        <v>13.9966666666666</v>
      </c>
      <c r="J253" s="119">
        <f ca="1">HLOOKUP($H$5,'Met Data'!$H$2:$M$368,G253,FALSE)*L253</f>
        <v>3.2548387096774101</v>
      </c>
      <c r="K253" s="96">
        <f ca="1">HLOOKUP($H$5,'Met Data'!$O$2:$T$368,G253,FALSE)</f>
        <v>1.9813737718090501</v>
      </c>
      <c r="L253">
        <f t="shared" ca="1" si="30"/>
        <v>1</v>
      </c>
      <c r="N253" t="e">
        <f t="shared" ca="1" si="35"/>
        <v>#N/A</v>
      </c>
      <c r="O253" t="e">
        <f t="shared" ca="1" si="31"/>
        <v>#N/A</v>
      </c>
      <c r="P253" s="2" t="e">
        <f ca="1"/>
        <v>#N/A</v>
      </c>
      <c r="Q253" t="e">
        <f ca="1"/>
        <v>#N/A</v>
      </c>
      <c r="R253" t="e">
        <f ca="1"/>
        <v>#N/A</v>
      </c>
      <c r="S253" t="e">
        <f ca="1"/>
        <v>#N/A</v>
      </c>
      <c r="T253" t="e">
        <f ca="1"/>
        <v>#N/A</v>
      </c>
      <c r="U253" t="e">
        <f ca="1"/>
        <v>#N/A</v>
      </c>
      <c r="V253" t="e">
        <f ca="1"/>
        <v>#N/A</v>
      </c>
      <c r="W253" t="e">
        <f ca="1"/>
        <v>#N/A</v>
      </c>
      <c r="X253" t="e">
        <f ca="1"/>
        <v>#N/A</v>
      </c>
      <c r="Y253" t="e">
        <f ca="1"/>
        <v>#N/A</v>
      </c>
      <c r="Z253" t="e">
        <f ca="1"/>
        <v>#N/A</v>
      </c>
      <c r="AA253" t="e">
        <f ca="1"/>
        <v>#N/A</v>
      </c>
      <c r="AB253" t="e">
        <f ca="1"/>
        <v>#N/A</v>
      </c>
      <c r="AD253" s="2">
        <f t="shared" ca="1" si="32"/>
        <v>0</v>
      </c>
      <c r="AE253">
        <f t="shared" ca="1" si="33"/>
        <v>0</v>
      </c>
      <c r="AG253" s="63" t="e">
        <f t="shared" ca="1" si="37"/>
        <v>#N/A</v>
      </c>
      <c r="AH253" s="63" t="e">
        <f t="shared" ca="1" si="38"/>
        <v>#N/A</v>
      </c>
      <c r="AI253" s="3" t="e">
        <f t="shared" ca="1" si="39"/>
        <v>#N/A</v>
      </c>
    </row>
    <row r="254" spans="7:35">
      <c r="G254" s="3">
        <f t="shared" ca="1" si="34"/>
        <v>127</v>
      </c>
      <c r="H254" s="95">
        <f t="shared" ca="1" si="36"/>
        <v>45417</v>
      </c>
      <c r="I254" s="119">
        <f ca="1">HLOOKUP($H$5,'Met Data'!$A$2:$F$368,G254,FALSE)</f>
        <v>14.1596774193548</v>
      </c>
      <c r="J254" s="119">
        <f ca="1">HLOOKUP($H$5,'Met Data'!$H$2:$M$368,G254,FALSE)*L254</f>
        <v>3.4483870967741899</v>
      </c>
      <c r="K254" s="96">
        <f ca="1">HLOOKUP($H$5,'Met Data'!$O$2:$T$368,G254,FALSE)</f>
        <v>1.78778032014411</v>
      </c>
      <c r="L254">
        <f t="shared" ca="1" si="30"/>
        <v>1</v>
      </c>
      <c r="N254" t="e">
        <f t="shared" ca="1" si="35"/>
        <v>#N/A</v>
      </c>
      <c r="O254" t="e">
        <f t="shared" ca="1" si="31"/>
        <v>#N/A</v>
      </c>
      <c r="P254" s="2" t="e">
        <f ca="1"/>
        <v>#N/A</v>
      </c>
      <c r="Q254" t="e">
        <f ca="1"/>
        <v>#N/A</v>
      </c>
      <c r="R254" t="e">
        <f ca="1"/>
        <v>#N/A</v>
      </c>
      <c r="S254" t="e">
        <f ca="1"/>
        <v>#N/A</v>
      </c>
      <c r="T254" t="e">
        <f ca="1"/>
        <v>#N/A</v>
      </c>
      <c r="U254" t="e">
        <f ca="1"/>
        <v>#N/A</v>
      </c>
      <c r="V254" t="e">
        <f ca="1"/>
        <v>#N/A</v>
      </c>
      <c r="W254" t="e">
        <f ca="1"/>
        <v>#N/A</v>
      </c>
      <c r="X254" t="e">
        <f ca="1"/>
        <v>#N/A</v>
      </c>
      <c r="Y254" t="e">
        <f ca="1"/>
        <v>#N/A</v>
      </c>
      <c r="Z254" t="e">
        <f ca="1"/>
        <v>#N/A</v>
      </c>
      <c r="AA254" t="e">
        <f ca="1"/>
        <v>#N/A</v>
      </c>
      <c r="AB254" t="e">
        <f ca="1"/>
        <v>#N/A</v>
      </c>
      <c r="AD254" s="2">
        <f t="shared" ca="1" si="32"/>
        <v>0</v>
      </c>
      <c r="AE254">
        <f t="shared" ca="1" si="33"/>
        <v>0</v>
      </c>
      <c r="AG254" s="63" t="e">
        <f t="shared" ca="1" si="37"/>
        <v>#N/A</v>
      </c>
      <c r="AH254" s="63" t="e">
        <f t="shared" ca="1" si="38"/>
        <v>#N/A</v>
      </c>
      <c r="AI254" s="3" t="e">
        <f t="shared" ca="1" si="39"/>
        <v>#N/A</v>
      </c>
    </row>
    <row r="255" spans="7:35">
      <c r="G255" s="3">
        <f t="shared" ca="1" si="34"/>
        <v>128</v>
      </c>
      <c r="H255" s="95">
        <f t="shared" ca="1" si="36"/>
        <v>45418</v>
      </c>
      <c r="I255" s="119">
        <f ca="1">HLOOKUP($H$5,'Met Data'!$A$2:$F$368,G255,FALSE)</f>
        <v>13.8403225806451</v>
      </c>
      <c r="J255" s="119">
        <f ca="1">HLOOKUP($H$5,'Met Data'!$H$2:$M$368,G255,FALSE)*L255</f>
        <v>1.8387096774193501</v>
      </c>
      <c r="K255" s="96">
        <f ca="1">HLOOKUP($H$5,'Met Data'!$O$2:$T$368,G255,FALSE)</f>
        <v>1.87782016455675</v>
      </c>
      <c r="L255">
        <f t="shared" ca="1" si="30"/>
        <v>1</v>
      </c>
      <c r="N255" t="e">
        <f t="shared" ca="1" si="35"/>
        <v>#N/A</v>
      </c>
      <c r="O255" t="e">
        <f t="shared" ca="1" si="31"/>
        <v>#N/A</v>
      </c>
      <c r="P255" s="2" t="e">
        <f ca="1"/>
        <v>#N/A</v>
      </c>
      <c r="Q255" t="e">
        <f ca="1"/>
        <v>#N/A</v>
      </c>
      <c r="R255" t="e">
        <f ca="1"/>
        <v>#N/A</v>
      </c>
      <c r="S255" t="e">
        <f ca="1"/>
        <v>#N/A</v>
      </c>
      <c r="T255" t="e">
        <f ca="1"/>
        <v>#N/A</v>
      </c>
      <c r="U255" t="e">
        <f ca="1"/>
        <v>#N/A</v>
      </c>
      <c r="V255" t="e">
        <f ca="1"/>
        <v>#N/A</v>
      </c>
      <c r="W255" t="e">
        <f ca="1"/>
        <v>#N/A</v>
      </c>
      <c r="X255" t="e">
        <f ca="1"/>
        <v>#N/A</v>
      </c>
      <c r="Y255" t="e">
        <f ca="1"/>
        <v>#N/A</v>
      </c>
      <c r="Z255" t="e">
        <f ca="1"/>
        <v>#N/A</v>
      </c>
      <c r="AA255" t="e">
        <f ca="1"/>
        <v>#N/A</v>
      </c>
      <c r="AB255" t="e">
        <f ca="1"/>
        <v>#N/A</v>
      </c>
      <c r="AD255" s="2">
        <f t="shared" ca="1" si="32"/>
        <v>0</v>
      </c>
      <c r="AE255">
        <f t="shared" ca="1" si="33"/>
        <v>0</v>
      </c>
      <c r="AG255" s="63" t="e">
        <f t="shared" ca="1" si="37"/>
        <v>#N/A</v>
      </c>
      <c r="AH255" s="63" t="e">
        <f t="shared" ca="1" si="38"/>
        <v>#N/A</v>
      </c>
      <c r="AI255" s="3" t="e">
        <f t="shared" ca="1" si="39"/>
        <v>#N/A</v>
      </c>
    </row>
    <row r="256" spans="7:35">
      <c r="G256" s="3">
        <f t="shared" ca="1" si="34"/>
        <v>129</v>
      </c>
      <c r="H256" s="95">
        <f t="shared" ca="1" si="36"/>
        <v>45419</v>
      </c>
      <c r="I256" s="119">
        <f ca="1">HLOOKUP($H$5,'Met Data'!$A$2:$F$368,G256,FALSE)</f>
        <v>13.5774193548387</v>
      </c>
      <c r="J256" s="119">
        <f ca="1">HLOOKUP($H$5,'Met Data'!$H$2:$M$368,G256,FALSE)*L256</f>
        <v>3.4064516129032198</v>
      </c>
      <c r="K256" s="96">
        <f ca="1">HLOOKUP($H$5,'Met Data'!$O$2:$T$368,G256,FALSE)</f>
        <v>1.84976774954056</v>
      </c>
      <c r="L256">
        <f t="shared" ca="1" si="30"/>
        <v>1</v>
      </c>
      <c r="N256" t="e">
        <f t="shared" ca="1" si="35"/>
        <v>#N/A</v>
      </c>
      <c r="O256" t="e">
        <f t="shared" ca="1" si="31"/>
        <v>#N/A</v>
      </c>
      <c r="P256" s="2" t="e">
        <f ca="1"/>
        <v>#N/A</v>
      </c>
      <c r="Q256" t="e">
        <f ca="1"/>
        <v>#N/A</v>
      </c>
      <c r="R256" t="e">
        <f ca="1"/>
        <v>#N/A</v>
      </c>
      <c r="S256" t="e">
        <f ca="1"/>
        <v>#N/A</v>
      </c>
      <c r="T256" t="e">
        <f ca="1"/>
        <v>#N/A</v>
      </c>
      <c r="U256" t="e">
        <f ca="1"/>
        <v>#N/A</v>
      </c>
      <c r="V256" t="e">
        <f ca="1"/>
        <v>#N/A</v>
      </c>
      <c r="W256" t="e">
        <f ca="1"/>
        <v>#N/A</v>
      </c>
      <c r="X256" t="e">
        <f ca="1"/>
        <v>#N/A</v>
      </c>
      <c r="Y256" t="e">
        <f ca="1"/>
        <v>#N/A</v>
      </c>
      <c r="Z256" t="e">
        <f ca="1"/>
        <v>#N/A</v>
      </c>
      <c r="AA256" t="e">
        <f ca="1"/>
        <v>#N/A</v>
      </c>
      <c r="AB256" t="e">
        <f ca="1"/>
        <v>#N/A</v>
      </c>
      <c r="AD256" s="2">
        <f t="shared" ca="1" si="32"/>
        <v>0</v>
      </c>
      <c r="AE256">
        <f t="shared" ca="1" si="33"/>
        <v>0</v>
      </c>
      <c r="AG256" s="63" t="e">
        <f t="shared" ca="1" si="37"/>
        <v>#N/A</v>
      </c>
      <c r="AH256" s="63" t="e">
        <f t="shared" ca="1" si="38"/>
        <v>#N/A</v>
      </c>
      <c r="AI256" s="3" t="e">
        <f t="shared" ca="1" si="39"/>
        <v>#N/A</v>
      </c>
    </row>
    <row r="257" spans="7:35">
      <c r="G257" s="3">
        <f t="shared" ca="1" si="34"/>
        <v>130</v>
      </c>
      <c r="H257" s="95">
        <f t="shared" ca="1" si="36"/>
        <v>45420</v>
      </c>
      <c r="I257" s="119">
        <f ca="1">HLOOKUP($H$5,'Met Data'!$A$2:$F$368,G257,FALSE)</f>
        <v>13.1612903225806</v>
      </c>
      <c r="J257" s="119">
        <f ca="1">HLOOKUP($H$5,'Met Data'!$H$2:$M$368,G257,FALSE)*L257</f>
        <v>2.3258064516129</v>
      </c>
      <c r="K257" s="96">
        <f ca="1">HLOOKUP($H$5,'Met Data'!$O$2:$T$368,G257,FALSE)</f>
        <v>1.7318330822852801</v>
      </c>
      <c r="L257">
        <f t="shared" ca="1" si="30"/>
        <v>1</v>
      </c>
      <c r="N257" t="e">
        <f t="shared" ca="1" si="35"/>
        <v>#N/A</v>
      </c>
      <c r="O257" t="e">
        <f t="shared" ca="1" si="31"/>
        <v>#N/A</v>
      </c>
      <c r="P257" s="2" t="e">
        <f ca="1"/>
        <v>#N/A</v>
      </c>
      <c r="Q257" t="e">
        <f ca="1"/>
        <v>#N/A</v>
      </c>
      <c r="R257" t="e">
        <f ca="1"/>
        <v>#N/A</v>
      </c>
      <c r="S257" t="e">
        <f ca="1"/>
        <v>#N/A</v>
      </c>
      <c r="T257" t="e">
        <f ca="1"/>
        <v>#N/A</v>
      </c>
      <c r="U257" t="e">
        <f ca="1"/>
        <v>#N/A</v>
      </c>
      <c r="V257" t="e">
        <f ca="1"/>
        <v>#N/A</v>
      </c>
      <c r="W257" t="e">
        <f ca="1"/>
        <v>#N/A</v>
      </c>
      <c r="X257" t="e">
        <f ca="1"/>
        <v>#N/A</v>
      </c>
      <c r="Y257" t="e">
        <f ca="1"/>
        <v>#N/A</v>
      </c>
      <c r="Z257" t="e">
        <f ca="1"/>
        <v>#N/A</v>
      </c>
      <c r="AA257" t="e">
        <f ca="1"/>
        <v>#N/A</v>
      </c>
      <c r="AB257" t="e">
        <f ca="1"/>
        <v>#N/A</v>
      </c>
      <c r="AD257" s="2">
        <f t="shared" ca="1" si="32"/>
        <v>0</v>
      </c>
      <c r="AE257">
        <f t="shared" ca="1" si="33"/>
        <v>0</v>
      </c>
      <c r="AG257" s="63" t="e">
        <f t="shared" ca="1" si="37"/>
        <v>#N/A</v>
      </c>
      <c r="AH257" s="63" t="e">
        <f t="shared" ca="1" si="38"/>
        <v>#N/A</v>
      </c>
      <c r="AI257" s="3" t="e">
        <f t="shared" ca="1" si="39"/>
        <v>#N/A</v>
      </c>
    </row>
    <row r="258" spans="7:35">
      <c r="G258" s="3">
        <f t="shared" ca="1" si="34"/>
        <v>131</v>
      </c>
      <c r="H258" s="95">
        <f t="shared" ca="1" si="36"/>
        <v>45421</v>
      </c>
      <c r="I258" s="119">
        <f ca="1">HLOOKUP($H$5,'Met Data'!$A$2:$F$368,G258,FALSE)</f>
        <v>13.291935483870899</v>
      </c>
      <c r="J258" s="119">
        <f ca="1">HLOOKUP($H$5,'Met Data'!$H$2:$M$368,G258,FALSE)*L258</f>
        <v>3.1733333333333298</v>
      </c>
      <c r="K258" s="96">
        <f ca="1">HLOOKUP($H$5,'Met Data'!$O$2:$T$368,G258,FALSE)</f>
        <v>1.6655372035048599</v>
      </c>
      <c r="L258">
        <f t="shared" ca="1" si="30"/>
        <v>1</v>
      </c>
      <c r="N258" t="e">
        <f t="shared" ca="1" si="35"/>
        <v>#N/A</v>
      </c>
      <c r="O258" t="e">
        <f t="shared" ca="1" si="31"/>
        <v>#N/A</v>
      </c>
      <c r="P258" s="2" t="e">
        <f ca="1"/>
        <v>#N/A</v>
      </c>
      <c r="Q258" t="e">
        <f ca="1"/>
        <v>#N/A</v>
      </c>
      <c r="R258" t="e">
        <f ca="1"/>
        <v>#N/A</v>
      </c>
      <c r="S258" t="e">
        <f ca="1"/>
        <v>#N/A</v>
      </c>
      <c r="T258" t="e">
        <f ca="1"/>
        <v>#N/A</v>
      </c>
      <c r="U258" t="e">
        <f ca="1"/>
        <v>#N/A</v>
      </c>
      <c r="V258" t="e">
        <f ca="1"/>
        <v>#N/A</v>
      </c>
      <c r="W258" t="e">
        <f ca="1"/>
        <v>#N/A</v>
      </c>
      <c r="X258" t="e">
        <f ca="1"/>
        <v>#N/A</v>
      </c>
      <c r="Y258" t="e">
        <f ca="1"/>
        <v>#N/A</v>
      </c>
      <c r="Z258" t="e">
        <f ca="1"/>
        <v>#N/A</v>
      </c>
      <c r="AA258" t="e">
        <f ca="1"/>
        <v>#N/A</v>
      </c>
      <c r="AB258" t="e">
        <f ca="1"/>
        <v>#N/A</v>
      </c>
      <c r="AD258" s="2">
        <f t="shared" ca="1" si="32"/>
        <v>0</v>
      </c>
      <c r="AE258">
        <f t="shared" ca="1" si="33"/>
        <v>0</v>
      </c>
      <c r="AG258" s="63" t="e">
        <f t="shared" ca="1" si="37"/>
        <v>#N/A</v>
      </c>
      <c r="AH258" s="63" t="e">
        <f t="shared" ca="1" si="38"/>
        <v>#N/A</v>
      </c>
      <c r="AI258" s="3" t="e">
        <f t="shared" ca="1" si="39"/>
        <v>#N/A</v>
      </c>
    </row>
    <row r="259" spans="7:35">
      <c r="G259" s="3">
        <f t="shared" ca="1" si="34"/>
        <v>132</v>
      </c>
      <c r="H259" s="95">
        <f t="shared" ca="1" si="36"/>
        <v>45422</v>
      </c>
      <c r="I259" s="119">
        <f ca="1">HLOOKUP($H$5,'Met Data'!$A$2:$F$368,G259,FALSE)</f>
        <v>13.5774193548387</v>
      </c>
      <c r="J259" s="119">
        <f ca="1">HLOOKUP($H$5,'Met Data'!$H$2:$M$368,G259,FALSE)*L259</f>
        <v>2.4225806451612901</v>
      </c>
      <c r="K259" s="96">
        <f ca="1">HLOOKUP($H$5,'Met Data'!$O$2:$T$368,G259,FALSE)</f>
        <v>1.82340706114468</v>
      </c>
      <c r="L259">
        <f t="shared" ca="1" si="30"/>
        <v>1</v>
      </c>
      <c r="N259" t="e">
        <f t="shared" ca="1" si="35"/>
        <v>#N/A</v>
      </c>
      <c r="O259" t="e">
        <f t="shared" ca="1" si="31"/>
        <v>#N/A</v>
      </c>
      <c r="P259" s="2" t="e">
        <f ca="1"/>
        <v>#N/A</v>
      </c>
      <c r="Q259" t="e">
        <f ca="1"/>
        <v>#N/A</v>
      </c>
      <c r="R259" t="e">
        <f ca="1"/>
        <v>#N/A</v>
      </c>
      <c r="S259" t="e">
        <f ca="1"/>
        <v>#N/A</v>
      </c>
      <c r="T259" t="e">
        <f ca="1"/>
        <v>#N/A</v>
      </c>
      <c r="U259" t="e">
        <f ca="1"/>
        <v>#N/A</v>
      </c>
      <c r="V259" t="e">
        <f ca="1"/>
        <v>#N/A</v>
      </c>
      <c r="W259" t="e">
        <f ca="1"/>
        <v>#N/A</v>
      </c>
      <c r="X259" t="e">
        <f ca="1"/>
        <v>#N/A</v>
      </c>
      <c r="Y259" t="e">
        <f ca="1"/>
        <v>#N/A</v>
      </c>
      <c r="Z259" t="e">
        <f ca="1"/>
        <v>#N/A</v>
      </c>
      <c r="AA259" t="e">
        <f ca="1"/>
        <v>#N/A</v>
      </c>
      <c r="AB259" t="e">
        <f ca="1"/>
        <v>#N/A</v>
      </c>
      <c r="AD259" s="2">
        <f t="shared" ca="1" si="32"/>
        <v>0</v>
      </c>
      <c r="AE259">
        <f t="shared" ca="1" si="33"/>
        <v>0</v>
      </c>
      <c r="AG259" s="63" t="e">
        <f t="shared" ca="1" si="37"/>
        <v>#N/A</v>
      </c>
      <c r="AH259" s="63" t="e">
        <f t="shared" ca="1" si="38"/>
        <v>#N/A</v>
      </c>
      <c r="AI259" s="3" t="e">
        <f t="shared" ca="1" si="39"/>
        <v>#N/A</v>
      </c>
    </row>
    <row r="260" spans="7:35">
      <c r="G260" s="3">
        <f t="shared" ca="1" si="34"/>
        <v>133</v>
      </c>
      <c r="H260" s="95">
        <f t="shared" ca="1" si="36"/>
        <v>45423</v>
      </c>
      <c r="I260" s="119">
        <f ca="1">HLOOKUP($H$5,'Met Data'!$A$2:$F$368,G260,FALSE)</f>
        <v>13.898387096774099</v>
      </c>
      <c r="J260" s="119">
        <f ca="1">HLOOKUP($H$5,'Met Data'!$H$2:$M$368,G260,FALSE)*L260</f>
        <v>3.56129032258064</v>
      </c>
      <c r="K260" s="96">
        <f ca="1">HLOOKUP($H$5,'Met Data'!$O$2:$T$368,G260,FALSE)</f>
        <v>1.58246048642455</v>
      </c>
      <c r="L260">
        <f t="shared" ca="1" si="30"/>
        <v>1</v>
      </c>
      <c r="N260" t="e">
        <f t="shared" ca="1" si="35"/>
        <v>#N/A</v>
      </c>
      <c r="O260" t="e">
        <f t="shared" ca="1" si="31"/>
        <v>#N/A</v>
      </c>
      <c r="P260" s="2" t="e">
        <f ca="1"/>
        <v>#N/A</v>
      </c>
      <c r="Q260" t="e">
        <f ca="1"/>
        <v>#N/A</v>
      </c>
      <c r="R260" t="e">
        <f ca="1"/>
        <v>#N/A</v>
      </c>
      <c r="S260" t="e">
        <f ca="1"/>
        <v>#N/A</v>
      </c>
      <c r="T260" t="e">
        <f ca="1"/>
        <v>#N/A</v>
      </c>
      <c r="U260" t="e">
        <f ca="1"/>
        <v>#N/A</v>
      </c>
      <c r="V260" t="e">
        <f ca="1"/>
        <v>#N/A</v>
      </c>
      <c r="W260" t="e">
        <f ca="1"/>
        <v>#N/A</v>
      </c>
      <c r="X260" t="e">
        <f ca="1"/>
        <v>#N/A</v>
      </c>
      <c r="Y260" t="e">
        <f ca="1"/>
        <v>#N/A</v>
      </c>
      <c r="Z260" t="e">
        <f ca="1"/>
        <v>#N/A</v>
      </c>
      <c r="AA260" t="e">
        <f ca="1"/>
        <v>#N/A</v>
      </c>
      <c r="AB260" t="e">
        <f ca="1"/>
        <v>#N/A</v>
      </c>
      <c r="AD260" s="2">
        <f t="shared" ca="1" si="32"/>
        <v>0</v>
      </c>
      <c r="AE260">
        <f t="shared" ca="1" si="33"/>
        <v>0</v>
      </c>
      <c r="AG260" s="63" t="e">
        <f t="shared" ca="1" si="37"/>
        <v>#N/A</v>
      </c>
      <c r="AH260" s="63" t="e">
        <f t="shared" ca="1" si="38"/>
        <v>#N/A</v>
      </c>
      <c r="AI260" s="3" t="e">
        <f t="shared" ca="1" si="39"/>
        <v>#N/A</v>
      </c>
    </row>
    <row r="261" spans="7:35">
      <c r="G261" s="3">
        <f t="shared" ca="1" si="34"/>
        <v>134</v>
      </c>
      <c r="H261" s="95">
        <f t="shared" ca="1" si="36"/>
        <v>45424</v>
      </c>
      <c r="I261" s="119">
        <f ca="1">HLOOKUP($H$5,'Met Data'!$A$2:$F$368,G261,FALSE)</f>
        <v>13.8193548387096</v>
      </c>
      <c r="J261" s="119">
        <f ca="1">HLOOKUP($H$5,'Met Data'!$H$2:$M$368,G261,FALSE)*L261</f>
        <v>3.2677419354838699</v>
      </c>
      <c r="K261" s="96">
        <f ca="1">HLOOKUP($H$5,'Met Data'!$O$2:$T$368,G261,FALSE)</f>
        <v>1.6419912913333301</v>
      </c>
      <c r="L261">
        <f t="shared" ca="1" si="30"/>
        <v>1</v>
      </c>
      <c r="N261" t="e">
        <f t="shared" ca="1" si="35"/>
        <v>#N/A</v>
      </c>
      <c r="O261" t="e">
        <f t="shared" ca="1" si="31"/>
        <v>#N/A</v>
      </c>
      <c r="P261" s="2" t="e">
        <f ca="1"/>
        <v>#N/A</v>
      </c>
      <c r="Q261" t="e">
        <f ca="1"/>
        <v>#N/A</v>
      </c>
      <c r="R261" t="e">
        <f ca="1"/>
        <v>#N/A</v>
      </c>
      <c r="S261" t="e">
        <f ca="1"/>
        <v>#N/A</v>
      </c>
      <c r="T261" t="e">
        <f ca="1"/>
        <v>#N/A</v>
      </c>
      <c r="U261" t="e">
        <f ca="1"/>
        <v>#N/A</v>
      </c>
      <c r="V261" t="e">
        <f ca="1"/>
        <v>#N/A</v>
      </c>
      <c r="W261" t="e">
        <f ca="1"/>
        <v>#N/A</v>
      </c>
      <c r="X261" t="e">
        <f ca="1"/>
        <v>#N/A</v>
      </c>
      <c r="Y261" t="e">
        <f ca="1"/>
        <v>#N/A</v>
      </c>
      <c r="Z261" t="e">
        <f ca="1"/>
        <v>#N/A</v>
      </c>
      <c r="AA261" t="e">
        <f ca="1"/>
        <v>#N/A</v>
      </c>
      <c r="AB261" t="e">
        <f ca="1"/>
        <v>#N/A</v>
      </c>
      <c r="AD261" s="2">
        <f t="shared" ca="1" si="32"/>
        <v>0</v>
      </c>
      <c r="AE261">
        <f t="shared" ca="1" si="33"/>
        <v>0</v>
      </c>
      <c r="AG261" s="63" t="e">
        <f t="shared" ca="1" si="37"/>
        <v>#N/A</v>
      </c>
      <c r="AH261" s="63" t="e">
        <f t="shared" ca="1" si="38"/>
        <v>#N/A</v>
      </c>
      <c r="AI261" s="3" t="e">
        <f t="shared" ca="1" si="39"/>
        <v>#N/A</v>
      </c>
    </row>
    <row r="262" spans="7:35">
      <c r="G262" s="3">
        <f t="shared" ca="1" si="34"/>
        <v>135</v>
      </c>
      <c r="H262" s="95">
        <f t="shared" ca="1" si="36"/>
        <v>45425</v>
      </c>
      <c r="I262" s="119">
        <f ca="1">HLOOKUP($H$5,'Met Data'!$A$2:$F$368,G262,FALSE)</f>
        <v>13.49</v>
      </c>
      <c r="J262" s="119">
        <f ca="1">HLOOKUP($H$5,'Met Data'!$H$2:$M$368,G262,FALSE)*L262</f>
        <v>2.96129032258064</v>
      </c>
      <c r="K262" s="96">
        <f ca="1">HLOOKUP($H$5,'Met Data'!$O$2:$T$368,G262,FALSE)</f>
        <v>1.7493116405284199</v>
      </c>
      <c r="L262">
        <f t="shared" ca="1" si="30"/>
        <v>1</v>
      </c>
      <c r="N262" t="e">
        <f t="shared" ca="1" si="35"/>
        <v>#N/A</v>
      </c>
      <c r="O262" t="e">
        <f t="shared" ca="1" si="31"/>
        <v>#N/A</v>
      </c>
      <c r="P262" s="2" t="e">
        <f ca="1"/>
        <v>#N/A</v>
      </c>
      <c r="Q262" t="e">
        <f ca="1"/>
        <v>#N/A</v>
      </c>
      <c r="R262" t="e">
        <f ca="1"/>
        <v>#N/A</v>
      </c>
      <c r="S262" t="e">
        <f ca="1"/>
        <v>#N/A</v>
      </c>
      <c r="T262" t="e">
        <f ca="1"/>
        <v>#N/A</v>
      </c>
      <c r="U262" t="e">
        <f ca="1"/>
        <v>#N/A</v>
      </c>
      <c r="V262" t="e">
        <f ca="1"/>
        <v>#N/A</v>
      </c>
      <c r="W262" t="e">
        <f ca="1"/>
        <v>#N/A</v>
      </c>
      <c r="X262" t="e">
        <f ca="1"/>
        <v>#N/A</v>
      </c>
      <c r="Y262" t="e">
        <f ca="1"/>
        <v>#N/A</v>
      </c>
      <c r="Z262" t="e">
        <f ca="1"/>
        <v>#N/A</v>
      </c>
      <c r="AA262" t="e">
        <f ca="1"/>
        <v>#N/A</v>
      </c>
      <c r="AB262" t="e">
        <f ca="1"/>
        <v>#N/A</v>
      </c>
      <c r="AD262" s="2">
        <f t="shared" ca="1" si="32"/>
        <v>0</v>
      </c>
      <c r="AE262">
        <f t="shared" ca="1" si="33"/>
        <v>0</v>
      </c>
      <c r="AG262" s="63" t="e">
        <f t="shared" ca="1" si="37"/>
        <v>#N/A</v>
      </c>
      <c r="AH262" s="63" t="e">
        <f t="shared" ca="1" si="38"/>
        <v>#N/A</v>
      </c>
      <c r="AI262" s="3" t="e">
        <f t="shared" ca="1" si="39"/>
        <v>#N/A</v>
      </c>
    </row>
    <row r="263" spans="7:35">
      <c r="G263" s="3">
        <f t="shared" ca="1" si="34"/>
        <v>136</v>
      </c>
      <c r="H263" s="95">
        <f t="shared" ca="1" si="36"/>
        <v>45426</v>
      </c>
      <c r="I263" s="119">
        <f ca="1">HLOOKUP($H$5,'Met Data'!$A$2:$F$368,G263,FALSE)</f>
        <v>13.408064516129</v>
      </c>
      <c r="J263" s="119">
        <f ca="1">HLOOKUP($H$5,'Met Data'!$H$2:$M$368,G263,FALSE)*L263</f>
        <v>3.9032258064516099</v>
      </c>
      <c r="K263" s="96">
        <f ca="1">HLOOKUP($H$5,'Met Data'!$O$2:$T$368,G263,FALSE)</f>
        <v>1.5662445189592999</v>
      </c>
      <c r="L263">
        <f t="shared" ref="L263:L326" ca="1" si="40">IF(H263&lt;$B$32,$J$4,$J$5)</f>
        <v>1</v>
      </c>
      <c r="N263" t="e">
        <f t="shared" ca="1" si="35"/>
        <v>#N/A</v>
      </c>
      <c r="O263" t="e">
        <f t="shared" ref="O263:O326" ca="1" si="41">AND(IF(P263&gt;($P$3-1),TRUE,FALSE),IF(P263&lt;($P$4+1),TRUE,FALSE))</f>
        <v>#N/A</v>
      </c>
      <c r="P263" s="2" t="e">
        <f ca="1"/>
        <v>#N/A</v>
      </c>
      <c r="Q263" t="e">
        <f ca="1"/>
        <v>#N/A</v>
      </c>
      <c r="R263" t="e">
        <f ca="1"/>
        <v>#N/A</v>
      </c>
      <c r="S263" t="e">
        <f ca="1"/>
        <v>#N/A</v>
      </c>
      <c r="T263" t="e">
        <f ca="1"/>
        <v>#N/A</v>
      </c>
      <c r="U263" t="e">
        <f ca="1"/>
        <v>#N/A</v>
      </c>
      <c r="V263" t="e">
        <f ca="1"/>
        <v>#N/A</v>
      </c>
      <c r="W263" t="e">
        <f ca="1"/>
        <v>#N/A</v>
      </c>
      <c r="X263" t="e">
        <f ca="1"/>
        <v>#N/A</v>
      </c>
      <c r="Y263" t="e">
        <f ca="1"/>
        <v>#N/A</v>
      </c>
      <c r="Z263" t="e">
        <f ca="1"/>
        <v>#N/A</v>
      </c>
      <c r="AA263" t="e">
        <f ca="1"/>
        <v>#N/A</v>
      </c>
      <c r="AB263" t="e">
        <f ca="1"/>
        <v>#N/A</v>
      </c>
      <c r="AD263" s="2">
        <f t="shared" ref="AD263:AD326" ca="1" si="42">IFERROR(P263,$AD$5)</f>
        <v>0</v>
      </c>
      <c r="AE263">
        <f t="shared" ref="AE263:AE326" ca="1" si="43">IFERROR(U263,0)</f>
        <v>0</v>
      </c>
      <c r="AG263" s="63" t="e">
        <f t="shared" ca="1" si="37"/>
        <v>#N/A</v>
      </c>
      <c r="AH263" s="63" t="e">
        <f t="shared" ca="1" si="38"/>
        <v>#N/A</v>
      </c>
      <c r="AI263" s="3" t="e">
        <f t="shared" ca="1" si="39"/>
        <v>#N/A</v>
      </c>
    </row>
    <row r="264" spans="7:35">
      <c r="G264" s="3">
        <f t="shared" ref="G264:G327" ca="1" si="44">H264-DATE(YEAR(H264),1,0)+1</f>
        <v>137</v>
      </c>
      <c r="H264" s="95">
        <f t="shared" ca="1" si="36"/>
        <v>45427</v>
      </c>
      <c r="I264" s="119">
        <f ca="1">HLOOKUP($H$5,'Met Data'!$A$2:$F$368,G264,FALSE)</f>
        <v>13.4193548387096</v>
      </c>
      <c r="J264" s="119">
        <f ca="1">HLOOKUP($H$5,'Met Data'!$H$2:$M$368,G264,FALSE)*L264</f>
        <v>4.1322580645161198</v>
      </c>
      <c r="K264" s="96">
        <f ca="1">HLOOKUP($H$5,'Met Data'!$O$2:$T$368,G264,FALSE)</f>
        <v>1.7909891224832299</v>
      </c>
      <c r="L264">
        <f t="shared" ca="1" si="40"/>
        <v>1</v>
      </c>
      <c r="N264" t="e">
        <f t="shared" ref="N264:N327" ca="1" si="45">IF(P264&lt;$P$4,TRUE,FALSE)</f>
        <v>#N/A</v>
      </c>
      <c r="O264" t="e">
        <f t="shared" ca="1" si="41"/>
        <v>#N/A</v>
      </c>
      <c r="P264" s="2" t="e">
        <f ca="1"/>
        <v>#N/A</v>
      </c>
      <c r="Q264" t="e">
        <f ca="1"/>
        <v>#N/A</v>
      </c>
      <c r="R264" t="e">
        <f ca="1"/>
        <v>#N/A</v>
      </c>
      <c r="S264" t="e">
        <f ca="1"/>
        <v>#N/A</v>
      </c>
      <c r="T264" t="e">
        <f ca="1"/>
        <v>#N/A</v>
      </c>
      <c r="U264" t="e">
        <f ca="1"/>
        <v>#N/A</v>
      </c>
      <c r="V264" t="e">
        <f ca="1"/>
        <v>#N/A</v>
      </c>
      <c r="W264" t="e">
        <f ca="1"/>
        <v>#N/A</v>
      </c>
      <c r="X264" t="e">
        <f ca="1"/>
        <v>#N/A</v>
      </c>
      <c r="Y264" t="e">
        <f ca="1"/>
        <v>#N/A</v>
      </c>
      <c r="Z264" t="e">
        <f ca="1"/>
        <v>#N/A</v>
      </c>
      <c r="AA264" t="e">
        <f ca="1"/>
        <v>#N/A</v>
      </c>
      <c r="AB264" t="e">
        <f ca="1"/>
        <v>#N/A</v>
      </c>
      <c r="AD264" s="2">
        <f t="shared" ca="1" si="42"/>
        <v>0</v>
      </c>
      <c r="AE264">
        <f t="shared" ca="1" si="43"/>
        <v>0</v>
      </c>
      <c r="AG264" s="63" t="e">
        <f t="shared" ca="1" si="37"/>
        <v>#N/A</v>
      </c>
      <c r="AH264" s="63" t="e">
        <f t="shared" ca="1" si="38"/>
        <v>#N/A</v>
      </c>
      <c r="AI264" s="3" t="e">
        <f t="shared" ca="1" si="39"/>
        <v>#N/A</v>
      </c>
    </row>
    <row r="265" spans="7:35">
      <c r="G265" s="3">
        <f t="shared" ca="1" si="44"/>
        <v>138</v>
      </c>
      <c r="H265" s="95">
        <f t="shared" ref="H265:H328" ca="1" si="46">H264+1</f>
        <v>45428</v>
      </c>
      <c r="I265" s="119">
        <f ca="1">HLOOKUP($H$5,'Met Data'!$A$2:$F$368,G265,FALSE)</f>
        <v>13.0177419354838</v>
      </c>
      <c r="J265" s="119">
        <f ca="1">HLOOKUP($H$5,'Met Data'!$H$2:$M$368,G265,FALSE)*L265</f>
        <v>3.8645161290322498</v>
      </c>
      <c r="K265" s="96">
        <f ca="1">HLOOKUP($H$5,'Met Data'!$O$2:$T$368,G265,FALSE)</f>
        <v>1.67932593217038</v>
      </c>
      <c r="L265">
        <f t="shared" ca="1" si="40"/>
        <v>1</v>
      </c>
      <c r="N265" t="e">
        <f t="shared" ca="1" si="45"/>
        <v>#N/A</v>
      </c>
      <c r="O265" t="e">
        <f t="shared" ca="1" si="41"/>
        <v>#N/A</v>
      </c>
      <c r="P265" s="2" t="e">
        <f ca="1"/>
        <v>#N/A</v>
      </c>
      <c r="Q265" t="e">
        <f ca="1"/>
        <v>#N/A</v>
      </c>
      <c r="R265" t="e">
        <f ca="1"/>
        <v>#N/A</v>
      </c>
      <c r="S265" t="e">
        <f ca="1"/>
        <v>#N/A</v>
      </c>
      <c r="T265" t="e">
        <f ca="1"/>
        <v>#N/A</v>
      </c>
      <c r="U265" t="e">
        <f ca="1"/>
        <v>#N/A</v>
      </c>
      <c r="V265" t="e">
        <f ca="1"/>
        <v>#N/A</v>
      </c>
      <c r="W265" t="e">
        <f ca="1"/>
        <v>#N/A</v>
      </c>
      <c r="X265" t="e">
        <f ca="1"/>
        <v>#N/A</v>
      </c>
      <c r="Y265" t="e">
        <f ca="1"/>
        <v>#N/A</v>
      </c>
      <c r="Z265" t="e">
        <f ca="1"/>
        <v>#N/A</v>
      </c>
      <c r="AA265" t="e">
        <f ca="1"/>
        <v>#N/A</v>
      </c>
      <c r="AB265" t="e">
        <f ca="1"/>
        <v>#N/A</v>
      </c>
      <c r="AD265" s="2">
        <f t="shared" ca="1" si="42"/>
        <v>0</v>
      </c>
      <c r="AE265">
        <f t="shared" ca="1" si="43"/>
        <v>0</v>
      </c>
      <c r="AG265" s="63" t="e">
        <f t="shared" ca="1" si="37"/>
        <v>#N/A</v>
      </c>
      <c r="AH265" s="63" t="e">
        <f t="shared" ca="1" si="38"/>
        <v>#N/A</v>
      </c>
      <c r="AI265" s="3" t="e">
        <f t="shared" ca="1" si="39"/>
        <v>#N/A</v>
      </c>
    </row>
    <row r="266" spans="7:35">
      <c r="G266" s="3">
        <f t="shared" ca="1" si="44"/>
        <v>139</v>
      </c>
      <c r="H266" s="95">
        <f t="shared" ca="1" si="46"/>
        <v>45429</v>
      </c>
      <c r="I266" s="119">
        <f ca="1">HLOOKUP($H$5,'Met Data'!$A$2:$F$368,G266,FALSE)</f>
        <v>12.8774193548387</v>
      </c>
      <c r="J266" s="119">
        <f ca="1">HLOOKUP($H$5,'Met Data'!$H$2:$M$368,G266,FALSE)*L266</f>
        <v>3.7967741935483801</v>
      </c>
      <c r="K266" s="96">
        <f ca="1">HLOOKUP($H$5,'Met Data'!$O$2:$T$368,G266,FALSE)</f>
        <v>1.7647102566828801</v>
      </c>
      <c r="L266">
        <f t="shared" ca="1" si="40"/>
        <v>1</v>
      </c>
      <c r="N266" t="e">
        <f t="shared" ca="1" si="45"/>
        <v>#N/A</v>
      </c>
      <c r="O266" t="e">
        <f t="shared" ca="1" si="41"/>
        <v>#N/A</v>
      </c>
      <c r="P266" s="2" t="e">
        <f ca="1"/>
        <v>#N/A</v>
      </c>
      <c r="Q266" t="e">
        <f ca="1"/>
        <v>#N/A</v>
      </c>
      <c r="R266" t="e">
        <f ca="1"/>
        <v>#N/A</v>
      </c>
      <c r="S266" t="e">
        <f ca="1"/>
        <v>#N/A</v>
      </c>
      <c r="T266" t="e">
        <f ca="1"/>
        <v>#N/A</v>
      </c>
      <c r="U266" t="e">
        <f ca="1"/>
        <v>#N/A</v>
      </c>
      <c r="V266" t="e">
        <f ca="1"/>
        <v>#N/A</v>
      </c>
      <c r="W266" t="e">
        <f ca="1"/>
        <v>#N/A</v>
      </c>
      <c r="X266" t="e">
        <f ca="1"/>
        <v>#N/A</v>
      </c>
      <c r="Y266" t="e">
        <f ca="1"/>
        <v>#N/A</v>
      </c>
      <c r="Z266" t="e">
        <f ca="1"/>
        <v>#N/A</v>
      </c>
      <c r="AA266" t="e">
        <f ca="1"/>
        <v>#N/A</v>
      </c>
      <c r="AB266" t="e">
        <f ca="1"/>
        <v>#N/A</v>
      </c>
      <c r="AD266" s="2">
        <f t="shared" ca="1" si="42"/>
        <v>0</v>
      </c>
      <c r="AE266">
        <f t="shared" ca="1" si="43"/>
        <v>0</v>
      </c>
      <c r="AG266" s="63" t="e">
        <f t="shared" ca="1" si="37"/>
        <v>#N/A</v>
      </c>
      <c r="AH266" s="63" t="e">
        <f t="shared" ca="1" si="38"/>
        <v>#N/A</v>
      </c>
      <c r="AI266" s="3" t="e">
        <f t="shared" ca="1" si="39"/>
        <v>#N/A</v>
      </c>
    </row>
    <row r="267" spans="7:35">
      <c r="G267" s="3">
        <f t="shared" ca="1" si="44"/>
        <v>140</v>
      </c>
      <c r="H267" s="95">
        <f t="shared" ca="1" si="46"/>
        <v>45430</v>
      </c>
      <c r="I267" s="119">
        <f ca="1">HLOOKUP($H$5,'Met Data'!$A$2:$F$368,G267,FALSE)</f>
        <v>13.3629032258064</v>
      </c>
      <c r="J267" s="119">
        <f ca="1">HLOOKUP($H$5,'Met Data'!$H$2:$M$368,G267,FALSE)*L267</f>
        <v>1.4774193548387</v>
      </c>
      <c r="K267" s="96">
        <f ca="1">HLOOKUP($H$5,'Met Data'!$O$2:$T$368,G267,FALSE)</f>
        <v>1.8502469543140301</v>
      </c>
      <c r="L267">
        <f t="shared" ca="1" si="40"/>
        <v>1</v>
      </c>
      <c r="N267" t="e">
        <f t="shared" ca="1" si="45"/>
        <v>#N/A</v>
      </c>
      <c r="O267" t="e">
        <f t="shared" ca="1" si="41"/>
        <v>#N/A</v>
      </c>
      <c r="P267" s="2" t="e">
        <f ca="1"/>
        <v>#N/A</v>
      </c>
      <c r="Q267" t="e">
        <f ca="1"/>
        <v>#N/A</v>
      </c>
      <c r="R267" t="e">
        <f ca="1"/>
        <v>#N/A</v>
      </c>
      <c r="S267" t="e">
        <f ca="1"/>
        <v>#N/A</v>
      </c>
      <c r="T267" t="e">
        <f ca="1"/>
        <v>#N/A</v>
      </c>
      <c r="U267" t="e">
        <f ca="1"/>
        <v>#N/A</v>
      </c>
      <c r="V267" t="e">
        <f ca="1"/>
        <v>#N/A</v>
      </c>
      <c r="W267" t="e">
        <f ca="1"/>
        <v>#N/A</v>
      </c>
      <c r="X267" t="e">
        <f ca="1"/>
        <v>#N/A</v>
      </c>
      <c r="Y267" t="e">
        <f ca="1"/>
        <v>#N/A</v>
      </c>
      <c r="Z267" t="e">
        <f ca="1"/>
        <v>#N/A</v>
      </c>
      <c r="AA267" t="e">
        <f ca="1"/>
        <v>#N/A</v>
      </c>
      <c r="AB267" t="e">
        <f ca="1"/>
        <v>#N/A</v>
      </c>
      <c r="AD267" s="2">
        <f t="shared" ca="1" si="42"/>
        <v>0</v>
      </c>
      <c r="AE267">
        <f t="shared" ca="1" si="43"/>
        <v>0</v>
      </c>
      <c r="AG267" s="63" t="e">
        <f t="shared" ca="1" si="37"/>
        <v>#N/A</v>
      </c>
      <c r="AH267" s="63" t="e">
        <f t="shared" ca="1" si="38"/>
        <v>#N/A</v>
      </c>
      <c r="AI267" s="3" t="e">
        <f t="shared" ca="1" si="39"/>
        <v>#N/A</v>
      </c>
    </row>
    <row r="268" spans="7:35">
      <c r="G268" s="3">
        <f t="shared" ca="1" si="44"/>
        <v>141</v>
      </c>
      <c r="H268" s="95">
        <f t="shared" ca="1" si="46"/>
        <v>45431</v>
      </c>
      <c r="I268" s="119">
        <f ca="1">HLOOKUP($H$5,'Met Data'!$A$2:$F$368,G268,FALSE)</f>
        <v>13.314516129032199</v>
      </c>
      <c r="J268" s="119">
        <f ca="1">HLOOKUP($H$5,'Met Data'!$H$2:$M$368,G268,FALSE)*L268</f>
        <v>5.2193548387096698</v>
      </c>
      <c r="K268" s="96">
        <f ca="1">HLOOKUP($H$5,'Met Data'!$O$2:$T$368,G268,FALSE)</f>
        <v>1.4599096570605601</v>
      </c>
      <c r="L268">
        <f t="shared" ca="1" si="40"/>
        <v>1</v>
      </c>
      <c r="N268" t="e">
        <f t="shared" ca="1" si="45"/>
        <v>#N/A</v>
      </c>
      <c r="O268" t="e">
        <f t="shared" ca="1" si="41"/>
        <v>#N/A</v>
      </c>
      <c r="P268" s="2" t="e">
        <f ca="1"/>
        <v>#N/A</v>
      </c>
      <c r="Q268" t="e">
        <f ca="1"/>
        <v>#N/A</v>
      </c>
      <c r="R268" t="e">
        <f ca="1"/>
        <v>#N/A</v>
      </c>
      <c r="S268" t="e">
        <f ca="1"/>
        <v>#N/A</v>
      </c>
      <c r="T268" t="e">
        <f ca="1"/>
        <v>#N/A</v>
      </c>
      <c r="U268" t="e">
        <f ca="1"/>
        <v>#N/A</v>
      </c>
      <c r="V268" t="e">
        <f ca="1"/>
        <v>#N/A</v>
      </c>
      <c r="W268" t="e">
        <f ca="1"/>
        <v>#N/A</v>
      </c>
      <c r="X268" t="e">
        <f ca="1"/>
        <v>#N/A</v>
      </c>
      <c r="Y268" t="e">
        <f ca="1"/>
        <v>#N/A</v>
      </c>
      <c r="Z268" t="e">
        <f ca="1"/>
        <v>#N/A</v>
      </c>
      <c r="AA268" t="e">
        <f ca="1"/>
        <v>#N/A</v>
      </c>
      <c r="AB268" t="e">
        <f ca="1"/>
        <v>#N/A</v>
      </c>
      <c r="AD268" s="2">
        <f t="shared" ca="1" si="42"/>
        <v>0</v>
      </c>
      <c r="AE268">
        <f t="shared" ca="1" si="43"/>
        <v>0</v>
      </c>
      <c r="AG268" s="63" t="e">
        <f t="shared" ref="AG268:AG331" ca="1" si="47">Q267+S268+T268+U268</f>
        <v>#N/A</v>
      </c>
      <c r="AH268" s="63" t="e">
        <f t="shared" ref="AH268:AH331" ca="1" si="48">Q268+R268+X268</f>
        <v>#N/A</v>
      </c>
      <c r="AI268" s="3" t="e">
        <f t="shared" ref="AI268:AI331" ca="1" si="49">AH268-AG268</f>
        <v>#N/A</v>
      </c>
    </row>
    <row r="269" spans="7:35">
      <c r="G269" s="3">
        <f t="shared" ca="1" si="44"/>
        <v>142</v>
      </c>
      <c r="H269" s="95">
        <f t="shared" ca="1" si="46"/>
        <v>45432</v>
      </c>
      <c r="I269" s="119">
        <f ca="1">HLOOKUP($H$5,'Met Data'!$A$2:$F$368,G269,FALSE)</f>
        <v>13.598387096774101</v>
      </c>
      <c r="J269" s="119">
        <f ca="1">HLOOKUP($H$5,'Met Data'!$H$2:$M$368,G269,FALSE)*L269</f>
        <v>5.1451612903225801</v>
      </c>
      <c r="K269" s="96">
        <f ca="1">HLOOKUP($H$5,'Met Data'!$O$2:$T$368,G269,FALSE)</f>
        <v>1.48780958137737</v>
      </c>
      <c r="L269">
        <f t="shared" ca="1" si="40"/>
        <v>1</v>
      </c>
      <c r="N269" t="e">
        <f t="shared" ca="1" si="45"/>
        <v>#N/A</v>
      </c>
      <c r="O269" t="e">
        <f t="shared" ca="1" si="41"/>
        <v>#N/A</v>
      </c>
      <c r="P269" s="2" t="e">
        <f ca="1"/>
        <v>#N/A</v>
      </c>
      <c r="Q269" t="e">
        <f ca="1"/>
        <v>#N/A</v>
      </c>
      <c r="R269" t="e">
        <f ca="1"/>
        <v>#N/A</v>
      </c>
      <c r="S269" t="e">
        <f ca="1"/>
        <v>#N/A</v>
      </c>
      <c r="T269" t="e">
        <f ca="1"/>
        <v>#N/A</v>
      </c>
      <c r="U269" t="e">
        <f ca="1"/>
        <v>#N/A</v>
      </c>
      <c r="V269" t="e">
        <f ca="1"/>
        <v>#N/A</v>
      </c>
      <c r="W269" t="e">
        <f ca="1"/>
        <v>#N/A</v>
      </c>
      <c r="X269" t="e">
        <f ca="1"/>
        <v>#N/A</v>
      </c>
      <c r="Y269" t="e">
        <f ca="1"/>
        <v>#N/A</v>
      </c>
      <c r="Z269" t="e">
        <f ca="1"/>
        <v>#N/A</v>
      </c>
      <c r="AA269" t="e">
        <f ca="1"/>
        <v>#N/A</v>
      </c>
      <c r="AB269" t="e">
        <f ca="1"/>
        <v>#N/A</v>
      </c>
      <c r="AD269" s="2">
        <f t="shared" ca="1" si="42"/>
        <v>0</v>
      </c>
      <c r="AE269">
        <f t="shared" ca="1" si="43"/>
        <v>0</v>
      </c>
      <c r="AG269" s="63" t="e">
        <f t="shared" ca="1" si="47"/>
        <v>#N/A</v>
      </c>
      <c r="AH269" s="63" t="e">
        <f t="shared" ca="1" si="48"/>
        <v>#N/A</v>
      </c>
      <c r="AI269" s="3" t="e">
        <f t="shared" ca="1" si="49"/>
        <v>#N/A</v>
      </c>
    </row>
    <row r="270" spans="7:35">
      <c r="G270" s="3">
        <f t="shared" ca="1" si="44"/>
        <v>143</v>
      </c>
      <c r="H270" s="95">
        <f t="shared" ca="1" si="46"/>
        <v>45433</v>
      </c>
      <c r="I270" s="119">
        <f ca="1">HLOOKUP($H$5,'Met Data'!$A$2:$F$368,G270,FALSE)</f>
        <v>13.074193548387001</v>
      </c>
      <c r="J270" s="119">
        <f ca="1">HLOOKUP($H$5,'Met Data'!$H$2:$M$368,G270,FALSE)*L270</f>
        <v>4.73548387096774</v>
      </c>
      <c r="K270" s="96">
        <f ca="1">HLOOKUP($H$5,'Met Data'!$O$2:$T$368,G270,FALSE)</f>
        <v>1.4103441752322401</v>
      </c>
      <c r="L270">
        <f t="shared" ca="1" si="40"/>
        <v>1</v>
      </c>
      <c r="N270" t="e">
        <f t="shared" ca="1" si="45"/>
        <v>#N/A</v>
      </c>
      <c r="O270" t="e">
        <f t="shared" ca="1" si="41"/>
        <v>#N/A</v>
      </c>
      <c r="P270" s="2" t="e">
        <f ca="1"/>
        <v>#N/A</v>
      </c>
      <c r="Q270" t="e">
        <f ca="1"/>
        <v>#N/A</v>
      </c>
      <c r="R270" t="e">
        <f ca="1"/>
        <v>#N/A</v>
      </c>
      <c r="S270" t="e">
        <f ca="1"/>
        <v>#N/A</v>
      </c>
      <c r="T270" t="e">
        <f ca="1"/>
        <v>#N/A</v>
      </c>
      <c r="U270" t="e">
        <f ca="1"/>
        <v>#N/A</v>
      </c>
      <c r="V270" t="e">
        <f ca="1"/>
        <v>#N/A</v>
      </c>
      <c r="W270" t="e">
        <f ca="1"/>
        <v>#N/A</v>
      </c>
      <c r="X270" t="e">
        <f ca="1"/>
        <v>#N/A</v>
      </c>
      <c r="Y270" t="e">
        <f ca="1"/>
        <v>#N/A</v>
      </c>
      <c r="Z270" t="e">
        <f ca="1"/>
        <v>#N/A</v>
      </c>
      <c r="AA270" t="e">
        <f ca="1"/>
        <v>#N/A</v>
      </c>
      <c r="AB270" t="e">
        <f ca="1"/>
        <v>#N/A</v>
      </c>
      <c r="AD270" s="2">
        <f t="shared" ca="1" si="42"/>
        <v>0</v>
      </c>
      <c r="AE270">
        <f t="shared" ca="1" si="43"/>
        <v>0</v>
      </c>
      <c r="AG270" s="63" t="e">
        <f t="shared" ca="1" si="47"/>
        <v>#N/A</v>
      </c>
      <c r="AH270" s="63" t="e">
        <f t="shared" ca="1" si="48"/>
        <v>#N/A</v>
      </c>
      <c r="AI270" s="3" t="e">
        <f t="shared" ca="1" si="49"/>
        <v>#N/A</v>
      </c>
    </row>
    <row r="271" spans="7:35">
      <c r="G271" s="3">
        <f t="shared" ca="1" si="44"/>
        <v>144</v>
      </c>
      <c r="H271" s="95">
        <f t="shared" ca="1" si="46"/>
        <v>45434</v>
      </c>
      <c r="I271" s="119">
        <f ca="1">HLOOKUP($H$5,'Met Data'!$A$2:$F$368,G271,FALSE)</f>
        <v>12.8338709677419</v>
      </c>
      <c r="J271" s="119">
        <f ca="1">HLOOKUP($H$5,'Met Data'!$H$2:$M$368,G271,FALSE)*L271</f>
        <v>7.7677419354838699</v>
      </c>
      <c r="K271" s="96">
        <f ca="1">HLOOKUP($H$5,'Met Data'!$O$2:$T$368,G271,FALSE)</f>
        <v>1.40773401519768</v>
      </c>
      <c r="L271">
        <f t="shared" ca="1" si="40"/>
        <v>1</v>
      </c>
      <c r="N271" t="e">
        <f t="shared" ca="1" si="45"/>
        <v>#N/A</v>
      </c>
      <c r="O271" t="e">
        <f t="shared" ca="1" si="41"/>
        <v>#N/A</v>
      </c>
      <c r="P271" s="2" t="e">
        <f ca="1"/>
        <v>#N/A</v>
      </c>
      <c r="Q271" t="e">
        <f ca="1"/>
        <v>#N/A</v>
      </c>
      <c r="R271" t="e">
        <f ca="1"/>
        <v>#N/A</v>
      </c>
      <c r="S271" t="e">
        <f ca="1"/>
        <v>#N/A</v>
      </c>
      <c r="T271" t="e">
        <f ca="1"/>
        <v>#N/A</v>
      </c>
      <c r="U271" t="e">
        <f ca="1"/>
        <v>#N/A</v>
      </c>
      <c r="V271" t="e">
        <f ca="1"/>
        <v>#N/A</v>
      </c>
      <c r="W271" t="e">
        <f ca="1"/>
        <v>#N/A</v>
      </c>
      <c r="X271" t="e">
        <f ca="1"/>
        <v>#N/A</v>
      </c>
      <c r="Y271" t="e">
        <f ca="1"/>
        <v>#N/A</v>
      </c>
      <c r="Z271" t="e">
        <f ca="1"/>
        <v>#N/A</v>
      </c>
      <c r="AA271" t="e">
        <f ca="1"/>
        <v>#N/A</v>
      </c>
      <c r="AB271" t="e">
        <f ca="1"/>
        <v>#N/A</v>
      </c>
      <c r="AD271" s="2">
        <f t="shared" ca="1" si="42"/>
        <v>0</v>
      </c>
      <c r="AE271">
        <f t="shared" ca="1" si="43"/>
        <v>0</v>
      </c>
      <c r="AG271" s="63" t="e">
        <f t="shared" ca="1" si="47"/>
        <v>#N/A</v>
      </c>
      <c r="AH271" s="63" t="e">
        <f t="shared" ca="1" si="48"/>
        <v>#N/A</v>
      </c>
      <c r="AI271" s="3" t="e">
        <f t="shared" ca="1" si="49"/>
        <v>#N/A</v>
      </c>
    </row>
    <row r="272" spans="7:35">
      <c r="G272" s="3">
        <f t="shared" ca="1" si="44"/>
        <v>145</v>
      </c>
      <c r="H272" s="95">
        <f t="shared" ca="1" si="46"/>
        <v>45435</v>
      </c>
      <c r="I272" s="119">
        <f ca="1">HLOOKUP($H$5,'Met Data'!$A$2:$F$368,G272,FALSE)</f>
        <v>12.761290322580599</v>
      </c>
      <c r="J272" s="119">
        <f ca="1">HLOOKUP($H$5,'Met Data'!$H$2:$M$368,G272,FALSE)*L272</f>
        <v>5.3612903225806399</v>
      </c>
      <c r="K272" s="96">
        <f ca="1">HLOOKUP($H$5,'Met Data'!$O$2:$T$368,G272,FALSE)</f>
        <v>1.5324788885576901</v>
      </c>
      <c r="L272">
        <f t="shared" ca="1" si="40"/>
        <v>1</v>
      </c>
      <c r="N272" t="e">
        <f t="shared" ca="1" si="45"/>
        <v>#N/A</v>
      </c>
      <c r="O272" t="e">
        <f t="shared" ca="1" si="41"/>
        <v>#N/A</v>
      </c>
      <c r="P272" s="2" t="e">
        <f ca="1"/>
        <v>#N/A</v>
      </c>
      <c r="Q272" t="e">
        <f ca="1"/>
        <v>#N/A</v>
      </c>
      <c r="R272" t="e">
        <f ca="1"/>
        <v>#N/A</v>
      </c>
      <c r="S272" t="e">
        <f ca="1"/>
        <v>#N/A</v>
      </c>
      <c r="T272" t="e">
        <f ca="1"/>
        <v>#N/A</v>
      </c>
      <c r="U272" t="e">
        <f ca="1"/>
        <v>#N/A</v>
      </c>
      <c r="V272" t="e">
        <f ca="1"/>
        <v>#N/A</v>
      </c>
      <c r="W272" t="e">
        <f ca="1"/>
        <v>#N/A</v>
      </c>
      <c r="X272" t="e">
        <f ca="1"/>
        <v>#N/A</v>
      </c>
      <c r="Y272" t="e">
        <f ca="1"/>
        <v>#N/A</v>
      </c>
      <c r="Z272" t="e">
        <f ca="1"/>
        <v>#N/A</v>
      </c>
      <c r="AA272" t="e">
        <f ca="1"/>
        <v>#N/A</v>
      </c>
      <c r="AB272" t="e">
        <f ca="1"/>
        <v>#N/A</v>
      </c>
      <c r="AD272" s="2">
        <f t="shared" ca="1" si="42"/>
        <v>0</v>
      </c>
      <c r="AE272">
        <f t="shared" ca="1" si="43"/>
        <v>0</v>
      </c>
      <c r="AG272" s="63" t="e">
        <f t="shared" ca="1" si="47"/>
        <v>#N/A</v>
      </c>
      <c r="AH272" s="63" t="e">
        <f t="shared" ca="1" si="48"/>
        <v>#N/A</v>
      </c>
      <c r="AI272" s="3" t="e">
        <f t="shared" ca="1" si="49"/>
        <v>#N/A</v>
      </c>
    </row>
    <row r="273" spans="7:35">
      <c r="G273" s="3">
        <f t="shared" ca="1" si="44"/>
        <v>146</v>
      </c>
      <c r="H273" s="95">
        <f t="shared" ca="1" si="46"/>
        <v>45436</v>
      </c>
      <c r="I273" s="119">
        <f ca="1">HLOOKUP($H$5,'Met Data'!$A$2:$F$368,G273,FALSE)</f>
        <v>13.04</v>
      </c>
      <c r="J273" s="119">
        <f ca="1">HLOOKUP($H$5,'Met Data'!$H$2:$M$368,G273,FALSE)*L273</f>
        <v>5.8233333333333297</v>
      </c>
      <c r="K273" s="96">
        <f ca="1">HLOOKUP($H$5,'Met Data'!$O$2:$T$368,G273,FALSE)</f>
        <v>1.3513771562845001</v>
      </c>
      <c r="L273">
        <f t="shared" ca="1" si="40"/>
        <v>1</v>
      </c>
      <c r="N273" t="e">
        <f t="shared" ca="1" si="45"/>
        <v>#N/A</v>
      </c>
      <c r="O273" t="e">
        <f t="shared" ca="1" si="41"/>
        <v>#N/A</v>
      </c>
      <c r="P273" s="2" t="e">
        <f ca="1"/>
        <v>#N/A</v>
      </c>
      <c r="Q273" t="e">
        <f ca="1"/>
        <v>#N/A</v>
      </c>
      <c r="R273" t="e">
        <f ca="1"/>
        <v>#N/A</v>
      </c>
      <c r="S273" t="e">
        <f ca="1"/>
        <v>#N/A</v>
      </c>
      <c r="T273" t="e">
        <f ca="1"/>
        <v>#N/A</v>
      </c>
      <c r="U273" t="e">
        <f ca="1"/>
        <v>#N/A</v>
      </c>
      <c r="V273" t="e">
        <f ca="1"/>
        <v>#N/A</v>
      </c>
      <c r="W273" t="e">
        <f ca="1"/>
        <v>#N/A</v>
      </c>
      <c r="X273" t="e">
        <f ca="1"/>
        <v>#N/A</v>
      </c>
      <c r="Y273" t="e">
        <f ca="1"/>
        <v>#N/A</v>
      </c>
      <c r="Z273" t="e">
        <f ca="1"/>
        <v>#N/A</v>
      </c>
      <c r="AA273" t="e">
        <f ca="1"/>
        <v>#N/A</v>
      </c>
      <c r="AB273" t="e">
        <f ca="1"/>
        <v>#N/A</v>
      </c>
      <c r="AD273" s="2">
        <f t="shared" ca="1" si="42"/>
        <v>0</v>
      </c>
      <c r="AE273">
        <f t="shared" ca="1" si="43"/>
        <v>0</v>
      </c>
      <c r="AG273" s="63" t="e">
        <f t="shared" ca="1" si="47"/>
        <v>#N/A</v>
      </c>
      <c r="AH273" s="63" t="e">
        <f t="shared" ca="1" si="48"/>
        <v>#N/A</v>
      </c>
      <c r="AI273" s="3" t="e">
        <f t="shared" ca="1" si="49"/>
        <v>#N/A</v>
      </c>
    </row>
    <row r="274" spans="7:35">
      <c r="G274" s="3">
        <f t="shared" ca="1" si="44"/>
        <v>147</v>
      </c>
      <c r="H274" s="95">
        <f t="shared" ca="1" si="46"/>
        <v>45437</v>
      </c>
      <c r="I274" s="119">
        <f ca="1">HLOOKUP($H$5,'Met Data'!$A$2:$F$368,G274,FALSE)</f>
        <v>13.44</v>
      </c>
      <c r="J274" s="119">
        <f ca="1">HLOOKUP($H$5,'Met Data'!$H$2:$M$368,G274,FALSE)*L274</f>
        <v>6.9099999999999904</v>
      </c>
      <c r="K274" s="96">
        <f ca="1">HLOOKUP($H$5,'Met Data'!$O$2:$T$368,G274,FALSE)</f>
        <v>1.45255211799902</v>
      </c>
      <c r="L274">
        <f t="shared" ca="1" si="40"/>
        <v>1</v>
      </c>
      <c r="N274" t="e">
        <f t="shared" ca="1" si="45"/>
        <v>#N/A</v>
      </c>
      <c r="O274" t="e">
        <f t="shared" ca="1" si="41"/>
        <v>#N/A</v>
      </c>
      <c r="P274" s="2" t="e">
        <f ca="1"/>
        <v>#N/A</v>
      </c>
      <c r="Q274" t="e">
        <f ca="1"/>
        <v>#N/A</v>
      </c>
      <c r="R274" t="e">
        <f ca="1"/>
        <v>#N/A</v>
      </c>
      <c r="S274" t="e">
        <f ca="1"/>
        <v>#N/A</v>
      </c>
      <c r="T274" t="e">
        <f ca="1"/>
        <v>#N/A</v>
      </c>
      <c r="U274" t="e">
        <f ca="1"/>
        <v>#N/A</v>
      </c>
      <c r="V274" t="e">
        <f ca="1"/>
        <v>#N/A</v>
      </c>
      <c r="W274" t="e">
        <f ca="1"/>
        <v>#N/A</v>
      </c>
      <c r="X274" t="e">
        <f ca="1"/>
        <v>#N/A</v>
      </c>
      <c r="Y274" t="e">
        <f ca="1"/>
        <v>#N/A</v>
      </c>
      <c r="Z274" t="e">
        <f ca="1"/>
        <v>#N/A</v>
      </c>
      <c r="AA274" t="e">
        <f ca="1"/>
        <v>#N/A</v>
      </c>
      <c r="AB274" t="e">
        <f ca="1"/>
        <v>#N/A</v>
      </c>
      <c r="AD274" s="2">
        <f t="shared" ca="1" si="42"/>
        <v>0</v>
      </c>
      <c r="AE274">
        <f t="shared" ca="1" si="43"/>
        <v>0</v>
      </c>
      <c r="AG274" s="63" t="e">
        <f t="shared" ca="1" si="47"/>
        <v>#N/A</v>
      </c>
      <c r="AH274" s="63" t="e">
        <f t="shared" ca="1" si="48"/>
        <v>#N/A</v>
      </c>
      <c r="AI274" s="3" t="e">
        <f t="shared" ca="1" si="49"/>
        <v>#N/A</v>
      </c>
    </row>
    <row r="275" spans="7:35">
      <c r="G275" s="3">
        <f t="shared" ca="1" si="44"/>
        <v>148</v>
      </c>
      <c r="H275" s="95">
        <f t="shared" ca="1" si="46"/>
        <v>45438</v>
      </c>
      <c r="I275" s="119">
        <f ca="1">HLOOKUP($H$5,'Met Data'!$A$2:$F$368,G275,FALSE)</f>
        <v>12.8183333333333</v>
      </c>
      <c r="J275" s="119">
        <f ca="1">HLOOKUP($H$5,'Met Data'!$H$2:$M$368,G275,FALSE)*L275</f>
        <v>4.4066666666666601</v>
      </c>
      <c r="K275" s="96">
        <f ca="1">HLOOKUP($H$5,'Met Data'!$O$2:$T$368,G275,FALSE)</f>
        <v>1.5797115913466899</v>
      </c>
      <c r="L275">
        <f t="shared" ca="1" si="40"/>
        <v>1</v>
      </c>
      <c r="N275" t="e">
        <f t="shared" ca="1" si="45"/>
        <v>#N/A</v>
      </c>
      <c r="O275" t="e">
        <f t="shared" ca="1" si="41"/>
        <v>#N/A</v>
      </c>
      <c r="P275" s="2" t="e">
        <f ca="1"/>
        <v>#N/A</v>
      </c>
      <c r="Q275" t="e">
        <f ca="1"/>
        <v>#N/A</v>
      </c>
      <c r="R275" t="e">
        <f ca="1"/>
        <v>#N/A</v>
      </c>
      <c r="S275" t="e">
        <f ca="1"/>
        <v>#N/A</v>
      </c>
      <c r="T275" t="e">
        <f ca="1"/>
        <v>#N/A</v>
      </c>
      <c r="U275" t="e">
        <f ca="1"/>
        <v>#N/A</v>
      </c>
      <c r="V275" t="e">
        <f ca="1"/>
        <v>#N/A</v>
      </c>
      <c r="W275" t="e">
        <f ca="1"/>
        <v>#N/A</v>
      </c>
      <c r="X275" t="e">
        <f ca="1"/>
        <v>#N/A</v>
      </c>
      <c r="Y275" t="e">
        <f ca="1"/>
        <v>#N/A</v>
      </c>
      <c r="Z275" t="e">
        <f ca="1"/>
        <v>#N/A</v>
      </c>
      <c r="AA275" t="e">
        <f ca="1"/>
        <v>#N/A</v>
      </c>
      <c r="AB275" t="e">
        <f ca="1"/>
        <v>#N/A</v>
      </c>
      <c r="AD275" s="2">
        <f t="shared" ca="1" si="42"/>
        <v>0</v>
      </c>
      <c r="AE275">
        <f t="shared" ca="1" si="43"/>
        <v>0</v>
      </c>
      <c r="AG275" s="63" t="e">
        <f t="shared" ca="1" si="47"/>
        <v>#N/A</v>
      </c>
      <c r="AH275" s="63" t="e">
        <f t="shared" ca="1" si="48"/>
        <v>#N/A</v>
      </c>
      <c r="AI275" s="3" t="e">
        <f t="shared" ca="1" si="49"/>
        <v>#N/A</v>
      </c>
    </row>
    <row r="276" spans="7:35">
      <c r="G276" s="3">
        <f t="shared" ca="1" si="44"/>
        <v>149</v>
      </c>
      <c r="H276" s="95">
        <f t="shared" ca="1" si="46"/>
        <v>45439</v>
      </c>
      <c r="I276" s="119">
        <f ca="1">HLOOKUP($H$5,'Met Data'!$A$2:$F$368,G276,FALSE)</f>
        <v>12.088333333333299</v>
      </c>
      <c r="J276" s="119">
        <f ca="1">HLOOKUP($H$5,'Met Data'!$H$2:$M$368,G276,FALSE)*L276</f>
        <v>3.84666666666666</v>
      </c>
      <c r="K276" s="96">
        <f ca="1">HLOOKUP($H$5,'Met Data'!$O$2:$T$368,G276,FALSE)</f>
        <v>1.52168431166894</v>
      </c>
      <c r="L276">
        <f t="shared" ca="1" si="40"/>
        <v>1</v>
      </c>
      <c r="N276" t="e">
        <f t="shared" ca="1" si="45"/>
        <v>#N/A</v>
      </c>
      <c r="O276" t="e">
        <f t="shared" ca="1" si="41"/>
        <v>#N/A</v>
      </c>
      <c r="P276" s="2" t="e">
        <f ca="1"/>
        <v>#N/A</v>
      </c>
      <c r="Q276" t="e">
        <f ca="1"/>
        <v>#N/A</v>
      </c>
      <c r="R276" t="e">
        <f ca="1"/>
        <v>#N/A</v>
      </c>
      <c r="S276" t="e">
        <f ca="1"/>
        <v>#N/A</v>
      </c>
      <c r="T276" t="e">
        <f ca="1"/>
        <v>#N/A</v>
      </c>
      <c r="U276" t="e">
        <f ca="1"/>
        <v>#N/A</v>
      </c>
      <c r="V276" t="e">
        <f ca="1"/>
        <v>#N/A</v>
      </c>
      <c r="W276" t="e">
        <f ca="1"/>
        <v>#N/A</v>
      </c>
      <c r="X276" t="e">
        <f ca="1"/>
        <v>#N/A</v>
      </c>
      <c r="Y276" t="e">
        <f ca="1"/>
        <v>#N/A</v>
      </c>
      <c r="Z276" t="e">
        <f ca="1"/>
        <v>#N/A</v>
      </c>
      <c r="AA276" t="e">
        <f ca="1"/>
        <v>#N/A</v>
      </c>
      <c r="AB276" t="e">
        <f ca="1"/>
        <v>#N/A</v>
      </c>
      <c r="AD276" s="2">
        <f t="shared" ca="1" si="42"/>
        <v>0</v>
      </c>
      <c r="AE276">
        <f t="shared" ca="1" si="43"/>
        <v>0</v>
      </c>
      <c r="AG276" s="63" t="e">
        <f t="shared" ca="1" si="47"/>
        <v>#N/A</v>
      </c>
      <c r="AH276" s="63" t="e">
        <f t="shared" ca="1" si="48"/>
        <v>#N/A</v>
      </c>
      <c r="AI276" s="3" t="e">
        <f t="shared" ca="1" si="49"/>
        <v>#N/A</v>
      </c>
    </row>
    <row r="277" spans="7:35">
      <c r="G277" s="3">
        <f t="shared" ca="1" si="44"/>
        <v>150</v>
      </c>
      <c r="H277" s="95">
        <f t="shared" ca="1" si="46"/>
        <v>45440</v>
      </c>
      <c r="I277" s="119">
        <f ca="1">HLOOKUP($H$5,'Met Data'!$A$2:$F$368,G277,FALSE)</f>
        <v>11.7193548387096</v>
      </c>
      <c r="J277" s="119">
        <f ca="1">HLOOKUP($H$5,'Met Data'!$H$2:$M$368,G277,FALSE)*L277</f>
        <v>4.8161290322580603</v>
      </c>
      <c r="K277" s="96">
        <f ca="1">HLOOKUP($H$5,'Met Data'!$O$2:$T$368,G277,FALSE)</f>
        <v>1.3043403353641301</v>
      </c>
      <c r="L277">
        <f t="shared" ca="1" si="40"/>
        <v>1</v>
      </c>
      <c r="N277" t="e">
        <f t="shared" ca="1" si="45"/>
        <v>#N/A</v>
      </c>
      <c r="O277" t="e">
        <f t="shared" ca="1" si="41"/>
        <v>#N/A</v>
      </c>
      <c r="P277" s="2" t="e">
        <f ca="1"/>
        <v>#N/A</v>
      </c>
      <c r="Q277" t="e">
        <f ca="1"/>
        <v>#N/A</v>
      </c>
      <c r="R277" t="e">
        <f ca="1"/>
        <v>#N/A</v>
      </c>
      <c r="S277" t="e">
        <f ca="1"/>
        <v>#N/A</v>
      </c>
      <c r="T277" t="e">
        <f ca="1"/>
        <v>#N/A</v>
      </c>
      <c r="U277" t="e">
        <f ca="1"/>
        <v>#N/A</v>
      </c>
      <c r="V277" t="e">
        <f ca="1"/>
        <v>#N/A</v>
      </c>
      <c r="W277" t="e">
        <f ca="1"/>
        <v>#N/A</v>
      </c>
      <c r="X277" t="e">
        <f ca="1"/>
        <v>#N/A</v>
      </c>
      <c r="Y277" t="e">
        <f ca="1"/>
        <v>#N/A</v>
      </c>
      <c r="Z277" t="e">
        <f ca="1"/>
        <v>#N/A</v>
      </c>
      <c r="AA277" t="e">
        <f ca="1"/>
        <v>#N/A</v>
      </c>
      <c r="AB277" t="e">
        <f ca="1"/>
        <v>#N/A</v>
      </c>
      <c r="AD277" s="2">
        <f t="shared" ca="1" si="42"/>
        <v>0</v>
      </c>
      <c r="AE277">
        <f t="shared" ca="1" si="43"/>
        <v>0</v>
      </c>
      <c r="AG277" s="63" t="e">
        <f t="shared" ca="1" si="47"/>
        <v>#N/A</v>
      </c>
      <c r="AH277" s="63" t="e">
        <f t="shared" ca="1" si="48"/>
        <v>#N/A</v>
      </c>
      <c r="AI277" s="3" t="e">
        <f t="shared" ca="1" si="49"/>
        <v>#N/A</v>
      </c>
    </row>
    <row r="278" spans="7:35">
      <c r="G278" s="3">
        <f t="shared" ca="1" si="44"/>
        <v>151</v>
      </c>
      <c r="H278" s="95">
        <f t="shared" ca="1" si="46"/>
        <v>45441</v>
      </c>
      <c r="I278" s="119">
        <f ca="1">HLOOKUP($H$5,'Met Data'!$A$2:$F$368,G278,FALSE)</f>
        <v>12.024193548387</v>
      </c>
      <c r="J278" s="119">
        <f ca="1">HLOOKUP($H$5,'Met Data'!$H$2:$M$368,G278,FALSE)*L278</f>
        <v>5.4032258064516103</v>
      </c>
      <c r="K278" s="96">
        <f ca="1">HLOOKUP($H$5,'Met Data'!$O$2:$T$368,G278,FALSE)</f>
        <v>1.3290261075951599</v>
      </c>
      <c r="L278">
        <f t="shared" ca="1" si="40"/>
        <v>1</v>
      </c>
      <c r="N278" t="e">
        <f t="shared" ca="1" si="45"/>
        <v>#N/A</v>
      </c>
      <c r="O278" t="e">
        <f t="shared" ca="1" si="41"/>
        <v>#N/A</v>
      </c>
      <c r="P278" s="2" t="e">
        <f ca="1"/>
        <v>#N/A</v>
      </c>
      <c r="Q278" t="e">
        <f ca="1"/>
        <v>#N/A</v>
      </c>
      <c r="R278" t="e">
        <f ca="1"/>
        <v>#N/A</v>
      </c>
      <c r="S278" t="e">
        <f ca="1"/>
        <v>#N/A</v>
      </c>
      <c r="T278" t="e">
        <f ca="1"/>
        <v>#N/A</v>
      </c>
      <c r="U278" t="e">
        <f ca="1"/>
        <v>#N/A</v>
      </c>
      <c r="V278" t="e">
        <f ca="1"/>
        <v>#N/A</v>
      </c>
      <c r="W278" t="e">
        <f ca="1"/>
        <v>#N/A</v>
      </c>
      <c r="X278" t="e">
        <f ca="1"/>
        <v>#N/A</v>
      </c>
      <c r="Y278" t="e">
        <f ca="1"/>
        <v>#N/A</v>
      </c>
      <c r="Z278" t="e">
        <f ca="1"/>
        <v>#N/A</v>
      </c>
      <c r="AA278" t="e">
        <f ca="1"/>
        <v>#N/A</v>
      </c>
      <c r="AB278" t="e">
        <f ca="1"/>
        <v>#N/A</v>
      </c>
      <c r="AD278" s="2">
        <f t="shared" ca="1" si="42"/>
        <v>0</v>
      </c>
      <c r="AE278">
        <f t="shared" ca="1" si="43"/>
        <v>0</v>
      </c>
      <c r="AG278" s="63" t="e">
        <f t="shared" ca="1" si="47"/>
        <v>#N/A</v>
      </c>
      <c r="AH278" s="63" t="e">
        <f t="shared" ca="1" si="48"/>
        <v>#N/A</v>
      </c>
      <c r="AI278" s="3" t="e">
        <f t="shared" ca="1" si="49"/>
        <v>#N/A</v>
      </c>
    </row>
    <row r="279" spans="7:35">
      <c r="G279" s="3">
        <f t="shared" ca="1" si="44"/>
        <v>152</v>
      </c>
      <c r="H279" s="95">
        <f t="shared" ca="1" si="46"/>
        <v>45442</v>
      </c>
      <c r="I279" s="119">
        <f ca="1">HLOOKUP($H$5,'Met Data'!$A$2:$F$368,G279,FALSE)</f>
        <v>11.7258064516129</v>
      </c>
      <c r="J279" s="119">
        <f ca="1">HLOOKUP($H$5,'Met Data'!$H$2:$M$368,G279,FALSE)*L279</f>
        <v>5.6354838709677404</v>
      </c>
      <c r="K279" s="96">
        <f ca="1">HLOOKUP($H$5,'Met Data'!$O$2:$T$368,G279,FALSE)</f>
        <v>1.39784343044145</v>
      </c>
      <c r="L279">
        <f t="shared" ca="1" si="40"/>
        <v>1</v>
      </c>
      <c r="N279" t="e">
        <f t="shared" ca="1" si="45"/>
        <v>#N/A</v>
      </c>
      <c r="O279" t="e">
        <f t="shared" ca="1" si="41"/>
        <v>#N/A</v>
      </c>
      <c r="P279" s="2" t="e">
        <f ca="1"/>
        <v>#N/A</v>
      </c>
      <c r="Q279" t="e">
        <f ca="1"/>
        <v>#N/A</v>
      </c>
      <c r="R279" t="e">
        <f ca="1"/>
        <v>#N/A</v>
      </c>
      <c r="S279" t="e">
        <f ca="1"/>
        <v>#N/A</v>
      </c>
      <c r="T279" t="e">
        <f ca="1"/>
        <v>#N/A</v>
      </c>
      <c r="U279" t="e">
        <f ca="1"/>
        <v>#N/A</v>
      </c>
      <c r="V279" t="e">
        <f ca="1"/>
        <v>#N/A</v>
      </c>
      <c r="W279" t="e">
        <f ca="1"/>
        <v>#N/A</v>
      </c>
      <c r="X279" t="e">
        <f ca="1"/>
        <v>#N/A</v>
      </c>
      <c r="Y279" t="e">
        <f ca="1"/>
        <v>#N/A</v>
      </c>
      <c r="Z279" t="e">
        <f ca="1"/>
        <v>#N/A</v>
      </c>
      <c r="AA279" t="e">
        <f ca="1"/>
        <v>#N/A</v>
      </c>
      <c r="AB279" t="e">
        <f ca="1"/>
        <v>#N/A</v>
      </c>
      <c r="AD279" s="2">
        <f t="shared" ca="1" si="42"/>
        <v>0</v>
      </c>
      <c r="AE279">
        <f t="shared" ca="1" si="43"/>
        <v>0</v>
      </c>
      <c r="AG279" s="63" t="e">
        <f t="shared" ca="1" si="47"/>
        <v>#N/A</v>
      </c>
      <c r="AH279" s="63" t="e">
        <f t="shared" ca="1" si="48"/>
        <v>#N/A</v>
      </c>
      <c r="AI279" s="3" t="e">
        <f t="shared" ca="1" si="49"/>
        <v>#N/A</v>
      </c>
    </row>
    <row r="280" spans="7:35">
      <c r="G280" s="3">
        <f t="shared" ca="1" si="44"/>
        <v>153</v>
      </c>
      <c r="H280" s="95">
        <f t="shared" ca="1" si="46"/>
        <v>45443</v>
      </c>
      <c r="I280" s="119">
        <f ca="1">HLOOKUP($H$5,'Met Data'!$A$2:$F$368,G280,FALSE)</f>
        <v>11.7564516129032</v>
      </c>
      <c r="J280" s="119">
        <f ca="1">HLOOKUP($H$5,'Met Data'!$H$2:$M$368,G280,FALSE)*L280</f>
        <v>4.3451612903225802</v>
      </c>
      <c r="K280" s="96">
        <f ca="1">HLOOKUP($H$5,'Met Data'!$O$2:$T$368,G280,FALSE)</f>
        <v>1.4712646827298701</v>
      </c>
      <c r="L280">
        <f t="shared" ca="1" si="40"/>
        <v>1</v>
      </c>
      <c r="N280" t="e">
        <f t="shared" ca="1" si="45"/>
        <v>#N/A</v>
      </c>
      <c r="O280" t="e">
        <f t="shared" ca="1" si="41"/>
        <v>#N/A</v>
      </c>
      <c r="P280" s="2" t="e">
        <f ca="1"/>
        <v>#N/A</v>
      </c>
      <c r="Q280" t="e">
        <f ca="1"/>
        <v>#N/A</v>
      </c>
      <c r="R280" t="e">
        <f ca="1"/>
        <v>#N/A</v>
      </c>
      <c r="S280" t="e">
        <f ca="1"/>
        <v>#N/A</v>
      </c>
      <c r="T280" t="e">
        <f ca="1"/>
        <v>#N/A</v>
      </c>
      <c r="U280" t="e">
        <f ca="1"/>
        <v>#N/A</v>
      </c>
      <c r="V280" t="e">
        <f ca="1"/>
        <v>#N/A</v>
      </c>
      <c r="W280" t="e">
        <f ca="1"/>
        <v>#N/A</v>
      </c>
      <c r="X280" t="e">
        <f ca="1"/>
        <v>#N/A</v>
      </c>
      <c r="Y280" t="e">
        <f ca="1"/>
        <v>#N/A</v>
      </c>
      <c r="Z280" t="e">
        <f ca="1"/>
        <v>#N/A</v>
      </c>
      <c r="AA280" t="e">
        <f ca="1"/>
        <v>#N/A</v>
      </c>
      <c r="AB280" t="e">
        <f ca="1"/>
        <v>#N/A</v>
      </c>
      <c r="AD280" s="2">
        <f t="shared" ca="1" si="42"/>
        <v>0</v>
      </c>
      <c r="AE280">
        <f t="shared" ca="1" si="43"/>
        <v>0</v>
      </c>
      <c r="AG280" s="63" t="e">
        <f t="shared" ca="1" si="47"/>
        <v>#N/A</v>
      </c>
      <c r="AH280" s="63" t="e">
        <f t="shared" ca="1" si="48"/>
        <v>#N/A</v>
      </c>
      <c r="AI280" s="3" t="e">
        <f t="shared" ca="1" si="49"/>
        <v>#N/A</v>
      </c>
    </row>
    <row r="281" spans="7:35">
      <c r="G281" s="3">
        <f t="shared" ca="1" si="44"/>
        <v>154</v>
      </c>
      <c r="H281" s="95">
        <f t="shared" ca="1" si="46"/>
        <v>45444</v>
      </c>
      <c r="I281" s="119">
        <f ca="1">HLOOKUP($H$5,'Met Data'!$A$2:$F$368,G281,FALSE)</f>
        <v>11.6033333333333</v>
      </c>
      <c r="J281" s="119">
        <f ca="1">HLOOKUP($H$5,'Met Data'!$H$2:$M$368,G281,FALSE)*L281</f>
        <v>5.12</v>
      </c>
      <c r="K281" s="96">
        <f ca="1">HLOOKUP($H$5,'Met Data'!$O$2:$T$368,G281,FALSE)</f>
        <v>1.30717057222476</v>
      </c>
      <c r="L281">
        <f t="shared" ca="1" si="40"/>
        <v>1</v>
      </c>
      <c r="N281" t="e">
        <f t="shared" ca="1" si="45"/>
        <v>#N/A</v>
      </c>
      <c r="O281" t="e">
        <f t="shared" ca="1" si="41"/>
        <v>#N/A</v>
      </c>
      <c r="P281" s="2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W281" t="e">
        <f ca="1"/>
        <v>#N/A</v>
      </c>
      <c r="X281" t="e">
        <f ca="1"/>
        <v>#N/A</v>
      </c>
      <c r="Y281" t="e">
        <f ca="1"/>
        <v>#N/A</v>
      </c>
      <c r="Z281" t="e">
        <f ca="1"/>
        <v>#N/A</v>
      </c>
      <c r="AA281" t="e">
        <f ca="1"/>
        <v>#N/A</v>
      </c>
      <c r="AB281" t="e">
        <f ca="1"/>
        <v>#N/A</v>
      </c>
      <c r="AD281" s="2">
        <f t="shared" ca="1" si="42"/>
        <v>0</v>
      </c>
      <c r="AE281">
        <f t="shared" ca="1" si="43"/>
        <v>0</v>
      </c>
      <c r="AG281" s="63" t="e">
        <f t="shared" ca="1" si="47"/>
        <v>#N/A</v>
      </c>
      <c r="AH281" s="63" t="e">
        <f t="shared" ca="1" si="48"/>
        <v>#N/A</v>
      </c>
      <c r="AI281" s="3" t="e">
        <f t="shared" ca="1" si="49"/>
        <v>#N/A</v>
      </c>
    </row>
    <row r="282" spans="7:35">
      <c r="G282" s="3">
        <f t="shared" ca="1" si="44"/>
        <v>155</v>
      </c>
      <c r="H282" s="95">
        <f t="shared" ca="1" si="46"/>
        <v>45445</v>
      </c>
      <c r="I282" s="119">
        <f ca="1">HLOOKUP($H$5,'Met Data'!$A$2:$F$368,G282,FALSE)</f>
        <v>11.056666666666599</v>
      </c>
      <c r="J282" s="119">
        <f ca="1">HLOOKUP($H$5,'Met Data'!$H$2:$M$368,G282,FALSE)*L282</f>
        <v>2.78666666666666</v>
      </c>
      <c r="K282" s="96">
        <f ca="1">HLOOKUP($H$5,'Met Data'!$O$2:$T$368,G282,FALSE)</f>
        <v>1.4941006859236099</v>
      </c>
      <c r="L282">
        <f t="shared" ca="1" si="40"/>
        <v>1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>
        <f t="shared" ca="1" si="43"/>
        <v>0</v>
      </c>
      <c r="AG282" s="63" t="e">
        <f t="shared" ca="1" si="47"/>
        <v>#N/A</v>
      </c>
      <c r="AH282" s="63" t="e">
        <f t="shared" ca="1" si="48"/>
        <v>#N/A</v>
      </c>
      <c r="AI282" s="3" t="e">
        <f t="shared" ca="1" si="49"/>
        <v>#N/A</v>
      </c>
    </row>
    <row r="283" spans="7:35">
      <c r="G283" s="3">
        <f t="shared" ca="1" si="44"/>
        <v>156</v>
      </c>
      <c r="H283" s="95">
        <f t="shared" ca="1" si="46"/>
        <v>45446</v>
      </c>
      <c r="I283" s="119">
        <f ca="1">HLOOKUP($H$5,'Met Data'!$A$2:$F$368,G283,FALSE)</f>
        <v>11.1733333333333</v>
      </c>
      <c r="J283" s="119">
        <f ca="1">HLOOKUP($H$5,'Met Data'!$H$2:$M$368,G283,FALSE)*L283</f>
        <v>4.3899999999999997</v>
      </c>
      <c r="K283" s="96">
        <f ca="1">HLOOKUP($H$5,'Met Data'!$O$2:$T$368,G283,FALSE)</f>
        <v>1.35454855749501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157</v>
      </c>
      <c r="H284" s="95">
        <f t="shared" ca="1" si="46"/>
        <v>45447</v>
      </c>
      <c r="I284" s="119">
        <f ca="1">HLOOKUP($H$5,'Met Data'!$A$2:$F$368,G284,FALSE)</f>
        <v>11.3016666666666</v>
      </c>
      <c r="J284" s="119">
        <f ca="1">HLOOKUP($H$5,'Met Data'!$H$2:$M$368,G284,FALSE)*L284</f>
        <v>3.3633333333333302</v>
      </c>
      <c r="K284" s="96">
        <f ca="1">HLOOKUP($H$5,'Met Data'!$O$2:$T$368,G284,FALSE)</f>
        <v>1.3233452483653401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158</v>
      </c>
      <c r="H285" s="95">
        <f t="shared" ca="1" si="46"/>
        <v>45448</v>
      </c>
      <c r="I285" s="119">
        <f ca="1">HLOOKUP($H$5,'Met Data'!$A$2:$F$368,G285,FALSE)</f>
        <v>11.2416666666666</v>
      </c>
      <c r="J285" s="119">
        <f ca="1">HLOOKUP($H$5,'Met Data'!$H$2:$M$368,G285,FALSE)*L285</f>
        <v>3.4666666666666601</v>
      </c>
      <c r="K285" s="96">
        <f ca="1">HLOOKUP($H$5,'Met Data'!$O$2:$T$368,G285,FALSE)</f>
        <v>1.31169017597242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159</v>
      </c>
      <c r="H286" s="95">
        <f t="shared" ca="1" si="46"/>
        <v>45449</v>
      </c>
      <c r="I286" s="119">
        <f ca="1">HLOOKUP($H$5,'Met Data'!$A$2:$F$368,G286,FALSE)</f>
        <v>11.3533333333333</v>
      </c>
      <c r="J286" s="119">
        <f ca="1">HLOOKUP($H$5,'Met Data'!$H$2:$M$368,G286,FALSE)*L286</f>
        <v>3.12333333333333</v>
      </c>
      <c r="K286" s="96">
        <f ca="1">HLOOKUP($H$5,'Met Data'!$O$2:$T$368,G286,FALSE)</f>
        <v>1.3774495437093499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160</v>
      </c>
      <c r="H287" s="95">
        <f t="shared" ca="1" si="46"/>
        <v>45450</v>
      </c>
      <c r="I287" s="119">
        <f ca="1">HLOOKUP($H$5,'Met Data'!$A$2:$F$368,G287,FALSE)</f>
        <v>11.6383333333333</v>
      </c>
      <c r="J287" s="119">
        <f ca="1">HLOOKUP($H$5,'Met Data'!$H$2:$M$368,G287,FALSE)*L287</f>
        <v>2.8</v>
      </c>
      <c r="K287" s="96">
        <f ca="1">HLOOKUP($H$5,'Met Data'!$O$2:$T$368,G287,FALSE)</f>
        <v>1.37514607405536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161</v>
      </c>
      <c r="H288" s="95">
        <f t="shared" ca="1" si="46"/>
        <v>45451</v>
      </c>
      <c r="I288" s="119">
        <f ca="1">HLOOKUP($H$5,'Met Data'!$A$2:$F$368,G288,FALSE)</f>
        <v>12.033333333333299</v>
      </c>
      <c r="J288" s="119">
        <f ca="1">HLOOKUP($H$5,'Met Data'!$H$2:$M$368,G288,FALSE)*L288</f>
        <v>5.1033333333333299</v>
      </c>
      <c r="K288" s="96">
        <f ca="1">HLOOKUP($H$5,'Met Data'!$O$2:$T$368,G288,FALSE)</f>
        <v>1.2907055368786999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162</v>
      </c>
      <c r="H289" s="95">
        <f t="shared" ca="1" si="46"/>
        <v>45452</v>
      </c>
      <c r="I289" s="119">
        <f ca="1">HLOOKUP($H$5,'Met Data'!$A$2:$F$368,G289,FALSE)</f>
        <v>12.0483333333333</v>
      </c>
      <c r="J289" s="119">
        <f ca="1">HLOOKUP($H$5,'Met Data'!$H$2:$M$368,G289,FALSE)*L289</f>
        <v>7.0566666666666604</v>
      </c>
      <c r="K289" s="96">
        <f ca="1">HLOOKUP($H$5,'Met Data'!$O$2:$T$368,G289,FALSE)</f>
        <v>1.1704038738008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163</v>
      </c>
      <c r="H290" s="95">
        <f t="shared" ca="1" si="46"/>
        <v>45453</v>
      </c>
      <c r="I290" s="119">
        <f ca="1">HLOOKUP($H$5,'Met Data'!$A$2:$F$368,G290,FALSE)</f>
        <v>12.105</v>
      </c>
      <c r="J290" s="119">
        <f ca="1">HLOOKUP($H$5,'Met Data'!$H$2:$M$368,G290,FALSE)*L290</f>
        <v>4.8199999999999896</v>
      </c>
      <c r="K290" s="96">
        <f ca="1">HLOOKUP($H$5,'Met Data'!$O$2:$T$368,G290,FALSE)</f>
        <v>1.2848931912011301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164</v>
      </c>
      <c r="H291" s="95">
        <f t="shared" ca="1" si="46"/>
        <v>45454</v>
      </c>
      <c r="I291" s="119">
        <f ca="1">HLOOKUP($H$5,'Met Data'!$A$2:$F$368,G291,FALSE)</f>
        <v>11.93</v>
      </c>
      <c r="J291" s="119">
        <f ca="1">HLOOKUP($H$5,'Met Data'!$H$2:$M$368,G291,FALSE)*L291</f>
        <v>4.05</v>
      </c>
      <c r="K291" s="96">
        <f ca="1">HLOOKUP($H$5,'Met Data'!$O$2:$T$368,G291,FALSE)</f>
        <v>1.2113320799843399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165</v>
      </c>
      <c r="H292" s="95">
        <f t="shared" ca="1" si="46"/>
        <v>45455</v>
      </c>
      <c r="I292" s="119">
        <f ca="1">HLOOKUP($H$5,'Met Data'!$A$2:$F$368,G292,FALSE)</f>
        <v>11.734999999999999</v>
      </c>
      <c r="J292" s="119">
        <f ca="1">HLOOKUP($H$5,'Met Data'!$H$2:$M$368,G292,FALSE)*L292</f>
        <v>3.5866666666666598</v>
      </c>
      <c r="K292" s="96">
        <f ca="1">HLOOKUP($H$5,'Met Data'!$O$2:$T$368,G292,FALSE)</f>
        <v>1.4600871377923801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166</v>
      </c>
      <c r="H293" s="95">
        <f t="shared" ca="1" si="46"/>
        <v>45456</v>
      </c>
      <c r="I293" s="119">
        <f ca="1">HLOOKUP($H$5,'Met Data'!$A$2:$F$368,G293,FALSE)</f>
        <v>11.1666666666666</v>
      </c>
      <c r="J293" s="119">
        <f ca="1">HLOOKUP($H$5,'Met Data'!$H$2:$M$368,G293,FALSE)*L293</f>
        <v>3.2966666666666602</v>
      </c>
      <c r="K293" s="96">
        <f ca="1">HLOOKUP($H$5,'Met Data'!$O$2:$T$368,G293,FALSE)</f>
        <v>1.34458805503312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167</v>
      </c>
      <c r="H294" s="95">
        <f t="shared" ca="1" si="46"/>
        <v>45457</v>
      </c>
      <c r="I294" s="119">
        <f ca="1">HLOOKUP($H$5,'Met Data'!$A$2:$F$368,G294,FALSE)</f>
        <v>11.2283333333333</v>
      </c>
      <c r="J294" s="119">
        <f ca="1">HLOOKUP($H$5,'Met Data'!$H$2:$M$368,G294,FALSE)*L294</f>
        <v>6.4733333333333301</v>
      </c>
      <c r="K294" s="96">
        <f ca="1">HLOOKUP($H$5,'Met Data'!$O$2:$T$368,G294,FALSE)</f>
        <v>1.38085812732775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168</v>
      </c>
      <c r="H295" s="95">
        <f t="shared" ca="1" si="46"/>
        <v>45458</v>
      </c>
      <c r="I295" s="119">
        <f ca="1">HLOOKUP($H$5,'Met Data'!$A$2:$F$368,G295,FALSE)</f>
        <v>10.6586206896551</v>
      </c>
      <c r="J295" s="119">
        <f ca="1">HLOOKUP($H$5,'Met Data'!$H$2:$M$368,G295,FALSE)*L295</f>
        <v>4.2733333333333299</v>
      </c>
      <c r="K295" s="96">
        <f ca="1">HLOOKUP($H$5,'Met Data'!$O$2:$T$368,G295,FALSE)</f>
        <v>1.38162675040215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169</v>
      </c>
      <c r="H296" s="95">
        <f t="shared" ca="1" si="46"/>
        <v>45459</v>
      </c>
      <c r="I296" s="119">
        <f ca="1">HLOOKUP($H$5,'Met Data'!$A$2:$F$368,G296,FALSE)</f>
        <v>10.7310344827586</v>
      </c>
      <c r="J296" s="119">
        <f ca="1">HLOOKUP($H$5,'Met Data'!$H$2:$M$368,G296,FALSE)*L296</f>
        <v>4.5699999999999896</v>
      </c>
      <c r="K296" s="96">
        <f ca="1">HLOOKUP($H$5,'Met Data'!$O$2:$T$368,G296,FALSE)</f>
        <v>1.17648432087559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170</v>
      </c>
      <c r="H297" s="95">
        <f t="shared" ca="1" si="46"/>
        <v>45460</v>
      </c>
      <c r="I297" s="119">
        <f ca="1">HLOOKUP($H$5,'Met Data'!$A$2:$F$368,G297,FALSE)</f>
        <v>11.2603448275862</v>
      </c>
      <c r="J297" s="119">
        <f ca="1">HLOOKUP($H$5,'Met Data'!$H$2:$M$368,G297,FALSE)*L297</f>
        <v>4.72</v>
      </c>
      <c r="K297" s="96">
        <f ca="1">HLOOKUP($H$5,'Met Data'!$O$2:$T$368,G297,FALSE)</f>
        <v>1.1014836099696199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171</v>
      </c>
      <c r="H298" s="95">
        <f t="shared" ca="1" si="46"/>
        <v>45461</v>
      </c>
      <c r="I298" s="119">
        <f ca="1">HLOOKUP($H$5,'Met Data'!$A$2:$F$368,G298,FALSE)</f>
        <v>10.906896551724101</v>
      </c>
      <c r="J298" s="119">
        <f ca="1">HLOOKUP($H$5,'Met Data'!$H$2:$M$368,G298,FALSE)*L298</f>
        <v>4.07</v>
      </c>
      <c r="K298" s="96">
        <f ca="1">HLOOKUP($H$5,'Met Data'!$O$2:$T$368,G298,FALSE)</f>
        <v>1.1347149368896201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172</v>
      </c>
      <c r="H299" s="95">
        <f t="shared" ca="1" si="46"/>
        <v>45462</v>
      </c>
      <c r="I299" s="119">
        <f ca="1">HLOOKUP($H$5,'Met Data'!$A$2:$F$368,G299,FALSE)</f>
        <v>11.072413793103401</v>
      </c>
      <c r="J299" s="119">
        <f ca="1">HLOOKUP($H$5,'Met Data'!$H$2:$M$368,G299,FALSE)*L299</f>
        <v>5.89333333333333</v>
      </c>
      <c r="K299" s="96">
        <f ca="1">HLOOKUP($H$5,'Met Data'!$O$2:$T$368,G299,FALSE)</f>
        <v>1.25671546368113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173</v>
      </c>
      <c r="H300" s="95">
        <f t="shared" ca="1" si="46"/>
        <v>45463</v>
      </c>
      <c r="I300" s="119">
        <f ca="1">HLOOKUP($H$5,'Met Data'!$A$2:$F$368,G300,FALSE)</f>
        <v>11.1844827586206</v>
      </c>
      <c r="J300" s="119">
        <f ca="1">HLOOKUP($H$5,'Met Data'!$H$2:$M$368,G300,FALSE)*L300</f>
        <v>2.27</v>
      </c>
      <c r="K300" s="96">
        <f ca="1">HLOOKUP($H$5,'Met Data'!$O$2:$T$368,G300,FALSE)</f>
        <v>1.3590610231009399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174</v>
      </c>
      <c r="H301" s="95">
        <f t="shared" ca="1" si="46"/>
        <v>45464</v>
      </c>
      <c r="I301" s="119">
        <f ca="1">HLOOKUP($H$5,'Met Data'!$A$2:$F$368,G301,FALSE)</f>
        <v>10.84</v>
      </c>
      <c r="J301" s="119">
        <f ca="1">HLOOKUP($H$5,'Met Data'!$H$2:$M$368,G301,FALSE)*L301</f>
        <v>2.2633333333333301</v>
      </c>
      <c r="K301" s="96">
        <f ca="1">HLOOKUP($H$5,'Met Data'!$O$2:$T$368,G301,FALSE)</f>
        <v>1.3770648366319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175</v>
      </c>
      <c r="H302" s="95">
        <f t="shared" ca="1" si="46"/>
        <v>45465</v>
      </c>
      <c r="I302" s="119">
        <f ca="1">HLOOKUP($H$5,'Met Data'!$A$2:$F$368,G302,FALSE)</f>
        <v>10.578333333333299</v>
      </c>
      <c r="J302" s="119">
        <f ca="1">HLOOKUP($H$5,'Met Data'!$H$2:$M$368,G302,FALSE)*L302</f>
        <v>4.8499999999999996</v>
      </c>
      <c r="K302" s="96">
        <f ca="1">HLOOKUP($H$5,'Met Data'!$O$2:$T$368,G302,FALSE)</f>
        <v>1.14995789296724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176</v>
      </c>
      <c r="H303" s="95">
        <f t="shared" ca="1" si="46"/>
        <v>45466</v>
      </c>
      <c r="I303" s="119">
        <f ca="1">HLOOKUP($H$5,'Met Data'!$A$2:$F$368,G303,FALSE)</f>
        <v>10.6928571428571</v>
      </c>
      <c r="J303" s="119">
        <f ca="1">HLOOKUP($H$5,'Met Data'!$H$2:$M$368,G303,FALSE)*L303</f>
        <v>6.4607142857142801</v>
      </c>
      <c r="K303" s="96">
        <f ca="1">HLOOKUP($H$5,'Met Data'!$O$2:$T$368,G303,FALSE)</f>
        <v>1.1771575957217399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177</v>
      </c>
      <c r="H304" s="95">
        <f t="shared" ca="1" si="46"/>
        <v>45467</v>
      </c>
      <c r="I304" s="119">
        <f ca="1">HLOOKUP($H$5,'Met Data'!$A$2:$F$368,G304,FALSE)</f>
        <v>10.8642857142857</v>
      </c>
      <c r="J304" s="119">
        <f ca="1">HLOOKUP($H$5,'Met Data'!$H$2:$M$368,G304,FALSE)*L304</f>
        <v>8.7785714285714196</v>
      </c>
      <c r="K304" s="96">
        <f ca="1">HLOOKUP($H$5,'Met Data'!$O$2:$T$368,G304,FALSE)</f>
        <v>1.3519764431878101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178</v>
      </c>
      <c r="H305" s="95">
        <f t="shared" ca="1" si="46"/>
        <v>45468</v>
      </c>
      <c r="I305" s="119">
        <f ca="1">HLOOKUP($H$5,'Met Data'!$A$2:$F$368,G305,FALSE)</f>
        <v>10.492857142857099</v>
      </c>
      <c r="J305" s="119">
        <f ca="1">HLOOKUP($H$5,'Met Data'!$H$2:$M$368,G305,FALSE)*L305</f>
        <v>3.8</v>
      </c>
      <c r="K305" s="96">
        <f ca="1">HLOOKUP($H$5,'Met Data'!$O$2:$T$368,G305,FALSE)</f>
        <v>1.34392263247945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179</v>
      </c>
      <c r="H306" s="95">
        <f t="shared" ca="1" si="46"/>
        <v>45469</v>
      </c>
      <c r="I306" s="119">
        <f ca="1">HLOOKUP($H$5,'Met Data'!$A$2:$F$368,G306,FALSE)</f>
        <v>10.592857142857101</v>
      </c>
      <c r="J306" s="119">
        <f ca="1">HLOOKUP($H$5,'Met Data'!$H$2:$M$368,G306,FALSE)*L306</f>
        <v>2.81785714285714</v>
      </c>
      <c r="K306" s="96">
        <f ca="1">HLOOKUP($H$5,'Met Data'!$O$2:$T$368,G306,FALSE)</f>
        <v>1.47912334327964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180</v>
      </c>
      <c r="H307" s="95">
        <f t="shared" ca="1" si="46"/>
        <v>45470</v>
      </c>
      <c r="I307" s="119">
        <f ca="1">HLOOKUP($H$5,'Met Data'!$A$2:$F$368,G307,FALSE)</f>
        <v>10.465517241379301</v>
      </c>
      <c r="J307" s="119">
        <f ca="1">HLOOKUP($H$5,'Met Data'!$H$2:$M$368,G307,FALSE)*L307</f>
        <v>5.6517241379310299</v>
      </c>
      <c r="K307" s="96">
        <f ca="1">HLOOKUP($H$5,'Met Data'!$O$2:$T$368,G307,FALSE)</f>
        <v>1.2990420850019999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181</v>
      </c>
      <c r="H308" s="95">
        <f t="shared" ca="1" si="46"/>
        <v>45471</v>
      </c>
      <c r="I308" s="119">
        <f ca="1">HLOOKUP($H$5,'Met Data'!$A$2:$F$368,G308,FALSE)</f>
        <v>10.572413793103401</v>
      </c>
      <c r="J308" s="119">
        <f ca="1">HLOOKUP($H$5,'Met Data'!$H$2:$M$368,G308,FALSE)*L308</f>
        <v>5.2517241379310304</v>
      </c>
      <c r="K308" s="96">
        <f ca="1">HLOOKUP($H$5,'Met Data'!$O$2:$T$368,G308,FALSE)</f>
        <v>1.2839514040086699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182</v>
      </c>
      <c r="H309" s="95">
        <f t="shared" ca="1" si="46"/>
        <v>45472</v>
      </c>
      <c r="I309" s="119">
        <f ca="1">HLOOKUP($H$5,'Met Data'!$A$2:$F$368,G309,FALSE)</f>
        <v>10.655357142857101</v>
      </c>
      <c r="J309" s="119">
        <f ca="1">HLOOKUP($H$5,'Met Data'!$H$2:$M$368,G309,FALSE)*L309</f>
        <v>7.4689655172413696</v>
      </c>
      <c r="K309" s="96">
        <f ca="1">HLOOKUP($H$5,'Met Data'!$O$2:$T$368,G309,FALSE)</f>
        <v>1.3058632096396601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183</v>
      </c>
      <c r="H310" s="95">
        <f t="shared" ca="1" si="46"/>
        <v>45473</v>
      </c>
      <c r="I310" s="119">
        <f ca="1">HLOOKUP($H$5,'Met Data'!$A$2:$F$368,G310,FALSE)</f>
        <v>10.0517857142857</v>
      </c>
      <c r="J310" s="119">
        <f ca="1">HLOOKUP($H$5,'Met Data'!$H$2:$M$368,G310,FALSE)*L310</f>
        <v>3.5392857142857101</v>
      </c>
      <c r="K310" s="96">
        <f ca="1">HLOOKUP($H$5,'Met Data'!$O$2:$T$368,G310,FALSE)</f>
        <v>1.4482050520096601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184</v>
      </c>
      <c r="H311" s="95">
        <f t="shared" ca="1" si="46"/>
        <v>45474</v>
      </c>
      <c r="I311" s="119">
        <f ca="1">HLOOKUP($H$5,'Met Data'!$A$2:$F$368,G311,FALSE)</f>
        <v>9.5678571428571395</v>
      </c>
      <c r="J311" s="119">
        <f ca="1">HLOOKUP($H$5,'Met Data'!$H$2:$M$368,G311,FALSE)*L311</f>
        <v>4.33928571428571</v>
      </c>
      <c r="K311" s="96">
        <f ca="1">HLOOKUP($H$5,'Met Data'!$O$2:$T$368,G311,FALSE)</f>
        <v>1.3964370426983801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185</v>
      </c>
      <c r="H312" s="95">
        <f t="shared" ca="1" si="46"/>
        <v>45475</v>
      </c>
      <c r="I312" s="119">
        <f ca="1">HLOOKUP($H$5,'Met Data'!$A$2:$F$368,G312,FALSE)</f>
        <v>9.7035714285714292</v>
      </c>
      <c r="J312" s="119">
        <f ca="1">HLOOKUP($H$5,'Met Data'!$H$2:$M$368,G312,FALSE)*L312</f>
        <v>3.2666666666666599</v>
      </c>
      <c r="K312" s="96">
        <f ca="1">HLOOKUP($H$5,'Met Data'!$O$2:$T$368,G312,FALSE)</f>
        <v>1.2730824905906899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186</v>
      </c>
      <c r="H313" s="95">
        <f t="shared" ca="1" si="46"/>
        <v>45476</v>
      </c>
      <c r="I313" s="119">
        <f ca="1">HLOOKUP($H$5,'Met Data'!$A$2:$F$368,G313,FALSE)</f>
        <v>10.1785714285714</v>
      </c>
      <c r="J313" s="119">
        <f ca="1">HLOOKUP($H$5,'Met Data'!$H$2:$M$368,G313,FALSE)*L313</f>
        <v>5.2555555555555502</v>
      </c>
      <c r="K313" s="96">
        <f ca="1">HLOOKUP($H$5,'Met Data'!$O$2:$T$368,G313,FALSE)</f>
        <v>1.2896889465411501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187</v>
      </c>
      <c r="H314" s="95">
        <f t="shared" ca="1" si="46"/>
        <v>45477</v>
      </c>
      <c r="I314" s="119">
        <f ca="1">HLOOKUP($H$5,'Met Data'!$A$2:$F$368,G314,FALSE)</f>
        <v>10.675000000000001</v>
      </c>
      <c r="J314" s="119">
        <f ca="1">HLOOKUP($H$5,'Met Data'!$H$2:$M$368,G314,FALSE)*L314</f>
        <v>2.9892857142857099</v>
      </c>
      <c r="K314" s="96">
        <f ca="1">HLOOKUP($H$5,'Met Data'!$O$2:$T$368,G314,FALSE)</f>
        <v>1.4660191910043801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188</v>
      </c>
      <c r="H315" s="95">
        <f t="shared" ca="1" si="46"/>
        <v>45478</v>
      </c>
      <c r="I315" s="119">
        <f ca="1">HLOOKUP($H$5,'Met Data'!$A$2:$F$368,G315,FALSE)</f>
        <v>10.6303571428571</v>
      </c>
      <c r="J315" s="119">
        <f ca="1">HLOOKUP($H$5,'Met Data'!$H$2:$M$368,G315,FALSE)*L315</f>
        <v>4.4413793103448196</v>
      </c>
      <c r="K315" s="96">
        <f ca="1">HLOOKUP($H$5,'Met Data'!$O$2:$T$368,G315,FALSE)</f>
        <v>1.3068901655768601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189</v>
      </c>
      <c r="H316" s="95">
        <f t="shared" ca="1" si="46"/>
        <v>45479</v>
      </c>
      <c r="I316" s="119">
        <f ca="1">HLOOKUP($H$5,'Met Data'!$A$2:$F$368,G316,FALSE)</f>
        <v>10.5714285714285</v>
      </c>
      <c r="J316" s="119">
        <f ca="1">HLOOKUP($H$5,'Met Data'!$H$2:$M$368,G316,FALSE)*L316</f>
        <v>2.8758620689655099</v>
      </c>
      <c r="K316" s="96">
        <f ca="1">HLOOKUP($H$5,'Met Data'!$O$2:$T$368,G316,FALSE)</f>
        <v>1.41669004164846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190</v>
      </c>
      <c r="H317" s="95">
        <f t="shared" ca="1" si="46"/>
        <v>45480</v>
      </c>
      <c r="I317" s="119">
        <f ca="1">HLOOKUP($H$5,'Met Data'!$A$2:$F$368,G317,FALSE)</f>
        <v>10.2685185185185</v>
      </c>
      <c r="J317" s="119">
        <f ca="1">HLOOKUP($H$5,'Met Data'!$H$2:$M$368,G317,FALSE)*L317</f>
        <v>3.7892857142857101</v>
      </c>
      <c r="K317" s="96">
        <f ca="1">HLOOKUP($H$5,'Met Data'!$O$2:$T$368,G317,FALSE)</f>
        <v>1.3370081337281099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191</v>
      </c>
      <c r="H318" s="95">
        <f t="shared" ca="1" si="46"/>
        <v>45481</v>
      </c>
      <c r="I318" s="119">
        <f ca="1">HLOOKUP($H$5,'Met Data'!$A$2:$F$368,G318,FALSE)</f>
        <v>10.4166666666666</v>
      </c>
      <c r="J318" s="119">
        <f ca="1">HLOOKUP($H$5,'Met Data'!$H$2:$M$368,G318,FALSE)*L318</f>
        <v>4.8428571428571399</v>
      </c>
      <c r="K318" s="96">
        <f ca="1">HLOOKUP($H$5,'Met Data'!$O$2:$T$368,G318,FALSE)</f>
        <v>1.6936819221313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192</v>
      </c>
      <c r="H319" s="95">
        <f t="shared" ca="1" si="46"/>
        <v>45482</v>
      </c>
      <c r="I319" s="119">
        <f ca="1">HLOOKUP($H$5,'Met Data'!$A$2:$F$368,G319,FALSE)</f>
        <v>9.7703703703703706</v>
      </c>
      <c r="J319" s="119">
        <f ca="1">HLOOKUP($H$5,'Met Data'!$H$2:$M$368,G319,FALSE)*L319</f>
        <v>2.27857142857142</v>
      </c>
      <c r="K319" s="96">
        <f ca="1">HLOOKUP($H$5,'Met Data'!$O$2:$T$368,G319,FALSE)</f>
        <v>1.4303197134636301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193</v>
      </c>
      <c r="H320" s="95">
        <f t="shared" ca="1" si="46"/>
        <v>45483</v>
      </c>
      <c r="I320" s="119">
        <f ca="1">HLOOKUP($H$5,'Met Data'!$A$2:$F$368,G320,FALSE)</f>
        <v>9.4057692307692307</v>
      </c>
      <c r="J320" s="119">
        <f ca="1">HLOOKUP($H$5,'Met Data'!$H$2:$M$368,G320,FALSE)*L320</f>
        <v>4.05</v>
      </c>
      <c r="K320" s="96">
        <f ca="1">HLOOKUP($H$5,'Met Data'!$O$2:$T$368,G320,FALSE)</f>
        <v>1.34234874078288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194</v>
      </c>
      <c r="H321" s="95">
        <f t="shared" ca="1" si="46"/>
        <v>45484</v>
      </c>
      <c r="I321" s="119">
        <f ca="1">HLOOKUP($H$5,'Met Data'!$A$2:$F$368,G321,FALSE)</f>
        <v>9.7037037037037006</v>
      </c>
      <c r="J321" s="119">
        <f ca="1">HLOOKUP($H$5,'Met Data'!$H$2:$M$368,G321,FALSE)*L321</f>
        <v>7.2038461538461496</v>
      </c>
      <c r="K321" s="96">
        <f ca="1">HLOOKUP($H$5,'Met Data'!$O$2:$T$368,G321,FALSE)</f>
        <v>1.4005767318328199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195</v>
      </c>
      <c r="H322" s="95">
        <f t="shared" ca="1" si="46"/>
        <v>45485</v>
      </c>
      <c r="I322" s="119">
        <f ca="1">HLOOKUP($H$5,'Met Data'!$A$2:$F$368,G322,FALSE)</f>
        <v>9.875</v>
      </c>
      <c r="J322" s="119">
        <f ca="1">HLOOKUP($H$5,'Met Data'!$H$2:$M$368,G322,FALSE)*L322</f>
        <v>2.7366666666666601</v>
      </c>
      <c r="K322" s="96">
        <f ca="1">HLOOKUP($H$5,'Met Data'!$O$2:$T$368,G322,FALSE)</f>
        <v>1.5241946960031101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196</v>
      </c>
      <c r="H323" s="95">
        <f t="shared" ca="1" si="46"/>
        <v>45486</v>
      </c>
      <c r="I323" s="119">
        <f ca="1">HLOOKUP($H$5,'Met Data'!$A$2:$F$368,G323,FALSE)</f>
        <v>9.4732142857142794</v>
      </c>
      <c r="J323" s="119">
        <f ca="1">HLOOKUP($H$5,'Met Data'!$H$2:$M$368,G323,FALSE)*L323</f>
        <v>4.4607142857142801</v>
      </c>
      <c r="K323" s="96">
        <f ca="1">HLOOKUP($H$5,'Met Data'!$O$2:$T$368,G323,FALSE)</f>
        <v>1.1833728950226901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197</v>
      </c>
      <c r="H324" s="95">
        <f t="shared" ca="1" si="46"/>
        <v>45487</v>
      </c>
      <c r="I324" s="119">
        <f ca="1">HLOOKUP($H$5,'Met Data'!$A$2:$F$368,G324,FALSE)</f>
        <v>10.3732142857142</v>
      </c>
      <c r="J324" s="119">
        <f ca="1">HLOOKUP($H$5,'Met Data'!$H$2:$M$368,G324,FALSE)*L324</f>
        <v>6.4071428571428504</v>
      </c>
      <c r="K324" s="96">
        <f ca="1">HLOOKUP($H$5,'Met Data'!$O$2:$T$368,G324,FALSE)</f>
        <v>1.32556972588678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198</v>
      </c>
      <c r="H325" s="95">
        <f t="shared" ca="1" si="46"/>
        <v>45488</v>
      </c>
      <c r="I325" s="119">
        <f ca="1">HLOOKUP($H$5,'Met Data'!$A$2:$F$368,G325,FALSE)</f>
        <v>10.9428571428571</v>
      </c>
      <c r="J325" s="119">
        <f ca="1">HLOOKUP($H$5,'Met Data'!$H$2:$M$368,G325,FALSE)*L325</f>
        <v>5.1392857142857098</v>
      </c>
      <c r="K325" s="96">
        <f ca="1">HLOOKUP($H$5,'Met Data'!$O$2:$T$368,G325,FALSE)</f>
        <v>1.2285245260717499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199</v>
      </c>
      <c r="H326" s="95">
        <f t="shared" ca="1" si="46"/>
        <v>45489</v>
      </c>
      <c r="I326" s="119">
        <f ca="1">HLOOKUP($H$5,'Met Data'!$A$2:$F$368,G326,FALSE)</f>
        <v>10.689655172413699</v>
      </c>
      <c r="J326" s="119">
        <f ca="1">HLOOKUP($H$5,'Met Data'!$H$2:$M$368,G326,FALSE)*L326</f>
        <v>7.5433333333333303</v>
      </c>
      <c r="K326" s="96">
        <f ca="1">HLOOKUP($H$5,'Met Data'!$O$2:$T$368,G326,FALSE)</f>
        <v>1.11837858032715</v>
      </c>
      <c r="L326">
        <f t="shared" ca="1" si="40"/>
        <v>1</v>
      </c>
      <c r="N326" t="e">
        <f t="shared" ca="1" si="45"/>
        <v>#N/A</v>
      </c>
      <c r="O326" t="e">
        <f t="shared" ca="1" si="41"/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ca="1" si="42"/>
        <v>0</v>
      </c>
      <c r="AE326">
        <f t="shared" ca="1" si="43"/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ca="1" si="44"/>
        <v>200</v>
      </c>
      <c r="H327" s="95">
        <f t="shared" ca="1" si="46"/>
        <v>45490</v>
      </c>
      <c r="I327" s="119">
        <f ca="1">HLOOKUP($H$5,'Met Data'!$A$2:$F$368,G327,FALSE)</f>
        <v>10.322413793103401</v>
      </c>
      <c r="J327" s="119">
        <f ca="1">HLOOKUP($H$5,'Met Data'!$H$2:$M$368,G327,FALSE)*L327</f>
        <v>7.7933333333333303</v>
      </c>
      <c r="K327" s="96">
        <f ca="1">HLOOKUP($H$5,'Met Data'!$O$2:$T$368,G327,FALSE)</f>
        <v>1.2757644672773201</v>
      </c>
      <c r="L327">
        <f t="shared" ref="L327:L390" ca="1" si="50">IF(H327&lt;$B$32,$J$4,$J$5)</f>
        <v>1</v>
      </c>
      <c r="N327" t="e">
        <f t="shared" ca="1" si="45"/>
        <v>#N/A</v>
      </c>
      <c r="O327" t="e">
        <f t="shared" ref="O327:O390" ca="1" si="51">AND(IF(P327&gt;($P$3-1),TRUE,FALSE),IF(P327&lt;($P$4+1),TRUE,FALSE))</f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ref="AD327:AD390" ca="1" si="52">IFERROR(P327,$AD$5)</f>
        <v>0</v>
      </c>
      <c r="AE327">
        <f t="shared" ref="AE327:AE390" ca="1" si="53">IFERROR(U327,0)</f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ref="G328:G391" ca="1" si="54">H328-DATE(YEAR(H328),1,0)+1</f>
        <v>201</v>
      </c>
      <c r="H328" s="95">
        <f t="shared" ca="1" si="46"/>
        <v>45491</v>
      </c>
      <c r="I328" s="119">
        <f ca="1">HLOOKUP($H$5,'Met Data'!$A$2:$F$368,G328,FALSE)</f>
        <v>10.189655172413699</v>
      </c>
      <c r="J328" s="119">
        <f ca="1">HLOOKUP($H$5,'Met Data'!$H$2:$M$368,G328,FALSE)*L328</f>
        <v>4.3533333333333299</v>
      </c>
      <c r="K328" s="96">
        <f ca="1">HLOOKUP($H$5,'Met Data'!$O$2:$T$368,G328,FALSE)</f>
        <v>1.3903947480338801</v>
      </c>
      <c r="L328">
        <f t="shared" ca="1" si="50"/>
        <v>1</v>
      </c>
      <c r="N328" t="e">
        <f t="shared" ref="N328:N391" ca="1" si="55">IF(P328&lt;$P$4,TRUE,FALSE)</f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202</v>
      </c>
      <c r="H329" s="95">
        <f t="shared" ref="H329:H392" ca="1" si="56">H328+1</f>
        <v>45492</v>
      </c>
      <c r="I329" s="119">
        <f ca="1">HLOOKUP($H$5,'Met Data'!$A$2:$F$368,G329,FALSE)</f>
        <v>10.668333333333299</v>
      </c>
      <c r="J329" s="119">
        <f ca="1">HLOOKUP($H$5,'Met Data'!$H$2:$M$368,G329,FALSE)*L329</f>
        <v>2.8833333333333302</v>
      </c>
      <c r="K329" s="96">
        <f ca="1">HLOOKUP($H$5,'Met Data'!$O$2:$T$368,G329,FALSE)</f>
        <v>1.4312964730661999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203</v>
      </c>
      <c r="H330" s="95">
        <f t="shared" ca="1" si="56"/>
        <v>45493</v>
      </c>
      <c r="I330" s="119">
        <f ca="1">HLOOKUP($H$5,'Met Data'!$A$2:$F$368,G330,FALSE)</f>
        <v>10.181666666666599</v>
      </c>
      <c r="J330" s="119">
        <f ca="1">HLOOKUP($H$5,'Met Data'!$H$2:$M$368,G330,FALSE)*L330</f>
        <v>4.64333333333333</v>
      </c>
      <c r="K330" s="96">
        <f ca="1">HLOOKUP($H$5,'Met Data'!$O$2:$T$368,G330,FALSE)</f>
        <v>1.23251722447282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204</v>
      </c>
      <c r="H331" s="95">
        <f t="shared" ca="1" si="56"/>
        <v>45494</v>
      </c>
      <c r="I331" s="119">
        <f ca="1">HLOOKUP($H$5,'Met Data'!$A$2:$F$368,G331,FALSE)</f>
        <v>10.761666666666599</v>
      </c>
      <c r="J331" s="119">
        <f ca="1">HLOOKUP($H$5,'Met Data'!$H$2:$M$368,G331,FALSE)*L331</f>
        <v>5.7333333333333298</v>
      </c>
      <c r="K331" s="96">
        <f ca="1">HLOOKUP($H$5,'Met Data'!$O$2:$T$368,G331,FALSE)</f>
        <v>1.55725377410155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ca="1" si="47"/>
        <v>#N/A</v>
      </c>
      <c r="AH331" s="63" t="e">
        <f t="shared" ca="1" si="48"/>
        <v>#N/A</v>
      </c>
      <c r="AI331" s="3" t="e">
        <f t="shared" ca="1" si="49"/>
        <v>#N/A</v>
      </c>
    </row>
    <row r="332" spans="7:35">
      <c r="G332" s="3">
        <f t="shared" ca="1" si="54"/>
        <v>205</v>
      </c>
      <c r="H332" s="95">
        <f t="shared" ca="1" si="56"/>
        <v>45495</v>
      </c>
      <c r="I332" s="119">
        <f ca="1">HLOOKUP($H$5,'Met Data'!$A$2:$F$368,G332,FALSE)</f>
        <v>10.623333333333299</v>
      </c>
      <c r="J332" s="119">
        <f ca="1">HLOOKUP($H$5,'Met Data'!$H$2:$M$368,G332,FALSE)*L332</f>
        <v>7.9733333333333301</v>
      </c>
      <c r="K332" s="96">
        <f ca="1">HLOOKUP($H$5,'Met Data'!$O$2:$T$368,G332,FALSE)</f>
        <v>1.24522053814258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ref="AG332:AG395" ca="1" si="57">Q331+S332+T332+U332</f>
        <v>#N/A</v>
      </c>
      <c r="AH332" s="63" t="e">
        <f t="shared" ref="AH332:AH395" ca="1" si="58">Q332+R332+X332</f>
        <v>#N/A</v>
      </c>
      <c r="AI332" s="3" t="e">
        <f t="shared" ref="AI332:AI395" ca="1" si="59">AH332-AG332</f>
        <v>#N/A</v>
      </c>
    </row>
    <row r="333" spans="7:35">
      <c r="G333" s="3">
        <f t="shared" ca="1" si="54"/>
        <v>206</v>
      </c>
      <c r="H333" s="95">
        <f t="shared" ca="1" si="56"/>
        <v>45496</v>
      </c>
      <c r="I333" s="119">
        <f ca="1">HLOOKUP($H$5,'Met Data'!$A$2:$F$368,G333,FALSE)</f>
        <v>10.654999999999999</v>
      </c>
      <c r="J333" s="119">
        <f ca="1">HLOOKUP($H$5,'Met Data'!$H$2:$M$368,G333,FALSE)*L333</f>
        <v>4.2566666666666597</v>
      </c>
      <c r="K333" s="96">
        <f ca="1">HLOOKUP($H$5,'Met Data'!$O$2:$T$368,G333,FALSE)</f>
        <v>1.3859271813606999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207</v>
      </c>
      <c r="H334" s="95">
        <f t="shared" ca="1" si="56"/>
        <v>45497</v>
      </c>
      <c r="I334" s="119">
        <f ca="1">HLOOKUP($H$5,'Met Data'!$A$2:$F$368,G334,FALSE)</f>
        <v>10.085000000000001</v>
      </c>
      <c r="J334" s="119">
        <f ca="1">HLOOKUP($H$5,'Met Data'!$H$2:$M$368,G334,FALSE)*L334</f>
        <v>4.9833333333333298</v>
      </c>
      <c r="K334" s="96">
        <f ca="1">HLOOKUP($H$5,'Met Data'!$O$2:$T$368,G334,FALSE)</f>
        <v>1.45895733681155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208</v>
      </c>
      <c r="H335" s="95">
        <f t="shared" ca="1" si="56"/>
        <v>45498</v>
      </c>
      <c r="I335" s="119">
        <f ca="1">HLOOKUP($H$5,'Met Data'!$A$2:$F$368,G335,FALSE)</f>
        <v>9.99</v>
      </c>
      <c r="J335" s="119">
        <f ca="1">HLOOKUP($H$5,'Met Data'!$H$2:$M$368,G335,FALSE)*L335</f>
        <v>3.5266666666666602</v>
      </c>
      <c r="K335" s="96">
        <f ca="1">HLOOKUP($H$5,'Met Data'!$O$2:$T$368,G335,FALSE)</f>
        <v>1.3793054622795899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209</v>
      </c>
      <c r="H336" s="95">
        <f t="shared" ca="1" si="56"/>
        <v>45499</v>
      </c>
      <c r="I336" s="119">
        <f ca="1">HLOOKUP($H$5,'Met Data'!$A$2:$F$368,G336,FALSE)</f>
        <v>10.4116666666666</v>
      </c>
      <c r="J336" s="119">
        <f ca="1">HLOOKUP($H$5,'Met Data'!$H$2:$M$368,G336,FALSE)*L336</f>
        <v>5.38</v>
      </c>
      <c r="K336" s="96">
        <f ca="1">HLOOKUP($H$5,'Met Data'!$O$2:$T$368,G336,FALSE)</f>
        <v>1.53088528913385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210</v>
      </c>
      <c r="H337" s="95">
        <f t="shared" ca="1" si="56"/>
        <v>45500</v>
      </c>
      <c r="I337" s="119">
        <f ca="1">HLOOKUP($H$5,'Met Data'!$A$2:$F$368,G337,FALSE)</f>
        <v>10.494999999999999</v>
      </c>
      <c r="J337" s="119">
        <f ca="1">HLOOKUP($H$5,'Met Data'!$H$2:$M$368,G337,FALSE)*L337</f>
        <v>3.6033333333333299</v>
      </c>
      <c r="K337" s="96">
        <f ca="1">HLOOKUP($H$5,'Met Data'!$O$2:$T$368,G337,FALSE)</f>
        <v>1.5836053821317999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211</v>
      </c>
      <c r="H338" s="95">
        <f t="shared" ca="1" si="56"/>
        <v>45501</v>
      </c>
      <c r="I338" s="119">
        <f ca="1">HLOOKUP($H$5,'Met Data'!$A$2:$F$368,G338,FALSE)</f>
        <v>10.685</v>
      </c>
      <c r="J338" s="119">
        <f ca="1">HLOOKUP($H$5,'Met Data'!$H$2:$M$368,G338,FALSE)*L338</f>
        <v>5.83</v>
      </c>
      <c r="K338" s="96">
        <f ca="1">HLOOKUP($H$5,'Met Data'!$O$2:$T$368,G338,FALSE)</f>
        <v>1.6019548518300599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212</v>
      </c>
      <c r="H339" s="95">
        <f t="shared" ca="1" si="56"/>
        <v>45502</v>
      </c>
      <c r="I339" s="119">
        <f ca="1">HLOOKUP($H$5,'Met Data'!$A$2:$F$368,G339,FALSE)</f>
        <v>10.678333333333301</v>
      </c>
      <c r="J339" s="119">
        <f ca="1">HLOOKUP($H$5,'Met Data'!$H$2:$M$368,G339,FALSE)*L339</f>
        <v>2.98</v>
      </c>
      <c r="K339" s="96">
        <f ca="1">HLOOKUP($H$5,'Met Data'!$O$2:$T$368,G339,FALSE)</f>
        <v>1.6077513956073599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213</v>
      </c>
      <c r="H340" s="95">
        <f t="shared" ca="1" si="56"/>
        <v>45503</v>
      </c>
      <c r="I340" s="119">
        <f ca="1">HLOOKUP($H$5,'Met Data'!$A$2:$F$368,G340,FALSE)</f>
        <v>10.767241379310301</v>
      </c>
      <c r="J340" s="119">
        <f ca="1">HLOOKUP($H$5,'Met Data'!$H$2:$M$368,G340,FALSE)*L340</f>
        <v>4.4285714285714199</v>
      </c>
      <c r="K340" s="96">
        <f ca="1">HLOOKUP($H$5,'Met Data'!$O$2:$T$368,G340,FALSE)</f>
        <v>1.4764466109261301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214</v>
      </c>
      <c r="H341" s="95">
        <f t="shared" ca="1" si="56"/>
        <v>45504</v>
      </c>
      <c r="I341" s="119">
        <f ca="1">HLOOKUP($H$5,'Met Data'!$A$2:$F$368,G341,FALSE)</f>
        <v>10.815</v>
      </c>
      <c r="J341" s="119">
        <f ca="1">HLOOKUP($H$5,'Met Data'!$H$2:$M$368,G341,FALSE)*L341</f>
        <v>3.8533333333333299</v>
      </c>
      <c r="K341" s="96">
        <f ca="1">HLOOKUP($H$5,'Met Data'!$O$2:$T$368,G341,FALSE)</f>
        <v>1.4161434812322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215</v>
      </c>
      <c r="H342" s="95">
        <f t="shared" ca="1" si="56"/>
        <v>45505</v>
      </c>
      <c r="I342" s="119">
        <f ca="1">HLOOKUP($H$5,'Met Data'!$A$2:$F$368,G342,FALSE)</f>
        <v>11.156666666666601</v>
      </c>
      <c r="J342" s="119">
        <f ca="1">HLOOKUP($H$5,'Met Data'!$H$2:$M$368,G342,FALSE)*L342</f>
        <v>5.7666666666666604</v>
      </c>
      <c r="K342" s="96">
        <f ca="1">HLOOKUP($H$5,'Met Data'!$O$2:$T$368,G342,FALSE)</f>
        <v>1.4216364054283901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216</v>
      </c>
      <c r="H343" s="95">
        <f t="shared" ca="1" si="56"/>
        <v>45506</v>
      </c>
      <c r="I343" s="119">
        <f ca="1">HLOOKUP($H$5,'Met Data'!$A$2:$F$368,G343,FALSE)</f>
        <v>11.0879310344827</v>
      </c>
      <c r="J343" s="119">
        <f ca="1">HLOOKUP($H$5,'Met Data'!$H$2:$M$368,G343,FALSE)*L343</f>
        <v>3.2896551724137901</v>
      </c>
      <c r="K343" s="96">
        <f ca="1">HLOOKUP($H$5,'Met Data'!$O$2:$T$368,G343,FALSE)</f>
        <v>1.4857250646951901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217</v>
      </c>
      <c r="H344" s="95">
        <f t="shared" ca="1" si="56"/>
        <v>45507</v>
      </c>
      <c r="I344" s="119">
        <f ca="1">HLOOKUP($H$5,'Met Data'!$A$2:$F$368,G344,FALSE)</f>
        <v>10.9965517241379</v>
      </c>
      <c r="J344" s="119">
        <f ca="1">HLOOKUP($H$5,'Met Data'!$H$2:$M$368,G344,FALSE)*L344</f>
        <v>5.08275862068965</v>
      </c>
      <c r="K344" s="96">
        <f ca="1">HLOOKUP($H$5,'Met Data'!$O$2:$T$368,G344,FALSE)</f>
        <v>1.4618721174640501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218</v>
      </c>
      <c r="H345" s="95">
        <f t="shared" ca="1" si="56"/>
        <v>45508</v>
      </c>
      <c r="I345" s="119">
        <f ca="1">HLOOKUP($H$5,'Met Data'!$A$2:$F$368,G345,FALSE)</f>
        <v>10.706395995550601</v>
      </c>
      <c r="J345" s="119">
        <f ca="1">HLOOKUP($H$5,'Met Data'!$H$2:$M$368,G345,FALSE)*L345</f>
        <v>4.8827586206896498</v>
      </c>
      <c r="K345" s="96">
        <f ca="1">HLOOKUP($H$5,'Met Data'!$O$2:$T$368,G345,FALSE)</f>
        <v>1.3278392687764899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219</v>
      </c>
      <c r="H346" s="95">
        <f t="shared" ca="1" si="56"/>
        <v>45509</v>
      </c>
      <c r="I346" s="119">
        <f ca="1">HLOOKUP($H$5,'Met Data'!$A$2:$F$368,G346,FALSE)</f>
        <v>10.6327586206896</v>
      </c>
      <c r="J346" s="119">
        <f ca="1">HLOOKUP($H$5,'Met Data'!$H$2:$M$368,G346,FALSE)*L346</f>
        <v>4.1724137931034404</v>
      </c>
      <c r="K346" s="96">
        <f ca="1">HLOOKUP($H$5,'Met Data'!$O$2:$T$368,G346,FALSE)</f>
        <v>1.47551454127292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220</v>
      </c>
      <c r="H347" s="95">
        <f t="shared" ca="1" si="56"/>
        <v>45510</v>
      </c>
      <c r="I347" s="119">
        <f ca="1">HLOOKUP($H$5,'Met Data'!$A$2:$F$368,G347,FALSE)</f>
        <v>10.7362068965517</v>
      </c>
      <c r="J347" s="119">
        <f ca="1">HLOOKUP($H$5,'Met Data'!$H$2:$M$368,G347,FALSE)*L347</f>
        <v>3.27241379310344</v>
      </c>
      <c r="K347" s="96">
        <f ca="1">HLOOKUP($H$5,'Met Data'!$O$2:$T$368,G347,FALSE)</f>
        <v>1.4915207810797499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221</v>
      </c>
      <c r="H348" s="95">
        <f t="shared" ca="1" si="56"/>
        <v>45511</v>
      </c>
      <c r="I348" s="119">
        <f ca="1">HLOOKUP($H$5,'Met Data'!$A$2:$F$368,G348,FALSE)</f>
        <v>10.733333333333301</v>
      </c>
      <c r="J348" s="119">
        <f ca="1">HLOOKUP($H$5,'Met Data'!$H$2:$M$368,G348,FALSE)*L348</f>
        <v>2.4066666666666601</v>
      </c>
      <c r="K348" s="96">
        <f ca="1">HLOOKUP($H$5,'Met Data'!$O$2:$T$368,G348,FALSE)</f>
        <v>1.7881547154649999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222</v>
      </c>
      <c r="H349" s="95">
        <f t="shared" ca="1" si="56"/>
        <v>45512</v>
      </c>
      <c r="I349" s="119">
        <f ca="1">HLOOKUP($H$5,'Met Data'!$A$2:$F$368,G349,FALSE)</f>
        <v>10.86</v>
      </c>
      <c r="J349" s="119">
        <f ca="1">HLOOKUP($H$5,'Met Data'!$H$2:$M$368,G349,FALSE)*L349</f>
        <v>4.66</v>
      </c>
      <c r="K349" s="96">
        <f ca="1">HLOOKUP($H$5,'Met Data'!$O$2:$T$368,G349,FALSE)</f>
        <v>1.7221488940763401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223</v>
      </c>
      <c r="H350" s="95">
        <f t="shared" ca="1" si="56"/>
        <v>45513</v>
      </c>
      <c r="I350" s="119">
        <f ca="1">HLOOKUP($H$5,'Met Data'!$A$2:$F$368,G350,FALSE)</f>
        <v>10.6416666666666</v>
      </c>
      <c r="J350" s="119">
        <f ca="1">HLOOKUP($H$5,'Met Data'!$H$2:$M$368,G350,FALSE)*L350</f>
        <v>4.53666666666666</v>
      </c>
      <c r="K350" s="96">
        <f ca="1">HLOOKUP($H$5,'Met Data'!$O$2:$T$368,G350,FALSE)</f>
        <v>1.78798041526371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224</v>
      </c>
      <c r="H351" s="95">
        <f t="shared" ca="1" si="56"/>
        <v>45514</v>
      </c>
      <c r="I351" s="119">
        <f ca="1">HLOOKUP($H$5,'Met Data'!$A$2:$F$368,G351,FALSE)</f>
        <v>10.8983333333333</v>
      </c>
      <c r="J351" s="119">
        <f ca="1">HLOOKUP($H$5,'Met Data'!$H$2:$M$368,G351,FALSE)*L351</f>
        <v>5.7266666666666604</v>
      </c>
      <c r="K351" s="96">
        <f ca="1">HLOOKUP($H$5,'Met Data'!$O$2:$T$368,G351,FALSE)</f>
        <v>1.78444613895236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225</v>
      </c>
      <c r="H352" s="95">
        <f t="shared" ca="1" si="56"/>
        <v>45515</v>
      </c>
      <c r="I352" s="119">
        <f ca="1">HLOOKUP($H$5,'Met Data'!$A$2:$F$368,G352,FALSE)</f>
        <v>10.62</v>
      </c>
      <c r="J352" s="119">
        <f ca="1">HLOOKUP($H$5,'Met Data'!$H$2:$M$368,G352,FALSE)*L352</f>
        <v>3.95333333333333</v>
      </c>
      <c r="K352" s="96">
        <f ca="1">HLOOKUP($H$5,'Met Data'!$O$2:$T$368,G352,FALSE)</f>
        <v>1.79702295751458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226</v>
      </c>
      <c r="H353" s="95">
        <f t="shared" ca="1" si="56"/>
        <v>45516</v>
      </c>
      <c r="I353" s="119">
        <f ca="1">HLOOKUP($H$5,'Met Data'!$A$2:$F$368,G353,FALSE)</f>
        <v>10.851666666666601</v>
      </c>
      <c r="J353" s="119">
        <f ca="1">HLOOKUP($H$5,'Met Data'!$H$2:$M$368,G353,FALSE)*L353</f>
        <v>4.43</v>
      </c>
      <c r="K353" s="96">
        <f ca="1">HLOOKUP($H$5,'Met Data'!$O$2:$T$368,G353,FALSE)</f>
        <v>1.75622712343688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227</v>
      </c>
      <c r="H354" s="95">
        <f t="shared" ca="1" si="56"/>
        <v>45517</v>
      </c>
      <c r="I354" s="119">
        <f ca="1">HLOOKUP($H$5,'Met Data'!$A$2:$F$368,G354,FALSE)</f>
        <v>10.715517241379301</v>
      </c>
      <c r="J354" s="119">
        <f ca="1">HLOOKUP($H$5,'Met Data'!$H$2:$M$368,G354,FALSE)*L354</f>
        <v>5.1034482758620596</v>
      </c>
      <c r="K354" s="96">
        <f ca="1">HLOOKUP($H$5,'Met Data'!$O$2:$T$368,G354,FALSE)</f>
        <v>1.8143744354657301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228</v>
      </c>
      <c r="H355" s="95">
        <f t="shared" ca="1" si="56"/>
        <v>45518</v>
      </c>
      <c r="I355" s="119">
        <f ca="1">HLOOKUP($H$5,'Met Data'!$A$2:$F$368,G355,FALSE)</f>
        <v>10.171666666666599</v>
      </c>
      <c r="J355" s="119">
        <f ca="1">HLOOKUP($H$5,'Met Data'!$H$2:$M$368,G355,FALSE)*L355</f>
        <v>5.0933333333333302</v>
      </c>
      <c r="K355" s="96">
        <f ca="1">HLOOKUP($H$5,'Met Data'!$O$2:$T$368,G355,FALSE)</f>
        <v>1.7504322855227901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229</v>
      </c>
      <c r="H356" s="95">
        <f t="shared" ca="1" si="56"/>
        <v>45519</v>
      </c>
      <c r="I356" s="119">
        <f ca="1">HLOOKUP($H$5,'Met Data'!$A$2:$F$368,G356,FALSE)</f>
        <v>10.203333333333299</v>
      </c>
      <c r="J356" s="119">
        <f ca="1">HLOOKUP($H$5,'Met Data'!$H$2:$M$368,G356,FALSE)*L356</f>
        <v>4.3433333333333302</v>
      </c>
      <c r="K356" s="96">
        <f ca="1">HLOOKUP($H$5,'Met Data'!$O$2:$T$368,G356,FALSE)</f>
        <v>1.72694084936311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230</v>
      </c>
      <c r="H357" s="95">
        <f t="shared" ca="1" si="56"/>
        <v>45520</v>
      </c>
      <c r="I357" s="119">
        <f ca="1">HLOOKUP($H$5,'Met Data'!$A$2:$F$368,G357,FALSE)</f>
        <v>10.0833333333333</v>
      </c>
      <c r="J357" s="119">
        <f ca="1">HLOOKUP($H$5,'Met Data'!$H$2:$M$368,G357,FALSE)*L357</f>
        <v>5.3333333333333304</v>
      </c>
      <c r="K357" s="96">
        <f ca="1">HLOOKUP($H$5,'Met Data'!$O$2:$T$368,G357,FALSE)</f>
        <v>1.9911176675537099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231</v>
      </c>
      <c r="H358" s="95">
        <f t="shared" ca="1" si="56"/>
        <v>45521</v>
      </c>
      <c r="I358" s="119">
        <f ca="1">HLOOKUP($H$5,'Met Data'!$A$2:$F$368,G358,FALSE)</f>
        <v>10.0833333333333</v>
      </c>
      <c r="J358" s="119">
        <f ca="1">HLOOKUP($H$5,'Met Data'!$H$2:$M$368,G358,FALSE)*L358</f>
        <v>3.9433333333333298</v>
      </c>
      <c r="K358" s="96">
        <f ca="1">HLOOKUP($H$5,'Met Data'!$O$2:$T$368,G358,FALSE)</f>
        <v>1.888960132222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232</v>
      </c>
      <c r="H359" s="95">
        <f t="shared" ca="1" si="56"/>
        <v>45522</v>
      </c>
      <c r="I359" s="119">
        <f ca="1">HLOOKUP($H$5,'Met Data'!$A$2:$F$368,G359,FALSE)</f>
        <v>10.1383333333333</v>
      </c>
      <c r="J359" s="119">
        <f ca="1">HLOOKUP($H$5,'Met Data'!$H$2:$M$368,G359,FALSE)*L359</f>
        <v>3.5733333333333301</v>
      </c>
      <c r="K359" s="96">
        <f ca="1">HLOOKUP($H$5,'Met Data'!$O$2:$T$368,G359,FALSE)</f>
        <v>1.8335933724759199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233</v>
      </c>
      <c r="H360" s="95">
        <f t="shared" ca="1" si="56"/>
        <v>45523</v>
      </c>
      <c r="I360" s="119">
        <f ca="1">HLOOKUP($H$5,'Met Data'!$A$2:$F$368,G360,FALSE)</f>
        <v>10.421666666666599</v>
      </c>
      <c r="J360" s="119">
        <f ca="1">HLOOKUP($H$5,'Met Data'!$H$2:$M$368,G360,FALSE)*L360</f>
        <v>4.8033333333333301</v>
      </c>
      <c r="K360" s="96">
        <f ca="1">HLOOKUP($H$5,'Met Data'!$O$2:$T$368,G360,FALSE)</f>
        <v>1.7788236818437999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234</v>
      </c>
      <c r="H361" s="95">
        <f t="shared" ca="1" si="56"/>
        <v>45524</v>
      </c>
      <c r="I361" s="119">
        <f ca="1">HLOOKUP($H$5,'Met Data'!$A$2:$F$368,G361,FALSE)</f>
        <v>10.703333333333299</v>
      </c>
      <c r="J361" s="119">
        <f ca="1">HLOOKUP($H$5,'Met Data'!$H$2:$M$368,G361,FALSE)*L361</f>
        <v>3.9833333333333298</v>
      </c>
      <c r="K361" s="96">
        <f ca="1">HLOOKUP($H$5,'Met Data'!$O$2:$T$368,G361,FALSE)</f>
        <v>1.7879198703522201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235</v>
      </c>
      <c r="H362" s="95">
        <f t="shared" ca="1" si="56"/>
        <v>45525</v>
      </c>
      <c r="I362" s="119">
        <f ca="1">HLOOKUP($H$5,'Met Data'!$A$2:$F$368,G362,FALSE)</f>
        <v>10.8266666666666</v>
      </c>
      <c r="J362" s="119">
        <f ca="1">HLOOKUP($H$5,'Met Data'!$H$2:$M$368,G362,FALSE)*L362</f>
        <v>3.93</v>
      </c>
      <c r="K362" s="96">
        <f ca="1">HLOOKUP($H$5,'Met Data'!$O$2:$T$368,G362,FALSE)</f>
        <v>1.8884109943012299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236</v>
      </c>
      <c r="H363" s="95">
        <f t="shared" ca="1" si="56"/>
        <v>45526</v>
      </c>
      <c r="I363" s="119">
        <f ca="1">HLOOKUP($H$5,'Met Data'!$A$2:$F$368,G363,FALSE)</f>
        <v>11.0766666666666</v>
      </c>
      <c r="J363" s="119">
        <f ca="1">HLOOKUP($H$5,'Met Data'!$H$2:$M$368,G363,FALSE)*L363</f>
        <v>3.45</v>
      </c>
      <c r="K363" s="96">
        <f ca="1">HLOOKUP($H$5,'Met Data'!$O$2:$T$368,G363,FALSE)</f>
        <v>2.20927169374758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237</v>
      </c>
      <c r="H364" s="95">
        <f t="shared" ca="1" si="56"/>
        <v>45527</v>
      </c>
      <c r="I364" s="119">
        <f ca="1">HLOOKUP($H$5,'Met Data'!$A$2:$F$368,G364,FALSE)</f>
        <v>11.088333333333299</v>
      </c>
      <c r="J364" s="119">
        <f ca="1">HLOOKUP($H$5,'Met Data'!$H$2:$M$368,G364,FALSE)*L364</f>
        <v>3.2366666666666601</v>
      </c>
      <c r="K364" s="96">
        <f ca="1">HLOOKUP($H$5,'Met Data'!$O$2:$T$368,G364,FALSE)</f>
        <v>1.9660073359530601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238</v>
      </c>
      <c r="H365" s="95">
        <f t="shared" ca="1" si="56"/>
        <v>45528</v>
      </c>
      <c r="I365" s="119">
        <f ca="1">HLOOKUP($H$5,'Met Data'!$A$2:$F$368,G365,FALSE)</f>
        <v>11.283333333333299</v>
      </c>
      <c r="J365" s="119">
        <f ca="1">HLOOKUP($H$5,'Met Data'!$H$2:$M$368,G365,FALSE)*L365</f>
        <v>7.0266666666666602</v>
      </c>
      <c r="K365" s="96">
        <f ca="1">HLOOKUP($H$5,'Met Data'!$O$2:$T$368,G365,FALSE)</f>
        <v>1.72961358813406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239</v>
      </c>
      <c r="H366" s="95">
        <f t="shared" ca="1" si="56"/>
        <v>45529</v>
      </c>
      <c r="I366" s="119">
        <f ca="1">HLOOKUP($H$5,'Met Data'!$A$2:$F$368,G366,FALSE)</f>
        <v>11.1383333333333</v>
      </c>
      <c r="J366" s="119">
        <f ca="1">HLOOKUP($H$5,'Met Data'!$H$2:$M$368,G366,FALSE)*L366</f>
        <v>4.5666666666666602</v>
      </c>
      <c r="K366" s="96">
        <f ca="1">HLOOKUP($H$5,'Met Data'!$O$2:$T$368,G366,FALSE)</f>
        <v>2.0311984249146202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240</v>
      </c>
      <c r="H367" s="95">
        <f t="shared" ca="1" si="56"/>
        <v>45530</v>
      </c>
      <c r="I367" s="119">
        <f ca="1">HLOOKUP($H$5,'Met Data'!$A$2:$F$368,G367,FALSE)</f>
        <v>11.1133333333333</v>
      </c>
      <c r="J367" s="119">
        <f ca="1">HLOOKUP($H$5,'Met Data'!$H$2:$M$368,G367,FALSE)*L367</f>
        <v>2.8866666666666601</v>
      </c>
      <c r="K367" s="96">
        <f ca="1">HLOOKUP($H$5,'Met Data'!$O$2:$T$368,G367,FALSE)</f>
        <v>2.0005217214048798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241</v>
      </c>
      <c r="H368" s="95">
        <f t="shared" ca="1" si="56"/>
        <v>45531</v>
      </c>
      <c r="I368" s="119">
        <f ca="1">HLOOKUP($H$5,'Met Data'!$A$2:$F$368,G368,FALSE)</f>
        <v>10.7724137931034</v>
      </c>
      <c r="J368" s="119">
        <f ca="1">HLOOKUP($H$5,'Met Data'!$H$2:$M$368,G368,FALSE)*L368</f>
        <v>2.4862068965517201</v>
      </c>
      <c r="K368" s="96">
        <f ca="1">HLOOKUP($H$5,'Met Data'!$O$2:$T$368,G368,FALSE)</f>
        <v>2.19808146037672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242</v>
      </c>
      <c r="H369" s="95">
        <f t="shared" ca="1" si="56"/>
        <v>45532</v>
      </c>
      <c r="I369" s="119">
        <f ca="1">HLOOKUP($H$5,'Met Data'!$A$2:$F$368,G369,FALSE)</f>
        <v>10.753448275862</v>
      </c>
      <c r="J369" s="119">
        <f ca="1">HLOOKUP($H$5,'Met Data'!$H$2:$M$368,G369,FALSE)*L369</f>
        <v>2.4068965517241301</v>
      </c>
      <c r="K369" s="96">
        <f ca="1">HLOOKUP($H$5,'Met Data'!$O$2:$T$368,G369,FALSE)</f>
        <v>2.1823268558862501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243</v>
      </c>
      <c r="H370" s="95">
        <f t="shared" ca="1" si="56"/>
        <v>45533</v>
      </c>
      <c r="I370" s="119">
        <f ca="1">HLOOKUP($H$5,'Met Data'!$A$2:$F$368,G370,FALSE)</f>
        <v>10.891379310344799</v>
      </c>
      <c r="J370" s="119">
        <f ca="1">HLOOKUP($H$5,'Met Data'!$H$2:$M$368,G370,FALSE)*L370</f>
        <v>2.9931034482758601</v>
      </c>
      <c r="K370" s="96">
        <f ca="1">HLOOKUP($H$5,'Met Data'!$O$2:$T$368,G370,FALSE)</f>
        <v>1.8307871864441201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244</v>
      </c>
      <c r="H371" s="95">
        <f t="shared" ca="1" si="56"/>
        <v>45534</v>
      </c>
      <c r="I371" s="119">
        <f ca="1">HLOOKUP($H$5,'Met Data'!$A$2:$F$368,G371,FALSE)</f>
        <v>10.953448275862</v>
      </c>
      <c r="J371" s="119">
        <f ca="1">HLOOKUP($H$5,'Met Data'!$H$2:$M$368,G371,FALSE)*L371</f>
        <v>4.8862068965517196</v>
      </c>
      <c r="K371" s="96">
        <f ca="1">HLOOKUP($H$5,'Met Data'!$O$2:$T$368,G371,FALSE)</f>
        <v>2.1498109306225701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245</v>
      </c>
      <c r="H372" s="95">
        <f t="shared" ca="1" si="56"/>
        <v>45535</v>
      </c>
      <c r="I372" s="119">
        <f ca="1">HLOOKUP($H$5,'Met Data'!$A$2:$F$368,G372,FALSE)</f>
        <v>10.803333333333301</v>
      </c>
      <c r="J372" s="119">
        <f ca="1">HLOOKUP($H$5,'Met Data'!$H$2:$M$368,G372,FALSE)*L372</f>
        <v>3.05</v>
      </c>
      <c r="K372" s="96">
        <f ca="1">HLOOKUP($H$5,'Met Data'!$O$2:$T$368,G372,FALSE)</f>
        <v>2.1147026396135802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246</v>
      </c>
      <c r="H373" s="95">
        <f t="shared" ca="1" si="56"/>
        <v>45536</v>
      </c>
      <c r="I373" s="119">
        <f ca="1">HLOOKUP($H$5,'Met Data'!$A$2:$F$368,G373,FALSE)</f>
        <v>10.862068965517199</v>
      </c>
      <c r="J373" s="119">
        <f ca="1">HLOOKUP($H$5,'Met Data'!$H$2:$M$368,G373,FALSE)*L373</f>
        <v>2.8035714285714199</v>
      </c>
      <c r="K373" s="96">
        <f ca="1">HLOOKUP($H$5,'Met Data'!$O$2:$T$368,G373,FALSE)</f>
        <v>2.04836351360946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247</v>
      </c>
      <c r="H374" s="95">
        <f t="shared" ca="1" si="56"/>
        <v>45537</v>
      </c>
      <c r="I374" s="119">
        <f ca="1">HLOOKUP($H$5,'Met Data'!$A$2:$F$368,G374,FALSE)</f>
        <v>11.4379310344827</v>
      </c>
      <c r="J374" s="119">
        <f ca="1">HLOOKUP($H$5,'Met Data'!$H$2:$M$368,G374,FALSE)*L374</f>
        <v>2.2964285714285699</v>
      </c>
      <c r="K374" s="96">
        <f ca="1">HLOOKUP($H$5,'Met Data'!$O$2:$T$368,G374,FALSE)</f>
        <v>2.1933906940536101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248</v>
      </c>
      <c r="H375" s="95">
        <f t="shared" ca="1" si="56"/>
        <v>45538</v>
      </c>
      <c r="I375" s="119">
        <f ca="1">HLOOKUP($H$5,'Met Data'!$A$2:$F$368,G375,FALSE)</f>
        <v>11.5448275862068</v>
      </c>
      <c r="J375" s="119">
        <f ca="1">HLOOKUP($H$5,'Met Data'!$H$2:$M$368,G375,FALSE)*L375</f>
        <v>3.6892857142857101</v>
      </c>
      <c r="K375" s="96">
        <f ca="1">HLOOKUP($H$5,'Met Data'!$O$2:$T$368,G375,FALSE)</f>
        <v>2.0025541274337399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249</v>
      </c>
      <c r="H376" s="95">
        <f t="shared" ca="1" si="56"/>
        <v>45539</v>
      </c>
      <c r="I376" s="119">
        <f ca="1">HLOOKUP($H$5,'Met Data'!$A$2:$F$368,G376,FALSE)</f>
        <v>11.734482758620601</v>
      </c>
      <c r="J376" s="119">
        <f ca="1">HLOOKUP($H$5,'Met Data'!$H$2:$M$368,G376,FALSE)*L376</f>
        <v>5.6892857142857096</v>
      </c>
      <c r="K376" s="96">
        <f ca="1">HLOOKUP($H$5,'Met Data'!$O$2:$T$368,G376,FALSE)</f>
        <v>2.0261980789565999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250</v>
      </c>
      <c r="H377" s="95">
        <f t="shared" ca="1" si="56"/>
        <v>45540</v>
      </c>
      <c r="I377" s="119">
        <f ca="1">HLOOKUP($H$5,'Met Data'!$A$2:$F$368,G377,FALSE)</f>
        <v>11.682758620689601</v>
      </c>
      <c r="J377" s="119">
        <f ca="1">HLOOKUP($H$5,'Met Data'!$H$2:$M$368,G377,FALSE)*L377</f>
        <v>3.97586206896551</v>
      </c>
      <c r="K377" s="96">
        <f ca="1">HLOOKUP($H$5,'Met Data'!$O$2:$T$368,G377,FALSE)</f>
        <v>2.26836536246158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251</v>
      </c>
      <c r="H378" s="95">
        <f t="shared" ca="1" si="56"/>
        <v>45541</v>
      </c>
      <c r="I378" s="119">
        <f ca="1">HLOOKUP($H$5,'Met Data'!$A$2:$F$368,G378,FALSE)</f>
        <v>11.389655172413701</v>
      </c>
      <c r="J378" s="119">
        <f ca="1">HLOOKUP($H$5,'Met Data'!$H$2:$M$368,G378,FALSE)*L378</f>
        <v>2.6793103448275799</v>
      </c>
      <c r="K378" s="96">
        <f ca="1">HLOOKUP($H$5,'Met Data'!$O$2:$T$368,G378,FALSE)</f>
        <v>2.1403968231495001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252</v>
      </c>
      <c r="H379" s="95">
        <f t="shared" ca="1" si="56"/>
        <v>45542</v>
      </c>
      <c r="I379" s="119">
        <f ca="1">HLOOKUP($H$5,'Met Data'!$A$2:$F$368,G379,FALSE)</f>
        <v>11.834482758620601</v>
      </c>
      <c r="J379" s="119">
        <f ca="1">HLOOKUP($H$5,'Met Data'!$H$2:$M$368,G379,FALSE)*L379</f>
        <v>4.4310344827586201</v>
      </c>
      <c r="K379" s="96">
        <f ca="1">HLOOKUP($H$5,'Met Data'!$O$2:$T$368,G379,FALSE)</f>
        <v>2.4179314095726698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253</v>
      </c>
      <c r="H380" s="95">
        <f t="shared" ca="1" si="56"/>
        <v>45543</v>
      </c>
      <c r="I380" s="119">
        <f ca="1">HLOOKUP($H$5,'Met Data'!$A$2:$F$368,G380,FALSE)</f>
        <v>11.465</v>
      </c>
      <c r="J380" s="119">
        <f ca="1">HLOOKUP($H$5,'Met Data'!$H$2:$M$368,G380,FALSE)*L380</f>
        <v>3.6827586206896501</v>
      </c>
      <c r="K380" s="96">
        <f ca="1">HLOOKUP($H$5,'Met Data'!$O$2:$T$368,G380,FALSE)</f>
        <v>2.2362909221430498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254</v>
      </c>
      <c r="H381" s="95">
        <f t="shared" ca="1" si="56"/>
        <v>45544</v>
      </c>
      <c r="I381" s="119">
        <f ca="1">HLOOKUP($H$5,'Met Data'!$A$2:$F$368,G381,FALSE)</f>
        <v>11.62</v>
      </c>
      <c r="J381" s="119">
        <f ca="1">HLOOKUP($H$5,'Met Data'!$H$2:$M$368,G381,FALSE)*L381</f>
        <v>1.66333333333333</v>
      </c>
      <c r="K381" s="96">
        <f ca="1">HLOOKUP($H$5,'Met Data'!$O$2:$T$368,G381,FALSE)</f>
        <v>2.5120136328346701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255</v>
      </c>
      <c r="H382" s="95">
        <f t="shared" ca="1" si="56"/>
        <v>45545</v>
      </c>
      <c r="I382" s="119">
        <f ca="1">HLOOKUP($H$5,'Met Data'!$A$2:$F$368,G382,FALSE)</f>
        <v>11.7633333333333</v>
      </c>
      <c r="J382" s="119">
        <f ca="1">HLOOKUP($H$5,'Met Data'!$H$2:$M$368,G382,FALSE)*L382</f>
        <v>3.2833333333333301</v>
      </c>
      <c r="K382" s="96">
        <f ca="1">HLOOKUP($H$5,'Met Data'!$O$2:$T$368,G382,FALSE)</f>
        <v>2.3151045080086101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256</v>
      </c>
      <c r="H383" s="95">
        <f t="shared" ca="1" si="56"/>
        <v>45546</v>
      </c>
      <c r="I383" s="119">
        <f ca="1">HLOOKUP($H$5,'Met Data'!$A$2:$F$368,G383,FALSE)</f>
        <v>12.158333333333299</v>
      </c>
      <c r="J383" s="119">
        <f ca="1">HLOOKUP($H$5,'Met Data'!$H$2:$M$368,G383,FALSE)*L383</f>
        <v>3.8833333333333302</v>
      </c>
      <c r="K383" s="96">
        <f ca="1">HLOOKUP($H$5,'Met Data'!$O$2:$T$368,G383,FALSE)</f>
        <v>2.3727724062230302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257</v>
      </c>
      <c r="H384" s="95">
        <f t="shared" ca="1" si="56"/>
        <v>45547</v>
      </c>
      <c r="I384" s="119">
        <f ca="1">HLOOKUP($H$5,'Met Data'!$A$2:$F$368,G384,FALSE)</f>
        <v>11.908333333333299</v>
      </c>
      <c r="J384" s="119">
        <f ca="1">HLOOKUP($H$5,'Met Data'!$H$2:$M$368,G384,FALSE)*L384</f>
        <v>5.26</v>
      </c>
      <c r="K384" s="96">
        <f ca="1">HLOOKUP($H$5,'Met Data'!$O$2:$T$368,G384,FALSE)</f>
        <v>2.4036248389024699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258</v>
      </c>
      <c r="H385" s="95">
        <f t="shared" ca="1" si="56"/>
        <v>45548</v>
      </c>
      <c r="I385" s="119">
        <f ca="1">HLOOKUP($H$5,'Met Data'!$A$2:$F$368,G385,FALSE)</f>
        <v>12.074999999999999</v>
      </c>
      <c r="J385" s="119">
        <f ca="1">HLOOKUP($H$5,'Met Data'!$H$2:$M$368,G385,FALSE)*L385</f>
        <v>3.6933333333333298</v>
      </c>
      <c r="K385" s="96">
        <f ca="1">HLOOKUP($H$5,'Met Data'!$O$2:$T$368,G385,FALSE)</f>
        <v>2.56639010677653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259</v>
      </c>
      <c r="H386" s="95">
        <f t="shared" ca="1" si="56"/>
        <v>45549</v>
      </c>
      <c r="I386" s="119">
        <f ca="1">HLOOKUP($H$5,'Met Data'!$A$2:$F$368,G386,FALSE)</f>
        <v>12.3883333333333</v>
      </c>
      <c r="J386" s="119">
        <f ca="1">HLOOKUP($H$5,'Met Data'!$H$2:$M$368,G386,FALSE)*L386</f>
        <v>3.26</v>
      </c>
      <c r="K386" s="96">
        <f ca="1">HLOOKUP($H$5,'Met Data'!$O$2:$T$368,G386,FALSE)</f>
        <v>2.3157931057843801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260</v>
      </c>
      <c r="H387" s="95">
        <f t="shared" ca="1" si="56"/>
        <v>45550</v>
      </c>
      <c r="I387" s="119">
        <f ca="1">HLOOKUP($H$5,'Met Data'!$A$2:$F$368,G387,FALSE)</f>
        <v>12.5766666666666</v>
      </c>
      <c r="J387" s="119">
        <f ca="1">HLOOKUP($H$5,'Met Data'!$H$2:$M$368,G387,FALSE)*L387</f>
        <v>3.5999999999999899</v>
      </c>
      <c r="K387" s="96">
        <f ca="1">HLOOKUP($H$5,'Met Data'!$O$2:$T$368,G387,FALSE)</f>
        <v>2.2894884287258899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261</v>
      </c>
      <c r="H388" s="95">
        <f t="shared" ca="1" si="56"/>
        <v>45551</v>
      </c>
      <c r="I388" s="119">
        <f ca="1">HLOOKUP($H$5,'Met Data'!$A$2:$F$368,G388,FALSE)</f>
        <v>12.482258064516101</v>
      </c>
      <c r="J388" s="119">
        <f ca="1">HLOOKUP($H$5,'Met Data'!$H$2:$M$368,G388,FALSE)*L388</f>
        <v>2.73870967741935</v>
      </c>
      <c r="K388" s="96">
        <f ca="1">HLOOKUP($H$5,'Met Data'!$O$2:$T$368,G388,FALSE)</f>
        <v>2.42321708135252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262</v>
      </c>
      <c r="H389" s="95">
        <f t="shared" ca="1" si="56"/>
        <v>45552</v>
      </c>
      <c r="I389" s="119">
        <f ca="1">HLOOKUP($H$5,'Met Data'!$A$2:$F$368,G389,FALSE)</f>
        <v>12.261290322580599</v>
      </c>
      <c r="J389" s="119">
        <f ca="1">HLOOKUP($H$5,'Met Data'!$H$2:$M$368,G389,FALSE)*L389</f>
        <v>2.5741935483870901</v>
      </c>
      <c r="K389" s="96">
        <f ca="1">HLOOKUP($H$5,'Met Data'!$O$2:$T$368,G389,FALSE)</f>
        <v>2.45933848636487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263</v>
      </c>
      <c r="H390" s="95">
        <f t="shared" ca="1" si="56"/>
        <v>45553</v>
      </c>
      <c r="I390" s="119">
        <f ca="1">HLOOKUP($H$5,'Met Data'!$A$2:$F$368,G390,FALSE)</f>
        <v>12.1677419354838</v>
      </c>
      <c r="J390" s="119">
        <f ca="1">HLOOKUP($H$5,'Met Data'!$H$2:$M$368,G390,FALSE)*L390</f>
        <v>3.5774193548387001</v>
      </c>
      <c r="K390" s="96">
        <f ca="1">HLOOKUP($H$5,'Met Data'!$O$2:$T$368,G390,FALSE)</f>
        <v>2.2883058912546601</v>
      </c>
      <c r="L390">
        <f t="shared" ca="1" si="50"/>
        <v>1</v>
      </c>
      <c r="N390" t="e">
        <f t="shared" ca="1" si="55"/>
        <v>#N/A</v>
      </c>
      <c r="O390" t="e">
        <f t="shared" ca="1" si="51"/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ca="1" si="52"/>
        <v>0</v>
      </c>
      <c r="AE390">
        <f t="shared" ca="1" si="53"/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ca="1" si="54"/>
        <v>264</v>
      </c>
      <c r="H391" s="95">
        <f t="shared" ca="1" si="56"/>
        <v>45554</v>
      </c>
      <c r="I391" s="119">
        <f ca="1">HLOOKUP($H$5,'Met Data'!$A$2:$F$368,G391,FALSE)</f>
        <v>12.1064516129032</v>
      </c>
      <c r="J391" s="119">
        <f ca="1">HLOOKUP($H$5,'Met Data'!$H$2:$M$368,G391,FALSE)*L391</f>
        <v>2.6774193548387002</v>
      </c>
      <c r="K391" s="96">
        <f ca="1">HLOOKUP($H$5,'Met Data'!$O$2:$T$368,G391,FALSE)</f>
        <v>2.6656714596224198</v>
      </c>
      <c r="L391">
        <f t="shared" ref="L391:L454" ca="1" si="60">IF(H391&lt;$B$32,$J$4,$J$5)</f>
        <v>1</v>
      </c>
      <c r="N391" t="e">
        <f t="shared" ca="1" si="55"/>
        <v>#N/A</v>
      </c>
      <c r="O391" t="e">
        <f t="shared" ref="O391:O454" ca="1" si="61">AND(IF(P391&gt;($P$3-1),TRUE,FALSE),IF(P391&lt;($P$4+1),TRUE,FALSE))</f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ref="AD391:AD454" ca="1" si="62">IFERROR(P391,$AD$5)</f>
        <v>0</v>
      </c>
      <c r="AE391">
        <f t="shared" ref="AE391:AE454" ca="1" si="63">IFERROR(U391,0)</f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ref="G392:G455" ca="1" si="64">H392-DATE(YEAR(H392),1,0)+1</f>
        <v>265</v>
      </c>
      <c r="H392" s="95">
        <f t="shared" ca="1" si="56"/>
        <v>45555</v>
      </c>
      <c r="I392" s="119">
        <f ca="1">HLOOKUP($H$5,'Met Data'!$A$2:$F$368,G392,FALSE)</f>
        <v>12.012903225806401</v>
      </c>
      <c r="J392" s="119">
        <f ca="1">HLOOKUP($H$5,'Met Data'!$H$2:$M$368,G392,FALSE)*L392</f>
        <v>2.8193548387096699</v>
      </c>
      <c r="K392" s="96">
        <f ca="1">HLOOKUP($H$5,'Met Data'!$O$2:$T$368,G392,FALSE)</f>
        <v>2.6640837362866301</v>
      </c>
      <c r="L392">
        <f t="shared" ca="1" si="60"/>
        <v>1</v>
      </c>
      <c r="N392" t="e">
        <f t="shared" ref="N392:N455" ca="1" si="65">IF(P392&lt;$P$4,TRUE,FALSE)</f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266</v>
      </c>
      <c r="H393" s="95">
        <f t="shared" ref="H393:H456" ca="1" si="66">H392+1</f>
        <v>45556</v>
      </c>
      <c r="I393" s="119">
        <f ca="1">HLOOKUP($H$5,'Met Data'!$A$2:$F$368,G393,FALSE)</f>
        <v>12.1612903225806</v>
      </c>
      <c r="J393" s="119">
        <f ca="1">HLOOKUP($H$5,'Met Data'!$H$2:$M$368,G393,FALSE)*L393</f>
        <v>4.2935483870967701</v>
      </c>
      <c r="K393" s="96">
        <f ca="1">HLOOKUP($H$5,'Met Data'!$O$2:$T$368,G393,FALSE)</f>
        <v>2.5405503102234701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267</v>
      </c>
      <c r="H394" s="95">
        <f t="shared" ca="1" si="66"/>
        <v>45557</v>
      </c>
      <c r="I394" s="119">
        <f ca="1">HLOOKUP($H$5,'Met Data'!$A$2:$F$368,G394,FALSE)</f>
        <v>12.285483870967701</v>
      </c>
      <c r="J394" s="119">
        <f ca="1">HLOOKUP($H$5,'Met Data'!$H$2:$M$368,G394,FALSE)*L394</f>
        <v>3.69677419354838</v>
      </c>
      <c r="K394" s="96">
        <f ca="1">HLOOKUP($H$5,'Met Data'!$O$2:$T$368,G394,FALSE)</f>
        <v>2.75659518409562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268</v>
      </c>
      <c r="H395" s="95">
        <f t="shared" ca="1" si="66"/>
        <v>45558</v>
      </c>
      <c r="I395" s="119">
        <f ca="1">HLOOKUP($H$5,'Met Data'!$A$2:$F$368,G395,FALSE)</f>
        <v>12.7274193548387</v>
      </c>
      <c r="J395" s="119">
        <f ca="1">HLOOKUP($H$5,'Met Data'!$H$2:$M$368,G395,FALSE)*L395</f>
        <v>4.4354838709677402</v>
      </c>
      <c r="K395" s="96">
        <f ca="1">HLOOKUP($H$5,'Met Data'!$O$2:$T$368,G395,FALSE)</f>
        <v>2.4043238309259301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ca="1" si="57"/>
        <v>#N/A</v>
      </c>
      <c r="AH395" s="63" t="e">
        <f t="shared" ca="1" si="58"/>
        <v>#N/A</v>
      </c>
      <c r="AI395" s="3" t="e">
        <f t="shared" ca="1" si="59"/>
        <v>#N/A</v>
      </c>
    </row>
    <row r="396" spans="7:35">
      <c r="G396" s="3">
        <f t="shared" ca="1" si="64"/>
        <v>269</v>
      </c>
      <c r="H396" s="95">
        <f t="shared" ca="1" si="66"/>
        <v>45559</v>
      </c>
      <c r="I396" s="119">
        <f ca="1">HLOOKUP($H$5,'Met Data'!$A$2:$F$368,G396,FALSE)</f>
        <v>12.4338709677419</v>
      </c>
      <c r="J396" s="119">
        <f ca="1">HLOOKUP($H$5,'Met Data'!$H$2:$M$368,G396,FALSE)*L396</f>
        <v>3.1290322580645098</v>
      </c>
      <c r="K396" s="96">
        <f ca="1">HLOOKUP($H$5,'Met Data'!$O$2:$T$368,G396,FALSE)</f>
        <v>2.32653952570764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ref="AG396:AG459" ca="1" si="67">Q395+S396+T396+U396</f>
        <v>#N/A</v>
      </c>
      <c r="AH396" s="63" t="e">
        <f t="shared" ref="AH396:AH459" ca="1" si="68">Q396+R396+X396</f>
        <v>#N/A</v>
      </c>
      <c r="AI396" s="3" t="e">
        <f t="shared" ref="AI396:AI459" ca="1" si="69">AH396-AG396</f>
        <v>#N/A</v>
      </c>
    </row>
    <row r="397" spans="7:35">
      <c r="G397" s="3">
        <f t="shared" ca="1" si="64"/>
        <v>270</v>
      </c>
      <c r="H397" s="95">
        <f t="shared" ca="1" si="66"/>
        <v>45560</v>
      </c>
      <c r="I397" s="119">
        <f ca="1">HLOOKUP($H$5,'Met Data'!$A$2:$F$368,G397,FALSE)</f>
        <v>12.341666666666599</v>
      </c>
      <c r="J397" s="119">
        <f ca="1">HLOOKUP($H$5,'Met Data'!$H$2:$M$368,G397,FALSE)*L397</f>
        <v>4.32666666666666</v>
      </c>
      <c r="K397" s="96">
        <f ca="1">HLOOKUP($H$5,'Met Data'!$O$2:$T$368,G397,FALSE)</f>
        <v>2.5198296361703401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271</v>
      </c>
      <c r="H398" s="95">
        <f t="shared" ca="1" si="66"/>
        <v>45561</v>
      </c>
      <c r="I398" s="119">
        <f ca="1">HLOOKUP($H$5,'Met Data'!$A$2:$F$368,G398,FALSE)</f>
        <v>12.7183333333333</v>
      </c>
      <c r="J398" s="119">
        <f ca="1">HLOOKUP($H$5,'Met Data'!$H$2:$M$368,G398,FALSE)*L398</f>
        <v>2.83</v>
      </c>
      <c r="K398" s="96">
        <f ca="1">HLOOKUP($H$5,'Met Data'!$O$2:$T$368,G398,FALSE)</f>
        <v>2.6371707298843199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272</v>
      </c>
      <c r="H399" s="95">
        <f t="shared" ca="1" si="66"/>
        <v>45562</v>
      </c>
      <c r="I399" s="119">
        <f ca="1">HLOOKUP($H$5,'Met Data'!$A$2:$F$368,G399,FALSE)</f>
        <v>13.04</v>
      </c>
      <c r="J399" s="119">
        <f ca="1">HLOOKUP($H$5,'Met Data'!$H$2:$M$368,G399,FALSE)*L399</f>
        <v>4.2233333333333301</v>
      </c>
      <c r="K399" s="96">
        <f ca="1">HLOOKUP($H$5,'Met Data'!$O$2:$T$368,G399,FALSE)</f>
        <v>2.4067153885809098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273</v>
      </c>
      <c r="H400" s="95">
        <f t="shared" ca="1" si="66"/>
        <v>45563</v>
      </c>
      <c r="I400" s="119">
        <f ca="1">HLOOKUP($H$5,'Met Data'!$A$2:$F$368,G400,FALSE)</f>
        <v>13.381034482758601</v>
      </c>
      <c r="J400" s="119">
        <f ca="1">HLOOKUP($H$5,'Met Data'!$H$2:$M$368,G400,FALSE)*L400</f>
        <v>3.7620689655172401</v>
      </c>
      <c r="K400" s="96">
        <f ca="1">HLOOKUP($H$5,'Met Data'!$O$2:$T$368,G400,FALSE)</f>
        <v>2.71659484771267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274</v>
      </c>
      <c r="H401" s="95">
        <f t="shared" ca="1" si="66"/>
        <v>45564</v>
      </c>
      <c r="I401" s="119">
        <f ca="1">HLOOKUP($H$5,'Met Data'!$A$2:$F$368,G401,FALSE)</f>
        <v>13.274137931034399</v>
      </c>
      <c r="J401" s="119">
        <f ca="1">HLOOKUP($H$5,'Met Data'!$H$2:$M$368,G401,FALSE)*L401</f>
        <v>5.4793103448275797</v>
      </c>
      <c r="K401" s="96">
        <f ca="1">HLOOKUP($H$5,'Met Data'!$O$2:$T$368,G401,FALSE)</f>
        <v>2.6496213239398698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275</v>
      </c>
      <c r="H402" s="95">
        <f t="shared" ca="1" si="66"/>
        <v>45565</v>
      </c>
      <c r="I402" s="119">
        <f ca="1">HLOOKUP($H$5,'Met Data'!$A$2:$F$368,G402,FALSE)</f>
        <v>13.0233333333333</v>
      </c>
      <c r="J402" s="119">
        <f ca="1">HLOOKUP($H$5,'Met Data'!$H$2:$M$368,G402,FALSE)*L402</f>
        <v>7.2033333333333296</v>
      </c>
      <c r="K402" s="96">
        <f ca="1">HLOOKUP($H$5,'Met Data'!$O$2:$T$368,G402,FALSE)</f>
        <v>2.7120872842053001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276</v>
      </c>
      <c r="H403" s="95">
        <f t="shared" ca="1" si="66"/>
        <v>45566</v>
      </c>
      <c r="I403" s="119">
        <f ca="1">HLOOKUP($H$5,'Met Data'!$A$2:$F$368,G403,FALSE)</f>
        <v>12.938333333333301</v>
      </c>
      <c r="J403" s="119">
        <f ca="1">HLOOKUP($H$5,'Met Data'!$H$2:$M$368,G403,FALSE)*L403</f>
        <v>4.3633333333333297</v>
      </c>
      <c r="K403" s="96">
        <f ca="1">HLOOKUP($H$5,'Met Data'!$O$2:$T$368,G403,FALSE)</f>
        <v>2.5284096014561799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277</v>
      </c>
      <c r="H404" s="95">
        <f t="shared" ca="1" si="66"/>
        <v>45567</v>
      </c>
      <c r="I404" s="119">
        <f ca="1">HLOOKUP($H$5,'Met Data'!$A$2:$F$368,G404,FALSE)</f>
        <v>13.2433333333333</v>
      </c>
      <c r="J404" s="119">
        <f ca="1">HLOOKUP($H$5,'Met Data'!$H$2:$M$368,G404,FALSE)*L404</f>
        <v>5.1333333333333302</v>
      </c>
      <c r="K404" s="96">
        <f ca="1">HLOOKUP($H$5,'Met Data'!$O$2:$T$368,G404,FALSE)</f>
        <v>2.88480468453885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278</v>
      </c>
      <c r="H405" s="95">
        <f t="shared" ca="1" si="66"/>
        <v>45568</v>
      </c>
      <c r="I405" s="119">
        <f ca="1">HLOOKUP($H$5,'Met Data'!$A$2:$F$368,G405,FALSE)</f>
        <v>12.85</v>
      </c>
      <c r="J405" s="119">
        <f ca="1">HLOOKUP($H$5,'Met Data'!$H$2:$M$368,G405,FALSE)*L405</f>
        <v>2.5033333333333299</v>
      </c>
      <c r="K405" s="96">
        <f ca="1">HLOOKUP($H$5,'Met Data'!$O$2:$T$368,G405,FALSE)</f>
        <v>2.7808067783335901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279</v>
      </c>
      <c r="H406" s="95">
        <f t="shared" ca="1" si="66"/>
        <v>45569</v>
      </c>
      <c r="I406" s="119">
        <f ca="1">HLOOKUP($H$5,'Met Data'!$A$2:$F$368,G406,FALSE)</f>
        <v>12.875806451612901</v>
      </c>
      <c r="J406" s="119">
        <f ca="1">HLOOKUP($H$5,'Met Data'!$H$2:$M$368,G406,FALSE)*L406</f>
        <v>4.1354838709677404</v>
      </c>
      <c r="K406" s="96">
        <f ca="1">HLOOKUP($H$5,'Met Data'!$O$2:$T$368,G406,FALSE)</f>
        <v>3.0772949163384999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280</v>
      </c>
      <c r="H407" s="95">
        <f t="shared" ca="1" si="66"/>
        <v>45570</v>
      </c>
      <c r="I407" s="119">
        <f ca="1">HLOOKUP($H$5,'Met Data'!$A$2:$F$368,G407,FALSE)</f>
        <v>12.9966666666666</v>
      </c>
      <c r="J407" s="119">
        <f ca="1">HLOOKUP($H$5,'Met Data'!$H$2:$M$368,G407,FALSE)*L407</f>
        <v>2.96999999999999</v>
      </c>
      <c r="K407" s="96">
        <f ca="1">HLOOKUP($H$5,'Met Data'!$O$2:$T$368,G407,FALSE)</f>
        <v>3.1690364753373701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281</v>
      </c>
      <c r="H408" s="95">
        <f t="shared" ca="1" si="66"/>
        <v>45571</v>
      </c>
      <c r="I408" s="119">
        <f ca="1">HLOOKUP($H$5,'Met Data'!$A$2:$F$368,G408,FALSE)</f>
        <v>12.7633333333333</v>
      </c>
      <c r="J408" s="119">
        <f ca="1">HLOOKUP($H$5,'Met Data'!$H$2:$M$368,G408,FALSE)*L408</f>
        <v>2.61</v>
      </c>
      <c r="K408" s="96">
        <f ca="1">HLOOKUP($H$5,'Met Data'!$O$2:$T$368,G408,FALSE)</f>
        <v>2.8220150579732999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282</v>
      </c>
      <c r="H409" s="95">
        <f t="shared" ca="1" si="66"/>
        <v>45572</v>
      </c>
      <c r="I409" s="119">
        <f ca="1">HLOOKUP($H$5,'Met Data'!$A$2:$F$368,G409,FALSE)</f>
        <v>13.4816666666666</v>
      </c>
      <c r="J409" s="119">
        <f ca="1">HLOOKUP($H$5,'Met Data'!$H$2:$M$368,G409,FALSE)*L409</f>
        <v>4.0666666666666602</v>
      </c>
      <c r="K409" s="96">
        <f ca="1">HLOOKUP($H$5,'Met Data'!$O$2:$T$368,G409,FALSE)</f>
        <v>2.68549157073894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283</v>
      </c>
      <c r="H410" s="95">
        <f t="shared" ca="1" si="66"/>
        <v>45573</v>
      </c>
      <c r="I410" s="119">
        <f ca="1">HLOOKUP($H$5,'Met Data'!$A$2:$F$368,G410,FALSE)</f>
        <v>13.6933333333333</v>
      </c>
      <c r="J410" s="119">
        <f ca="1">HLOOKUP($H$5,'Met Data'!$H$2:$M$368,G410,FALSE)*L410</f>
        <v>4.22</v>
      </c>
      <c r="K410" s="96">
        <f ca="1">HLOOKUP($H$5,'Met Data'!$O$2:$T$368,G410,FALSE)</f>
        <v>2.6969590648562201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284</v>
      </c>
      <c r="H411" s="95">
        <f t="shared" ca="1" si="66"/>
        <v>45574</v>
      </c>
      <c r="I411" s="119">
        <f ca="1">HLOOKUP($H$5,'Met Data'!$A$2:$F$368,G411,FALSE)</f>
        <v>12.9568965517241</v>
      </c>
      <c r="J411" s="119">
        <f ca="1">HLOOKUP($H$5,'Met Data'!$H$2:$M$368,G411,FALSE)*L411</f>
        <v>4.5966666666666596</v>
      </c>
      <c r="K411" s="96">
        <f ca="1">HLOOKUP($H$5,'Met Data'!$O$2:$T$368,G411,FALSE)</f>
        <v>2.9040985917251398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285</v>
      </c>
      <c r="H412" s="95">
        <f t="shared" ca="1" si="66"/>
        <v>45575</v>
      </c>
      <c r="I412" s="119">
        <f ca="1">HLOOKUP($H$5,'Met Data'!$A$2:$F$368,G412,FALSE)</f>
        <v>13.2293103448275</v>
      </c>
      <c r="J412" s="119">
        <f ca="1">HLOOKUP($H$5,'Met Data'!$H$2:$M$368,G412,FALSE)*L412</f>
        <v>2.3896551724137902</v>
      </c>
      <c r="K412" s="96">
        <f ca="1">HLOOKUP($H$5,'Met Data'!$O$2:$T$368,G412,FALSE)</f>
        <v>2.90858576113735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286</v>
      </c>
      <c r="H413" s="95">
        <f t="shared" ca="1" si="66"/>
        <v>45576</v>
      </c>
      <c r="I413" s="119">
        <f ca="1">HLOOKUP($H$5,'Met Data'!$A$2:$F$368,G413,FALSE)</f>
        <v>13.7431034482758</v>
      </c>
      <c r="J413" s="119">
        <f ca="1">HLOOKUP($H$5,'Met Data'!$H$2:$M$368,G413,FALSE)*L413</f>
        <v>5.39310344827586</v>
      </c>
      <c r="K413" s="96">
        <f ca="1">HLOOKUP($H$5,'Met Data'!$O$2:$T$368,G413,FALSE)</f>
        <v>2.9187130451018599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287</v>
      </c>
      <c r="H414" s="95">
        <f t="shared" ca="1" si="66"/>
        <v>45577</v>
      </c>
      <c r="I414" s="119">
        <f ca="1">HLOOKUP($H$5,'Met Data'!$A$2:$F$368,G414,FALSE)</f>
        <v>13.6551724137931</v>
      </c>
      <c r="J414" s="119">
        <f ca="1">HLOOKUP($H$5,'Met Data'!$H$2:$M$368,G414,FALSE)*L414</f>
        <v>4.9586206896551701</v>
      </c>
      <c r="K414" s="96">
        <f ca="1">HLOOKUP($H$5,'Met Data'!$O$2:$T$368,G414,FALSE)</f>
        <v>2.9944315874670302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288</v>
      </c>
      <c r="H415" s="95">
        <f t="shared" ca="1" si="66"/>
        <v>45578</v>
      </c>
      <c r="I415" s="119">
        <f ca="1">HLOOKUP($H$5,'Met Data'!$A$2:$F$368,G415,FALSE)</f>
        <v>13.334482758620601</v>
      </c>
      <c r="J415" s="119">
        <f ca="1">HLOOKUP($H$5,'Met Data'!$H$2:$M$368,G415,FALSE)*L415</f>
        <v>5.6758620689655102</v>
      </c>
      <c r="K415" s="96">
        <f ca="1">HLOOKUP($H$5,'Met Data'!$O$2:$T$368,G415,FALSE)</f>
        <v>2.9220059834019998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289</v>
      </c>
      <c r="H416" s="95">
        <f t="shared" ca="1" si="66"/>
        <v>45579</v>
      </c>
      <c r="I416" s="119">
        <f ca="1">HLOOKUP($H$5,'Met Data'!$A$2:$F$368,G416,FALSE)</f>
        <v>13.0379310344827</v>
      </c>
      <c r="J416" s="119">
        <f ca="1">HLOOKUP($H$5,'Met Data'!$H$2:$M$368,G416,FALSE)*L416</f>
        <v>5.9344827586206899</v>
      </c>
      <c r="K416" s="96">
        <f ca="1">HLOOKUP($H$5,'Met Data'!$O$2:$T$368,G416,FALSE)</f>
        <v>3.1812494285264998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290</v>
      </c>
      <c r="H417" s="95">
        <f t="shared" ca="1" si="66"/>
        <v>45580</v>
      </c>
      <c r="I417" s="119">
        <f ca="1">HLOOKUP($H$5,'Met Data'!$A$2:$F$368,G417,FALSE)</f>
        <v>13.094827586206801</v>
      </c>
      <c r="J417" s="119">
        <f ca="1">HLOOKUP($H$5,'Met Data'!$H$2:$M$368,G417,FALSE)*L417</f>
        <v>3.2862068965517199</v>
      </c>
      <c r="K417" s="96">
        <f ca="1">HLOOKUP($H$5,'Met Data'!$O$2:$T$368,G417,FALSE)</f>
        <v>3.1846462671739202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291</v>
      </c>
      <c r="H418" s="95">
        <f t="shared" ca="1" si="66"/>
        <v>45581</v>
      </c>
      <c r="I418" s="119">
        <f ca="1">HLOOKUP($H$5,'Met Data'!$A$2:$F$368,G418,FALSE)</f>
        <v>13.6775862068965</v>
      </c>
      <c r="J418" s="119">
        <f ca="1">HLOOKUP($H$5,'Met Data'!$H$2:$M$368,G418,FALSE)*L418</f>
        <v>3.4241379310344802</v>
      </c>
      <c r="K418" s="96">
        <f ca="1">HLOOKUP($H$5,'Met Data'!$O$2:$T$368,G418,FALSE)</f>
        <v>3.2300602691540199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292</v>
      </c>
      <c r="H419" s="95">
        <f t="shared" ca="1" si="66"/>
        <v>45582</v>
      </c>
      <c r="I419" s="119">
        <f ca="1">HLOOKUP($H$5,'Met Data'!$A$2:$F$368,G419,FALSE)</f>
        <v>13.189655172413699</v>
      </c>
      <c r="J419" s="119">
        <f ca="1">HLOOKUP($H$5,'Met Data'!$H$2:$M$368,G419,FALSE)*L419</f>
        <v>3.6586206896551698</v>
      </c>
      <c r="K419" s="96">
        <f ca="1">HLOOKUP($H$5,'Met Data'!$O$2:$T$368,G419,FALSE)</f>
        <v>2.98673361950474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293</v>
      </c>
      <c r="H420" s="95">
        <f t="shared" ca="1" si="66"/>
        <v>45583</v>
      </c>
      <c r="I420" s="119">
        <f ca="1">HLOOKUP($H$5,'Met Data'!$A$2:$F$368,G420,FALSE)</f>
        <v>12.9428571428571</v>
      </c>
      <c r="J420" s="119">
        <f ca="1">HLOOKUP($H$5,'Met Data'!$H$2:$M$368,G420,FALSE)*L420</f>
        <v>2.3892857142857098</v>
      </c>
      <c r="K420" s="96">
        <f ca="1">HLOOKUP($H$5,'Met Data'!$O$2:$T$368,G420,FALSE)</f>
        <v>3.3877860671285598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294</v>
      </c>
      <c r="H421" s="95">
        <f t="shared" ca="1" si="66"/>
        <v>45584</v>
      </c>
      <c r="I421" s="119">
        <f ca="1">HLOOKUP($H$5,'Met Data'!$A$2:$F$368,G421,FALSE)</f>
        <v>12.819642857142799</v>
      </c>
      <c r="J421" s="119">
        <f ca="1">HLOOKUP($H$5,'Met Data'!$H$2:$M$368,G421,FALSE)*L421</f>
        <v>1.6142857142857101</v>
      </c>
      <c r="K421" s="96">
        <f ca="1">HLOOKUP($H$5,'Met Data'!$O$2:$T$368,G421,FALSE)</f>
        <v>3.30175747979975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295</v>
      </c>
      <c r="H422" s="95">
        <f t="shared" ca="1" si="66"/>
        <v>45585</v>
      </c>
      <c r="I422" s="119">
        <f ca="1">HLOOKUP($H$5,'Met Data'!$A$2:$F$368,G422,FALSE)</f>
        <v>13.2785714285714</v>
      </c>
      <c r="J422" s="119">
        <f ca="1">HLOOKUP($H$5,'Met Data'!$H$2:$M$368,G422,FALSE)*L422</f>
        <v>2.9214285714285699</v>
      </c>
      <c r="K422" s="96">
        <f ca="1">HLOOKUP($H$5,'Met Data'!$O$2:$T$368,G422,FALSE)</f>
        <v>2.9372247945615499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296</v>
      </c>
      <c r="H423" s="95">
        <f t="shared" ca="1" si="66"/>
        <v>45586</v>
      </c>
      <c r="I423" s="119">
        <f ca="1">HLOOKUP($H$5,'Met Data'!$A$2:$F$368,G423,FALSE)</f>
        <v>13.5625</v>
      </c>
      <c r="J423" s="119">
        <f ca="1">HLOOKUP($H$5,'Met Data'!$H$2:$M$368,G423,FALSE)*L423</f>
        <v>3.3499999999999899</v>
      </c>
      <c r="K423" s="96">
        <f ca="1">HLOOKUP($H$5,'Met Data'!$O$2:$T$368,G423,FALSE)</f>
        <v>2.9112128548041598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297</v>
      </c>
      <c r="H424" s="95">
        <f t="shared" ca="1" si="66"/>
        <v>45587</v>
      </c>
      <c r="I424" s="119">
        <f ca="1">HLOOKUP($H$5,'Met Data'!$A$2:$F$368,G424,FALSE)</f>
        <v>13.9310344827586</v>
      </c>
      <c r="J424" s="119">
        <f ca="1">HLOOKUP($H$5,'Met Data'!$H$2:$M$368,G424,FALSE)*L424</f>
        <v>4.6137931034482698</v>
      </c>
      <c r="K424" s="96">
        <f ca="1">HLOOKUP($H$5,'Met Data'!$O$2:$T$368,G424,FALSE)</f>
        <v>3.5318790230099002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298</v>
      </c>
      <c r="H425" s="95">
        <f t="shared" ca="1" si="66"/>
        <v>45588</v>
      </c>
      <c r="I425" s="119">
        <f ca="1">HLOOKUP($H$5,'Met Data'!$A$2:$F$368,G425,FALSE)</f>
        <v>13.336206896551699</v>
      </c>
      <c r="J425" s="119">
        <f ca="1">HLOOKUP($H$5,'Met Data'!$H$2:$M$368,G425,FALSE)*L425</f>
        <v>3.30689655172413</v>
      </c>
      <c r="K425" s="96">
        <f ca="1">HLOOKUP($H$5,'Met Data'!$O$2:$T$368,G425,FALSE)</f>
        <v>3.2578637469081699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299</v>
      </c>
      <c r="H426" s="95">
        <f t="shared" ca="1" si="66"/>
        <v>45589</v>
      </c>
      <c r="I426" s="119">
        <f ca="1">HLOOKUP($H$5,'Met Data'!$A$2:$F$368,G426,FALSE)</f>
        <v>13.789655172413701</v>
      </c>
      <c r="J426" s="119">
        <f ca="1">HLOOKUP($H$5,'Met Data'!$H$2:$M$368,G426,FALSE)*L426</f>
        <v>1.8172413793103399</v>
      </c>
      <c r="K426" s="96">
        <f ca="1">HLOOKUP($H$5,'Met Data'!$O$2:$T$368,G426,FALSE)</f>
        <v>3.4101531049699898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300</v>
      </c>
      <c r="H427" s="95">
        <f t="shared" ca="1" si="66"/>
        <v>45590</v>
      </c>
      <c r="I427" s="119">
        <f ca="1">HLOOKUP($H$5,'Met Data'!$A$2:$F$368,G427,FALSE)</f>
        <v>14.0810344827586</v>
      </c>
      <c r="J427" s="119">
        <f ca="1">HLOOKUP($H$5,'Met Data'!$H$2:$M$368,G427,FALSE)*L427</f>
        <v>0.78965517241379302</v>
      </c>
      <c r="K427" s="96">
        <f ca="1">HLOOKUP($H$5,'Met Data'!$O$2:$T$368,G427,FALSE)</f>
        <v>3.2764418127891499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301</v>
      </c>
      <c r="H428" s="95">
        <f t="shared" ca="1" si="66"/>
        <v>45591</v>
      </c>
      <c r="I428" s="119">
        <f ca="1">HLOOKUP($H$5,'Met Data'!$A$2:$F$368,G428,FALSE)</f>
        <v>14.8396551724137</v>
      </c>
      <c r="J428" s="119">
        <f ca="1">HLOOKUP($H$5,'Met Data'!$H$2:$M$368,G428,FALSE)*L428</f>
        <v>3.4241379310344802</v>
      </c>
      <c r="K428" s="96">
        <f ca="1">HLOOKUP($H$5,'Met Data'!$O$2:$T$368,G428,FALSE)</f>
        <v>3.3023555527193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302</v>
      </c>
      <c r="H429" s="95">
        <f t="shared" ca="1" si="66"/>
        <v>45592</v>
      </c>
      <c r="I429" s="119">
        <f ca="1">HLOOKUP($H$5,'Met Data'!$A$2:$F$368,G429,FALSE)</f>
        <v>14.274137931034399</v>
      </c>
      <c r="J429" s="119">
        <f ca="1">HLOOKUP($H$5,'Met Data'!$H$2:$M$368,G429,FALSE)*L429</f>
        <v>4.16206896551724</v>
      </c>
      <c r="K429" s="96">
        <f ca="1">HLOOKUP($H$5,'Met Data'!$O$2:$T$368,G429,FALSE)</f>
        <v>2.9394492851949701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303</v>
      </c>
      <c r="H430" s="95">
        <f t="shared" ca="1" si="66"/>
        <v>45593</v>
      </c>
      <c r="I430" s="119">
        <f ca="1">HLOOKUP($H$5,'Met Data'!$A$2:$F$368,G430,FALSE)</f>
        <v>14.29</v>
      </c>
      <c r="J430" s="119">
        <f ca="1">HLOOKUP($H$5,'Met Data'!$H$2:$M$368,G430,FALSE)*L430</f>
        <v>2.4933333333333301</v>
      </c>
      <c r="K430" s="96">
        <f ca="1">HLOOKUP($H$5,'Met Data'!$O$2:$T$368,G430,FALSE)</f>
        <v>3.1793308523033601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304</v>
      </c>
      <c r="H431" s="95">
        <f t="shared" ca="1" si="66"/>
        <v>45594</v>
      </c>
      <c r="I431" s="119">
        <f ca="1">HLOOKUP($H$5,'Met Data'!$A$2:$F$368,G431,FALSE)</f>
        <v>14.715</v>
      </c>
      <c r="J431" s="119">
        <f ca="1">HLOOKUP($H$5,'Met Data'!$H$2:$M$368,G431,FALSE)*L431</f>
        <v>1.99</v>
      </c>
      <c r="K431" s="96">
        <f ca="1">HLOOKUP($H$5,'Met Data'!$O$2:$T$368,G431,FALSE)</f>
        <v>3.2908149619424898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305</v>
      </c>
      <c r="H432" s="95">
        <f t="shared" ca="1" si="66"/>
        <v>45595</v>
      </c>
      <c r="I432" s="119">
        <f ca="1">HLOOKUP($H$5,'Met Data'!$A$2:$F$368,G432,FALSE)</f>
        <v>14.5266666666666</v>
      </c>
      <c r="J432" s="119">
        <f ca="1">HLOOKUP($H$5,'Met Data'!$H$2:$M$368,G432,FALSE)*L432</f>
        <v>1.75</v>
      </c>
      <c r="K432" s="96">
        <f ca="1">HLOOKUP($H$5,'Met Data'!$O$2:$T$368,G432,FALSE)</f>
        <v>3.7910621493299299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306</v>
      </c>
      <c r="H433" s="95">
        <f t="shared" ca="1" si="66"/>
        <v>45596</v>
      </c>
      <c r="I433" s="119">
        <f ca="1">HLOOKUP($H$5,'Met Data'!$A$2:$F$368,G433,FALSE)</f>
        <v>14.0416666666666</v>
      </c>
      <c r="J433" s="119">
        <f ca="1">HLOOKUP($H$5,'Met Data'!$H$2:$M$368,G433,FALSE)*L433</f>
        <v>2.11666666666666</v>
      </c>
      <c r="K433" s="96">
        <f ca="1">HLOOKUP($H$5,'Met Data'!$O$2:$T$368,G433,FALSE)</f>
        <v>3.7273958064413302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307</v>
      </c>
      <c r="H434" s="95">
        <f t="shared" ca="1" si="66"/>
        <v>45597</v>
      </c>
      <c r="I434" s="119">
        <f ca="1">HLOOKUP($H$5,'Met Data'!$A$2:$F$368,G434,FALSE)</f>
        <v>14.098333333333301</v>
      </c>
      <c r="J434" s="119">
        <f ca="1">HLOOKUP($H$5,'Met Data'!$H$2:$M$368,G434,FALSE)*L434</f>
        <v>0.94</v>
      </c>
      <c r="K434" s="96">
        <f ca="1">HLOOKUP($H$5,'Met Data'!$O$2:$T$368,G434,FALSE)</f>
        <v>3.7508089301659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308</v>
      </c>
      <c r="H435" s="95">
        <f t="shared" ca="1" si="66"/>
        <v>45598</v>
      </c>
      <c r="I435" s="119">
        <f ca="1">HLOOKUP($H$5,'Met Data'!$A$2:$F$368,G435,FALSE)</f>
        <v>13.9933333333333</v>
      </c>
      <c r="J435" s="119">
        <f ca="1">HLOOKUP($H$5,'Met Data'!$H$2:$M$368,G435,FALSE)*L435</f>
        <v>2.42</v>
      </c>
      <c r="K435" s="96">
        <f ca="1">HLOOKUP($H$5,'Met Data'!$O$2:$T$368,G435,FALSE)</f>
        <v>3.2496546498492198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309</v>
      </c>
      <c r="H436" s="95">
        <f t="shared" ca="1" si="66"/>
        <v>45599</v>
      </c>
      <c r="I436" s="119">
        <f ca="1">HLOOKUP($H$5,'Met Data'!$A$2:$F$368,G436,FALSE)</f>
        <v>14.2016666666666</v>
      </c>
      <c r="J436" s="119">
        <f ca="1">HLOOKUP($H$5,'Met Data'!$H$2:$M$368,G436,FALSE)*L436</f>
        <v>3.21999999999999</v>
      </c>
      <c r="K436" s="96">
        <f ca="1">HLOOKUP($H$5,'Met Data'!$O$2:$T$368,G436,FALSE)</f>
        <v>3.3917308243993398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310</v>
      </c>
      <c r="H437" s="95">
        <f t="shared" ca="1" si="66"/>
        <v>45600</v>
      </c>
      <c r="I437" s="119">
        <f ca="1">HLOOKUP($H$5,'Met Data'!$A$2:$F$368,G437,FALSE)</f>
        <v>14.5483333333333</v>
      </c>
      <c r="J437" s="119">
        <f ca="1">HLOOKUP($H$5,'Met Data'!$H$2:$M$368,G437,FALSE)*L437</f>
        <v>6.2166666666666597</v>
      </c>
      <c r="K437" s="96">
        <f ca="1">HLOOKUP($H$5,'Met Data'!$O$2:$T$368,G437,FALSE)</f>
        <v>3.4940085056696999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311</v>
      </c>
      <c r="H438" s="95">
        <f t="shared" ca="1" si="66"/>
        <v>45601</v>
      </c>
      <c r="I438" s="119">
        <f ca="1">HLOOKUP($H$5,'Met Data'!$A$2:$F$368,G438,FALSE)</f>
        <v>14.156666666666601</v>
      </c>
      <c r="J438" s="119">
        <f ca="1">HLOOKUP($H$5,'Met Data'!$H$2:$M$368,G438,FALSE)*L438</f>
        <v>4.1999999999999904</v>
      </c>
      <c r="K438" s="96">
        <f ca="1">HLOOKUP($H$5,'Met Data'!$O$2:$T$368,G438,FALSE)</f>
        <v>3.6290518837480299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312</v>
      </c>
      <c r="H439" s="95">
        <f t="shared" ca="1" si="66"/>
        <v>45602</v>
      </c>
      <c r="I439" s="119">
        <f ca="1">HLOOKUP($H$5,'Met Data'!$A$2:$F$368,G439,FALSE)</f>
        <v>14.466666666666599</v>
      </c>
      <c r="J439" s="119">
        <f ca="1">HLOOKUP($H$5,'Met Data'!$H$2:$M$368,G439,FALSE)*L439</f>
        <v>4.18333333333333</v>
      </c>
      <c r="K439" s="96">
        <f ca="1">HLOOKUP($H$5,'Met Data'!$O$2:$T$368,G439,FALSE)</f>
        <v>3.3196725038188899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313</v>
      </c>
      <c r="H440" s="95">
        <f t="shared" ca="1" si="66"/>
        <v>45603</v>
      </c>
      <c r="I440" s="119">
        <f ca="1">HLOOKUP($H$5,'Met Data'!$A$2:$F$368,G440,FALSE)</f>
        <v>14.7283333333333</v>
      </c>
      <c r="J440" s="119">
        <f ca="1">HLOOKUP($H$5,'Met Data'!$H$2:$M$368,G440,FALSE)*L440</f>
        <v>3.4833333333333298</v>
      </c>
      <c r="K440" s="96">
        <f ca="1">HLOOKUP($H$5,'Met Data'!$O$2:$T$368,G440,FALSE)</f>
        <v>3.5694722560107999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314</v>
      </c>
      <c r="H441" s="95">
        <f t="shared" ca="1" si="66"/>
        <v>45604</v>
      </c>
      <c r="I441" s="119">
        <f ca="1">HLOOKUP($H$5,'Met Data'!$A$2:$F$368,G441,FALSE)</f>
        <v>14.37</v>
      </c>
      <c r="J441" s="119">
        <f ca="1">HLOOKUP($H$5,'Met Data'!$H$2:$M$368,G441,FALSE)*L441</f>
        <v>3.5433333333333299</v>
      </c>
      <c r="K441" s="96">
        <f ca="1">HLOOKUP($H$5,'Met Data'!$O$2:$T$368,G441,FALSE)</f>
        <v>3.5998767062500399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315</v>
      </c>
      <c r="H442" s="95">
        <f t="shared" ca="1" si="66"/>
        <v>45605</v>
      </c>
      <c r="I442" s="119">
        <f ca="1">HLOOKUP($H$5,'Met Data'!$A$2:$F$368,G442,FALSE)</f>
        <v>14.7216666666666</v>
      </c>
      <c r="J442" s="119">
        <f ca="1">HLOOKUP($H$5,'Met Data'!$H$2:$M$368,G442,FALSE)*L442</f>
        <v>2.9033333333333302</v>
      </c>
      <c r="K442" s="96">
        <f ca="1">HLOOKUP($H$5,'Met Data'!$O$2:$T$368,G442,FALSE)</f>
        <v>3.8854632375309301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316</v>
      </c>
      <c r="H443" s="95">
        <f t="shared" ca="1" si="66"/>
        <v>45606</v>
      </c>
      <c r="I443" s="119">
        <f ca="1">HLOOKUP($H$5,'Met Data'!$A$2:$F$368,G443,FALSE)</f>
        <v>14.816666666666601</v>
      </c>
      <c r="J443" s="119">
        <f ca="1">HLOOKUP($H$5,'Met Data'!$H$2:$M$368,G443,FALSE)*L443</f>
        <v>1.5433333333333299</v>
      </c>
      <c r="K443" s="96">
        <f ca="1">HLOOKUP($H$5,'Met Data'!$O$2:$T$368,G443,FALSE)</f>
        <v>3.4766729681443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317</v>
      </c>
      <c r="H444" s="95">
        <f t="shared" ca="1" si="66"/>
        <v>45607</v>
      </c>
      <c r="I444" s="119">
        <f ca="1">HLOOKUP($H$5,'Met Data'!$A$2:$F$368,G444,FALSE)</f>
        <v>14.7883333333333</v>
      </c>
      <c r="J444" s="119">
        <f ca="1">HLOOKUP($H$5,'Met Data'!$H$2:$M$368,G444,FALSE)*L444</f>
        <v>3.6066666666666598</v>
      </c>
      <c r="K444" s="96">
        <f ca="1">HLOOKUP($H$5,'Met Data'!$O$2:$T$368,G444,FALSE)</f>
        <v>3.49823939059966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318</v>
      </c>
      <c r="H445" s="95">
        <f t="shared" ca="1" si="66"/>
        <v>45608</v>
      </c>
      <c r="I445" s="119">
        <f ca="1">HLOOKUP($H$5,'Met Data'!$A$2:$F$368,G445,FALSE)</f>
        <v>14.5583333333333</v>
      </c>
      <c r="J445" s="119">
        <f ca="1">HLOOKUP($H$5,'Met Data'!$H$2:$M$368,G445,FALSE)*L445</f>
        <v>3.0633333333333299</v>
      </c>
      <c r="K445" s="96">
        <f ca="1">HLOOKUP($H$5,'Met Data'!$O$2:$T$368,G445,FALSE)</f>
        <v>3.8424324154218401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319</v>
      </c>
      <c r="H446" s="95">
        <f t="shared" ca="1" si="66"/>
        <v>45609</v>
      </c>
      <c r="I446" s="119">
        <f ca="1">HLOOKUP($H$5,'Met Data'!$A$2:$F$368,G446,FALSE)</f>
        <v>14.5066666666666</v>
      </c>
      <c r="J446" s="119">
        <f ca="1">HLOOKUP($H$5,'Met Data'!$H$2:$M$368,G446,FALSE)*L446</f>
        <v>3.2933333333333299</v>
      </c>
      <c r="K446" s="96">
        <f ca="1">HLOOKUP($H$5,'Met Data'!$O$2:$T$368,G446,FALSE)</f>
        <v>3.93837814578281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320</v>
      </c>
      <c r="H447" s="95">
        <f t="shared" ca="1" si="66"/>
        <v>45610</v>
      </c>
      <c r="I447" s="119">
        <f ca="1">HLOOKUP($H$5,'Met Data'!$A$2:$F$368,G447,FALSE)</f>
        <v>14.8633333333333</v>
      </c>
      <c r="J447" s="119">
        <f ca="1">HLOOKUP($H$5,'Met Data'!$H$2:$M$368,G447,FALSE)*L447</f>
        <v>2.0666666666666602</v>
      </c>
      <c r="K447" s="96">
        <f ca="1">HLOOKUP($H$5,'Met Data'!$O$2:$T$368,G447,FALSE)</f>
        <v>3.82063419166102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321</v>
      </c>
      <c r="H448" s="95">
        <f t="shared" ca="1" si="66"/>
        <v>45611</v>
      </c>
      <c r="I448" s="119">
        <f ca="1">HLOOKUP($H$5,'Met Data'!$A$2:$F$368,G448,FALSE)</f>
        <v>15.191666666666601</v>
      </c>
      <c r="J448" s="119">
        <f ca="1">HLOOKUP($H$5,'Met Data'!$H$2:$M$368,G448,FALSE)*L448</f>
        <v>4.1233333333333304</v>
      </c>
      <c r="K448" s="96">
        <f ca="1">HLOOKUP($H$5,'Met Data'!$O$2:$T$368,G448,FALSE)</f>
        <v>3.4660928584042798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322</v>
      </c>
      <c r="H449" s="95">
        <f t="shared" ca="1" si="66"/>
        <v>45612</v>
      </c>
      <c r="I449" s="119">
        <f ca="1">HLOOKUP($H$5,'Met Data'!$A$2:$F$368,G449,FALSE)</f>
        <v>14.805</v>
      </c>
      <c r="J449" s="119">
        <f ca="1">HLOOKUP($H$5,'Met Data'!$H$2:$M$368,G449,FALSE)*L449</f>
        <v>2.0999999999999899</v>
      </c>
      <c r="K449" s="96">
        <f ca="1">HLOOKUP($H$5,'Met Data'!$O$2:$T$368,G449,FALSE)</f>
        <v>3.7178898330930501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323</v>
      </c>
      <c r="H450" s="95">
        <f t="shared" ca="1" si="66"/>
        <v>45613</v>
      </c>
      <c r="I450" s="119">
        <f ca="1">HLOOKUP($H$5,'Met Data'!$A$2:$F$368,G450,FALSE)</f>
        <v>14.4366666666666</v>
      </c>
      <c r="J450" s="119">
        <f ca="1">HLOOKUP($H$5,'Met Data'!$H$2:$M$368,G450,FALSE)*L450</f>
        <v>2.25</v>
      </c>
      <c r="K450" s="96">
        <f ca="1">HLOOKUP($H$5,'Met Data'!$O$2:$T$368,G450,FALSE)</f>
        <v>3.8903759726723899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324</v>
      </c>
      <c r="H451" s="95">
        <f t="shared" ca="1" si="66"/>
        <v>45614</v>
      </c>
      <c r="I451" s="119">
        <f ca="1">HLOOKUP($H$5,'Met Data'!$A$2:$F$368,G451,FALSE)</f>
        <v>14.4133333333333</v>
      </c>
      <c r="J451" s="119">
        <f ca="1">HLOOKUP($H$5,'Met Data'!$H$2:$M$368,G451,FALSE)*L451</f>
        <v>1.6566666666666601</v>
      </c>
      <c r="K451" s="96">
        <f ca="1">HLOOKUP($H$5,'Met Data'!$O$2:$T$368,G451,FALSE)</f>
        <v>3.9105195639997401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325</v>
      </c>
      <c r="H452" s="95">
        <f t="shared" ca="1" si="66"/>
        <v>45615</v>
      </c>
      <c r="I452" s="119">
        <f ca="1">HLOOKUP($H$5,'Met Data'!$A$2:$F$368,G452,FALSE)</f>
        <v>14.8266666666666</v>
      </c>
      <c r="J452" s="119">
        <f ca="1">HLOOKUP($H$5,'Met Data'!$H$2:$M$368,G452,FALSE)*L452</f>
        <v>2.4166666666666599</v>
      </c>
      <c r="K452" s="96">
        <f ca="1">HLOOKUP($H$5,'Met Data'!$O$2:$T$368,G452,FALSE)</f>
        <v>3.75734672122165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326</v>
      </c>
      <c r="H453" s="95">
        <f t="shared" ca="1" si="66"/>
        <v>45616</v>
      </c>
      <c r="I453" s="119">
        <f ca="1">HLOOKUP($H$5,'Met Data'!$A$2:$F$368,G453,FALSE)</f>
        <v>14.899999999999901</v>
      </c>
      <c r="J453" s="119">
        <f ca="1">HLOOKUP($H$5,'Met Data'!$H$2:$M$368,G453,FALSE)*L453</f>
        <v>2.8366666666666598</v>
      </c>
      <c r="K453" s="96">
        <f ca="1">HLOOKUP($H$5,'Met Data'!$O$2:$T$368,G453,FALSE)</f>
        <v>3.5492721007612098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327</v>
      </c>
      <c r="H454" s="95">
        <f t="shared" ca="1" si="66"/>
        <v>45617</v>
      </c>
      <c r="I454" s="119">
        <f ca="1">HLOOKUP($H$5,'Met Data'!$A$2:$F$368,G454,FALSE)</f>
        <v>15.125</v>
      </c>
      <c r="J454" s="119">
        <f ca="1">HLOOKUP($H$5,'Met Data'!$H$2:$M$368,G454,FALSE)*L454</f>
        <v>4.0966666666666596</v>
      </c>
      <c r="K454" s="96">
        <f ca="1">HLOOKUP($H$5,'Met Data'!$O$2:$T$368,G454,FALSE)</f>
        <v>3.6984174874033999</v>
      </c>
      <c r="L454">
        <f t="shared" ca="1" si="60"/>
        <v>1</v>
      </c>
      <c r="N454" t="e">
        <f t="shared" ca="1" si="65"/>
        <v>#N/A</v>
      </c>
      <c r="O454" t="e">
        <f t="shared" ca="1" si="61"/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ca="1" si="62"/>
        <v>0</v>
      </c>
      <c r="AE454">
        <f t="shared" ca="1" si="63"/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ca="1" si="64"/>
        <v>328</v>
      </c>
      <c r="H455" s="95">
        <f t="shared" ca="1" si="66"/>
        <v>45618</v>
      </c>
      <c r="I455" s="119">
        <f ca="1">HLOOKUP($H$5,'Met Data'!$A$2:$F$368,G455,FALSE)</f>
        <v>15.358333333333301</v>
      </c>
      <c r="J455" s="119">
        <f ca="1">HLOOKUP($H$5,'Met Data'!$H$2:$M$368,G455,FALSE)*L455</f>
        <v>3.04</v>
      </c>
      <c r="K455" s="96">
        <f ca="1">HLOOKUP($H$5,'Met Data'!$O$2:$T$368,G455,FALSE)</f>
        <v>3.9426742076693699</v>
      </c>
      <c r="L455">
        <f t="shared" ref="L455:L518" ca="1" si="70">IF(H455&lt;$B$32,$J$4,$J$5)</f>
        <v>1</v>
      </c>
      <c r="N455" t="e">
        <f t="shared" ca="1" si="65"/>
        <v>#N/A</v>
      </c>
      <c r="O455" t="e">
        <f t="shared" ref="O455:O496" ca="1" si="71">AND(IF(P455&gt;($P$3-1),TRUE,FALSE),IF(P455&lt;($P$4+1),TRUE,FALSE))</f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ref="AD455:AD496" ca="1" si="72">IFERROR(P455,$AD$5)</f>
        <v>0</v>
      </c>
      <c r="AE455">
        <f t="shared" ref="AE455:AE496" ca="1" si="73">IFERROR(U455,0)</f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ref="G456:G496" ca="1" si="74">H456-DATE(YEAR(H456),1,0)+1</f>
        <v>329</v>
      </c>
      <c r="H456" s="95">
        <f t="shared" ca="1" si="66"/>
        <v>45619</v>
      </c>
      <c r="I456" s="119">
        <f ca="1">HLOOKUP($H$5,'Met Data'!$A$2:$F$368,G456,FALSE)</f>
        <v>15.2051724137931</v>
      </c>
      <c r="J456" s="119">
        <f ca="1">HLOOKUP($H$5,'Met Data'!$H$2:$M$368,G456,FALSE)*L456</f>
        <v>2.4655172413793101</v>
      </c>
      <c r="K456" s="96">
        <f ca="1">HLOOKUP($H$5,'Met Data'!$O$2:$T$368,G456,FALSE)</f>
        <v>3.7475647250722499</v>
      </c>
      <c r="L456">
        <f t="shared" ca="1" si="70"/>
        <v>1</v>
      </c>
      <c r="N456" t="e">
        <f t="shared" ref="N456:N496" ca="1" si="75">IF(P456&lt;$P$4,TRUE,FALSE)</f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330</v>
      </c>
      <c r="H457" s="95">
        <f t="shared" ref="H457:H520" ca="1" si="76">H456+1</f>
        <v>45620</v>
      </c>
      <c r="I457" s="119">
        <f ca="1">HLOOKUP($H$5,'Met Data'!$A$2:$F$368,G457,FALSE)</f>
        <v>15.834482758620601</v>
      </c>
      <c r="J457" s="119">
        <f ca="1">HLOOKUP($H$5,'Met Data'!$H$2:$M$368,G457,FALSE)*L457</f>
        <v>2.7965517241379301</v>
      </c>
      <c r="K457" s="96">
        <f ca="1">HLOOKUP($H$5,'Met Data'!$O$2:$T$368,G457,FALSE)</f>
        <v>4.1132182691665697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331</v>
      </c>
      <c r="H458" s="95">
        <f t="shared" ca="1" si="76"/>
        <v>45621</v>
      </c>
      <c r="I458" s="119">
        <f ca="1">HLOOKUP($H$5,'Met Data'!$A$2:$F$368,G458,FALSE)</f>
        <v>15.876666666666599</v>
      </c>
      <c r="J458" s="119">
        <f ca="1">HLOOKUP($H$5,'Met Data'!$H$2:$M$368,G458,FALSE)*L458</f>
        <v>2.2666666666666599</v>
      </c>
      <c r="K458" s="96">
        <f ca="1">HLOOKUP($H$5,'Met Data'!$O$2:$T$368,G458,FALSE)</f>
        <v>4.0838977840275996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332</v>
      </c>
      <c r="H459" s="95">
        <f t="shared" ca="1" si="76"/>
        <v>45622</v>
      </c>
      <c r="I459" s="119">
        <f ca="1">HLOOKUP($H$5,'Met Data'!$A$2:$F$368,G459,FALSE)</f>
        <v>15.52</v>
      </c>
      <c r="J459" s="119">
        <f ca="1">HLOOKUP($H$5,'Met Data'!$H$2:$M$368,G459,FALSE)*L459</f>
        <v>3.6933333333333298</v>
      </c>
      <c r="K459" s="96">
        <f ca="1">HLOOKUP($H$5,'Met Data'!$O$2:$T$368,G459,FALSE)</f>
        <v>4.2967341086411999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ca="1" si="67"/>
        <v>#N/A</v>
      </c>
      <c r="AH459" s="63" t="e">
        <f t="shared" ca="1" si="68"/>
        <v>#N/A</v>
      </c>
      <c r="AI459" s="3" t="e">
        <f t="shared" ca="1" si="69"/>
        <v>#N/A</v>
      </c>
    </row>
    <row r="460" spans="7:35">
      <c r="G460" s="3">
        <f t="shared" ca="1" si="74"/>
        <v>333</v>
      </c>
      <c r="H460" s="95">
        <f t="shared" ca="1" si="76"/>
        <v>45623</v>
      </c>
      <c r="I460" s="119">
        <f ca="1">HLOOKUP($H$5,'Met Data'!$A$2:$F$368,G460,FALSE)</f>
        <v>15.438333333333301</v>
      </c>
      <c r="J460" s="119">
        <f ca="1">HLOOKUP($H$5,'Met Data'!$H$2:$M$368,G460,FALSE)*L460</f>
        <v>4.5933333333333302</v>
      </c>
      <c r="K460" s="96">
        <f ca="1">HLOOKUP($H$5,'Met Data'!$O$2:$T$368,G460,FALSE)</f>
        <v>3.7863185649490698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ref="AG460:AG496" ca="1" si="77">Q459+S460+T460+U460</f>
        <v>#N/A</v>
      </c>
      <c r="AH460" s="63" t="e">
        <f t="shared" ref="AH460:AH496" ca="1" si="78">Q460+R460+X460</f>
        <v>#N/A</v>
      </c>
      <c r="AI460" s="3" t="e">
        <f t="shared" ref="AI460:AI496" ca="1" si="79">AH460-AG460</f>
        <v>#N/A</v>
      </c>
    </row>
    <row r="461" spans="7:35">
      <c r="G461" s="3">
        <f t="shared" ca="1" si="74"/>
        <v>334</v>
      </c>
      <c r="H461" s="95">
        <f t="shared" ca="1" si="76"/>
        <v>45624</v>
      </c>
      <c r="I461" s="119">
        <f ca="1">HLOOKUP($H$5,'Met Data'!$A$2:$F$368,G461,FALSE)</f>
        <v>15.551724137931</v>
      </c>
      <c r="J461" s="119">
        <f ca="1">HLOOKUP($H$5,'Met Data'!$H$2:$M$368,G461,FALSE)*L461</f>
        <v>2.63448275862069</v>
      </c>
      <c r="K461" s="96">
        <f ca="1">HLOOKUP($H$5,'Met Data'!$O$2:$T$368,G461,FALSE)</f>
        <v>3.91369181219603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335</v>
      </c>
      <c r="H462" s="95">
        <f t="shared" ca="1" si="76"/>
        <v>45625</v>
      </c>
      <c r="I462" s="119">
        <f ca="1">HLOOKUP($H$5,'Met Data'!$A$2:$F$368,G462,FALSE)</f>
        <v>15.832758620689599</v>
      </c>
      <c r="J462" s="119">
        <f ca="1">HLOOKUP($H$5,'Met Data'!$H$2:$M$368,G462,FALSE)*L462</f>
        <v>2.4931034482758601</v>
      </c>
      <c r="K462" s="96">
        <f ca="1">HLOOKUP($H$5,'Met Data'!$O$2:$T$368,G462,FALSE)</f>
        <v>3.5204814386258598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336</v>
      </c>
      <c r="H463" s="95">
        <f t="shared" ca="1" si="76"/>
        <v>45626</v>
      </c>
      <c r="I463" s="119">
        <f ca="1">HLOOKUP($H$5,'Met Data'!$A$2:$F$368,G463,FALSE)</f>
        <v>16.082758620689599</v>
      </c>
      <c r="J463" s="119">
        <f ca="1">HLOOKUP($H$5,'Met Data'!$H$2:$M$368,G463,FALSE)*L463</f>
        <v>1.7689655172413701</v>
      </c>
      <c r="K463" s="96">
        <f ca="1">HLOOKUP($H$5,'Met Data'!$O$2:$T$368,G463,FALSE)</f>
        <v>4.0516623269738101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337</v>
      </c>
      <c r="H464" s="95">
        <f t="shared" ca="1" si="76"/>
        <v>45627</v>
      </c>
      <c r="I464" s="119">
        <f ca="1">HLOOKUP($H$5,'Met Data'!$A$2:$F$368,G464,FALSE)</f>
        <v>16.4931034482758</v>
      </c>
      <c r="J464" s="119">
        <f ca="1">HLOOKUP($H$5,'Met Data'!$H$2:$M$368,G464,FALSE)*L464</f>
        <v>5.1137931034482698</v>
      </c>
      <c r="K464" s="96">
        <f ca="1">HLOOKUP($H$5,'Met Data'!$O$2:$T$368,G464,FALSE)</f>
        <v>3.5036176940509298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338</v>
      </c>
      <c r="H465" s="95">
        <f t="shared" ca="1" si="76"/>
        <v>45628</v>
      </c>
      <c r="I465" s="119">
        <f ca="1">HLOOKUP($H$5,'Met Data'!$A$2:$F$368,G465,FALSE)</f>
        <v>16.78</v>
      </c>
      <c r="J465" s="119">
        <f ca="1">HLOOKUP($H$5,'Met Data'!$H$2:$M$368,G465,FALSE)*L465</f>
        <v>1.71</v>
      </c>
      <c r="K465" s="96">
        <f ca="1">HLOOKUP($H$5,'Met Data'!$O$2:$T$368,G465,FALSE)</f>
        <v>3.8786861346319301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339</v>
      </c>
      <c r="H466" s="95">
        <f t="shared" ca="1" si="76"/>
        <v>45629</v>
      </c>
      <c r="I466" s="119">
        <f ca="1">HLOOKUP($H$5,'Met Data'!$A$2:$F$368,G466,FALSE)</f>
        <v>16.8266666666666</v>
      </c>
      <c r="J466" s="119">
        <f ca="1">HLOOKUP($H$5,'Met Data'!$H$2:$M$368,G466,FALSE)*L466</f>
        <v>6.0433333333333303</v>
      </c>
      <c r="K466" s="96">
        <f ca="1">HLOOKUP($H$5,'Met Data'!$O$2:$T$368,G466,FALSE)</f>
        <v>3.6269671816345701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340</v>
      </c>
      <c r="H467" s="95">
        <f t="shared" ca="1" si="76"/>
        <v>45630</v>
      </c>
      <c r="I467" s="119">
        <f ca="1">HLOOKUP($H$5,'Met Data'!$A$2:$F$368,G467,FALSE)</f>
        <v>16.6516666666666</v>
      </c>
      <c r="J467" s="119">
        <f ca="1">HLOOKUP($H$5,'Met Data'!$H$2:$M$368,G467,FALSE)*L467</f>
        <v>4.9033333333333298</v>
      </c>
      <c r="K467" s="96">
        <f ca="1">HLOOKUP($H$5,'Met Data'!$O$2:$T$368,G467,FALSE)</f>
        <v>3.8159631078200702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341</v>
      </c>
      <c r="H468" s="95">
        <f t="shared" ca="1" si="76"/>
        <v>45631</v>
      </c>
      <c r="I468" s="119">
        <f ca="1">HLOOKUP($H$5,'Met Data'!$A$2:$F$368,G468,FALSE)</f>
        <v>16.68</v>
      </c>
      <c r="J468" s="119">
        <f ca="1">HLOOKUP($H$5,'Met Data'!$H$2:$M$368,G468,FALSE)*L468</f>
        <v>3.7299999999999902</v>
      </c>
      <c r="K468" s="96">
        <f ca="1">HLOOKUP($H$5,'Met Data'!$O$2:$T$368,G468,FALSE)</f>
        <v>3.9805130657979602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342</v>
      </c>
      <c r="H469" s="95">
        <f t="shared" ca="1" si="76"/>
        <v>45632</v>
      </c>
      <c r="I469" s="119">
        <f ca="1">HLOOKUP($H$5,'Met Data'!$A$2:$F$368,G469,FALSE)</f>
        <v>16.158333333333299</v>
      </c>
      <c r="J469" s="119">
        <f ca="1">HLOOKUP($H$5,'Met Data'!$H$2:$M$368,G469,FALSE)*L469</f>
        <v>3.96999999999999</v>
      </c>
      <c r="K469" s="96">
        <f ca="1">HLOOKUP($H$5,'Met Data'!$O$2:$T$368,G469,FALSE)</f>
        <v>3.9985245379954399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343</v>
      </c>
      <c r="H470" s="95">
        <f t="shared" ca="1" si="76"/>
        <v>45633</v>
      </c>
      <c r="I470" s="119">
        <f ca="1">HLOOKUP($H$5,'Met Data'!$A$2:$F$368,G470,FALSE)</f>
        <v>16.105</v>
      </c>
      <c r="J470" s="119">
        <f ca="1">HLOOKUP($H$5,'Met Data'!$H$2:$M$368,G470,FALSE)*L470</f>
        <v>2.43333333333333</v>
      </c>
      <c r="K470" s="96">
        <f ca="1">HLOOKUP($H$5,'Met Data'!$O$2:$T$368,G470,FALSE)</f>
        <v>4.0668482894046898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344</v>
      </c>
      <c r="H471" s="95">
        <f t="shared" ca="1" si="76"/>
        <v>45634</v>
      </c>
      <c r="I471" s="119">
        <f ca="1">HLOOKUP($H$5,'Met Data'!$A$2:$F$368,G471,FALSE)</f>
        <v>16.565000000000001</v>
      </c>
      <c r="J471" s="119">
        <f ca="1">HLOOKUP($H$5,'Met Data'!$H$2:$M$368,G471,FALSE)*L471</f>
        <v>1.57666666666666</v>
      </c>
      <c r="K471" s="96">
        <f ca="1">HLOOKUP($H$5,'Met Data'!$O$2:$T$368,G471,FALSE)</f>
        <v>4.3303303245888296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345</v>
      </c>
      <c r="H472" s="95">
        <f t="shared" ca="1" si="76"/>
        <v>45635</v>
      </c>
      <c r="I472" s="119">
        <f ca="1">HLOOKUP($H$5,'Met Data'!$A$2:$F$368,G472,FALSE)</f>
        <v>16.483333333333299</v>
      </c>
      <c r="J472" s="119">
        <f ca="1">HLOOKUP($H$5,'Met Data'!$H$2:$M$368,G472,FALSE)*L472</f>
        <v>2.9733333333333301</v>
      </c>
      <c r="K472" s="96">
        <f ca="1">HLOOKUP($H$5,'Met Data'!$O$2:$T$368,G472,FALSE)</f>
        <v>4.0534379567104599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346</v>
      </c>
      <c r="H473" s="95">
        <f t="shared" ca="1" si="76"/>
        <v>45636</v>
      </c>
      <c r="I473" s="119">
        <f ca="1">HLOOKUP($H$5,'Met Data'!$A$2:$F$368,G473,FALSE)</f>
        <v>17.015000000000001</v>
      </c>
      <c r="J473" s="119">
        <f ca="1">HLOOKUP($H$5,'Met Data'!$H$2:$M$368,G473,FALSE)*L473</f>
        <v>1.12666666666666</v>
      </c>
      <c r="K473" s="96">
        <f ca="1">HLOOKUP($H$5,'Met Data'!$O$2:$T$368,G473,FALSE)</f>
        <v>4.1505313677650202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347</v>
      </c>
      <c r="H474" s="95">
        <f t="shared" ca="1" si="76"/>
        <v>45637</v>
      </c>
      <c r="I474" s="119">
        <f ca="1">HLOOKUP($H$5,'Met Data'!$A$2:$F$368,G474,FALSE)</f>
        <v>17.483333333333299</v>
      </c>
      <c r="J474" s="119">
        <f ca="1">HLOOKUP($H$5,'Met Data'!$H$2:$M$368,G474,FALSE)*L474</f>
        <v>1.9166666666666601</v>
      </c>
      <c r="K474" s="96">
        <f ca="1">HLOOKUP($H$5,'Met Data'!$O$2:$T$368,G474,FALSE)</f>
        <v>3.8850422651579102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348</v>
      </c>
      <c r="H475" s="95">
        <f t="shared" ca="1" si="76"/>
        <v>45638</v>
      </c>
      <c r="I475" s="119">
        <f ca="1">HLOOKUP($H$5,'Met Data'!$A$2:$F$368,G475,FALSE)</f>
        <v>17.251666666666601</v>
      </c>
      <c r="J475" s="119">
        <f ca="1">HLOOKUP($H$5,'Met Data'!$H$2:$M$368,G475,FALSE)*L475</f>
        <v>1.93333333333333</v>
      </c>
      <c r="K475" s="96">
        <f ca="1">HLOOKUP($H$5,'Met Data'!$O$2:$T$368,G475,FALSE)</f>
        <v>4.3816384015384404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349</v>
      </c>
      <c r="H476" s="95">
        <f t="shared" ca="1" si="76"/>
        <v>45639</v>
      </c>
      <c r="I476" s="119">
        <f ca="1">HLOOKUP($H$5,'Met Data'!$A$2:$F$368,G476,FALSE)</f>
        <v>17.1733333333333</v>
      </c>
      <c r="J476" s="119">
        <f ca="1">HLOOKUP($H$5,'Met Data'!$H$2:$M$368,G476,FALSE)*L476</f>
        <v>4.1233333333333304</v>
      </c>
      <c r="K476" s="96">
        <f ca="1">HLOOKUP($H$5,'Met Data'!$O$2:$T$368,G476,FALSE)</f>
        <v>4.03321434314394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350</v>
      </c>
      <c r="H477" s="95">
        <f t="shared" ca="1" si="76"/>
        <v>45640</v>
      </c>
      <c r="I477" s="119">
        <f ca="1">HLOOKUP($H$5,'Met Data'!$A$2:$F$368,G477,FALSE)</f>
        <v>17.0068965517241</v>
      </c>
      <c r="J477" s="119">
        <f ca="1">HLOOKUP($H$5,'Met Data'!$H$2:$M$368,G477,FALSE)*L477</f>
        <v>2.5793103448275798</v>
      </c>
      <c r="K477" s="96">
        <f ca="1">HLOOKUP($H$5,'Met Data'!$O$2:$T$368,G477,FALSE)</f>
        <v>4.1838965938969297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351</v>
      </c>
      <c r="H478" s="95">
        <f t="shared" ca="1" si="76"/>
        <v>45641</v>
      </c>
      <c r="I478" s="119">
        <f ca="1">HLOOKUP($H$5,'Met Data'!$A$2:$F$368,G478,FALSE)</f>
        <v>17.105172413793099</v>
      </c>
      <c r="J478" s="119">
        <f ca="1">HLOOKUP($H$5,'Met Data'!$H$2:$M$368,G478,FALSE)*L478</f>
        <v>5.3551724137930998</v>
      </c>
      <c r="K478" s="96">
        <f ca="1">HLOOKUP($H$5,'Met Data'!$O$2:$T$368,G478,FALSE)</f>
        <v>3.9954599380242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352</v>
      </c>
      <c r="H479" s="95">
        <f t="shared" ca="1" si="76"/>
        <v>45642</v>
      </c>
      <c r="I479" s="119">
        <f ca="1">HLOOKUP($H$5,'Met Data'!$A$2:$F$368,G479,FALSE)</f>
        <v>17.153448275862001</v>
      </c>
      <c r="J479" s="119">
        <f ca="1">HLOOKUP($H$5,'Met Data'!$H$2:$M$368,G479,FALSE)*L479</f>
        <v>4.6827586206896497</v>
      </c>
      <c r="K479" s="96">
        <f ca="1">HLOOKUP($H$5,'Met Data'!$O$2:$T$368,G479,FALSE)</f>
        <v>4.0087446707632299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353</v>
      </c>
      <c r="H480" s="95">
        <f t="shared" ca="1" si="76"/>
        <v>45643</v>
      </c>
      <c r="I480" s="119">
        <f ca="1">HLOOKUP($H$5,'Met Data'!$A$2:$F$368,G480,FALSE)</f>
        <v>16.853448275862</v>
      </c>
      <c r="J480" s="119">
        <f ca="1">HLOOKUP($H$5,'Met Data'!$H$2:$M$368,G480,FALSE)*L480</f>
        <v>4.4103448275861998</v>
      </c>
      <c r="K480" s="96">
        <f ca="1">HLOOKUP($H$5,'Met Data'!$O$2:$T$368,G480,FALSE)</f>
        <v>3.8624789224218001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354</v>
      </c>
      <c r="H481" s="95">
        <f t="shared" ca="1" si="76"/>
        <v>45644</v>
      </c>
      <c r="I481" s="119">
        <f ca="1">HLOOKUP($H$5,'Met Data'!$A$2:$F$368,G481,FALSE)</f>
        <v>17.030357142857099</v>
      </c>
      <c r="J481" s="119">
        <f ca="1">HLOOKUP($H$5,'Met Data'!$H$2:$M$368,G481,FALSE)*L481</f>
        <v>4.3285714285714203</v>
      </c>
      <c r="K481" s="96">
        <f ca="1">HLOOKUP($H$5,'Met Data'!$O$2:$T$368,G481,FALSE)</f>
        <v>4.1713118658622399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355</v>
      </c>
      <c r="H482" s="95">
        <f t="shared" ca="1" si="76"/>
        <v>45645</v>
      </c>
      <c r="I482" s="119">
        <f ca="1">HLOOKUP($H$5,'Met Data'!$A$2:$F$368,G482,FALSE)</f>
        <v>17.3086206896551</v>
      </c>
      <c r="J482" s="119">
        <f ca="1">HLOOKUP($H$5,'Met Data'!$H$2:$M$368,G482,FALSE)*L482</f>
        <v>1.38620689655172</v>
      </c>
      <c r="K482" s="96">
        <f ca="1">HLOOKUP($H$5,'Met Data'!$O$2:$T$368,G482,FALSE)</f>
        <v>4.2492728260034598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356</v>
      </c>
      <c r="H483" s="95">
        <f t="shared" ca="1" si="76"/>
        <v>45646</v>
      </c>
      <c r="I483" s="119">
        <f ca="1">HLOOKUP($H$5,'Met Data'!$A$2:$F$368,G483,FALSE)</f>
        <v>17.3086206896551</v>
      </c>
      <c r="J483" s="119">
        <f ca="1">HLOOKUP($H$5,'Met Data'!$H$2:$M$368,G483,FALSE)*L483</f>
        <v>3.66206896551724</v>
      </c>
      <c r="K483" s="96">
        <f ca="1">HLOOKUP($H$5,'Met Data'!$O$2:$T$368,G483,FALSE)</f>
        <v>3.9108587200843599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357</v>
      </c>
      <c r="H484" s="95">
        <f t="shared" ca="1" si="76"/>
        <v>45647</v>
      </c>
      <c r="I484" s="119">
        <f ca="1">HLOOKUP($H$5,'Met Data'!$A$2:$F$368,G484,FALSE)</f>
        <v>17.474137931034399</v>
      </c>
      <c r="J484" s="119">
        <f ca="1">HLOOKUP($H$5,'Met Data'!$H$2:$M$368,G484,FALSE)*L484</f>
        <v>1.82758620689655</v>
      </c>
      <c r="K484" s="96">
        <f ca="1">HLOOKUP($H$5,'Met Data'!$O$2:$T$368,G484,FALSE)</f>
        <v>4.3560784704810001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358</v>
      </c>
      <c r="H485" s="95">
        <f t="shared" ca="1" si="76"/>
        <v>45648</v>
      </c>
      <c r="I485" s="119">
        <f ca="1">HLOOKUP($H$5,'Met Data'!$A$2:$F$368,G485,FALSE)</f>
        <v>17.091379310344799</v>
      </c>
      <c r="J485" s="119">
        <f ca="1">HLOOKUP($H$5,'Met Data'!$H$2:$M$368,G485,FALSE)*L485</f>
        <v>2.22413793103448</v>
      </c>
      <c r="K485" s="96">
        <f ca="1">HLOOKUP($H$5,'Met Data'!$O$2:$T$368,G485,FALSE)</f>
        <v>4.1386344294122503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359</v>
      </c>
      <c r="H486" s="95">
        <f t="shared" ca="1" si="76"/>
        <v>45649</v>
      </c>
      <c r="I486" s="119">
        <f ca="1">HLOOKUP($H$5,'Met Data'!$A$2:$F$368,G486,FALSE)</f>
        <v>17.2275862068965</v>
      </c>
      <c r="J486" s="119">
        <f ca="1">HLOOKUP($H$5,'Met Data'!$H$2:$M$368,G486,FALSE)*L486</f>
        <v>3.0655172413793101</v>
      </c>
      <c r="K486" s="96">
        <f ca="1">HLOOKUP($H$5,'Met Data'!$O$2:$T$368,G486,FALSE)</f>
        <v>3.7757934515094398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360</v>
      </c>
      <c r="H487" s="95">
        <f t="shared" ca="1" si="76"/>
        <v>45650</v>
      </c>
      <c r="I487" s="119">
        <f ca="1">HLOOKUP($H$5,'Met Data'!$A$2:$F$368,G487,FALSE)</f>
        <v>17.475862068965501</v>
      </c>
      <c r="J487" s="119">
        <f ca="1">HLOOKUP($H$5,'Met Data'!$H$2:$M$368,G487,FALSE)*L487</f>
        <v>4.4724137931034402</v>
      </c>
      <c r="K487" s="96">
        <f ca="1">HLOOKUP($H$5,'Met Data'!$O$2:$T$368,G487,FALSE)</f>
        <v>3.82075028631309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361</v>
      </c>
      <c r="H488" s="95">
        <f t="shared" ca="1" si="76"/>
        <v>45651</v>
      </c>
      <c r="I488" s="119">
        <f ca="1">HLOOKUP($H$5,'Met Data'!$A$2:$F$368,G488,FALSE)</f>
        <v>17.193103448275799</v>
      </c>
      <c r="J488" s="119">
        <f ca="1">HLOOKUP($H$5,'Met Data'!$H$2:$M$368,G488,FALSE)*L488</f>
        <v>1.2034482758620599</v>
      </c>
      <c r="K488" s="96">
        <f ca="1">HLOOKUP($H$5,'Met Data'!$O$2:$T$368,G488,FALSE)</f>
        <v>4.4822943456663404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362</v>
      </c>
      <c r="H489" s="95">
        <f t="shared" ca="1" si="76"/>
        <v>45652</v>
      </c>
      <c r="I489" s="119">
        <f ca="1">HLOOKUP($H$5,'Met Data'!$A$2:$F$368,G489,FALSE)</f>
        <v>17.263793103448201</v>
      </c>
      <c r="J489" s="119">
        <f ca="1">HLOOKUP($H$5,'Met Data'!$H$2:$M$368,G489,FALSE)*L489</f>
        <v>1.9379310344827501</v>
      </c>
      <c r="K489" s="96">
        <f ca="1">HLOOKUP($H$5,'Met Data'!$O$2:$T$368,G489,FALSE)</f>
        <v>4.2854150969519402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363</v>
      </c>
      <c r="H490" s="95">
        <f t="shared" ca="1" si="76"/>
        <v>45653</v>
      </c>
      <c r="I490" s="119">
        <f ca="1">HLOOKUP($H$5,'Met Data'!$A$2:$F$368,G490,FALSE)</f>
        <v>18.060344827586199</v>
      </c>
      <c r="J490" s="119">
        <f ca="1">HLOOKUP($H$5,'Met Data'!$H$2:$M$368,G490,FALSE)*L490</f>
        <v>0.81379310344827505</v>
      </c>
      <c r="K490" s="96">
        <f ca="1">HLOOKUP($H$5,'Met Data'!$O$2:$T$368,G490,FALSE)</f>
        <v>4.2768570571644897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364</v>
      </c>
      <c r="H491" s="95">
        <f t="shared" ca="1" si="76"/>
        <v>45654</v>
      </c>
      <c r="I491" s="119">
        <f ca="1">HLOOKUP($H$5,'Met Data'!$A$2:$F$368,G491,FALSE)</f>
        <v>18.386206896551698</v>
      </c>
      <c r="J491" s="119">
        <f ca="1">HLOOKUP($H$5,'Met Data'!$H$2:$M$368,G491,FALSE)*L491</f>
        <v>3.0068965517241302</v>
      </c>
      <c r="K491" s="96">
        <f ca="1">HLOOKUP($H$5,'Met Data'!$O$2:$T$368,G491,FALSE)</f>
        <v>4.2622812571545499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365</v>
      </c>
      <c r="H492" s="95">
        <f t="shared" ca="1" si="76"/>
        <v>45655</v>
      </c>
      <c r="I492" s="119">
        <f ca="1">HLOOKUP($H$5,'Met Data'!$A$2:$F$368,G492,FALSE)</f>
        <v>18.156896551724099</v>
      </c>
      <c r="J492" s="119">
        <f ca="1">HLOOKUP($H$5,'Met Data'!$H$2:$M$368,G492,FALSE)*L492</f>
        <v>4.4172413793103402</v>
      </c>
      <c r="K492" s="96">
        <f ca="1">HLOOKUP($H$5,'Met Data'!$O$2:$T$368,G492,FALSE)</f>
        <v>3.8040621578745699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366</v>
      </c>
      <c r="H493" s="95">
        <f t="shared" ca="1" si="76"/>
        <v>45656</v>
      </c>
      <c r="I493" s="119">
        <f ca="1">HLOOKUP($H$5,'Met Data'!$A$2:$F$368,G493,FALSE)</f>
        <v>17.8086206896551</v>
      </c>
      <c r="J493" s="119">
        <f ca="1">HLOOKUP($H$5,'Met Data'!$H$2:$M$368,G493,FALSE)*L493</f>
        <v>8.7896551724137897</v>
      </c>
      <c r="K493" s="96">
        <f ca="1">HLOOKUP($H$5,'Met Data'!$O$2:$T$368,G493,FALSE)</f>
        <v>3.8298931146257198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367</v>
      </c>
      <c r="H494" s="95">
        <f t="shared" ca="1" si="76"/>
        <v>45657</v>
      </c>
      <c r="I494" s="119">
        <f ca="1">HLOOKUP($H$5,'Met Data'!$A$2:$F$368,G494,FALSE)</f>
        <v>17.691666666666599</v>
      </c>
      <c r="J494" s="119">
        <f ca="1">HLOOKUP($H$5,'Met Data'!$H$2:$M$368,G494,FALSE)*L494</f>
        <v>2.4166666666666599</v>
      </c>
      <c r="K494" s="96">
        <f ca="1">HLOOKUP($H$5,'Met Data'!$O$2:$T$368,G494,FALSE)</f>
        <v>4.2176739505731602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ca="1" si="74"/>
        <v>2</v>
      </c>
      <c r="H495" s="95">
        <f t="shared" ca="1" si="76"/>
        <v>45658</v>
      </c>
      <c r="I495" s="119">
        <f ca="1">HLOOKUP($H$5,'Met Data'!$A$2:$F$368,G495,FALSE)</f>
        <v>17.639655172413701</v>
      </c>
      <c r="J495" s="119">
        <f ca="1">HLOOKUP($H$5,'Met Data'!$H$2:$M$368,G495,FALSE)*L495</f>
        <v>2.9862068965517201</v>
      </c>
      <c r="K495" s="96">
        <f ca="1">HLOOKUP($H$5,'Met Data'!$O$2:$T$368,G495,FALSE)</f>
        <v>4.7314305048111098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" thickBot="1">
      <c r="G496" s="3">
        <f t="shared" ca="1" si="74"/>
        <v>3</v>
      </c>
      <c r="H496" s="97">
        <f t="shared" ca="1" si="76"/>
        <v>45659</v>
      </c>
      <c r="I496" s="121">
        <f ca="1">HLOOKUP($H$5,'Met Data'!$A$2:$F$368,G496,FALSE)</f>
        <v>18.013793103448201</v>
      </c>
      <c r="J496" s="119">
        <f ca="1">HLOOKUP($H$5,'Met Data'!$H$2:$M$368,G496,FALSE)*L496</f>
        <v>1.4517241379310299</v>
      </c>
      <c r="K496" s="98">
        <f ca="1">HLOOKUP($H$5,'Met Data'!$O$2:$T$368,G496,FALSE)</f>
        <v>4.7184733001505199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" thickBot="1">
      <c r="G497" s="3">
        <f t="shared" ref="G497:G560" ca="1" si="80">H497-DATE(YEAR(H497),1,0)+1</f>
        <v>4</v>
      </c>
      <c r="H497" s="97">
        <f t="shared" ca="1" si="76"/>
        <v>45660</v>
      </c>
      <c r="I497" s="121">
        <f ca="1">HLOOKUP($H$5,'Met Data'!$A$2:$F$368,G497,FALSE)</f>
        <v>17.827586206896498</v>
      </c>
      <c r="J497" s="119">
        <f ca="1">HLOOKUP($H$5,'Met Data'!$H$2:$M$368,G497,FALSE)*L497</f>
        <v>1.27241379310344</v>
      </c>
      <c r="K497" s="98">
        <f ca="1">HLOOKUP($H$5,'Met Data'!$O$2:$T$368,G497,FALSE)</f>
        <v>4.5153833563593304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" thickBot="1">
      <c r="G498" s="3">
        <f t="shared" ca="1" si="80"/>
        <v>5</v>
      </c>
      <c r="H498" s="97">
        <f t="shared" ca="1" si="76"/>
        <v>45661</v>
      </c>
      <c r="I498" s="121">
        <f ca="1">HLOOKUP($H$5,'Met Data'!$A$2:$F$368,G498,FALSE)</f>
        <v>18.068965517241299</v>
      </c>
      <c r="J498" s="119">
        <f ca="1">HLOOKUP($H$5,'Met Data'!$H$2:$M$368,G498,FALSE)*L498</f>
        <v>1.3206896551724101</v>
      </c>
      <c r="K498" s="98">
        <f ca="1">HLOOKUP($H$5,'Met Data'!$O$2:$T$368,G498,FALSE)</f>
        <v>4.6266971172714904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" thickBot="1">
      <c r="G499" s="3">
        <f t="shared" ca="1" si="80"/>
        <v>6</v>
      </c>
      <c r="H499" s="97">
        <f t="shared" ca="1" si="76"/>
        <v>45662</v>
      </c>
      <c r="I499" s="121">
        <f ca="1">HLOOKUP($H$5,'Met Data'!$A$2:$F$368,G499,FALSE)</f>
        <v>17.658620689655098</v>
      </c>
      <c r="J499" s="119">
        <f ca="1">HLOOKUP($H$5,'Met Data'!$H$2:$M$368,G499,FALSE)*L499</f>
        <v>1.64137931034482</v>
      </c>
      <c r="K499" s="98">
        <f ca="1">HLOOKUP($H$5,'Met Data'!$O$2:$T$368,G499,FALSE)</f>
        <v>4.7524735832446101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" thickBot="1">
      <c r="G500" s="3">
        <f t="shared" ca="1" si="80"/>
        <v>7</v>
      </c>
      <c r="H500" s="97">
        <f t="shared" ca="1" si="76"/>
        <v>45663</v>
      </c>
      <c r="I500" s="121">
        <f ca="1">HLOOKUP($H$5,'Met Data'!$A$2:$F$368,G500,FALSE)</f>
        <v>17.7431034482758</v>
      </c>
      <c r="J500" s="119">
        <f ca="1">HLOOKUP($H$5,'Met Data'!$H$2:$M$368,G500,FALSE)*L500</f>
        <v>1.8206896551724101</v>
      </c>
      <c r="K500" s="98">
        <f ca="1">HLOOKUP($H$5,'Met Data'!$O$2:$T$368,G500,FALSE)</f>
        <v>4.5675277776113097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" thickBot="1">
      <c r="G501" s="3">
        <f t="shared" ca="1" si="80"/>
        <v>8</v>
      </c>
      <c r="H501" s="97">
        <f t="shared" ca="1" si="76"/>
        <v>45664</v>
      </c>
      <c r="I501" s="121">
        <f ca="1">HLOOKUP($H$5,'Met Data'!$A$2:$F$368,G501,FALSE)</f>
        <v>18.181034482758601</v>
      </c>
      <c r="J501" s="119">
        <f ca="1">HLOOKUP($H$5,'Met Data'!$H$2:$M$368,G501,FALSE)*L501</f>
        <v>1.4896551724137901</v>
      </c>
      <c r="K501" s="98">
        <f ca="1">HLOOKUP($H$5,'Met Data'!$O$2:$T$368,G501,FALSE)</f>
        <v>4.0945523595888398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" thickBot="1">
      <c r="G502" s="3">
        <f t="shared" ca="1" si="80"/>
        <v>9</v>
      </c>
      <c r="H502" s="97">
        <f t="shared" ca="1" si="76"/>
        <v>45665</v>
      </c>
      <c r="I502" s="121">
        <f ca="1">HLOOKUP($H$5,'Met Data'!$A$2:$F$368,G502,FALSE)</f>
        <v>18.393103448275799</v>
      </c>
      <c r="J502" s="119">
        <f ca="1">HLOOKUP($H$5,'Met Data'!$H$2:$M$368,G502,FALSE)*L502</f>
        <v>2.69655172413793</v>
      </c>
      <c r="K502" s="98">
        <f ca="1">HLOOKUP($H$5,'Met Data'!$O$2:$T$368,G502,FALSE)</f>
        <v>4.0360392602952304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" thickBot="1">
      <c r="G503" s="3">
        <f t="shared" ca="1" si="80"/>
        <v>10</v>
      </c>
      <c r="H503" s="97">
        <f t="shared" ca="1" si="76"/>
        <v>45666</v>
      </c>
      <c r="I503" s="121">
        <f ca="1">HLOOKUP($H$5,'Met Data'!$A$2:$F$368,G503,FALSE)</f>
        <v>18.6103448275862</v>
      </c>
      <c r="J503" s="119">
        <f ca="1">HLOOKUP($H$5,'Met Data'!$H$2:$M$368,G503,FALSE)*L503</f>
        <v>3.0103448275861999</v>
      </c>
      <c r="K503" s="98">
        <f ca="1">HLOOKUP($H$5,'Met Data'!$O$2:$T$368,G503,FALSE)</f>
        <v>4.1608753956650997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" thickBot="1">
      <c r="G504" s="3">
        <f t="shared" ca="1" si="80"/>
        <v>11</v>
      </c>
      <c r="H504" s="97">
        <f t="shared" ca="1" si="76"/>
        <v>45667</v>
      </c>
      <c r="I504" s="121">
        <f ca="1">HLOOKUP($H$5,'Met Data'!$A$2:$F$368,G504,FALSE)</f>
        <v>18.453448275862002</v>
      </c>
      <c r="J504" s="119">
        <f ca="1">HLOOKUP($H$5,'Met Data'!$H$2:$M$368,G504,FALSE)*L504</f>
        <v>1.2689655172413701</v>
      </c>
      <c r="K504" s="98">
        <f ca="1">HLOOKUP($H$5,'Met Data'!$O$2:$T$368,G504,FALSE)</f>
        <v>4.5179186785714496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" thickBot="1">
      <c r="G505" s="3">
        <f t="shared" ca="1" si="80"/>
        <v>12</v>
      </c>
      <c r="H505" s="97">
        <f t="shared" ca="1" si="76"/>
        <v>45668</v>
      </c>
      <c r="I505" s="121">
        <f ca="1">HLOOKUP($H$5,'Met Data'!$A$2:$F$368,G505,FALSE)</f>
        <v>18.186206896551699</v>
      </c>
      <c r="J505" s="119">
        <f ca="1">HLOOKUP($H$5,'Met Data'!$H$2:$M$368,G505,FALSE)*L505</f>
        <v>1.3413793103448199</v>
      </c>
      <c r="K505" s="98">
        <f ca="1">HLOOKUP($H$5,'Met Data'!$O$2:$T$368,G505,FALSE)</f>
        <v>4.5303746944186001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" thickBot="1">
      <c r="G506" s="3">
        <f t="shared" ca="1" si="80"/>
        <v>13</v>
      </c>
      <c r="H506" s="97">
        <f t="shared" ca="1" si="76"/>
        <v>45669</v>
      </c>
      <c r="I506" s="121">
        <f ca="1">HLOOKUP($H$5,'Met Data'!$A$2:$F$368,G506,FALSE)</f>
        <v>18.314999999999898</v>
      </c>
      <c r="J506" s="119">
        <f ca="1">HLOOKUP($H$5,'Met Data'!$H$2:$M$368,G506,FALSE)*L506</f>
        <v>0.95</v>
      </c>
      <c r="K506" s="98">
        <f ca="1">HLOOKUP($H$5,'Met Data'!$O$2:$T$368,G506,FALSE)</f>
        <v>4.1021279144140701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" thickBot="1">
      <c r="G507" s="3">
        <f t="shared" ca="1" si="80"/>
        <v>14</v>
      </c>
      <c r="H507" s="97">
        <f t="shared" ca="1" si="76"/>
        <v>45670</v>
      </c>
      <c r="I507" s="121">
        <f ca="1">HLOOKUP($H$5,'Met Data'!$A$2:$F$368,G507,FALSE)</f>
        <v>18.473333333333301</v>
      </c>
      <c r="J507" s="119">
        <f ca="1">HLOOKUP($H$5,'Met Data'!$H$2:$M$368,G507,FALSE)*L507</f>
        <v>3.7233333333333301</v>
      </c>
      <c r="K507" s="98">
        <f ca="1">HLOOKUP($H$5,'Met Data'!$O$2:$T$368,G507,FALSE)</f>
        <v>4.3613860913388498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" thickBot="1">
      <c r="G508" s="3">
        <f t="shared" ca="1" si="80"/>
        <v>15</v>
      </c>
      <c r="H508" s="97">
        <f t="shared" ca="1" si="76"/>
        <v>45671</v>
      </c>
      <c r="I508" s="121">
        <f ca="1">HLOOKUP($H$5,'Met Data'!$A$2:$F$368,G508,FALSE)</f>
        <v>18.684999999999999</v>
      </c>
      <c r="J508" s="119">
        <f ca="1">HLOOKUP($H$5,'Met Data'!$H$2:$M$368,G508,FALSE)*L508</f>
        <v>2.2466666666666599</v>
      </c>
      <c r="K508" s="98">
        <f ca="1">HLOOKUP($H$5,'Met Data'!$O$2:$T$368,G508,FALSE)</f>
        <v>4.5029029229169799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" thickBot="1">
      <c r="G509" s="3">
        <f t="shared" ca="1" si="80"/>
        <v>16</v>
      </c>
      <c r="H509" s="97">
        <f t="shared" ca="1" si="76"/>
        <v>45672</v>
      </c>
      <c r="I509" s="121">
        <f ca="1">HLOOKUP($H$5,'Met Data'!$A$2:$F$368,G509,FALSE)</f>
        <v>18.661666666666601</v>
      </c>
      <c r="J509" s="119">
        <f ca="1">HLOOKUP($H$5,'Met Data'!$H$2:$M$368,G509,FALSE)*L509</f>
        <v>1.3333333333333299</v>
      </c>
      <c r="K509" s="98">
        <f ca="1">HLOOKUP($H$5,'Met Data'!$O$2:$T$368,G509,FALSE)</f>
        <v>4.6368762557636201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" thickBot="1">
      <c r="G510" s="3">
        <f t="shared" ca="1" si="80"/>
        <v>17</v>
      </c>
      <c r="H510" s="97">
        <f t="shared" ca="1" si="76"/>
        <v>45673</v>
      </c>
      <c r="I510" s="121">
        <f ca="1">HLOOKUP($H$5,'Met Data'!$A$2:$F$368,G510,FALSE)</f>
        <v>18.636666666666599</v>
      </c>
      <c r="J510" s="119">
        <f ca="1">HLOOKUP($H$5,'Met Data'!$H$2:$M$368,G510,FALSE)*L510</f>
        <v>3.0133333333333301</v>
      </c>
      <c r="K510" s="98">
        <f ca="1">HLOOKUP($H$5,'Met Data'!$O$2:$T$368,G510,FALSE)</f>
        <v>4.4386060395545801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" thickBot="1">
      <c r="G511" s="3">
        <f t="shared" ca="1" si="80"/>
        <v>18</v>
      </c>
      <c r="H511" s="97">
        <f t="shared" ca="1" si="76"/>
        <v>45674</v>
      </c>
      <c r="I511" s="121">
        <f ca="1">HLOOKUP($H$5,'Met Data'!$A$2:$F$368,G511,FALSE)</f>
        <v>18.4233333333333</v>
      </c>
      <c r="J511" s="119">
        <f ca="1">HLOOKUP($H$5,'Met Data'!$H$2:$M$368,G511,FALSE)*L511</f>
        <v>2.7833333333333301</v>
      </c>
      <c r="K511" s="98">
        <f ca="1">HLOOKUP($H$5,'Met Data'!$O$2:$T$368,G511,FALSE)</f>
        <v>4.10260332014568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" thickBot="1">
      <c r="G512" s="3">
        <f t="shared" ca="1" si="80"/>
        <v>19</v>
      </c>
      <c r="H512" s="97">
        <f t="shared" ca="1" si="76"/>
        <v>45675</v>
      </c>
      <c r="I512" s="121">
        <f ca="1">HLOOKUP($H$5,'Met Data'!$A$2:$F$368,G512,FALSE)</f>
        <v>18.466666666666601</v>
      </c>
      <c r="J512" s="119">
        <f ca="1">HLOOKUP($H$5,'Met Data'!$H$2:$M$368,G512,FALSE)*L512</f>
        <v>2.1566666666666601</v>
      </c>
      <c r="K512" s="98">
        <f ca="1">HLOOKUP($H$5,'Met Data'!$O$2:$T$368,G512,FALSE)</f>
        <v>4.3976375931712202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" thickBot="1">
      <c r="G513" s="3">
        <f t="shared" ca="1" si="80"/>
        <v>20</v>
      </c>
      <c r="H513" s="97">
        <f t="shared" ca="1" si="76"/>
        <v>45676</v>
      </c>
      <c r="I513" s="121">
        <f ca="1">HLOOKUP($H$5,'Met Data'!$A$2:$F$368,G513,FALSE)</f>
        <v>18.754999999999999</v>
      </c>
      <c r="J513" s="119">
        <f ca="1">HLOOKUP($H$5,'Met Data'!$H$2:$M$368,G513,FALSE)*L513</f>
        <v>2.2333333333333298</v>
      </c>
      <c r="K513" s="98">
        <f ca="1">HLOOKUP($H$5,'Met Data'!$O$2:$T$368,G513,FALSE)</f>
        <v>4.5811789756342201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" thickBot="1">
      <c r="G514" s="3">
        <f t="shared" ca="1" si="80"/>
        <v>21</v>
      </c>
      <c r="H514" s="97">
        <f t="shared" ca="1" si="76"/>
        <v>45677</v>
      </c>
      <c r="I514" s="121">
        <f ca="1">HLOOKUP($H$5,'Met Data'!$A$2:$F$368,G514,FALSE)</f>
        <v>18.6933333333333</v>
      </c>
      <c r="J514" s="119">
        <f ca="1">HLOOKUP($H$5,'Met Data'!$H$2:$M$368,G514,FALSE)*L514</f>
        <v>1.02666666666666</v>
      </c>
      <c r="K514" s="98">
        <f ca="1">HLOOKUP($H$5,'Met Data'!$O$2:$T$368,G514,FALSE)</f>
        <v>4.23484882575071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" thickBot="1">
      <c r="G515" s="3">
        <f t="shared" ca="1" si="80"/>
        <v>22</v>
      </c>
      <c r="H515" s="97">
        <f t="shared" ca="1" si="76"/>
        <v>45678</v>
      </c>
      <c r="I515" s="121">
        <f ca="1">HLOOKUP($H$5,'Met Data'!$A$2:$F$368,G515,FALSE)</f>
        <v>18.914999999999999</v>
      </c>
      <c r="J515" s="119">
        <f ca="1">HLOOKUP($H$5,'Met Data'!$H$2:$M$368,G515,FALSE)*L515</f>
        <v>8.4066666666666592</v>
      </c>
      <c r="K515" s="98">
        <f ca="1">HLOOKUP($H$5,'Met Data'!$O$2:$T$368,G515,FALSE)</f>
        <v>4.2358684276247196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" thickBot="1">
      <c r="G516" s="3">
        <f t="shared" ca="1" si="80"/>
        <v>23</v>
      </c>
      <c r="H516" s="97">
        <f t="shared" ca="1" si="76"/>
        <v>45679</v>
      </c>
      <c r="I516" s="121">
        <f ca="1">HLOOKUP($H$5,'Met Data'!$A$2:$F$368,G516,FALSE)</f>
        <v>19.0133333333333</v>
      </c>
      <c r="J516" s="119">
        <f ca="1">HLOOKUP($H$5,'Met Data'!$H$2:$M$368,G516,FALSE)*L516</f>
        <v>3.7366666666666601</v>
      </c>
      <c r="K516" s="98">
        <f ca="1">HLOOKUP($H$5,'Met Data'!$O$2:$T$368,G516,FALSE)</f>
        <v>4.0376213451036698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" thickBot="1">
      <c r="G517" s="3">
        <f t="shared" ca="1" si="80"/>
        <v>24</v>
      </c>
      <c r="H517" s="97">
        <f t="shared" ca="1" si="76"/>
        <v>45680</v>
      </c>
      <c r="I517" s="121">
        <f ca="1">HLOOKUP($H$5,'Met Data'!$A$2:$F$368,G517,FALSE)</f>
        <v>19.03</v>
      </c>
      <c r="J517" s="119">
        <f ca="1">HLOOKUP($H$5,'Met Data'!$H$2:$M$368,G517,FALSE)*L517</f>
        <v>2.4266666666666601</v>
      </c>
      <c r="K517" s="98">
        <f ca="1">HLOOKUP($H$5,'Met Data'!$O$2:$T$368,G517,FALSE)</f>
        <v>4.3725520099572401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" thickBot="1">
      <c r="G518" s="3">
        <f t="shared" ca="1" si="80"/>
        <v>25</v>
      </c>
      <c r="H518" s="97">
        <f t="shared" ca="1" si="76"/>
        <v>45681</v>
      </c>
      <c r="I518" s="121">
        <f ca="1">HLOOKUP($H$5,'Met Data'!$A$2:$F$368,G518,FALSE)</f>
        <v>19.07</v>
      </c>
      <c r="J518" s="119">
        <f ca="1">HLOOKUP($H$5,'Met Data'!$H$2:$M$368,G518,FALSE)*L518</f>
        <v>3.4166666666666599</v>
      </c>
      <c r="K518" s="98">
        <f ca="1">HLOOKUP($H$5,'Met Data'!$O$2:$T$368,G518,FALSE)</f>
        <v>4.19340465226154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" thickBot="1">
      <c r="G519" s="3">
        <f t="shared" ca="1" si="80"/>
        <v>26</v>
      </c>
      <c r="H519" s="97">
        <f t="shared" ca="1" si="76"/>
        <v>45682</v>
      </c>
      <c r="I519" s="121">
        <f ca="1">HLOOKUP($H$5,'Met Data'!$A$2:$F$368,G519,FALSE)</f>
        <v>19.3</v>
      </c>
      <c r="J519" s="119">
        <f ca="1">HLOOKUP($H$5,'Met Data'!$H$2:$M$368,G519,FALSE)*L519</f>
        <v>3.70333333333333</v>
      </c>
      <c r="K519" s="98">
        <f ca="1">HLOOKUP($H$5,'Met Data'!$O$2:$T$368,G519,FALSE)</f>
        <v>4.6119458181628401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" thickBot="1">
      <c r="G520" s="3">
        <f t="shared" ca="1" si="80"/>
        <v>27</v>
      </c>
      <c r="H520" s="97">
        <f t="shared" ca="1" si="76"/>
        <v>45683</v>
      </c>
      <c r="I520" s="121">
        <f ca="1">HLOOKUP($H$5,'Met Data'!$A$2:$F$368,G520,FALSE)</f>
        <v>19.418333333333301</v>
      </c>
      <c r="J520" s="119">
        <f ca="1">HLOOKUP($H$5,'Met Data'!$H$2:$M$368,G520,FALSE)*L520</f>
        <v>1.2566666666666599</v>
      </c>
      <c r="K520" s="98">
        <f ca="1">HLOOKUP($H$5,'Met Data'!$O$2:$T$368,G520,FALSE)</f>
        <v>4.4486726941054897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" thickBot="1">
      <c r="G521" s="3">
        <f t="shared" ca="1" si="80"/>
        <v>28</v>
      </c>
      <c r="H521" s="97">
        <f t="shared" ref="H521:H584" ca="1" si="89">H520+1</f>
        <v>45684</v>
      </c>
      <c r="I521" s="121">
        <f ca="1">HLOOKUP($H$5,'Met Data'!$A$2:$F$368,G521,FALSE)</f>
        <v>19.086666666666599</v>
      </c>
      <c r="J521" s="119">
        <f ca="1">HLOOKUP($H$5,'Met Data'!$H$2:$M$368,G521,FALSE)*L521</f>
        <v>2.65</v>
      </c>
      <c r="K521" s="98">
        <f ca="1">HLOOKUP($H$5,'Met Data'!$O$2:$T$368,G521,FALSE)</f>
        <v>4.6925683722845504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" thickBot="1">
      <c r="G522" s="3">
        <f t="shared" ca="1" si="80"/>
        <v>29</v>
      </c>
      <c r="H522" s="97">
        <f t="shared" ca="1" si="89"/>
        <v>45685</v>
      </c>
      <c r="I522" s="121">
        <f ca="1">HLOOKUP($H$5,'Met Data'!$A$2:$F$368,G522,FALSE)</f>
        <v>19.248333333333299</v>
      </c>
      <c r="J522" s="119">
        <f ca="1">HLOOKUP($H$5,'Met Data'!$H$2:$M$368,G522,FALSE)*L522</f>
        <v>1.81</v>
      </c>
      <c r="K522" s="98">
        <f ca="1">HLOOKUP($H$5,'Met Data'!$O$2:$T$368,G522,FALSE)</f>
        <v>4.8021312602016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" thickBot="1">
      <c r="G523" s="3">
        <f t="shared" ca="1" si="80"/>
        <v>30</v>
      </c>
      <c r="H523" s="97">
        <f t="shared" ca="1" si="89"/>
        <v>45686</v>
      </c>
      <c r="I523" s="121">
        <f ca="1">HLOOKUP($H$5,'Met Data'!$A$2:$F$368,G523,FALSE)</f>
        <v>19.486666666666601</v>
      </c>
      <c r="J523" s="119">
        <f ca="1">HLOOKUP($H$5,'Met Data'!$H$2:$M$368,G523,FALSE)*L523</f>
        <v>2.1066666666666598</v>
      </c>
      <c r="K523" s="98">
        <f ca="1">HLOOKUP($H$5,'Met Data'!$O$2:$T$368,G523,FALSE)</f>
        <v>4.81456570354226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" thickBot="1">
      <c r="G524" s="3">
        <f t="shared" ca="1" si="80"/>
        <v>31</v>
      </c>
      <c r="H524" s="97">
        <f t="shared" ca="1" si="89"/>
        <v>45687</v>
      </c>
      <c r="I524" s="121">
        <f ca="1">HLOOKUP($H$5,'Met Data'!$A$2:$F$368,G524,FALSE)</f>
        <v>19.725000000000001</v>
      </c>
      <c r="J524" s="119">
        <f ca="1">HLOOKUP($H$5,'Met Data'!$H$2:$M$368,G524,FALSE)*L524</f>
        <v>3.1033333333333299</v>
      </c>
      <c r="K524" s="98">
        <f ca="1">HLOOKUP($H$5,'Met Data'!$O$2:$T$368,G524,FALSE)</f>
        <v>4.4640725934925003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" thickBot="1">
      <c r="G525" s="3">
        <f t="shared" ca="1" si="80"/>
        <v>32</v>
      </c>
      <c r="H525" s="97">
        <f t="shared" ca="1" si="89"/>
        <v>45688</v>
      </c>
      <c r="I525" s="121">
        <f ca="1">HLOOKUP($H$5,'Met Data'!$A$2:$F$368,G525,FALSE)</f>
        <v>19.670000000000002</v>
      </c>
      <c r="J525" s="119">
        <f ca="1">HLOOKUP($H$5,'Met Data'!$H$2:$M$368,G525,FALSE)*L525</f>
        <v>2.7466666666666599</v>
      </c>
      <c r="K525" s="98">
        <f ca="1">HLOOKUP($H$5,'Met Data'!$O$2:$T$368,G525,FALSE)</f>
        <v>4.1799437739427896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" thickBot="1">
      <c r="G526" s="3">
        <f t="shared" ca="1" si="80"/>
        <v>33</v>
      </c>
      <c r="H526" s="97">
        <f t="shared" ca="1" si="89"/>
        <v>45689</v>
      </c>
      <c r="I526" s="121">
        <f ca="1">HLOOKUP($H$5,'Met Data'!$A$2:$F$368,G526,FALSE)</f>
        <v>19.770689655172401</v>
      </c>
      <c r="J526" s="119">
        <f ca="1">HLOOKUP($H$5,'Met Data'!$H$2:$M$368,G526,FALSE)*L526</f>
        <v>1.1103448275862</v>
      </c>
      <c r="K526" s="98">
        <f ca="1">HLOOKUP($H$5,'Met Data'!$O$2:$T$368,G526,FALSE)</f>
        <v>4.5867414057587403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" thickBot="1">
      <c r="G527" s="3">
        <f t="shared" ca="1" si="80"/>
        <v>34</v>
      </c>
      <c r="H527" s="97">
        <f t="shared" ca="1" si="89"/>
        <v>45690</v>
      </c>
      <c r="I527" s="121">
        <f ca="1">HLOOKUP($H$5,'Met Data'!$A$2:$F$368,G527,FALSE)</f>
        <v>19.548275862068898</v>
      </c>
      <c r="J527" s="119">
        <f ca="1">HLOOKUP($H$5,'Met Data'!$H$2:$M$368,G527,FALSE)*L527</f>
        <v>4.0620689655172404</v>
      </c>
      <c r="K527" s="98">
        <f ca="1">HLOOKUP($H$5,'Met Data'!$O$2:$T$368,G527,FALSE)</f>
        <v>4.65070177511826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" thickBot="1">
      <c r="G528" s="3">
        <f t="shared" ca="1" si="80"/>
        <v>35</v>
      </c>
      <c r="H528" s="97">
        <f t="shared" ca="1" si="89"/>
        <v>45691</v>
      </c>
      <c r="I528" s="121">
        <f ca="1">HLOOKUP($H$5,'Met Data'!$A$2:$F$368,G528,FALSE)</f>
        <v>19.325862068965499</v>
      </c>
      <c r="J528" s="119">
        <f ca="1">HLOOKUP($H$5,'Met Data'!$H$2:$M$368,G528,FALSE)*L528</f>
        <v>1.00344827586206</v>
      </c>
      <c r="K528" s="98">
        <f ca="1">HLOOKUP($H$5,'Met Data'!$O$2:$T$368,G528,FALSE)</f>
        <v>4.2568283320677196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" thickBot="1">
      <c r="G529" s="3">
        <f t="shared" ca="1" si="80"/>
        <v>36</v>
      </c>
      <c r="H529" s="97">
        <f t="shared" ca="1" si="89"/>
        <v>45692</v>
      </c>
      <c r="I529" s="121">
        <f ca="1">HLOOKUP($H$5,'Met Data'!$A$2:$F$368,G529,FALSE)</f>
        <v>18.712068965517201</v>
      </c>
      <c r="J529" s="119">
        <f ca="1">HLOOKUP($H$5,'Met Data'!$H$2:$M$368,G529,FALSE)*L529</f>
        <v>4.7586206896551699</v>
      </c>
      <c r="K529" s="98">
        <f ca="1">HLOOKUP($H$5,'Met Data'!$O$2:$T$368,G529,FALSE)</f>
        <v>3.6726350990735899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" thickBot="1">
      <c r="G530" s="3">
        <f t="shared" ca="1" si="80"/>
        <v>37</v>
      </c>
      <c r="H530" s="97">
        <f t="shared" ca="1" si="89"/>
        <v>45693</v>
      </c>
      <c r="I530" s="121">
        <f ca="1">HLOOKUP($H$5,'Met Data'!$A$2:$F$368,G530,FALSE)</f>
        <v>19.178333333333299</v>
      </c>
      <c r="J530" s="119">
        <f ca="1">HLOOKUP($H$5,'Met Data'!$H$2:$M$368,G530,FALSE)*L530</f>
        <v>2.2833333333333301</v>
      </c>
      <c r="K530" s="98">
        <f ca="1">HLOOKUP($H$5,'Met Data'!$O$2:$T$368,G530,FALSE)</f>
        <v>4.0355922642947899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" thickBot="1">
      <c r="G531" s="3">
        <f t="shared" ca="1" si="80"/>
        <v>38</v>
      </c>
      <c r="H531" s="97">
        <f t="shared" ca="1" si="89"/>
        <v>45694</v>
      </c>
      <c r="I531" s="121">
        <f ca="1">HLOOKUP($H$5,'Met Data'!$A$2:$F$368,G531,FALSE)</f>
        <v>19.063333333333301</v>
      </c>
      <c r="J531" s="119">
        <f ca="1">HLOOKUP($H$5,'Met Data'!$H$2:$M$368,G531,FALSE)*L531</f>
        <v>0.35</v>
      </c>
      <c r="K531" s="98">
        <f ca="1">HLOOKUP($H$5,'Met Data'!$O$2:$T$368,G531,FALSE)</f>
        <v>4.5836031413853302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" thickBot="1">
      <c r="G532" s="3">
        <f t="shared" ca="1" si="80"/>
        <v>39</v>
      </c>
      <c r="H532" s="97">
        <f t="shared" ca="1" si="89"/>
        <v>45695</v>
      </c>
      <c r="I532" s="121">
        <f ca="1">HLOOKUP($H$5,'Met Data'!$A$2:$F$368,G532,FALSE)</f>
        <v>19.164999999999999</v>
      </c>
      <c r="J532" s="119">
        <f ca="1">HLOOKUP($H$5,'Met Data'!$H$2:$M$368,G532,FALSE)*L532</f>
        <v>0.80666666666666598</v>
      </c>
      <c r="K532" s="98">
        <f ca="1">HLOOKUP($H$5,'Met Data'!$O$2:$T$368,G532,FALSE)</f>
        <v>4.2844164584952198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" thickBot="1">
      <c r="G533" s="3">
        <f t="shared" ca="1" si="80"/>
        <v>40</v>
      </c>
      <c r="H533" s="97">
        <f t="shared" ca="1" si="89"/>
        <v>45696</v>
      </c>
      <c r="I533" s="121">
        <f ca="1">HLOOKUP($H$5,'Met Data'!$A$2:$F$368,G533,FALSE)</f>
        <v>19.145</v>
      </c>
      <c r="J533" s="119">
        <f ca="1">HLOOKUP($H$5,'Met Data'!$H$2:$M$368,G533,FALSE)*L533</f>
        <v>2.1066666666666598</v>
      </c>
      <c r="K533" s="98">
        <f ca="1">HLOOKUP($H$5,'Met Data'!$O$2:$T$368,G533,FALSE)</f>
        <v>4.0819751344129296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" thickBot="1">
      <c r="G534" s="3">
        <f t="shared" ca="1" si="80"/>
        <v>41</v>
      </c>
      <c r="H534" s="97">
        <f t="shared" ca="1" si="89"/>
        <v>45697</v>
      </c>
      <c r="I534" s="121">
        <f ca="1">HLOOKUP($H$5,'Met Data'!$A$2:$F$368,G534,FALSE)</f>
        <v>19.28</v>
      </c>
      <c r="J534" s="119">
        <f ca="1">HLOOKUP($H$5,'Met Data'!$H$2:$M$368,G534,FALSE)*L534</f>
        <v>1.1200000000000001</v>
      </c>
      <c r="K534" s="98">
        <f ca="1">HLOOKUP($H$5,'Met Data'!$O$2:$T$368,G534,FALSE)</f>
        <v>4.260490854165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" thickBot="1">
      <c r="G535" s="3">
        <f t="shared" ca="1" si="80"/>
        <v>42</v>
      </c>
      <c r="H535" s="97">
        <f t="shared" ca="1" si="89"/>
        <v>45698</v>
      </c>
      <c r="I535" s="121">
        <f ca="1">HLOOKUP($H$5,'Met Data'!$A$2:$F$368,G535,FALSE)</f>
        <v>19.6533333333333</v>
      </c>
      <c r="J535" s="119">
        <f ca="1">HLOOKUP($H$5,'Met Data'!$H$2:$M$368,G535,FALSE)*L535</f>
        <v>1.4866666666666599</v>
      </c>
      <c r="K535" s="98">
        <f ca="1">HLOOKUP($H$5,'Met Data'!$O$2:$T$368,G535,FALSE)</f>
        <v>3.7833097987788902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" thickBot="1">
      <c r="G536" s="3">
        <f t="shared" ca="1" si="80"/>
        <v>43</v>
      </c>
      <c r="H536" s="97">
        <f t="shared" ca="1" si="89"/>
        <v>45699</v>
      </c>
      <c r="I536" s="121">
        <f ca="1">HLOOKUP($H$5,'Met Data'!$A$2:$F$368,G536,FALSE)</f>
        <v>19.843333333333302</v>
      </c>
      <c r="J536" s="119">
        <f ca="1">HLOOKUP($H$5,'Met Data'!$H$2:$M$368,G536,FALSE)*L536</f>
        <v>2.3199999999999998</v>
      </c>
      <c r="K536" s="98">
        <f ca="1">HLOOKUP($H$5,'Met Data'!$O$2:$T$368,G536,FALSE)</f>
        <v>3.6396000191553801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" thickBot="1">
      <c r="G537" s="3">
        <f t="shared" ca="1" si="80"/>
        <v>44</v>
      </c>
      <c r="H537" s="97">
        <f t="shared" ca="1" si="89"/>
        <v>45700</v>
      </c>
      <c r="I537" s="121">
        <f ca="1">HLOOKUP($H$5,'Met Data'!$A$2:$F$368,G537,FALSE)</f>
        <v>19.767241379310299</v>
      </c>
      <c r="J537" s="119">
        <f ca="1">HLOOKUP($H$5,'Met Data'!$H$2:$M$368,G537,FALSE)*L537</f>
        <v>2.6066666666666598</v>
      </c>
      <c r="K537" s="98">
        <f ca="1">HLOOKUP($H$5,'Met Data'!$O$2:$T$368,G537,FALSE)</f>
        <v>3.70262305339519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" thickBot="1">
      <c r="G538" s="3">
        <f t="shared" ca="1" si="80"/>
        <v>45</v>
      </c>
      <c r="H538" s="97">
        <f t="shared" ca="1" si="89"/>
        <v>45701</v>
      </c>
      <c r="I538" s="121">
        <f ca="1">HLOOKUP($H$5,'Met Data'!$A$2:$F$368,G538,FALSE)</f>
        <v>19.5672413793103</v>
      </c>
      <c r="J538" s="119">
        <f ca="1">HLOOKUP($H$5,'Met Data'!$H$2:$M$368,G538,FALSE)*L538</f>
        <v>0.59</v>
      </c>
      <c r="K538" s="98">
        <f ca="1">HLOOKUP($H$5,'Met Data'!$O$2:$T$368,G538,FALSE)</f>
        <v>4.0784584132757997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" thickBot="1">
      <c r="G539" s="3">
        <f t="shared" ca="1" si="80"/>
        <v>46</v>
      </c>
      <c r="H539" s="97">
        <f t="shared" ca="1" si="89"/>
        <v>45702</v>
      </c>
      <c r="I539" s="121">
        <f ca="1">HLOOKUP($H$5,'Met Data'!$A$2:$F$368,G539,FALSE)</f>
        <v>19.5910714285714</v>
      </c>
      <c r="J539" s="119">
        <f ca="1">HLOOKUP($H$5,'Met Data'!$H$2:$M$368,G539,FALSE)*L539</f>
        <v>1.8724137931034399</v>
      </c>
      <c r="K539" s="98">
        <f ca="1">HLOOKUP($H$5,'Met Data'!$O$2:$T$368,G539,FALSE)</f>
        <v>4.0775156504528702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" thickBot="1">
      <c r="G540" s="3">
        <f t="shared" ca="1" si="80"/>
        <v>47</v>
      </c>
      <c r="H540" s="97">
        <f t="shared" ca="1" si="89"/>
        <v>45703</v>
      </c>
      <c r="I540" s="121">
        <f ca="1">HLOOKUP($H$5,'Met Data'!$A$2:$F$368,G540,FALSE)</f>
        <v>19.355357142857098</v>
      </c>
      <c r="J540" s="119">
        <f ca="1">HLOOKUP($H$5,'Met Data'!$H$2:$M$368,G540,FALSE)*L540</f>
        <v>2.8206896551724099</v>
      </c>
      <c r="K540" s="98">
        <f ca="1">HLOOKUP($H$5,'Met Data'!$O$2:$T$368,G540,FALSE)</f>
        <v>4.1796467400508099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" thickBot="1">
      <c r="G541" s="3">
        <f t="shared" ca="1" si="80"/>
        <v>48</v>
      </c>
      <c r="H541" s="97">
        <f t="shared" ca="1" si="89"/>
        <v>45704</v>
      </c>
      <c r="I541" s="121">
        <f ca="1">HLOOKUP($H$5,'Met Data'!$A$2:$F$368,G541,FALSE)</f>
        <v>19.258928571428498</v>
      </c>
      <c r="J541" s="119">
        <f ca="1">HLOOKUP($H$5,'Met Data'!$H$2:$M$368,G541,FALSE)*L541</f>
        <v>1.80344827586206</v>
      </c>
      <c r="K541" s="98">
        <f ca="1">HLOOKUP($H$5,'Met Data'!$O$2:$T$368,G541,FALSE)</f>
        <v>3.8490703816040499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" thickBot="1">
      <c r="G542" s="3">
        <f t="shared" ca="1" si="80"/>
        <v>49</v>
      </c>
      <c r="H542" s="97">
        <f t="shared" ca="1" si="89"/>
        <v>45705</v>
      </c>
      <c r="I542" s="121">
        <f ca="1">HLOOKUP($H$5,'Met Data'!$A$2:$F$368,G542,FALSE)</f>
        <v>19.284482758620602</v>
      </c>
      <c r="J542" s="119">
        <f ca="1">HLOOKUP($H$5,'Met Data'!$H$2:$M$368,G542,FALSE)*L542</f>
        <v>4.5</v>
      </c>
      <c r="K542" s="98">
        <f ca="1">HLOOKUP($H$5,'Met Data'!$O$2:$T$368,G542,FALSE)</f>
        <v>3.7481412243719401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" thickBot="1">
      <c r="G543" s="3">
        <f t="shared" ca="1" si="80"/>
        <v>50</v>
      </c>
      <c r="H543" s="97">
        <f t="shared" ca="1" si="89"/>
        <v>45706</v>
      </c>
      <c r="I543" s="121">
        <f ca="1">HLOOKUP($H$5,'Met Data'!$A$2:$F$368,G543,FALSE)</f>
        <v>19.415517241379298</v>
      </c>
      <c r="J543" s="119">
        <f ca="1">HLOOKUP($H$5,'Met Data'!$H$2:$M$368,G543,FALSE)*L543</f>
        <v>1.4</v>
      </c>
      <c r="K543" s="98">
        <f ca="1">HLOOKUP($H$5,'Met Data'!$O$2:$T$368,G543,FALSE)</f>
        <v>3.8682529987421499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" thickBot="1">
      <c r="G544" s="3">
        <f t="shared" ca="1" si="80"/>
        <v>51</v>
      </c>
      <c r="H544" s="97">
        <f t="shared" ca="1" si="89"/>
        <v>45707</v>
      </c>
      <c r="I544" s="121">
        <f ca="1">HLOOKUP($H$5,'Met Data'!$A$2:$F$368,G544,FALSE)</f>
        <v>19.4189655172413</v>
      </c>
      <c r="J544" s="119">
        <f ca="1">HLOOKUP($H$5,'Met Data'!$H$2:$M$368,G544,FALSE)*L544</f>
        <v>1.4655172413793101</v>
      </c>
      <c r="K544" s="98">
        <f ca="1">HLOOKUP($H$5,'Met Data'!$O$2:$T$368,G544,FALSE)</f>
        <v>3.6105345286952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" thickBot="1">
      <c r="G545" s="3">
        <f t="shared" ca="1" si="80"/>
        <v>52</v>
      </c>
      <c r="H545" s="97">
        <f t="shared" ca="1" si="89"/>
        <v>45708</v>
      </c>
      <c r="I545" s="121">
        <f ca="1">HLOOKUP($H$5,'Met Data'!$A$2:$F$368,G545,FALSE)</f>
        <v>19.5068965517241</v>
      </c>
      <c r="J545" s="119">
        <f ca="1">HLOOKUP($H$5,'Met Data'!$H$2:$M$368,G545,FALSE)*L545</f>
        <v>3.8517241379310301</v>
      </c>
      <c r="K545" s="98">
        <f ca="1">HLOOKUP($H$5,'Met Data'!$O$2:$T$368,G545,FALSE)</f>
        <v>3.6240453059598501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" thickBot="1">
      <c r="G546" s="3">
        <f t="shared" ca="1" si="80"/>
        <v>53</v>
      </c>
      <c r="H546" s="97">
        <f t="shared" ca="1" si="89"/>
        <v>45709</v>
      </c>
      <c r="I546" s="121">
        <f ca="1">HLOOKUP($H$5,'Met Data'!$A$2:$F$368,G546,FALSE)</f>
        <v>19.441666666666599</v>
      </c>
      <c r="J546" s="119">
        <f ca="1">HLOOKUP($H$5,'Met Data'!$H$2:$M$368,G546,FALSE)*L546</f>
        <v>3</v>
      </c>
      <c r="K546" s="98">
        <f ca="1">HLOOKUP($H$5,'Met Data'!$O$2:$T$368,G546,FALSE)</f>
        <v>3.73403385362748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" thickBot="1">
      <c r="G547" s="3">
        <f t="shared" ca="1" si="80"/>
        <v>54</v>
      </c>
      <c r="H547" s="97">
        <f t="shared" ca="1" si="89"/>
        <v>45710</v>
      </c>
      <c r="I547" s="121">
        <f ca="1">HLOOKUP($H$5,'Met Data'!$A$2:$F$368,G547,FALSE)</f>
        <v>19.231666666666602</v>
      </c>
      <c r="J547" s="119">
        <f ca="1">HLOOKUP($H$5,'Met Data'!$H$2:$M$368,G547,FALSE)*L547</f>
        <v>1.5333333333333301</v>
      </c>
      <c r="K547" s="98">
        <f ca="1">HLOOKUP($H$5,'Met Data'!$O$2:$T$368,G547,FALSE)</f>
        <v>3.6261565374234999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" thickBot="1">
      <c r="G548" s="3">
        <f t="shared" ca="1" si="80"/>
        <v>55</v>
      </c>
      <c r="H548" s="97">
        <f t="shared" ca="1" si="89"/>
        <v>45711</v>
      </c>
      <c r="I548" s="121">
        <f ca="1">HLOOKUP($H$5,'Met Data'!$A$2:$F$368,G548,FALSE)</f>
        <v>19.22</v>
      </c>
      <c r="J548" s="119">
        <f ca="1">HLOOKUP($H$5,'Met Data'!$H$2:$M$368,G548,FALSE)*L548</f>
        <v>3.06</v>
      </c>
      <c r="K548" s="98">
        <f ca="1">HLOOKUP($H$5,'Met Data'!$O$2:$T$368,G548,FALSE)</f>
        <v>3.6095974227769201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" thickBot="1">
      <c r="G549" s="3">
        <f t="shared" ca="1" si="80"/>
        <v>56</v>
      </c>
      <c r="H549" s="97">
        <f t="shared" ca="1" si="89"/>
        <v>45712</v>
      </c>
      <c r="I549" s="121">
        <f ca="1">HLOOKUP($H$5,'Met Data'!$A$2:$F$368,G549,FALSE)</f>
        <v>18.793333333333301</v>
      </c>
      <c r="J549" s="119">
        <f ca="1">HLOOKUP($H$5,'Met Data'!$H$2:$M$368,G549,FALSE)*L549</f>
        <v>1.73</v>
      </c>
      <c r="K549" s="98">
        <f ca="1">HLOOKUP($H$5,'Met Data'!$O$2:$T$368,G549,FALSE)</f>
        <v>3.9865323105658801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" thickBot="1">
      <c r="G550" s="3">
        <f t="shared" ca="1" si="80"/>
        <v>57</v>
      </c>
      <c r="H550" s="97">
        <f t="shared" ca="1" si="89"/>
        <v>45713</v>
      </c>
      <c r="I550" s="121">
        <f ca="1">HLOOKUP($H$5,'Met Data'!$A$2:$F$368,G550,FALSE)</f>
        <v>18.3</v>
      </c>
      <c r="J550" s="119">
        <f ca="1">HLOOKUP($H$5,'Met Data'!$H$2:$M$368,G550,FALSE)*L550</f>
        <v>1.1766666666666601</v>
      </c>
      <c r="K550" s="98">
        <f ca="1">HLOOKUP($H$5,'Met Data'!$O$2:$T$368,G550,FALSE)</f>
        <v>3.88204927928038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" thickBot="1">
      <c r="G551" s="3">
        <f t="shared" ca="1" si="80"/>
        <v>58</v>
      </c>
      <c r="H551" s="97">
        <f t="shared" ca="1" si="89"/>
        <v>45714</v>
      </c>
      <c r="I551" s="121">
        <f ca="1">HLOOKUP($H$5,'Met Data'!$A$2:$F$368,G551,FALSE)</f>
        <v>18.41</v>
      </c>
      <c r="J551" s="119">
        <f ca="1">HLOOKUP($H$5,'Met Data'!$H$2:$M$368,G551,FALSE)*L551</f>
        <v>2.0233333333333299</v>
      </c>
      <c r="K551" s="98">
        <f ca="1">HLOOKUP($H$5,'Met Data'!$O$2:$T$368,G551,FALSE)</f>
        <v>4.05937925457948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" thickBot="1">
      <c r="G552" s="3">
        <f t="shared" ca="1" si="80"/>
        <v>59</v>
      </c>
      <c r="H552" s="97">
        <f t="shared" ca="1" si="89"/>
        <v>45715</v>
      </c>
      <c r="I552" s="121">
        <f ca="1">HLOOKUP($H$5,'Met Data'!$A$2:$F$368,G552,FALSE)</f>
        <v>18.516666666666602</v>
      </c>
      <c r="J552" s="119">
        <f ca="1">HLOOKUP($H$5,'Met Data'!$H$2:$M$368,G552,FALSE)*L552</f>
        <v>1.5499999999999901</v>
      </c>
      <c r="K552" s="98">
        <f ca="1">HLOOKUP($H$5,'Met Data'!$O$2:$T$368,G552,FALSE)</f>
        <v>3.8269283002116601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" thickBot="1">
      <c r="G553" s="3">
        <f t="shared" ca="1" si="80"/>
        <v>60</v>
      </c>
      <c r="H553" s="97">
        <f t="shared" ca="1" si="89"/>
        <v>45716</v>
      </c>
      <c r="I553" s="121">
        <f ca="1">HLOOKUP($H$5,'Met Data'!$A$2:$F$368,G553,FALSE)</f>
        <v>18.253571428571401</v>
      </c>
      <c r="J553" s="119">
        <f ca="1">HLOOKUP($H$5,'Met Data'!$H$2:$M$368,G553,FALSE)*L553</f>
        <v>3.4793103448275802</v>
      </c>
      <c r="K553" s="98">
        <f ca="1">HLOOKUP($H$5,'Met Data'!$O$2:$T$368,G553,FALSE)</f>
        <v>3.4828962462929298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" thickBot="1">
      <c r="G554" s="3">
        <f t="shared" ca="1" si="80"/>
        <v>61</v>
      </c>
      <c r="H554" s="97">
        <f t="shared" ca="1" si="89"/>
        <v>45717</v>
      </c>
      <c r="I554" s="121">
        <f ca="1">HLOOKUP($H$5,'Met Data'!$A$2:$F$368,G554,FALSE)</f>
        <v>18.313793103448202</v>
      </c>
      <c r="J554" s="119">
        <f ca="1">HLOOKUP($H$5,'Met Data'!$H$2:$M$368,G554,FALSE)*L554</f>
        <v>4.1758620689655102</v>
      </c>
      <c r="K554" s="98">
        <f ca="1">HLOOKUP($H$5,'Met Data'!$O$2:$T$368,G554,FALSE)</f>
        <v>3.6905226687271502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" thickBot="1">
      <c r="G555" s="3">
        <f t="shared" ca="1" si="80"/>
        <v>62</v>
      </c>
      <c r="H555" s="97">
        <f t="shared" ca="1" si="89"/>
        <v>45718</v>
      </c>
      <c r="I555" s="121">
        <f ca="1">HLOOKUP($H$5,'Met Data'!$A$2:$F$368,G555,FALSE)</f>
        <v>18.701724137930999</v>
      </c>
      <c r="J555" s="119">
        <f ca="1">HLOOKUP($H$5,'Met Data'!$H$2:$M$368,G555,FALSE)*L555</f>
        <v>2.4379310344827498</v>
      </c>
      <c r="K555" s="98">
        <f ca="1">HLOOKUP($H$5,'Met Data'!$O$2:$T$368,G555,FALSE)</f>
        <v>3.7650592582328399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" thickBot="1">
      <c r="G556" s="3">
        <f t="shared" ca="1" si="80"/>
        <v>63</v>
      </c>
      <c r="H556" s="97">
        <f t="shared" ca="1" si="89"/>
        <v>45719</v>
      </c>
      <c r="I556" s="121">
        <f ca="1">HLOOKUP($H$5,'Met Data'!$A$2:$F$368,G556,FALSE)</f>
        <v>18.759999999999899</v>
      </c>
      <c r="J556" s="119">
        <f ca="1">HLOOKUP($H$5,'Met Data'!$H$2:$M$368,G556,FALSE)*L556</f>
        <v>3.53666666666666</v>
      </c>
      <c r="K556" s="98">
        <f ca="1">HLOOKUP($H$5,'Met Data'!$O$2:$T$368,G556,FALSE)</f>
        <v>3.6493457095997699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" thickBot="1">
      <c r="G557" s="3">
        <f t="shared" ca="1" si="80"/>
        <v>64</v>
      </c>
      <c r="H557" s="97">
        <f t="shared" ca="1" si="89"/>
        <v>45720</v>
      </c>
      <c r="I557" s="121">
        <f ca="1">HLOOKUP($H$5,'Met Data'!$A$2:$F$368,G557,FALSE)</f>
        <v>18.0322580645161</v>
      </c>
      <c r="J557" s="119">
        <f ca="1">HLOOKUP($H$5,'Met Data'!$H$2:$M$368,G557,FALSE)*L557</f>
        <v>5.3612903225806399</v>
      </c>
      <c r="K557" s="98">
        <f ca="1">HLOOKUP($H$5,'Met Data'!$O$2:$T$368,G557,FALSE)</f>
        <v>3.6858306163975501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" thickBot="1">
      <c r="G558" s="3">
        <f t="shared" ca="1" si="80"/>
        <v>65</v>
      </c>
      <c r="H558" s="97">
        <f t="shared" ca="1" si="89"/>
        <v>45721</v>
      </c>
      <c r="I558" s="121">
        <f ca="1">HLOOKUP($H$5,'Met Data'!$A$2:$F$368,G558,FALSE)</f>
        <v>17.95</v>
      </c>
      <c r="J558" s="119">
        <f ca="1">HLOOKUP($H$5,'Met Data'!$H$2:$M$368,G558,FALSE)*L558</f>
        <v>2.5580645161290301</v>
      </c>
      <c r="K558" s="98">
        <f ca="1">HLOOKUP($H$5,'Met Data'!$O$2:$T$368,G558,FALSE)</f>
        <v>3.6617176102227802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" thickBot="1">
      <c r="G559" s="3">
        <f t="shared" ca="1" si="80"/>
        <v>66</v>
      </c>
      <c r="H559" s="97">
        <f t="shared" ca="1" si="89"/>
        <v>45722</v>
      </c>
      <c r="I559" s="121">
        <f ca="1">HLOOKUP($H$5,'Met Data'!$A$2:$F$368,G559,FALSE)</f>
        <v>18.361290322580601</v>
      </c>
      <c r="J559" s="119">
        <f ca="1">HLOOKUP($H$5,'Met Data'!$H$2:$M$368,G559,FALSE)*L559</f>
        <v>2.3129032258064499</v>
      </c>
      <c r="K559" s="98">
        <f ca="1">HLOOKUP($H$5,'Met Data'!$O$2:$T$368,G559,FALSE)</f>
        <v>3.8548213926682098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" thickBot="1">
      <c r="G560" s="3">
        <f t="shared" ca="1" si="80"/>
        <v>67</v>
      </c>
      <c r="H560" s="97">
        <f t="shared" ca="1" si="89"/>
        <v>45723</v>
      </c>
      <c r="I560" s="121">
        <f ca="1">HLOOKUP($H$5,'Met Data'!$A$2:$F$368,G560,FALSE)</f>
        <v>17.7903225806451</v>
      </c>
      <c r="J560" s="119">
        <f ca="1">HLOOKUP($H$5,'Met Data'!$H$2:$M$368,G560,FALSE)*L560</f>
        <v>2.88709677419354</v>
      </c>
      <c r="K560" s="98">
        <f ca="1">HLOOKUP($H$5,'Met Data'!$O$2:$T$368,G560,FALSE)</f>
        <v>3.4909393601542198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" thickBot="1">
      <c r="G561" s="3">
        <f t="shared" ref="G561:G624" ca="1" si="90">H561-DATE(YEAR(H561),1,0)+1</f>
        <v>68</v>
      </c>
      <c r="H561" s="97">
        <f t="shared" ca="1" si="89"/>
        <v>45724</v>
      </c>
      <c r="I561" s="121">
        <f ca="1">HLOOKUP($H$5,'Met Data'!$A$2:$F$368,G561,FALSE)</f>
        <v>18.141379310344799</v>
      </c>
      <c r="J561" s="119">
        <f ca="1">HLOOKUP($H$5,'Met Data'!$H$2:$M$368,G561,FALSE)*L561</f>
        <v>1.0379310344827499</v>
      </c>
      <c r="K561" s="98">
        <f ca="1">HLOOKUP($H$5,'Met Data'!$O$2:$T$368,G561,FALSE)</f>
        <v>3.8084649299222599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" thickBot="1">
      <c r="G562" s="3">
        <f t="shared" ca="1" si="90"/>
        <v>69</v>
      </c>
      <c r="H562" s="97">
        <f t="shared" ca="1" si="89"/>
        <v>45725</v>
      </c>
      <c r="I562" s="121">
        <f ca="1">HLOOKUP($H$5,'Met Data'!$A$2:$F$368,G562,FALSE)</f>
        <v>18.3816666666666</v>
      </c>
      <c r="J562" s="119">
        <f ca="1">HLOOKUP($H$5,'Met Data'!$H$2:$M$368,G562,FALSE)*L562</f>
        <v>3.2766666666666602</v>
      </c>
      <c r="K562" s="98">
        <f ca="1">HLOOKUP($H$5,'Met Data'!$O$2:$T$368,G562,FALSE)</f>
        <v>3.6161533155938699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" thickBot="1">
      <c r="G563" s="3">
        <f t="shared" ca="1" si="90"/>
        <v>70</v>
      </c>
      <c r="H563" s="97">
        <f t="shared" ca="1" si="89"/>
        <v>45726</v>
      </c>
      <c r="I563" s="121">
        <f ca="1">HLOOKUP($H$5,'Met Data'!$A$2:$F$368,G563,FALSE)</f>
        <v>18.100000000000001</v>
      </c>
      <c r="J563" s="119">
        <f ca="1">HLOOKUP($H$5,'Met Data'!$H$2:$M$368,G563,FALSE)*L563</f>
        <v>1.75</v>
      </c>
      <c r="K563" s="98">
        <f ca="1">HLOOKUP($H$5,'Met Data'!$O$2:$T$368,G563,FALSE)</f>
        <v>3.9222011256035199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" thickBot="1">
      <c r="G564" s="3">
        <f t="shared" ca="1" si="90"/>
        <v>71</v>
      </c>
      <c r="H564" s="97">
        <f t="shared" ca="1" si="89"/>
        <v>45727</v>
      </c>
      <c r="I564" s="121">
        <f ca="1">HLOOKUP($H$5,'Met Data'!$A$2:$F$368,G564,FALSE)</f>
        <v>17.931666666666601</v>
      </c>
      <c r="J564" s="119">
        <f ca="1">HLOOKUP($H$5,'Met Data'!$H$2:$M$368,G564,FALSE)*L564</f>
        <v>6.9499999999999904</v>
      </c>
      <c r="K564" s="98">
        <f ca="1">HLOOKUP($H$5,'Met Data'!$O$2:$T$368,G564,FALSE)</f>
        <v>3.4661109817168501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" thickBot="1">
      <c r="G565" s="3">
        <f t="shared" ca="1" si="90"/>
        <v>72</v>
      </c>
      <c r="H565" s="97">
        <f t="shared" ca="1" si="89"/>
        <v>45728</v>
      </c>
      <c r="I565" s="121">
        <f ca="1">HLOOKUP($H$5,'Met Data'!$A$2:$F$368,G565,FALSE)</f>
        <v>18.11</v>
      </c>
      <c r="J565" s="119">
        <f ca="1">HLOOKUP($H$5,'Met Data'!$H$2:$M$368,G565,FALSE)*L565</f>
        <v>3.0533333333333301</v>
      </c>
      <c r="K565" s="98">
        <f ca="1">HLOOKUP($H$5,'Met Data'!$O$2:$T$368,G565,FALSE)</f>
        <v>3.54178935257598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" thickBot="1">
      <c r="G566" s="3">
        <f t="shared" ca="1" si="90"/>
        <v>73</v>
      </c>
      <c r="H566" s="97">
        <f t="shared" ca="1" si="89"/>
        <v>45729</v>
      </c>
      <c r="I566" s="121">
        <f ca="1">HLOOKUP($H$5,'Met Data'!$A$2:$F$368,G566,FALSE)</f>
        <v>17.7392857142857</v>
      </c>
      <c r="J566" s="119">
        <f ca="1">HLOOKUP($H$5,'Met Data'!$H$2:$M$368,G566,FALSE)*L566</f>
        <v>1.6892857142857101</v>
      </c>
      <c r="K566" s="98">
        <f ca="1">HLOOKUP($H$5,'Met Data'!$O$2:$T$368,G566,FALSE)</f>
        <v>3.3591305391228099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" thickBot="1">
      <c r="G567" s="3">
        <f t="shared" ca="1" si="90"/>
        <v>74</v>
      </c>
      <c r="H567" s="97">
        <f t="shared" ca="1" si="89"/>
        <v>45730</v>
      </c>
      <c r="I567" s="121">
        <f ca="1">HLOOKUP($H$5,'Met Data'!$A$2:$F$368,G567,FALSE)</f>
        <v>17.7431034482758</v>
      </c>
      <c r="J567" s="119">
        <f ca="1">HLOOKUP($H$5,'Met Data'!$H$2:$M$368,G567,FALSE)*L567</f>
        <v>1.84</v>
      </c>
      <c r="K567" s="98">
        <f ca="1">HLOOKUP($H$5,'Met Data'!$O$2:$T$368,G567,FALSE)</f>
        <v>3.37236322021164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" thickBot="1">
      <c r="G568" s="3">
        <f t="shared" ca="1" si="90"/>
        <v>75</v>
      </c>
      <c r="H568" s="97">
        <f t="shared" ca="1" si="89"/>
        <v>45731</v>
      </c>
      <c r="I568" s="121">
        <f ca="1">HLOOKUP($H$5,'Met Data'!$A$2:$F$368,G568,FALSE)</f>
        <v>17.582758620689599</v>
      </c>
      <c r="J568" s="119">
        <f ca="1">HLOOKUP($H$5,'Met Data'!$H$2:$M$368,G568,FALSE)*L568</f>
        <v>3.1862068965517198</v>
      </c>
      <c r="K568" s="98">
        <f ca="1">HLOOKUP($H$5,'Met Data'!$O$2:$T$368,G568,FALSE)</f>
        <v>3.1968269295082399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" thickBot="1">
      <c r="G569" s="3">
        <f t="shared" ca="1" si="90"/>
        <v>76</v>
      </c>
      <c r="H569" s="97">
        <f t="shared" ca="1" si="89"/>
        <v>45732</v>
      </c>
      <c r="I569" s="121">
        <f ca="1">HLOOKUP($H$5,'Met Data'!$A$2:$F$368,G569,FALSE)</f>
        <v>17.724137931034399</v>
      </c>
      <c r="J569" s="119">
        <f ca="1">HLOOKUP($H$5,'Met Data'!$H$2:$M$368,G569,FALSE)*L569</f>
        <v>2.9633333333333298</v>
      </c>
      <c r="K569" s="98">
        <f ca="1">HLOOKUP($H$5,'Met Data'!$O$2:$T$368,G569,FALSE)</f>
        <v>3.15313078143424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" thickBot="1">
      <c r="G570" s="3">
        <f t="shared" ca="1" si="90"/>
        <v>77</v>
      </c>
      <c r="H570" s="97">
        <f t="shared" ca="1" si="89"/>
        <v>45733</v>
      </c>
      <c r="I570" s="121">
        <f ca="1">HLOOKUP($H$5,'Met Data'!$A$2:$F$368,G570,FALSE)</f>
        <v>17.698333333333299</v>
      </c>
      <c r="J570" s="119">
        <f ca="1">HLOOKUP($H$5,'Met Data'!$H$2:$M$368,G570,FALSE)*L570</f>
        <v>2.61666666666666</v>
      </c>
      <c r="K570" s="98">
        <f ca="1">HLOOKUP($H$5,'Met Data'!$O$2:$T$368,G570,FALSE)</f>
        <v>3.4068572568745799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" thickBot="1">
      <c r="G571" s="3">
        <f t="shared" ca="1" si="90"/>
        <v>78</v>
      </c>
      <c r="H571" s="97">
        <f t="shared" ca="1" si="89"/>
        <v>45734</v>
      </c>
      <c r="I571" s="121">
        <f ca="1">HLOOKUP($H$5,'Met Data'!$A$2:$F$368,G571,FALSE)</f>
        <v>17.62</v>
      </c>
      <c r="J571" s="119">
        <f ca="1">HLOOKUP($H$5,'Met Data'!$H$2:$M$368,G571,FALSE)*L571</f>
        <v>1.69</v>
      </c>
      <c r="K571" s="98">
        <f ca="1">HLOOKUP($H$5,'Met Data'!$O$2:$T$368,G571,FALSE)</f>
        <v>3.17632774581707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" thickBot="1">
      <c r="G572" s="3">
        <f t="shared" ca="1" si="90"/>
        <v>79</v>
      </c>
      <c r="H572" s="97">
        <f t="shared" ca="1" si="89"/>
        <v>45735</v>
      </c>
      <c r="I572" s="121">
        <f ca="1">HLOOKUP($H$5,'Met Data'!$A$2:$F$368,G572,FALSE)</f>
        <v>17.170000000000002</v>
      </c>
      <c r="J572" s="119">
        <f ca="1">HLOOKUP($H$5,'Met Data'!$H$2:$M$368,G572,FALSE)*L572</f>
        <v>1.5166666666666599</v>
      </c>
      <c r="K572" s="98">
        <f ca="1">HLOOKUP($H$5,'Met Data'!$O$2:$T$368,G572,FALSE)</f>
        <v>3.38121466442426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" thickBot="1">
      <c r="G573" s="3">
        <f t="shared" ca="1" si="90"/>
        <v>80</v>
      </c>
      <c r="H573" s="97">
        <f t="shared" ca="1" si="89"/>
        <v>45736</v>
      </c>
      <c r="I573" s="121">
        <f ca="1">HLOOKUP($H$5,'Met Data'!$A$2:$F$368,G573,FALSE)</f>
        <v>17.223333333333301</v>
      </c>
      <c r="J573" s="119">
        <f ca="1">HLOOKUP($H$5,'Met Data'!$H$2:$M$368,G573,FALSE)*L573</f>
        <v>3.56451612903225</v>
      </c>
      <c r="K573" s="98">
        <f ca="1">HLOOKUP($H$5,'Met Data'!$O$2:$T$368,G573,FALSE)</f>
        <v>3.2035769560803802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" thickBot="1">
      <c r="G574" s="3">
        <f t="shared" ca="1" si="90"/>
        <v>81</v>
      </c>
      <c r="H574" s="97">
        <f t="shared" ca="1" si="89"/>
        <v>45737</v>
      </c>
      <c r="I574" s="121">
        <f ca="1">HLOOKUP($H$5,'Met Data'!$A$2:$F$368,G574,FALSE)</f>
        <v>17.498333333333299</v>
      </c>
      <c r="J574" s="119">
        <f ca="1">HLOOKUP($H$5,'Met Data'!$H$2:$M$368,G574,FALSE)*L574</f>
        <v>0.80645161290322498</v>
      </c>
      <c r="K574" s="98">
        <f ca="1">HLOOKUP($H$5,'Met Data'!$O$2:$T$368,G574,FALSE)</f>
        <v>3.31927458571925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" thickBot="1">
      <c r="G575" s="3">
        <f t="shared" ca="1" si="90"/>
        <v>82</v>
      </c>
      <c r="H575" s="97">
        <f t="shared" ca="1" si="89"/>
        <v>45738</v>
      </c>
      <c r="I575" s="121">
        <f ca="1">HLOOKUP($H$5,'Met Data'!$A$2:$F$368,G575,FALSE)</f>
        <v>17.390322580645101</v>
      </c>
      <c r="J575" s="119">
        <f ca="1">HLOOKUP($H$5,'Met Data'!$H$2:$M$368,G575,FALSE)*L575</f>
        <v>2.8516129032258002</v>
      </c>
      <c r="K575" s="98">
        <f ca="1">HLOOKUP($H$5,'Met Data'!$O$2:$T$368,G575,FALSE)</f>
        <v>3.3284502448926401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" thickBot="1">
      <c r="G576" s="3">
        <f t="shared" ca="1" si="90"/>
        <v>83</v>
      </c>
      <c r="H576" s="97">
        <f t="shared" ca="1" si="89"/>
        <v>45739</v>
      </c>
      <c r="I576" s="121">
        <f ca="1">HLOOKUP($H$5,'Met Data'!$A$2:$F$368,G576,FALSE)</f>
        <v>17.053333333333299</v>
      </c>
      <c r="J576" s="119">
        <f ca="1">HLOOKUP($H$5,'Met Data'!$H$2:$M$368,G576,FALSE)*L576</f>
        <v>2.9933333333333301</v>
      </c>
      <c r="K576" s="98">
        <f ca="1">HLOOKUP($H$5,'Met Data'!$O$2:$T$368,G576,FALSE)</f>
        <v>3.1676733133647299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" thickBot="1">
      <c r="G577" s="3">
        <f t="shared" ca="1" si="90"/>
        <v>84</v>
      </c>
      <c r="H577" s="97">
        <f t="shared" ca="1" si="89"/>
        <v>45740</v>
      </c>
      <c r="I577" s="121">
        <f ca="1">HLOOKUP($H$5,'Met Data'!$A$2:$F$368,G577,FALSE)</f>
        <v>16.973333333333301</v>
      </c>
      <c r="J577" s="119">
        <f ca="1">HLOOKUP($H$5,'Met Data'!$H$2:$M$368,G577,FALSE)*L577</f>
        <v>1.83666666666666</v>
      </c>
      <c r="K577" s="98">
        <f ca="1">HLOOKUP($H$5,'Met Data'!$O$2:$T$368,G577,FALSE)</f>
        <v>3.1307694102164598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" thickBot="1">
      <c r="G578" s="3">
        <f t="shared" ca="1" si="90"/>
        <v>85</v>
      </c>
      <c r="H578" s="97">
        <f t="shared" ca="1" si="89"/>
        <v>45741</v>
      </c>
      <c r="I578" s="121">
        <f ca="1">HLOOKUP($H$5,'Met Data'!$A$2:$F$368,G578,FALSE)</f>
        <v>16.984999999999999</v>
      </c>
      <c r="J578" s="119">
        <f ca="1">HLOOKUP($H$5,'Met Data'!$H$2:$M$368,G578,FALSE)*L578</f>
        <v>1.7666666666666599</v>
      </c>
      <c r="K578" s="98">
        <f ca="1">HLOOKUP($H$5,'Met Data'!$O$2:$T$368,G578,FALSE)</f>
        <v>2.9971927749729499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" thickBot="1">
      <c r="G579" s="3">
        <f t="shared" ca="1" si="90"/>
        <v>86</v>
      </c>
      <c r="H579" s="97">
        <f t="shared" ca="1" si="89"/>
        <v>45742</v>
      </c>
      <c r="I579" s="121">
        <f ca="1">HLOOKUP($H$5,'Met Data'!$A$2:$F$368,G579,FALSE)</f>
        <v>17.064516129032199</v>
      </c>
      <c r="J579" s="119">
        <f ca="1">HLOOKUP($H$5,'Met Data'!$H$2:$M$368,G579,FALSE)*L579</f>
        <v>3.4354838709677402</v>
      </c>
      <c r="K579" s="98">
        <f ca="1">HLOOKUP($H$5,'Met Data'!$O$2:$T$368,G579,FALSE)</f>
        <v>3.1405308327099699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" thickBot="1">
      <c r="G580" s="3">
        <f t="shared" ca="1" si="90"/>
        <v>87</v>
      </c>
      <c r="H580" s="97">
        <f t="shared" ca="1" si="89"/>
        <v>45743</v>
      </c>
      <c r="I580" s="121">
        <f ca="1">HLOOKUP($H$5,'Met Data'!$A$2:$F$368,G580,FALSE)</f>
        <v>17.208064516128999</v>
      </c>
      <c r="J580" s="119">
        <f ca="1">HLOOKUP($H$5,'Met Data'!$H$2:$M$368,G580,FALSE)*L580</f>
        <v>0.97419354838709604</v>
      </c>
      <c r="K580" s="98">
        <f ca="1">HLOOKUP($H$5,'Met Data'!$O$2:$T$368,G580,FALSE)</f>
        <v>3.1295018555019598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" thickBot="1">
      <c r="G581" s="3">
        <f t="shared" ca="1" si="90"/>
        <v>88</v>
      </c>
      <c r="H581" s="97">
        <f t="shared" ca="1" si="89"/>
        <v>45744</v>
      </c>
      <c r="I581" s="121">
        <f ca="1">HLOOKUP($H$5,'Met Data'!$A$2:$F$368,G581,FALSE)</f>
        <v>17.141666666666602</v>
      </c>
      <c r="J581" s="119">
        <f ca="1">HLOOKUP($H$5,'Met Data'!$H$2:$M$368,G581,FALSE)*L581</f>
        <v>2.43225806451612</v>
      </c>
      <c r="K581" s="98">
        <f ca="1">HLOOKUP($H$5,'Met Data'!$O$2:$T$368,G581,FALSE)</f>
        <v>2.6600638405747499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" thickBot="1">
      <c r="G582" s="3">
        <f t="shared" ca="1" si="90"/>
        <v>89</v>
      </c>
      <c r="H582" s="97">
        <f t="shared" ca="1" si="89"/>
        <v>45745</v>
      </c>
      <c r="I582" s="121">
        <f ca="1">HLOOKUP($H$5,'Met Data'!$A$2:$F$368,G582,FALSE)</f>
        <v>17.338333333333299</v>
      </c>
      <c r="J582" s="119">
        <f ca="1">HLOOKUP($H$5,'Met Data'!$H$2:$M$368,G582,FALSE)*L582</f>
        <v>2.8193548387096699</v>
      </c>
      <c r="K582" s="98">
        <f ca="1">HLOOKUP($H$5,'Met Data'!$O$2:$T$368,G582,FALSE)</f>
        <v>2.7816184084358899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" thickBot="1">
      <c r="G583" s="3">
        <f t="shared" ca="1" si="90"/>
        <v>90</v>
      </c>
      <c r="H583" s="97">
        <f t="shared" ca="1" si="89"/>
        <v>45746</v>
      </c>
      <c r="I583" s="121">
        <f ca="1">HLOOKUP($H$5,'Met Data'!$A$2:$F$368,G583,FALSE)</f>
        <v>17.136206896551698</v>
      </c>
      <c r="J583" s="119">
        <f ca="1">HLOOKUP($H$5,'Met Data'!$H$2:$M$368,G583,FALSE)*L583</f>
        <v>1.15333333333333</v>
      </c>
      <c r="K583" s="98">
        <f ca="1">HLOOKUP($H$5,'Met Data'!$O$2:$T$368,G583,FALSE)</f>
        <v>3.16549451986696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" thickBot="1">
      <c r="G584" s="3">
        <f t="shared" ca="1" si="90"/>
        <v>91</v>
      </c>
      <c r="H584" s="97">
        <f t="shared" ca="1" si="89"/>
        <v>45747</v>
      </c>
      <c r="I584" s="121">
        <f ca="1">HLOOKUP($H$5,'Met Data'!$A$2:$F$368,G584,FALSE)</f>
        <v>16.922413793103399</v>
      </c>
      <c r="J584" s="119">
        <f ca="1">HLOOKUP($H$5,'Met Data'!$H$2:$M$368,G584,FALSE)*L584</f>
        <v>2.9733333333333301</v>
      </c>
      <c r="K584" s="98">
        <f ca="1">HLOOKUP($H$5,'Met Data'!$O$2:$T$368,G584,FALSE)</f>
        <v>2.84233525233393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" thickBot="1">
      <c r="G585" s="3">
        <f t="shared" ca="1" si="90"/>
        <v>92</v>
      </c>
      <c r="H585" s="97">
        <f t="shared" ref="H585:H648" ca="1" si="99">H584+1</f>
        <v>45748</v>
      </c>
      <c r="I585" s="121">
        <f ca="1">HLOOKUP($H$5,'Met Data'!$A$2:$F$368,G585,FALSE)</f>
        <v>16.63</v>
      </c>
      <c r="J585" s="119">
        <f ca="1">HLOOKUP($H$5,'Met Data'!$H$2:$M$368,G585,FALSE)*L585</f>
        <v>1.76451612903225</v>
      </c>
      <c r="K585" s="98">
        <f ca="1">HLOOKUP($H$5,'Met Data'!$O$2:$T$368,G585,FALSE)</f>
        <v>2.8748972399291501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" thickBot="1">
      <c r="G586" s="3">
        <f t="shared" ca="1" si="90"/>
        <v>93</v>
      </c>
      <c r="H586" s="97">
        <f t="shared" ca="1" si="99"/>
        <v>45749</v>
      </c>
      <c r="I586" s="121">
        <f ca="1">HLOOKUP($H$5,'Met Data'!$A$2:$F$368,G586,FALSE)</f>
        <v>16.5379310344827</v>
      </c>
      <c r="J586" s="119">
        <f ca="1">HLOOKUP($H$5,'Met Data'!$H$2:$M$368,G586,FALSE)*L586</f>
        <v>3.32258064516129</v>
      </c>
      <c r="K586" s="98">
        <f ca="1">HLOOKUP($H$5,'Met Data'!$O$2:$T$368,G586,FALSE)</f>
        <v>2.5469261916112398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" thickBot="1">
      <c r="G587" s="3">
        <f t="shared" ca="1" si="90"/>
        <v>94</v>
      </c>
      <c r="H587" s="97">
        <f t="shared" ca="1" si="99"/>
        <v>45750</v>
      </c>
      <c r="I587" s="121">
        <f ca="1">HLOOKUP($H$5,'Met Data'!$A$2:$F$368,G587,FALSE)</f>
        <v>16.693103448275799</v>
      </c>
      <c r="J587" s="119">
        <f ca="1">HLOOKUP($H$5,'Met Data'!$H$2:$M$368,G587,FALSE)*L587</f>
        <v>2.8064516129032202</v>
      </c>
      <c r="K587" s="98">
        <f ca="1">HLOOKUP($H$5,'Met Data'!$O$2:$T$368,G587,FALSE)</f>
        <v>2.8493466745517901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" thickBot="1">
      <c r="G588" s="3">
        <f t="shared" ca="1" si="90"/>
        <v>95</v>
      </c>
      <c r="H588" s="97">
        <f t="shared" ca="1" si="99"/>
        <v>45751</v>
      </c>
      <c r="I588" s="121">
        <f ca="1">HLOOKUP($H$5,'Met Data'!$A$2:$F$368,G588,FALSE)</f>
        <v>16.29</v>
      </c>
      <c r="J588" s="119">
        <f ca="1">HLOOKUP($H$5,'Met Data'!$H$2:$M$368,G588,FALSE)*L588</f>
        <v>1.4483870967741901</v>
      </c>
      <c r="K588" s="98">
        <f ca="1">HLOOKUP($H$5,'Met Data'!$O$2:$T$368,G588,FALSE)</f>
        <v>3.04847392107171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" thickBot="1">
      <c r="G589" s="3">
        <f t="shared" ca="1" si="90"/>
        <v>96</v>
      </c>
      <c r="H589" s="97">
        <f t="shared" ca="1" si="99"/>
        <v>45752</v>
      </c>
      <c r="I589" s="121">
        <f ca="1">HLOOKUP($H$5,'Met Data'!$A$2:$F$368,G589,FALSE)</f>
        <v>16.28</v>
      </c>
      <c r="J589" s="119">
        <f ca="1">HLOOKUP($H$5,'Met Data'!$H$2:$M$368,G589,FALSE)*L589</f>
        <v>1.6838709677419299</v>
      </c>
      <c r="K589" s="98">
        <f ca="1">HLOOKUP($H$5,'Met Data'!$O$2:$T$368,G589,FALSE)</f>
        <v>2.9631357104845102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" thickBot="1">
      <c r="G590" s="3">
        <f t="shared" ca="1" si="90"/>
        <v>97</v>
      </c>
      <c r="H590" s="97">
        <f t="shared" ca="1" si="99"/>
        <v>45753</v>
      </c>
      <c r="I590" s="121">
        <f ca="1">HLOOKUP($H$5,'Met Data'!$A$2:$F$368,G590,FALSE)</f>
        <v>16.288333333333298</v>
      </c>
      <c r="J590" s="119">
        <f ca="1">HLOOKUP($H$5,'Met Data'!$H$2:$M$368,G590,FALSE)*L590</f>
        <v>3.1066666666666598</v>
      </c>
      <c r="K590" s="98">
        <f ca="1">HLOOKUP($H$5,'Met Data'!$O$2:$T$368,G590,FALSE)</f>
        <v>2.8364094228266699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" thickBot="1">
      <c r="G591" s="3">
        <f t="shared" ca="1" si="90"/>
        <v>98</v>
      </c>
      <c r="H591" s="97">
        <f t="shared" ca="1" si="99"/>
        <v>45754</v>
      </c>
      <c r="I591" s="121">
        <f ca="1">HLOOKUP($H$5,'Met Data'!$A$2:$F$368,G591,FALSE)</f>
        <v>16.247502601456802</v>
      </c>
      <c r="J591" s="119">
        <f ca="1">HLOOKUP($H$5,'Met Data'!$H$2:$M$368,G591,FALSE)*L591</f>
        <v>2.3033333333333301</v>
      </c>
      <c r="K591" s="98">
        <f ca="1">HLOOKUP($H$5,'Met Data'!$O$2:$T$368,G591,FALSE)</f>
        <v>2.7733248568186499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" thickBot="1">
      <c r="G592" s="3">
        <f t="shared" ca="1" si="90"/>
        <v>99</v>
      </c>
      <c r="H592" s="97">
        <f t="shared" ca="1" si="99"/>
        <v>45755</v>
      </c>
      <c r="I592" s="121">
        <f ca="1">HLOOKUP($H$5,'Met Data'!$A$2:$F$368,G592,FALSE)</f>
        <v>15.9919354838709</v>
      </c>
      <c r="J592" s="119">
        <f ca="1">HLOOKUP($H$5,'Met Data'!$H$2:$M$368,G592,FALSE)*L592</f>
        <v>3.04</v>
      </c>
      <c r="K592" s="98">
        <f ca="1">HLOOKUP($H$5,'Met Data'!$O$2:$T$368,G592,FALSE)</f>
        <v>2.4928303491288801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" thickBot="1">
      <c r="G593" s="3">
        <f t="shared" ca="1" si="90"/>
        <v>100</v>
      </c>
      <c r="H593" s="97">
        <f t="shared" ca="1" si="99"/>
        <v>45756</v>
      </c>
      <c r="I593" s="121">
        <f ca="1">HLOOKUP($H$5,'Met Data'!$A$2:$F$368,G593,FALSE)</f>
        <v>15.7</v>
      </c>
      <c r="J593" s="119">
        <f ca="1">HLOOKUP($H$5,'Met Data'!$H$2:$M$368,G593,FALSE)*L593</f>
        <v>4.67</v>
      </c>
      <c r="K593" s="98">
        <f ca="1">HLOOKUP($H$5,'Met Data'!$O$2:$T$368,G593,FALSE)</f>
        <v>2.4645244256425198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" thickBot="1">
      <c r="G594" s="3">
        <f t="shared" ca="1" si="90"/>
        <v>101</v>
      </c>
      <c r="H594" s="97">
        <f t="shared" ca="1" si="99"/>
        <v>45757</v>
      </c>
      <c r="I594" s="121">
        <f ca="1">HLOOKUP($H$5,'Met Data'!$A$2:$F$368,G594,FALSE)</f>
        <v>15.6066666666666</v>
      </c>
      <c r="J594" s="119">
        <f ca="1">HLOOKUP($H$5,'Met Data'!$H$2:$M$368,G594,FALSE)*L594</f>
        <v>2.9099999999999899</v>
      </c>
      <c r="K594" s="98">
        <f ca="1">HLOOKUP($H$5,'Met Data'!$O$2:$T$368,G594,FALSE)</f>
        <v>2.6085032852196299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" thickBot="1">
      <c r="G595" s="3">
        <f t="shared" ca="1" si="90"/>
        <v>102</v>
      </c>
      <c r="H595" s="97">
        <f t="shared" ca="1" si="99"/>
        <v>45758</v>
      </c>
      <c r="I595" s="121">
        <f ca="1">HLOOKUP($H$5,'Met Data'!$A$2:$F$368,G595,FALSE)</f>
        <v>15.335000000000001</v>
      </c>
      <c r="J595" s="119">
        <f ca="1">HLOOKUP($H$5,'Met Data'!$H$2:$M$368,G595,FALSE)*L595</f>
        <v>2.68333333333333</v>
      </c>
      <c r="K595" s="98">
        <f ca="1">HLOOKUP($H$5,'Met Data'!$O$2:$T$368,G595,FALSE)</f>
        <v>2.45140037536581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" thickBot="1">
      <c r="G596" s="3">
        <f t="shared" ca="1" si="90"/>
        <v>103</v>
      </c>
      <c r="H596" s="97">
        <f t="shared" ca="1" si="99"/>
        <v>45759</v>
      </c>
      <c r="I596" s="121">
        <f ca="1">HLOOKUP($H$5,'Met Data'!$A$2:$F$368,G596,FALSE)</f>
        <v>15.3916666666666</v>
      </c>
      <c r="J596" s="119">
        <f ca="1">HLOOKUP($H$5,'Met Data'!$H$2:$M$368,G596,FALSE)*L596</f>
        <v>4.07</v>
      </c>
      <c r="K596" s="98">
        <f ca="1">HLOOKUP($H$5,'Met Data'!$O$2:$T$368,G596,FALSE)</f>
        <v>2.54129590695179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" thickBot="1">
      <c r="G597" s="3">
        <f t="shared" ca="1" si="90"/>
        <v>104</v>
      </c>
      <c r="H597" s="97">
        <f t="shared" ca="1" si="99"/>
        <v>45760</v>
      </c>
      <c r="I597" s="121">
        <f ca="1">HLOOKUP($H$5,'Met Data'!$A$2:$F$368,G597,FALSE)</f>
        <v>15.6451612903225</v>
      </c>
      <c r="J597" s="119">
        <f ca="1">HLOOKUP($H$5,'Met Data'!$H$2:$M$368,G597,FALSE)*L597</f>
        <v>2.43333333333333</v>
      </c>
      <c r="K597" s="98">
        <f ca="1">HLOOKUP($H$5,'Met Data'!$O$2:$T$368,G597,FALSE)</f>
        <v>2.5074868670786801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" thickBot="1">
      <c r="G598" s="3">
        <f t="shared" ca="1" si="90"/>
        <v>105</v>
      </c>
      <c r="H598" s="97">
        <f t="shared" ca="1" si="99"/>
        <v>45761</v>
      </c>
      <c r="I598" s="121">
        <f ca="1">HLOOKUP($H$5,'Met Data'!$A$2:$F$368,G598,FALSE)</f>
        <v>15.3435483870967</v>
      </c>
      <c r="J598" s="119">
        <f ca="1">HLOOKUP($H$5,'Met Data'!$H$2:$M$368,G598,FALSE)*L598</f>
        <v>3.5533333333333301</v>
      </c>
      <c r="K598" s="98">
        <f ca="1">HLOOKUP($H$5,'Met Data'!$O$2:$T$368,G598,FALSE)</f>
        <v>2.53164431510397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" thickBot="1">
      <c r="G599" s="3">
        <f t="shared" ca="1" si="90"/>
        <v>106</v>
      </c>
      <c r="H599" s="97">
        <f t="shared" ca="1" si="99"/>
        <v>45762</v>
      </c>
      <c r="I599" s="121">
        <f ca="1">HLOOKUP($H$5,'Met Data'!$A$2:$F$368,G599,FALSE)</f>
        <v>15.1612903225806</v>
      </c>
      <c r="J599" s="119">
        <f ca="1">HLOOKUP($H$5,'Met Data'!$H$2:$M$368,G599,FALSE)*L599</f>
        <v>2.7451612903225802</v>
      </c>
      <c r="K599" s="98">
        <f ca="1">HLOOKUP($H$5,'Met Data'!$O$2:$T$368,G599,FALSE)</f>
        <v>2.2462315590791202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" thickBot="1">
      <c r="G600" s="3">
        <f t="shared" ca="1" si="90"/>
        <v>107</v>
      </c>
      <c r="H600" s="97">
        <f t="shared" ca="1" si="99"/>
        <v>45763</v>
      </c>
      <c r="I600" s="121">
        <f ca="1">HLOOKUP($H$5,'Met Data'!$A$2:$F$368,G600,FALSE)</f>
        <v>15.658064516129</v>
      </c>
      <c r="J600" s="119">
        <f ca="1">HLOOKUP($H$5,'Met Data'!$H$2:$M$368,G600,FALSE)*L600</f>
        <v>3.7677419354838699</v>
      </c>
      <c r="K600" s="98">
        <f ca="1">HLOOKUP($H$5,'Met Data'!$O$2:$T$368,G600,FALSE)</f>
        <v>2.3441419540899799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" thickBot="1">
      <c r="G601" s="3">
        <f t="shared" ca="1" si="90"/>
        <v>108</v>
      </c>
      <c r="H601" s="97">
        <f t="shared" ca="1" si="99"/>
        <v>45764</v>
      </c>
      <c r="I601" s="121">
        <f ca="1">HLOOKUP($H$5,'Met Data'!$A$2:$F$368,G601,FALSE)</f>
        <v>15.408064516129</v>
      </c>
      <c r="J601" s="119">
        <f ca="1">HLOOKUP($H$5,'Met Data'!$H$2:$M$368,G601,FALSE)*L601</f>
        <v>2.6870967741935399</v>
      </c>
      <c r="K601" s="98">
        <f ca="1">HLOOKUP($H$5,'Met Data'!$O$2:$T$368,G601,FALSE)</f>
        <v>2.0871356285448601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" thickBot="1">
      <c r="G602" s="3">
        <f t="shared" ca="1" si="90"/>
        <v>109</v>
      </c>
      <c r="H602" s="97">
        <f t="shared" ca="1" si="99"/>
        <v>45765</v>
      </c>
      <c r="I602" s="121">
        <f ca="1">HLOOKUP($H$5,'Met Data'!$A$2:$F$368,G602,FALSE)</f>
        <v>15.420967741935399</v>
      </c>
      <c r="J602" s="119">
        <f ca="1">HLOOKUP($H$5,'Met Data'!$H$2:$M$368,G602,FALSE)*L602</f>
        <v>2.8516129032258002</v>
      </c>
      <c r="K602" s="98">
        <f ca="1">HLOOKUP($H$5,'Met Data'!$O$2:$T$368,G602,FALSE)</f>
        <v>2.1715863377271001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" thickBot="1">
      <c r="G603" s="3">
        <f t="shared" ca="1" si="90"/>
        <v>110</v>
      </c>
      <c r="H603" s="97">
        <f t="shared" ca="1" si="99"/>
        <v>45766</v>
      </c>
      <c r="I603" s="121">
        <f ca="1">HLOOKUP($H$5,'Met Data'!$A$2:$F$368,G603,FALSE)</f>
        <v>15.193548387096699</v>
      </c>
      <c r="J603" s="119">
        <f ca="1">HLOOKUP($H$5,'Met Data'!$H$2:$M$368,G603,FALSE)*L603</f>
        <v>2.4258064516129001</v>
      </c>
      <c r="K603" s="98">
        <f ca="1">HLOOKUP($H$5,'Met Data'!$O$2:$T$368,G603,FALSE)</f>
        <v>2.2979139363353802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" thickBot="1">
      <c r="G604" s="3">
        <f t="shared" ca="1" si="90"/>
        <v>111</v>
      </c>
      <c r="H604" s="97">
        <f t="shared" ca="1" si="99"/>
        <v>45767</v>
      </c>
      <c r="I604" s="121">
        <f ca="1">HLOOKUP($H$5,'Met Data'!$A$2:$F$368,G604,FALSE)</f>
        <v>15.4096774193548</v>
      </c>
      <c r="J604" s="119">
        <f ca="1">HLOOKUP($H$5,'Met Data'!$H$2:$M$368,G604,FALSE)*L604</f>
        <v>1.7322580645161201</v>
      </c>
      <c r="K604" s="98">
        <f ca="1">HLOOKUP($H$5,'Met Data'!$O$2:$T$368,G604,FALSE)</f>
        <v>2.3194627801487999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" thickBot="1">
      <c r="G605" s="3">
        <f t="shared" ca="1" si="90"/>
        <v>112</v>
      </c>
      <c r="H605" s="97">
        <f t="shared" ca="1" si="99"/>
        <v>45768</v>
      </c>
      <c r="I605" s="121">
        <f ca="1">HLOOKUP($H$5,'Met Data'!$A$2:$F$368,G605,FALSE)</f>
        <v>15.261666666666599</v>
      </c>
      <c r="J605" s="119">
        <f ca="1">HLOOKUP($H$5,'Met Data'!$H$2:$M$368,G605,FALSE)*L605</f>
        <v>4.0161290322580596</v>
      </c>
      <c r="K605" s="98">
        <f ca="1">HLOOKUP($H$5,'Met Data'!$O$2:$T$368,G605,FALSE)</f>
        <v>2.3321304827068001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" thickBot="1">
      <c r="G606" s="3">
        <f t="shared" ca="1" si="90"/>
        <v>113</v>
      </c>
      <c r="H606" s="97">
        <f t="shared" ca="1" si="99"/>
        <v>45769</v>
      </c>
      <c r="I606" s="121">
        <f ca="1">HLOOKUP($H$5,'Met Data'!$A$2:$F$368,G606,FALSE)</f>
        <v>14.5283333333333</v>
      </c>
      <c r="J606" s="119">
        <f ca="1">HLOOKUP($H$5,'Met Data'!$H$2:$M$368,G606,FALSE)*L606</f>
        <v>3.5258064516129002</v>
      </c>
      <c r="K606" s="98">
        <f ca="1">HLOOKUP($H$5,'Met Data'!$O$2:$T$368,G606,FALSE)</f>
        <v>2.2184505421646001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" thickBot="1">
      <c r="G607" s="3">
        <f t="shared" ca="1" si="90"/>
        <v>114</v>
      </c>
      <c r="H607" s="97">
        <f t="shared" ca="1" si="99"/>
        <v>45770</v>
      </c>
      <c r="I607" s="121">
        <f ca="1">HLOOKUP($H$5,'Met Data'!$A$2:$F$368,G607,FALSE)</f>
        <v>14.68</v>
      </c>
      <c r="J607" s="119">
        <f ca="1">HLOOKUP($H$5,'Met Data'!$H$2:$M$368,G607,FALSE)*L607</f>
        <v>2.28709677419354</v>
      </c>
      <c r="K607" s="98">
        <f ca="1">HLOOKUP($H$5,'Met Data'!$O$2:$T$368,G607,FALSE)</f>
        <v>2.2540363688604601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" thickBot="1">
      <c r="G608" s="3">
        <f t="shared" ca="1" si="90"/>
        <v>115</v>
      </c>
      <c r="H608" s="97">
        <f t="shared" ca="1" si="99"/>
        <v>45771</v>
      </c>
      <c r="I608" s="121">
        <f ca="1">HLOOKUP($H$5,'Met Data'!$A$2:$F$368,G608,FALSE)</f>
        <v>14.4933333333333</v>
      </c>
      <c r="J608" s="119">
        <f ca="1">HLOOKUP($H$5,'Met Data'!$H$2:$M$368,G608,FALSE)*L608</f>
        <v>4.3387096774193497</v>
      </c>
      <c r="K608" s="98">
        <f ca="1">HLOOKUP($H$5,'Met Data'!$O$2:$T$368,G608,FALSE)</f>
        <v>2.2396347152399998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" thickBot="1">
      <c r="G609" s="3">
        <f t="shared" ca="1" si="90"/>
        <v>116</v>
      </c>
      <c r="H609" s="97">
        <f t="shared" ca="1" si="99"/>
        <v>45772</v>
      </c>
      <c r="I609" s="121">
        <f ca="1">HLOOKUP($H$5,'Met Data'!$A$2:$F$368,G609,FALSE)</f>
        <v>14.7733333333333</v>
      </c>
      <c r="J609" s="119">
        <f ca="1">HLOOKUP($H$5,'Met Data'!$H$2:$M$368,G609,FALSE)*L609</f>
        <v>6.4580645161290304</v>
      </c>
      <c r="K609" s="98">
        <f ca="1">HLOOKUP($H$5,'Met Data'!$O$2:$T$368,G609,FALSE)</f>
        <v>2.0110185254269899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" thickBot="1">
      <c r="G610" s="3">
        <f t="shared" ca="1" si="90"/>
        <v>117</v>
      </c>
      <c r="H610" s="97">
        <f t="shared" ca="1" si="99"/>
        <v>45773</v>
      </c>
      <c r="I610" s="121">
        <f ca="1">HLOOKUP($H$5,'Met Data'!$A$2:$F$368,G610,FALSE)</f>
        <v>14.998333333333299</v>
      </c>
      <c r="J610" s="119">
        <f ca="1">HLOOKUP($H$5,'Met Data'!$H$2:$M$368,G610,FALSE)*L610</f>
        <v>3.1903225806451601</v>
      </c>
      <c r="K610" s="98">
        <f ca="1">HLOOKUP($H$5,'Met Data'!$O$2:$T$368,G610,FALSE)</f>
        <v>2.1294944258891699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" thickBot="1">
      <c r="G611" s="3">
        <f t="shared" ca="1" si="90"/>
        <v>118</v>
      </c>
      <c r="H611" s="97">
        <f t="shared" ca="1" si="99"/>
        <v>45774</v>
      </c>
      <c r="I611" s="121">
        <f ca="1">HLOOKUP($H$5,'Met Data'!$A$2:$F$368,G611,FALSE)</f>
        <v>15.395</v>
      </c>
      <c r="J611" s="119">
        <f ca="1">HLOOKUP($H$5,'Met Data'!$H$2:$M$368,G611,FALSE)*L611</f>
        <v>2.8516129032258002</v>
      </c>
      <c r="K611" s="98">
        <f ca="1">HLOOKUP($H$5,'Met Data'!$O$2:$T$368,G611,FALSE)</f>
        <v>2.1336270025185899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" thickBot="1">
      <c r="G612" s="3">
        <f t="shared" ca="1" si="90"/>
        <v>119</v>
      </c>
      <c r="H612" s="97">
        <f t="shared" ca="1" si="99"/>
        <v>45775</v>
      </c>
      <c r="I612" s="121">
        <f ca="1">HLOOKUP($H$5,'Met Data'!$A$2:$F$368,G612,FALSE)</f>
        <v>15.641379310344799</v>
      </c>
      <c r="J612" s="119">
        <f ca="1">HLOOKUP($H$5,'Met Data'!$H$2:$M$368,G612,FALSE)*L612</f>
        <v>3.74193548387096</v>
      </c>
      <c r="K612" s="98">
        <f ca="1">HLOOKUP($H$5,'Met Data'!$O$2:$T$368,G612,FALSE)</f>
        <v>2.0365768668725401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" thickBot="1">
      <c r="G613" s="3">
        <f t="shared" ca="1" si="90"/>
        <v>120</v>
      </c>
      <c r="H613" s="97">
        <f t="shared" ca="1" si="99"/>
        <v>45776</v>
      </c>
      <c r="I613" s="121">
        <f ca="1">HLOOKUP($H$5,'Met Data'!$A$2:$F$368,G613,FALSE)</f>
        <v>14.7327586206896</v>
      </c>
      <c r="J613" s="119">
        <f ca="1">HLOOKUP($H$5,'Met Data'!$H$2:$M$368,G613,FALSE)*L613</f>
        <v>3.3129032258064499</v>
      </c>
      <c r="K613" s="98">
        <f ca="1">HLOOKUP($H$5,'Met Data'!$O$2:$T$368,G613,FALSE)</f>
        <v>2.1199579861729001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" thickBot="1">
      <c r="G614" s="3">
        <f t="shared" ca="1" si="90"/>
        <v>121</v>
      </c>
      <c r="H614" s="97">
        <f t="shared" ca="1" si="99"/>
        <v>45777</v>
      </c>
      <c r="I614" s="121">
        <f ca="1">HLOOKUP($H$5,'Met Data'!$A$2:$F$368,G614,FALSE)</f>
        <v>14.332758620689599</v>
      </c>
      <c r="J614" s="119">
        <f ca="1">HLOOKUP($H$5,'Met Data'!$H$2:$M$368,G614,FALSE)*L614</f>
        <v>4.4322580645161196</v>
      </c>
      <c r="K614" s="98">
        <f ca="1">HLOOKUP($H$5,'Met Data'!$O$2:$T$368,G614,FALSE)</f>
        <v>1.7270113091402699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" thickBot="1">
      <c r="G615" s="3">
        <f t="shared" ca="1" si="90"/>
        <v>122</v>
      </c>
      <c r="H615" s="97">
        <f t="shared" ca="1" si="99"/>
        <v>45778</v>
      </c>
      <c r="I615" s="121">
        <f ca="1">HLOOKUP($H$5,'Met Data'!$A$2:$F$368,G615,FALSE)</f>
        <v>14.3982758620689</v>
      </c>
      <c r="J615" s="119">
        <f ca="1">HLOOKUP($H$5,'Met Data'!$H$2:$M$368,G615,FALSE)*L615</f>
        <v>3.1838709677419299</v>
      </c>
      <c r="K615" s="98">
        <f ca="1">HLOOKUP($H$5,'Met Data'!$O$2:$T$368,G615,FALSE)</f>
        <v>1.93510583623638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" thickBot="1">
      <c r="G616" s="3">
        <f t="shared" ca="1" si="90"/>
        <v>123</v>
      </c>
      <c r="H616" s="97">
        <f t="shared" ca="1" si="99"/>
        <v>45779</v>
      </c>
      <c r="I616" s="121">
        <f ca="1">HLOOKUP($H$5,'Met Data'!$A$2:$F$368,G616,FALSE)</f>
        <v>14.296666666666599</v>
      </c>
      <c r="J616" s="119">
        <f ca="1">HLOOKUP($H$5,'Met Data'!$H$2:$M$368,G616,FALSE)*L616</f>
        <v>6.4709677419354801</v>
      </c>
      <c r="K616" s="98">
        <f ca="1">HLOOKUP($H$5,'Met Data'!$O$2:$T$368,G616,FALSE)</f>
        <v>1.84994231207221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" thickBot="1">
      <c r="G617" s="3">
        <f t="shared" ca="1" si="90"/>
        <v>124</v>
      </c>
      <c r="H617" s="97">
        <f t="shared" ca="1" si="99"/>
        <v>45780</v>
      </c>
      <c r="I617" s="121">
        <f ca="1">HLOOKUP($H$5,'Met Data'!$A$2:$F$368,G617,FALSE)</f>
        <v>14.1866666666666</v>
      </c>
      <c r="J617" s="119">
        <f ca="1">HLOOKUP($H$5,'Met Data'!$H$2:$M$368,G617,FALSE)*L617</f>
        <v>2.59032258064516</v>
      </c>
      <c r="K617" s="98">
        <f ca="1">HLOOKUP($H$5,'Met Data'!$O$2:$T$368,G617,FALSE)</f>
        <v>1.8652259443704999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" thickBot="1">
      <c r="G618" s="3">
        <f t="shared" ca="1" si="90"/>
        <v>125</v>
      </c>
      <c r="H618" s="97">
        <f t="shared" ca="1" si="99"/>
        <v>45781</v>
      </c>
      <c r="I618" s="121">
        <f ca="1">HLOOKUP($H$5,'Met Data'!$A$2:$F$368,G618,FALSE)</f>
        <v>13.9112903225806</v>
      </c>
      <c r="J618" s="119">
        <f ca="1">HLOOKUP($H$5,'Met Data'!$H$2:$M$368,G618,FALSE)*L618</f>
        <v>2.2741935483870899</v>
      </c>
      <c r="K618" s="98">
        <f ca="1">HLOOKUP($H$5,'Met Data'!$O$2:$T$368,G618,FALSE)</f>
        <v>1.88347487361168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" thickBot="1">
      <c r="G619" s="3">
        <f t="shared" ca="1" si="90"/>
        <v>126</v>
      </c>
      <c r="H619" s="97">
        <f t="shared" ca="1" si="99"/>
        <v>45782</v>
      </c>
      <c r="I619" s="121">
        <f ca="1">HLOOKUP($H$5,'Met Data'!$A$2:$F$368,G619,FALSE)</f>
        <v>13.9966666666666</v>
      </c>
      <c r="J619" s="119">
        <f ca="1">HLOOKUP($H$5,'Met Data'!$H$2:$M$368,G619,FALSE)*L619</f>
        <v>3.2548387096774101</v>
      </c>
      <c r="K619" s="98">
        <f ca="1">HLOOKUP($H$5,'Met Data'!$O$2:$T$368,G619,FALSE)</f>
        <v>1.9813737718090501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" thickBot="1">
      <c r="G620" s="3">
        <f t="shared" ca="1" si="90"/>
        <v>127</v>
      </c>
      <c r="H620" s="97">
        <f t="shared" ca="1" si="99"/>
        <v>45783</v>
      </c>
      <c r="I620" s="121">
        <f ca="1">HLOOKUP($H$5,'Met Data'!$A$2:$F$368,G620,FALSE)</f>
        <v>14.1596774193548</v>
      </c>
      <c r="J620" s="119">
        <f ca="1">HLOOKUP($H$5,'Met Data'!$H$2:$M$368,G620,FALSE)*L620</f>
        <v>3.4483870967741899</v>
      </c>
      <c r="K620" s="98">
        <f ca="1">HLOOKUP($H$5,'Met Data'!$O$2:$T$368,G620,FALSE)</f>
        <v>1.78778032014411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" thickBot="1">
      <c r="G621" s="3">
        <f t="shared" ca="1" si="90"/>
        <v>128</v>
      </c>
      <c r="H621" s="97">
        <f t="shared" ca="1" si="99"/>
        <v>45784</v>
      </c>
      <c r="I621" s="121">
        <f ca="1">HLOOKUP($H$5,'Met Data'!$A$2:$F$368,G621,FALSE)</f>
        <v>13.8403225806451</v>
      </c>
      <c r="J621" s="119">
        <f ca="1">HLOOKUP($H$5,'Met Data'!$H$2:$M$368,G621,FALSE)*L621</f>
        <v>1.8387096774193501</v>
      </c>
      <c r="K621" s="98">
        <f ca="1">HLOOKUP($H$5,'Met Data'!$O$2:$T$368,G621,FALSE)</f>
        <v>1.87782016455675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" thickBot="1">
      <c r="G622" s="3">
        <f t="shared" ca="1" si="90"/>
        <v>129</v>
      </c>
      <c r="H622" s="97">
        <f t="shared" ca="1" si="99"/>
        <v>45785</v>
      </c>
      <c r="I622" s="121">
        <f ca="1">HLOOKUP($H$5,'Met Data'!$A$2:$F$368,G622,FALSE)</f>
        <v>13.5774193548387</v>
      </c>
      <c r="J622" s="119">
        <f ca="1">HLOOKUP($H$5,'Met Data'!$H$2:$M$368,G622,FALSE)*L622</f>
        <v>3.4064516129032198</v>
      </c>
      <c r="K622" s="98">
        <f ca="1">HLOOKUP($H$5,'Met Data'!$O$2:$T$368,G622,FALSE)</f>
        <v>1.84976774954056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" thickBot="1">
      <c r="G623" s="3">
        <f t="shared" ca="1" si="90"/>
        <v>130</v>
      </c>
      <c r="H623" s="97">
        <f t="shared" ca="1" si="99"/>
        <v>45786</v>
      </c>
      <c r="I623" s="121">
        <f ca="1">HLOOKUP($H$5,'Met Data'!$A$2:$F$368,G623,FALSE)</f>
        <v>13.1612903225806</v>
      </c>
      <c r="J623" s="119">
        <f ca="1">HLOOKUP($H$5,'Met Data'!$H$2:$M$368,G623,FALSE)*L623</f>
        <v>2.3258064516129</v>
      </c>
      <c r="K623" s="98">
        <f ca="1">HLOOKUP($H$5,'Met Data'!$O$2:$T$368,G623,FALSE)</f>
        <v>1.7318330822852801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" thickBot="1">
      <c r="G624" s="3">
        <f t="shared" ca="1" si="90"/>
        <v>131</v>
      </c>
      <c r="H624" s="97">
        <f t="shared" ca="1" si="99"/>
        <v>45787</v>
      </c>
      <c r="I624" s="121">
        <f ca="1">HLOOKUP($H$5,'Met Data'!$A$2:$F$368,G624,FALSE)</f>
        <v>13.291935483870899</v>
      </c>
      <c r="J624" s="119">
        <f ca="1">HLOOKUP($H$5,'Met Data'!$H$2:$M$368,G624,FALSE)*L624</f>
        <v>3.1733333333333298</v>
      </c>
      <c r="K624" s="98">
        <f ca="1">HLOOKUP($H$5,'Met Data'!$O$2:$T$368,G624,FALSE)</f>
        <v>1.6655372035048599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" thickBot="1">
      <c r="G625" s="3">
        <f t="shared" ref="G625:G688" ca="1" si="100">H625-DATE(YEAR(H625),1,0)+1</f>
        <v>132</v>
      </c>
      <c r="H625" s="97">
        <f t="shared" ca="1" si="99"/>
        <v>45788</v>
      </c>
      <c r="I625" s="121">
        <f ca="1">HLOOKUP($H$5,'Met Data'!$A$2:$F$368,G625,FALSE)</f>
        <v>13.5774193548387</v>
      </c>
      <c r="J625" s="119">
        <f ca="1">HLOOKUP($H$5,'Met Data'!$H$2:$M$368,G625,FALSE)*L625</f>
        <v>2.4225806451612901</v>
      </c>
      <c r="K625" s="98">
        <f ca="1">HLOOKUP($H$5,'Met Data'!$O$2:$T$368,G625,FALSE)</f>
        <v>1.82340706114468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" thickBot="1">
      <c r="G626" s="3">
        <f t="shared" ca="1" si="100"/>
        <v>133</v>
      </c>
      <c r="H626" s="97">
        <f t="shared" ca="1" si="99"/>
        <v>45789</v>
      </c>
      <c r="I626" s="121">
        <f ca="1">HLOOKUP($H$5,'Met Data'!$A$2:$F$368,G626,FALSE)</f>
        <v>13.898387096774099</v>
      </c>
      <c r="J626" s="119">
        <f ca="1">HLOOKUP($H$5,'Met Data'!$H$2:$M$368,G626,FALSE)*L626</f>
        <v>3.56129032258064</v>
      </c>
      <c r="K626" s="98">
        <f ca="1">HLOOKUP($H$5,'Met Data'!$O$2:$T$368,G626,FALSE)</f>
        <v>1.58246048642455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" thickBot="1">
      <c r="G627" s="3">
        <f t="shared" ca="1" si="100"/>
        <v>134</v>
      </c>
      <c r="H627" s="97">
        <f t="shared" ca="1" si="99"/>
        <v>45790</v>
      </c>
      <c r="I627" s="121">
        <f ca="1">HLOOKUP($H$5,'Met Data'!$A$2:$F$368,G627,FALSE)</f>
        <v>13.8193548387096</v>
      </c>
      <c r="J627" s="119">
        <f ca="1">HLOOKUP($H$5,'Met Data'!$H$2:$M$368,G627,FALSE)*L627</f>
        <v>3.2677419354838699</v>
      </c>
      <c r="K627" s="98">
        <f ca="1">HLOOKUP($H$5,'Met Data'!$O$2:$T$368,G627,FALSE)</f>
        <v>1.6419912913333301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" thickBot="1">
      <c r="G628" s="3">
        <f t="shared" ca="1" si="100"/>
        <v>135</v>
      </c>
      <c r="H628" s="97">
        <f t="shared" ca="1" si="99"/>
        <v>45791</v>
      </c>
      <c r="I628" s="121">
        <f ca="1">HLOOKUP($H$5,'Met Data'!$A$2:$F$368,G628,FALSE)</f>
        <v>13.49</v>
      </c>
      <c r="J628" s="119">
        <f ca="1">HLOOKUP($H$5,'Met Data'!$H$2:$M$368,G628,FALSE)*L628</f>
        <v>2.96129032258064</v>
      </c>
      <c r="K628" s="98">
        <f ca="1">HLOOKUP($H$5,'Met Data'!$O$2:$T$368,G628,FALSE)</f>
        <v>1.7493116405284199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" thickBot="1">
      <c r="G629" s="3">
        <f t="shared" ca="1" si="100"/>
        <v>136</v>
      </c>
      <c r="H629" s="97">
        <f t="shared" ca="1" si="99"/>
        <v>45792</v>
      </c>
      <c r="I629" s="121">
        <f ca="1">HLOOKUP($H$5,'Met Data'!$A$2:$F$368,G629,FALSE)</f>
        <v>13.408064516129</v>
      </c>
      <c r="J629" s="119">
        <f ca="1">HLOOKUP($H$5,'Met Data'!$H$2:$M$368,G629,FALSE)*L629</f>
        <v>3.9032258064516099</v>
      </c>
      <c r="K629" s="98">
        <f ca="1">HLOOKUP($H$5,'Met Data'!$O$2:$T$368,G629,FALSE)</f>
        <v>1.5662445189592999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" thickBot="1">
      <c r="G630" s="3">
        <f t="shared" ca="1" si="100"/>
        <v>137</v>
      </c>
      <c r="H630" s="97">
        <f t="shared" ca="1" si="99"/>
        <v>45793</v>
      </c>
      <c r="I630" s="121">
        <f ca="1">HLOOKUP($H$5,'Met Data'!$A$2:$F$368,G630,FALSE)</f>
        <v>13.4193548387096</v>
      </c>
      <c r="J630" s="119">
        <f ca="1">HLOOKUP($H$5,'Met Data'!$H$2:$M$368,G630,FALSE)*L630</f>
        <v>4.1322580645161198</v>
      </c>
      <c r="K630" s="98">
        <f ca="1">HLOOKUP($H$5,'Met Data'!$O$2:$T$368,G630,FALSE)</f>
        <v>1.7909891224832299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" thickBot="1">
      <c r="G631" s="3">
        <f t="shared" ca="1" si="100"/>
        <v>138</v>
      </c>
      <c r="H631" s="97">
        <f t="shared" ca="1" si="99"/>
        <v>45794</v>
      </c>
      <c r="I631" s="121">
        <f ca="1">HLOOKUP($H$5,'Met Data'!$A$2:$F$368,G631,FALSE)</f>
        <v>13.0177419354838</v>
      </c>
      <c r="J631" s="119">
        <f ca="1">HLOOKUP($H$5,'Met Data'!$H$2:$M$368,G631,FALSE)*L631</f>
        <v>3.8645161290322498</v>
      </c>
      <c r="K631" s="98">
        <f ca="1">HLOOKUP($H$5,'Met Data'!$O$2:$T$368,G631,FALSE)</f>
        <v>1.67932593217038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" thickBot="1">
      <c r="G632" s="3">
        <f t="shared" ca="1" si="100"/>
        <v>139</v>
      </c>
      <c r="H632" s="97">
        <f t="shared" ca="1" si="99"/>
        <v>45795</v>
      </c>
      <c r="I632" s="121">
        <f ca="1">HLOOKUP($H$5,'Met Data'!$A$2:$F$368,G632,FALSE)</f>
        <v>12.8774193548387</v>
      </c>
      <c r="J632" s="119">
        <f ca="1">HLOOKUP($H$5,'Met Data'!$H$2:$M$368,G632,FALSE)*L632</f>
        <v>3.7967741935483801</v>
      </c>
      <c r="K632" s="98">
        <f ca="1">HLOOKUP($H$5,'Met Data'!$O$2:$T$368,G632,FALSE)</f>
        <v>1.7647102566828801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" thickBot="1">
      <c r="G633" s="3">
        <f t="shared" ca="1" si="100"/>
        <v>140</v>
      </c>
      <c r="H633" s="97">
        <f t="shared" ca="1" si="99"/>
        <v>45796</v>
      </c>
      <c r="I633" s="121">
        <f ca="1">HLOOKUP($H$5,'Met Data'!$A$2:$F$368,G633,FALSE)</f>
        <v>13.3629032258064</v>
      </c>
      <c r="J633" s="119">
        <f ca="1">HLOOKUP($H$5,'Met Data'!$H$2:$M$368,G633,FALSE)*L633</f>
        <v>1.4774193548387</v>
      </c>
      <c r="K633" s="98">
        <f ca="1">HLOOKUP($H$5,'Met Data'!$O$2:$T$368,G633,FALSE)</f>
        <v>1.8502469543140301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" thickBot="1">
      <c r="G634" s="3">
        <f t="shared" ca="1" si="100"/>
        <v>141</v>
      </c>
      <c r="H634" s="97">
        <f t="shared" ca="1" si="99"/>
        <v>45797</v>
      </c>
      <c r="I634" s="121">
        <f ca="1">HLOOKUP($H$5,'Met Data'!$A$2:$F$368,G634,FALSE)</f>
        <v>13.314516129032199</v>
      </c>
      <c r="J634" s="119">
        <f ca="1">HLOOKUP($H$5,'Met Data'!$H$2:$M$368,G634,FALSE)*L634</f>
        <v>5.2193548387096698</v>
      </c>
      <c r="K634" s="98">
        <f ca="1">HLOOKUP($H$5,'Met Data'!$O$2:$T$368,G634,FALSE)</f>
        <v>1.4599096570605601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" thickBot="1">
      <c r="G635" s="3">
        <f t="shared" ca="1" si="100"/>
        <v>142</v>
      </c>
      <c r="H635" s="97">
        <f t="shared" ca="1" si="99"/>
        <v>45798</v>
      </c>
      <c r="I635" s="121">
        <f ca="1">HLOOKUP($H$5,'Met Data'!$A$2:$F$368,G635,FALSE)</f>
        <v>13.598387096774101</v>
      </c>
      <c r="J635" s="119">
        <f ca="1">HLOOKUP($H$5,'Met Data'!$H$2:$M$368,G635,FALSE)*L635</f>
        <v>5.1451612903225801</v>
      </c>
      <c r="K635" s="98">
        <f ca="1">HLOOKUP($H$5,'Met Data'!$O$2:$T$368,G635,FALSE)</f>
        <v>1.48780958137737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" thickBot="1">
      <c r="G636" s="3">
        <f t="shared" ca="1" si="100"/>
        <v>143</v>
      </c>
      <c r="H636" s="97">
        <f t="shared" ca="1" si="99"/>
        <v>45799</v>
      </c>
      <c r="I636" s="121">
        <f ca="1">HLOOKUP($H$5,'Met Data'!$A$2:$F$368,G636,FALSE)</f>
        <v>13.074193548387001</v>
      </c>
      <c r="J636" s="119">
        <f ca="1">HLOOKUP($H$5,'Met Data'!$H$2:$M$368,G636,FALSE)*L636</f>
        <v>4.73548387096774</v>
      </c>
      <c r="K636" s="98">
        <f ca="1">HLOOKUP($H$5,'Met Data'!$O$2:$T$368,G636,FALSE)</f>
        <v>1.4103441752322401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" thickBot="1">
      <c r="G637" s="3">
        <f t="shared" ca="1" si="100"/>
        <v>144</v>
      </c>
      <c r="H637" s="97">
        <f t="shared" ca="1" si="99"/>
        <v>45800</v>
      </c>
      <c r="I637" s="121">
        <f ca="1">HLOOKUP($H$5,'Met Data'!$A$2:$F$368,G637,FALSE)</f>
        <v>12.8338709677419</v>
      </c>
      <c r="J637" s="119">
        <f ca="1">HLOOKUP($H$5,'Met Data'!$H$2:$M$368,G637,FALSE)*L637</f>
        <v>7.7677419354838699</v>
      </c>
      <c r="K637" s="98">
        <f ca="1">HLOOKUP($H$5,'Met Data'!$O$2:$T$368,G637,FALSE)</f>
        <v>1.40773401519768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" thickBot="1">
      <c r="G638" s="3">
        <f t="shared" ca="1" si="100"/>
        <v>145</v>
      </c>
      <c r="H638" s="97">
        <f t="shared" ca="1" si="99"/>
        <v>45801</v>
      </c>
      <c r="I638" s="121">
        <f ca="1">HLOOKUP($H$5,'Met Data'!$A$2:$F$368,G638,FALSE)</f>
        <v>12.761290322580599</v>
      </c>
      <c r="J638" s="119">
        <f ca="1">HLOOKUP($H$5,'Met Data'!$H$2:$M$368,G638,FALSE)*L638</f>
        <v>5.3612903225806399</v>
      </c>
      <c r="K638" s="98">
        <f ca="1">HLOOKUP($H$5,'Met Data'!$O$2:$T$368,G638,FALSE)</f>
        <v>1.5324788885576901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" thickBot="1">
      <c r="G639" s="3">
        <f t="shared" ca="1" si="100"/>
        <v>146</v>
      </c>
      <c r="H639" s="97">
        <f t="shared" ca="1" si="99"/>
        <v>45802</v>
      </c>
      <c r="I639" s="121">
        <f ca="1">HLOOKUP($H$5,'Met Data'!$A$2:$F$368,G639,FALSE)</f>
        <v>13.04</v>
      </c>
      <c r="J639" s="119">
        <f ca="1">HLOOKUP($H$5,'Met Data'!$H$2:$M$368,G639,FALSE)*L639</f>
        <v>5.8233333333333297</v>
      </c>
      <c r="K639" s="98">
        <f ca="1">HLOOKUP($H$5,'Met Data'!$O$2:$T$368,G639,FALSE)</f>
        <v>1.3513771562845001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" thickBot="1">
      <c r="G640" s="3">
        <f t="shared" ca="1" si="100"/>
        <v>147</v>
      </c>
      <c r="H640" s="97">
        <f t="shared" ca="1" si="99"/>
        <v>45803</v>
      </c>
      <c r="I640" s="121">
        <f ca="1">HLOOKUP($H$5,'Met Data'!$A$2:$F$368,G640,FALSE)</f>
        <v>13.44</v>
      </c>
      <c r="J640" s="119">
        <f ca="1">HLOOKUP($H$5,'Met Data'!$H$2:$M$368,G640,FALSE)*L640</f>
        <v>6.9099999999999904</v>
      </c>
      <c r="K640" s="98">
        <f ca="1">HLOOKUP($H$5,'Met Data'!$O$2:$T$368,G640,FALSE)</f>
        <v>1.45255211799902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" thickBot="1">
      <c r="G641" s="3">
        <f t="shared" ca="1" si="100"/>
        <v>148</v>
      </c>
      <c r="H641" s="97">
        <f t="shared" ca="1" si="99"/>
        <v>45804</v>
      </c>
      <c r="I641" s="121">
        <f ca="1">HLOOKUP($H$5,'Met Data'!$A$2:$F$368,G641,FALSE)</f>
        <v>12.8183333333333</v>
      </c>
      <c r="J641" s="119">
        <f ca="1">HLOOKUP($H$5,'Met Data'!$H$2:$M$368,G641,FALSE)*L641</f>
        <v>4.4066666666666601</v>
      </c>
      <c r="K641" s="98">
        <f ca="1">HLOOKUP($H$5,'Met Data'!$O$2:$T$368,G641,FALSE)</f>
        <v>1.5797115913466899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" thickBot="1">
      <c r="G642" s="3">
        <f t="shared" ca="1" si="100"/>
        <v>149</v>
      </c>
      <c r="H642" s="97">
        <f t="shared" ca="1" si="99"/>
        <v>45805</v>
      </c>
      <c r="I642" s="121">
        <f ca="1">HLOOKUP($H$5,'Met Data'!$A$2:$F$368,G642,FALSE)</f>
        <v>12.088333333333299</v>
      </c>
      <c r="J642" s="119">
        <f ca="1">HLOOKUP($H$5,'Met Data'!$H$2:$M$368,G642,FALSE)*L642</f>
        <v>3.84666666666666</v>
      </c>
      <c r="K642" s="98">
        <f ca="1">HLOOKUP($H$5,'Met Data'!$O$2:$T$368,G642,FALSE)</f>
        <v>1.52168431166894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" thickBot="1">
      <c r="G643" s="3">
        <f t="shared" ca="1" si="100"/>
        <v>150</v>
      </c>
      <c r="H643" s="97">
        <f t="shared" ca="1" si="99"/>
        <v>45806</v>
      </c>
      <c r="I643" s="121">
        <f ca="1">HLOOKUP($H$5,'Met Data'!$A$2:$F$368,G643,FALSE)</f>
        <v>11.7193548387096</v>
      </c>
      <c r="J643" s="119">
        <f ca="1">HLOOKUP($H$5,'Met Data'!$H$2:$M$368,G643,FALSE)*L643</f>
        <v>4.8161290322580603</v>
      </c>
      <c r="K643" s="98">
        <f ca="1">HLOOKUP($H$5,'Met Data'!$O$2:$T$368,G643,FALSE)</f>
        <v>1.3043403353641301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" thickBot="1">
      <c r="G644" s="3">
        <f t="shared" ca="1" si="100"/>
        <v>151</v>
      </c>
      <c r="H644" s="97">
        <f t="shared" ca="1" si="99"/>
        <v>45807</v>
      </c>
      <c r="I644" s="121">
        <f ca="1">HLOOKUP($H$5,'Met Data'!$A$2:$F$368,G644,FALSE)</f>
        <v>12.024193548387</v>
      </c>
      <c r="J644" s="119">
        <f ca="1">HLOOKUP($H$5,'Met Data'!$H$2:$M$368,G644,FALSE)*L644</f>
        <v>5.4032258064516103</v>
      </c>
      <c r="K644" s="98">
        <f ca="1">HLOOKUP($H$5,'Met Data'!$O$2:$T$368,G644,FALSE)</f>
        <v>1.3290261075951599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" thickBot="1">
      <c r="G645" s="3">
        <f t="shared" ca="1" si="100"/>
        <v>152</v>
      </c>
      <c r="H645" s="97">
        <f t="shared" ca="1" si="99"/>
        <v>45808</v>
      </c>
      <c r="I645" s="121">
        <f ca="1">HLOOKUP($H$5,'Met Data'!$A$2:$F$368,G645,FALSE)</f>
        <v>11.7258064516129</v>
      </c>
      <c r="J645" s="119">
        <f ca="1">HLOOKUP($H$5,'Met Data'!$H$2:$M$368,G645,FALSE)*L645</f>
        <v>5.6354838709677404</v>
      </c>
      <c r="K645" s="98">
        <f ca="1">HLOOKUP($H$5,'Met Data'!$O$2:$T$368,G645,FALSE)</f>
        <v>1.39784343044145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" thickBot="1">
      <c r="G646" s="3">
        <f t="shared" ca="1" si="100"/>
        <v>153</v>
      </c>
      <c r="H646" s="97">
        <f t="shared" ca="1" si="99"/>
        <v>45809</v>
      </c>
      <c r="I646" s="121">
        <f ca="1">HLOOKUP($H$5,'Met Data'!$A$2:$F$368,G646,FALSE)</f>
        <v>11.7564516129032</v>
      </c>
      <c r="J646" s="119">
        <f ca="1">HLOOKUP($H$5,'Met Data'!$H$2:$M$368,G646,FALSE)*L646</f>
        <v>4.3451612903225802</v>
      </c>
      <c r="K646" s="98">
        <f ca="1">HLOOKUP($H$5,'Met Data'!$O$2:$T$368,G646,FALSE)</f>
        <v>1.4712646827298701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" thickBot="1">
      <c r="G647" s="3">
        <f t="shared" ca="1" si="100"/>
        <v>154</v>
      </c>
      <c r="H647" s="97">
        <f t="shared" ca="1" si="99"/>
        <v>45810</v>
      </c>
      <c r="I647" s="121">
        <f ca="1">HLOOKUP($H$5,'Met Data'!$A$2:$F$368,G647,FALSE)</f>
        <v>11.6033333333333</v>
      </c>
      <c r="J647" s="119">
        <f ca="1">HLOOKUP($H$5,'Met Data'!$H$2:$M$368,G647,FALSE)*L647</f>
        <v>5.12</v>
      </c>
      <c r="K647" s="98">
        <f ca="1">HLOOKUP($H$5,'Met Data'!$O$2:$T$368,G647,FALSE)</f>
        <v>1.30717057222476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" thickBot="1">
      <c r="G648" s="3">
        <f t="shared" ca="1" si="100"/>
        <v>155</v>
      </c>
      <c r="H648" s="97">
        <f t="shared" ca="1" si="99"/>
        <v>45811</v>
      </c>
      <c r="I648" s="121">
        <f ca="1">HLOOKUP($H$5,'Met Data'!$A$2:$F$368,G648,FALSE)</f>
        <v>11.056666666666599</v>
      </c>
      <c r="J648" s="119">
        <f ca="1">HLOOKUP($H$5,'Met Data'!$H$2:$M$368,G648,FALSE)*L648</f>
        <v>2.78666666666666</v>
      </c>
      <c r="K648" s="98">
        <f ca="1">HLOOKUP($H$5,'Met Data'!$O$2:$T$368,G648,FALSE)</f>
        <v>1.4941006859236099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" thickBot="1">
      <c r="G649" s="3">
        <f t="shared" ca="1" si="100"/>
        <v>156</v>
      </c>
      <c r="H649" s="97">
        <f t="shared" ref="H649:H712" ca="1" si="109">H648+1</f>
        <v>45812</v>
      </c>
      <c r="I649" s="121">
        <f ca="1">HLOOKUP($H$5,'Met Data'!$A$2:$F$368,G649,FALSE)</f>
        <v>11.1733333333333</v>
      </c>
      <c r="J649" s="119">
        <f ca="1">HLOOKUP($H$5,'Met Data'!$H$2:$M$368,G649,FALSE)*L649</f>
        <v>4.3899999999999997</v>
      </c>
      <c r="K649" s="98">
        <f ca="1">HLOOKUP($H$5,'Met Data'!$O$2:$T$368,G649,FALSE)</f>
        <v>1.35454855749501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" thickBot="1">
      <c r="G650" s="3">
        <f t="shared" ca="1" si="100"/>
        <v>157</v>
      </c>
      <c r="H650" s="97">
        <f t="shared" ca="1" si="109"/>
        <v>45813</v>
      </c>
      <c r="I650" s="121">
        <f ca="1">HLOOKUP($H$5,'Met Data'!$A$2:$F$368,G650,FALSE)</f>
        <v>11.3016666666666</v>
      </c>
      <c r="J650" s="119">
        <f ca="1">HLOOKUP($H$5,'Met Data'!$H$2:$M$368,G650,FALSE)*L650</f>
        <v>3.3633333333333302</v>
      </c>
      <c r="K650" s="98">
        <f ca="1">HLOOKUP($H$5,'Met Data'!$O$2:$T$368,G650,FALSE)</f>
        <v>1.3233452483653401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" thickBot="1">
      <c r="G651" s="3">
        <f t="shared" ca="1" si="100"/>
        <v>158</v>
      </c>
      <c r="H651" s="97">
        <f t="shared" ca="1" si="109"/>
        <v>45814</v>
      </c>
      <c r="I651" s="121">
        <f ca="1">HLOOKUP($H$5,'Met Data'!$A$2:$F$368,G651,FALSE)</f>
        <v>11.2416666666666</v>
      </c>
      <c r="J651" s="119">
        <f ca="1">HLOOKUP($H$5,'Met Data'!$H$2:$M$368,G651,FALSE)*L651</f>
        <v>3.4666666666666601</v>
      </c>
      <c r="K651" s="98">
        <f ca="1">HLOOKUP($H$5,'Met Data'!$O$2:$T$368,G651,FALSE)</f>
        <v>1.31169017597242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" thickBot="1">
      <c r="G652" s="3">
        <f t="shared" ca="1" si="100"/>
        <v>159</v>
      </c>
      <c r="H652" s="97">
        <f t="shared" ca="1" si="109"/>
        <v>45815</v>
      </c>
      <c r="I652" s="121">
        <f ca="1">HLOOKUP($H$5,'Met Data'!$A$2:$F$368,G652,FALSE)</f>
        <v>11.3533333333333</v>
      </c>
      <c r="J652" s="119">
        <f ca="1">HLOOKUP($H$5,'Met Data'!$H$2:$M$368,G652,FALSE)*L652</f>
        <v>3.12333333333333</v>
      </c>
      <c r="K652" s="98">
        <f ca="1">HLOOKUP($H$5,'Met Data'!$O$2:$T$368,G652,FALSE)</f>
        <v>1.3774495437093499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" thickBot="1">
      <c r="G653" s="3">
        <f t="shared" ca="1" si="100"/>
        <v>160</v>
      </c>
      <c r="H653" s="97">
        <f t="shared" ca="1" si="109"/>
        <v>45816</v>
      </c>
      <c r="I653" s="121">
        <f ca="1">HLOOKUP($H$5,'Met Data'!$A$2:$F$368,G653,FALSE)</f>
        <v>11.6383333333333</v>
      </c>
      <c r="J653" s="119">
        <f ca="1">HLOOKUP($H$5,'Met Data'!$H$2:$M$368,G653,FALSE)*L653</f>
        <v>2.8</v>
      </c>
      <c r="K653" s="98">
        <f ca="1">HLOOKUP($H$5,'Met Data'!$O$2:$T$368,G653,FALSE)</f>
        <v>1.37514607405536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" thickBot="1">
      <c r="G654" s="3">
        <f t="shared" ca="1" si="100"/>
        <v>161</v>
      </c>
      <c r="H654" s="97">
        <f t="shared" ca="1" si="109"/>
        <v>45817</v>
      </c>
      <c r="I654" s="121">
        <f ca="1">HLOOKUP($H$5,'Met Data'!$A$2:$F$368,G654,FALSE)</f>
        <v>12.033333333333299</v>
      </c>
      <c r="J654" s="119">
        <f ca="1">HLOOKUP($H$5,'Met Data'!$H$2:$M$368,G654,FALSE)*L654</f>
        <v>5.1033333333333299</v>
      </c>
      <c r="K654" s="98">
        <f ca="1">HLOOKUP($H$5,'Met Data'!$O$2:$T$368,G654,FALSE)</f>
        <v>1.2907055368786999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" thickBot="1">
      <c r="G655" s="3">
        <f t="shared" ca="1" si="100"/>
        <v>162</v>
      </c>
      <c r="H655" s="97">
        <f t="shared" ca="1" si="109"/>
        <v>45818</v>
      </c>
      <c r="I655" s="121">
        <f ca="1">HLOOKUP($H$5,'Met Data'!$A$2:$F$368,G655,FALSE)</f>
        <v>12.0483333333333</v>
      </c>
      <c r="J655" s="119">
        <f ca="1">HLOOKUP($H$5,'Met Data'!$H$2:$M$368,G655,FALSE)*L655</f>
        <v>7.0566666666666604</v>
      </c>
      <c r="K655" s="98">
        <f ca="1">HLOOKUP($H$5,'Met Data'!$O$2:$T$368,G655,FALSE)</f>
        <v>1.1704038738008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" thickBot="1">
      <c r="G656" s="3">
        <f t="shared" ca="1" si="100"/>
        <v>163</v>
      </c>
      <c r="H656" s="97">
        <f t="shared" ca="1" si="109"/>
        <v>45819</v>
      </c>
      <c r="I656" s="121">
        <f ca="1">HLOOKUP($H$5,'Met Data'!$A$2:$F$368,G656,FALSE)</f>
        <v>12.105</v>
      </c>
      <c r="J656" s="119">
        <f ca="1">HLOOKUP($H$5,'Met Data'!$H$2:$M$368,G656,FALSE)*L656</f>
        <v>4.8199999999999896</v>
      </c>
      <c r="K656" s="98">
        <f ca="1">HLOOKUP($H$5,'Met Data'!$O$2:$T$368,G656,FALSE)</f>
        <v>1.2848931912011301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" thickBot="1">
      <c r="G657" s="3">
        <f t="shared" ca="1" si="100"/>
        <v>164</v>
      </c>
      <c r="H657" s="97">
        <f t="shared" ca="1" si="109"/>
        <v>45820</v>
      </c>
      <c r="I657" s="121">
        <f ca="1">HLOOKUP($H$5,'Met Data'!$A$2:$F$368,G657,FALSE)</f>
        <v>11.93</v>
      </c>
      <c r="J657" s="119">
        <f ca="1">HLOOKUP($H$5,'Met Data'!$H$2:$M$368,G657,FALSE)*L657</f>
        <v>4.05</v>
      </c>
      <c r="K657" s="98">
        <f ca="1">HLOOKUP($H$5,'Met Data'!$O$2:$T$368,G657,FALSE)</f>
        <v>1.2113320799843399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" thickBot="1">
      <c r="G658" s="3">
        <f t="shared" ca="1" si="100"/>
        <v>165</v>
      </c>
      <c r="H658" s="97">
        <f t="shared" ca="1" si="109"/>
        <v>45821</v>
      </c>
      <c r="I658" s="121">
        <f ca="1">HLOOKUP($H$5,'Met Data'!$A$2:$F$368,G658,FALSE)</f>
        <v>11.734999999999999</v>
      </c>
      <c r="J658" s="119">
        <f ca="1">HLOOKUP($H$5,'Met Data'!$H$2:$M$368,G658,FALSE)*L658</f>
        <v>3.5866666666666598</v>
      </c>
      <c r="K658" s="98">
        <f ca="1">HLOOKUP($H$5,'Met Data'!$O$2:$T$368,G658,FALSE)</f>
        <v>1.4600871377923801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" thickBot="1">
      <c r="G659" s="3">
        <f t="shared" ca="1" si="100"/>
        <v>166</v>
      </c>
      <c r="H659" s="97">
        <f t="shared" ca="1" si="109"/>
        <v>45822</v>
      </c>
      <c r="I659" s="121">
        <f ca="1">HLOOKUP($H$5,'Met Data'!$A$2:$F$368,G659,FALSE)</f>
        <v>11.1666666666666</v>
      </c>
      <c r="J659" s="119">
        <f ca="1">HLOOKUP($H$5,'Met Data'!$H$2:$M$368,G659,FALSE)*L659</f>
        <v>3.2966666666666602</v>
      </c>
      <c r="K659" s="98">
        <f ca="1">HLOOKUP($H$5,'Met Data'!$O$2:$T$368,G659,FALSE)</f>
        <v>1.34458805503312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" thickBot="1">
      <c r="G660" s="3">
        <f t="shared" ca="1" si="100"/>
        <v>167</v>
      </c>
      <c r="H660" s="97">
        <f t="shared" ca="1" si="109"/>
        <v>45823</v>
      </c>
      <c r="I660" s="121">
        <f ca="1">HLOOKUP($H$5,'Met Data'!$A$2:$F$368,G660,FALSE)</f>
        <v>11.2283333333333</v>
      </c>
      <c r="J660" s="119">
        <f ca="1">HLOOKUP($H$5,'Met Data'!$H$2:$M$368,G660,FALSE)*L660</f>
        <v>6.4733333333333301</v>
      </c>
      <c r="K660" s="98">
        <f ca="1">HLOOKUP($H$5,'Met Data'!$O$2:$T$368,G660,FALSE)</f>
        <v>1.38085812732775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" thickBot="1">
      <c r="G661" s="3">
        <f t="shared" ca="1" si="100"/>
        <v>168</v>
      </c>
      <c r="H661" s="97">
        <f t="shared" ca="1" si="109"/>
        <v>45824</v>
      </c>
      <c r="I661" s="121">
        <f ca="1">HLOOKUP($H$5,'Met Data'!$A$2:$F$368,G661,FALSE)</f>
        <v>10.6586206896551</v>
      </c>
      <c r="J661" s="119">
        <f ca="1">HLOOKUP($H$5,'Met Data'!$H$2:$M$368,G661,FALSE)*L661</f>
        <v>4.2733333333333299</v>
      </c>
      <c r="K661" s="98">
        <f ca="1">HLOOKUP($H$5,'Met Data'!$O$2:$T$368,G661,FALSE)</f>
        <v>1.38162675040215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" thickBot="1">
      <c r="G662" s="3">
        <f t="shared" ca="1" si="100"/>
        <v>169</v>
      </c>
      <c r="H662" s="97">
        <f t="shared" ca="1" si="109"/>
        <v>45825</v>
      </c>
      <c r="I662" s="121">
        <f ca="1">HLOOKUP($H$5,'Met Data'!$A$2:$F$368,G662,FALSE)</f>
        <v>10.7310344827586</v>
      </c>
      <c r="J662" s="119">
        <f ca="1">HLOOKUP($H$5,'Met Data'!$H$2:$M$368,G662,FALSE)*L662</f>
        <v>4.5699999999999896</v>
      </c>
      <c r="K662" s="98">
        <f ca="1">HLOOKUP($H$5,'Met Data'!$O$2:$T$368,G662,FALSE)</f>
        <v>1.17648432087559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" thickBot="1">
      <c r="G663" s="3">
        <f t="shared" ca="1" si="100"/>
        <v>170</v>
      </c>
      <c r="H663" s="97">
        <f t="shared" ca="1" si="109"/>
        <v>45826</v>
      </c>
      <c r="I663" s="121">
        <f ca="1">HLOOKUP($H$5,'Met Data'!$A$2:$F$368,G663,FALSE)</f>
        <v>11.2603448275862</v>
      </c>
      <c r="J663" s="119">
        <f ca="1">HLOOKUP($H$5,'Met Data'!$H$2:$M$368,G663,FALSE)*L663</f>
        <v>4.72</v>
      </c>
      <c r="K663" s="98">
        <f ca="1">HLOOKUP($H$5,'Met Data'!$O$2:$T$368,G663,FALSE)</f>
        <v>1.1014836099696199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" thickBot="1">
      <c r="G664" s="3">
        <f t="shared" ca="1" si="100"/>
        <v>171</v>
      </c>
      <c r="H664" s="97">
        <f t="shared" ca="1" si="109"/>
        <v>45827</v>
      </c>
      <c r="I664" s="121">
        <f ca="1">HLOOKUP($H$5,'Met Data'!$A$2:$F$368,G664,FALSE)</f>
        <v>10.906896551724101</v>
      </c>
      <c r="J664" s="119">
        <f ca="1">HLOOKUP($H$5,'Met Data'!$H$2:$M$368,G664,FALSE)*L664</f>
        <v>4.07</v>
      </c>
      <c r="K664" s="98">
        <f ca="1">HLOOKUP($H$5,'Met Data'!$O$2:$T$368,G664,FALSE)</f>
        <v>1.1347149368896201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" thickBot="1">
      <c r="G665" s="3">
        <f t="shared" ca="1" si="100"/>
        <v>172</v>
      </c>
      <c r="H665" s="97">
        <f t="shared" ca="1" si="109"/>
        <v>45828</v>
      </c>
      <c r="I665" s="121">
        <f ca="1">HLOOKUP($H$5,'Met Data'!$A$2:$F$368,G665,FALSE)</f>
        <v>11.072413793103401</v>
      </c>
      <c r="J665" s="119">
        <f ca="1">HLOOKUP($H$5,'Met Data'!$H$2:$M$368,G665,FALSE)*L665</f>
        <v>5.89333333333333</v>
      </c>
      <c r="K665" s="98">
        <f ca="1">HLOOKUP($H$5,'Met Data'!$O$2:$T$368,G665,FALSE)</f>
        <v>1.25671546368113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" thickBot="1">
      <c r="G666" s="3">
        <f t="shared" ca="1" si="100"/>
        <v>173</v>
      </c>
      <c r="H666" s="97">
        <f t="shared" ca="1" si="109"/>
        <v>45829</v>
      </c>
      <c r="I666" s="121">
        <f ca="1">HLOOKUP($H$5,'Met Data'!$A$2:$F$368,G666,FALSE)</f>
        <v>11.1844827586206</v>
      </c>
      <c r="J666" s="119">
        <f ca="1">HLOOKUP($H$5,'Met Data'!$H$2:$M$368,G666,FALSE)*L666</f>
        <v>2.27</v>
      </c>
      <c r="K666" s="98">
        <f ca="1">HLOOKUP($H$5,'Met Data'!$O$2:$T$368,G666,FALSE)</f>
        <v>1.3590610231009399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" thickBot="1">
      <c r="G667" s="3">
        <f t="shared" ca="1" si="100"/>
        <v>174</v>
      </c>
      <c r="H667" s="97">
        <f t="shared" ca="1" si="109"/>
        <v>45830</v>
      </c>
      <c r="I667" s="121">
        <f ca="1">HLOOKUP($H$5,'Met Data'!$A$2:$F$368,G667,FALSE)</f>
        <v>10.84</v>
      </c>
      <c r="J667" s="119">
        <f ca="1">HLOOKUP($H$5,'Met Data'!$H$2:$M$368,G667,FALSE)*L667</f>
        <v>2.2633333333333301</v>
      </c>
      <c r="K667" s="98">
        <f ca="1">HLOOKUP($H$5,'Met Data'!$O$2:$T$368,G667,FALSE)</f>
        <v>1.3770648366319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" thickBot="1">
      <c r="G668" s="3">
        <f t="shared" ca="1" si="100"/>
        <v>175</v>
      </c>
      <c r="H668" s="97">
        <f t="shared" ca="1" si="109"/>
        <v>45831</v>
      </c>
      <c r="I668" s="121">
        <f ca="1">HLOOKUP($H$5,'Met Data'!$A$2:$F$368,G668,FALSE)</f>
        <v>10.578333333333299</v>
      </c>
      <c r="J668" s="119">
        <f ca="1">HLOOKUP($H$5,'Met Data'!$H$2:$M$368,G668,FALSE)*L668</f>
        <v>4.8499999999999996</v>
      </c>
      <c r="K668" s="98">
        <f ca="1">HLOOKUP($H$5,'Met Data'!$O$2:$T$368,G668,FALSE)</f>
        <v>1.14995789296724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" thickBot="1">
      <c r="G669" s="3">
        <f t="shared" ca="1" si="100"/>
        <v>176</v>
      </c>
      <c r="H669" s="97">
        <f t="shared" ca="1" si="109"/>
        <v>45832</v>
      </c>
      <c r="I669" s="121">
        <f ca="1">HLOOKUP($H$5,'Met Data'!$A$2:$F$368,G669,FALSE)</f>
        <v>10.6928571428571</v>
      </c>
      <c r="J669" s="119">
        <f ca="1">HLOOKUP($H$5,'Met Data'!$H$2:$M$368,G669,FALSE)*L669</f>
        <v>6.4607142857142801</v>
      </c>
      <c r="K669" s="98">
        <f ca="1">HLOOKUP($H$5,'Met Data'!$O$2:$T$368,G669,FALSE)</f>
        <v>1.1771575957217399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" thickBot="1">
      <c r="G670" s="3">
        <f t="shared" ca="1" si="100"/>
        <v>177</v>
      </c>
      <c r="H670" s="97">
        <f t="shared" ca="1" si="109"/>
        <v>45833</v>
      </c>
      <c r="I670" s="121">
        <f ca="1">HLOOKUP($H$5,'Met Data'!$A$2:$F$368,G670,FALSE)</f>
        <v>10.8642857142857</v>
      </c>
      <c r="J670" s="119">
        <f ca="1">HLOOKUP($H$5,'Met Data'!$H$2:$M$368,G670,FALSE)*L670</f>
        <v>8.7785714285714196</v>
      </c>
      <c r="K670" s="98">
        <f ca="1">HLOOKUP($H$5,'Met Data'!$O$2:$T$368,G670,FALSE)</f>
        <v>1.3519764431878101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" thickBot="1">
      <c r="G671" s="3">
        <f t="shared" ca="1" si="100"/>
        <v>178</v>
      </c>
      <c r="H671" s="97">
        <f t="shared" ca="1" si="109"/>
        <v>45834</v>
      </c>
      <c r="I671" s="121">
        <f ca="1">HLOOKUP($H$5,'Met Data'!$A$2:$F$368,G671,FALSE)</f>
        <v>10.492857142857099</v>
      </c>
      <c r="J671" s="119">
        <f ca="1">HLOOKUP($H$5,'Met Data'!$H$2:$M$368,G671,FALSE)*L671</f>
        <v>3.8</v>
      </c>
      <c r="K671" s="98">
        <f ca="1">HLOOKUP($H$5,'Met Data'!$O$2:$T$368,G671,FALSE)</f>
        <v>1.34392263247945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" thickBot="1">
      <c r="G672" s="3">
        <f t="shared" ca="1" si="100"/>
        <v>179</v>
      </c>
      <c r="H672" s="97">
        <f t="shared" ca="1" si="109"/>
        <v>45835</v>
      </c>
      <c r="I672" s="121">
        <f ca="1">HLOOKUP($H$5,'Met Data'!$A$2:$F$368,G672,FALSE)</f>
        <v>10.592857142857101</v>
      </c>
      <c r="J672" s="119">
        <f ca="1">HLOOKUP($H$5,'Met Data'!$H$2:$M$368,G672,FALSE)*L672</f>
        <v>2.81785714285714</v>
      </c>
      <c r="K672" s="98">
        <f ca="1">HLOOKUP($H$5,'Met Data'!$O$2:$T$368,G672,FALSE)</f>
        <v>1.47912334327964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" thickBot="1">
      <c r="G673" s="3">
        <f t="shared" ca="1" si="100"/>
        <v>180</v>
      </c>
      <c r="H673" s="97">
        <f t="shared" ca="1" si="109"/>
        <v>45836</v>
      </c>
      <c r="I673" s="121">
        <f ca="1">HLOOKUP($H$5,'Met Data'!$A$2:$F$368,G673,FALSE)</f>
        <v>10.465517241379301</v>
      </c>
      <c r="J673" s="119">
        <f ca="1">HLOOKUP($H$5,'Met Data'!$H$2:$M$368,G673,FALSE)*L673</f>
        <v>5.6517241379310299</v>
      </c>
      <c r="K673" s="98">
        <f ca="1">HLOOKUP($H$5,'Met Data'!$O$2:$T$368,G673,FALSE)</f>
        <v>1.2990420850019999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" thickBot="1">
      <c r="G674" s="3">
        <f t="shared" ca="1" si="100"/>
        <v>181</v>
      </c>
      <c r="H674" s="97">
        <f t="shared" ca="1" si="109"/>
        <v>45837</v>
      </c>
      <c r="I674" s="121">
        <f ca="1">HLOOKUP($H$5,'Met Data'!$A$2:$F$368,G674,FALSE)</f>
        <v>10.572413793103401</v>
      </c>
      <c r="J674" s="119">
        <f ca="1">HLOOKUP($H$5,'Met Data'!$H$2:$M$368,G674,FALSE)*L674</f>
        <v>5.2517241379310304</v>
      </c>
      <c r="K674" s="98">
        <f ca="1">HLOOKUP($H$5,'Met Data'!$O$2:$T$368,G674,FALSE)</f>
        <v>1.2839514040086699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" thickBot="1">
      <c r="G675" s="3">
        <f t="shared" ca="1" si="100"/>
        <v>182</v>
      </c>
      <c r="H675" s="97">
        <f t="shared" ca="1" si="109"/>
        <v>45838</v>
      </c>
      <c r="I675" s="121">
        <f ca="1">HLOOKUP($H$5,'Met Data'!$A$2:$F$368,G675,FALSE)</f>
        <v>10.655357142857101</v>
      </c>
      <c r="J675" s="119">
        <f ca="1">HLOOKUP($H$5,'Met Data'!$H$2:$M$368,G675,FALSE)*L675</f>
        <v>7.4689655172413696</v>
      </c>
      <c r="K675" s="98">
        <f ca="1">HLOOKUP($H$5,'Met Data'!$O$2:$T$368,G675,FALSE)</f>
        <v>1.3058632096396601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" thickBot="1">
      <c r="G676" s="3">
        <f t="shared" ca="1" si="100"/>
        <v>183</v>
      </c>
      <c r="H676" s="97">
        <f t="shared" ca="1" si="109"/>
        <v>45839</v>
      </c>
      <c r="I676" s="121">
        <f ca="1">HLOOKUP($H$5,'Met Data'!$A$2:$F$368,G676,FALSE)</f>
        <v>10.0517857142857</v>
      </c>
      <c r="J676" s="119">
        <f ca="1">HLOOKUP($H$5,'Met Data'!$H$2:$M$368,G676,FALSE)*L676</f>
        <v>3.5392857142857101</v>
      </c>
      <c r="K676" s="98">
        <f ca="1">HLOOKUP($H$5,'Met Data'!$O$2:$T$368,G676,FALSE)</f>
        <v>1.4482050520096601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" thickBot="1">
      <c r="G677" s="3">
        <f t="shared" ca="1" si="100"/>
        <v>184</v>
      </c>
      <c r="H677" s="97">
        <f t="shared" ca="1" si="109"/>
        <v>45840</v>
      </c>
      <c r="I677" s="121">
        <f ca="1">HLOOKUP($H$5,'Met Data'!$A$2:$F$368,G677,FALSE)</f>
        <v>9.5678571428571395</v>
      </c>
      <c r="J677" s="119">
        <f ca="1">HLOOKUP($H$5,'Met Data'!$H$2:$M$368,G677,FALSE)*L677</f>
        <v>4.33928571428571</v>
      </c>
      <c r="K677" s="98">
        <f ca="1">HLOOKUP($H$5,'Met Data'!$O$2:$T$368,G677,FALSE)</f>
        <v>1.3964370426983801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" thickBot="1">
      <c r="G678" s="3">
        <f t="shared" ca="1" si="100"/>
        <v>185</v>
      </c>
      <c r="H678" s="97">
        <f t="shared" ca="1" si="109"/>
        <v>45841</v>
      </c>
      <c r="I678" s="121">
        <f ca="1">HLOOKUP($H$5,'Met Data'!$A$2:$F$368,G678,FALSE)</f>
        <v>9.7035714285714292</v>
      </c>
      <c r="J678" s="119">
        <f ca="1">HLOOKUP($H$5,'Met Data'!$H$2:$M$368,G678,FALSE)*L678</f>
        <v>3.2666666666666599</v>
      </c>
      <c r="K678" s="98">
        <f ca="1">HLOOKUP($H$5,'Met Data'!$O$2:$T$368,G678,FALSE)</f>
        <v>1.2730824905906899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" thickBot="1">
      <c r="G679" s="3">
        <f t="shared" ca="1" si="100"/>
        <v>186</v>
      </c>
      <c r="H679" s="97">
        <f t="shared" ca="1" si="109"/>
        <v>45842</v>
      </c>
      <c r="I679" s="121">
        <f ca="1">HLOOKUP($H$5,'Met Data'!$A$2:$F$368,G679,FALSE)</f>
        <v>10.1785714285714</v>
      </c>
      <c r="J679" s="119">
        <f ca="1">HLOOKUP($H$5,'Met Data'!$H$2:$M$368,G679,FALSE)*L679</f>
        <v>5.2555555555555502</v>
      </c>
      <c r="K679" s="98">
        <f ca="1">HLOOKUP($H$5,'Met Data'!$O$2:$T$368,G679,FALSE)</f>
        <v>1.2896889465411501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" thickBot="1">
      <c r="G680" s="3">
        <f t="shared" ca="1" si="100"/>
        <v>187</v>
      </c>
      <c r="H680" s="97">
        <f t="shared" ca="1" si="109"/>
        <v>45843</v>
      </c>
      <c r="I680" s="121">
        <f ca="1">HLOOKUP($H$5,'Met Data'!$A$2:$F$368,G680,FALSE)</f>
        <v>10.675000000000001</v>
      </c>
      <c r="J680" s="119">
        <f ca="1">HLOOKUP($H$5,'Met Data'!$H$2:$M$368,G680,FALSE)*L680</f>
        <v>2.9892857142857099</v>
      </c>
      <c r="K680" s="98">
        <f ca="1">HLOOKUP($H$5,'Met Data'!$O$2:$T$368,G680,FALSE)</f>
        <v>1.4660191910043801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" thickBot="1">
      <c r="G681" s="3">
        <f t="shared" ca="1" si="100"/>
        <v>188</v>
      </c>
      <c r="H681" s="97">
        <f t="shared" ca="1" si="109"/>
        <v>45844</v>
      </c>
      <c r="I681" s="121">
        <f ca="1">HLOOKUP($H$5,'Met Data'!$A$2:$F$368,G681,FALSE)</f>
        <v>10.6303571428571</v>
      </c>
      <c r="J681" s="119">
        <f ca="1">HLOOKUP($H$5,'Met Data'!$H$2:$M$368,G681,FALSE)*L681</f>
        <v>4.4413793103448196</v>
      </c>
      <c r="K681" s="98">
        <f ca="1">HLOOKUP($H$5,'Met Data'!$O$2:$T$368,G681,FALSE)</f>
        <v>1.3068901655768601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" thickBot="1">
      <c r="G682" s="3">
        <f t="shared" ca="1" si="100"/>
        <v>189</v>
      </c>
      <c r="H682" s="97">
        <f t="shared" ca="1" si="109"/>
        <v>45845</v>
      </c>
      <c r="I682" s="121">
        <f ca="1">HLOOKUP($H$5,'Met Data'!$A$2:$F$368,G682,FALSE)</f>
        <v>10.5714285714285</v>
      </c>
      <c r="J682" s="119">
        <f ca="1">HLOOKUP($H$5,'Met Data'!$H$2:$M$368,G682,FALSE)*L682</f>
        <v>2.8758620689655099</v>
      </c>
      <c r="K682" s="98">
        <f ca="1">HLOOKUP($H$5,'Met Data'!$O$2:$T$368,G682,FALSE)</f>
        <v>1.41669004164846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" thickBot="1">
      <c r="G683" s="3">
        <f t="shared" ca="1" si="100"/>
        <v>190</v>
      </c>
      <c r="H683" s="97">
        <f t="shared" ca="1" si="109"/>
        <v>45846</v>
      </c>
      <c r="I683" s="121">
        <f ca="1">HLOOKUP($H$5,'Met Data'!$A$2:$F$368,G683,FALSE)</f>
        <v>10.2685185185185</v>
      </c>
      <c r="J683" s="119">
        <f ca="1">HLOOKUP($H$5,'Met Data'!$H$2:$M$368,G683,FALSE)*L683</f>
        <v>3.7892857142857101</v>
      </c>
      <c r="K683" s="98">
        <f ca="1">HLOOKUP($H$5,'Met Data'!$O$2:$T$368,G683,FALSE)</f>
        <v>1.3370081337281099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" thickBot="1">
      <c r="G684" s="3">
        <f t="shared" ca="1" si="100"/>
        <v>191</v>
      </c>
      <c r="H684" s="97">
        <f t="shared" ca="1" si="109"/>
        <v>45847</v>
      </c>
      <c r="I684" s="121">
        <f ca="1">HLOOKUP($H$5,'Met Data'!$A$2:$F$368,G684,FALSE)</f>
        <v>10.4166666666666</v>
      </c>
      <c r="J684" s="119">
        <f ca="1">HLOOKUP($H$5,'Met Data'!$H$2:$M$368,G684,FALSE)*L684</f>
        <v>4.8428571428571399</v>
      </c>
      <c r="K684" s="98">
        <f ca="1">HLOOKUP($H$5,'Met Data'!$O$2:$T$368,G684,FALSE)</f>
        <v>1.6936819221313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" thickBot="1">
      <c r="G685" s="3">
        <f t="shared" ca="1" si="100"/>
        <v>192</v>
      </c>
      <c r="H685" s="97">
        <f t="shared" ca="1" si="109"/>
        <v>45848</v>
      </c>
      <c r="I685" s="121">
        <f ca="1">HLOOKUP($H$5,'Met Data'!$A$2:$F$368,G685,FALSE)</f>
        <v>9.7703703703703706</v>
      </c>
      <c r="J685" s="119">
        <f ca="1">HLOOKUP($H$5,'Met Data'!$H$2:$M$368,G685,FALSE)*L685</f>
        <v>2.27857142857142</v>
      </c>
      <c r="K685" s="98">
        <f ca="1">HLOOKUP($H$5,'Met Data'!$O$2:$T$368,G685,FALSE)</f>
        <v>1.4303197134636301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" thickBot="1">
      <c r="G686" s="3">
        <f t="shared" ca="1" si="100"/>
        <v>193</v>
      </c>
      <c r="H686" s="97">
        <f t="shared" ca="1" si="109"/>
        <v>45849</v>
      </c>
      <c r="I686" s="121">
        <f ca="1">HLOOKUP($H$5,'Met Data'!$A$2:$F$368,G686,FALSE)</f>
        <v>9.4057692307692307</v>
      </c>
      <c r="J686" s="119">
        <f ca="1">HLOOKUP($H$5,'Met Data'!$H$2:$M$368,G686,FALSE)*L686</f>
        <v>4.05</v>
      </c>
      <c r="K686" s="98">
        <f ca="1">HLOOKUP($H$5,'Met Data'!$O$2:$T$368,G686,FALSE)</f>
        <v>1.34234874078288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" thickBot="1">
      <c r="G687" s="3">
        <f t="shared" ca="1" si="100"/>
        <v>194</v>
      </c>
      <c r="H687" s="97">
        <f t="shared" ca="1" si="109"/>
        <v>45850</v>
      </c>
      <c r="I687" s="121">
        <f ca="1">HLOOKUP($H$5,'Met Data'!$A$2:$F$368,G687,FALSE)</f>
        <v>9.7037037037037006</v>
      </c>
      <c r="J687" s="119">
        <f ca="1">HLOOKUP($H$5,'Met Data'!$H$2:$M$368,G687,FALSE)*L687</f>
        <v>7.2038461538461496</v>
      </c>
      <c r="K687" s="98">
        <f ca="1">HLOOKUP($H$5,'Met Data'!$O$2:$T$368,G687,FALSE)</f>
        <v>1.4005767318328199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" thickBot="1">
      <c r="G688" s="3">
        <f t="shared" ca="1" si="100"/>
        <v>195</v>
      </c>
      <c r="H688" s="97">
        <f t="shared" ca="1" si="109"/>
        <v>45851</v>
      </c>
      <c r="I688" s="121">
        <f ca="1">HLOOKUP($H$5,'Met Data'!$A$2:$F$368,G688,FALSE)</f>
        <v>9.875</v>
      </c>
      <c r="J688" s="119">
        <f ca="1">HLOOKUP($H$5,'Met Data'!$H$2:$M$368,G688,FALSE)*L688</f>
        <v>2.7366666666666601</v>
      </c>
      <c r="K688" s="98">
        <f ca="1">HLOOKUP($H$5,'Met Data'!$O$2:$T$368,G688,FALSE)</f>
        <v>1.5241946960031101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" thickBot="1">
      <c r="G689" s="3">
        <f t="shared" ref="G689:G752" ca="1" si="110">H689-DATE(YEAR(H689),1,0)+1</f>
        <v>196</v>
      </c>
      <c r="H689" s="97">
        <f t="shared" ca="1" si="109"/>
        <v>45852</v>
      </c>
      <c r="I689" s="121">
        <f ca="1">HLOOKUP($H$5,'Met Data'!$A$2:$F$368,G689,FALSE)</f>
        <v>9.4732142857142794</v>
      </c>
      <c r="J689" s="119">
        <f ca="1">HLOOKUP($H$5,'Met Data'!$H$2:$M$368,G689,FALSE)*L689</f>
        <v>4.4607142857142801</v>
      </c>
      <c r="K689" s="98">
        <f ca="1">HLOOKUP($H$5,'Met Data'!$O$2:$T$368,G689,FALSE)</f>
        <v>1.1833728950226901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" thickBot="1">
      <c r="G690" s="3">
        <f t="shared" ca="1" si="110"/>
        <v>197</v>
      </c>
      <c r="H690" s="97">
        <f t="shared" ca="1" si="109"/>
        <v>45853</v>
      </c>
      <c r="I690" s="121">
        <f ca="1">HLOOKUP($H$5,'Met Data'!$A$2:$F$368,G690,FALSE)</f>
        <v>10.3732142857142</v>
      </c>
      <c r="J690" s="119">
        <f ca="1">HLOOKUP($H$5,'Met Data'!$H$2:$M$368,G690,FALSE)*L690</f>
        <v>6.4071428571428504</v>
      </c>
      <c r="K690" s="98">
        <f ca="1">HLOOKUP($H$5,'Met Data'!$O$2:$T$368,G690,FALSE)</f>
        <v>1.32556972588678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" thickBot="1">
      <c r="G691" s="3">
        <f t="shared" ca="1" si="110"/>
        <v>198</v>
      </c>
      <c r="H691" s="97">
        <f t="shared" ca="1" si="109"/>
        <v>45854</v>
      </c>
      <c r="I691" s="121">
        <f ca="1">HLOOKUP($H$5,'Met Data'!$A$2:$F$368,G691,FALSE)</f>
        <v>10.9428571428571</v>
      </c>
      <c r="J691" s="119">
        <f ca="1">HLOOKUP($H$5,'Met Data'!$H$2:$M$368,G691,FALSE)*L691</f>
        <v>5.1392857142857098</v>
      </c>
      <c r="K691" s="98">
        <f ca="1">HLOOKUP($H$5,'Met Data'!$O$2:$T$368,G691,FALSE)</f>
        <v>1.2285245260717499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" thickBot="1">
      <c r="G692" s="3">
        <f t="shared" ca="1" si="110"/>
        <v>199</v>
      </c>
      <c r="H692" s="97">
        <f t="shared" ca="1" si="109"/>
        <v>45855</v>
      </c>
      <c r="I692" s="121">
        <f ca="1">HLOOKUP($H$5,'Met Data'!$A$2:$F$368,G692,FALSE)</f>
        <v>10.689655172413699</v>
      </c>
      <c r="J692" s="119">
        <f ca="1">HLOOKUP($H$5,'Met Data'!$H$2:$M$368,G692,FALSE)*L692</f>
        <v>7.5433333333333303</v>
      </c>
      <c r="K692" s="98">
        <f ca="1">HLOOKUP($H$5,'Met Data'!$O$2:$T$368,G692,FALSE)</f>
        <v>1.11837858032715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" thickBot="1">
      <c r="G693" s="3">
        <f t="shared" ca="1" si="110"/>
        <v>200</v>
      </c>
      <c r="H693" s="97">
        <f t="shared" ca="1" si="109"/>
        <v>45856</v>
      </c>
      <c r="I693" s="121">
        <f ca="1">HLOOKUP($H$5,'Met Data'!$A$2:$F$368,G693,FALSE)</f>
        <v>10.322413793103401</v>
      </c>
      <c r="J693" s="119">
        <f ca="1">HLOOKUP($H$5,'Met Data'!$H$2:$M$368,G693,FALSE)*L693</f>
        <v>7.7933333333333303</v>
      </c>
      <c r="K693" s="98">
        <f ca="1">HLOOKUP($H$5,'Met Data'!$O$2:$T$368,G693,FALSE)</f>
        <v>1.2757644672773201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" thickBot="1">
      <c r="G694" s="3">
        <f t="shared" ca="1" si="110"/>
        <v>201</v>
      </c>
      <c r="H694" s="97">
        <f t="shared" ca="1" si="109"/>
        <v>45857</v>
      </c>
      <c r="I694" s="121">
        <f ca="1">HLOOKUP($H$5,'Met Data'!$A$2:$F$368,G694,FALSE)</f>
        <v>10.189655172413699</v>
      </c>
      <c r="J694" s="119">
        <f ca="1">HLOOKUP($H$5,'Met Data'!$H$2:$M$368,G694,FALSE)*L694</f>
        <v>4.3533333333333299</v>
      </c>
      <c r="K694" s="98">
        <f ca="1">HLOOKUP($H$5,'Met Data'!$O$2:$T$368,G694,FALSE)</f>
        <v>1.3903947480338801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" thickBot="1">
      <c r="G695" s="3">
        <f t="shared" ca="1" si="110"/>
        <v>202</v>
      </c>
      <c r="H695" s="97">
        <f t="shared" ca="1" si="109"/>
        <v>45858</v>
      </c>
      <c r="I695" s="121">
        <f ca="1">HLOOKUP($H$5,'Met Data'!$A$2:$F$368,G695,FALSE)</f>
        <v>10.668333333333299</v>
      </c>
      <c r="J695" s="119">
        <f ca="1">HLOOKUP($H$5,'Met Data'!$H$2:$M$368,G695,FALSE)*L695</f>
        <v>2.8833333333333302</v>
      </c>
      <c r="K695" s="98">
        <f ca="1">HLOOKUP($H$5,'Met Data'!$O$2:$T$368,G695,FALSE)</f>
        <v>1.4312964730661999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" thickBot="1">
      <c r="G696" s="3">
        <f t="shared" ca="1" si="110"/>
        <v>203</v>
      </c>
      <c r="H696" s="97">
        <f t="shared" ca="1" si="109"/>
        <v>45859</v>
      </c>
      <c r="I696" s="121">
        <f ca="1">HLOOKUP($H$5,'Met Data'!$A$2:$F$368,G696,FALSE)</f>
        <v>10.181666666666599</v>
      </c>
      <c r="J696" s="119">
        <f ca="1">HLOOKUP($H$5,'Met Data'!$H$2:$M$368,G696,FALSE)*L696</f>
        <v>4.64333333333333</v>
      </c>
      <c r="K696" s="98">
        <f ca="1">HLOOKUP($H$5,'Met Data'!$O$2:$T$368,G696,FALSE)</f>
        <v>1.23251722447282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" thickBot="1">
      <c r="G697" s="3">
        <f t="shared" ca="1" si="110"/>
        <v>204</v>
      </c>
      <c r="H697" s="97">
        <f t="shared" ca="1" si="109"/>
        <v>45860</v>
      </c>
      <c r="I697" s="121">
        <f ca="1">HLOOKUP($H$5,'Met Data'!$A$2:$F$368,G697,FALSE)</f>
        <v>10.761666666666599</v>
      </c>
      <c r="J697" s="119">
        <f ca="1">HLOOKUP($H$5,'Met Data'!$H$2:$M$368,G697,FALSE)*L697</f>
        <v>5.7333333333333298</v>
      </c>
      <c r="K697" s="98">
        <f ca="1">HLOOKUP($H$5,'Met Data'!$O$2:$T$368,G697,FALSE)</f>
        <v>1.55725377410155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" thickBot="1">
      <c r="G698" s="3">
        <f t="shared" ca="1" si="110"/>
        <v>205</v>
      </c>
      <c r="H698" s="97">
        <f t="shared" ca="1" si="109"/>
        <v>45861</v>
      </c>
      <c r="I698" s="121">
        <f ca="1">HLOOKUP($H$5,'Met Data'!$A$2:$F$368,G698,FALSE)</f>
        <v>10.623333333333299</v>
      </c>
      <c r="J698" s="119">
        <f ca="1">HLOOKUP($H$5,'Met Data'!$H$2:$M$368,G698,FALSE)*L698</f>
        <v>7.9733333333333301</v>
      </c>
      <c r="K698" s="98">
        <f ca="1">HLOOKUP($H$5,'Met Data'!$O$2:$T$368,G698,FALSE)</f>
        <v>1.24522053814258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" thickBot="1">
      <c r="G699" s="3">
        <f t="shared" ca="1" si="110"/>
        <v>206</v>
      </c>
      <c r="H699" s="97">
        <f t="shared" ca="1" si="109"/>
        <v>45862</v>
      </c>
      <c r="I699" s="121">
        <f ca="1">HLOOKUP($H$5,'Met Data'!$A$2:$F$368,G699,FALSE)</f>
        <v>10.654999999999999</v>
      </c>
      <c r="J699" s="119">
        <f ca="1">HLOOKUP($H$5,'Met Data'!$H$2:$M$368,G699,FALSE)*L699</f>
        <v>4.2566666666666597</v>
      </c>
      <c r="K699" s="98">
        <f ca="1">HLOOKUP($H$5,'Met Data'!$O$2:$T$368,G699,FALSE)</f>
        <v>1.3859271813606999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" thickBot="1">
      <c r="G700" s="3">
        <f t="shared" ca="1" si="110"/>
        <v>207</v>
      </c>
      <c r="H700" s="97">
        <f t="shared" ca="1" si="109"/>
        <v>45863</v>
      </c>
      <c r="I700" s="121">
        <f ca="1">HLOOKUP($H$5,'Met Data'!$A$2:$F$368,G700,FALSE)</f>
        <v>10.085000000000001</v>
      </c>
      <c r="J700" s="119">
        <f ca="1">HLOOKUP($H$5,'Met Data'!$H$2:$M$368,G700,FALSE)*L700</f>
        <v>4.9833333333333298</v>
      </c>
      <c r="K700" s="98">
        <f ca="1">HLOOKUP($H$5,'Met Data'!$O$2:$T$368,G700,FALSE)</f>
        <v>1.45895733681155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" thickBot="1">
      <c r="G701" s="3">
        <f t="shared" ca="1" si="110"/>
        <v>208</v>
      </c>
      <c r="H701" s="97">
        <f t="shared" ca="1" si="109"/>
        <v>45864</v>
      </c>
      <c r="I701" s="121">
        <f ca="1">HLOOKUP($H$5,'Met Data'!$A$2:$F$368,G701,FALSE)</f>
        <v>9.99</v>
      </c>
      <c r="J701" s="119">
        <f ca="1">HLOOKUP($H$5,'Met Data'!$H$2:$M$368,G701,FALSE)*L701</f>
        <v>3.5266666666666602</v>
      </c>
      <c r="K701" s="98">
        <f ca="1">HLOOKUP($H$5,'Met Data'!$O$2:$T$368,G701,FALSE)</f>
        <v>1.3793054622795899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" thickBot="1">
      <c r="G702" s="3">
        <f t="shared" ca="1" si="110"/>
        <v>209</v>
      </c>
      <c r="H702" s="97">
        <f t="shared" ca="1" si="109"/>
        <v>45865</v>
      </c>
      <c r="I702" s="121">
        <f ca="1">HLOOKUP($H$5,'Met Data'!$A$2:$F$368,G702,FALSE)</f>
        <v>10.4116666666666</v>
      </c>
      <c r="J702" s="119">
        <f ca="1">HLOOKUP($H$5,'Met Data'!$H$2:$M$368,G702,FALSE)*L702</f>
        <v>5.38</v>
      </c>
      <c r="K702" s="98">
        <f ca="1">HLOOKUP($H$5,'Met Data'!$O$2:$T$368,G702,FALSE)</f>
        <v>1.53088528913385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" thickBot="1">
      <c r="G703" s="3">
        <f t="shared" ca="1" si="110"/>
        <v>210</v>
      </c>
      <c r="H703" s="97">
        <f t="shared" ca="1" si="109"/>
        <v>45866</v>
      </c>
      <c r="I703" s="121">
        <f ca="1">HLOOKUP($H$5,'Met Data'!$A$2:$F$368,G703,FALSE)</f>
        <v>10.494999999999999</v>
      </c>
      <c r="J703" s="119">
        <f ca="1">HLOOKUP($H$5,'Met Data'!$H$2:$M$368,G703,FALSE)*L703</f>
        <v>3.6033333333333299</v>
      </c>
      <c r="K703" s="98">
        <f ca="1">HLOOKUP($H$5,'Met Data'!$O$2:$T$368,G703,FALSE)</f>
        <v>1.5836053821317999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" thickBot="1">
      <c r="G704" s="3">
        <f t="shared" ca="1" si="110"/>
        <v>211</v>
      </c>
      <c r="H704" s="97">
        <f t="shared" ca="1" si="109"/>
        <v>45867</v>
      </c>
      <c r="I704" s="121">
        <f ca="1">HLOOKUP($H$5,'Met Data'!$A$2:$F$368,G704,FALSE)</f>
        <v>10.685</v>
      </c>
      <c r="J704" s="119">
        <f ca="1">HLOOKUP($H$5,'Met Data'!$H$2:$M$368,G704,FALSE)*L704</f>
        <v>5.83</v>
      </c>
      <c r="K704" s="98">
        <f ca="1">HLOOKUP($H$5,'Met Data'!$O$2:$T$368,G704,FALSE)</f>
        <v>1.6019548518300599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" thickBot="1">
      <c r="G705" s="3">
        <f t="shared" ca="1" si="110"/>
        <v>212</v>
      </c>
      <c r="H705" s="97">
        <f t="shared" ca="1" si="109"/>
        <v>45868</v>
      </c>
      <c r="I705" s="121">
        <f ca="1">HLOOKUP($H$5,'Met Data'!$A$2:$F$368,G705,FALSE)</f>
        <v>10.678333333333301</v>
      </c>
      <c r="J705" s="119">
        <f ca="1">HLOOKUP($H$5,'Met Data'!$H$2:$M$368,G705,FALSE)*L705</f>
        <v>2.98</v>
      </c>
      <c r="K705" s="98">
        <f ca="1">HLOOKUP($H$5,'Met Data'!$O$2:$T$368,G705,FALSE)</f>
        <v>1.6077513956073599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" thickBot="1">
      <c r="G706" s="3">
        <f t="shared" ca="1" si="110"/>
        <v>213</v>
      </c>
      <c r="H706" s="97">
        <f t="shared" ca="1" si="109"/>
        <v>45869</v>
      </c>
      <c r="I706" s="121">
        <f ca="1">HLOOKUP($H$5,'Met Data'!$A$2:$F$368,G706,FALSE)</f>
        <v>10.767241379310301</v>
      </c>
      <c r="J706" s="119">
        <f ca="1">HLOOKUP($H$5,'Met Data'!$H$2:$M$368,G706,FALSE)*L706</f>
        <v>4.4285714285714199</v>
      </c>
      <c r="K706" s="98">
        <f ca="1">HLOOKUP($H$5,'Met Data'!$O$2:$T$368,G706,FALSE)</f>
        <v>1.4764466109261301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" thickBot="1">
      <c r="G707" s="3">
        <f t="shared" ca="1" si="110"/>
        <v>214</v>
      </c>
      <c r="H707" s="97">
        <f t="shared" ca="1" si="109"/>
        <v>45870</v>
      </c>
      <c r="I707" s="121">
        <f ca="1">HLOOKUP($H$5,'Met Data'!$A$2:$F$368,G707,FALSE)</f>
        <v>10.815</v>
      </c>
      <c r="J707" s="119">
        <f ca="1">HLOOKUP($H$5,'Met Data'!$H$2:$M$368,G707,FALSE)*L707</f>
        <v>3.8533333333333299</v>
      </c>
      <c r="K707" s="98">
        <f ca="1">HLOOKUP($H$5,'Met Data'!$O$2:$T$368,G707,FALSE)</f>
        <v>1.4161434812322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" thickBot="1">
      <c r="G708" s="3">
        <f t="shared" ca="1" si="110"/>
        <v>215</v>
      </c>
      <c r="H708" s="97">
        <f t="shared" ca="1" si="109"/>
        <v>45871</v>
      </c>
      <c r="I708" s="121">
        <f ca="1">HLOOKUP($H$5,'Met Data'!$A$2:$F$368,G708,FALSE)</f>
        <v>11.156666666666601</v>
      </c>
      <c r="J708" s="119">
        <f ca="1">HLOOKUP($H$5,'Met Data'!$H$2:$M$368,G708,FALSE)*L708</f>
        <v>5.7666666666666604</v>
      </c>
      <c r="K708" s="98">
        <f ca="1">HLOOKUP($H$5,'Met Data'!$O$2:$T$368,G708,FALSE)</f>
        <v>1.4216364054283901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" thickBot="1">
      <c r="G709" s="3">
        <f t="shared" ca="1" si="110"/>
        <v>216</v>
      </c>
      <c r="H709" s="97">
        <f t="shared" ca="1" si="109"/>
        <v>45872</v>
      </c>
      <c r="I709" s="121">
        <f ca="1">HLOOKUP($H$5,'Met Data'!$A$2:$F$368,G709,FALSE)</f>
        <v>11.0879310344827</v>
      </c>
      <c r="J709" s="119">
        <f ca="1">HLOOKUP($H$5,'Met Data'!$H$2:$M$368,G709,FALSE)*L709</f>
        <v>3.2896551724137901</v>
      </c>
      <c r="K709" s="98">
        <f ca="1">HLOOKUP($H$5,'Met Data'!$O$2:$T$368,G709,FALSE)</f>
        <v>1.4857250646951901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" thickBot="1">
      <c r="G710" s="3">
        <f t="shared" ca="1" si="110"/>
        <v>217</v>
      </c>
      <c r="H710" s="97">
        <f t="shared" ca="1" si="109"/>
        <v>45873</v>
      </c>
      <c r="I710" s="121">
        <f ca="1">HLOOKUP($H$5,'Met Data'!$A$2:$F$368,G710,FALSE)</f>
        <v>10.9965517241379</v>
      </c>
      <c r="J710" s="119">
        <f ca="1">HLOOKUP($H$5,'Met Data'!$H$2:$M$368,G710,FALSE)*L710</f>
        <v>5.08275862068965</v>
      </c>
      <c r="K710" s="98">
        <f ca="1">HLOOKUP($H$5,'Met Data'!$O$2:$T$368,G710,FALSE)</f>
        <v>1.4618721174640501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" thickBot="1">
      <c r="G711" s="3">
        <f t="shared" ca="1" si="110"/>
        <v>218</v>
      </c>
      <c r="H711" s="97">
        <f t="shared" ca="1" si="109"/>
        <v>45874</v>
      </c>
      <c r="I711" s="121">
        <f ca="1">HLOOKUP($H$5,'Met Data'!$A$2:$F$368,G711,FALSE)</f>
        <v>10.706395995550601</v>
      </c>
      <c r="J711" s="119">
        <f ca="1">HLOOKUP($H$5,'Met Data'!$H$2:$M$368,G711,FALSE)*L711</f>
        <v>4.8827586206896498</v>
      </c>
      <c r="K711" s="98">
        <f ca="1">HLOOKUP($H$5,'Met Data'!$O$2:$T$368,G711,FALSE)</f>
        <v>1.3278392687764899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" thickBot="1">
      <c r="G712" s="3">
        <f t="shared" ca="1" si="110"/>
        <v>219</v>
      </c>
      <c r="H712" s="97">
        <f t="shared" ca="1" si="109"/>
        <v>45875</v>
      </c>
      <c r="I712" s="121">
        <f ca="1">HLOOKUP($H$5,'Met Data'!$A$2:$F$368,G712,FALSE)</f>
        <v>10.6327586206896</v>
      </c>
      <c r="J712" s="119">
        <f ca="1">HLOOKUP($H$5,'Met Data'!$H$2:$M$368,G712,FALSE)*L712</f>
        <v>4.1724137931034404</v>
      </c>
      <c r="K712" s="98">
        <f ca="1">HLOOKUP($H$5,'Met Data'!$O$2:$T$368,G712,FALSE)</f>
        <v>1.47551454127292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" thickBot="1">
      <c r="G713" s="3">
        <f t="shared" ca="1" si="110"/>
        <v>220</v>
      </c>
      <c r="H713" s="97">
        <f t="shared" ref="H713:H776" ca="1" si="119">H712+1</f>
        <v>45876</v>
      </c>
      <c r="I713" s="121">
        <f ca="1">HLOOKUP($H$5,'Met Data'!$A$2:$F$368,G713,FALSE)</f>
        <v>10.7362068965517</v>
      </c>
      <c r="J713" s="119">
        <f ca="1">HLOOKUP($H$5,'Met Data'!$H$2:$M$368,G713,FALSE)*L713</f>
        <v>3.27241379310344</v>
      </c>
      <c r="K713" s="98">
        <f ca="1">HLOOKUP($H$5,'Met Data'!$O$2:$T$368,G713,FALSE)</f>
        <v>1.4915207810797499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" thickBot="1">
      <c r="G714" s="3">
        <f t="shared" ca="1" si="110"/>
        <v>221</v>
      </c>
      <c r="H714" s="97">
        <f t="shared" ca="1" si="119"/>
        <v>45877</v>
      </c>
      <c r="I714" s="121">
        <f ca="1">HLOOKUP($H$5,'Met Data'!$A$2:$F$368,G714,FALSE)</f>
        <v>10.733333333333301</v>
      </c>
      <c r="J714" s="119">
        <f ca="1">HLOOKUP($H$5,'Met Data'!$H$2:$M$368,G714,FALSE)*L714</f>
        <v>2.4066666666666601</v>
      </c>
      <c r="K714" s="98">
        <f ca="1">HLOOKUP($H$5,'Met Data'!$O$2:$T$368,G714,FALSE)</f>
        <v>1.7881547154649999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" thickBot="1">
      <c r="G715" s="3">
        <f t="shared" ca="1" si="110"/>
        <v>222</v>
      </c>
      <c r="H715" s="97">
        <f t="shared" ca="1" si="119"/>
        <v>45878</v>
      </c>
      <c r="I715" s="121">
        <f ca="1">HLOOKUP($H$5,'Met Data'!$A$2:$F$368,G715,FALSE)</f>
        <v>10.86</v>
      </c>
      <c r="J715" s="119">
        <f ca="1">HLOOKUP($H$5,'Met Data'!$H$2:$M$368,G715,FALSE)*L715</f>
        <v>4.66</v>
      </c>
      <c r="K715" s="98">
        <f ca="1">HLOOKUP($H$5,'Met Data'!$O$2:$T$368,G715,FALSE)</f>
        <v>1.7221488940763401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" thickBot="1">
      <c r="G716" s="3">
        <f t="shared" ca="1" si="110"/>
        <v>223</v>
      </c>
      <c r="H716" s="97">
        <f t="shared" ca="1" si="119"/>
        <v>45879</v>
      </c>
      <c r="I716" s="121">
        <f ca="1">HLOOKUP($H$5,'Met Data'!$A$2:$F$368,G716,FALSE)</f>
        <v>10.6416666666666</v>
      </c>
      <c r="J716" s="119">
        <f ca="1">HLOOKUP($H$5,'Met Data'!$H$2:$M$368,G716,FALSE)*L716</f>
        <v>4.53666666666666</v>
      </c>
      <c r="K716" s="98">
        <f ca="1">HLOOKUP($H$5,'Met Data'!$O$2:$T$368,G716,FALSE)</f>
        <v>1.78798041526371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" thickBot="1">
      <c r="G717" s="3">
        <f t="shared" ca="1" si="110"/>
        <v>224</v>
      </c>
      <c r="H717" s="97">
        <f t="shared" ca="1" si="119"/>
        <v>45880</v>
      </c>
      <c r="I717" s="121">
        <f ca="1">HLOOKUP($H$5,'Met Data'!$A$2:$F$368,G717,FALSE)</f>
        <v>10.8983333333333</v>
      </c>
      <c r="J717" s="119">
        <f ca="1">HLOOKUP($H$5,'Met Data'!$H$2:$M$368,G717,FALSE)*L717</f>
        <v>5.7266666666666604</v>
      </c>
      <c r="K717" s="98">
        <f ca="1">HLOOKUP($H$5,'Met Data'!$O$2:$T$368,G717,FALSE)</f>
        <v>1.78444613895236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" thickBot="1">
      <c r="G718" s="3">
        <f t="shared" ca="1" si="110"/>
        <v>225</v>
      </c>
      <c r="H718" s="97">
        <f t="shared" ca="1" si="119"/>
        <v>45881</v>
      </c>
      <c r="I718" s="121">
        <f ca="1">HLOOKUP($H$5,'Met Data'!$A$2:$F$368,G718,FALSE)</f>
        <v>10.62</v>
      </c>
      <c r="J718" s="119">
        <f ca="1">HLOOKUP($H$5,'Met Data'!$H$2:$M$368,G718,FALSE)*L718</f>
        <v>3.95333333333333</v>
      </c>
      <c r="K718" s="98">
        <f ca="1">HLOOKUP($H$5,'Met Data'!$O$2:$T$368,G718,FALSE)</f>
        <v>1.79702295751458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" thickBot="1">
      <c r="G719" s="3">
        <f t="shared" ca="1" si="110"/>
        <v>226</v>
      </c>
      <c r="H719" s="97">
        <f t="shared" ca="1" si="119"/>
        <v>45882</v>
      </c>
      <c r="I719" s="121">
        <f ca="1">HLOOKUP($H$5,'Met Data'!$A$2:$F$368,G719,FALSE)</f>
        <v>10.851666666666601</v>
      </c>
      <c r="J719" s="119">
        <f ca="1">HLOOKUP($H$5,'Met Data'!$H$2:$M$368,G719,FALSE)*L719</f>
        <v>4.43</v>
      </c>
      <c r="K719" s="98">
        <f ca="1">HLOOKUP($H$5,'Met Data'!$O$2:$T$368,G719,FALSE)</f>
        <v>1.75622712343688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" thickBot="1">
      <c r="G720" s="3">
        <f t="shared" ca="1" si="110"/>
        <v>227</v>
      </c>
      <c r="H720" s="97">
        <f t="shared" ca="1" si="119"/>
        <v>45883</v>
      </c>
      <c r="I720" s="121">
        <f ca="1">HLOOKUP($H$5,'Met Data'!$A$2:$F$368,G720,FALSE)</f>
        <v>10.715517241379301</v>
      </c>
      <c r="J720" s="119">
        <f ca="1">HLOOKUP($H$5,'Met Data'!$H$2:$M$368,G720,FALSE)*L720</f>
        <v>5.1034482758620596</v>
      </c>
      <c r="K720" s="98">
        <f ca="1">HLOOKUP($H$5,'Met Data'!$O$2:$T$368,G720,FALSE)</f>
        <v>1.8143744354657301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" thickBot="1">
      <c r="G721" s="3">
        <f t="shared" ca="1" si="110"/>
        <v>228</v>
      </c>
      <c r="H721" s="97">
        <f t="shared" ca="1" si="119"/>
        <v>45884</v>
      </c>
      <c r="I721" s="121">
        <f ca="1">HLOOKUP($H$5,'Met Data'!$A$2:$F$368,G721,FALSE)</f>
        <v>10.171666666666599</v>
      </c>
      <c r="J721" s="119">
        <f ca="1">HLOOKUP($H$5,'Met Data'!$H$2:$M$368,G721,FALSE)*L721</f>
        <v>5.0933333333333302</v>
      </c>
      <c r="K721" s="98">
        <f ca="1">HLOOKUP($H$5,'Met Data'!$O$2:$T$368,G721,FALSE)</f>
        <v>1.7504322855227901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" thickBot="1">
      <c r="G722" s="3">
        <f t="shared" ca="1" si="110"/>
        <v>229</v>
      </c>
      <c r="H722" s="97">
        <f t="shared" ca="1" si="119"/>
        <v>45885</v>
      </c>
      <c r="I722" s="121">
        <f ca="1">HLOOKUP($H$5,'Met Data'!$A$2:$F$368,G722,FALSE)</f>
        <v>10.203333333333299</v>
      </c>
      <c r="J722" s="119">
        <f ca="1">HLOOKUP($H$5,'Met Data'!$H$2:$M$368,G722,FALSE)*L722</f>
        <v>4.3433333333333302</v>
      </c>
      <c r="K722" s="98">
        <f ca="1">HLOOKUP($H$5,'Met Data'!$O$2:$T$368,G722,FALSE)</f>
        <v>1.72694084936311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" thickBot="1">
      <c r="G723" s="3">
        <f t="shared" ca="1" si="110"/>
        <v>230</v>
      </c>
      <c r="H723" s="97">
        <f t="shared" ca="1" si="119"/>
        <v>45886</v>
      </c>
      <c r="I723" s="121">
        <f ca="1">HLOOKUP($H$5,'Met Data'!$A$2:$F$368,G723,FALSE)</f>
        <v>10.0833333333333</v>
      </c>
      <c r="J723" s="119">
        <f ca="1">HLOOKUP($H$5,'Met Data'!$H$2:$M$368,G723,FALSE)*L723</f>
        <v>5.3333333333333304</v>
      </c>
      <c r="K723" s="98">
        <f ca="1">HLOOKUP($H$5,'Met Data'!$O$2:$T$368,G723,FALSE)</f>
        <v>1.9911176675537099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" thickBot="1">
      <c r="G724" s="3">
        <f t="shared" ca="1" si="110"/>
        <v>231</v>
      </c>
      <c r="H724" s="97">
        <f t="shared" ca="1" si="119"/>
        <v>45887</v>
      </c>
      <c r="I724" s="121">
        <f ca="1">HLOOKUP($H$5,'Met Data'!$A$2:$F$368,G724,FALSE)</f>
        <v>10.0833333333333</v>
      </c>
      <c r="J724" s="119">
        <f ca="1">HLOOKUP($H$5,'Met Data'!$H$2:$M$368,G724,FALSE)*L724</f>
        <v>3.9433333333333298</v>
      </c>
      <c r="K724" s="98">
        <f ca="1">HLOOKUP($H$5,'Met Data'!$O$2:$T$368,G724,FALSE)</f>
        <v>1.888960132222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" thickBot="1">
      <c r="G725" s="3">
        <f t="shared" ca="1" si="110"/>
        <v>232</v>
      </c>
      <c r="H725" s="97">
        <f t="shared" ca="1" si="119"/>
        <v>45888</v>
      </c>
      <c r="I725" s="121">
        <f ca="1">HLOOKUP($H$5,'Met Data'!$A$2:$F$368,G725,FALSE)</f>
        <v>10.1383333333333</v>
      </c>
      <c r="J725" s="119">
        <f ca="1">HLOOKUP($H$5,'Met Data'!$H$2:$M$368,G725,FALSE)*L725</f>
        <v>3.5733333333333301</v>
      </c>
      <c r="K725" s="98">
        <f ca="1">HLOOKUP($H$5,'Met Data'!$O$2:$T$368,G725,FALSE)</f>
        <v>1.8335933724759199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" thickBot="1">
      <c r="G726" s="3">
        <f t="shared" ca="1" si="110"/>
        <v>233</v>
      </c>
      <c r="H726" s="97">
        <f t="shared" ca="1" si="119"/>
        <v>45889</v>
      </c>
      <c r="I726" s="121">
        <f ca="1">HLOOKUP($H$5,'Met Data'!$A$2:$F$368,G726,FALSE)</f>
        <v>10.421666666666599</v>
      </c>
      <c r="J726" s="119">
        <f ca="1">HLOOKUP($H$5,'Met Data'!$H$2:$M$368,G726,FALSE)*L726</f>
        <v>4.8033333333333301</v>
      </c>
      <c r="K726" s="98">
        <f ca="1">HLOOKUP($H$5,'Met Data'!$O$2:$T$368,G726,FALSE)</f>
        <v>1.7788236818437999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" thickBot="1">
      <c r="G727" s="3">
        <f t="shared" ca="1" si="110"/>
        <v>234</v>
      </c>
      <c r="H727" s="97">
        <f t="shared" ca="1" si="119"/>
        <v>45890</v>
      </c>
      <c r="I727" s="121">
        <f ca="1">HLOOKUP($H$5,'Met Data'!$A$2:$F$368,G727,FALSE)</f>
        <v>10.703333333333299</v>
      </c>
      <c r="J727" s="119">
        <f ca="1">HLOOKUP($H$5,'Met Data'!$H$2:$M$368,G727,FALSE)*L727</f>
        <v>3.9833333333333298</v>
      </c>
      <c r="K727" s="98">
        <f ca="1">HLOOKUP($H$5,'Met Data'!$O$2:$T$368,G727,FALSE)</f>
        <v>1.7879198703522201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" thickBot="1">
      <c r="G728" s="3">
        <f t="shared" ca="1" si="110"/>
        <v>235</v>
      </c>
      <c r="H728" s="97">
        <f t="shared" ca="1" si="119"/>
        <v>45891</v>
      </c>
      <c r="I728" s="121">
        <f ca="1">HLOOKUP($H$5,'Met Data'!$A$2:$F$368,G728,FALSE)</f>
        <v>10.8266666666666</v>
      </c>
      <c r="J728" s="119">
        <f ca="1">HLOOKUP($H$5,'Met Data'!$H$2:$M$368,G728,FALSE)*L728</f>
        <v>3.93</v>
      </c>
      <c r="K728" s="98">
        <f ca="1">HLOOKUP($H$5,'Met Data'!$O$2:$T$368,G728,FALSE)</f>
        <v>1.8884109943012299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" thickBot="1">
      <c r="G729" s="3">
        <f t="shared" ca="1" si="110"/>
        <v>236</v>
      </c>
      <c r="H729" s="97">
        <f t="shared" ca="1" si="119"/>
        <v>45892</v>
      </c>
      <c r="I729" s="121">
        <f ca="1">HLOOKUP($H$5,'Met Data'!$A$2:$F$368,G729,FALSE)</f>
        <v>11.0766666666666</v>
      </c>
      <c r="J729" s="119">
        <f ca="1">HLOOKUP($H$5,'Met Data'!$H$2:$M$368,G729,FALSE)*L729</f>
        <v>3.45</v>
      </c>
      <c r="K729" s="98">
        <f ca="1">HLOOKUP($H$5,'Met Data'!$O$2:$T$368,G729,FALSE)</f>
        <v>2.20927169374758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" thickBot="1">
      <c r="G730" s="3">
        <f t="shared" ca="1" si="110"/>
        <v>237</v>
      </c>
      <c r="H730" s="97">
        <f t="shared" ca="1" si="119"/>
        <v>45893</v>
      </c>
      <c r="I730" s="121">
        <f ca="1">HLOOKUP($H$5,'Met Data'!$A$2:$F$368,G730,FALSE)</f>
        <v>11.088333333333299</v>
      </c>
      <c r="J730" s="119">
        <f ca="1">HLOOKUP($H$5,'Met Data'!$H$2:$M$368,G730,FALSE)*L730</f>
        <v>3.2366666666666601</v>
      </c>
      <c r="K730" s="98">
        <f ca="1">HLOOKUP($H$5,'Met Data'!$O$2:$T$368,G730,FALSE)</f>
        <v>1.9660073359530601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" thickBot="1">
      <c r="G731" s="3">
        <f t="shared" ca="1" si="110"/>
        <v>238</v>
      </c>
      <c r="H731" s="97">
        <f t="shared" ca="1" si="119"/>
        <v>45894</v>
      </c>
      <c r="I731" s="121">
        <f ca="1">HLOOKUP($H$5,'Met Data'!$A$2:$F$368,G731,FALSE)</f>
        <v>11.283333333333299</v>
      </c>
      <c r="J731" s="119">
        <f ca="1">HLOOKUP($H$5,'Met Data'!$H$2:$M$368,G731,FALSE)*L731</f>
        <v>7.0266666666666602</v>
      </c>
      <c r="K731" s="98">
        <f ca="1">HLOOKUP($H$5,'Met Data'!$O$2:$T$368,G731,FALSE)</f>
        <v>1.72961358813406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" thickBot="1">
      <c r="G732" s="3">
        <f t="shared" ca="1" si="110"/>
        <v>239</v>
      </c>
      <c r="H732" s="97">
        <f t="shared" ca="1" si="119"/>
        <v>45895</v>
      </c>
      <c r="I732" s="121">
        <f ca="1">HLOOKUP($H$5,'Met Data'!$A$2:$F$368,G732,FALSE)</f>
        <v>11.1383333333333</v>
      </c>
      <c r="J732" s="119">
        <f ca="1">HLOOKUP($H$5,'Met Data'!$H$2:$M$368,G732,FALSE)*L732</f>
        <v>4.5666666666666602</v>
      </c>
      <c r="K732" s="98">
        <f ca="1">HLOOKUP($H$5,'Met Data'!$O$2:$T$368,G732,FALSE)</f>
        <v>2.0311984249146202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" thickBot="1">
      <c r="G733" s="3">
        <f t="shared" ca="1" si="110"/>
        <v>240</v>
      </c>
      <c r="H733" s="97">
        <f t="shared" ca="1" si="119"/>
        <v>45896</v>
      </c>
      <c r="I733" s="121">
        <f ca="1">HLOOKUP($H$5,'Met Data'!$A$2:$F$368,G733,FALSE)</f>
        <v>11.1133333333333</v>
      </c>
      <c r="J733" s="119">
        <f ca="1">HLOOKUP($H$5,'Met Data'!$H$2:$M$368,G733,FALSE)*L733</f>
        <v>2.8866666666666601</v>
      </c>
      <c r="K733" s="98">
        <f ca="1">HLOOKUP($H$5,'Met Data'!$O$2:$T$368,G733,FALSE)</f>
        <v>2.0005217214048798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" thickBot="1">
      <c r="G734" s="3">
        <f t="shared" ca="1" si="110"/>
        <v>241</v>
      </c>
      <c r="H734" s="97">
        <f t="shared" ca="1" si="119"/>
        <v>45897</v>
      </c>
      <c r="I734" s="121">
        <f ca="1">HLOOKUP($H$5,'Met Data'!$A$2:$F$368,G734,FALSE)</f>
        <v>10.7724137931034</v>
      </c>
      <c r="J734" s="119">
        <f ca="1">HLOOKUP($H$5,'Met Data'!$H$2:$M$368,G734,FALSE)*L734</f>
        <v>2.4862068965517201</v>
      </c>
      <c r="K734" s="98">
        <f ca="1">HLOOKUP($H$5,'Met Data'!$O$2:$T$368,G734,FALSE)</f>
        <v>2.19808146037672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" thickBot="1">
      <c r="G735" s="3">
        <f t="shared" ca="1" si="110"/>
        <v>242</v>
      </c>
      <c r="H735" s="97">
        <f t="shared" ca="1" si="119"/>
        <v>45898</v>
      </c>
      <c r="I735" s="121">
        <f ca="1">HLOOKUP($H$5,'Met Data'!$A$2:$F$368,G735,FALSE)</f>
        <v>10.753448275862</v>
      </c>
      <c r="J735" s="119">
        <f ca="1">HLOOKUP($H$5,'Met Data'!$H$2:$M$368,G735,FALSE)*L735</f>
        <v>2.4068965517241301</v>
      </c>
      <c r="K735" s="98">
        <f ca="1">HLOOKUP($H$5,'Met Data'!$O$2:$T$368,G735,FALSE)</f>
        <v>2.1823268558862501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" thickBot="1">
      <c r="G736" s="3">
        <f t="shared" ca="1" si="110"/>
        <v>243</v>
      </c>
      <c r="H736" s="97">
        <f t="shared" ca="1" si="119"/>
        <v>45899</v>
      </c>
      <c r="I736" s="121">
        <f ca="1">HLOOKUP($H$5,'Met Data'!$A$2:$F$368,G736,FALSE)</f>
        <v>10.891379310344799</v>
      </c>
      <c r="J736" s="119">
        <f ca="1">HLOOKUP($H$5,'Met Data'!$H$2:$M$368,G736,FALSE)*L736</f>
        <v>2.9931034482758601</v>
      </c>
      <c r="K736" s="98">
        <f ca="1">HLOOKUP($H$5,'Met Data'!$O$2:$T$368,G736,FALSE)</f>
        <v>1.8307871864441201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" thickBot="1">
      <c r="G737" s="3">
        <f t="shared" ca="1" si="110"/>
        <v>244</v>
      </c>
      <c r="H737" s="97">
        <f t="shared" ca="1" si="119"/>
        <v>45900</v>
      </c>
      <c r="I737" s="121">
        <f ca="1">HLOOKUP($H$5,'Met Data'!$A$2:$F$368,G737,FALSE)</f>
        <v>10.953448275862</v>
      </c>
      <c r="J737" s="119">
        <f ca="1">HLOOKUP($H$5,'Met Data'!$H$2:$M$368,G737,FALSE)*L737</f>
        <v>4.8862068965517196</v>
      </c>
      <c r="K737" s="98">
        <f ca="1">HLOOKUP($H$5,'Met Data'!$O$2:$T$368,G737,FALSE)</f>
        <v>2.1498109306225701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" thickBot="1">
      <c r="G738" s="3">
        <f t="shared" ca="1" si="110"/>
        <v>245</v>
      </c>
      <c r="H738" s="97">
        <f t="shared" ca="1" si="119"/>
        <v>45901</v>
      </c>
      <c r="I738" s="121">
        <f ca="1">HLOOKUP($H$5,'Met Data'!$A$2:$F$368,G738,FALSE)</f>
        <v>10.803333333333301</v>
      </c>
      <c r="J738" s="119">
        <f ca="1">HLOOKUP($H$5,'Met Data'!$H$2:$M$368,G738,FALSE)*L738</f>
        <v>3.05</v>
      </c>
      <c r="K738" s="98">
        <f ca="1">HLOOKUP($H$5,'Met Data'!$O$2:$T$368,G738,FALSE)</f>
        <v>2.1147026396135802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" thickBot="1">
      <c r="G739" s="3">
        <f t="shared" ca="1" si="110"/>
        <v>246</v>
      </c>
      <c r="H739" s="97">
        <f t="shared" ca="1" si="119"/>
        <v>45902</v>
      </c>
      <c r="I739" s="121">
        <f ca="1">HLOOKUP($H$5,'Met Data'!$A$2:$F$368,G739,FALSE)</f>
        <v>10.862068965517199</v>
      </c>
      <c r="J739" s="119">
        <f ca="1">HLOOKUP($H$5,'Met Data'!$H$2:$M$368,G739,FALSE)*L739</f>
        <v>2.8035714285714199</v>
      </c>
      <c r="K739" s="98">
        <f ca="1">HLOOKUP($H$5,'Met Data'!$O$2:$T$368,G739,FALSE)</f>
        <v>2.04836351360946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" thickBot="1">
      <c r="G740" s="3">
        <f t="shared" ca="1" si="110"/>
        <v>247</v>
      </c>
      <c r="H740" s="97">
        <f t="shared" ca="1" si="119"/>
        <v>45903</v>
      </c>
      <c r="I740" s="121">
        <f ca="1">HLOOKUP($H$5,'Met Data'!$A$2:$F$368,G740,FALSE)</f>
        <v>11.4379310344827</v>
      </c>
      <c r="J740" s="119">
        <f ca="1">HLOOKUP($H$5,'Met Data'!$H$2:$M$368,G740,FALSE)*L740</f>
        <v>2.2964285714285699</v>
      </c>
      <c r="K740" s="98">
        <f ca="1">HLOOKUP($H$5,'Met Data'!$O$2:$T$368,G740,FALSE)</f>
        <v>2.1933906940536101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" thickBot="1">
      <c r="G741" s="3">
        <f t="shared" ca="1" si="110"/>
        <v>248</v>
      </c>
      <c r="H741" s="97">
        <f t="shared" ca="1" si="119"/>
        <v>45904</v>
      </c>
      <c r="I741" s="121">
        <f ca="1">HLOOKUP($H$5,'Met Data'!$A$2:$F$368,G741,FALSE)</f>
        <v>11.5448275862068</v>
      </c>
      <c r="J741" s="119">
        <f ca="1">HLOOKUP($H$5,'Met Data'!$H$2:$M$368,G741,FALSE)*L741</f>
        <v>3.6892857142857101</v>
      </c>
      <c r="K741" s="98">
        <f ca="1">HLOOKUP($H$5,'Met Data'!$O$2:$T$368,G741,FALSE)</f>
        <v>2.0025541274337399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" thickBot="1">
      <c r="G742" s="3">
        <f t="shared" ca="1" si="110"/>
        <v>249</v>
      </c>
      <c r="H742" s="97">
        <f t="shared" ca="1" si="119"/>
        <v>45905</v>
      </c>
      <c r="I742" s="121">
        <f ca="1">HLOOKUP($H$5,'Met Data'!$A$2:$F$368,G742,FALSE)</f>
        <v>11.734482758620601</v>
      </c>
      <c r="J742" s="119">
        <f ca="1">HLOOKUP($H$5,'Met Data'!$H$2:$M$368,G742,FALSE)*L742</f>
        <v>5.6892857142857096</v>
      </c>
      <c r="K742" s="98">
        <f ca="1">HLOOKUP($H$5,'Met Data'!$O$2:$T$368,G742,FALSE)</f>
        <v>2.0261980789565999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" thickBot="1">
      <c r="G743" s="3">
        <f t="shared" ca="1" si="110"/>
        <v>250</v>
      </c>
      <c r="H743" s="97">
        <f t="shared" ca="1" si="119"/>
        <v>45906</v>
      </c>
      <c r="I743" s="121">
        <f ca="1">HLOOKUP($H$5,'Met Data'!$A$2:$F$368,G743,FALSE)</f>
        <v>11.682758620689601</v>
      </c>
      <c r="J743" s="119">
        <f ca="1">HLOOKUP($H$5,'Met Data'!$H$2:$M$368,G743,FALSE)*L743</f>
        <v>3.97586206896551</v>
      </c>
      <c r="K743" s="98">
        <f ca="1">HLOOKUP($H$5,'Met Data'!$O$2:$T$368,G743,FALSE)</f>
        <v>2.26836536246158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" thickBot="1">
      <c r="G744" s="3">
        <f t="shared" ca="1" si="110"/>
        <v>251</v>
      </c>
      <c r="H744" s="97">
        <f t="shared" ca="1" si="119"/>
        <v>45907</v>
      </c>
      <c r="I744" s="121">
        <f ca="1">HLOOKUP($H$5,'Met Data'!$A$2:$F$368,G744,FALSE)</f>
        <v>11.389655172413701</v>
      </c>
      <c r="J744" s="119">
        <f ca="1">HLOOKUP($H$5,'Met Data'!$H$2:$M$368,G744,FALSE)*L744</f>
        <v>2.6793103448275799</v>
      </c>
      <c r="K744" s="98">
        <f ca="1">HLOOKUP($H$5,'Met Data'!$O$2:$T$368,G744,FALSE)</f>
        <v>2.1403968231495001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" thickBot="1">
      <c r="G745" s="3">
        <f t="shared" ca="1" si="110"/>
        <v>252</v>
      </c>
      <c r="H745" s="97">
        <f t="shared" ca="1" si="119"/>
        <v>45908</v>
      </c>
      <c r="I745" s="121">
        <f ca="1">HLOOKUP($H$5,'Met Data'!$A$2:$F$368,G745,FALSE)</f>
        <v>11.834482758620601</v>
      </c>
      <c r="J745" s="119">
        <f ca="1">HLOOKUP($H$5,'Met Data'!$H$2:$M$368,G745,FALSE)*L745</f>
        <v>4.4310344827586201</v>
      </c>
      <c r="K745" s="98">
        <f ca="1">HLOOKUP($H$5,'Met Data'!$O$2:$T$368,G745,FALSE)</f>
        <v>2.4179314095726698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" thickBot="1">
      <c r="G746" s="3">
        <f t="shared" ca="1" si="110"/>
        <v>253</v>
      </c>
      <c r="H746" s="97">
        <f t="shared" ca="1" si="119"/>
        <v>45909</v>
      </c>
      <c r="I746" s="121">
        <f ca="1">HLOOKUP($H$5,'Met Data'!$A$2:$F$368,G746,FALSE)</f>
        <v>11.465</v>
      </c>
      <c r="J746" s="119">
        <f ca="1">HLOOKUP($H$5,'Met Data'!$H$2:$M$368,G746,FALSE)*L746</f>
        <v>3.6827586206896501</v>
      </c>
      <c r="K746" s="98">
        <f ca="1">HLOOKUP($H$5,'Met Data'!$O$2:$T$368,G746,FALSE)</f>
        <v>2.2362909221430498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" thickBot="1">
      <c r="G747" s="3">
        <f t="shared" ca="1" si="110"/>
        <v>254</v>
      </c>
      <c r="H747" s="97">
        <f t="shared" ca="1" si="119"/>
        <v>45910</v>
      </c>
      <c r="I747" s="121">
        <f ca="1">HLOOKUP($H$5,'Met Data'!$A$2:$F$368,G747,FALSE)</f>
        <v>11.62</v>
      </c>
      <c r="J747" s="119">
        <f ca="1">HLOOKUP($H$5,'Met Data'!$H$2:$M$368,G747,FALSE)*L747</f>
        <v>1.66333333333333</v>
      </c>
      <c r="K747" s="98">
        <f ca="1">HLOOKUP($H$5,'Met Data'!$O$2:$T$368,G747,FALSE)</f>
        <v>2.5120136328346701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" thickBot="1">
      <c r="G748" s="3">
        <f t="shared" ca="1" si="110"/>
        <v>255</v>
      </c>
      <c r="H748" s="97">
        <f t="shared" ca="1" si="119"/>
        <v>45911</v>
      </c>
      <c r="I748" s="121">
        <f ca="1">HLOOKUP($H$5,'Met Data'!$A$2:$F$368,G748,FALSE)</f>
        <v>11.7633333333333</v>
      </c>
      <c r="J748" s="119">
        <f ca="1">HLOOKUP($H$5,'Met Data'!$H$2:$M$368,G748,FALSE)*L748</f>
        <v>3.2833333333333301</v>
      </c>
      <c r="K748" s="98">
        <f ca="1">HLOOKUP($H$5,'Met Data'!$O$2:$T$368,G748,FALSE)</f>
        <v>2.3151045080086101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" thickBot="1">
      <c r="G749" s="3">
        <f t="shared" ca="1" si="110"/>
        <v>256</v>
      </c>
      <c r="H749" s="97">
        <f t="shared" ca="1" si="119"/>
        <v>45912</v>
      </c>
      <c r="I749" s="121">
        <f ca="1">HLOOKUP($H$5,'Met Data'!$A$2:$F$368,G749,FALSE)</f>
        <v>12.158333333333299</v>
      </c>
      <c r="J749" s="119">
        <f ca="1">HLOOKUP($H$5,'Met Data'!$H$2:$M$368,G749,FALSE)*L749</f>
        <v>3.8833333333333302</v>
      </c>
      <c r="K749" s="98">
        <f ca="1">HLOOKUP($H$5,'Met Data'!$O$2:$T$368,G749,FALSE)</f>
        <v>2.3727724062230302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" thickBot="1">
      <c r="G750" s="3">
        <f t="shared" ca="1" si="110"/>
        <v>257</v>
      </c>
      <c r="H750" s="97">
        <f t="shared" ca="1" si="119"/>
        <v>45913</v>
      </c>
      <c r="I750" s="121">
        <f ca="1">HLOOKUP($H$5,'Met Data'!$A$2:$F$368,G750,FALSE)</f>
        <v>11.908333333333299</v>
      </c>
      <c r="J750" s="119">
        <f ca="1">HLOOKUP($H$5,'Met Data'!$H$2:$M$368,G750,FALSE)*L750</f>
        <v>5.26</v>
      </c>
      <c r="K750" s="98">
        <f ca="1">HLOOKUP($H$5,'Met Data'!$O$2:$T$368,G750,FALSE)</f>
        <v>2.4036248389024699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" thickBot="1">
      <c r="G751" s="3">
        <f t="shared" ca="1" si="110"/>
        <v>258</v>
      </c>
      <c r="H751" s="97">
        <f t="shared" ca="1" si="119"/>
        <v>45914</v>
      </c>
      <c r="I751" s="121">
        <f ca="1">HLOOKUP($H$5,'Met Data'!$A$2:$F$368,G751,FALSE)</f>
        <v>12.074999999999999</v>
      </c>
      <c r="J751" s="119">
        <f ca="1">HLOOKUP($H$5,'Met Data'!$H$2:$M$368,G751,FALSE)*L751</f>
        <v>3.6933333333333298</v>
      </c>
      <c r="K751" s="98">
        <f ca="1">HLOOKUP($H$5,'Met Data'!$O$2:$T$368,G751,FALSE)</f>
        <v>2.56639010677653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" thickBot="1">
      <c r="G752" s="3">
        <f t="shared" ca="1" si="110"/>
        <v>259</v>
      </c>
      <c r="H752" s="97">
        <f t="shared" ca="1" si="119"/>
        <v>45915</v>
      </c>
      <c r="I752" s="121">
        <f ca="1">HLOOKUP($H$5,'Met Data'!$A$2:$F$368,G752,FALSE)</f>
        <v>12.3883333333333</v>
      </c>
      <c r="J752" s="119">
        <f ca="1">HLOOKUP($H$5,'Met Data'!$H$2:$M$368,G752,FALSE)*L752</f>
        <v>3.26</v>
      </c>
      <c r="K752" s="98">
        <f ca="1">HLOOKUP($H$5,'Met Data'!$O$2:$T$368,G752,FALSE)</f>
        <v>2.3157931057843801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" thickBot="1">
      <c r="G753" s="3">
        <f t="shared" ref="G753:G816" ca="1" si="120">H753-DATE(YEAR(H753),1,0)+1</f>
        <v>260</v>
      </c>
      <c r="H753" s="97">
        <f t="shared" ca="1" si="119"/>
        <v>45916</v>
      </c>
      <c r="I753" s="121">
        <f ca="1">HLOOKUP($H$5,'Met Data'!$A$2:$F$368,G753,FALSE)</f>
        <v>12.5766666666666</v>
      </c>
      <c r="J753" s="119">
        <f ca="1">HLOOKUP($H$5,'Met Data'!$H$2:$M$368,G753,FALSE)*L753</f>
        <v>3.5999999999999899</v>
      </c>
      <c r="K753" s="98">
        <f ca="1">HLOOKUP($H$5,'Met Data'!$O$2:$T$368,G753,FALSE)</f>
        <v>2.2894884287258899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" thickBot="1">
      <c r="G754" s="3">
        <f t="shared" ca="1" si="120"/>
        <v>261</v>
      </c>
      <c r="H754" s="97">
        <f t="shared" ca="1" si="119"/>
        <v>45917</v>
      </c>
      <c r="I754" s="121">
        <f ca="1">HLOOKUP($H$5,'Met Data'!$A$2:$F$368,G754,FALSE)</f>
        <v>12.482258064516101</v>
      </c>
      <c r="J754" s="119">
        <f ca="1">HLOOKUP($H$5,'Met Data'!$H$2:$M$368,G754,FALSE)*L754</f>
        <v>2.73870967741935</v>
      </c>
      <c r="K754" s="98">
        <f ca="1">HLOOKUP($H$5,'Met Data'!$O$2:$T$368,G754,FALSE)</f>
        <v>2.42321708135252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" thickBot="1">
      <c r="G755" s="3">
        <f t="shared" ca="1" si="120"/>
        <v>262</v>
      </c>
      <c r="H755" s="97">
        <f t="shared" ca="1" si="119"/>
        <v>45918</v>
      </c>
      <c r="I755" s="121">
        <f ca="1">HLOOKUP($H$5,'Met Data'!$A$2:$F$368,G755,FALSE)</f>
        <v>12.261290322580599</v>
      </c>
      <c r="J755" s="119">
        <f ca="1">HLOOKUP($H$5,'Met Data'!$H$2:$M$368,G755,FALSE)*L755</f>
        <v>2.5741935483870901</v>
      </c>
      <c r="K755" s="98">
        <f ca="1">HLOOKUP($H$5,'Met Data'!$O$2:$T$368,G755,FALSE)</f>
        <v>2.45933848636487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" thickBot="1">
      <c r="G756" s="3">
        <f t="shared" ca="1" si="120"/>
        <v>263</v>
      </c>
      <c r="H756" s="97">
        <f t="shared" ca="1" si="119"/>
        <v>45919</v>
      </c>
      <c r="I756" s="121">
        <f ca="1">HLOOKUP($H$5,'Met Data'!$A$2:$F$368,G756,FALSE)</f>
        <v>12.1677419354838</v>
      </c>
      <c r="J756" s="119">
        <f ca="1">HLOOKUP($H$5,'Met Data'!$H$2:$M$368,G756,FALSE)*L756</f>
        <v>3.5774193548387001</v>
      </c>
      <c r="K756" s="98">
        <f ca="1">HLOOKUP($H$5,'Met Data'!$O$2:$T$368,G756,FALSE)</f>
        <v>2.2883058912546601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" thickBot="1">
      <c r="G757" s="3">
        <f t="shared" ca="1" si="120"/>
        <v>264</v>
      </c>
      <c r="H757" s="97">
        <f t="shared" ca="1" si="119"/>
        <v>45920</v>
      </c>
      <c r="I757" s="121">
        <f ca="1">HLOOKUP($H$5,'Met Data'!$A$2:$F$368,G757,FALSE)</f>
        <v>12.1064516129032</v>
      </c>
      <c r="J757" s="119">
        <f ca="1">HLOOKUP($H$5,'Met Data'!$H$2:$M$368,G757,FALSE)*L757</f>
        <v>2.6774193548387002</v>
      </c>
      <c r="K757" s="98">
        <f ca="1">HLOOKUP($H$5,'Met Data'!$O$2:$T$368,G757,FALSE)</f>
        <v>2.6656714596224198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" thickBot="1">
      <c r="G758" s="3">
        <f t="shared" ca="1" si="120"/>
        <v>265</v>
      </c>
      <c r="H758" s="97">
        <f t="shared" ca="1" si="119"/>
        <v>45921</v>
      </c>
      <c r="I758" s="121">
        <f ca="1">HLOOKUP($H$5,'Met Data'!$A$2:$F$368,G758,FALSE)</f>
        <v>12.012903225806401</v>
      </c>
      <c r="J758" s="119">
        <f ca="1">HLOOKUP($H$5,'Met Data'!$H$2:$M$368,G758,FALSE)*L758</f>
        <v>2.8193548387096699</v>
      </c>
      <c r="K758" s="98">
        <f ca="1">HLOOKUP($H$5,'Met Data'!$O$2:$T$368,G758,FALSE)</f>
        <v>2.6640837362866301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" thickBot="1">
      <c r="G759" s="3">
        <f t="shared" ca="1" si="120"/>
        <v>266</v>
      </c>
      <c r="H759" s="97">
        <f t="shared" ca="1" si="119"/>
        <v>45922</v>
      </c>
      <c r="I759" s="121">
        <f ca="1">HLOOKUP($H$5,'Met Data'!$A$2:$F$368,G759,FALSE)</f>
        <v>12.1612903225806</v>
      </c>
      <c r="J759" s="119">
        <f ca="1">HLOOKUP($H$5,'Met Data'!$H$2:$M$368,G759,FALSE)*L759</f>
        <v>4.2935483870967701</v>
      </c>
      <c r="K759" s="98">
        <f ca="1">HLOOKUP($H$5,'Met Data'!$O$2:$T$368,G759,FALSE)</f>
        <v>2.5405503102234701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" thickBot="1">
      <c r="G760" s="3">
        <f t="shared" ca="1" si="120"/>
        <v>267</v>
      </c>
      <c r="H760" s="97">
        <f t="shared" ca="1" si="119"/>
        <v>45923</v>
      </c>
      <c r="I760" s="121">
        <f ca="1">HLOOKUP($H$5,'Met Data'!$A$2:$F$368,G760,FALSE)</f>
        <v>12.285483870967701</v>
      </c>
      <c r="J760" s="119">
        <f ca="1">HLOOKUP($H$5,'Met Data'!$H$2:$M$368,G760,FALSE)*L760</f>
        <v>3.69677419354838</v>
      </c>
      <c r="K760" s="98">
        <f ca="1">HLOOKUP($H$5,'Met Data'!$O$2:$T$368,G760,FALSE)</f>
        <v>2.75659518409562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" thickBot="1">
      <c r="G761" s="3">
        <f t="shared" ca="1" si="120"/>
        <v>268</v>
      </c>
      <c r="H761" s="97">
        <f t="shared" ca="1" si="119"/>
        <v>45924</v>
      </c>
      <c r="I761" s="121">
        <f ca="1">HLOOKUP($H$5,'Met Data'!$A$2:$F$368,G761,FALSE)</f>
        <v>12.7274193548387</v>
      </c>
      <c r="J761" s="119">
        <f ca="1">HLOOKUP($H$5,'Met Data'!$H$2:$M$368,G761,FALSE)*L761</f>
        <v>4.4354838709677402</v>
      </c>
      <c r="K761" s="98">
        <f ca="1">HLOOKUP($H$5,'Met Data'!$O$2:$T$368,G761,FALSE)</f>
        <v>2.4043238309259301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" thickBot="1">
      <c r="G762" s="3">
        <f t="shared" ca="1" si="120"/>
        <v>269</v>
      </c>
      <c r="H762" s="97">
        <f t="shared" ca="1" si="119"/>
        <v>45925</v>
      </c>
      <c r="I762" s="121">
        <f ca="1">HLOOKUP($H$5,'Met Data'!$A$2:$F$368,G762,FALSE)</f>
        <v>12.4338709677419</v>
      </c>
      <c r="J762" s="119">
        <f ca="1">HLOOKUP($H$5,'Met Data'!$H$2:$M$368,G762,FALSE)*L762</f>
        <v>3.1290322580645098</v>
      </c>
      <c r="K762" s="98">
        <f ca="1">HLOOKUP($H$5,'Met Data'!$O$2:$T$368,G762,FALSE)</f>
        <v>2.32653952570764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" thickBot="1">
      <c r="G763" s="3">
        <f t="shared" ca="1" si="120"/>
        <v>270</v>
      </c>
      <c r="H763" s="97">
        <f t="shared" ca="1" si="119"/>
        <v>45926</v>
      </c>
      <c r="I763" s="121">
        <f ca="1">HLOOKUP($H$5,'Met Data'!$A$2:$F$368,G763,FALSE)</f>
        <v>12.341666666666599</v>
      </c>
      <c r="J763" s="119">
        <f ca="1">HLOOKUP($H$5,'Met Data'!$H$2:$M$368,G763,FALSE)*L763</f>
        <v>4.32666666666666</v>
      </c>
      <c r="K763" s="98">
        <f ca="1">HLOOKUP($H$5,'Met Data'!$O$2:$T$368,G763,FALSE)</f>
        <v>2.5198296361703401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" thickBot="1">
      <c r="G764" s="3">
        <f t="shared" ca="1" si="120"/>
        <v>271</v>
      </c>
      <c r="H764" s="97">
        <f t="shared" ca="1" si="119"/>
        <v>45927</v>
      </c>
      <c r="I764" s="121">
        <f ca="1">HLOOKUP($H$5,'Met Data'!$A$2:$F$368,G764,FALSE)</f>
        <v>12.7183333333333</v>
      </c>
      <c r="J764" s="119">
        <f ca="1">HLOOKUP($H$5,'Met Data'!$H$2:$M$368,G764,FALSE)*L764</f>
        <v>2.83</v>
      </c>
      <c r="K764" s="98">
        <f ca="1">HLOOKUP($H$5,'Met Data'!$O$2:$T$368,G764,FALSE)</f>
        <v>2.6371707298843199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" thickBot="1">
      <c r="G765" s="3">
        <f t="shared" ca="1" si="120"/>
        <v>272</v>
      </c>
      <c r="H765" s="97">
        <f t="shared" ca="1" si="119"/>
        <v>45928</v>
      </c>
      <c r="I765" s="121">
        <f ca="1">HLOOKUP($H$5,'Met Data'!$A$2:$F$368,G765,FALSE)</f>
        <v>13.04</v>
      </c>
      <c r="J765" s="119">
        <f ca="1">HLOOKUP($H$5,'Met Data'!$H$2:$M$368,G765,FALSE)*L765</f>
        <v>4.2233333333333301</v>
      </c>
      <c r="K765" s="98">
        <f ca="1">HLOOKUP($H$5,'Met Data'!$O$2:$T$368,G765,FALSE)</f>
        <v>2.4067153885809098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" thickBot="1">
      <c r="G766" s="3">
        <f t="shared" ca="1" si="120"/>
        <v>273</v>
      </c>
      <c r="H766" s="97">
        <f t="shared" ca="1" si="119"/>
        <v>45929</v>
      </c>
      <c r="I766" s="121">
        <f ca="1">HLOOKUP($H$5,'Met Data'!$A$2:$F$368,G766,FALSE)</f>
        <v>13.381034482758601</v>
      </c>
      <c r="J766" s="119">
        <f ca="1">HLOOKUP($H$5,'Met Data'!$H$2:$M$368,G766,FALSE)*L766</f>
        <v>3.7620689655172401</v>
      </c>
      <c r="K766" s="98">
        <f ca="1">HLOOKUP($H$5,'Met Data'!$O$2:$T$368,G766,FALSE)</f>
        <v>2.71659484771267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" thickBot="1">
      <c r="G767" s="3">
        <f t="shared" ca="1" si="120"/>
        <v>274</v>
      </c>
      <c r="H767" s="97">
        <f t="shared" ca="1" si="119"/>
        <v>45930</v>
      </c>
      <c r="I767" s="121">
        <f ca="1">HLOOKUP($H$5,'Met Data'!$A$2:$F$368,G767,FALSE)</f>
        <v>13.274137931034399</v>
      </c>
      <c r="J767" s="119">
        <f ca="1">HLOOKUP($H$5,'Met Data'!$H$2:$M$368,G767,FALSE)*L767</f>
        <v>5.4793103448275797</v>
      </c>
      <c r="K767" s="98">
        <f ca="1">HLOOKUP($H$5,'Met Data'!$O$2:$T$368,G767,FALSE)</f>
        <v>2.6496213239398698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" thickBot="1">
      <c r="G768" s="3">
        <f t="shared" ca="1" si="120"/>
        <v>275</v>
      </c>
      <c r="H768" s="97">
        <f t="shared" ca="1" si="119"/>
        <v>45931</v>
      </c>
      <c r="I768" s="121">
        <f ca="1">HLOOKUP($H$5,'Met Data'!$A$2:$F$368,G768,FALSE)</f>
        <v>13.0233333333333</v>
      </c>
      <c r="J768" s="119">
        <f ca="1">HLOOKUP($H$5,'Met Data'!$H$2:$M$368,G768,FALSE)*L768</f>
        <v>7.2033333333333296</v>
      </c>
      <c r="K768" s="98">
        <f ca="1">HLOOKUP($H$5,'Met Data'!$O$2:$T$368,G768,FALSE)</f>
        <v>2.7120872842053001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" thickBot="1">
      <c r="G769" s="3">
        <f t="shared" ca="1" si="120"/>
        <v>276</v>
      </c>
      <c r="H769" s="97">
        <f t="shared" ca="1" si="119"/>
        <v>45932</v>
      </c>
      <c r="I769" s="121">
        <f ca="1">HLOOKUP($H$5,'Met Data'!$A$2:$F$368,G769,FALSE)</f>
        <v>12.938333333333301</v>
      </c>
      <c r="J769" s="119">
        <f ca="1">HLOOKUP($H$5,'Met Data'!$H$2:$M$368,G769,FALSE)*L769</f>
        <v>4.3633333333333297</v>
      </c>
      <c r="K769" s="98">
        <f ca="1">HLOOKUP($H$5,'Met Data'!$O$2:$T$368,G769,FALSE)</f>
        <v>2.5284096014561799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" thickBot="1">
      <c r="G770" s="3">
        <f t="shared" ca="1" si="120"/>
        <v>277</v>
      </c>
      <c r="H770" s="97">
        <f t="shared" ca="1" si="119"/>
        <v>45933</v>
      </c>
      <c r="I770" s="121">
        <f ca="1">HLOOKUP($H$5,'Met Data'!$A$2:$F$368,G770,FALSE)</f>
        <v>13.2433333333333</v>
      </c>
      <c r="J770" s="119">
        <f ca="1">HLOOKUP($H$5,'Met Data'!$H$2:$M$368,G770,FALSE)*L770</f>
        <v>5.1333333333333302</v>
      </c>
      <c r="K770" s="98">
        <f ca="1">HLOOKUP($H$5,'Met Data'!$O$2:$T$368,G770,FALSE)</f>
        <v>2.88480468453885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" thickBot="1">
      <c r="G771" s="3">
        <f t="shared" ca="1" si="120"/>
        <v>278</v>
      </c>
      <c r="H771" s="97">
        <f t="shared" ca="1" si="119"/>
        <v>45934</v>
      </c>
      <c r="I771" s="121">
        <f ca="1">HLOOKUP($H$5,'Met Data'!$A$2:$F$368,G771,FALSE)</f>
        <v>12.85</v>
      </c>
      <c r="J771" s="119">
        <f ca="1">HLOOKUP($H$5,'Met Data'!$H$2:$M$368,G771,FALSE)*L771</f>
        <v>2.5033333333333299</v>
      </c>
      <c r="K771" s="98">
        <f ca="1">HLOOKUP($H$5,'Met Data'!$O$2:$T$368,G771,FALSE)</f>
        <v>2.7808067783335901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" thickBot="1">
      <c r="G772" s="3">
        <f t="shared" ca="1" si="120"/>
        <v>279</v>
      </c>
      <c r="H772" s="97">
        <f t="shared" ca="1" si="119"/>
        <v>45935</v>
      </c>
      <c r="I772" s="121">
        <f ca="1">HLOOKUP($H$5,'Met Data'!$A$2:$F$368,G772,FALSE)</f>
        <v>12.875806451612901</v>
      </c>
      <c r="J772" s="119">
        <f ca="1">HLOOKUP($H$5,'Met Data'!$H$2:$M$368,G772,FALSE)*L772</f>
        <v>4.1354838709677404</v>
      </c>
      <c r="K772" s="98">
        <f ca="1">HLOOKUP($H$5,'Met Data'!$O$2:$T$368,G772,FALSE)</f>
        <v>3.0772949163384999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" thickBot="1">
      <c r="G773" s="3">
        <f t="shared" ca="1" si="120"/>
        <v>280</v>
      </c>
      <c r="H773" s="97">
        <f t="shared" ca="1" si="119"/>
        <v>45936</v>
      </c>
      <c r="I773" s="121">
        <f ca="1">HLOOKUP($H$5,'Met Data'!$A$2:$F$368,G773,FALSE)</f>
        <v>12.9966666666666</v>
      </c>
      <c r="J773" s="119">
        <f ca="1">HLOOKUP($H$5,'Met Data'!$H$2:$M$368,G773,FALSE)*L773</f>
        <v>2.96999999999999</v>
      </c>
      <c r="K773" s="98">
        <f ca="1">HLOOKUP($H$5,'Met Data'!$O$2:$T$368,G773,FALSE)</f>
        <v>3.1690364753373701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" thickBot="1">
      <c r="G774" s="3">
        <f t="shared" ca="1" si="120"/>
        <v>281</v>
      </c>
      <c r="H774" s="97">
        <f t="shared" ca="1" si="119"/>
        <v>45937</v>
      </c>
      <c r="I774" s="121">
        <f ca="1">HLOOKUP($H$5,'Met Data'!$A$2:$F$368,G774,FALSE)</f>
        <v>12.7633333333333</v>
      </c>
      <c r="J774" s="119">
        <f ca="1">HLOOKUP($H$5,'Met Data'!$H$2:$M$368,G774,FALSE)*L774</f>
        <v>2.61</v>
      </c>
      <c r="K774" s="98">
        <f ca="1">HLOOKUP($H$5,'Met Data'!$O$2:$T$368,G774,FALSE)</f>
        <v>2.8220150579732999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" thickBot="1">
      <c r="G775" s="3">
        <f t="shared" ca="1" si="120"/>
        <v>282</v>
      </c>
      <c r="H775" s="97">
        <f t="shared" ca="1" si="119"/>
        <v>45938</v>
      </c>
      <c r="I775" s="121">
        <f ca="1">HLOOKUP($H$5,'Met Data'!$A$2:$F$368,G775,FALSE)</f>
        <v>13.4816666666666</v>
      </c>
      <c r="J775" s="119">
        <f ca="1">HLOOKUP($H$5,'Met Data'!$H$2:$M$368,G775,FALSE)*L775</f>
        <v>4.0666666666666602</v>
      </c>
      <c r="K775" s="98">
        <f ca="1">HLOOKUP($H$5,'Met Data'!$O$2:$T$368,G775,FALSE)</f>
        <v>2.68549157073894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" thickBot="1">
      <c r="G776" s="3">
        <f t="shared" ca="1" si="120"/>
        <v>283</v>
      </c>
      <c r="H776" s="97">
        <f t="shared" ca="1" si="119"/>
        <v>45939</v>
      </c>
      <c r="I776" s="121">
        <f ca="1">HLOOKUP($H$5,'Met Data'!$A$2:$F$368,G776,FALSE)</f>
        <v>13.6933333333333</v>
      </c>
      <c r="J776" s="119">
        <f ca="1">HLOOKUP($H$5,'Met Data'!$H$2:$M$368,G776,FALSE)*L776</f>
        <v>4.22</v>
      </c>
      <c r="K776" s="98">
        <f ca="1">HLOOKUP($H$5,'Met Data'!$O$2:$T$368,G776,FALSE)</f>
        <v>2.6969590648562201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" thickBot="1">
      <c r="G777" s="3">
        <f t="shared" ca="1" si="120"/>
        <v>284</v>
      </c>
      <c r="H777" s="97">
        <f t="shared" ref="H777:H840" ca="1" si="129">H776+1</f>
        <v>45940</v>
      </c>
      <c r="I777" s="121">
        <f ca="1">HLOOKUP($H$5,'Met Data'!$A$2:$F$368,G777,FALSE)</f>
        <v>12.9568965517241</v>
      </c>
      <c r="J777" s="119">
        <f ca="1">HLOOKUP($H$5,'Met Data'!$H$2:$M$368,G777,FALSE)*L777</f>
        <v>4.5966666666666596</v>
      </c>
      <c r="K777" s="98">
        <f ca="1">HLOOKUP($H$5,'Met Data'!$O$2:$T$368,G777,FALSE)</f>
        <v>2.9040985917251398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" thickBot="1">
      <c r="G778" s="3">
        <f t="shared" ca="1" si="120"/>
        <v>285</v>
      </c>
      <c r="H778" s="97">
        <f t="shared" ca="1" si="129"/>
        <v>45941</v>
      </c>
      <c r="I778" s="121">
        <f ca="1">HLOOKUP($H$5,'Met Data'!$A$2:$F$368,G778,FALSE)</f>
        <v>13.2293103448275</v>
      </c>
      <c r="J778" s="119">
        <f ca="1">HLOOKUP($H$5,'Met Data'!$H$2:$M$368,G778,FALSE)*L778</f>
        <v>2.3896551724137902</v>
      </c>
      <c r="K778" s="98">
        <f ca="1">HLOOKUP($H$5,'Met Data'!$O$2:$T$368,G778,FALSE)</f>
        <v>2.90858576113735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" thickBot="1">
      <c r="G779" s="3">
        <f t="shared" ca="1" si="120"/>
        <v>286</v>
      </c>
      <c r="H779" s="97">
        <f t="shared" ca="1" si="129"/>
        <v>45942</v>
      </c>
      <c r="I779" s="121">
        <f ca="1">HLOOKUP($H$5,'Met Data'!$A$2:$F$368,G779,FALSE)</f>
        <v>13.7431034482758</v>
      </c>
      <c r="J779" s="119">
        <f ca="1">HLOOKUP($H$5,'Met Data'!$H$2:$M$368,G779,FALSE)*L779</f>
        <v>5.39310344827586</v>
      </c>
      <c r="K779" s="98">
        <f ca="1">HLOOKUP($H$5,'Met Data'!$O$2:$T$368,G779,FALSE)</f>
        <v>2.9187130451018599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" thickBot="1">
      <c r="G780" s="3">
        <f t="shared" ca="1" si="120"/>
        <v>287</v>
      </c>
      <c r="H780" s="97">
        <f t="shared" ca="1" si="129"/>
        <v>45943</v>
      </c>
      <c r="I780" s="121">
        <f ca="1">HLOOKUP($H$5,'Met Data'!$A$2:$F$368,G780,FALSE)</f>
        <v>13.6551724137931</v>
      </c>
      <c r="J780" s="119">
        <f ca="1">HLOOKUP($H$5,'Met Data'!$H$2:$M$368,G780,FALSE)*L780</f>
        <v>4.9586206896551701</v>
      </c>
      <c r="K780" s="98">
        <f ca="1">HLOOKUP($H$5,'Met Data'!$O$2:$T$368,G780,FALSE)</f>
        <v>2.9944315874670302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" thickBot="1">
      <c r="G781" s="3">
        <f t="shared" ca="1" si="120"/>
        <v>288</v>
      </c>
      <c r="H781" s="97">
        <f t="shared" ca="1" si="129"/>
        <v>45944</v>
      </c>
      <c r="I781" s="121">
        <f ca="1">HLOOKUP($H$5,'Met Data'!$A$2:$F$368,G781,FALSE)</f>
        <v>13.334482758620601</v>
      </c>
      <c r="J781" s="119">
        <f ca="1">HLOOKUP($H$5,'Met Data'!$H$2:$M$368,G781,FALSE)*L781</f>
        <v>5.6758620689655102</v>
      </c>
      <c r="K781" s="98">
        <f ca="1">HLOOKUP($H$5,'Met Data'!$O$2:$T$368,G781,FALSE)</f>
        <v>2.9220059834019998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" thickBot="1">
      <c r="G782" s="3">
        <f t="shared" ca="1" si="120"/>
        <v>289</v>
      </c>
      <c r="H782" s="97">
        <f t="shared" ca="1" si="129"/>
        <v>45945</v>
      </c>
      <c r="I782" s="121">
        <f ca="1">HLOOKUP($H$5,'Met Data'!$A$2:$F$368,G782,FALSE)</f>
        <v>13.0379310344827</v>
      </c>
      <c r="J782" s="119">
        <f ca="1">HLOOKUP($H$5,'Met Data'!$H$2:$M$368,G782,FALSE)*L782</f>
        <v>5.9344827586206899</v>
      </c>
      <c r="K782" s="98">
        <f ca="1">HLOOKUP($H$5,'Met Data'!$O$2:$T$368,G782,FALSE)</f>
        <v>3.1812494285264998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" thickBot="1">
      <c r="G783" s="3">
        <f t="shared" ca="1" si="120"/>
        <v>290</v>
      </c>
      <c r="H783" s="97">
        <f t="shared" ca="1" si="129"/>
        <v>45946</v>
      </c>
      <c r="I783" s="121">
        <f ca="1">HLOOKUP($H$5,'Met Data'!$A$2:$F$368,G783,FALSE)</f>
        <v>13.094827586206801</v>
      </c>
      <c r="J783" s="119">
        <f ca="1">HLOOKUP($H$5,'Met Data'!$H$2:$M$368,G783,FALSE)*L783</f>
        <v>3.2862068965517199</v>
      </c>
      <c r="K783" s="98">
        <f ca="1">HLOOKUP($H$5,'Met Data'!$O$2:$T$368,G783,FALSE)</f>
        <v>3.1846462671739202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" thickBot="1">
      <c r="G784" s="3">
        <f t="shared" ca="1" si="120"/>
        <v>291</v>
      </c>
      <c r="H784" s="97">
        <f t="shared" ca="1" si="129"/>
        <v>45947</v>
      </c>
      <c r="I784" s="121">
        <f ca="1">HLOOKUP($H$5,'Met Data'!$A$2:$F$368,G784,FALSE)</f>
        <v>13.6775862068965</v>
      </c>
      <c r="J784" s="119">
        <f ca="1">HLOOKUP($H$5,'Met Data'!$H$2:$M$368,G784,FALSE)*L784</f>
        <v>3.4241379310344802</v>
      </c>
      <c r="K784" s="98">
        <f ca="1">HLOOKUP($H$5,'Met Data'!$O$2:$T$368,G784,FALSE)</f>
        <v>3.2300602691540199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" thickBot="1">
      <c r="G785" s="3">
        <f t="shared" ca="1" si="120"/>
        <v>292</v>
      </c>
      <c r="H785" s="97">
        <f t="shared" ca="1" si="129"/>
        <v>45948</v>
      </c>
      <c r="I785" s="121">
        <f ca="1">HLOOKUP($H$5,'Met Data'!$A$2:$F$368,G785,FALSE)</f>
        <v>13.189655172413699</v>
      </c>
      <c r="J785" s="119">
        <f ca="1">HLOOKUP($H$5,'Met Data'!$H$2:$M$368,G785,FALSE)*L785</f>
        <v>3.6586206896551698</v>
      </c>
      <c r="K785" s="98">
        <f ca="1">HLOOKUP($H$5,'Met Data'!$O$2:$T$368,G785,FALSE)</f>
        <v>2.98673361950474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" thickBot="1">
      <c r="G786" s="3">
        <f t="shared" ca="1" si="120"/>
        <v>293</v>
      </c>
      <c r="H786" s="97">
        <f t="shared" ca="1" si="129"/>
        <v>45949</v>
      </c>
      <c r="I786" s="121">
        <f ca="1">HLOOKUP($H$5,'Met Data'!$A$2:$F$368,G786,FALSE)</f>
        <v>12.9428571428571</v>
      </c>
      <c r="J786" s="119">
        <f ca="1">HLOOKUP($H$5,'Met Data'!$H$2:$M$368,G786,FALSE)*L786</f>
        <v>2.3892857142857098</v>
      </c>
      <c r="K786" s="98">
        <f ca="1">HLOOKUP($H$5,'Met Data'!$O$2:$T$368,G786,FALSE)</f>
        <v>3.3877860671285598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" thickBot="1">
      <c r="G787" s="3">
        <f t="shared" ca="1" si="120"/>
        <v>294</v>
      </c>
      <c r="H787" s="97">
        <f t="shared" ca="1" si="129"/>
        <v>45950</v>
      </c>
      <c r="I787" s="121">
        <f ca="1">HLOOKUP($H$5,'Met Data'!$A$2:$F$368,G787,FALSE)</f>
        <v>12.819642857142799</v>
      </c>
      <c r="J787" s="119">
        <f ca="1">HLOOKUP($H$5,'Met Data'!$H$2:$M$368,G787,FALSE)*L787</f>
        <v>1.6142857142857101</v>
      </c>
      <c r="K787" s="98">
        <f ca="1">HLOOKUP($H$5,'Met Data'!$O$2:$T$368,G787,FALSE)</f>
        <v>3.30175747979975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" thickBot="1">
      <c r="G788" s="3">
        <f t="shared" ca="1" si="120"/>
        <v>295</v>
      </c>
      <c r="H788" s="97">
        <f t="shared" ca="1" si="129"/>
        <v>45951</v>
      </c>
      <c r="I788" s="121">
        <f ca="1">HLOOKUP($H$5,'Met Data'!$A$2:$F$368,G788,FALSE)</f>
        <v>13.2785714285714</v>
      </c>
      <c r="J788" s="119">
        <f ca="1">HLOOKUP($H$5,'Met Data'!$H$2:$M$368,G788,FALSE)*L788</f>
        <v>2.9214285714285699</v>
      </c>
      <c r="K788" s="98">
        <f ca="1">HLOOKUP($H$5,'Met Data'!$O$2:$T$368,G788,FALSE)</f>
        <v>2.9372247945615499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" thickBot="1">
      <c r="G789" s="3">
        <f t="shared" ca="1" si="120"/>
        <v>296</v>
      </c>
      <c r="H789" s="97">
        <f t="shared" ca="1" si="129"/>
        <v>45952</v>
      </c>
      <c r="I789" s="121">
        <f ca="1">HLOOKUP($H$5,'Met Data'!$A$2:$F$368,G789,FALSE)</f>
        <v>13.5625</v>
      </c>
      <c r="J789" s="119">
        <f ca="1">HLOOKUP($H$5,'Met Data'!$H$2:$M$368,G789,FALSE)*L789</f>
        <v>3.3499999999999899</v>
      </c>
      <c r="K789" s="98">
        <f ca="1">HLOOKUP($H$5,'Met Data'!$O$2:$T$368,G789,FALSE)</f>
        <v>2.9112128548041598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" thickBot="1">
      <c r="G790" s="3">
        <f t="shared" ca="1" si="120"/>
        <v>297</v>
      </c>
      <c r="H790" s="97">
        <f t="shared" ca="1" si="129"/>
        <v>45953</v>
      </c>
      <c r="I790" s="121">
        <f ca="1">HLOOKUP($H$5,'Met Data'!$A$2:$F$368,G790,FALSE)</f>
        <v>13.9310344827586</v>
      </c>
      <c r="J790" s="119">
        <f ca="1">HLOOKUP($H$5,'Met Data'!$H$2:$M$368,G790,FALSE)*L790</f>
        <v>4.6137931034482698</v>
      </c>
      <c r="K790" s="98">
        <f ca="1">HLOOKUP($H$5,'Met Data'!$O$2:$T$368,G790,FALSE)</f>
        <v>3.5318790230099002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" thickBot="1">
      <c r="G791" s="3">
        <f t="shared" ca="1" si="120"/>
        <v>298</v>
      </c>
      <c r="H791" s="97">
        <f t="shared" ca="1" si="129"/>
        <v>45954</v>
      </c>
      <c r="I791" s="121">
        <f ca="1">HLOOKUP($H$5,'Met Data'!$A$2:$F$368,G791,FALSE)</f>
        <v>13.336206896551699</v>
      </c>
      <c r="J791" s="119">
        <f ca="1">HLOOKUP($H$5,'Met Data'!$H$2:$M$368,G791,FALSE)*L791</f>
        <v>3.30689655172413</v>
      </c>
      <c r="K791" s="98">
        <f ca="1">HLOOKUP($H$5,'Met Data'!$O$2:$T$368,G791,FALSE)</f>
        <v>3.2578637469081699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" thickBot="1">
      <c r="G792" s="3">
        <f t="shared" ca="1" si="120"/>
        <v>299</v>
      </c>
      <c r="H792" s="97">
        <f t="shared" ca="1" si="129"/>
        <v>45955</v>
      </c>
      <c r="I792" s="121">
        <f ca="1">HLOOKUP($H$5,'Met Data'!$A$2:$F$368,G792,FALSE)</f>
        <v>13.789655172413701</v>
      </c>
      <c r="J792" s="119">
        <f ca="1">HLOOKUP($H$5,'Met Data'!$H$2:$M$368,G792,FALSE)*L792</f>
        <v>1.8172413793103399</v>
      </c>
      <c r="K792" s="98">
        <f ca="1">HLOOKUP($H$5,'Met Data'!$O$2:$T$368,G792,FALSE)</f>
        <v>3.4101531049699898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" thickBot="1">
      <c r="G793" s="3">
        <f t="shared" ca="1" si="120"/>
        <v>300</v>
      </c>
      <c r="H793" s="97">
        <f t="shared" ca="1" si="129"/>
        <v>45956</v>
      </c>
      <c r="I793" s="121">
        <f ca="1">HLOOKUP($H$5,'Met Data'!$A$2:$F$368,G793,FALSE)</f>
        <v>14.0810344827586</v>
      </c>
      <c r="J793" s="119">
        <f ca="1">HLOOKUP($H$5,'Met Data'!$H$2:$M$368,G793,FALSE)*L793</f>
        <v>0.78965517241379302</v>
      </c>
      <c r="K793" s="98">
        <f ca="1">HLOOKUP($H$5,'Met Data'!$O$2:$T$368,G793,FALSE)</f>
        <v>3.2764418127891499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" thickBot="1">
      <c r="G794" s="3">
        <f t="shared" ca="1" si="120"/>
        <v>301</v>
      </c>
      <c r="H794" s="97">
        <f t="shared" ca="1" si="129"/>
        <v>45957</v>
      </c>
      <c r="I794" s="121">
        <f ca="1">HLOOKUP($H$5,'Met Data'!$A$2:$F$368,G794,FALSE)</f>
        <v>14.8396551724137</v>
      </c>
      <c r="J794" s="119">
        <f ca="1">HLOOKUP($H$5,'Met Data'!$H$2:$M$368,G794,FALSE)*L794</f>
        <v>3.4241379310344802</v>
      </c>
      <c r="K794" s="98">
        <f ca="1">HLOOKUP($H$5,'Met Data'!$O$2:$T$368,G794,FALSE)</f>
        <v>3.3023555527193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" thickBot="1">
      <c r="G795" s="3">
        <f t="shared" ca="1" si="120"/>
        <v>302</v>
      </c>
      <c r="H795" s="97">
        <f t="shared" ca="1" si="129"/>
        <v>45958</v>
      </c>
      <c r="I795" s="121">
        <f ca="1">HLOOKUP($H$5,'Met Data'!$A$2:$F$368,G795,FALSE)</f>
        <v>14.274137931034399</v>
      </c>
      <c r="J795" s="119">
        <f ca="1">HLOOKUP($H$5,'Met Data'!$H$2:$M$368,G795,FALSE)*L795</f>
        <v>4.16206896551724</v>
      </c>
      <c r="K795" s="98">
        <f ca="1">HLOOKUP($H$5,'Met Data'!$O$2:$T$368,G795,FALSE)</f>
        <v>2.9394492851949701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" thickBot="1">
      <c r="G796" s="3">
        <f t="shared" ca="1" si="120"/>
        <v>303</v>
      </c>
      <c r="H796" s="97">
        <f t="shared" ca="1" si="129"/>
        <v>45959</v>
      </c>
      <c r="I796" s="121">
        <f ca="1">HLOOKUP($H$5,'Met Data'!$A$2:$F$368,G796,FALSE)</f>
        <v>14.29</v>
      </c>
      <c r="J796" s="119">
        <f ca="1">HLOOKUP($H$5,'Met Data'!$H$2:$M$368,G796,FALSE)*L796</f>
        <v>2.4933333333333301</v>
      </c>
      <c r="K796" s="98">
        <f ca="1">HLOOKUP($H$5,'Met Data'!$O$2:$T$368,G796,FALSE)</f>
        <v>3.1793308523033601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" thickBot="1">
      <c r="G797" s="3">
        <f t="shared" ca="1" si="120"/>
        <v>304</v>
      </c>
      <c r="H797" s="97">
        <f t="shared" ca="1" si="129"/>
        <v>45960</v>
      </c>
      <c r="I797" s="121">
        <f ca="1">HLOOKUP($H$5,'Met Data'!$A$2:$F$368,G797,FALSE)</f>
        <v>14.715</v>
      </c>
      <c r="J797" s="119">
        <f ca="1">HLOOKUP($H$5,'Met Data'!$H$2:$M$368,G797,FALSE)*L797</f>
        <v>1.99</v>
      </c>
      <c r="K797" s="98">
        <f ca="1">HLOOKUP($H$5,'Met Data'!$O$2:$T$368,G797,FALSE)</f>
        <v>3.2908149619424898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" thickBot="1">
      <c r="G798" s="3">
        <f t="shared" ca="1" si="120"/>
        <v>305</v>
      </c>
      <c r="H798" s="97">
        <f t="shared" ca="1" si="129"/>
        <v>45961</v>
      </c>
      <c r="I798" s="121">
        <f ca="1">HLOOKUP($H$5,'Met Data'!$A$2:$F$368,G798,FALSE)</f>
        <v>14.5266666666666</v>
      </c>
      <c r="J798" s="119">
        <f ca="1">HLOOKUP($H$5,'Met Data'!$H$2:$M$368,G798,FALSE)*L798</f>
        <v>1.75</v>
      </c>
      <c r="K798" s="98">
        <f ca="1">HLOOKUP($H$5,'Met Data'!$O$2:$T$368,G798,FALSE)</f>
        <v>3.7910621493299299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" thickBot="1">
      <c r="G799" s="3">
        <f t="shared" ca="1" si="120"/>
        <v>306</v>
      </c>
      <c r="H799" s="97">
        <f t="shared" ca="1" si="129"/>
        <v>45962</v>
      </c>
      <c r="I799" s="121">
        <f ca="1">HLOOKUP($H$5,'Met Data'!$A$2:$F$368,G799,FALSE)</f>
        <v>14.0416666666666</v>
      </c>
      <c r="J799" s="119">
        <f ca="1">HLOOKUP($H$5,'Met Data'!$H$2:$M$368,G799,FALSE)*L799</f>
        <v>2.11666666666666</v>
      </c>
      <c r="K799" s="98">
        <f ca="1">HLOOKUP($H$5,'Met Data'!$O$2:$T$368,G799,FALSE)</f>
        <v>3.7273958064413302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" thickBot="1">
      <c r="G800" s="3">
        <f t="shared" ca="1" si="120"/>
        <v>307</v>
      </c>
      <c r="H800" s="97">
        <f t="shared" ca="1" si="129"/>
        <v>45963</v>
      </c>
      <c r="I800" s="121">
        <f ca="1">HLOOKUP($H$5,'Met Data'!$A$2:$F$368,G800,FALSE)</f>
        <v>14.098333333333301</v>
      </c>
      <c r="J800" s="119">
        <f ca="1">HLOOKUP($H$5,'Met Data'!$H$2:$M$368,G800,FALSE)*L800</f>
        <v>0.94</v>
      </c>
      <c r="K800" s="98">
        <f ca="1">HLOOKUP($H$5,'Met Data'!$O$2:$T$368,G800,FALSE)</f>
        <v>3.7508089301659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" thickBot="1">
      <c r="G801" s="3">
        <f t="shared" ca="1" si="120"/>
        <v>308</v>
      </c>
      <c r="H801" s="97">
        <f t="shared" ca="1" si="129"/>
        <v>45964</v>
      </c>
      <c r="I801" s="121">
        <f ca="1">HLOOKUP($H$5,'Met Data'!$A$2:$F$368,G801,FALSE)</f>
        <v>13.9933333333333</v>
      </c>
      <c r="J801" s="119">
        <f ca="1">HLOOKUP($H$5,'Met Data'!$H$2:$M$368,G801,FALSE)*L801</f>
        <v>2.42</v>
      </c>
      <c r="K801" s="98">
        <f ca="1">HLOOKUP($H$5,'Met Data'!$O$2:$T$368,G801,FALSE)</f>
        <v>3.2496546498492198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" thickBot="1">
      <c r="G802" s="3">
        <f t="shared" ca="1" si="120"/>
        <v>309</v>
      </c>
      <c r="H802" s="97">
        <f t="shared" ca="1" si="129"/>
        <v>45965</v>
      </c>
      <c r="I802" s="121">
        <f ca="1">HLOOKUP($H$5,'Met Data'!$A$2:$F$368,G802,FALSE)</f>
        <v>14.2016666666666</v>
      </c>
      <c r="J802" s="119">
        <f ca="1">HLOOKUP($H$5,'Met Data'!$H$2:$M$368,G802,FALSE)*L802</f>
        <v>3.21999999999999</v>
      </c>
      <c r="K802" s="98">
        <f ca="1">HLOOKUP($H$5,'Met Data'!$O$2:$T$368,G802,FALSE)</f>
        <v>3.3917308243993398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" thickBot="1">
      <c r="G803" s="3">
        <f t="shared" ca="1" si="120"/>
        <v>310</v>
      </c>
      <c r="H803" s="97">
        <f t="shared" ca="1" si="129"/>
        <v>45966</v>
      </c>
      <c r="I803" s="121">
        <f ca="1">HLOOKUP($H$5,'Met Data'!$A$2:$F$368,G803,FALSE)</f>
        <v>14.5483333333333</v>
      </c>
      <c r="J803" s="119">
        <f ca="1">HLOOKUP($H$5,'Met Data'!$H$2:$M$368,G803,FALSE)*L803</f>
        <v>6.2166666666666597</v>
      </c>
      <c r="K803" s="98">
        <f ca="1">HLOOKUP($H$5,'Met Data'!$O$2:$T$368,G803,FALSE)</f>
        <v>3.4940085056696999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" thickBot="1">
      <c r="G804" s="3">
        <f t="shared" ca="1" si="120"/>
        <v>311</v>
      </c>
      <c r="H804" s="97">
        <f t="shared" ca="1" si="129"/>
        <v>45967</v>
      </c>
      <c r="I804" s="121">
        <f ca="1">HLOOKUP($H$5,'Met Data'!$A$2:$F$368,G804,FALSE)</f>
        <v>14.156666666666601</v>
      </c>
      <c r="J804" s="119">
        <f ca="1">HLOOKUP($H$5,'Met Data'!$H$2:$M$368,G804,FALSE)*L804</f>
        <v>4.1999999999999904</v>
      </c>
      <c r="K804" s="98">
        <f ca="1">HLOOKUP($H$5,'Met Data'!$O$2:$T$368,G804,FALSE)</f>
        <v>3.6290518837480299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" thickBot="1">
      <c r="G805" s="3">
        <f t="shared" ca="1" si="120"/>
        <v>312</v>
      </c>
      <c r="H805" s="97">
        <f t="shared" ca="1" si="129"/>
        <v>45968</v>
      </c>
      <c r="I805" s="121">
        <f ca="1">HLOOKUP($H$5,'Met Data'!$A$2:$F$368,G805,FALSE)</f>
        <v>14.466666666666599</v>
      </c>
      <c r="J805" s="119">
        <f ca="1">HLOOKUP($H$5,'Met Data'!$H$2:$M$368,G805,FALSE)*L805</f>
        <v>4.18333333333333</v>
      </c>
      <c r="K805" s="98">
        <f ca="1">HLOOKUP($H$5,'Met Data'!$O$2:$T$368,G805,FALSE)</f>
        <v>3.3196725038188899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" thickBot="1">
      <c r="G806" s="3">
        <f t="shared" ca="1" si="120"/>
        <v>313</v>
      </c>
      <c r="H806" s="97">
        <f t="shared" ca="1" si="129"/>
        <v>45969</v>
      </c>
      <c r="I806" s="121">
        <f ca="1">HLOOKUP($H$5,'Met Data'!$A$2:$F$368,G806,FALSE)</f>
        <v>14.7283333333333</v>
      </c>
      <c r="J806" s="119">
        <f ca="1">HLOOKUP($H$5,'Met Data'!$H$2:$M$368,G806,FALSE)*L806</f>
        <v>3.4833333333333298</v>
      </c>
      <c r="K806" s="98">
        <f ca="1">HLOOKUP($H$5,'Met Data'!$O$2:$T$368,G806,FALSE)</f>
        <v>3.5694722560107999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" thickBot="1">
      <c r="G807" s="3">
        <f t="shared" ca="1" si="120"/>
        <v>314</v>
      </c>
      <c r="H807" s="97">
        <f t="shared" ca="1" si="129"/>
        <v>45970</v>
      </c>
      <c r="I807" s="121">
        <f ca="1">HLOOKUP($H$5,'Met Data'!$A$2:$F$368,G807,FALSE)</f>
        <v>14.37</v>
      </c>
      <c r="J807" s="119">
        <f ca="1">HLOOKUP($H$5,'Met Data'!$H$2:$M$368,G807,FALSE)*L807</f>
        <v>3.5433333333333299</v>
      </c>
      <c r="K807" s="98">
        <f ca="1">HLOOKUP($H$5,'Met Data'!$O$2:$T$368,G807,FALSE)</f>
        <v>3.5998767062500399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" thickBot="1">
      <c r="G808" s="3">
        <f t="shared" ca="1" si="120"/>
        <v>315</v>
      </c>
      <c r="H808" s="97">
        <f t="shared" ca="1" si="129"/>
        <v>45971</v>
      </c>
      <c r="I808" s="121">
        <f ca="1">HLOOKUP($H$5,'Met Data'!$A$2:$F$368,G808,FALSE)</f>
        <v>14.7216666666666</v>
      </c>
      <c r="J808" s="119">
        <f ca="1">HLOOKUP($H$5,'Met Data'!$H$2:$M$368,G808,FALSE)*L808</f>
        <v>2.9033333333333302</v>
      </c>
      <c r="K808" s="98">
        <f ca="1">HLOOKUP($H$5,'Met Data'!$O$2:$T$368,G808,FALSE)</f>
        <v>3.8854632375309301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" thickBot="1">
      <c r="G809" s="3">
        <f t="shared" ca="1" si="120"/>
        <v>316</v>
      </c>
      <c r="H809" s="97">
        <f t="shared" ca="1" si="129"/>
        <v>45972</v>
      </c>
      <c r="I809" s="121">
        <f ca="1">HLOOKUP($H$5,'Met Data'!$A$2:$F$368,G809,FALSE)</f>
        <v>14.816666666666601</v>
      </c>
      <c r="J809" s="119">
        <f ca="1">HLOOKUP($H$5,'Met Data'!$H$2:$M$368,G809,FALSE)*L809</f>
        <v>1.5433333333333299</v>
      </c>
      <c r="K809" s="98">
        <f ca="1">HLOOKUP($H$5,'Met Data'!$O$2:$T$368,G809,FALSE)</f>
        <v>3.4766729681443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" thickBot="1">
      <c r="G810" s="3">
        <f t="shared" ca="1" si="120"/>
        <v>317</v>
      </c>
      <c r="H810" s="97">
        <f t="shared" ca="1" si="129"/>
        <v>45973</v>
      </c>
      <c r="I810" s="121">
        <f ca="1">HLOOKUP($H$5,'Met Data'!$A$2:$F$368,G810,FALSE)</f>
        <v>14.7883333333333</v>
      </c>
      <c r="J810" s="119">
        <f ca="1">HLOOKUP($H$5,'Met Data'!$H$2:$M$368,G810,FALSE)*L810</f>
        <v>3.6066666666666598</v>
      </c>
      <c r="K810" s="98">
        <f ca="1">HLOOKUP($H$5,'Met Data'!$O$2:$T$368,G810,FALSE)</f>
        <v>3.49823939059966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" thickBot="1">
      <c r="G811" s="3">
        <f t="shared" ca="1" si="120"/>
        <v>318</v>
      </c>
      <c r="H811" s="97">
        <f t="shared" ca="1" si="129"/>
        <v>45974</v>
      </c>
      <c r="I811" s="121">
        <f ca="1">HLOOKUP($H$5,'Met Data'!$A$2:$F$368,G811,FALSE)</f>
        <v>14.5583333333333</v>
      </c>
      <c r="J811" s="119">
        <f ca="1">HLOOKUP($H$5,'Met Data'!$H$2:$M$368,G811,FALSE)*L811</f>
        <v>3.0633333333333299</v>
      </c>
      <c r="K811" s="98">
        <f ca="1">HLOOKUP($H$5,'Met Data'!$O$2:$T$368,G811,FALSE)</f>
        <v>3.8424324154218401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" thickBot="1">
      <c r="G812" s="3">
        <f t="shared" ca="1" si="120"/>
        <v>319</v>
      </c>
      <c r="H812" s="97">
        <f t="shared" ca="1" si="129"/>
        <v>45975</v>
      </c>
      <c r="I812" s="121">
        <f ca="1">HLOOKUP($H$5,'Met Data'!$A$2:$F$368,G812,FALSE)</f>
        <v>14.5066666666666</v>
      </c>
      <c r="J812" s="119">
        <f ca="1">HLOOKUP($H$5,'Met Data'!$H$2:$M$368,G812,FALSE)*L812</f>
        <v>3.2933333333333299</v>
      </c>
      <c r="K812" s="98">
        <f ca="1">HLOOKUP($H$5,'Met Data'!$O$2:$T$368,G812,FALSE)</f>
        <v>3.93837814578281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" thickBot="1">
      <c r="G813" s="3">
        <f t="shared" ca="1" si="120"/>
        <v>320</v>
      </c>
      <c r="H813" s="97">
        <f t="shared" ca="1" si="129"/>
        <v>45976</v>
      </c>
      <c r="I813" s="121">
        <f ca="1">HLOOKUP($H$5,'Met Data'!$A$2:$F$368,G813,FALSE)</f>
        <v>14.8633333333333</v>
      </c>
      <c r="J813" s="119">
        <f ca="1">HLOOKUP($H$5,'Met Data'!$H$2:$M$368,G813,FALSE)*L813</f>
        <v>2.0666666666666602</v>
      </c>
      <c r="K813" s="98">
        <f ca="1">HLOOKUP($H$5,'Met Data'!$O$2:$T$368,G813,FALSE)</f>
        <v>3.82063419166102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" thickBot="1">
      <c r="G814" s="3">
        <f t="shared" ca="1" si="120"/>
        <v>321</v>
      </c>
      <c r="H814" s="97">
        <f t="shared" ca="1" si="129"/>
        <v>45977</v>
      </c>
      <c r="I814" s="121">
        <f ca="1">HLOOKUP($H$5,'Met Data'!$A$2:$F$368,G814,FALSE)</f>
        <v>15.191666666666601</v>
      </c>
      <c r="J814" s="119">
        <f ca="1">HLOOKUP($H$5,'Met Data'!$H$2:$M$368,G814,FALSE)*L814</f>
        <v>4.1233333333333304</v>
      </c>
      <c r="K814" s="98">
        <f ca="1">HLOOKUP($H$5,'Met Data'!$O$2:$T$368,G814,FALSE)</f>
        <v>3.4660928584042798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" thickBot="1">
      <c r="G815" s="3">
        <f t="shared" ca="1" si="120"/>
        <v>322</v>
      </c>
      <c r="H815" s="97">
        <f t="shared" ca="1" si="129"/>
        <v>45978</v>
      </c>
      <c r="I815" s="121">
        <f ca="1">HLOOKUP($H$5,'Met Data'!$A$2:$F$368,G815,FALSE)</f>
        <v>14.805</v>
      </c>
      <c r="J815" s="119">
        <f ca="1">HLOOKUP($H$5,'Met Data'!$H$2:$M$368,G815,FALSE)*L815</f>
        <v>2.0999999999999899</v>
      </c>
      <c r="K815" s="98">
        <f ca="1">HLOOKUP($H$5,'Met Data'!$O$2:$T$368,G815,FALSE)</f>
        <v>3.7178898330930501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" thickBot="1">
      <c r="G816" s="3">
        <f t="shared" ca="1" si="120"/>
        <v>323</v>
      </c>
      <c r="H816" s="97">
        <f t="shared" ca="1" si="129"/>
        <v>45979</v>
      </c>
      <c r="I816" s="121">
        <f ca="1">HLOOKUP($H$5,'Met Data'!$A$2:$F$368,G816,FALSE)</f>
        <v>14.4366666666666</v>
      </c>
      <c r="J816" s="119">
        <f ca="1">HLOOKUP($H$5,'Met Data'!$H$2:$M$368,G816,FALSE)*L816</f>
        <v>2.25</v>
      </c>
      <c r="K816" s="98">
        <f ca="1">HLOOKUP($H$5,'Met Data'!$O$2:$T$368,G816,FALSE)</f>
        <v>3.8903759726723899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" thickBot="1">
      <c r="G817" s="3">
        <f t="shared" ref="G817:G880" ca="1" si="130">H817-DATE(YEAR(H817),1,0)+1</f>
        <v>324</v>
      </c>
      <c r="H817" s="97">
        <f t="shared" ca="1" si="129"/>
        <v>45980</v>
      </c>
      <c r="I817" s="121">
        <f ca="1">HLOOKUP($H$5,'Met Data'!$A$2:$F$368,G817,FALSE)</f>
        <v>14.4133333333333</v>
      </c>
      <c r="J817" s="119">
        <f ca="1">HLOOKUP($H$5,'Met Data'!$H$2:$M$368,G817,FALSE)*L817</f>
        <v>1.6566666666666601</v>
      </c>
      <c r="K817" s="98">
        <f ca="1">HLOOKUP($H$5,'Met Data'!$O$2:$T$368,G817,FALSE)</f>
        <v>3.9105195639997401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" thickBot="1">
      <c r="G818" s="3">
        <f t="shared" ca="1" si="130"/>
        <v>325</v>
      </c>
      <c r="H818" s="97">
        <f t="shared" ca="1" si="129"/>
        <v>45981</v>
      </c>
      <c r="I818" s="121">
        <f ca="1">HLOOKUP($H$5,'Met Data'!$A$2:$F$368,G818,FALSE)</f>
        <v>14.8266666666666</v>
      </c>
      <c r="J818" s="119">
        <f ca="1">HLOOKUP($H$5,'Met Data'!$H$2:$M$368,G818,FALSE)*L818</f>
        <v>2.4166666666666599</v>
      </c>
      <c r="K818" s="98">
        <f ca="1">HLOOKUP($H$5,'Met Data'!$O$2:$T$368,G818,FALSE)</f>
        <v>3.75734672122165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" thickBot="1">
      <c r="G819" s="3">
        <f t="shared" ca="1" si="130"/>
        <v>326</v>
      </c>
      <c r="H819" s="97">
        <f t="shared" ca="1" si="129"/>
        <v>45982</v>
      </c>
      <c r="I819" s="121">
        <f ca="1">HLOOKUP($H$5,'Met Data'!$A$2:$F$368,G819,FALSE)</f>
        <v>14.899999999999901</v>
      </c>
      <c r="J819" s="119">
        <f ca="1">HLOOKUP($H$5,'Met Data'!$H$2:$M$368,G819,FALSE)*L819</f>
        <v>2.8366666666666598</v>
      </c>
      <c r="K819" s="98">
        <f ca="1">HLOOKUP($H$5,'Met Data'!$O$2:$T$368,G819,FALSE)</f>
        <v>3.5492721007612098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" thickBot="1">
      <c r="G820" s="3">
        <f t="shared" ca="1" si="130"/>
        <v>327</v>
      </c>
      <c r="H820" s="97">
        <f t="shared" ca="1" si="129"/>
        <v>45983</v>
      </c>
      <c r="I820" s="121">
        <f ca="1">HLOOKUP($H$5,'Met Data'!$A$2:$F$368,G820,FALSE)</f>
        <v>15.125</v>
      </c>
      <c r="J820" s="119">
        <f ca="1">HLOOKUP($H$5,'Met Data'!$H$2:$M$368,G820,FALSE)*L820</f>
        <v>4.0966666666666596</v>
      </c>
      <c r="K820" s="98">
        <f ca="1">HLOOKUP($H$5,'Met Data'!$O$2:$T$368,G820,FALSE)</f>
        <v>3.6984174874033999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" thickBot="1">
      <c r="G821" s="3">
        <f t="shared" ca="1" si="130"/>
        <v>328</v>
      </c>
      <c r="H821" s="97">
        <f t="shared" ca="1" si="129"/>
        <v>45984</v>
      </c>
      <c r="I821" s="121">
        <f ca="1">HLOOKUP($H$5,'Met Data'!$A$2:$F$368,G821,FALSE)</f>
        <v>15.358333333333301</v>
      </c>
      <c r="J821" s="119">
        <f ca="1">HLOOKUP($H$5,'Met Data'!$H$2:$M$368,G821,FALSE)*L821</f>
        <v>3.04</v>
      </c>
      <c r="K821" s="98">
        <f ca="1">HLOOKUP($H$5,'Met Data'!$O$2:$T$368,G821,FALSE)</f>
        <v>3.9426742076693699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" thickBot="1">
      <c r="G822" s="3">
        <f t="shared" ca="1" si="130"/>
        <v>329</v>
      </c>
      <c r="H822" s="97">
        <f t="shared" ca="1" si="129"/>
        <v>45985</v>
      </c>
      <c r="I822" s="121">
        <f ca="1">HLOOKUP($H$5,'Met Data'!$A$2:$F$368,G822,FALSE)</f>
        <v>15.2051724137931</v>
      </c>
      <c r="J822" s="119">
        <f ca="1">HLOOKUP($H$5,'Met Data'!$H$2:$M$368,G822,FALSE)*L822</f>
        <v>2.4655172413793101</v>
      </c>
      <c r="K822" s="98">
        <f ca="1">HLOOKUP($H$5,'Met Data'!$O$2:$T$368,G822,FALSE)</f>
        <v>3.7475647250722499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" thickBot="1">
      <c r="G823" s="3">
        <f t="shared" ca="1" si="130"/>
        <v>330</v>
      </c>
      <c r="H823" s="97">
        <f t="shared" ca="1" si="129"/>
        <v>45986</v>
      </c>
      <c r="I823" s="121">
        <f ca="1">HLOOKUP($H$5,'Met Data'!$A$2:$F$368,G823,FALSE)</f>
        <v>15.834482758620601</v>
      </c>
      <c r="J823" s="119">
        <f ca="1">HLOOKUP($H$5,'Met Data'!$H$2:$M$368,G823,FALSE)*L823</f>
        <v>2.7965517241379301</v>
      </c>
      <c r="K823" s="98">
        <f ca="1">HLOOKUP($H$5,'Met Data'!$O$2:$T$368,G823,FALSE)</f>
        <v>4.1132182691665697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" thickBot="1">
      <c r="G824" s="3">
        <f t="shared" ca="1" si="130"/>
        <v>331</v>
      </c>
      <c r="H824" s="97">
        <f t="shared" ca="1" si="129"/>
        <v>45987</v>
      </c>
      <c r="I824" s="121">
        <f ca="1">HLOOKUP($H$5,'Met Data'!$A$2:$F$368,G824,FALSE)</f>
        <v>15.876666666666599</v>
      </c>
      <c r="J824" s="119">
        <f ca="1">HLOOKUP($H$5,'Met Data'!$H$2:$M$368,G824,FALSE)*L824</f>
        <v>2.2666666666666599</v>
      </c>
      <c r="K824" s="98">
        <f ca="1">HLOOKUP($H$5,'Met Data'!$O$2:$T$368,G824,FALSE)</f>
        <v>4.0838977840275996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" thickBot="1">
      <c r="G825" s="3">
        <f t="shared" ca="1" si="130"/>
        <v>332</v>
      </c>
      <c r="H825" s="97">
        <f t="shared" ca="1" si="129"/>
        <v>45988</v>
      </c>
      <c r="I825" s="121">
        <f ca="1">HLOOKUP($H$5,'Met Data'!$A$2:$F$368,G825,FALSE)</f>
        <v>15.52</v>
      </c>
      <c r="J825" s="119">
        <f ca="1">HLOOKUP($H$5,'Met Data'!$H$2:$M$368,G825,FALSE)*L825</f>
        <v>3.6933333333333298</v>
      </c>
      <c r="K825" s="98">
        <f ca="1">HLOOKUP($H$5,'Met Data'!$O$2:$T$368,G825,FALSE)</f>
        <v>4.2967341086411999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" thickBot="1">
      <c r="G826" s="3">
        <f t="shared" ca="1" si="130"/>
        <v>333</v>
      </c>
      <c r="H826" s="97">
        <f t="shared" ca="1" si="129"/>
        <v>45989</v>
      </c>
      <c r="I826" s="121">
        <f ca="1">HLOOKUP($H$5,'Met Data'!$A$2:$F$368,G826,FALSE)</f>
        <v>15.438333333333301</v>
      </c>
      <c r="J826" s="119">
        <f ca="1">HLOOKUP($H$5,'Met Data'!$H$2:$M$368,G826,FALSE)*L826</f>
        <v>4.5933333333333302</v>
      </c>
      <c r="K826" s="98">
        <f ca="1">HLOOKUP($H$5,'Met Data'!$O$2:$T$368,G826,FALSE)</f>
        <v>3.7863185649490698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" thickBot="1">
      <c r="G827" s="3">
        <f t="shared" ca="1" si="130"/>
        <v>334</v>
      </c>
      <c r="H827" s="97">
        <f t="shared" ca="1" si="129"/>
        <v>45990</v>
      </c>
      <c r="I827" s="121">
        <f ca="1">HLOOKUP($H$5,'Met Data'!$A$2:$F$368,G827,FALSE)</f>
        <v>15.551724137931</v>
      </c>
      <c r="J827" s="119">
        <f ca="1">HLOOKUP($H$5,'Met Data'!$H$2:$M$368,G827,FALSE)*L827</f>
        <v>2.63448275862069</v>
      </c>
      <c r="K827" s="98">
        <f ca="1">HLOOKUP($H$5,'Met Data'!$O$2:$T$368,G827,FALSE)</f>
        <v>3.91369181219603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" thickBot="1">
      <c r="G828" s="3">
        <f t="shared" ca="1" si="130"/>
        <v>335</v>
      </c>
      <c r="H828" s="97">
        <f t="shared" ca="1" si="129"/>
        <v>45991</v>
      </c>
      <c r="I828" s="121">
        <f ca="1">HLOOKUP($H$5,'Met Data'!$A$2:$F$368,G828,FALSE)</f>
        <v>15.832758620689599</v>
      </c>
      <c r="J828" s="119">
        <f ca="1">HLOOKUP($H$5,'Met Data'!$H$2:$M$368,G828,FALSE)*L828</f>
        <v>2.4931034482758601</v>
      </c>
      <c r="K828" s="98">
        <f ca="1">HLOOKUP($H$5,'Met Data'!$O$2:$T$368,G828,FALSE)</f>
        <v>3.5204814386258598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" thickBot="1">
      <c r="G829" s="3">
        <f t="shared" ca="1" si="130"/>
        <v>336</v>
      </c>
      <c r="H829" s="97">
        <f t="shared" ca="1" si="129"/>
        <v>45992</v>
      </c>
      <c r="I829" s="121">
        <f ca="1">HLOOKUP($H$5,'Met Data'!$A$2:$F$368,G829,FALSE)</f>
        <v>16.082758620689599</v>
      </c>
      <c r="J829" s="119">
        <f ca="1">HLOOKUP($H$5,'Met Data'!$H$2:$M$368,G829,FALSE)*L829</f>
        <v>1.7689655172413701</v>
      </c>
      <c r="K829" s="98">
        <f ca="1">HLOOKUP($H$5,'Met Data'!$O$2:$T$368,G829,FALSE)</f>
        <v>4.0516623269738101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" thickBot="1">
      <c r="G830" s="3">
        <f t="shared" ca="1" si="130"/>
        <v>337</v>
      </c>
      <c r="H830" s="97">
        <f t="shared" ca="1" si="129"/>
        <v>45993</v>
      </c>
      <c r="I830" s="121">
        <f ca="1">HLOOKUP($H$5,'Met Data'!$A$2:$F$368,G830,FALSE)</f>
        <v>16.4931034482758</v>
      </c>
      <c r="J830" s="119">
        <f ca="1">HLOOKUP($H$5,'Met Data'!$H$2:$M$368,G830,FALSE)*L830</f>
        <v>5.1137931034482698</v>
      </c>
      <c r="K830" s="98">
        <f ca="1">HLOOKUP($H$5,'Met Data'!$O$2:$T$368,G830,FALSE)</f>
        <v>3.5036176940509298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" thickBot="1">
      <c r="G831" s="3">
        <f t="shared" ca="1" si="130"/>
        <v>338</v>
      </c>
      <c r="H831" s="97">
        <f t="shared" ca="1" si="129"/>
        <v>45994</v>
      </c>
      <c r="I831" s="121">
        <f ca="1">HLOOKUP($H$5,'Met Data'!$A$2:$F$368,G831,FALSE)</f>
        <v>16.78</v>
      </c>
      <c r="J831" s="119">
        <f ca="1">HLOOKUP($H$5,'Met Data'!$H$2:$M$368,G831,FALSE)*L831</f>
        <v>1.71</v>
      </c>
      <c r="K831" s="98">
        <f ca="1">HLOOKUP($H$5,'Met Data'!$O$2:$T$368,G831,FALSE)</f>
        <v>3.8786861346319301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" thickBot="1">
      <c r="G832" s="3">
        <f t="shared" ca="1" si="130"/>
        <v>339</v>
      </c>
      <c r="H832" s="97">
        <f t="shared" ca="1" si="129"/>
        <v>45995</v>
      </c>
      <c r="I832" s="121">
        <f ca="1">HLOOKUP($H$5,'Met Data'!$A$2:$F$368,G832,FALSE)</f>
        <v>16.8266666666666</v>
      </c>
      <c r="J832" s="119">
        <f ca="1">HLOOKUP($H$5,'Met Data'!$H$2:$M$368,G832,FALSE)*L832</f>
        <v>6.0433333333333303</v>
      </c>
      <c r="K832" s="98">
        <f ca="1">HLOOKUP($H$5,'Met Data'!$O$2:$T$368,G832,FALSE)</f>
        <v>3.6269671816345701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" thickBot="1">
      <c r="G833" s="3">
        <f t="shared" ca="1" si="130"/>
        <v>340</v>
      </c>
      <c r="H833" s="97">
        <f t="shared" ca="1" si="129"/>
        <v>45996</v>
      </c>
      <c r="I833" s="121">
        <f ca="1">HLOOKUP($H$5,'Met Data'!$A$2:$F$368,G833,FALSE)</f>
        <v>16.6516666666666</v>
      </c>
      <c r="J833" s="119">
        <f ca="1">HLOOKUP($H$5,'Met Data'!$H$2:$M$368,G833,FALSE)*L833</f>
        <v>4.9033333333333298</v>
      </c>
      <c r="K833" s="98">
        <f ca="1">HLOOKUP($H$5,'Met Data'!$O$2:$T$368,G833,FALSE)</f>
        <v>3.8159631078200702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" thickBot="1">
      <c r="G834" s="3">
        <f t="shared" ca="1" si="130"/>
        <v>341</v>
      </c>
      <c r="H834" s="97">
        <f t="shared" ca="1" si="129"/>
        <v>45997</v>
      </c>
      <c r="I834" s="121">
        <f ca="1">HLOOKUP($H$5,'Met Data'!$A$2:$F$368,G834,FALSE)</f>
        <v>16.68</v>
      </c>
      <c r="J834" s="119">
        <f ca="1">HLOOKUP($H$5,'Met Data'!$H$2:$M$368,G834,FALSE)*L834</f>
        <v>3.7299999999999902</v>
      </c>
      <c r="K834" s="98">
        <f ca="1">HLOOKUP($H$5,'Met Data'!$O$2:$T$368,G834,FALSE)</f>
        <v>3.9805130657979602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" thickBot="1">
      <c r="G835" s="3">
        <f t="shared" ca="1" si="130"/>
        <v>342</v>
      </c>
      <c r="H835" s="97">
        <f t="shared" ca="1" si="129"/>
        <v>45998</v>
      </c>
      <c r="I835" s="121">
        <f ca="1">HLOOKUP($H$5,'Met Data'!$A$2:$F$368,G835,FALSE)</f>
        <v>16.158333333333299</v>
      </c>
      <c r="J835" s="119">
        <f ca="1">HLOOKUP($H$5,'Met Data'!$H$2:$M$368,G835,FALSE)*L835</f>
        <v>3.96999999999999</v>
      </c>
      <c r="K835" s="98">
        <f ca="1">HLOOKUP($H$5,'Met Data'!$O$2:$T$368,G835,FALSE)</f>
        <v>3.9985245379954399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" thickBot="1">
      <c r="G836" s="3">
        <f t="shared" ca="1" si="130"/>
        <v>343</v>
      </c>
      <c r="H836" s="97">
        <f t="shared" ca="1" si="129"/>
        <v>45999</v>
      </c>
      <c r="I836" s="121">
        <f ca="1">HLOOKUP($H$5,'Met Data'!$A$2:$F$368,G836,FALSE)</f>
        <v>16.105</v>
      </c>
      <c r="J836" s="119">
        <f ca="1">HLOOKUP($H$5,'Met Data'!$H$2:$M$368,G836,FALSE)*L836</f>
        <v>2.43333333333333</v>
      </c>
      <c r="K836" s="98">
        <f ca="1">HLOOKUP($H$5,'Met Data'!$O$2:$T$368,G836,FALSE)</f>
        <v>4.0668482894046898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" thickBot="1">
      <c r="G837" s="3">
        <f t="shared" ca="1" si="130"/>
        <v>344</v>
      </c>
      <c r="H837" s="97">
        <f t="shared" ca="1" si="129"/>
        <v>46000</v>
      </c>
      <c r="I837" s="121">
        <f ca="1">HLOOKUP($H$5,'Met Data'!$A$2:$F$368,G837,FALSE)</f>
        <v>16.565000000000001</v>
      </c>
      <c r="J837" s="119">
        <f ca="1">HLOOKUP($H$5,'Met Data'!$H$2:$M$368,G837,FALSE)*L837</f>
        <v>1.57666666666666</v>
      </c>
      <c r="K837" s="98">
        <f ca="1">HLOOKUP($H$5,'Met Data'!$O$2:$T$368,G837,FALSE)</f>
        <v>4.3303303245888296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" thickBot="1">
      <c r="G838" s="3">
        <f t="shared" ca="1" si="130"/>
        <v>345</v>
      </c>
      <c r="H838" s="97">
        <f t="shared" ca="1" si="129"/>
        <v>46001</v>
      </c>
      <c r="I838" s="121">
        <f ca="1">HLOOKUP($H$5,'Met Data'!$A$2:$F$368,G838,FALSE)</f>
        <v>16.483333333333299</v>
      </c>
      <c r="J838" s="119">
        <f ca="1">HLOOKUP($H$5,'Met Data'!$H$2:$M$368,G838,FALSE)*L838</f>
        <v>2.9733333333333301</v>
      </c>
      <c r="K838" s="98">
        <f ca="1">HLOOKUP($H$5,'Met Data'!$O$2:$T$368,G838,FALSE)</f>
        <v>4.0534379567104599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" thickBot="1">
      <c r="G839" s="3">
        <f t="shared" ca="1" si="130"/>
        <v>346</v>
      </c>
      <c r="H839" s="97">
        <f t="shared" ca="1" si="129"/>
        <v>46002</v>
      </c>
      <c r="I839" s="121">
        <f ca="1">HLOOKUP($H$5,'Met Data'!$A$2:$F$368,G839,FALSE)</f>
        <v>17.015000000000001</v>
      </c>
      <c r="J839" s="119">
        <f ca="1">HLOOKUP($H$5,'Met Data'!$H$2:$M$368,G839,FALSE)*L839</f>
        <v>1.12666666666666</v>
      </c>
      <c r="K839" s="98">
        <f ca="1">HLOOKUP($H$5,'Met Data'!$O$2:$T$368,G839,FALSE)</f>
        <v>4.1505313677650202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" thickBot="1">
      <c r="G840" s="3">
        <f t="shared" ca="1" si="130"/>
        <v>347</v>
      </c>
      <c r="H840" s="97">
        <f t="shared" ca="1" si="129"/>
        <v>46003</v>
      </c>
      <c r="I840" s="121">
        <f ca="1">HLOOKUP($H$5,'Met Data'!$A$2:$F$368,G840,FALSE)</f>
        <v>17.483333333333299</v>
      </c>
      <c r="J840" s="119">
        <f ca="1">HLOOKUP($H$5,'Met Data'!$H$2:$M$368,G840,FALSE)*L840</f>
        <v>1.9166666666666601</v>
      </c>
      <c r="K840" s="98">
        <f ca="1">HLOOKUP($H$5,'Met Data'!$O$2:$T$368,G840,FALSE)</f>
        <v>3.8850422651579102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" thickBot="1">
      <c r="G841" s="3">
        <f t="shared" ca="1" si="130"/>
        <v>348</v>
      </c>
      <c r="H841" s="97">
        <f t="shared" ref="H841:H904" ca="1" si="139">H840+1</f>
        <v>46004</v>
      </c>
      <c r="I841" s="121">
        <f ca="1">HLOOKUP($H$5,'Met Data'!$A$2:$F$368,G841,FALSE)</f>
        <v>17.251666666666601</v>
      </c>
      <c r="J841" s="119">
        <f ca="1">HLOOKUP($H$5,'Met Data'!$H$2:$M$368,G841,FALSE)*L841</f>
        <v>1.93333333333333</v>
      </c>
      <c r="K841" s="98">
        <f ca="1">HLOOKUP($H$5,'Met Data'!$O$2:$T$368,G841,FALSE)</f>
        <v>4.3816384015384404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" thickBot="1">
      <c r="G842" s="3">
        <f t="shared" ca="1" si="130"/>
        <v>349</v>
      </c>
      <c r="H842" s="97">
        <f t="shared" ca="1" si="139"/>
        <v>46005</v>
      </c>
      <c r="I842" s="121">
        <f ca="1">HLOOKUP($H$5,'Met Data'!$A$2:$F$368,G842,FALSE)</f>
        <v>17.1733333333333</v>
      </c>
      <c r="J842" s="119">
        <f ca="1">HLOOKUP($H$5,'Met Data'!$H$2:$M$368,G842,FALSE)*L842</f>
        <v>4.1233333333333304</v>
      </c>
      <c r="K842" s="98">
        <f ca="1">HLOOKUP($H$5,'Met Data'!$O$2:$T$368,G842,FALSE)</f>
        <v>4.03321434314394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" thickBot="1">
      <c r="G843" s="3">
        <f t="shared" ca="1" si="130"/>
        <v>350</v>
      </c>
      <c r="H843" s="97">
        <f t="shared" ca="1" si="139"/>
        <v>46006</v>
      </c>
      <c r="I843" s="121">
        <f ca="1">HLOOKUP($H$5,'Met Data'!$A$2:$F$368,G843,FALSE)</f>
        <v>17.0068965517241</v>
      </c>
      <c r="J843" s="119">
        <f ca="1">HLOOKUP($H$5,'Met Data'!$H$2:$M$368,G843,FALSE)*L843</f>
        <v>2.5793103448275798</v>
      </c>
      <c r="K843" s="98">
        <f ca="1">HLOOKUP($H$5,'Met Data'!$O$2:$T$368,G843,FALSE)</f>
        <v>4.1838965938969297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" thickBot="1">
      <c r="G844" s="3">
        <f t="shared" ca="1" si="130"/>
        <v>351</v>
      </c>
      <c r="H844" s="97">
        <f t="shared" ca="1" si="139"/>
        <v>46007</v>
      </c>
      <c r="I844" s="121">
        <f ca="1">HLOOKUP($H$5,'Met Data'!$A$2:$F$368,G844,FALSE)</f>
        <v>17.105172413793099</v>
      </c>
      <c r="J844" s="119">
        <f ca="1">HLOOKUP($H$5,'Met Data'!$H$2:$M$368,G844,FALSE)*L844</f>
        <v>5.3551724137930998</v>
      </c>
      <c r="K844" s="98">
        <f ca="1">HLOOKUP($H$5,'Met Data'!$O$2:$T$368,G844,FALSE)</f>
        <v>3.9954599380242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" thickBot="1">
      <c r="G845" s="3">
        <f t="shared" ca="1" si="130"/>
        <v>352</v>
      </c>
      <c r="H845" s="97">
        <f t="shared" ca="1" si="139"/>
        <v>46008</v>
      </c>
      <c r="I845" s="121">
        <f ca="1">HLOOKUP($H$5,'Met Data'!$A$2:$F$368,G845,FALSE)</f>
        <v>17.153448275862001</v>
      </c>
      <c r="J845" s="119">
        <f ca="1">HLOOKUP($H$5,'Met Data'!$H$2:$M$368,G845,FALSE)*L845</f>
        <v>4.6827586206896497</v>
      </c>
      <c r="K845" s="98">
        <f ca="1">HLOOKUP($H$5,'Met Data'!$O$2:$T$368,G845,FALSE)</f>
        <v>4.0087446707632299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" thickBot="1">
      <c r="G846" s="3">
        <f t="shared" ca="1" si="130"/>
        <v>353</v>
      </c>
      <c r="H846" s="97">
        <f t="shared" ca="1" si="139"/>
        <v>46009</v>
      </c>
      <c r="I846" s="121">
        <f ca="1">HLOOKUP($H$5,'Met Data'!$A$2:$F$368,G846,FALSE)</f>
        <v>16.853448275862</v>
      </c>
      <c r="J846" s="119">
        <f ca="1">HLOOKUP($H$5,'Met Data'!$H$2:$M$368,G846,FALSE)*L846</f>
        <v>4.4103448275861998</v>
      </c>
      <c r="K846" s="98">
        <f ca="1">HLOOKUP($H$5,'Met Data'!$O$2:$T$368,G846,FALSE)</f>
        <v>3.8624789224218001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" thickBot="1">
      <c r="G847" s="3">
        <f t="shared" ca="1" si="130"/>
        <v>354</v>
      </c>
      <c r="H847" s="97">
        <f t="shared" ca="1" si="139"/>
        <v>46010</v>
      </c>
      <c r="I847" s="121">
        <f ca="1">HLOOKUP($H$5,'Met Data'!$A$2:$F$368,G847,FALSE)</f>
        <v>17.030357142857099</v>
      </c>
      <c r="J847" s="119">
        <f ca="1">HLOOKUP($H$5,'Met Data'!$H$2:$M$368,G847,FALSE)*L847</f>
        <v>4.3285714285714203</v>
      </c>
      <c r="K847" s="98">
        <f ca="1">HLOOKUP($H$5,'Met Data'!$O$2:$T$368,G847,FALSE)</f>
        <v>4.1713118658622399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" thickBot="1">
      <c r="G848" s="3">
        <f t="shared" ca="1" si="130"/>
        <v>355</v>
      </c>
      <c r="H848" s="97">
        <f t="shared" ca="1" si="139"/>
        <v>46011</v>
      </c>
      <c r="I848" s="121">
        <f ca="1">HLOOKUP($H$5,'Met Data'!$A$2:$F$368,G848,FALSE)</f>
        <v>17.3086206896551</v>
      </c>
      <c r="J848" s="119">
        <f ca="1">HLOOKUP($H$5,'Met Data'!$H$2:$M$368,G848,FALSE)*L848</f>
        <v>1.38620689655172</v>
      </c>
      <c r="K848" s="98">
        <f ca="1">HLOOKUP($H$5,'Met Data'!$O$2:$T$368,G848,FALSE)</f>
        <v>4.2492728260034598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" thickBot="1">
      <c r="G849" s="3">
        <f t="shared" ca="1" si="130"/>
        <v>356</v>
      </c>
      <c r="H849" s="97">
        <f t="shared" ca="1" si="139"/>
        <v>46012</v>
      </c>
      <c r="I849" s="121">
        <f ca="1">HLOOKUP($H$5,'Met Data'!$A$2:$F$368,G849,FALSE)</f>
        <v>17.3086206896551</v>
      </c>
      <c r="J849" s="119">
        <f ca="1">HLOOKUP($H$5,'Met Data'!$H$2:$M$368,G849,FALSE)*L849</f>
        <v>3.66206896551724</v>
      </c>
      <c r="K849" s="98">
        <f ca="1">HLOOKUP($H$5,'Met Data'!$O$2:$T$368,G849,FALSE)</f>
        <v>3.9108587200843599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" thickBot="1">
      <c r="G850" s="3">
        <f t="shared" ca="1" si="130"/>
        <v>357</v>
      </c>
      <c r="H850" s="97">
        <f t="shared" ca="1" si="139"/>
        <v>46013</v>
      </c>
      <c r="I850" s="121">
        <f ca="1">HLOOKUP($H$5,'Met Data'!$A$2:$F$368,G850,FALSE)</f>
        <v>17.474137931034399</v>
      </c>
      <c r="J850" s="119">
        <f ca="1">HLOOKUP($H$5,'Met Data'!$H$2:$M$368,G850,FALSE)*L850</f>
        <v>1.82758620689655</v>
      </c>
      <c r="K850" s="98">
        <f ca="1">HLOOKUP($H$5,'Met Data'!$O$2:$T$368,G850,FALSE)</f>
        <v>4.3560784704810001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" thickBot="1">
      <c r="G851" s="3">
        <f t="shared" ca="1" si="130"/>
        <v>358</v>
      </c>
      <c r="H851" s="97">
        <f t="shared" ca="1" si="139"/>
        <v>46014</v>
      </c>
      <c r="I851" s="121">
        <f ca="1">HLOOKUP($H$5,'Met Data'!$A$2:$F$368,G851,FALSE)</f>
        <v>17.091379310344799</v>
      </c>
      <c r="J851" s="119">
        <f ca="1">HLOOKUP($H$5,'Met Data'!$H$2:$M$368,G851,FALSE)*L851</f>
        <v>2.22413793103448</v>
      </c>
      <c r="K851" s="98">
        <f ca="1">HLOOKUP($H$5,'Met Data'!$O$2:$T$368,G851,FALSE)</f>
        <v>4.1386344294122503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" thickBot="1">
      <c r="G852" s="3">
        <f t="shared" ca="1" si="130"/>
        <v>359</v>
      </c>
      <c r="H852" s="97">
        <f t="shared" ca="1" si="139"/>
        <v>46015</v>
      </c>
      <c r="I852" s="121">
        <f ca="1">HLOOKUP($H$5,'Met Data'!$A$2:$F$368,G852,FALSE)</f>
        <v>17.2275862068965</v>
      </c>
      <c r="J852" s="119">
        <f ca="1">HLOOKUP($H$5,'Met Data'!$H$2:$M$368,G852,FALSE)*L852</f>
        <v>3.0655172413793101</v>
      </c>
      <c r="K852" s="98">
        <f ca="1">HLOOKUP($H$5,'Met Data'!$O$2:$T$368,G852,FALSE)</f>
        <v>3.7757934515094398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" thickBot="1">
      <c r="G853" s="3">
        <f t="shared" ca="1" si="130"/>
        <v>360</v>
      </c>
      <c r="H853" s="97">
        <f t="shared" ca="1" si="139"/>
        <v>46016</v>
      </c>
      <c r="I853" s="121">
        <f ca="1">HLOOKUP($H$5,'Met Data'!$A$2:$F$368,G853,FALSE)</f>
        <v>17.475862068965501</v>
      </c>
      <c r="J853" s="119">
        <f ca="1">HLOOKUP($H$5,'Met Data'!$H$2:$M$368,G853,FALSE)*L853</f>
        <v>4.4724137931034402</v>
      </c>
      <c r="K853" s="98">
        <f ca="1">HLOOKUP($H$5,'Met Data'!$O$2:$T$368,G853,FALSE)</f>
        <v>3.82075028631309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" thickBot="1">
      <c r="G854" s="3">
        <f t="shared" ca="1" si="130"/>
        <v>361</v>
      </c>
      <c r="H854" s="97">
        <f t="shared" ca="1" si="139"/>
        <v>46017</v>
      </c>
      <c r="I854" s="121">
        <f ca="1">HLOOKUP($H$5,'Met Data'!$A$2:$F$368,G854,FALSE)</f>
        <v>17.193103448275799</v>
      </c>
      <c r="J854" s="119">
        <f ca="1">HLOOKUP($H$5,'Met Data'!$H$2:$M$368,G854,FALSE)*L854</f>
        <v>1.2034482758620599</v>
      </c>
      <c r="K854" s="98">
        <f ca="1">HLOOKUP($H$5,'Met Data'!$O$2:$T$368,G854,FALSE)</f>
        <v>4.4822943456663404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" thickBot="1">
      <c r="G855" s="3">
        <f t="shared" ca="1" si="130"/>
        <v>362</v>
      </c>
      <c r="H855" s="97">
        <f t="shared" ca="1" si="139"/>
        <v>46018</v>
      </c>
      <c r="I855" s="121">
        <f ca="1">HLOOKUP($H$5,'Met Data'!$A$2:$F$368,G855,FALSE)</f>
        <v>17.263793103448201</v>
      </c>
      <c r="J855" s="119">
        <f ca="1">HLOOKUP($H$5,'Met Data'!$H$2:$M$368,G855,FALSE)*L855</f>
        <v>1.9379310344827501</v>
      </c>
      <c r="K855" s="98">
        <f ca="1">HLOOKUP($H$5,'Met Data'!$O$2:$T$368,G855,FALSE)</f>
        <v>4.2854150969519402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" thickBot="1">
      <c r="G856" s="3">
        <f t="shared" ca="1" si="130"/>
        <v>363</v>
      </c>
      <c r="H856" s="97">
        <f t="shared" ca="1" si="139"/>
        <v>46019</v>
      </c>
      <c r="I856" s="121">
        <f ca="1">HLOOKUP($H$5,'Met Data'!$A$2:$F$368,G856,FALSE)</f>
        <v>18.060344827586199</v>
      </c>
      <c r="J856" s="119">
        <f ca="1">HLOOKUP($H$5,'Met Data'!$H$2:$M$368,G856,FALSE)*L856</f>
        <v>0.81379310344827505</v>
      </c>
      <c r="K856" s="98">
        <f ca="1">HLOOKUP($H$5,'Met Data'!$O$2:$T$368,G856,FALSE)</f>
        <v>4.2768570571644897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" thickBot="1">
      <c r="G857" s="3">
        <f t="shared" ca="1" si="130"/>
        <v>364</v>
      </c>
      <c r="H857" s="97">
        <f t="shared" ca="1" si="139"/>
        <v>46020</v>
      </c>
      <c r="I857" s="121">
        <f ca="1">HLOOKUP($H$5,'Met Data'!$A$2:$F$368,G857,FALSE)</f>
        <v>18.386206896551698</v>
      </c>
      <c r="J857" s="119">
        <f ca="1">HLOOKUP($H$5,'Met Data'!$H$2:$M$368,G857,FALSE)*L857</f>
        <v>3.0068965517241302</v>
      </c>
      <c r="K857" s="98">
        <f ca="1">HLOOKUP($H$5,'Met Data'!$O$2:$T$368,G857,FALSE)</f>
        <v>4.2622812571545499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" thickBot="1">
      <c r="G858" s="3">
        <f t="shared" ca="1" si="130"/>
        <v>365</v>
      </c>
      <c r="H858" s="97">
        <f t="shared" ca="1" si="139"/>
        <v>46021</v>
      </c>
      <c r="I858" s="121">
        <f ca="1">HLOOKUP($H$5,'Met Data'!$A$2:$F$368,G858,FALSE)</f>
        <v>18.156896551724099</v>
      </c>
      <c r="J858" s="119">
        <f ca="1">HLOOKUP($H$5,'Met Data'!$H$2:$M$368,G858,FALSE)*L858</f>
        <v>4.4172413793103402</v>
      </c>
      <c r="K858" s="98">
        <f ca="1">HLOOKUP($H$5,'Met Data'!$O$2:$T$368,G858,FALSE)</f>
        <v>3.8040621578745699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" thickBot="1">
      <c r="G859" s="3">
        <f t="shared" ca="1" si="130"/>
        <v>366</v>
      </c>
      <c r="H859" s="97">
        <f t="shared" ca="1" si="139"/>
        <v>46022</v>
      </c>
      <c r="I859" s="121">
        <f ca="1">HLOOKUP($H$5,'Met Data'!$A$2:$F$368,G859,FALSE)</f>
        <v>17.8086206896551</v>
      </c>
      <c r="J859" s="119">
        <f ca="1">HLOOKUP($H$5,'Met Data'!$H$2:$M$368,G859,FALSE)*L859</f>
        <v>8.7896551724137897</v>
      </c>
      <c r="K859" s="98">
        <f ca="1">HLOOKUP($H$5,'Met Data'!$O$2:$T$368,G859,FALSE)</f>
        <v>3.8298931146257198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" thickBot="1">
      <c r="G860" s="3">
        <f t="shared" ca="1" si="130"/>
        <v>2</v>
      </c>
      <c r="H860" s="97">
        <f t="shared" ca="1" si="139"/>
        <v>46023</v>
      </c>
      <c r="I860" s="121">
        <f ca="1">HLOOKUP($H$5,'Met Data'!$A$2:$F$368,G860,FALSE)</f>
        <v>17.639655172413701</v>
      </c>
      <c r="J860" s="119">
        <f ca="1">HLOOKUP($H$5,'Met Data'!$H$2:$M$368,G860,FALSE)*L860</f>
        <v>2.9862068965517201</v>
      </c>
      <c r="K860" s="98">
        <f ca="1">HLOOKUP($H$5,'Met Data'!$O$2:$T$368,G860,FALSE)</f>
        <v>4.7314305048111098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" thickBot="1">
      <c r="G861" s="3">
        <f t="shared" ca="1" si="130"/>
        <v>3</v>
      </c>
      <c r="H861" s="97">
        <f t="shared" ca="1" si="139"/>
        <v>46024</v>
      </c>
      <c r="I861" s="121">
        <f ca="1">HLOOKUP($H$5,'Met Data'!$A$2:$F$368,G861,FALSE)</f>
        <v>18.013793103448201</v>
      </c>
      <c r="J861" s="119">
        <f ca="1">HLOOKUP($H$5,'Met Data'!$H$2:$M$368,G861,FALSE)*L861</f>
        <v>1.4517241379310299</v>
      </c>
      <c r="K861" s="98">
        <f ca="1">HLOOKUP($H$5,'Met Data'!$O$2:$T$368,G861,FALSE)</f>
        <v>4.7184733001505199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" thickBot="1">
      <c r="G862" s="3">
        <f t="shared" ca="1" si="130"/>
        <v>4</v>
      </c>
      <c r="H862" s="97">
        <f t="shared" ca="1" si="139"/>
        <v>46025</v>
      </c>
      <c r="I862" s="121">
        <f ca="1">HLOOKUP($H$5,'Met Data'!$A$2:$F$368,G862,FALSE)</f>
        <v>17.827586206896498</v>
      </c>
      <c r="J862" s="119">
        <f ca="1">HLOOKUP($H$5,'Met Data'!$H$2:$M$368,G862,FALSE)*L862</f>
        <v>1.27241379310344</v>
      </c>
      <c r="K862" s="98">
        <f ca="1">HLOOKUP($H$5,'Met Data'!$O$2:$T$368,G862,FALSE)</f>
        <v>4.5153833563593304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" thickBot="1">
      <c r="G863" s="3">
        <f t="shared" ca="1" si="130"/>
        <v>5</v>
      </c>
      <c r="H863" s="97">
        <f t="shared" ca="1" si="139"/>
        <v>46026</v>
      </c>
      <c r="I863" s="121">
        <f ca="1">HLOOKUP($H$5,'Met Data'!$A$2:$F$368,G863,FALSE)</f>
        <v>18.068965517241299</v>
      </c>
      <c r="J863" s="119">
        <f ca="1">HLOOKUP($H$5,'Met Data'!$H$2:$M$368,G863,FALSE)*L863</f>
        <v>1.3206896551724101</v>
      </c>
      <c r="K863" s="98">
        <f ca="1">HLOOKUP($H$5,'Met Data'!$O$2:$T$368,G863,FALSE)</f>
        <v>4.6266971172714904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" thickBot="1">
      <c r="G864" s="3">
        <f t="shared" ca="1" si="130"/>
        <v>6</v>
      </c>
      <c r="H864" s="97">
        <f t="shared" ca="1" si="139"/>
        <v>46027</v>
      </c>
      <c r="I864" s="121">
        <f ca="1">HLOOKUP($H$5,'Met Data'!$A$2:$F$368,G864,FALSE)</f>
        <v>17.658620689655098</v>
      </c>
      <c r="J864" s="119">
        <f ca="1">HLOOKUP($H$5,'Met Data'!$H$2:$M$368,G864,FALSE)*L864</f>
        <v>1.64137931034482</v>
      </c>
      <c r="K864" s="98">
        <f ca="1">HLOOKUP($H$5,'Met Data'!$O$2:$T$368,G864,FALSE)</f>
        <v>4.7524735832446101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" thickBot="1">
      <c r="G865" s="3">
        <f t="shared" ca="1" si="130"/>
        <v>7</v>
      </c>
      <c r="H865" s="97">
        <f t="shared" ca="1" si="139"/>
        <v>46028</v>
      </c>
      <c r="I865" s="121">
        <f ca="1">HLOOKUP($H$5,'Met Data'!$A$2:$F$368,G865,FALSE)</f>
        <v>17.7431034482758</v>
      </c>
      <c r="J865" s="119">
        <f ca="1">HLOOKUP($H$5,'Met Data'!$H$2:$M$368,G865,FALSE)*L865</f>
        <v>1.8206896551724101</v>
      </c>
      <c r="K865" s="98">
        <f ca="1">HLOOKUP($H$5,'Met Data'!$O$2:$T$368,G865,FALSE)</f>
        <v>4.5675277776113097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" thickBot="1">
      <c r="G866" s="3">
        <f t="shared" ca="1" si="130"/>
        <v>8</v>
      </c>
      <c r="H866" s="97">
        <f t="shared" ca="1" si="139"/>
        <v>46029</v>
      </c>
      <c r="I866" s="121">
        <f ca="1">HLOOKUP($H$5,'Met Data'!$A$2:$F$368,G866,FALSE)</f>
        <v>18.181034482758601</v>
      </c>
      <c r="J866" s="119">
        <f ca="1">HLOOKUP($H$5,'Met Data'!$H$2:$M$368,G866,FALSE)*L866</f>
        <v>1.4896551724137901</v>
      </c>
      <c r="K866" s="98">
        <f ca="1">HLOOKUP($H$5,'Met Data'!$O$2:$T$368,G866,FALSE)</f>
        <v>4.0945523595888398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" thickBot="1">
      <c r="G867" s="3">
        <f t="shared" ca="1" si="130"/>
        <v>9</v>
      </c>
      <c r="H867" s="97">
        <f t="shared" ca="1" si="139"/>
        <v>46030</v>
      </c>
      <c r="I867" s="121">
        <f ca="1">HLOOKUP($H$5,'Met Data'!$A$2:$F$368,G867,FALSE)</f>
        <v>18.393103448275799</v>
      </c>
      <c r="J867" s="119">
        <f ca="1">HLOOKUP($H$5,'Met Data'!$H$2:$M$368,G867,FALSE)*L867</f>
        <v>2.69655172413793</v>
      </c>
      <c r="K867" s="98">
        <f ca="1">HLOOKUP($H$5,'Met Data'!$O$2:$T$368,G867,FALSE)</f>
        <v>4.0360392602952304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" thickBot="1">
      <c r="G868" s="3">
        <f t="shared" ca="1" si="130"/>
        <v>10</v>
      </c>
      <c r="H868" s="97">
        <f t="shared" ca="1" si="139"/>
        <v>46031</v>
      </c>
      <c r="I868" s="121">
        <f ca="1">HLOOKUP($H$5,'Met Data'!$A$2:$F$368,G868,FALSE)</f>
        <v>18.6103448275862</v>
      </c>
      <c r="J868" s="119">
        <f ca="1">HLOOKUP($H$5,'Met Data'!$H$2:$M$368,G868,FALSE)*L868</f>
        <v>3.0103448275861999</v>
      </c>
      <c r="K868" s="98">
        <f ca="1">HLOOKUP($H$5,'Met Data'!$O$2:$T$368,G868,FALSE)</f>
        <v>4.1608753956650997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" thickBot="1">
      <c r="G869" s="3">
        <f t="shared" ca="1" si="130"/>
        <v>11</v>
      </c>
      <c r="H869" s="97">
        <f t="shared" ca="1" si="139"/>
        <v>46032</v>
      </c>
      <c r="I869" s="121">
        <f ca="1">HLOOKUP($H$5,'Met Data'!$A$2:$F$368,G869,FALSE)</f>
        <v>18.453448275862002</v>
      </c>
      <c r="J869" s="119">
        <f ca="1">HLOOKUP($H$5,'Met Data'!$H$2:$M$368,G869,FALSE)*L869</f>
        <v>1.2689655172413701</v>
      </c>
      <c r="K869" s="98">
        <f ca="1">HLOOKUP($H$5,'Met Data'!$O$2:$T$368,G869,FALSE)</f>
        <v>4.5179186785714496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" thickBot="1">
      <c r="G870" s="3">
        <f t="shared" ca="1" si="130"/>
        <v>12</v>
      </c>
      <c r="H870" s="97">
        <f t="shared" ca="1" si="139"/>
        <v>46033</v>
      </c>
      <c r="I870" s="121">
        <f ca="1">HLOOKUP($H$5,'Met Data'!$A$2:$F$368,G870,FALSE)</f>
        <v>18.186206896551699</v>
      </c>
      <c r="J870" s="119">
        <f ca="1">HLOOKUP($H$5,'Met Data'!$H$2:$M$368,G870,FALSE)*L870</f>
        <v>1.3413793103448199</v>
      </c>
      <c r="K870" s="98">
        <f ca="1">HLOOKUP($H$5,'Met Data'!$O$2:$T$368,G870,FALSE)</f>
        <v>4.5303746944186001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" thickBot="1">
      <c r="G871" s="3">
        <f t="shared" ca="1" si="130"/>
        <v>13</v>
      </c>
      <c r="H871" s="97">
        <f t="shared" ca="1" si="139"/>
        <v>46034</v>
      </c>
      <c r="I871" s="121">
        <f ca="1">HLOOKUP($H$5,'Met Data'!$A$2:$F$368,G871,FALSE)</f>
        <v>18.314999999999898</v>
      </c>
      <c r="J871" s="119">
        <f ca="1">HLOOKUP($H$5,'Met Data'!$H$2:$M$368,G871,FALSE)*L871</f>
        <v>0.95</v>
      </c>
      <c r="K871" s="98">
        <f ca="1">HLOOKUP($H$5,'Met Data'!$O$2:$T$368,G871,FALSE)</f>
        <v>4.1021279144140701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" thickBot="1">
      <c r="G872" s="3">
        <f t="shared" ca="1" si="130"/>
        <v>14</v>
      </c>
      <c r="H872" s="97">
        <f t="shared" ca="1" si="139"/>
        <v>46035</v>
      </c>
      <c r="I872" s="121">
        <f ca="1">HLOOKUP($H$5,'Met Data'!$A$2:$F$368,G872,FALSE)</f>
        <v>18.473333333333301</v>
      </c>
      <c r="J872" s="119">
        <f ca="1">HLOOKUP($H$5,'Met Data'!$H$2:$M$368,G872,FALSE)*L872</f>
        <v>3.7233333333333301</v>
      </c>
      <c r="K872" s="98">
        <f ca="1">HLOOKUP($H$5,'Met Data'!$O$2:$T$368,G872,FALSE)</f>
        <v>4.3613860913388498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" thickBot="1">
      <c r="G873" s="3">
        <f t="shared" ca="1" si="130"/>
        <v>15</v>
      </c>
      <c r="H873" s="97">
        <f t="shared" ca="1" si="139"/>
        <v>46036</v>
      </c>
      <c r="I873" s="121">
        <f ca="1">HLOOKUP($H$5,'Met Data'!$A$2:$F$368,G873,FALSE)</f>
        <v>18.684999999999999</v>
      </c>
      <c r="J873" s="119">
        <f ca="1">HLOOKUP($H$5,'Met Data'!$H$2:$M$368,G873,FALSE)*L873</f>
        <v>2.2466666666666599</v>
      </c>
      <c r="K873" s="98">
        <f ca="1">HLOOKUP($H$5,'Met Data'!$O$2:$T$368,G873,FALSE)</f>
        <v>4.5029029229169799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" thickBot="1">
      <c r="G874" s="3">
        <f t="shared" ca="1" si="130"/>
        <v>16</v>
      </c>
      <c r="H874" s="97">
        <f t="shared" ca="1" si="139"/>
        <v>46037</v>
      </c>
      <c r="I874" s="121">
        <f ca="1">HLOOKUP($H$5,'Met Data'!$A$2:$F$368,G874,FALSE)</f>
        <v>18.661666666666601</v>
      </c>
      <c r="J874" s="119">
        <f ca="1">HLOOKUP($H$5,'Met Data'!$H$2:$M$368,G874,FALSE)*L874</f>
        <v>1.3333333333333299</v>
      </c>
      <c r="K874" s="98">
        <f ca="1">HLOOKUP($H$5,'Met Data'!$O$2:$T$368,G874,FALSE)</f>
        <v>4.6368762557636201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" thickBot="1">
      <c r="G875" s="3">
        <f t="shared" ca="1" si="130"/>
        <v>17</v>
      </c>
      <c r="H875" s="97">
        <f t="shared" ca="1" si="139"/>
        <v>46038</v>
      </c>
      <c r="I875" s="121">
        <f ca="1">HLOOKUP($H$5,'Met Data'!$A$2:$F$368,G875,FALSE)</f>
        <v>18.636666666666599</v>
      </c>
      <c r="J875" s="119">
        <f ca="1">HLOOKUP($H$5,'Met Data'!$H$2:$M$368,G875,FALSE)*L875</f>
        <v>3.0133333333333301</v>
      </c>
      <c r="K875" s="98">
        <f ca="1">HLOOKUP($H$5,'Met Data'!$O$2:$T$368,G875,FALSE)</f>
        <v>4.4386060395545801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" thickBot="1">
      <c r="G876" s="3">
        <f t="shared" ca="1" si="130"/>
        <v>18</v>
      </c>
      <c r="H876" s="97">
        <f t="shared" ca="1" si="139"/>
        <v>46039</v>
      </c>
      <c r="I876" s="121">
        <f ca="1">HLOOKUP($H$5,'Met Data'!$A$2:$F$368,G876,FALSE)</f>
        <v>18.4233333333333</v>
      </c>
      <c r="J876" s="119">
        <f ca="1">HLOOKUP($H$5,'Met Data'!$H$2:$M$368,G876,FALSE)*L876</f>
        <v>2.7833333333333301</v>
      </c>
      <c r="K876" s="98">
        <f ca="1">HLOOKUP($H$5,'Met Data'!$O$2:$T$368,G876,FALSE)</f>
        <v>4.10260332014568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" thickBot="1">
      <c r="G877" s="3">
        <f t="shared" ca="1" si="130"/>
        <v>19</v>
      </c>
      <c r="H877" s="97">
        <f t="shared" ca="1" si="139"/>
        <v>46040</v>
      </c>
      <c r="I877" s="121">
        <f ca="1">HLOOKUP($H$5,'Met Data'!$A$2:$F$368,G877,FALSE)</f>
        <v>18.466666666666601</v>
      </c>
      <c r="J877" s="119">
        <f ca="1">HLOOKUP($H$5,'Met Data'!$H$2:$M$368,G877,FALSE)*L877</f>
        <v>2.1566666666666601</v>
      </c>
      <c r="K877" s="98">
        <f ca="1">HLOOKUP($H$5,'Met Data'!$O$2:$T$368,G877,FALSE)</f>
        <v>4.3976375931712202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" thickBot="1">
      <c r="G878" s="3">
        <f t="shared" ca="1" si="130"/>
        <v>20</v>
      </c>
      <c r="H878" s="97">
        <f t="shared" ca="1" si="139"/>
        <v>46041</v>
      </c>
      <c r="I878" s="121">
        <f ca="1">HLOOKUP($H$5,'Met Data'!$A$2:$F$368,G878,FALSE)</f>
        <v>18.754999999999999</v>
      </c>
      <c r="J878" s="119">
        <f ca="1">HLOOKUP($H$5,'Met Data'!$H$2:$M$368,G878,FALSE)*L878</f>
        <v>2.2333333333333298</v>
      </c>
      <c r="K878" s="98">
        <f ca="1">HLOOKUP($H$5,'Met Data'!$O$2:$T$368,G878,FALSE)</f>
        <v>4.5811789756342201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" thickBot="1">
      <c r="G879" s="3">
        <f t="shared" ca="1" si="130"/>
        <v>21</v>
      </c>
      <c r="H879" s="97">
        <f t="shared" ca="1" si="139"/>
        <v>46042</v>
      </c>
      <c r="I879" s="121">
        <f ca="1">HLOOKUP($H$5,'Met Data'!$A$2:$F$368,G879,FALSE)</f>
        <v>18.6933333333333</v>
      </c>
      <c r="J879" s="119">
        <f ca="1">HLOOKUP($H$5,'Met Data'!$H$2:$M$368,G879,FALSE)*L879</f>
        <v>1.02666666666666</v>
      </c>
      <c r="K879" s="98">
        <f ca="1">HLOOKUP($H$5,'Met Data'!$O$2:$T$368,G879,FALSE)</f>
        <v>4.23484882575071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" thickBot="1">
      <c r="G880" s="3">
        <f t="shared" ca="1" si="130"/>
        <v>22</v>
      </c>
      <c r="H880" s="97">
        <f t="shared" ca="1" si="139"/>
        <v>46043</v>
      </c>
      <c r="I880" s="121">
        <f ca="1">HLOOKUP($H$5,'Met Data'!$A$2:$F$368,G880,FALSE)</f>
        <v>18.914999999999999</v>
      </c>
      <c r="J880" s="119">
        <f ca="1">HLOOKUP($H$5,'Met Data'!$H$2:$M$368,G880,FALSE)*L880</f>
        <v>8.4066666666666592</v>
      </c>
      <c r="K880" s="98">
        <f ca="1">HLOOKUP($H$5,'Met Data'!$O$2:$T$368,G880,FALSE)</f>
        <v>4.2358684276247196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" thickBot="1">
      <c r="G881" s="3">
        <f t="shared" ref="G881:G944" ca="1" si="140">H881-DATE(YEAR(H881),1,0)+1</f>
        <v>23</v>
      </c>
      <c r="H881" s="97">
        <f t="shared" ca="1" si="139"/>
        <v>46044</v>
      </c>
      <c r="I881" s="121">
        <f ca="1">HLOOKUP($H$5,'Met Data'!$A$2:$F$368,G881,FALSE)</f>
        <v>19.0133333333333</v>
      </c>
      <c r="J881" s="119">
        <f ca="1">HLOOKUP($H$5,'Met Data'!$H$2:$M$368,G881,FALSE)*L881</f>
        <v>3.7366666666666601</v>
      </c>
      <c r="K881" s="98">
        <f ca="1">HLOOKUP($H$5,'Met Data'!$O$2:$T$368,G881,FALSE)</f>
        <v>4.0376213451036698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" thickBot="1">
      <c r="G882" s="3">
        <f t="shared" ca="1" si="140"/>
        <v>24</v>
      </c>
      <c r="H882" s="97">
        <f t="shared" ca="1" si="139"/>
        <v>46045</v>
      </c>
      <c r="I882" s="121">
        <f ca="1">HLOOKUP($H$5,'Met Data'!$A$2:$F$368,G882,FALSE)</f>
        <v>19.03</v>
      </c>
      <c r="J882" s="119">
        <f ca="1">HLOOKUP($H$5,'Met Data'!$H$2:$M$368,G882,FALSE)*L882</f>
        <v>2.4266666666666601</v>
      </c>
      <c r="K882" s="98">
        <f ca="1">HLOOKUP($H$5,'Met Data'!$O$2:$T$368,G882,FALSE)</f>
        <v>4.3725520099572401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" thickBot="1">
      <c r="G883" s="3">
        <f t="shared" ca="1" si="140"/>
        <v>25</v>
      </c>
      <c r="H883" s="97">
        <f t="shared" ca="1" si="139"/>
        <v>46046</v>
      </c>
      <c r="I883" s="121">
        <f ca="1">HLOOKUP($H$5,'Met Data'!$A$2:$F$368,G883,FALSE)</f>
        <v>19.07</v>
      </c>
      <c r="J883" s="119">
        <f ca="1">HLOOKUP($H$5,'Met Data'!$H$2:$M$368,G883,FALSE)*L883</f>
        <v>3.4166666666666599</v>
      </c>
      <c r="K883" s="98">
        <f ca="1">HLOOKUP($H$5,'Met Data'!$O$2:$T$368,G883,FALSE)</f>
        <v>4.19340465226154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" thickBot="1">
      <c r="G884" s="3">
        <f t="shared" ca="1" si="140"/>
        <v>26</v>
      </c>
      <c r="H884" s="97">
        <f t="shared" ca="1" si="139"/>
        <v>46047</v>
      </c>
      <c r="I884" s="121">
        <f ca="1">HLOOKUP($H$5,'Met Data'!$A$2:$F$368,G884,FALSE)</f>
        <v>19.3</v>
      </c>
      <c r="J884" s="119">
        <f ca="1">HLOOKUP($H$5,'Met Data'!$H$2:$M$368,G884,FALSE)*L884</f>
        <v>3.70333333333333</v>
      </c>
      <c r="K884" s="98">
        <f ca="1">HLOOKUP($H$5,'Met Data'!$O$2:$T$368,G884,FALSE)</f>
        <v>4.6119458181628401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" thickBot="1">
      <c r="G885" s="3">
        <f t="shared" ca="1" si="140"/>
        <v>27</v>
      </c>
      <c r="H885" s="97">
        <f t="shared" ca="1" si="139"/>
        <v>46048</v>
      </c>
      <c r="I885" s="121">
        <f ca="1">HLOOKUP($H$5,'Met Data'!$A$2:$F$368,G885,FALSE)</f>
        <v>19.418333333333301</v>
      </c>
      <c r="J885" s="119">
        <f ca="1">HLOOKUP($H$5,'Met Data'!$H$2:$M$368,G885,FALSE)*L885</f>
        <v>1.2566666666666599</v>
      </c>
      <c r="K885" s="98">
        <f ca="1">HLOOKUP($H$5,'Met Data'!$O$2:$T$368,G885,FALSE)</f>
        <v>4.4486726941054897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" thickBot="1">
      <c r="G886" s="3">
        <f t="shared" ca="1" si="140"/>
        <v>28</v>
      </c>
      <c r="H886" s="97">
        <f t="shared" ca="1" si="139"/>
        <v>46049</v>
      </c>
      <c r="I886" s="121">
        <f ca="1">HLOOKUP($H$5,'Met Data'!$A$2:$F$368,G886,FALSE)</f>
        <v>19.086666666666599</v>
      </c>
      <c r="J886" s="119">
        <f ca="1">HLOOKUP($H$5,'Met Data'!$H$2:$M$368,G886,FALSE)*L886</f>
        <v>2.65</v>
      </c>
      <c r="K886" s="98">
        <f ca="1">HLOOKUP($H$5,'Met Data'!$O$2:$T$368,G886,FALSE)</f>
        <v>4.6925683722845504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" thickBot="1">
      <c r="G887" s="3">
        <f t="shared" ca="1" si="140"/>
        <v>29</v>
      </c>
      <c r="H887" s="97">
        <f t="shared" ca="1" si="139"/>
        <v>46050</v>
      </c>
      <c r="I887" s="121">
        <f ca="1">HLOOKUP($H$5,'Met Data'!$A$2:$F$368,G887,FALSE)</f>
        <v>19.248333333333299</v>
      </c>
      <c r="J887" s="119">
        <f ca="1">HLOOKUP($H$5,'Met Data'!$H$2:$M$368,G887,FALSE)*L887</f>
        <v>1.81</v>
      </c>
      <c r="K887" s="98">
        <f ca="1">HLOOKUP($H$5,'Met Data'!$O$2:$T$368,G887,FALSE)</f>
        <v>4.8021312602016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" thickBot="1">
      <c r="G888" s="3">
        <f t="shared" ca="1" si="140"/>
        <v>30</v>
      </c>
      <c r="H888" s="97">
        <f t="shared" ca="1" si="139"/>
        <v>46051</v>
      </c>
      <c r="I888" s="121">
        <f ca="1">HLOOKUP($H$5,'Met Data'!$A$2:$F$368,G888,FALSE)</f>
        <v>19.486666666666601</v>
      </c>
      <c r="J888" s="119">
        <f ca="1">HLOOKUP($H$5,'Met Data'!$H$2:$M$368,G888,FALSE)*L888</f>
        <v>2.1066666666666598</v>
      </c>
      <c r="K888" s="98">
        <f ca="1">HLOOKUP($H$5,'Met Data'!$O$2:$T$368,G888,FALSE)</f>
        <v>4.81456570354226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" thickBot="1">
      <c r="G889" s="3">
        <f t="shared" ca="1" si="140"/>
        <v>31</v>
      </c>
      <c r="H889" s="97">
        <f t="shared" ca="1" si="139"/>
        <v>46052</v>
      </c>
      <c r="I889" s="121">
        <f ca="1">HLOOKUP($H$5,'Met Data'!$A$2:$F$368,G889,FALSE)</f>
        <v>19.725000000000001</v>
      </c>
      <c r="J889" s="119">
        <f ca="1">HLOOKUP($H$5,'Met Data'!$H$2:$M$368,G889,FALSE)*L889</f>
        <v>3.1033333333333299</v>
      </c>
      <c r="K889" s="98">
        <f ca="1">HLOOKUP($H$5,'Met Data'!$O$2:$T$368,G889,FALSE)</f>
        <v>4.4640725934925003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" thickBot="1">
      <c r="G890" s="3">
        <f t="shared" ca="1" si="140"/>
        <v>32</v>
      </c>
      <c r="H890" s="97">
        <f t="shared" ca="1" si="139"/>
        <v>46053</v>
      </c>
      <c r="I890" s="121">
        <f ca="1">HLOOKUP($H$5,'Met Data'!$A$2:$F$368,G890,FALSE)</f>
        <v>19.670000000000002</v>
      </c>
      <c r="J890" s="119">
        <f ca="1">HLOOKUP($H$5,'Met Data'!$H$2:$M$368,G890,FALSE)*L890</f>
        <v>2.7466666666666599</v>
      </c>
      <c r="K890" s="98">
        <f ca="1">HLOOKUP($H$5,'Met Data'!$O$2:$T$368,G890,FALSE)</f>
        <v>4.1799437739427896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" thickBot="1">
      <c r="G891" s="3">
        <f t="shared" ca="1" si="140"/>
        <v>33</v>
      </c>
      <c r="H891" s="97">
        <f t="shared" ca="1" si="139"/>
        <v>46054</v>
      </c>
      <c r="I891" s="121">
        <f ca="1">HLOOKUP($H$5,'Met Data'!$A$2:$F$368,G891,FALSE)</f>
        <v>19.770689655172401</v>
      </c>
      <c r="J891" s="119">
        <f ca="1">HLOOKUP($H$5,'Met Data'!$H$2:$M$368,G891,FALSE)*L891</f>
        <v>1.1103448275862</v>
      </c>
      <c r="K891" s="98">
        <f ca="1">HLOOKUP($H$5,'Met Data'!$O$2:$T$368,G891,FALSE)</f>
        <v>4.5867414057587403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" thickBot="1">
      <c r="G892" s="3">
        <f t="shared" ca="1" si="140"/>
        <v>34</v>
      </c>
      <c r="H892" s="97">
        <f t="shared" ca="1" si="139"/>
        <v>46055</v>
      </c>
      <c r="I892" s="121">
        <f ca="1">HLOOKUP($H$5,'Met Data'!$A$2:$F$368,G892,FALSE)</f>
        <v>19.548275862068898</v>
      </c>
      <c r="J892" s="119">
        <f ca="1">HLOOKUP($H$5,'Met Data'!$H$2:$M$368,G892,FALSE)*L892</f>
        <v>4.0620689655172404</v>
      </c>
      <c r="K892" s="98">
        <f ca="1">HLOOKUP($H$5,'Met Data'!$O$2:$T$368,G892,FALSE)</f>
        <v>4.65070177511826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" thickBot="1">
      <c r="G893" s="3">
        <f t="shared" ca="1" si="140"/>
        <v>35</v>
      </c>
      <c r="H893" s="97">
        <f t="shared" ca="1" si="139"/>
        <v>46056</v>
      </c>
      <c r="I893" s="121">
        <f ca="1">HLOOKUP($H$5,'Met Data'!$A$2:$F$368,G893,FALSE)</f>
        <v>19.325862068965499</v>
      </c>
      <c r="J893" s="119">
        <f ca="1">HLOOKUP($H$5,'Met Data'!$H$2:$M$368,G893,FALSE)*L893</f>
        <v>1.00344827586206</v>
      </c>
      <c r="K893" s="98">
        <f ca="1">HLOOKUP($H$5,'Met Data'!$O$2:$T$368,G893,FALSE)</f>
        <v>4.2568283320677196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" thickBot="1">
      <c r="G894" s="3">
        <f t="shared" ca="1" si="140"/>
        <v>36</v>
      </c>
      <c r="H894" s="97">
        <f t="shared" ca="1" si="139"/>
        <v>46057</v>
      </c>
      <c r="I894" s="121">
        <f ca="1">HLOOKUP($H$5,'Met Data'!$A$2:$F$368,G894,FALSE)</f>
        <v>18.712068965517201</v>
      </c>
      <c r="J894" s="119">
        <f ca="1">HLOOKUP($H$5,'Met Data'!$H$2:$M$368,G894,FALSE)*L894</f>
        <v>4.7586206896551699</v>
      </c>
      <c r="K894" s="98">
        <f ca="1">HLOOKUP($H$5,'Met Data'!$O$2:$T$368,G894,FALSE)</f>
        <v>3.6726350990735899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" thickBot="1">
      <c r="G895" s="3">
        <f t="shared" ca="1" si="140"/>
        <v>37</v>
      </c>
      <c r="H895" s="97">
        <f t="shared" ca="1" si="139"/>
        <v>46058</v>
      </c>
      <c r="I895" s="121">
        <f ca="1">HLOOKUP($H$5,'Met Data'!$A$2:$F$368,G895,FALSE)</f>
        <v>19.178333333333299</v>
      </c>
      <c r="J895" s="119">
        <f ca="1">HLOOKUP($H$5,'Met Data'!$H$2:$M$368,G895,FALSE)*L895</f>
        <v>2.2833333333333301</v>
      </c>
      <c r="K895" s="98">
        <f ca="1">HLOOKUP($H$5,'Met Data'!$O$2:$T$368,G895,FALSE)</f>
        <v>4.0355922642947899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" thickBot="1">
      <c r="G896" s="3">
        <f t="shared" ca="1" si="140"/>
        <v>38</v>
      </c>
      <c r="H896" s="97">
        <f t="shared" ca="1" si="139"/>
        <v>46059</v>
      </c>
      <c r="I896" s="121">
        <f ca="1">HLOOKUP($H$5,'Met Data'!$A$2:$F$368,G896,FALSE)</f>
        <v>19.063333333333301</v>
      </c>
      <c r="J896" s="119">
        <f ca="1">HLOOKUP($H$5,'Met Data'!$H$2:$M$368,G896,FALSE)*L896</f>
        <v>0.35</v>
      </c>
      <c r="K896" s="98">
        <f ca="1">HLOOKUP($H$5,'Met Data'!$O$2:$T$368,G896,FALSE)</f>
        <v>4.5836031413853302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" thickBot="1">
      <c r="G897" s="3">
        <f t="shared" ca="1" si="140"/>
        <v>39</v>
      </c>
      <c r="H897" s="97">
        <f t="shared" ca="1" si="139"/>
        <v>46060</v>
      </c>
      <c r="I897" s="121">
        <f ca="1">HLOOKUP($H$5,'Met Data'!$A$2:$F$368,G897,FALSE)</f>
        <v>19.164999999999999</v>
      </c>
      <c r="J897" s="119">
        <f ca="1">HLOOKUP($H$5,'Met Data'!$H$2:$M$368,G897,FALSE)*L897</f>
        <v>0.80666666666666598</v>
      </c>
      <c r="K897" s="98">
        <f ca="1">HLOOKUP($H$5,'Met Data'!$O$2:$T$368,G897,FALSE)</f>
        <v>4.2844164584952198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" thickBot="1">
      <c r="G898" s="3">
        <f t="shared" ca="1" si="140"/>
        <v>40</v>
      </c>
      <c r="H898" s="97">
        <f t="shared" ca="1" si="139"/>
        <v>46061</v>
      </c>
      <c r="I898" s="121">
        <f ca="1">HLOOKUP($H$5,'Met Data'!$A$2:$F$368,G898,FALSE)</f>
        <v>19.145</v>
      </c>
      <c r="J898" s="119">
        <f ca="1">HLOOKUP($H$5,'Met Data'!$H$2:$M$368,G898,FALSE)*L898</f>
        <v>2.1066666666666598</v>
      </c>
      <c r="K898" s="98">
        <f ca="1">HLOOKUP($H$5,'Met Data'!$O$2:$T$368,G898,FALSE)</f>
        <v>4.0819751344129296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" thickBot="1">
      <c r="G899" s="3">
        <f t="shared" ca="1" si="140"/>
        <v>41</v>
      </c>
      <c r="H899" s="97">
        <f t="shared" ca="1" si="139"/>
        <v>46062</v>
      </c>
      <c r="I899" s="121">
        <f ca="1">HLOOKUP($H$5,'Met Data'!$A$2:$F$368,G899,FALSE)</f>
        <v>19.28</v>
      </c>
      <c r="J899" s="119">
        <f ca="1">HLOOKUP($H$5,'Met Data'!$H$2:$M$368,G899,FALSE)*L899</f>
        <v>1.1200000000000001</v>
      </c>
      <c r="K899" s="98">
        <f ca="1">HLOOKUP($H$5,'Met Data'!$O$2:$T$368,G899,FALSE)</f>
        <v>4.260490854165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" thickBot="1">
      <c r="G900" s="3">
        <f t="shared" ca="1" si="140"/>
        <v>42</v>
      </c>
      <c r="H900" s="97">
        <f t="shared" ca="1" si="139"/>
        <v>46063</v>
      </c>
      <c r="I900" s="121">
        <f ca="1">HLOOKUP($H$5,'Met Data'!$A$2:$F$368,G900,FALSE)</f>
        <v>19.6533333333333</v>
      </c>
      <c r="J900" s="119">
        <f ca="1">HLOOKUP($H$5,'Met Data'!$H$2:$M$368,G900,FALSE)*L900</f>
        <v>1.4866666666666599</v>
      </c>
      <c r="K900" s="98">
        <f ca="1">HLOOKUP($H$5,'Met Data'!$O$2:$T$368,G900,FALSE)</f>
        <v>3.7833097987788902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" thickBot="1">
      <c r="G901" s="3">
        <f t="shared" ca="1" si="140"/>
        <v>43</v>
      </c>
      <c r="H901" s="97">
        <f t="shared" ca="1" si="139"/>
        <v>46064</v>
      </c>
      <c r="I901" s="121">
        <f ca="1">HLOOKUP($H$5,'Met Data'!$A$2:$F$368,G901,FALSE)</f>
        <v>19.843333333333302</v>
      </c>
      <c r="J901" s="119">
        <f ca="1">HLOOKUP($H$5,'Met Data'!$H$2:$M$368,G901,FALSE)*L901</f>
        <v>2.3199999999999998</v>
      </c>
      <c r="K901" s="98">
        <f ca="1">HLOOKUP($H$5,'Met Data'!$O$2:$T$368,G901,FALSE)</f>
        <v>3.6396000191553801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" thickBot="1">
      <c r="G902" s="3">
        <f t="shared" ca="1" si="140"/>
        <v>44</v>
      </c>
      <c r="H902" s="97">
        <f t="shared" ca="1" si="139"/>
        <v>46065</v>
      </c>
      <c r="I902" s="121">
        <f ca="1">HLOOKUP($H$5,'Met Data'!$A$2:$F$368,G902,FALSE)</f>
        <v>19.767241379310299</v>
      </c>
      <c r="J902" s="119">
        <f ca="1">HLOOKUP($H$5,'Met Data'!$H$2:$M$368,G902,FALSE)*L902</f>
        <v>2.6066666666666598</v>
      </c>
      <c r="K902" s="98">
        <f ca="1">HLOOKUP($H$5,'Met Data'!$O$2:$T$368,G902,FALSE)</f>
        <v>3.70262305339519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" thickBot="1">
      <c r="G903" s="3">
        <f t="shared" ca="1" si="140"/>
        <v>45</v>
      </c>
      <c r="H903" s="97">
        <f t="shared" ca="1" si="139"/>
        <v>46066</v>
      </c>
      <c r="I903" s="121">
        <f ca="1">HLOOKUP($H$5,'Met Data'!$A$2:$F$368,G903,FALSE)</f>
        <v>19.5672413793103</v>
      </c>
      <c r="J903" s="119">
        <f ca="1">HLOOKUP($H$5,'Met Data'!$H$2:$M$368,G903,FALSE)*L903</f>
        <v>0.59</v>
      </c>
      <c r="K903" s="98">
        <f ca="1">HLOOKUP($H$5,'Met Data'!$O$2:$T$368,G903,FALSE)</f>
        <v>4.0784584132757997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" thickBot="1">
      <c r="G904" s="3">
        <f t="shared" ca="1" si="140"/>
        <v>46</v>
      </c>
      <c r="H904" s="97">
        <f t="shared" ca="1" si="139"/>
        <v>46067</v>
      </c>
      <c r="I904" s="121">
        <f ca="1">HLOOKUP($H$5,'Met Data'!$A$2:$F$368,G904,FALSE)</f>
        <v>19.5910714285714</v>
      </c>
      <c r="J904" s="119">
        <f ca="1">HLOOKUP($H$5,'Met Data'!$H$2:$M$368,G904,FALSE)*L904</f>
        <v>1.8724137931034399</v>
      </c>
      <c r="K904" s="98">
        <f ca="1">HLOOKUP($H$5,'Met Data'!$O$2:$T$368,G904,FALSE)</f>
        <v>4.0775156504528702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" thickBot="1">
      <c r="G905" s="3">
        <f t="shared" ca="1" si="140"/>
        <v>47</v>
      </c>
      <c r="H905" s="97">
        <f t="shared" ref="H905:H968" ca="1" si="149">H904+1</f>
        <v>46068</v>
      </c>
      <c r="I905" s="121">
        <f ca="1">HLOOKUP($H$5,'Met Data'!$A$2:$F$368,G905,FALSE)</f>
        <v>19.355357142857098</v>
      </c>
      <c r="J905" s="119">
        <f ca="1">HLOOKUP($H$5,'Met Data'!$H$2:$M$368,G905,FALSE)*L905</f>
        <v>2.8206896551724099</v>
      </c>
      <c r="K905" s="98">
        <f ca="1">HLOOKUP($H$5,'Met Data'!$O$2:$T$368,G905,FALSE)</f>
        <v>4.1796467400508099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" thickBot="1">
      <c r="G906" s="3">
        <f t="shared" ca="1" si="140"/>
        <v>48</v>
      </c>
      <c r="H906" s="97">
        <f t="shared" ca="1" si="149"/>
        <v>46069</v>
      </c>
      <c r="I906" s="121">
        <f ca="1">HLOOKUP($H$5,'Met Data'!$A$2:$F$368,G906,FALSE)</f>
        <v>19.258928571428498</v>
      </c>
      <c r="J906" s="119">
        <f ca="1">HLOOKUP($H$5,'Met Data'!$H$2:$M$368,G906,FALSE)*L906</f>
        <v>1.80344827586206</v>
      </c>
      <c r="K906" s="98">
        <f ca="1">HLOOKUP($H$5,'Met Data'!$O$2:$T$368,G906,FALSE)</f>
        <v>3.8490703816040499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" thickBot="1">
      <c r="G907" s="3">
        <f t="shared" ca="1" si="140"/>
        <v>49</v>
      </c>
      <c r="H907" s="97">
        <f t="shared" ca="1" si="149"/>
        <v>46070</v>
      </c>
      <c r="I907" s="121">
        <f ca="1">HLOOKUP($H$5,'Met Data'!$A$2:$F$368,G907,FALSE)</f>
        <v>19.284482758620602</v>
      </c>
      <c r="J907" s="119">
        <f ca="1">HLOOKUP($H$5,'Met Data'!$H$2:$M$368,G907,FALSE)*L907</f>
        <v>4.5</v>
      </c>
      <c r="K907" s="98">
        <f ca="1">HLOOKUP($H$5,'Met Data'!$O$2:$T$368,G907,FALSE)</f>
        <v>3.7481412243719401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" thickBot="1">
      <c r="G908" s="3">
        <f t="shared" ca="1" si="140"/>
        <v>50</v>
      </c>
      <c r="H908" s="97">
        <f t="shared" ca="1" si="149"/>
        <v>46071</v>
      </c>
      <c r="I908" s="121">
        <f ca="1">HLOOKUP($H$5,'Met Data'!$A$2:$F$368,G908,FALSE)</f>
        <v>19.415517241379298</v>
      </c>
      <c r="J908" s="119">
        <f ca="1">HLOOKUP($H$5,'Met Data'!$H$2:$M$368,G908,FALSE)*L908</f>
        <v>1.4</v>
      </c>
      <c r="K908" s="98">
        <f ca="1">HLOOKUP($H$5,'Met Data'!$O$2:$T$368,G908,FALSE)</f>
        <v>3.8682529987421499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" thickBot="1">
      <c r="G909" s="3">
        <f t="shared" ca="1" si="140"/>
        <v>51</v>
      </c>
      <c r="H909" s="97">
        <f t="shared" ca="1" si="149"/>
        <v>46072</v>
      </c>
      <c r="I909" s="121">
        <f ca="1">HLOOKUP($H$5,'Met Data'!$A$2:$F$368,G909,FALSE)</f>
        <v>19.4189655172413</v>
      </c>
      <c r="J909" s="119">
        <f ca="1">HLOOKUP($H$5,'Met Data'!$H$2:$M$368,G909,FALSE)*L909</f>
        <v>1.4655172413793101</v>
      </c>
      <c r="K909" s="98">
        <f ca="1">HLOOKUP($H$5,'Met Data'!$O$2:$T$368,G909,FALSE)</f>
        <v>3.6105345286952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" thickBot="1">
      <c r="G910" s="3">
        <f t="shared" ca="1" si="140"/>
        <v>52</v>
      </c>
      <c r="H910" s="97">
        <f t="shared" ca="1" si="149"/>
        <v>46073</v>
      </c>
      <c r="I910" s="121">
        <f ca="1">HLOOKUP($H$5,'Met Data'!$A$2:$F$368,G910,FALSE)</f>
        <v>19.5068965517241</v>
      </c>
      <c r="J910" s="119">
        <f ca="1">HLOOKUP($H$5,'Met Data'!$H$2:$M$368,G910,FALSE)*L910</f>
        <v>3.8517241379310301</v>
      </c>
      <c r="K910" s="98">
        <f ca="1">HLOOKUP($H$5,'Met Data'!$O$2:$T$368,G910,FALSE)</f>
        <v>3.6240453059598501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" thickBot="1">
      <c r="G911" s="3">
        <f t="shared" ca="1" si="140"/>
        <v>53</v>
      </c>
      <c r="H911" s="97">
        <f t="shared" ca="1" si="149"/>
        <v>46074</v>
      </c>
      <c r="I911" s="121">
        <f ca="1">HLOOKUP($H$5,'Met Data'!$A$2:$F$368,G911,FALSE)</f>
        <v>19.441666666666599</v>
      </c>
      <c r="J911" s="119">
        <f ca="1">HLOOKUP($H$5,'Met Data'!$H$2:$M$368,G911,FALSE)*L911</f>
        <v>3</v>
      </c>
      <c r="K911" s="98">
        <f ca="1">HLOOKUP($H$5,'Met Data'!$O$2:$T$368,G911,FALSE)</f>
        <v>3.73403385362748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" thickBot="1">
      <c r="G912" s="3">
        <f t="shared" ca="1" si="140"/>
        <v>54</v>
      </c>
      <c r="H912" s="97">
        <f t="shared" ca="1" si="149"/>
        <v>46075</v>
      </c>
      <c r="I912" s="121">
        <f ca="1">HLOOKUP($H$5,'Met Data'!$A$2:$F$368,G912,FALSE)</f>
        <v>19.231666666666602</v>
      </c>
      <c r="J912" s="119">
        <f ca="1">HLOOKUP($H$5,'Met Data'!$H$2:$M$368,G912,FALSE)*L912</f>
        <v>1.5333333333333301</v>
      </c>
      <c r="K912" s="98">
        <f ca="1">HLOOKUP($H$5,'Met Data'!$O$2:$T$368,G912,FALSE)</f>
        <v>3.6261565374234999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" thickBot="1">
      <c r="G913" s="3">
        <f t="shared" ca="1" si="140"/>
        <v>55</v>
      </c>
      <c r="H913" s="97">
        <f t="shared" ca="1" si="149"/>
        <v>46076</v>
      </c>
      <c r="I913" s="121">
        <f ca="1">HLOOKUP($H$5,'Met Data'!$A$2:$F$368,G913,FALSE)</f>
        <v>19.22</v>
      </c>
      <c r="J913" s="119">
        <f ca="1">HLOOKUP($H$5,'Met Data'!$H$2:$M$368,G913,FALSE)*L913</f>
        <v>3.06</v>
      </c>
      <c r="K913" s="98">
        <f ca="1">HLOOKUP($H$5,'Met Data'!$O$2:$T$368,G913,FALSE)</f>
        <v>3.6095974227769201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" thickBot="1">
      <c r="G914" s="3">
        <f t="shared" ca="1" si="140"/>
        <v>56</v>
      </c>
      <c r="H914" s="97">
        <f t="shared" ca="1" si="149"/>
        <v>46077</v>
      </c>
      <c r="I914" s="121">
        <f ca="1">HLOOKUP($H$5,'Met Data'!$A$2:$F$368,G914,FALSE)</f>
        <v>18.793333333333301</v>
      </c>
      <c r="J914" s="119">
        <f ca="1">HLOOKUP($H$5,'Met Data'!$H$2:$M$368,G914,FALSE)*L914</f>
        <v>1.73</v>
      </c>
      <c r="K914" s="98">
        <f ca="1">HLOOKUP($H$5,'Met Data'!$O$2:$T$368,G914,FALSE)</f>
        <v>3.9865323105658801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" thickBot="1">
      <c r="G915" s="3">
        <f t="shared" ca="1" si="140"/>
        <v>57</v>
      </c>
      <c r="H915" s="97">
        <f t="shared" ca="1" si="149"/>
        <v>46078</v>
      </c>
      <c r="I915" s="121">
        <f ca="1">HLOOKUP($H$5,'Met Data'!$A$2:$F$368,G915,FALSE)</f>
        <v>18.3</v>
      </c>
      <c r="J915" s="119">
        <f ca="1">HLOOKUP($H$5,'Met Data'!$H$2:$M$368,G915,FALSE)*L915</f>
        <v>1.1766666666666601</v>
      </c>
      <c r="K915" s="98">
        <f ca="1">HLOOKUP($H$5,'Met Data'!$O$2:$T$368,G915,FALSE)</f>
        <v>3.88204927928038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" thickBot="1">
      <c r="G916" s="3">
        <f t="shared" ca="1" si="140"/>
        <v>58</v>
      </c>
      <c r="H916" s="97">
        <f t="shared" ca="1" si="149"/>
        <v>46079</v>
      </c>
      <c r="I916" s="121">
        <f ca="1">HLOOKUP($H$5,'Met Data'!$A$2:$F$368,G916,FALSE)</f>
        <v>18.41</v>
      </c>
      <c r="J916" s="119">
        <f ca="1">HLOOKUP($H$5,'Met Data'!$H$2:$M$368,G916,FALSE)*L916</f>
        <v>2.0233333333333299</v>
      </c>
      <c r="K916" s="98">
        <f ca="1">HLOOKUP($H$5,'Met Data'!$O$2:$T$368,G916,FALSE)</f>
        <v>4.05937925457948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" thickBot="1">
      <c r="G917" s="3">
        <f t="shared" ca="1" si="140"/>
        <v>59</v>
      </c>
      <c r="H917" s="97">
        <f t="shared" ca="1" si="149"/>
        <v>46080</v>
      </c>
      <c r="I917" s="121">
        <f ca="1">HLOOKUP($H$5,'Met Data'!$A$2:$F$368,G917,FALSE)</f>
        <v>18.516666666666602</v>
      </c>
      <c r="J917" s="119">
        <f ca="1">HLOOKUP($H$5,'Met Data'!$H$2:$M$368,G917,FALSE)*L917</f>
        <v>1.5499999999999901</v>
      </c>
      <c r="K917" s="98">
        <f ca="1">HLOOKUP($H$5,'Met Data'!$O$2:$T$368,G917,FALSE)</f>
        <v>3.8269283002116601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" thickBot="1">
      <c r="G918" s="3">
        <f t="shared" ca="1" si="140"/>
        <v>60</v>
      </c>
      <c r="H918" s="97">
        <f t="shared" ca="1" si="149"/>
        <v>46081</v>
      </c>
      <c r="I918" s="121">
        <f ca="1">HLOOKUP($H$5,'Met Data'!$A$2:$F$368,G918,FALSE)</f>
        <v>18.253571428571401</v>
      </c>
      <c r="J918" s="119">
        <f ca="1">HLOOKUP($H$5,'Met Data'!$H$2:$M$368,G918,FALSE)*L918</f>
        <v>3.4793103448275802</v>
      </c>
      <c r="K918" s="98">
        <f ca="1">HLOOKUP($H$5,'Met Data'!$O$2:$T$368,G918,FALSE)</f>
        <v>3.4828962462929298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" thickBot="1">
      <c r="G919" s="3">
        <f t="shared" ca="1" si="140"/>
        <v>61</v>
      </c>
      <c r="H919" s="97">
        <f t="shared" ca="1" si="149"/>
        <v>46082</v>
      </c>
      <c r="I919" s="121">
        <f ca="1">HLOOKUP($H$5,'Met Data'!$A$2:$F$368,G919,FALSE)</f>
        <v>18.313793103448202</v>
      </c>
      <c r="J919" s="119">
        <f ca="1">HLOOKUP($H$5,'Met Data'!$H$2:$M$368,G919,FALSE)*L919</f>
        <v>4.1758620689655102</v>
      </c>
      <c r="K919" s="98">
        <f ca="1">HLOOKUP($H$5,'Met Data'!$O$2:$T$368,G919,FALSE)</f>
        <v>3.6905226687271502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" thickBot="1">
      <c r="G920" s="3">
        <f t="shared" ca="1" si="140"/>
        <v>62</v>
      </c>
      <c r="H920" s="97">
        <f t="shared" ca="1" si="149"/>
        <v>46083</v>
      </c>
      <c r="I920" s="121">
        <f ca="1">HLOOKUP($H$5,'Met Data'!$A$2:$F$368,G920,FALSE)</f>
        <v>18.701724137930999</v>
      </c>
      <c r="J920" s="119">
        <f ca="1">HLOOKUP($H$5,'Met Data'!$H$2:$M$368,G920,FALSE)*L920</f>
        <v>2.4379310344827498</v>
      </c>
      <c r="K920" s="98">
        <f ca="1">HLOOKUP($H$5,'Met Data'!$O$2:$T$368,G920,FALSE)</f>
        <v>3.7650592582328399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" thickBot="1">
      <c r="G921" s="3">
        <f t="shared" ca="1" si="140"/>
        <v>63</v>
      </c>
      <c r="H921" s="97">
        <f t="shared" ca="1" si="149"/>
        <v>46084</v>
      </c>
      <c r="I921" s="121">
        <f ca="1">HLOOKUP($H$5,'Met Data'!$A$2:$F$368,G921,FALSE)</f>
        <v>18.759999999999899</v>
      </c>
      <c r="J921" s="119">
        <f ca="1">HLOOKUP($H$5,'Met Data'!$H$2:$M$368,G921,FALSE)*L921</f>
        <v>3.53666666666666</v>
      </c>
      <c r="K921" s="98">
        <f ca="1">HLOOKUP($H$5,'Met Data'!$O$2:$T$368,G921,FALSE)</f>
        <v>3.6493457095997699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" thickBot="1">
      <c r="G922" s="3">
        <f t="shared" ca="1" si="140"/>
        <v>64</v>
      </c>
      <c r="H922" s="97">
        <f t="shared" ca="1" si="149"/>
        <v>46085</v>
      </c>
      <c r="I922" s="121">
        <f ca="1">HLOOKUP($H$5,'Met Data'!$A$2:$F$368,G922,FALSE)</f>
        <v>18.0322580645161</v>
      </c>
      <c r="J922" s="119">
        <f ca="1">HLOOKUP($H$5,'Met Data'!$H$2:$M$368,G922,FALSE)*L922</f>
        <v>5.3612903225806399</v>
      </c>
      <c r="K922" s="98">
        <f ca="1">HLOOKUP($H$5,'Met Data'!$O$2:$T$368,G922,FALSE)</f>
        <v>3.6858306163975501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" thickBot="1">
      <c r="G923" s="3">
        <f t="shared" ca="1" si="140"/>
        <v>65</v>
      </c>
      <c r="H923" s="97">
        <f t="shared" ca="1" si="149"/>
        <v>46086</v>
      </c>
      <c r="I923" s="121">
        <f ca="1">HLOOKUP($H$5,'Met Data'!$A$2:$F$368,G923,FALSE)</f>
        <v>17.95</v>
      </c>
      <c r="J923" s="119">
        <f ca="1">HLOOKUP($H$5,'Met Data'!$H$2:$M$368,G923,FALSE)*L923</f>
        <v>2.5580645161290301</v>
      </c>
      <c r="K923" s="98">
        <f ca="1">HLOOKUP($H$5,'Met Data'!$O$2:$T$368,G923,FALSE)</f>
        <v>3.6617176102227802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" thickBot="1">
      <c r="G924" s="3">
        <f t="shared" ca="1" si="140"/>
        <v>66</v>
      </c>
      <c r="H924" s="97">
        <f t="shared" ca="1" si="149"/>
        <v>46087</v>
      </c>
      <c r="I924" s="121">
        <f ca="1">HLOOKUP($H$5,'Met Data'!$A$2:$F$368,G924,FALSE)</f>
        <v>18.361290322580601</v>
      </c>
      <c r="J924" s="119">
        <f ca="1">HLOOKUP($H$5,'Met Data'!$H$2:$M$368,G924,FALSE)*L924</f>
        <v>2.3129032258064499</v>
      </c>
      <c r="K924" s="98">
        <f ca="1">HLOOKUP($H$5,'Met Data'!$O$2:$T$368,G924,FALSE)</f>
        <v>3.8548213926682098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" thickBot="1">
      <c r="G925" s="3">
        <f t="shared" ca="1" si="140"/>
        <v>67</v>
      </c>
      <c r="H925" s="97">
        <f t="shared" ca="1" si="149"/>
        <v>46088</v>
      </c>
      <c r="I925" s="121">
        <f ca="1">HLOOKUP($H$5,'Met Data'!$A$2:$F$368,G925,FALSE)</f>
        <v>17.7903225806451</v>
      </c>
      <c r="J925" s="119">
        <f ca="1">HLOOKUP($H$5,'Met Data'!$H$2:$M$368,G925,FALSE)*L925</f>
        <v>2.88709677419354</v>
      </c>
      <c r="K925" s="98">
        <f ca="1">HLOOKUP($H$5,'Met Data'!$O$2:$T$368,G925,FALSE)</f>
        <v>3.4909393601542198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" thickBot="1">
      <c r="G926" s="3">
        <f t="shared" ca="1" si="140"/>
        <v>68</v>
      </c>
      <c r="H926" s="97">
        <f t="shared" ca="1" si="149"/>
        <v>46089</v>
      </c>
      <c r="I926" s="121">
        <f ca="1">HLOOKUP($H$5,'Met Data'!$A$2:$F$368,G926,FALSE)</f>
        <v>18.141379310344799</v>
      </c>
      <c r="J926" s="119">
        <f ca="1">HLOOKUP($H$5,'Met Data'!$H$2:$M$368,G926,FALSE)*L926</f>
        <v>1.0379310344827499</v>
      </c>
      <c r="K926" s="98">
        <f ca="1">HLOOKUP($H$5,'Met Data'!$O$2:$T$368,G926,FALSE)</f>
        <v>3.8084649299222599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" thickBot="1">
      <c r="G927" s="3">
        <f t="shared" ca="1" si="140"/>
        <v>69</v>
      </c>
      <c r="H927" s="97">
        <f t="shared" ca="1" si="149"/>
        <v>46090</v>
      </c>
      <c r="I927" s="121">
        <f ca="1">HLOOKUP($H$5,'Met Data'!$A$2:$F$368,G927,FALSE)</f>
        <v>18.3816666666666</v>
      </c>
      <c r="J927" s="119">
        <f ca="1">HLOOKUP($H$5,'Met Data'!$H$2:$M$368,G927,FALSE)*L927</f>
        <v>3.2766666666666602</v>
      </c>
      <c r="K927" s="98">
        <f ca="1">HLOOKUP($H$5,'Met Data'!$O$2:$T$368,G927,FALSE)</f>
        <v>3.6161533155938699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" thickBot="1">
      <c r="G928" s="3">
        <f t="shared" ca="1" si="140"/>
        <v>70</v>
      </c>
      <c r="H928" s="97">
        <f t="shared" ca="1" si="149"/>
        <v>46091</v>
      </c>
      <c r="I928" s="121">
        <f ca="1">HLOOKUP($H$5,'Met Data'!$A$2:$F$368,G928,FALSE)</f>
        <v>18.100000000000001</v>
      </c>
      <c r="J928" s="119">
        <f ca="1">HLOOKUP($H$5,'Met Data'!$H$2:$M$368,G928,FALSE)*L928</f>
        <v>1.75</v>
      </c>
      <c r="K928" s="98">
        <f ca="1">HLOOKUP($H$5,'Met Data'!$O$2:$T$368,G928,FALSE)</f>
        <v>3.9222011256035199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" thickBot="1">
      <c r="G929" s="3">
        <f t="shared" ca="1" si="140"/>
        <v>71</v>
      </c>
      <c r="H929" s="97">
        <f t="shared" ca="1" si="149"/>
        <v>46092</v>
      </c>
      <c r="I929" s="121">
        <f ca="1">HLOOKUP($H$5,'Met Data'!$A$2:$F$368,G929,FALSE)</f>
        <v>17.931666666666601</v>
      </c>
      <c r="J929" s="119">
        <f ca="1">HLOOKUP($H$5,'Met Data'!$H$2:$M$368,G929,FALSE)*L929</f>
        <v>6.9499999999999904</v>
      </c>
      <c r="K929" s="98">
        <f ca="1">HLOOKUP($H$5,'Met Data'!$O$2:$T$368,G929,FALSE)</f>
        <v>3.4661109817168501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" thickBot="1">
      <c r="G930" s="3">
        <f t="shared" ca="1" si="140"/>
        <v>72</v>
      </c>
      <c r="H930" s="97">
        <f t="shared" ca="1" si="149"/>
        <v>46093</v>
      </c>
      <c r="I930" s="121">
        <f ca="1">HLOOKUP($H$5,'Met Data'!$A$2:$F$368,G930,FALSE)</f>
        <v>18.11</v>
      </c>
      <c r="J930" s="119">
        <f ca="1">HLOOKUP($H$5,'Met Data'!$H$2:$M$368,G930,FALSE)*L930</f>
        <v>3.0533333333333301</v>
      </c>
      <c r="K930" s="98">
        <f ca="1">HLOOKUP($H$5,'Met Data'!$O$2:$T$368,G930,FALSE)</f>
        <v>3.54178935257598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" thickBot="1">
      <c r="G931" s="3">
        <f t="shared" ca="1" si="140"/>
        <v>73</v>
      </c>
      <c r="H931" s="97">
        <f t="shared" ca="1" si="149"/>
        <v>46094</v>
      </c>
      <c r="I931" s="121">
        <f ca="1">HLOOKUP($H$5,'Met Data'!$A$2:$F$368,G931,FALSE)</f>
        <v>17.7392857142857</v>
      </c>
      <c r="J931" s="119">
        <f ca="1">HLOOKUP($H$5,'Met Data'!$H$2:$M$368,G931,FALSE)*L931</f>
        <v>1.6892857142857101</v>
      </c>
      <c r="K931" s="98">
        <f ca="1">HLOOKUP($H$5,'Met Data'!$O$2:$T$368,G931,FALSE)</f>
        <v>3.3591305391228099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" thickBot="1">
      <c r="G932" s="3">
        <f t="shared" ca="1" si="140"/>
        <v>74</v>
      </c>
      <c r="H932" s="97">
        <f t="shared" ca="1" si="149"/>
        <v>46095</v>
      </c>
      <c r="I932" s="121">
        <f ca="1">HLOOKUP($H$5,'Met Data'!$A$2:$F$368,G932,FALSE)</f>
        <v>17.7431034482758</v>
      </c>
      <c r="J932" s="119">
        <f ca="1">HLOOKUP($H$5,'Met Data'!$H$2:$M$368,G932,FALSE)*L932</f>
        <v>1.84</v>
      </c>
      <c r="K932" s="98">
        <f ca="1">HLOOKUP($H$5,'Met Data'!$O$2:$T$368,G932,FALSE)</f>
        <v>3.37236322021164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" thickBot="1">
      <c r="G933" s="3">
        <f t="shared" ca="1" si="140"/>
        <v>75</v>
      </c>
      <c r="H933" s="97">
        <f t="shared" ca="1" si="149"/>
        <v>46096</v>
      </c>
      <c r="I933" s="121">
        <f ca="1">HLOOKUP($H$5,'Met Data'!$A$2:$F$368,G933,FALSE)</f>
        <v>17.582758620689599</v>
      </c>
      <c r="J933" s="119">
        <f ca="1">HLOOKUP($H$5,'Met Data'!$H$2:$M$368,G933,FALSE)*L933</f>
        <v>3.1862068965517198</v>
      </c>
      <c r="K933" s="98">
        <f ca="1">HLOOKUP($H$5,'Met Data'!$O$2:$T$368,G933,FALSE)</f>
        <v>3.1968269295082399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" thickBot="1">
      <c r="G934" s="3">
        <f t="shared" ca="1" si="140"/>
        <v>76</v>
      </c>
      <c r="H934" s="97">
        <f t="shared" ca="1" si="149"/>
        <v>46097</v>
      </c>
      <c r="I934" s="121">
        <f ca="1">HLOOKUP($H$5,'Met Data'!$A$2:$F$368,G934,FALSE)</f>
        <v>17.724137931034399</v>
      </c>
      <c r="J934" s="119">
        <f ca="1">HLOOKUP($H$5,'Met Data'!$H$2:$M$368,G934,FALSE)*L934</f>
        <v>2.9633333333333298</v>
      </c>
      <c r="K934" s="98">
        <f ca="1">HLOOKUP($H$5,'Met Data'!$O$2:$T$368,G934,FALSE)</f>
        <v>3.15313078143424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" thickBot="1">
      <c r="G935" s="3">
        <f t="shared" ca="1" si="140"/>
        <v>77</v>
      </c>
      <c r="H935" s="97">
        <f t="shared" ca="1" si="149"/>
        <v>46098</v>
      </c>
      <c r="I935" s="121">
        <f ca="1">HLOOKUP($H$5,'Met Data'!$A$2:$F$368,G935,FALSE)</f>
        <v>17.698333333333299</v>
      </c>
      <c r="J935" s="119">
        <f ca="1">HLOOKUP($H$5,'Met Data'!$H$2:$M$368,G935,FALSE)*L935</f>
        <v>2.61666666666666</v>
      </c>
      <c r="K935" s="98">
        <f ca="1">HLOOKUP($H$5,'Met Data'!$O$2:$T$368,G935,FALSE)</f>
        <v>3.4068572568745799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" thickBot="1">
      <c r="G936" s="3">
        <f t="shared" ca="1" si="140"/>
        <v>78</v>
      </c>
      <c r="H936" s="97">
        <f t="shared" ca="1" si="149"/>
        <v>46099</v>
      </c>
      <c r="I936" s="121">
        <f ca="1">HLOOKUP($H$5,'Met Data'!$A$2:$F$368,G936,FALSE)</f>
        <v>17.62</v>
      </c>
      <c r="J936" s="119">
        <f ca="1">HLOOKUP($H$5,'Met Data'!$H$2:$M$368,G936,FALSE)*L936</f>
        <v>1.69</v>
      </c>
      <c r="K936" s="98">
        <f ca="1">HLOOKUP($H$5,'Met Data'!$O$2:$T$368,G936,FALSE)</f>
        <v>3.17632774581707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" thickBot="1">
      <c r="G937" s="3">
        <f t="shared" ca="1" si="140"/>
        <v>79</v>
      </c>
      <c r="H937" s="97">
        <f t="shared" ca="1" si="149"/>
        <v>46100</v>
      </c>
      <c r="I937" s="121">
        <f ca="1">HLOOKUP($H$5,'Met Data'!$A$2:$F$368,G937,FALSE)</f>
        <v>17.170000000000002</v>
      </c>
      <c r="J937" s="119">
        <f ca="1">HLOOKUP($H$5,'Met Data'!$H$2:$M$368,G937,FALSE)*L937</f>
        <v>1.5166666666666599</v>
      </c>
      <c r="K937" s="98">
        <f ca="1">HLOOKUP($H$5,'Met Data'!$O$2:$T$368,G937,FALSE)</f>
        <v>3.38121466442426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" thickBot="1">
      <c r="G938" s="3">
        <f t="shared" ca="1" si="140"/>
        <v>80</v>
      </c>
      <c r="H938" s="97">
        <f t="shared" ca="1" si="149"/>
        <v>46101</v>
      </c>
      <c r="I938" s="121">
        <f ca="1">HLOOKUP($H$5,'Met Data'!$A$2:$F$368,G938,FALSE)</f>
        <v>17.223333333333301</v>
      </c>
      <c r="J938" s="119">
        <f ca="1">HLOOKUP($H$5,'Met Data'!$H$2:$M$368,G938,FALSE)*L938</f>
        <v>3.56451612903225</v>
      </c>
      <c r="K938" s="98">
        <f ca="1">HLOOKUP($H$5,'Met Data'!$O$2:$T$368,G938,FALSE)</f>
        <v>3.2035769560803802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" thickBot="1">
      <c r="G939" s="3">
        <f t="shared" ca="1" si="140"/>
        <v>81</v>
      </c>
      <c r="H939" s="97">
        <f t="shared" ca="1" si="149"/>
        <v>46102</v>
      </c>
      <c r="I939" s="121">
        <f ca="1">HLOOKUP($H$5,'Met Data'!$A$2:$F$368,G939,FALSE)</f>
        <v>17.498333333333299</v>
      </c>
      <c r="J939" s="119">
        <f ca="1">HLOOKUP($H$5,'Met Data'!$H$2:$M$368,G939,FALSE)*L939</f>
        <v>0.80645161290322498</v>
      </c>
      <c r="K939" s="98">
        <f ca="1">HLOOKUP($H$5,'Met Data'!$O$2:$T$368,G939,FALSE)</f>
        <v>3.31927458571925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" thickBot="1">
      <c r="G940" s="3">
        <f t="shared" ca="1" si="140"/>
        <v>82</v>
      </c>
      <c r="H940" s="97">
        <f t="shared" ca="1" si="149"/>
        <v>46103</v>
      </c>
      <c r="I940" s="121">
        <f ca="1">HLOOKUP($H$5,'Met Data'!$A$2:$F$368,G940,FALSE)</f>
        <v>17.390322580645101</v>
      </c>
      <c r="J940" s="119">
        <f ca="1">HLOOKUP($H$5,'Met Data'!$H$2:$M$368,G940,FALSE)*L940</f>
        <v>2.8516129032258002</v>
      </c>
      <c r="K940" s="98">
        <f ca="1">HLOOKUP($H$5,'Met Data'!$O$2:$T$368,G940,FALSE)</f>
        <v>3.3284502448926401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" thickBot="1">
      <c r="G941" s="3">
        <f t="shared" ca="1" si="140"/>
        <v>83</v>
      </c>
      <c r="H941" s="97">
        <f t="shared" ca="1" si="149"/>
        <v>46104</v>
      </c>
      <c r="I941" s="121">
        <f ca="1">HLOOKUP($H$5,'Met Data'!$A$2:$F$368,G941,FALSE)</f>
        <v>17.053333333333299</v>
      </c>
      <c r="J941" s="119">
        <f ca="1">HLOOKUP($H$5,'Met Data'!$H$2:$M$368,G941,FALSE)*L941</f>
        <v>2.9933333333333301</v>
      </c>
      <c r="K941" s="98">
        <f ca="1">HLOOKUP($H$5,'Met Data'!$O$2:$T$368,G941,FALSE)</f>
        <v>3.1676733133647299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" thickBot="1">
      <c r="G942" s="3">
        <f t="shared" ca="1" si="140"/>
        <v>84</v>
      </c>
      <c r="H942" s="97">
        <f t="shared" ca="1" si="149"/>
        <v>46105</v>
      </c>
      <c r="I942" s="121">
        <f ca="1">HLOOKUP($H$5,'Met Data'!$A$2:$F$368,G942,FALSE)</f>
        <v>16.973333333333301</v>
      </c>
      <c r="J942" s="119">
        <f ca="1">HLOOKUP($H$5,'Met Data'!$H$2:$M$368,G942,FALSE)*L942</f>
        <v>1.83666666666666</v>
      </c>
      <c r="K942" s="98">
        <f ca="1">HLOOKUP($H$5,'Met Data'!$O$2:$T$368,G942,FALSE)</f>
        <v>3.1307694102164598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" thickBot="1">
      <c r="G943" s="3">
        <f t="shared" ca="1" si="140"/>
        <v>85</v>
      </c>
      <c r="H943" s="97">
        <f t="shared" ca="1" si="149"/>
        <v>46106</v>
      </c>
      <c r="I943" s="121">
        <f ca="1">HLOOKUP($H$5,'Met Data'!$A$2:$F$368,G943,FALSE)</f>
        <v>16.984999999999999</v>
      </c>
      <c r="J943" s="119">
        <f ca="1">HLOOKUP($H$5,'Met Data'!$H$2:$M$368,G943,FALSE)*L943</f>
        <v>1.7666666666666599</v>
      </c>
      <c r="K943" s="98">
        <f ca="1">HLOOKUP($H$5,'Met Data'!$O$2:$T$368,G943,FALSE)</f>
        <v>2.9971927749729499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" thickBot="1">
      <c r="G944" s="3">
        <f t="shared" ca="1" si="140"/>
        <v>86</v>
      </c>
      <c r="H944" s="97">
        <f t="shared" ca="1" si="149"/>
        <v>46107</v>
      </c>
      <c r="I944" s="121">
        <f ca="1">HLOOKUP($H$5,'Met Data'!$A$2:$F$368,G944,FALSE)</f>
        <v>17.064516129032199</v>
      </c>
      <c r="J944" s="119">
        <f ca="1">HLOOKUP($H$5,'Met Data'!$H$2:$M$368,G944,FALSE)*L944</f>
        <v>3.4354838709677402</v>
      </c>
      <c r="K944" s="98">
        <f ca="1">HLOOKUP($H$5,'Met Data'!$O$2:$T$368,G944,FALSE)</f>
        <v>3.1405308327099699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" thickBot="1">
      <c r="G945" s="3">
        <f t="shared" ref="G945:G1000" ca="1" si="150">H945-DATE(YEAR(H945),1,0)+1</f>
        <v>87</v>
      </c>
      <c r="H945" s="97">
        <f t="shared" ca="1" si="149"/>
        <v>46108</v>
      </c>
      <c r="I945" s="121">
        <f ca="1">HLOOKUP($H$5,'Met Data'!$A$2:$F$368,G945,FALSE)</f>
        <v>17.208064516128999</v>
      </c>
      <c r="J945" s="119">
        <f ca="1">HLOOKUP($H$5,'Met Data'!$H$2:$M$368,G945,FALSE)*L945</f>
        <v>0.97419354838709604</v>
      </c>
      <c r="K945" s="98">
        <f ca="1">HLOOKUP($H$5,'Met Data'!$O$2:$T$368,G945,FALSE)</f>
        <v>3.1295018555019598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" thickBot="1">
      <c r="G946" s="3">
        <f t="shared" ca="1" si="150"/>
        <v>88</v>
      </c>
      <c r="H946" s="97">
        <f t="shared" ca="1" si="149"/>
        <v>46109</v>
      </c>
      <c r="I946" s="121">
        <f ca="1">HLOOKUP($H$5,'Met Data'!$A$2:$F$368,G946,FALSE)</f>
        <v>17.141666666666602</v>
      </c>
      <c r="J946" s="119">
        <f ca="1">HLOOKUP($H$5,'Met Data'!$H$2:$M$368,G946,FALSE)*L946</f>
        <v>2.43225806451612</v>
      </c>
      <c r="K946" s="98">
        <f ca="1">HLOOKUP($H$5,'Met Data'!$O$2:$T$368,G946,FALSE)</f>
        <v>2.6600638405747499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" thickBot="1">
      <c r="G947" s="3">
        <f t="shared" ca="1" si="150"/>
        <v>89</v>
      </c>
      <c r="H947" s="97">
        <f t="shared" ca="1" si="149"/>
        <v>46110</v>
      </c>
      <c r="I947" s="121">
        <f ca="1">HLOOKUP($H$5,'Met Data'!$A$2:$F$368,G947,FALSE)</f>
        <v>17.338333333333299</v>
      </c>
      <c r="J947" s="119">
        <f ca="1">HLOOKUP($H$5,'Met Data'!$H$2:$M$368,G947,FALSE)*L947</f>
        <v>2.8193548387096699</v>
      </c>
      <c r="K947" s="98">
        <f ca="1">HLOOKUP($H$5,'Met Data'!$O$2:$T$368,G947,FALSE)</f>
        <v>2.7816184084358899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" thickBot="1">
      <c r="G948" s="3">
        <f t="shared" ca="1" si="150"/>
        <v>90</v>
      </c>
      <c r="H948" s="97">
        <f t="shared" ca="1" si="149"/>
        <v>46111</v>
      </c>
      <c r="I948" s="121">
        <f ca="1">HLOOKUP($H$5,'Met Data'!$A$2:$F$368,G948,FALSE)</f>
        <v>17.136206896551698</v>
      </c>
      <c r="J948" s="119">
        <f ca="1">HLOOKUP($H$5,'Met Data'!$H$2:$M$368,G948,FALSE)*L948</f>
        <v>1.15333333333333</v>
      </c>
      <c r="K948" s="98">
        <f ca="1">HLOOKUP($H$5,'Met Data'!$O$2:$T$368,G948,FALSE)</f>
        <v>3.16549451986696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" thickBot="1">
      <c r="G949" s="3">
        <f t="shared" ca="1" si="150"/>
        <v>91</v>
      </c>
      <c r="H949" s="97">
        <f t="shared" ca="1" si="149"/>
        <v>46112</v>
      </c>
      <c r="I949" s="121">
        <f ca="1">HLOOKUP($H$5,'Met Data'!$A$2:$F$368,G949,FALSE)</f>
        <v>16.922413793103399</v>
      </c>
      <c r="J949" s="119">
        <f ca="1">HLOOKUP($H$5,'Met Data'!$H$2:$M$368,G949,FALSE)*L949</f>
        <v>2.9733333333333301</v>
      </c>
      <c r="K949" s="98">
        <f ca="1">HLOOKUP($H$5,'Met Data'!$O$2:$T$368,G949,FALSE)</f>
        <v>2.84233525233393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" thickBot="1">
      <c r="G950" s="3">
        <f t="shared" ca="1" si="150"/>
        <v>92</v>
      </c>
      <c r="H950" s="97">
        <f t="shared" ca="1" si="149"/>
        <v>46113</v>
      </c>
      <c r="I950" s="121">
        <f ca="1">HLOOKUP($H$5,'Met Data'!$A$2:$F$368,G950,FALSE)</f>
        <v>16.63</v>
      </c>
      <c r="J950" s="119">
        <f ca="1">HLOOKUP($H$5,'Met Data'!$H$2:$M$368,G950,FALSE)*L950</f>
        <v>1.76451612903225</v>
      </c>
      <c r="K950" s="98">
        <f ca="1">HLOOKUP($H$5,'Met Data'!$O$2:$T$368,G950,FALSE)</f>
        <v>2.8748972399291501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" thickBot="1">
      <c r="G951" s="3">
        <f t="shared" ca="1" si="150"/>
        <v>93</v>
      </c>
      <c r="H951" s="97">
        <f t="shared" ca="1" si="149"/>
        <v>46114</v>
      </c>
      <c r="I951" s="121">
        <f ca="1">HLOOKUP($H$5,'Met Data'!$A$2:$F$368,G951,FALSE)</f>
        <v>16.5379310344827</v>
      </c>
      <c r="J951" s="119">
        <f ca="1">HLOOKUP($H$5,'Met Data'!$H$2:$M$368,G951,FALSE)*L951</f>
        <v>3.32258064516129</v>
      </c>
      <c r="K951" s="98">
        <f ca="1">HLOOKUP($H$5,'Met Data'!$O$2:$T$368,G951,FALSE)</f>
        <v>2.5469261916112398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" thickBot="1">
      <c r="G952" s="3">
        <f t="shared" ca="1" si="150"/>
        <v>94</v>
      </c>
      <c r="H952" s="97">
        <f t="shared" ca="1" si="149"/>
        <v>46115</v>
      </c>
      <c r="I952" s="121">
        <f ca="1">HLOOKUP($H$5,'Met Data'!$A$2:$F$368,G952,FALSE)</f>
        <v>16.693103448275799</v>
      </c>
      <c r="J952" s="119">
        <f ca="1">HLOOKUP($H$5,'Met Data'!$H$2:$M$368,G952,FALSE)*L952</f>
        <v>2.8064516129032202</v>
      </c>
      <c r="K952" s="98">
        <f ca="1">HLOOKUP($H$5,'Met Data'!$O$2:$T$368,G952,FALSE)</f>
        <v>2.8493466745517901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" thickBot="1">
      <c r="G953" s="3">
        <f t="shared" ca="1" si="150"/>
        <v>95</v>
      </c>
      <c r="H953" s="97">
        <f t="shared" ca="1" si="149"/>
        <v>46116</v>
      </c>
      <c r="I953" s="121">
        <f ca="1">HLOOKUP($H$5,'Met Data'!$A$2:$F$368,G953,FALSE)</f>
        <v>16.29</v>
      </c>
      <c r="J953" s="119">
        <f ca="1">HLOOKUP($H$5,'Met Data'!$H$2:$M$368,G953,FALSE)*L953</f>
        <v>1.4483870967741901</v>
      </c>
      <c r="K953" s="98">
        <f ca="1">HLOOKUP($H$5,'Met Data'!$O$2:$T$368,G953,FALSE)</f>
        <v>3.04847392107171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" thickBot="1">
      <c r="G954" s="3">
        <f t="shared" ca="1" si="150"/>
        <v>96</v>
      </c>
      <c r="H954" s="97">
        <f t="shared" ca="1" si="149"/>
        <v>46117</v>
      </c>
      <c r="I954" s="121">
        <f ca="1">HLOOKUP($H$5,'Met Data'!$A$2:$F$368,G954,FALSE)</f>
        <v>16.28</v>
      </c>
      <c r="J954" s="119">
        <f ca="1">HLOOKUP($H$5,'Met Data'!$H$2:$M$368,G954,FALSE)*L954</f>
        <v>1.6838709677419299</v>
      </c>
      <c r="K954" s="98">
        <f ca="1">HLOOKUP($H$5,'Met Data'!$O$2:$T$368,G954,FALSE)</f>
        <v>2.9631357104845102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" thickBot="1">
      <c r="G955" s="3">
        <f t="shared" ca="1" si="150"/>
        <v>97</v>
      </c>
      <c r="H955" s="97">
        <f t="shared" ca="1" si="149"/>
        <v>46118</v>
      </c>
      <c r="I955" s="121">
        <f ca="1">HLOOKUP($H$5,'Met Data'!$A$2:$F$368,G955,FALSE)</f>
        <v>16.288333333333298</v>
      </c>
      <c r="J955" s="119">
        <f ca="1">HLOOKUP($H$5,'Met Data'!$H$2:$M$368,G955,FALSE)*L955</f>
        <v>3.1066666666666598</v>
      </c>
      <c r="K955" s="98">
        <f ca="1">HLOOKUP($H$5,'Met Data'!$O$2:$T$368,G955,FALSE)</f>
        <v>2.8364094228266699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" thickBot="1">
      <c r="G956" s="3">
        <f t="shared" ca="1" si="150"/>
        <v>98</v>
      </c>
      <c r="H956" s="97">
        <f t="shared" ca="1" si="149"/>
        <v>46119</v>
      </c>
      <c r="I956" s="121">
        <f ca="1">HLOOKUP($H$5,'Met Data'!$A$2:$F$368,G956,FALSE)</f>
        <v>16.247502601456802</v>
      </c>
      <c r="J956" s="119">
        <f ca="1">HLOOKUP($H$5,'Met Data'!$H$2:$M$368,G956,FALSE)*L956</f>
        <v>2.3033333333333301</v>
      </c>
      <c r="K956" s="98">
        <f ca="1">HLOOKUP($H$5,'Met Data'!$O$2:$T$368,G956,FALSE)</f>
        <v>2.7733248568186499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" thickBot="1">
      <c r="G957" s="3">
        <f t="shared" ca="1" si="150"/>
        <v>99</v>
      </c>
      <c r="H957" s="97">
        <f t="shared" ca="1" si="149"/>
        <v>46120</v>
      </c>
      <c r="I957" s="121">
        <f ca="1">HLOOKUP($H$5,'Met Data'!$A$2:$F$368,G957,FALSE)</f>
        <v>15.9919354838709</v>
      </c>
      <c r="J957" s="119">
        <f ca="1">HLOOKUP($H$5,'Met Data'!$H$2:$M$368,G957,FALSE)*L957</f>
        <v>3.04</v>
      </c>
      <c r="K957" s="98">
        <f ca="1">HLOOKUP($H$5,'Met Data'!$O$2:$T$368,G957,FALSE)</f>
        <v>2.4928303491288801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" thickBot="1">
      <c r="G958" s="3">
        <f t="shared" ca="1" si="150"/>
        <v>100</v>
      </c>
      <c r="H958" s="97">
        <f t="shared" ca="1" si="149"/>
        <v>46121</v>
      </c>
      <c r="I958" s="121">
        <f ca="1">HLOOKUP($H$5,'Met Data'!$A$2:$F$368,G958,FALSE)</f>
        <v>15.7</v>
      </c>
      <c r="J958" s="119">
        <f ca="1">HLOOKUP($H$5,'Met Data'!$H$2:$M$368,G958,FALSE)*L958</f>
        <v>4.67</v>
      </c>
      <c r="K958" s="98">
        <f ca="1">HLOOKUP($H$5,'Met Data'!$O$2:$T$368,G958,FALSE)</f>
        <v>2.4645244256425198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" thickBot="1">
      <c r="G959" s="3">
        <f t="shared" ca="1" si="150"/>
        <v>101</v>
      </c>
      <c r="H959" s="97">
        <f t="shared" ca="1" si="149"/>
        <v>46122</v>
      </c>
      <c r="I959" s="121">
        <f ca="1">HLOOKUP($H$5,'Met Data'!$A$2:$F$368,G959,FALSE)</f>
        <v>15.6066666666666</v>
      </c>
      <c r="J959" s="119">
        <f ca="1">HLOOKUP($H$5,'Met Data'!$H$2:$M$368,G959,FALSE)*L959</f>
        <v>2.9099999999999899</v>
      </c>
      <c r="K959" s="98">
        <f ca="1">HLOOKUP($H$5,'Met Data'!$O$2:$T$368,G959,FALSE)</f>
        <v>2.6085032852196299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" thickBot="1">
      <c r="G960" s="3">
        <f t="shared" ca="1" si="150"/>
        <v>102</v>
      </c>
      <c r="H960" s="97">
        <f t="shared" ca="1" si="149"/>
        <v>46123</v>
      </c>
      <c r="I960" s="121">
        <f ca="1">HLOOKUP($H$5,'Met Data'!$A$2:$F$368,G960,FALSE)</f>
        <v>15.335000000000001</v>
      </c>
      <c r="J960" s="119">
        <f ca="1">HLOOKUP($H$5,'Met Data'!$H$2:$M$368,G960,FALSE)*L960</f>
        <v>2.68333333333333</v>
      </c>
      <c r="K960" s="98">
        <f ca="1">HLOOKUP($H$5,'Met Data'!$O$2:$T$368,G960,FALSE)</f>
        <v>2.45140037536581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" thickBot="1">
      <c r="G961" s="3">
        <f t="shared" ca="1" si="150"/>
        <v>103</v>
      </c>
      <c r="H961" s="97">
        <f t="shared" ca="1" si="149"/>
        <v>46124</v>
      </c>
      <c r="I961" s="121">
        <f ca="1">HLOOKUP($H$5,'Met Data'!$A$2:$F$368,G961,FALSE)</f>
        <v>15.3916666666666</v>
      </c>
      <c r="J961" s="119">
        <f ca="1">HLOOKUP($H$5,'Met Data'!$H$2:$M$368,G961,FALSE)*L961</f>
        <v>4.07</v>
      </c>
      <c r="K961" s="98">
        <f ca="1">HLOOKUP($H$5,'Met Data'!$O$2:$T$368,G961,FALSE)</f>
        <v>2.54129590695179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" thickBot="1">
      <c r="G962" s="3">
        <f t="shared" ca="1" si="150"/>
        <v>104</v>
      </c>
      <c r="H962" s="97">
        <f t="shared" ca="1" si="149"/>
        <v>46125</v>
      </c>
      <c r="I962" s="121">
        <f ca="1">HLOOKUP($H$5,'Met Data'!$A$2:$F$368,G962,FALSE)</f>
        <v>15.6451612903225</v>
      </c>
      <c r="J962" s="119">
        <f ca="1">HLOOKUP($H$5,'Met Data'!$H$2:$M$368,G962,FALSE)*L962</f>
        <v>2.43333333333333</v>
      </c>
      <c r="K962" s="98">
        <f ca="1">HLOOKUP($H$5,'Met Data'!$O$2:$T$368,G962,FALSE)</f>
        <v>2.5074868670786801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" thickBot="1">
      <c r="G963" s="3">
        <f t="shared" ca="1" si="150"/>
        <v>105</v>
      </c>
      <c r="H963" s="97">
        <f t="shared" ca="1" si="149"/>
        <v>46126</v>
      </c>
      <c r="I963" s="121">
        <f ca="1">HLOOKUP($H$5,'Met Data'!$A$2:$F$368,G963,FALSE)</f>
        <v>15.3435483870967</v>
      </c>
      <c r="J963" s="119">
        <f ca="1">HLOOKUP($H$5,'Met Data'!$H$2:$M$368,G963,FALSE)*L963</f>
        <v>3.5533333333333301</v>
      </c>
      <c r="K963" s="98">
        <f ca="1">HLOOKUP($H$5,'Met Data'!$O$2:$T$368,G963,FALSE)</f>
        <v>2.53164431510397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" thickBot="1">
      <c r="G964" s="3">
        <f t="shared" ca="1" si="150"/>
        <v>106</v>
      </c>
      <c r="H964" s="97">
        <f t="shared" ca="1" si="149"/>
        <v>46127</v>
      </c>
      <c r="I964" s="121">
        <f ca="1">HLOOKUP($H$5,'Met Data'!$A$2:$F$368,G964,FALSE)</f>
        <v>15.1612903225806</v>
      </c>
      <c r="J964" s="119">
        <f ca="1">HLOOKUP($H$5,'Met Data'!$H$2:$M$368,G964,FALSE)*L964</f>
        <v>2.7451612903225802</v>
      </c>
      <c r="K964" s="98">
        <f ca="1">HLOOKUP($H$5,'Met Data'!$O$2:$T$368,G964,FALSE)</f>
        <v>2.2462315590791202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" thickBot="1">
      <c r="G965" s="3">
        <f t="shared" ca="1" si="150"/>
        <v>107</v>
      </c>
      <c r="H965" s="97">
        <f t="shared" ca="1" si="149"/>
        <v>46128</v>
      </c>
      <c r="I965" s="121">
        <f ca="1">HLOOKUP($H$5,'Met Data'!$A$2:$F$368,G965,FALSE)</f>
        <v>15.658064516129</v>
      </c>
      <c r="J965" s="119">
        <f ca="1">HLOOKUP($H$5,'Met Data'!$H$2:$M$368,G965,FALSE)*L965</f>
        <v>3.7677419354838699</v>
      </c>
      <c r="K965" s="98">
        <f ca="1">HLOOKUP($H$5,'Met Data'!$O$2:$T$368,G965,FALSE)</f>
        <v>2.3441419540899799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" thickBot="1">
      <c r="G966" s="3">
        <f t="shared" ca="1" si="150"/>
        <v>108</v>
      </c>
      <c r="H966" s="97">
        <f t="shared" ca="1" si="149"/>
        <v>46129</v>
      </c>
      <c r="I966" s="121">
        <f ca="1">HLOOKUP($H$5,'Met Data'!$A$2:$F$368,G966,FALSE)</f>
        <v>15.408064516129</v>
      </c>
      <c r="J966" s="119">
        <f ca="1">HLOOKUP($H$5,'Met Data'!$H$2:$M$368,G966,FALSE)*L966</f>
        <v>2.6870967741935399</v>
      </c>
      <c r="K966" s="98">
        <f ca="1">HLOOKUP($H$5,'Met Data'!$O$2:$T$368,G966,FALSE)</f>
        <v>2.0871356285448601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" thickBot="1">
      <c r="G967" s="3">
        <f t="shared" ca="1" si="150"/>
        <v>109</v>
      </c>
      <c r="H967" s="97">
        <f t="shared" ca="1" si="149"/>
        <v>46130</v>
      </c>
      <c r="I967" s="121">
        <f ca="1">HLOOKUP($H$5,'Met Data'!$A$2:$F$368,G967,FALSE)</f>
        <v>15.420967741935399</v>
      </c>
      <c r="J967" s="119">
        <f ca="1">HLOOKUP($H$5,'Met Data'!$H$2:$M$368,G967,FALSE)*L967</f>
        <v>2.8516129032258002</v>
      </c>
      <c r="K967" s="98">
        <f ca="1">HLOOKUP($H$5,'Met Data'!$O$2:$T$368,G967,FALSE)</f>
        <v>2.1715863377271001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" thickBot="1">
      <c r="G968" s="3">
        <f t="shared" ca="1" si="150"/>
        <v>110</v>
      </c>
      <c r="H968" s="97">
        <f t="shared" ca="1" si="149"/>
        <v>46131</v>
      </c>
      <c r="I968" s="121">
        <f ca="1">HLOOKUP($H$5,'Met Data'!$A$2:$F$368,G968,FALSE)</f>
        <v>15.193548387096699</v>
      </c>
      <c r="J968" s="119">
        <f ca="1">HLOOKUP($H$5,'Met Data'!$H$2:$M$368,G968,FALSE)*L968</f>
        <v>2.4258064516129001</v>
      </c>
      <c r="K968" s="98">
        <f ca="1">HLOOKUP($H$5,'Met Data'!$O$2:$T$368,G968,FALSE)</f>
        <v>2.2979139363353802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" thickBot="1">
      <c r="G969" s="3">
        <f t="shared" ca="1" si="150"/>
        <v>111</v>
      </c>
      <c r="H969" s="97">
        <f t="shared" ref="H969:H1000" ca="1" si="159">H968+1</f>
        <v>46132</v>
      </c>
      <c r="I969" s="121">
        <f ca="1">HLOOKUP($H$5,'Met Data'!$A$2:$F$368,G969,FALSE)</f>
        <v>15.4096774193548</v>
      </c>
      <c r="J969" s="119">
        <f ca="1">HLOOKUP($H$5,'Met Data'!$H$2:$M$368,G969,FALSE)*L969</f>
        <v>1.7322580645161201</v>
      </c>
      <c r="K969" s="98">
        <f ca="1">HLOOKUP($H$5,'Met Data'!$O$2:$T$368,G969,FALSE)</f>
        <v>2.3194627801487999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" thickBot="1">
      <c r="G970" s="3">
        <f t="shared" ca="1" si="150"/>
        <v>112</v>
      </c>
      <c r="H970" s="97">
        <f t="shared" ca="1" si="159"/>
        <v>46133</v>
      </c>
      <c r="I970" s="121">
        <f ca="1">HLOOKUP($H$5,'Met Data'!$A$2:$F$368,G970,FALSE)</f>
        <v>15.261666666666599</v>
      </c>
      <c r="J970" s="119">
        <f ca="1">HLOOKUP($H$5,'Met Data'!$H$2:$M$368,G970,FALSE)*L970</f>
        <v>4.0161290322580596</v>
      </c>
      <c r="K970" s="98">
        <f ca="1">HLOOKUP($H$5,'Met Data'!$O$2:$T$368,G970,FALSE)</f>
        <v>2.3321304827068001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" thickBot="1">
      <c r="G971" s="3">
        <f t="shared" ca="1" si="150"/>
        <v>113</v>
      </c>
      <c r="H971" s="97">
        <f t="shared" ca="1" si="159"/>
        <v>46134</v>
      </c>
      <c r="I971" s="121">
        <f ca="1">HLOOKUP($H$5,'Met Data'!$A$2:$F$368,G971,FALSE)</f>
        <v>14.5283333333333</v>
      </c>
      <c r="J971" s="119">
        <f ca="1">HLOOKUP($H$5,'Met Data'!$H$2:$M$368,G971,FALSE)*L971</f>
        <v>3.5258064516129002</v>
      </c>
      <c r="K971" s="98">
        <f ca="1">HLOOKUP($H$5,'Met Data'!$O$2:$T$368,G971,FALSE)</f>
        <v>2.2184505421646001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" thickBot="1">
      <c r="G972" s="3">
        <f t="shared" ca="1" si="150"/>
        <v>114</v>
      </c>
      <c r="H972" s="97">
        <f t="shared" ca="1" si="159"/>
        <v>46135</v>
      </c>
      <c r="I972" s="121">
        <f ca="1">HLOOKUP($H$5,'Met Data'!$A$2:$F$368,G972,FALSE)</f>
        <v>14.68</v>
      </c>
      <c r="J972" s="119">
        <f ca="1">HLOOKUP($H$5,'Met Data'!$H$2:$M$368,G972,FALSE)*L972</f>
        <v>2.28709677419354</v>
      </c>
      <c r="K972" s="98">
        <f ca="1">HLOOKUP($H$5,'Met Data'!$O$2:$T$368,G972,FALSE)</f>
        <v>2.2540363688604601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" thickBot="1">
      <c r="G973" s="3">
        <f t="shared" ca="1" si="150"/>
        <v>115</v>
      </c>
      <c r="H973" s="97">
        <f t="shared" ca="1" si="159"/>
        <v>46136</v>
      </c>
      <c r="I973" s="121">
        <f ca="1">HLOOKUP($H$5,'Met Data'!$A$2:$F$368,G973,FALSE)</f>
        <v>14.4933333333333</v>
      </c>
      <c r="J973" s="119">
        <f ca="1">HLOOKUP($H$5,'Met Data'!$H$2:$M$368,G973,FALSE)*L973</f>
        <v>4.3387096774193497</v>
      </c>
      <c r="K973" s="98">
        <f ca="1">HLOOKUP($H$5,'Met Data'!$O$2:$T$368,G973,FALSE)</f>
        <v>2.2396347152399998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" thickBot="1">
      <c r="G974" s="3">
        <f t="shared" ca="1" si="150"/>
        <v>116</v>
      </c>
      <c r="H974" s="97">
        <f t="shared" ca="1" si="159"/>
        <v>46137</v>
      </c>
      <c r="I974" s="121">
        <f ca="1">HLOOKUP($H$5,'Met Data'!$A$2:$F$368,G974,FALSE)</f>
        <v>14.7733333333333</v>
      </c>
      <c r="J974" s="119">
        <f ca="1">HLOOKUP($H$5,'Met Data'!$H$2:$M$368,G974,FALSE)*L974</f>
        <v>6.4580645161290304</v>
      </c>
      <c r="K974" s="98">
        <f ca="1">HLOOKUP($H$5,'Met Data'!$O$2:$T$368,G974,FALSE)</f>
        <v>2.0110185254269899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" thickBot="1">
      <c r="G975" s="3">
        <f t="shared" ca="1" si="150"/>
        <v>117</v>
      </c>
      <c r="H975" s="97">
        <f t="shared" ca="1" si="159"/>
        <v>46138</v>
      </c>
      <c r="I975" s="121">
        <f ca="1">HLOOKUP($H$5,'Met Data'!$A$2:$F$368,G975,FALSE)</f>
        <v>14.998333333333299</v>
      </c>
      <c r="J975" s="119">
        <f ca="1">HLOOKUP($H$5,'Met Data'!$H$2:$M$368,G975,FALSE)*L975</f>
        <v>3.1903225806451601</v>
      </c>
      <c r="K975" s="98">
        <f ca="1">HLOOKUP($H$5,'Met Data'!$O$2:$T$368,G975,FALSE)</f>
        <v>2.1294944258891699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" thickBot="1">
      <c r="G976" s="3">
        <f t="shared" ca="1" si="150"/>
        <v>118</v>
      </c>
      <c r="H976" s="97">
        <f t="shared" ca="1" si="159"/>
        <v>46139</v>
      </c>
      <c r="I976" s="121">
        <f ca="1">HLOOKUP($H$5,'Met Data'!$A$2:$F$368,G976,FALSE)</f>
        <v>15.395</v>
      </c>
      <c r="J976" s="119">
        <f ca="1">HLOOKUP($H$5,'Met Data'!$H$2:$M$368,G976,FALSE)*L976</f>
        <v>2.8516129032258002</v>
      </c>
      <c r="K976" s="98">
        <f ca="1">HLOOKUP($H$5,'Met Data'!$O$2:$T$368,G976,FALSE)</f>
        <v>2.1336270025185899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" thickBot="1">
      <c r="G977" s="3">
        <f t="shared" ca="1" si="150"/>
        <v>119</v>
      </c>
      <c r="H977" s="97">
        <f t="shared" ca="1" si="159"/>
        <v>46140</v>
      </c>
      <c r="I977" s="121">
        <f ca="1">HLOOKUP($H$5,'Met Data'!$A$2:$F$368,G977,FALSE)</f>
        <v>15.641379310344799</v>
      </c>
      <c r="J977" s="119">
        <f ca="1">HLOOKUP($H$5,'Met Data'!$H$2:$M$368,G977,FALSE)*L977</f>
        <v>3.74193548387096</v>
      </c>
      <c r="K977" s="98">
        <f ca="1">HLOOKUP($H$5,'Met Data'!$O$2:$T$368,G977,FALSE)</f>
        <v>2.0365768668725401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" thickBot="1">
      <c r="G978" s="3">
        <f t="shared" ca="1" si="150"/>
        <v>120</v>
      </c>
      <c r="H978" s="97">
        <f t="shared" ca="1" si="159"/>
        <v>46141</v>
      </c>
      <c r="I978" s="121">
        <f ca="1">HLOOKUP($H$5,'Met Data'!$A$2:$F$368,G978,FALSE)</f>
        <v>14.7327586206896</v>
      </c>
      <c r="J978" s="119">
        <f ca="1">HLOOKUP($H$5,'Met Data'!$H$2:$M$368,G978,FALSE)*L978</f>
        <v>3.3129032258064499</v>
      </c>
      <c r="K978" s="98">
        <f ca="1">HLOOKUP($H$5,'Met Data'!$O$2:$T$368,G978,FALSE)</f>
        <v>2.1199579861729001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" thickBot="1">
      <c r="G979" s="3">
        <f t="shared" ca="1" si="150"/>
        <v>121</v>
      </c>
      <c r="H979" s="97">
        <f t="shared" ca="1" si="159"/>
        <v>46142</v>
      </c>
      <c r="I979" s="121">
        <f ca="1">HLOOKUP($H$5,'Met Data'!$A$2:$F$368,G979,FALSE)</f>
        <v>14.332758620689599</v>
      </c>
      <c r="J979" s="119">
        <f ca="1">HLOOKUP($H$5,'Met Data'!$H$2:$M$368,G979,FALSE)*L979</f>
        <v>4.4322580645161196</v>
      </c>
      <c r="K979" s="98">
        <f ca="1">HLOOKUP($H$5,'Met Data'!$O$2:$T$368,G979,FALSE)</f>
        <v>1.7270113091402699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" thickBot="1">
      <c r="G980" s="3">
        <f t="shared" ca="1" si="150"/>
        <v>122</v>
      </c>
      <c r="H980" s="97">
        <f t="shared" ca="1" si="159"/>
        <v>46143</v>
      </c>
      <c r="I980" s="121">
        <f ca="1">HLOOKUP($H$5,'Met Data'!$A$2:$F$368,G980,FALSE)</f>
        <v>14.3982758620689</v>
      </c>
      <c r="J980" s="119">
        <f ca="1">HLOOKUP($H$5,'Met Data'!$H$2:$M$368,G980,FALSE)*L980</f>
        <v>3.1838709677419299</v>
      </c>
      <c r="K980" s="98">
        <f ca="1">HLOOKUP($H$5,'Met Data'!$O$2:$T$368,G980,FALSE)</f>
        <v>1.93510583623638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" thickBot="1">
      <c r="G981" s="3">
        <f t="shared" ca="1" si="150"/>
        <v>123</v>
      </c>
      <c r="H981" s="97">
        <f t="shared" ca="1" si="159"/>
        <v>46144</v>
      </c>
      <c r="I981" s="121">
        <f ca="1">HLOOKUP($H$5,'Met Data'!$A$2:$F$368,G981,FALSE)</f>
        <v>14.296666666666599</v>
      </c>
      <c r="J981" s="119">
        <f ca="1">HLOOKUP($H$5,'Met Data'!$H$2:$M$368,G981,FALSE)*L981</f>
        <v>6.4709677419354801</v>
      </c>
      <c r="K981" s="98">
        <f ca="1">HLOOKUP($H$5,'Met Data'!$O$2:$T$368,G981,FALSE)</f>
        <v>1.84994231207221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" thickBot="1">
      <c r="G982" s="3">
        <f t="shared" ca="1" si="150"/>
        <v>124</v>
      </c>
      <c r="H982" s="97">
        <f t="shared" ca="1" si="159"/>
        <v>46145</v>
      </c>
      <c r="I982" s="121">
        <f ca="1">HLOOKUP($H$5,'Met Data'!$A$2:$F$368,G982,FALSE)</f>
        <v>14.1866666666666</v>
      </c>
      <c r="J982" s="119">
        <f ca="1">HLOOKUP($H$5,'Met Data'!$H$2:$M$368,G982,FALSE)*L982</f>
        <v>2.59032258064516</v>
      </c>
      <c r="K982" s="98">
        <f ca="1">HLOOKUP($H$5,'Met Data'!$O$2:$T$368,G982,FALSE)</f>
        <v>1.8652259443704999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" thickBot="1">
      <c r="G983" s="3">
        <f t="shared" ca="1" si="150"/>
        <v>125</v>
      </c>
      <c r="H983" s="97">
        <f t="shared" ca="1" si="159"/>
        <v>46146</v>
      </c>
      <c r="I983" s="121">
        <f ca="1">HLOOKUP($H$5,'Met Data'!$A$2:$F$368,G983,FALSE)</f>
        <v>13.9112903225806</v>
      </c>
      <c r="J983" s="119">
        <f ca="1">HLOOKUP($H$5,'Met Data'!$H$2:$M$368,G983,FALSE)*L983</f>
        <v>2.2741935483870899</v>
      </c>
      <c r="K983" s="98">
        <f ca="1">HLOOKUP($H$5,'Met Data'!$O$2:$T$368,G983,FALSE)</f>
        <v>1.88347487361168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" thickBot="1">
      <c r="G984" s="3">
        <f t="shared" ca="1" si="150"/>
        <v>126</v>
      </c>
      <c r="H984" s="97">
        <f t="shared" ca="1" si="159"/>
        <v>46147</v>
      </c>
      <c r="I984" s="121">
        <f ca="1">HLOOKUP($H$5,'Met Data'!$A$2:$F$368,G984,FALSE)</f>
        <v>13.9966666666666</v>
      </c>
      <c r="J984" s="119">
        <f ca="1">HLOOKUP($H$5,'Met Data'!$H$2:$M$368,G984,FALSE)*L984</f>
        <v>3.2548387096774101</v>
      </c>
      <c r="K984" s="98">
        <f ca="1">HLOOKUP($H$5,'Met Data'!$O$2:$T$368,G984,FALSE)</f>
        <v>1.9813737718090501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" thickBot="1">
      <c r="G985" s="3">
        <f t="shared" ca="1" si="150"/>
        <v>127</v>
      </c>
      <c r="H985" s="97">
        <f t="shared" ca="1" si="159"/>
        <v>46148</v>
      </c>
      <c r="I985" s="121">
        <f ca="1">HLOOKUP($H$5,'Met Data'!$A$2:$F$368,G985,FALSE)</f>
        <v>14.1596774193548</v>
      </c>
      <c r="J985" s="119">
        <f ca="1">HLOOKUP($H$5,'Met Data'!$H$2:$M$368,G985,FALSE)*L985</f>
        <v>3.4483870967741899</v>
      </c>
      <c r="K985" s="98">
        <f ca="1">HLOOKUP($H$5,'Met Data'!$O$2:$T$368,G985,FALSE)</f>
        <v>1.78778032014411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" thickBot="1">
      <c r="G986" s="3">
        <f t="shared" ca="1" si="150"/>
        <v>128</v>
      </c>
      <c r="H986" s="97">
        <f t="shared" ca="1" si="159"/>
        <v>46149</v>
      </c>
      <c r="I986" s="121">
        <f ca="1">HLOOKUP($H$5,'Met Data'!$A$2:$F$368,G986,FALSE)</f>
        <v>13.8403225806451</v>
      </c>
      <c r="J986" s="119">
        <f ca="1">HLOOKUP($H$5,'Met Data'!$H$2:$M$368,G986,FALSE)*L986</f>
        <v>1.8387096774193501</v>
      </c>
      <c r="K986" s="98">
        <f ca="1">HLOOKUP($H$5,'Met Data'!$O$2:$T$368,G986,FALSE)</f>
        <v>1.87782016455675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" thickBot="1">
      <c r="G987" s="3">
        <f t="shared" ca="1" si="150"/>
        <v>129</v>
      </c>
      <c r="H987" s="97">
        <f t="shared" ca="1" si="159"/>
        <v>46150</v>
      </c>
      <c r="I987" s="121">
        <f ca="1">HLOOKUP($H$5,'Met Data'!$A$2:$F$368,G987,FALSE)</f>
        <v>13.5774193548387</v>
      </c>
      <c r="J987" s="119">
        <f ca="1">HLOOKUP($H$5,'Met Data'!$H$2:$M$368,G987,FALSE)*L987</f>
        <v>3.4064516129032198</v>
      </c>
      <c r="K987" s="98">
        <f ca="1">HLOOKUP($H$5,'Met Data'!$O$2:$T$368,G987,FALSE)</f>
        <v>1.84976774954056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" thickBot="1">
      <c r="G988" s="3">
        <f t="shared" ca="1" si="150"/>
        <v>130</v>
      </c>
      <c r="H988" s="97">
        <f t="shared" ca="1" si="159"/>
        <v>46151</v>
      </c>
      <c r="I988" s="121">
        <f ca="1">HLOOKUP($H$5,'Met Data'!$A$2:$F$368,G988,FALSE)</f>
        <v>13.1612903225806</v>
      </c>
      <c r="J988" s="119">
        <f ca="1">HLOOKUP($H$5,'Met Data'!$H$2:$M$368,G988,FALSE)*L988</f>
        <v>2.3258064516129</v>
      </c>
      <c r="K988" s="98">
        <f ca="1">HLOOKUP($H$5,'Met Data'!$O$2:$T$368,G988,FALSE)</f>
        <v>1.7318330822852801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" thickBot="1">
      <c r="G989" s="3">
        <f t="shared" ca="1" si="150"/>
        <v>131</v>
      </c>
      <c r="H989" s="97">
        <f t="shared" ca="1" si="159"/>
        <v>46152</v>
      </c>
      <c r="I989" s="121">
        <f ca="1">HLOOKUP($H$5,'Met Data'!$A$2:$F$368,G989,FALSE)</f>
        <v>13.291935483870899</v>
      </c>
      <c r="J989" s="119">
        <f ca="1">HLOOKUP($H$5,'Met Data'!$H$2:$M$368,G989,FALSE)*L989</f>
        <v>3.1733333333333298</v>
      </c>
      <c r="K989" s="98">
        <f ca="1">HLOOKUP($H$5,'Met Data'!$O$2:$T$368,G989,FALSE)</f>
        <v>1.6655372035048599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" thickBot="1">
      <c r="G990" s="3">
        <f t="shared" ca="1" si="150"/>
        <v>132</v>
      </c>
      <c r="H990" s="97">
        <f t="shared" ca="1" si="159"/>
        <v>46153</v>
      </c>
      <c r="I990" s="121">
        <f ca="1">HLOOKUP($H$5,'Met Data'!$A$2:$F$368,G990,FALSE)</f>
        <v>13.5774193548387</v>
      </c>
      <c r="J990" s="119">
        <f ca="1">HLOOKUP($H$5,'Met Data'!$H$2:$M$368,G990,FALSE)*L990</f>
        <v>2.4225806451612901</v>
      </c>
      <c r="K990" s="98">
        <f ca="1">HLOOKUP($H$5,'Met Data'!$O$2:$T$368,G990,FALSE)</f>
        <v>1.82340706114468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" thickBot="1">
      <c r="G991" s="3">
        <f t="shared" ca="1" si="150"/>
        <v>133</v>
      </c>
      <c r="H991" s="97">
        <f t="shared" ca="1" si="159"/>
        <v>46154</v>
      </c>
      <c r="I991" s="121">
        <f ca="1">HLOOKUP($H$5,'Met Data'!$A$2:$F$368,G991,FALSE)</f>
        <v>13.898387096774099</v>
      </c>
      <c r="J991" s="119">
        <f ca="1">HLOOKUP($H$5,'Met Data'!$H$2:$M$368,G991,FALSE)*L991</f>
        <v>3.56129032258064</v>
      </c>
      <c r="K991" s="98">
        <f ca="1">HLOOKUP($H$5,'Met Data'!$O$2:$T$368,G991,FALSE)</f>
        <v>1.58246048642455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" thickBot="1">
      <c r="G992" s="3">
        <f t="shared" ca="1" si="150"/>
        <v>134</v>
      </c>
      <c r="H992" s="97">
        <f t="shared" ca="1" si="159"/>
        <v>46155</v>
      </c>
      <c r="I992" s="121">
        <f ca="1">HLOOKUP($H$5,'Met Data'!$A$2:$F$368,G992,FALSE)</f>
        <v>13.8193548387096</v>
      </c>
      <c r="J992" s="119">
        <f ca="1">HLOOKUP($H$5,'Met Data'!$H$2:$M$368,G992,FALSE)*L992</f>
        <v>3.2677419354838699</v>
      </c>
      <c r="K992" s="98">
        <f ca="1">HLOOKUP($H$5,'Met Data'!$O$2:$T$368,G992,FALSE)</f>
        <v>1.6419912913333301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" thickBot="1">
      <c r="G993" s="3">
        <f t="shared" ca="1" si="150"/>
        <v>135</v>
      </c>
      <c r="H993" s="97">
        <f t="shared" ca="1" si="159"/>
        <v>46156</v>
      </c>
      <c r="I993" s="121">
        <f ca="1">HLOOKUP($H$5,'Met Data'!$A$2:$F$368,G993,FALSE)</f>
        <v>13.49</v>
      </c>
      <c r="J993" s="119">
        <f ca="1">HLOOKUP($H$5,'Met Data'!$H$2:$M$368,G993,FALSE)*L993</f>
        <v>2.96129032258064</v>
      </c>
      <c r="K993" s="98">
        <f ca="1">HLOOKUP($H$5,'Met Data'!$O$2:$T$368,G993,FALSE)</f>
        <v>1.7493116405284199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" thickBot="1">
      <c r="G994" s="3">
        <f t="shared" ca="1" si="150"/>
        <v>136</v>
      </c>
      <c r="H994" s="97">
        <f t="shared" ca="1" si="159"/>
        <v>46157</v>
      </c>
      <c r="I994" s="121">
        <f ca="1">HLOOKUP($H$5,'Met Data'!$A$2:$F$368,G994,FALSE)</f>
        <v>13.408064516129</v>
      </c>
      <c r="J994" s="119">
        <f ca="1">HLOOKUP($H$5,'Met Data'!$H$2:$M$368,G994,FALSE)*L994</f>
        <v>3.9032258064516099</v>
      </c>
      <c r="K994" s="98">
        <f ca="1">HLOOKUP($H$5,'Met Data'!$O$2:$T$368,G994,FALSE)</f>
        <v>1.5662445189592999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" thickBot="1">
      <c r="G995" s="3">
        <f t="shared" ca="1" si="150"/>
        <v>137</v>
      </c>
      <c r="H995" s="97">
        <f t="shared" ca="1" si="159"/>
        <v>46158</v>
      </c>
      <c r="I995" s="121">
        <f ca="1">HLOOKUP($H$5,'Met Data'!$A$2:$F$368,G995,FALSE)</f>
        <v>13.4193548387096</v>
      </c>
      <c r="J995" s="119">
        <f ca="1">HLOOKUP($H$5,'Met Data'!$H$2:$M$368,G995,FALSE)*L995</f>
        <v>4.1322580645161198</v>
      </c>
      <c r="K995" s="98">
        <f ca="1">HLOOKUP($H$5,'Met Data'!$O$2:$T$368,G995,FALSE)</f>
        <v>1.7909891224832299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" thickBot="1">
      <c r="G996" s="3">
        <f t="shared" ca="1" si="150"/>
        <v>138</v>
      </c>
      <c r="H996" s="97">
        <f t="shared" ca="1" si="159"/>
        <v>46159</v>
      </c>
      <c r="I996" s="121">
        <f ca="1">HLOOKUP($H$5,'Met Data'!$A$2:$F$368,G996,FALSE)</f>
        <v>13.0177419354838</v>
      </c>
      <c r="J996" s="119">
        <f ca="1">HLOOKUP($H$5,'Met Data'!$H$2:$M$368,G996,FALSE)*L996</f>
        <v>3.8645161290322498</v>
      </c>
      <c r="K996" s="98">
        <f ca="1">HLOOKUP($H$5,'Met Data'!$O$2:$T$368,G996,FALSE)</f>
        <v>1.67932593217038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" thickBot="1">
      <c r="G997" s="3">
        <f t="shared" ca="1" si="150"/>
        <v>139</v>
      </c>
      <c r="H997" s="97">
        <f t="shared" ca="1" si="159"/>
        <v>46160</v>
      </c>
      <c r="I997" s="121">
        <f ca="1">HLOOKUP($H$5,'Met Data'!$A$2:$F$368,G997,FALSE)</f>
        <v>12.8774193548387</v>
      </c>
      <c r="J997" s="119">
        <f ca="1">HLOOKUP($H$5,'Met Data'!$H$2:$M$368,G997,FALSE)*L997</f>
        <v>3.7967741935483801</v>
      </c>
      <c r="K997" s="98">
        <f ca="1">HLOOKUP($H$5,'Met Data'!$O$2:$T$368,G997,FALSE)</f>
        <v>1.7647102566828801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" thickBot="1">
      <c r="G998" s="3">
        <f t="shared" ca="1" si="150"/>
        <v>140</v>
      </c>
      <c r="H998" s="97">
        <f t="shared" ca="1" si="159"/>
        <v>46161</v>
      </c>
      <c r="I998" s="121">
        <f ca="1">HLOOKUP($H$5,'Met Data'!$A$2:$F$368,G998,FALSE)</f>
        <v>13.3629032258064</v>
      </c>
      <c r="J998" s="119">
        <f ca="1">HLOOKUP($H$5,'Met Data'!$H$2:$M$368,G998,FALSE)*L998</f>
        <v>1.4774193548387</v>
      </c>
      <c r="K998" s="98">
        <f ca="1">HLOOKUP($H$5,'Met Data'!$O$2:$T$368,G998,FALSE)</f>
        <v>1.8502469543140301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" thickBot="1">
      <c r="G999" s="3">
        <f t="shared" ca="1" si="150"/>
        <v>141</v>
      </c>
      <c r="H999" s="97">
        <f t="shared" ca="1" si="159"/>
        <v>46162</v>
      </c>
      <c r="I999" s="121">
        <f ca="1">HLOOKUP($H$5,'Met Data'!$A$2:$F$368,G999,FALSE)</f>
        <v>13.314516129032199</v>
      </c>
      <c r="J999" s="119">
        <f ca="1">HLOOKUP($H$5,'Met Data'!$H$2:$M$368,G999,FALSE)*L999</f>
        <v>5.2193548387096698</v>
      </c>
      <c r="K999" s="98">
        <f ca="1">HLOOKUP($H$5,'Met Data'!$O$2:$T$368,G999,FALSE)</f>
        <v>1.4599096570605601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" thickBot="1">
      <c r="G1000" s="3">
        <f t="shared" ca="1" si="150"/>
        <v>142</v>
      </c>
      <c r="H1000" s="97">
        <f t="shared" ca="1" si="159"/>
        <v>46163</v>
      </c>
      <c r="I1000" s="121">
        <f ca="1">HLOOKUP($H$5,'Met Data'!$A$2:$F$368,G1000,FALSE)</f>
        <v>13.598387096774101</v>
      </c>
      <c r="J1000" s="119">
        <f ca="1">HLOOKUP($H$5,'Met Data'!$H$2:$M$368,G1000,FALSE)*L1000</f>
        <v>5.1451612903225801</v>
      </c>
      <c r="K1000" s="98">
        <f ca="1">HLOOKUP($H$5,'Met Data'!$O$2:$T$368,G1000,FALSE)</f>
        <v>1.48780958137737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A1" workbookViewId="0">
      <selection activeCell="AP13" sqref="AP13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42</v>
      </c>
      <c r="AT1" s="52" t="s">
        <v>41</v>
      </c>
      <c r="AU1" s="52" t="s">
        <v>53</v>
      </c>
      <c r="AV1" s="52" t="s">
        <v>94</v>
      </c>
      <c r="AW1" s="52" t="s">
        <v>77</v>
      </c>
      <c r="AX1" s="52" t="s">
        <v>76</v>
      </c>
      <c r="AY1" s="52" t="s">
        <v>75</v>
      </c>
      <c r="AZ1" s="52" t="s">
        <v>48</v>
      </c>
      <c r="BA1" s="52" t="s">
        <v>61</v>
      </c>
      <c r="BB1" s="52" t="s">
        <v>11</v>
      </c>
      <c r="BC1" s="52" t="s">
        <v>73</v>
      </c>
      <c r="BD1" s="52" t="s">
        <v>49</v>
      </c>
      <c r="BE1" s="52" t="s">
        <v>80</v>
      </c>
      <c r="BF1" s="52" t="s">
        <v>60</v>
      </c>
      <c r="BG1" s="52" t="s">
        <v>82</v>
      </c>
      <c r="BH1" s="52" t="s">
        <v>35</v>
      </c>
      <c r="BI1" s="52" t="s">
        <v>72</v>
      </c>
      <c r="BJ1" s="52" t="s">
        <v>32</v>
      </c>
      <c r="BK1" s="52" t="s">
        <v>38</v>
      </c>
      <c r="BL1" s="52" t="s">
        <v>88</v>
      </c>
      <c r="BM1" s="52" t="s">
        <v>67</v>
      </c>
      <c r="BN1" s="52" t="s">
        <v>51</v>
      </c>
      <c r="BO1" s="52" t="s">
        <v>6</v>
      </c>
      <c r="BP1" s="52" t="s">
        <v>52</v>
      </c>
      <c r="BQ1" s="52" t="s">
        <v>55</v>
      </c>
      <c r="BR1" s="52" t="s">
        <v>46</v>
      </c>
      <c r="BS1" s="52" t="s">
        <v>57</v>
      </c>
      <c r="BT1" s="52" t="s">
        <v>34</v>
      </c>
      <c r="BU1" s="52" t="s">
        <v>7</v>
      </c>
      <c r="BV1" s="52" t="s">
        <v>59</v>
      </c>
      <c r="BW1" s="52" t="s">
        <v>91</v>
      </c>
      <c r="BX1" s="52" t="s">
        <v>54</v>
      </c>
      <c r="BY1" s="52" t="s">
        <v>56</v>
      </c>
      <c r="BZ1" s="52" t="s">
        <v>86</v>
      </c>
      <c r="CA1" s="52" t="s">
        <v>63</v>
      </c>
      <c r="CB1" s="52" t="s">
        <v>37</v>
      </c>
      <c r="CC1" s="52" t="s">
        <v>58</v>
      </c>
      <c r="CD1" s="52" t="s">
        <v>84</v>
      </c>
      <c r="CE1" s="52" t="s">
        <v>43</v>
      </c>
      <c r="CF1" s="52" t="s">
        <v>62</v>
      </c>
      <c r="CG1" s="52" t="s">
        <v>74</v>
      </c>
      <c r="CH1" s="52" t="s">
        <v>93</v>
      </c>
      <c r="CI1" s="52" t="s">
        <v>71</v>
      </c>
      <c r="CJ1" s="52" t="s">
        <v>85</v>
      </c>
      <c r="CK1" s="52" t="s">
        <v>50</v>
      </c>
      <c r="CL1" s="52" t="s">
        <v>36</v>
      </c>
      <c r="CM1" s="52" t="s">
        <v>95</v>
      </c>
      <c r="CN1" s="52" t="s">
        <v>92</v>
      </c>
      <c r="CO1" s="52" t="s">
        <v>45</v>
      </c>
      <c r="CP1" s="52" t="s">
        <v>29</v>
      </c>
      <c r="CQ1" s="53" t="s">
        <v>39</v>
      </c>
      <c r="CR1" s="1" t="s">
        <v>44</v>
      </c>
      <c r="CS1" t="s">
        <v>259</v>
      </c>
      <c r="CT1" t="s">
        <v>260</v>
      </c>
      <c r="CU1" t="s">
        <v>261</v>
      </c>
    </row>
    <row r="2" spans="1:99">
      <c r="AS2" s="12" t="s">
        <v>30</v>
      </c>
      <c r="AT2" t="s">
        <v>30</v>
      </c>
      <c r="AU2" t="s">
        <v>30</v>
      </c>
      <c r="AV2" t="s">
        <v>30</v>
      </c>
      <c r="AW2" t="s">
        <v>78</v>
      </c>
      <c r="AX2" t="s">
        <v>30</v>
      </c>
      <c r="AY2" t="s">
        <v>30</v>
      </c>
      <c r="AZ2" t="s">
        <v>30</v>
      </c>
      <c r="BA2" t="s">
        <v>266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89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68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64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s="13" t="s">
        <v>28</v>
      </c>
      <c r="CR2" t="s">
        <v>265</v>
      </c>
      <c r="CS2" t="s">
        <v>258</v>
      </c>
      <c r="CT2" t="s">
        <v>258</v>
      </c>
      <c r="CU2" t="s">
        <v>258</v>
      </c>
    </row>
    <row r="3" spans="1:99">
      <c r="AS3" s="12"/>
      <c r="AW3" t="s">
        <v>79</v>
      </c>
      <c r="BA3" t="s">
        <v>262</v>
      </c>
      <c r="BO3" t="s">
        <v>90</v>
      </c>
      <c r="BU3" t="s">
        <v>69</v>
      </c>
      <c r="CQ3" s="13" t="s">
        <v>40</v>
      </c>
      <c r="CR3" t="s">
        <v>264</v>
      </c>
      <c r="CS3" t="s">
        <v>250</v>
      </c>
      <c r="CT3" t="s">
        <v>250</v>
      </c>
      <c r="CU3" t="s">
        <v>250</v>
      </c>
    </row>
    <row r="4" spans="1:99">
      <c r="AS4" s="12"/>
      <c r="BA4" t="s">
        <v>263</v>
      </c>
      <c r="BU4" t="s">
        <v>70</v>
      </c>
      <c r="CQ4" s="13"/>
      <c r="CR4" t="s">
        <v>30</v>
      </c>
      <c r="CS4" t="s">
        <v>251</v>
      </c>
      <c r="CT4" t="s">
        <v>251</v>
      </c>
      <c r="CU4" t="s">
        <v>251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252</v>
      </c>
      <c r="CT5" t="s">
        <v>252</v>
      </c>
      <c r="CU5" t="s">
        <v>252</v>
      </c>
    </row>
    <row r="6" spans="1:99" ht="15" thickBot="1">
      <c r="AI6" t="s">
        <v>219</v>
      </c>
      <c r="AJ6" t="s">
        <v>221</v>
      </c>
      <c r="AM6" s="125" t="s">
        <v>271</v>
      </c>
      <c r="AN6">
        <v>5</v>
      </c>
      <c r="CS6" t="s">
        <v>253</v>
      </c>
      <c r="CT6" t="s">
        <v>253</v>
      </c>
      <c r="CU6" t="s">
        <v>253</v>
      </c>
    </row>
    <row r="7" spans="1:99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224</v>
      </c>
      <c r="F7" s="46" t="s">
        <v>19</v>
      </c>
      <c r="G7" s="47" t="s">
        <v>66</v>
      </c>
      <c r="H7" s="128" t="s">
        <v>8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267</v>
      </c>
      <c r="AF7">
        <v>2</v>
      </c>
      <c r="AH7" t="s">
        <v>214</v>
      </c>
      <c r="AI7">
        <v>0.7</v>
      </c>
      <c r="AJ7">
        <v>0.76</v>
      </c>
      <c r="AM7" s="123" t="s">
        <v>272</v>
      </c>
      <c r="AN7">
        <v>15</v>
      </c>
      <c r="AP7" t="s">
        <v>248</v>
      </c>
      <c r="CS7" t="s">
        <v>254</v>
      </c>
      <c r="CT7" t="s">
        <v>254</v>
      </c>
      <c r="CU7" t="s">
        <v>254</v>
      </c>
    </row>
    <row r="8" spans="1:99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H8" t="s">
        <v>259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268</v>
      </c>
      <c r="AF8">
        <v>3</v>
      </c>
      <c r="AH8" t="s">
        <v>68</v>
      </c>
      <c r="AI8">
        <v>1.1499999999999999</v>
      </c>
      <c r="AJ8">
        <v>1.22</v>
      </c>
      <c r="AM8" s="123" t="s">
        <v>273</v>
      </c>
      <c r="AN8">
        <v>17</v>
      </c>
      <c r="AP8" t="s">
        <v>231</v>
      </c>
      <c r="CS8" t="s">
        <v>255</v>
      </c>
      <c r="CT8" t="s">
        <v>255</v>
      </c>
      <c r="CU8" t="s">
        <v>255</v>
      </c>
    </row>
    <row r="9" spans="1:99" ht="1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H9" t="s">
        <v>260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E9" t="s">
        <v>269</v>
      </c>
      <c r="AH9" t="s">
        <v>215</v>
      </c>
      <c r="AI9">
        <v>1.1499999999999999</v>
      </c>
      <c r="AJ9">
        <v>1.2</v>
      </c>
      <c r="AM9" s="123" t="s">
        <v>274</v>
      </c>
      <c r="AN9">
        <v>20</v>
      </c>
      <c r="CS9" t="s">
        <v>256</v>
      </c>
      <c r="CT9" t="s">
        <v>256</v>
      </c>
      <c r="CU9" t="s">
        <v>256</v>
      </c>
    </row>
    <row r="10" spans="1:99" ht="1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H10" t="s">
        <v>261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E10" t="s">
        <v>270</v>
      </c>
      <c r="AH10" t="s">
        <v>216</v>
      </c>
      <c r="AI10">
        <v>0.8</v>
      </c>
      <c r="AJ10">
        <v>0.83</v>
      </c>
      <c r="AM10" s="123" t="s">
        <v>242</v>
      </c>
      <c r="AN10">
        <v>16</v>
      </c>
      <c r="CS10" t="s">
        <v>257</v>
      </c>
      <c r="CT10" t="s">
        <v>257</v>
      </c>
      <c r="CU10" t="s">
        <v>257</v>
      </c>
    </row>
    <row r="11" spans="1:99" ht="1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217</v>
      </c>
      <c r="AI11">
        <v>1.17</v>
      </c>
      <c r="AJ11">
        <v>1.24</v>
      </c>
      <c r="AM11" s="123" t="s">
        <v>243</v>
      </c>
      <c r="AN11">
        <v>32</v>
      </c>
    </row>
    <row r="12" spans="1:99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218</v>
      </c>
      <c r="AI12">
        <v>1.1599999999999999</v>
      </c>
      <c r="AJ12">
        <v>1.19</v>
      </c>
      <c r="AM12" s="123" t="s">
        <v>275</v>
      </c>
      <c r="AN12">
        <v>35</v>
      </c>
    </row>
    <row r="13" spans="1:99" ht="1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222</v>
      </c>
      <c r="AM13" s="123" t="s">
        <v>276</v>
      </c>
      <c r="AN13">
        <v>20</v>
      </c>
    </row>
    <row r="14" spans="1:99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3" t="s">
        <v>277</v>
      </c>
      <c r="AN14">
        <v>18</v>
      </c>
    </row>
    <row r="15" spans="1:99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3" t="s">
        <v>278</v>
      </c>
      <c r="AN15">
        <v>22</v>
      </c>
    </row>
    <row r="16" spans="1:99">
      <c r="A16" s="12"/>
      <c r="C16" s="49" t="s">
        <v>36</v>
      </c>
      <c r="D16" s="49" t="s">
        <v>34</v>
      </c>
      <c r="G16" s="50" t="s">
        <v>80</v>
      </c>
      <c r="AM16" s="123" t="s">
        <v>244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3" t="s">
        <v>245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86</v>
      </c>
    </row>
    <row r="27" spans="1:40">
      <c r="A27" s="12"/>
      <c r="G27" s="50" t="s">
        <v>58</v>
      </c>
    </row>
    <row r="28" spans="1:40">
      <c r="A28" s="12"/>
      <c r="G28" s="50" t="s">
        <v>84</v>
      </c>
    </row>
    <row r="29" spans="1:40">
      <c r="A29" s="12"/>
      <c r="G29" s="50" t="s">
        <v>74</v>
      </c>
    </row>
    <row r="30" spans="1:40">
      <c r="A30" s="12"/>
      <c r="G30" s="50" t="s">
        <v>93</v>
      </c>
    </row>
    <row r="31" spans="1:40">
      <c r="A31" s="12"/>
      <c r="G31" s="50" t="s">
        <v>71</v>
      </c>
    </row>
    <row r="32" spans="1:40">
      <c r="A32" s="12"/>
      <c r="G32" s="50" t="s">
        <v>85</v>
      </c>
    </row>
    <row r="33" spans="1:7">
      <c r="A33" s="12"/>
      <c r="G33" s="50" t="s">
        <v>95</v>
      </c>
    </row>
    <row r="34" spans="1:7">
      <c r="A34" s="12"/>
      <c r="G34" s="50" t="s">
        <v>92</v>
      </c>
    </row>
    <row r="35" spans="1:7">
      <c r="A35" s="12"/>
      <c r="G35" s="50" t="s">
        <v>83</v>
      </c>
    </row>
    <row r="36" spans="1:7">
      <c r="A36" s="12"/>
      <c r="G36" s="50" t="s">
        <v>81</v>
      </c>
    </row>
    <row r="37" spans="1:7" ht="15" thickBot="1">
      <c r="A37" s="12"/>
      <c r="G37" s="51" t="s">
        <v>87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9" t="s">
        <v>198</v>
      </c>
      <c r="B1" s="149"/>
      <c r="C1" s="149"/>
      <c r="D1" s="149"/>
      <c r="E1" s="149"/>
      <c r="F1" s="149"/>
      <c r="H1" s="149" t="s">
        <v>199</v>
      </c>
      <c r="I1" s="149"/>
      <c r="J1" s="149"/>
      <c r="K1" s="149"/>
      <c r="L1" s="149"/>
      <c r="M1" s="149"/>
      <c r="O1" s="149" t="s">
        <v>200</v>
      </c>
      <c r="P1" s="149"/>
      <c r="Q1" s="149"/>
      <c r="R1" s="149"/>
      <c r="S1" s="149"/>
      <c r="T1" s="149"/>
      <c r="V1" s="149"/>
      <c r="W1" s="149"/>
      <c r="X1" s="149"/>
      <c r="Y1" s="149"/>
      <c r="Z1" s="149"/>
      <c r="AA1" s="149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2024-06-02T22:19:45Z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