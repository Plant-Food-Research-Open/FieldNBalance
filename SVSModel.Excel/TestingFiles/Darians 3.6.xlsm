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C2E06FA2-685F-47EF-BE8F-9D8EAA6E7437}" xr6:coauthVersionLast="47" xr6:coauthVersionMax="47" xr10:uidLastSave="{00000000-0000-0000-0000-000000000000}"/>
  <bookViews>
    <workbookView xWindow="11508" yWindow="-12" windowWidth="11544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2" i="1" l="1"/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0" i="1" l="1"/>
  <c r="D54" i="1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9" i="3" a="1"/>
  <c r="AG5" i="3" a="1"/>
  <c r="AG9" i="3" a="1"/>
  <c r="J10" i="3" a="1"/>
  <c r="AH10" i="3" a="1"/>
  <c r="I1" i="3" a="1"/>
  <c r="AG10" i="3" a="1"/>
  <c r="AH11" i="3" a="1"/>
  <c r="AG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0" i="3" a="1"/>
  <c r="AL10" i="3" a="1"/>
  <c r="AM9" i="3" a="1"/>
  <c r="AL9" i="3" a="1"/>
  <c r="AN9" i="3" a="1"/>
  <c r="AM10" i="3" a="1"/>
  <c r="AO11" i="3" a="1"/>
  <c r="AK9" i="3" a="1"/>
  <c r="AL11" i="3" a="1"/>
  <c r="AJ9" i="3" a="1"/>
  <c r="AO9" i="3" a="1"/>
  <c r="AK11" i="3" a="1"/>
  <c r="AM11" i="3" a="1"/>
  <c r="AJ10" i="3" a="1"/>
  <c r="AJ11" i="3" a="1"/>
  <c r="AN10" i="3" a="1"/>
  <c r="AO10" i="3" a="1"/>
  <c r="AN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<sst xmlns="http://schemas.openxmlformats.org/spreadsheetml/2006/main" count="483" uniqueCount="284">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</sst>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5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2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371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53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2.3752320995497063</c:v>
                </c:pt>
                <c:pt idx="97">
                  <c:v>2.508622471827803</c:v>
                </c:pt>
                <c:pt idx="98">
                  <c:v>2.6522724819092205</c:v>
                </c:pt>
                <c:pt idx="99">
                  <c:v>2.8038072119136279</c:v>
                </c:pt>
                <c:pt idx="100">
                  <c:v>2.967658544384661</c:v>
                </c:pt>
                <c:pt idx="101">
                  <c:v>3.1343096924644627</c:v>
                </c:pt>
                <c:pt idx="102">
                  <c:v>3.3185674019862463</c:v>
                </c:pt>
                <c:pt idx="103">
                  <c:v>3.5040385543001991</c:v>
                </c:pt>
                <c:pt idx="104">
                  <c:v>3.7079963378676339</c:v>
                </c:pt>
                <c:pt idx="105">
                  <c:v>3.9187603919317908</c:v>
                </c:pt>
                <c:pt idx="106">
                  <c:v>4.1194199541232353</c:v>
                </c:pt>
                <c:pt idx="107">
                  <c:v>4.3314739473621851</c:v>
                </c:pt>
                <c:pt idx="108">
                  <c:v>4.5490266156131414</c:v>
                </c:pt>
                <c:pt idx="109">
                  <c:v>4.7773485799478363</c:v>
                </c:pt>
                <c:pt idx="110">
                  <c:v>5.019856348073322</c:v>
                </c:pt>
                <c:pt idx="111">
                  <c:v>5.288707874002454</c:v>
                </c:pt>
                <c:pt idx="112">
                  <c:v>5.586733973892267</c:v>
                </c:pt>
                <c:pt idx="113">
                  <c:v>5.9086268401100899</c:v>
                </c:pt>
                <c:pt idx="114">
                  <c:v>6.2637205764555652</c:v>
                </c:pt>
                <c:pt idx="115">
                  <c:v>6.6403612757658408</c:v>
                </c:pt>
                <c:pt idx="116">
                  <c:v>7.0519778236856157</c:v>
                </c:pt>
                <c:pt idx="117">
                  <c:v>7.478514767954997</c:v>
                </c:pt>
                <c:pt idx="118">
                  <c:v>7.9279577313490073</c:v>
                </c:pt>
                <c:pt idx="119">
                  <c:v>8.3765293034993427</c:v>
                </c:pt>
                <c:pt idx="120">
                  <c:v>8.8481117819503634</c:v>
                </c:pt>
                <c:pt idx="121">
                  <c:v>9.3579281681099733</c:v>
                </c:pt>
                <c:pt idx="122">
                  <c:v>9.9018654279295113</c:v>
                </c:pt>
                <c:pt idx="123">
                  <c:v>10.461531668749387</c:v>
                </c:pt>
                <c:pt idx="124">
                  <c:v>11.058028931492876</c:v>
                </c:pt>
                <c:pt idx="125">
                  <c:v>11.751445575231056</c:v>
                </c:pt>
                <c:pt idx="126">
                  <c:v>12.498430468193716</c:v>
                </c:pt>
                <c:pt idx="127">
                  <c:v>13.314680087245616</c:v>
                </c:pt>
                <c:pt idx="128">
                  <c:v>14.175260925813346</c:v>
                </c:pt>
                <c:pt idx="129">
                  <c:v>15.048059220619839</c:v>
                </c:pt>
                <c:pt idx="130">
                  <c:v>16.037489781148611</c:v>
                </c:pt>
                <c:pt idx="131">
                  <c:v>17.031520770402444</c:v>
                </c:pt>
                <c:pt idx="132">
                  <c:v>18.108784663147553</c:v>
                </c:pt>
                <c:pt idx="133">
                  <c:v>19.274922265004307</c:v>
                </c:pt>
                <c:pt idx="134">
                  <c:v>20.586742409155459</c:v>
                </c:pt>
                <c:pt idx="135">
                  <c:v>21.931489198235997</c:v>
                </c:pt>
                <c:pt idx="136">
                  <c:v>23.393709891373877</c:v>
                </c:pt>
                <c:pt idx="137">
                  <c:v>25.015743367671934</c:v>
                </c:pt>
                <c:pt idx="138">
                  <c:v>26.78636351600451</c:v>
                </c:pt>
                <c:pt idx="139">
                  <c:v>28.645120532157708</c:v>
                </c:pt>
                <c:pt idx="140">
                  <c:v>30.560280753901839</c:v>
                </c:pt>
                <c:pt idx="141">
                  <c:v>32.564015715945871</c:v>
                </c:pt>
                <c:pt idx="142">
                  <c:v>34.665959629020833</c:v>
                </c:pt>
                <c:pt idx="143">
                  <c:v>36.854986266915503</c:v>
                </c:pt>
                <c:pt idx="144">
                  <c:v>39.215021374333197</c:v>
                </c:pt>
                <c:pt idx="145">
                  <c:v>41.751537035826075</c:v>
                </c:pt>
                <c:pt idx="146">
                  <c:v>44.593616968697667</c:v>
                </c:pt>
                <c:pt idx="147">
                  <c:v>47.478160281556875</c:v>
                </c:pt>
                <c:pt idx="148">
                  <c:v>50.479169461819538</c:v>
                </c:pt>
                <c:pt idx="149">
                  <c:v>53.802203835184812</c:v>
                </c:pt>
                <c:pt idx="150">
                  <c:v>57.448868158175344</c:v>
                </c:pt>
                <c:pt idx="151">
                  <c:v>61.455675737917545</c:v>
                </c:pt>
                <c:pt idx="152">
                  <c:v>65.619200579323106</c:v>
                </c:pt>
                <c:pt idx="153">
                  <c:v>69.857515508882543</c:v>
                </c:pt>
                <c:pt idx="154">
                  <c:v>74.249054963311963</c:v>
                </c:pt>
                <c:pt idx="155">
                  <c:v>79.011870016178747</c:v>
                </c:pt>
                <c:pt idx="156">
                  <c:v>83.742211372781469</c:v>
                </c:pt>
                <c:pt idx="157">
                  <c:v>88.677094447595351</c:v>
                </c:pt>
                <c:pt idx="158">
                  <c:v>93.873866689792308</c:v>
                </c:pt>
                <c:pt idx="159">
                  <c:v>99.088894324350093</c:v>
                </c:pt>
                <c:pt idx="160">
                  <c:v>104.97570844574996</c:v>
                </c:pt>
                <c:pt idx="161">
                  <c:v>111.20078008251129</c:v>
                </c:pt>
                <c:pt idx="162">
                  <c:v>117.06215098602185</c:v>
                </c:pt>
                <c:pt idx="163">
                  <c:v>123.26899670732936</c:v>
                </c:pt>
                <c:pt idx="164">
                  <c:v>130.0068710213481</c:v>
                </c:pt>
                <c:pt idx="165">
                  <c:v>136.81239076056636</c:v>
                </c:pt>
                <c:pt idx="166">
                  <c:v>143.46017462023963</c:v>
                </c:pt>
                <c:pt idx="167">
                  <c:v>149.951828343302</c:v>
                </c:pt>
                <c:pt idx="168">
                  <c:v>156.53900308267058</c:v>
                </c:pt>
                <c:pt idx="169">
                  <c:v>163.64523278443295</c:v>
                </c:pt>
                <c:pt idx="170">
                  <c:v>170.36468715515821</c:v>
                </c:pt>
                <c:pt idx="171">
                  <c:v>176.87163353340102</c:v>
                </c:pt>
                <c:pt idx="172">
                  <c:v>183.25394767239624</c:v>
                </c:pt>
                <c:pt idx="173">
                  <c:v>189.9627865031508</c:v>
                </c:pt>
                <c:pt idx="174">
                  <c:v>196.82357891941706</c:v>
                </c:pt>
                <c:pt idx="175">
                  <c:v>203.87590270939313</c:v>
                </c:pt>
                <c:pt idx="176">
                  <c:v>210.34468248506397</c:v>
                </c:pt>
                <c:pt idx="177">
                  <c:v>217.01930841685569</c:v>
                </c:pt>
                <c:pt idx="178">
                  <c:v>223.73993675444356</c:v>
                </c:pt>
                <c:pt idx="179">
                  <c:v>230.80182640771736</c:v>
                </c:pt>
                <c:pt idx="180">
                  <c:v>237.22631877417683</c:v>
                </c:pt>
                <c:pt idx="181">
                  <c:v>243.42796449278512</c:v>
                </c:pt>
                <c:pt idx="182">
                  <c:v>249.65077683289945</c:v>
                </c:pt>
                <c:pt idx="183">
                  <c:v>255.47887801705434</c:v>
                </c:pt>
                <c:pt idx="184">
                  <c:v>260.75191134713799</c:v>
                </c:pt>
                <c:pt idx="185">
                  <c:v>265.80593072087322</c:v>
                </c:pt>
                <c:pt idx="186">
                  <c:v>270.5479856699252</c:v>
                </c:pt>
                <c:pt idx="187">
                  <c:v>275.1440114378928</c:v>
                </c:pt>
                <c:pt idx="188">
                  <c:v>279.6435375754412</c:v>
                </c:pt>
                <c:pt idx="189">
                  <c:v>283.704550420597</c:v>
                </c:pt>
                <c:pt idx="190">
                  <c:v>287.64736318474831</c:v>
                </c:pt>
                <c:pt idx="191">
                  <c:v>291.43611706073477</c:v>
                </c:pt>
                <c:pt idx="192">
                  <c:v>294.84251136886087</c:v>
                </c:pt>
                <c:pt idx="193">
                  <c:v>298.1354112321784</c:v>
                </c:pt>
                <c:pt idx="194">
                  <c:v>301.22462103999595</c:v>
                </c:pt>
                <c:pt idx="195">
                  <c:v>304.07866922672389</c:v>
                </c:pt>
                <c:pt idx="196">
                  <c:v>306.6598505332035</c:v>
                </c:pt>
                <c:pt idx="197">
                  <c:v>309.0371388149166</c:v>
                </c:pt>
                <c:pt idx="198">
                  <c:v>311.31334491969591</c:v>
                </c:pt>
                <c:pt idx="199">
                  <c:v>313.47682213684391</c:v>
                </c:pt>
                <c:pt idx="200">
                  <c:v>315.39032027260345</c:v>
                </c:pt>
                <c:pt idx="201">
                  <c:v>317.08553707140061</c:v>
                </c:pt>
                <c:pt idx="202">
                  <c:v>318.64251309146164</c:v>
                </c:pt>
                <c:pt idx="203">
                  <c:v>320.13729001683703</c:v>
                </c:pt>
                <c:pt idx="204">
                  <c:v>321.51664730082314</c:v>
                </c:pt>
                <c:pt idx="205">
                  <c:v>322.80711026520282</c:v>
                </c:pt>
                <c:pt idx="206">
                  <c:v>324.01037915478662</c:v>
                </c:pt>
                <c:pt idx="207">
                  <c:v>325.09036420761419</c:v>
                </c:pt>
                <c:pt idx="208">
                  <c:v>326.13079109483886</c:v>
                </c:pt>
                <c:pt idx="209">
                  <c:v>327.07653281007731</c:v>
                </c:pt>
                <c:pt idx="210">
                  <c:v>327.90461462141053</c:v>
                </c:pt>
                <c:pt idx="211">
                  <c:v>328.64993804661265</c:v>
                </c:pt>
                <c:pt idx="212">
                  <c:v>329.33263785409173</c:v>
                </c:pt>
                <c:pt idx="213">
                  <c:v>329.96645834766974</c:v>
                </c:pt>
                <c:pt idx="214">
                  <c:v>330.55122130554582</c:v>
                </c:pt>
                <c:pt idx="215">
                  <c:v>331.09616071087436</c:v>
                </c:pt>
                <c:pt idx="216">
                  <c:v>331.59637709775296</c:v>
                </c:pt>
                <c:pt idx="217">
                  <c:v>332.04524911785825</c:v>
                </c:pt>
                <c:pt idx="218">
                  <c:v>332.44035758690558</c:v>
                </c:pt>
                <c:pt idx="219">
                  <c:v>332.79458962987843</c:v>
                </c:pt>
                <c:pt idx="220">
                  <c:v>333.09788191838226</c:v>
                </c:pt>
                <c:pt idx="221">
                  <c:v>333.36914021806234</c:v>
                </c:pt>
                <c:pt idx="222">
                  <c:v>333.62239516006764</c:v>
                </c:pt>
                <c:pt idx="223">
                  <c:v>333.84722504086079</c:v>
                </c:pt>
                <c:pt idx="224">
                  <c:v>334.05736948968786</c:v>
                </c:pt>
                <c:pt idx="225">
                  <c:v>334.25117377537697</c:v>
                </c:pt>
                <c:pt idx="226">
                  <c:v>334.41992563395422</c:v>
                </c:pt>
                <c:pt idx="227">
                  <c:v>334.56885239669668</c:v>
                </c:pt>
                <c:pt idx="228">
                  <c:v>334.69954513323063</c:v>
                </c:pt>
                <c:pt idx="229">
                  <c:v>334.81675813656551</c:v>
                </c:pt>
                <c:pt idx="230">
                  <c:v>334.92127765101264</c:v>
                </c:pt>
                <c:pt idx="231">
                  <c:v>335.01198286597577</c:v>
                </c:pt>
                <c:pt idx="232">
                  <c:v>335.09396470712289</c:v>
                </c:pt>
                <c:pt idx="233">
                  <c:v>335.16848165193346</c:v>
                </c:pt>
                <c:pt idx="234">
                  <c:v>335.23457734834864</c:v>
                </c:pt>
                <c:pt idx="235">
                  <c:v>335.29391730569546</c:v>
                </c:pt>
                <c:pt idx="236">
                  <c:v>335.34495572587707</c:v>
                </c:pt>
                <c:pt idx="237">
                  <c:v>335.39081229329696</c:v>
                </c:pt>
                <c:pt idx="238">
                  <c:v>335.43229416393075</c:v>
                </c:pt>
                <c:pt idx="239">
                  <c:v>335.46821654384729</c:v>
                </c:pt>
                <c:pt idx="240">
                  <c:v>335.50028216556632</c:v>
                </c:pt>
                <c:pt idx="241">
                  <c:v>335.53047180608348</c:v>
                </c:pt>
                <c:pt idx="242">
                  <c:v>335.55767600140013</c:v>
                </c:pt>
                <c:pt idx="243">
                  <c:v>335.58116178880164</c:v>
                </c:pt>
                <c:pt idx="244">
                  <c:v>335.60129945918771</c:v>
                </c:pt>
                <c:pt idx="245">
                  <c:v>335.61884725017853</c:v>
                </c:pt>
                <c:pt idx="246">
                  <c:v>335.63478260869556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107.69410428106131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131.31594497641271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131.50535156094739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49.918364171497124</c:v>
                </c:pt>
                <c:pt idx="2">
                  <c:v>49.571761603470591</c:v>
                </c:pt>
                <c:pt idx="3">
                  <c:v>49.369718597817474</c:v>
                </c:pt>
                <c:pt idx="4">
                  <c:v>48.842899452408837</c:v>
                </c:pt>
                <c:pt idx="5">
                  <c:v>48.187680773010293</c:v>
                </c:pt>
                <c:pt idx="6">
                  <c:v>48.177490618551687</c:v>
                </c:pt>
                <c:pt idx="7">
                  <c:v>47.604611463508739</c:v>
                </c:pt>
                <c:pt idx="8">
                  <c:v>47.388841876801173</c:v>
                </c:pt>
                <c:pt idx="9">
                  <c:v>46.852698038839826</c:v>
                </c:pt>
                <c:pt idx="10">
                  <c:v>46.66318029289814</c:v>
                </c:pt>
                <c:pt idx="11">
                  <c:v>45.986818831642033</c:v>
                </c:pt>
                <c:pt idx="12">
                  <c:v>45.454014579797985</c:v>
                </c:pt>
                <c:pt idx="13">
                  <c:v>45.082380675216235</c:v>
                </c:pt>
                <c:pt idx="14">
                  <c:v>44.332745171758461</c:v>
                </c:pt>
                <c:pt idx="15">
                  <c:v>43.601479363133926</c:v>
                </c:pt>
                <c:pt idx="16">
                  <c:v>42.940580483821329</c:v>
                </c:pt>
                <c:pt idx="17">
                  <c:v>42.342625004692891</c:v>
                </c:pt>
                <c:pt idx="18">
                  <c:v>42.440782292894845</c:v>
                </c:pt>
                <c:pt idx="19">
                  <c:v>41.429771279807476</c:v>
                </c:pt>
                <c:pt idx="20">
                  <c:v>40.374765163733429</c:v>
                </c:pt>
                <c:pt idx="21">
                  <c:v>39.449477245941608</c:v>
                </c:pt>
                <c:pt idx="22">
                  <c:v>37.670305458035727</c:v>
                </c:pt>
                <c:pt idx="23">
                  <c:v>36.680272234578482</c:v>
                </c:pt>
                <c:pt idx="24">
                  <c:v>35.553410081478667</c:v>
                </c:pt>
                <c:pt idx="25">
                  <c:v>34.216704049290001</c:v>
                </c:pt>
                <c:pt idx="26">
                  <c:v>33.602467882290689</c:v>
                </c:pt>
                <c:pt idx="27">
                  <c:v>33.124239384161797</c:v>
                </c:pt>
                <c:pt idx="28">
                  <c:v>32.354232266977824</c:v>
                </c:pt>
                <c:pt idx="29">
                  <c:v>31.479670686919537</c:v>
                </c:pt>
                <c:pt idx="30">
                  <c:v>30.592033503652239</c:v>
                </c:pt>
                <c:pt idx="31">
                  <c:v>30.050087239354891</c:v>
                </c:pt>
                <c:pt idx="32">
                  <c:v>29.310193479180583</c:v>
                </c:pt>
                <c:pt idx="33">
                  <c:v>29.149453781850184</c:v>
                </c:pt>
                <c:pt idx="34">
                  <c:v>28.604815625642068</c:v>
                </c:pt>
                <c:pt idx="35">
                  <c:v>28.296422361617406</c:v>
                </c:pt>
                <c:pt idx="36">
                  <c:v>27.968582741691439</c:v>
                </c:pt>
                <c:pt idx="37">
                  <c:v>27.741249105951702</c:v>
                </c:pt>
                <c:pt idx="38">
                  <c:v>27.593125859984216</c:v>
                </c:pt>
                <c:pt idx="39">
                  <c:v>26.951355580017786</c:v>
                </c:pt>
                <c:pt idx="40">
                  <c:v>25.916994771304719</c:v>
                </c:pt>
                <c:pt idx="41">
                  <c:v>25.383330834160372</c:v>
                </c:pt>
                <c:pt idx="42">
                  <c:v>24.998339213918449</c:v>
                </c:pt>
                <c:pt idx="43">
                  <c:v>24.756959069079638</c:v>
                </c:pt>
                <c:pt idx="44">
                  <c:v>24.544634064282125</c:v>
                </c:pt>
                <c:pt idx="45">
                  <c:v>23.758732409365457</c:v>
                </c:pt>
                <c:pt idx="46">
                  <c:v>23.387414097721354</c:v>
                </c:pt>
                <c:pt idx="47">
                  <c:v>22.938413196231604</c:v>
                </c:pt>
                <c:pt idx="48">
                  <c:v>22.471714459573473</c:v>
                </c:pt>
                <c:pt idx="49">
                  <c:v>22.129584379600242</c:v>
                </c:pt>
                <c:pt idx="50">
                  <c:v>21.51811380834252</c:v>
                </c:pt>
                <c:pt idx="51">
                  <c:v>21.543627181312765</c:v>
                </c:pt>
                <c:pt idx="52">
                  <c:v>21.569606118483023</c:v>
                </c:pt>
                <c:pt idx="53">
                  <c:v>21.123966484001365</c:v>
                </c:pt>
                <c:pt idx="54">
                  <c:v>20.445637531796429</c:v>
                </c:pt>
                <c:pt idx="55">
                  <c:v>19.480321091423175</c:v>
                </c:pt>
                <c:pt idx="56">
                  <c:v>19.280114478554502</c:v>
                </c:pt>
                <c:pt idx="57">
                  <c:v>19.25400853620015</c:v>
                </c:pt>
                <c:pt idx="58">
                  <c:v>18.784267865320583</c:v>
                </c:pt>
                <c:pt idx="59">
                  <c:v>18.38634433439103</c:v>
                </c:pt>
                <c:pt idx="60">
                  <c:v>17.705467694730601</c:v>
                </c:pt>
                <c:pt idx="61">
                  <c:v>17.587314565750457</c:v>
                </c:pt>
                <c:pt idx="62">
                  <c:v>17.349064419537751</c:v>
                </c:pt>
                <c:pt idx="63">
                  <c:v>17.244562439413105</c:v>
                </c:pt>
                <c:pt idx="64">
                  <c:v>16.891288820113903</c:v>
                </c:pt>
                <c:pt idx="65">
                  <c:v>16.87555642999455</c:v>
                </c:pt>
                <c:pt idx="66">
                  <c:v>16.650229864065476</c:v>
                </c:pt>
                <c:pt idx="67">
                  <c:v>16.644792659911786</c:v>
                </c:pt>
                <c:pt idx="68">
                  <c:v>16.506922067950658</c:v>
                </c:pt>
                <c:pt idx="69">
                  <c:v>16.286460314906439</c:v>
                </c:pt>
                <c:pt idx="70">
                  <c:v>16.351256818324448</c:v>
                </c:pt>
                <c:pt idx="71">
                  <c:v>16.173489736320722</c:v>
                </c:pt>
                <c:pt idx="72">
                  <c:v>15.630549137764174</c:v>
                </c:pt>
                <c:pt idx="73">
                  <c:v>15.657783152214391</c:v>
                </c:pt>
                <c:pt idx="74">
                  <c:v>15.428997733459559</c:v>
                </c:pt>
                <c:pt idx="75">
                  <c:v>15.013510765512914</c:v>
                </c:pt>
                <c:pt idx="76">
                  <c:v>14.756185041862762</c:v>
                </c:pt>
                <c:pt idx="77">
                  <c:v>14.228315968438977</c:v>
                </c:pt>
                <c:pt idx="78">
                  <c:v>13.710651802742646</c:v>
                </c:pt>
                <c:pt idx="79">
                  <c:v>13.579478480777645</c:v>
                </c:pt>
                <c:pt idx="80">
                  <c:v>13.619481605271295</c:v>
                </c:pt>
                <c:pt idx="81">
                  <c:v>13.444265288563923</c:v>
                </c:pt>
                <c:pt idx="82">
                  <c:v>13.207160737094027</c:v>
                </c:pt>
                <c:pt idx="83">
                  <c:v>12.726764873846278</c:v>
                </c:pt>
                <c:pt idx="84">
                  <c:v>12.637438146250716</c:v>
                </c:pt>
                <c:pt idx="85">
                  <c:v>12.477339493480693</c:v>
                </c:pt>
                <c:pt idx="86">
                  <c:v>12.451514911162718</c:v>
                </c:pt>
                <c:pt idx="87">
                  <c:v>12.271627973580268</c:v>
                </c:pt>
                <c:pt idx="88">
                  <c:v>12.271521557472258</c:v>
                </c:pt>
                <c:pt idx="89">
                  <c:v>12.067436431034992</c:v>
                </c:pt>
                <c:pt idx="90">
                  <c:v>12.135936827621871</c:v>
                </c:pt>
                <c:pt idx="91">
                  <c:v>12.056485913656758</c:v>
                </c:pt>
                <c:pt idx="92">
                  <c:v>12.028431738425443</c:v>
                </c:pt>
                <c:pt idx="93">
                  <c:v>11.831194249207769</c:v>
                </c:pt>
                <c:pt idx="94">
                  <c:v>11.871109758061616</c:v>
                </c:pt>
                <c:pt idx="95">
                  <c:v>11.74215637868882</c:v>
                </c:pt>
                <c:pt idx="96">
                  <c:v>11.617823624282911</c:v>
                </c:pt>
                <c:pt idx="97">
                  <c:v>11.441620848123675</c:v>
                </c:pt>
                <c:pt idx="98">
                  <c:v>11.341289657478809</c:v>
                </c:pt>
                <c:pt idx="99">
                  <c:v>11.33722918437425</c:v>
                </c:pt>
                <c:pt idx="100">
                  <c:v>11.120346213626418</c:v>
                </c:pt>
                <c:pt idx="101">
                  <c:v>10.917725524640677</c:v>
                </c:pt>
                <c:pt idx="102">
                  <c:v>10.608602699572932</c:v>
                </c:pt>
                <c:pt idx="103">
                  <c:v>10.446932256822473</c:v>
                </c:pt>
                <c:pt idx="104">
                  <c:v>10.232847375060294</c:v>
                </c:pt>
                <c:pt idx="105">
                  <c:v>9.9662805788211113</c:v>
                </c:pt>
                <c:pt idx="106">
                  <c:v>9.7025433566760899</c:v>
                </c:pt>
                <c:pt idx="107">
                  <c:v>9.4885583067672137</c:v>
                </c:pt>
                <c:pt idx="108">
                  <c:v>9.2192166051268281</c:v>
                </c:pt>
                <c:pt idx="109">
                  <c:v>9.0363039326554748</c:v>
                </c:pt>
                <c:pt idx="110">
                  <c:v>8.8649286087948482</c:v>
                </c:pt>
                <c:pt idx="111">
                  <c:v>8.5892890487851385</c:v>
                </c:pt>
                <c:pt idx="112">
                  <c:v>8.3504640253469233</c:v>
                </c:pt>
                <c:pt idx="113">
                  <c:v>8.1042377451935348</c:v>
                </c:pt>
                <c:pt idx="114">
                  <c:v>7.8832519772977392</c:v>
                </c:pt>
                <c:pt idx="115">
                  <c:v>7.6415227588844798</c:v>
                </c:pt>
                <c:pt idx="116">
                  <c:v>7.1456404905144915</c:v>
                </c:pt>
                <c:pt idx="117">
                  <c:v>6.7952689712534537</c:v>
                </c:pt>
                <c:pt idx="118">
                  <c:v>6.5121857567292771</c:v>
                </c:pt>
                <c:pt idx="119">
                  <c:v>6.2548703618392461</c:v>
                </c:pt>
                <c:pt idx="120">
                  <c:v>5.9776508907962764</c:v>
                </c:pt>
                <c:pt idx="121">
                  <c:v>5.6241656079833913</c:v>
                </c:pt>
                <c:pt idx="122">
                  <c:v>110.5871106642773</c:v>
                </c:pt>
                <c:pt idx="123">
                  <c:v>109.41942314195707</c:v>
                </c:pt>
                <c:pt idx="124">
                  <c:v>108.38678670865225</c:v>
                </c:pt>
                <c:pt idx="125">
                  <c:v>107.81837289124663</c:v>
                </c:pt>
                <c:pt idx="126">
                  <c:v>105.87576539343092</c:v>
                </c:pt>
                <c:pt idx="127">
                  <c:v>102.31957293052905</c:v>
                </c:pt>
                <c:pt idx="128">
                  <c:v>100.32457271335593</c:v>
                </c:pt>
                <c:pt idx="129">
                  <c:v>99.245325271262487</c:v>
                </c:pt>
                <c:pt idx="130">
                  <c:v>96.940090259646936</c:v>
                </c:pt>
                <c:pt idx="131">
                  <c:v>95.081510001781268</c:v>
                </c:pt>
                <c:pt idx="132">
                  <c:v>94.226633790034484</c:v>
                </c:pt>
                <c:pt idx="133">
                  <c:v>93.199475230854034</c:v>
                </c:pt>
                <c:pt idx="134">
                  <c:v>91.032908820694587</c:v>
                </c:pt>
                <c:pt idx="135">
                  <c:v>87.925597176256048</c:v>
                </c:pt>
                <c:pt idx="136">
                  <c:v>85.933140380088105</c:v>
                </c:pt>
                <c:pt idx="137">
                  <c:v>83.92475419091204</c:v>
                </c:pt>
                <c:pt idx="138">
                  <c:v>81.550578112108767</c:v>
                </c:pt>
                <c:pt idx="139">
                  <c:v>79.729824977883197</c:v>
                </c:pt>
                <c:pt idx="140">
                  <c:v>77.982006128972344</c:v>
                </c:pt>
                <c:pt idx="141">
                  <c:v>75.441120786395544</c:v>
                </c:pt>
                <c:pt idx="142">
                  <c:v>73.565321761492271</c:v>
                </c:pt>
                <c:pt idx="143">
                  <c:v>71.515524972712839</c:v>
                </c:pt>
                <c:pt idx="144">
                  <c:v>68.440185631424626</c:v>
                </c:pt>
                <c:pt idx="145">
                  <c:v>65.650658858705654</c:v>
                </c:pt>
                <c:pt idx="146">
                  <c:v>62.051316724370011</c:v>
                </c:pt>
                <c:pt idx="147">
                  <c:v>59.031258048249462</c:v>
                </c:pt>
                <c:pt idx="148">
                  <c:v>55.471744676550166</c:v>
                </c:pt>
                <c:pt idx="149">
                  <c:v>52.314422555782713</c:v>
                </c:pt>
                <c:pt idx="150">
                  <c:v>48.227980169226107</c:v>
                </c:pt>
                <c:pt idx="151">
                  <c:v>44.116684982313835</c:v>
                </c:pt>
                <c:pt idx="152">
                  <c:v>167.78592759346574</c:v>
                </c:pt>
                <c:pt idx="153">
                  <c:v>158.17568917846398</c:v>
                </c:pt>
                <c:pt idx="154">
                  <c:v>151.83318210259037</c:v>
                </c:pt>
                <c:pt idx="155">
                  <c:v>144.74727972338877</c:v>
                </c:pt>
                <c:pt idx="156">
                  <c:v>140.26349840688113</c:v>
                </c:pt>
                <c:pt idx="157">
                  <c:v>134.74366912078261</c:v>
                </c:pt>
                <c:pt idx="158">
                  <c:v>129.79653081261722</c:v>
                </c:pt>
                <c:pt idx="159">
                  <c:v>124.82582033534807</c:v>
                </c:pt>
                <c:pt idx="160">
                  <c:v>118.29068629526705</c:v>
                </c:pt>
                <c:pt idx="161">
                  <c:v>110.99468112870302</c:v>
                </c:pt>
                <c:pt idx="162">
                  <c:v>103.98223012278739</c:v>
                </c:pt>
                <c:pt idx="163">
                  <c:v>98.029559861632819</c:v>
                </c:pt>
                <c:pt idx="164">
                  <c:v>90.165262806971114</c:v>
                </c:pt>
                <c:pt idx="165">
                  <c:v>82.33917343020785</c:v>
                </c:pt>
                <c:pt idx="166">
                  <c:v>74.323485883927091</c:v>
                </c:pt>
                <c:pt idx="167">
                  <c:v>66.630787771224007</c:v>
                </c:pt>
                <c:pt idx="168">
                  <c:v>191.63268357043603</c:v>
                </c:pt>
                <c:pt idx="169">
                  <c:v>184.51250355469639</c:v>
                </c:pt>
                <c:pt idx="170">
                  <c:v>177.10618360288854</c:v>
                </c:pt>
                <c:pt idx="171">
                  <c:v>170.84619855854606</c:v>
                </c:pt>
                <c:pt idx="172">
                  <c:v>164.70334362167029</c:v>
                </c:pt>
                <c:pt idx="173">
                  <c:v>158.24358369821167</c:v>
                </c:pt>
                <c:pt idx="174">
                  <c:v>151.64069325553086</c:v>
                </c:pt>
                <c:pt idx="175">
                  <c:v>144.85697664892143</c:v>
                </c:pt>
                <c:pt idx="176">
                  <c:v>138.64340114617778</c:v>
                </c:pt>
                <c:pt idx="177">
                  <c:v>132.2284745859443</c:v>
                </c:pt>
                <c:pt idx="178">
                  <c:v>125.75770885283379</c:v>
                </c:pt>
                <c:pt idx="179">
                  <c:v>118.96278729894313</c:v>
                </c:pt>
                <c:pt idx="180">
                  <c:v>112.80072307158143</c:v>
                </c:pt>
                <c:pt idx="181">
                  <c:v>106.85727588625102</c:v>
                </c:pt>
                <c:pt idx="182">
                  <c:v>100.89327791854249</c:v>
                </c:pt>
                <c:pt idx="183">
                  <c:v>95.306799515031798</c:v>
                </c:pt>
                <c:pt idx="184">
                  <c:v>90.256040833917098</c:v>
                </c:pt>
                <c:pt idx="185">
                  <c:v>85.409514980248986</c:v>
                </c:pt>
                <c:pt idx="186">
                  <c:v>80.868485316985527</c:v>
                </c:pt>
                <c:pt idx="187">
                  <c:v>76.476063576446023</c:v>
                </c:pt>
                <c:pt idx="188">
                  <c:v>72.201790561903238</c:v>
                </c:pt>
                <c:pt idx="189">
                  <c:v>68.361924504813913</c:v>
                </c:pt>
                <c:pt idx="190">
                  <c:v>64.651131594434176</c:v>
                </c:pt>
                <c:pt idx="191">
                  <c:v>61.098899352812765</c:v>
                </c:pt>
                <c:pt idx="192">
                  <c:v>57.921754339350294</c:v>
                </c:pt>
                <c:pt idx="193">
                  <c:v>54.859126037184424</c:v>
                </c:pt>
                <c:pt idx="194">
                  <c:v>51.990928974844898</c:v>
                </c:pt>
                <c:pt idx="195">
                  <c:v>49.358585315707693</c:v>
                </c:pt>
                <c:pt idx="196">
                  <c:v>46.99126906457888</c:v>
                </c:pt>
                <c:pt idx="197">
                  <c:v>44.824342893926946</c:v>
                </c:pt>
                <c:pt idx="198">
                  <c:v>42.75607989799159</c:v>
                </c:pt>
                <c:pt idx="199">
                  <c:v>40.811430311339983</c:v>
                </c:pt>
                <c:pt idx="200">
                  <c:v>39.102622921905997</c:v>
                </c:pt>
                <c:pt idx="201">
                  <c:v>37.599251982561832</c:v>
                </c:pt>
                <c:pt idx="202">
                  <c:v>36.224609900602701</c:v>
                </c:pt>
                <c:pt idx="203">
                  <c:v>34.914517892149661</c:v>
                </c:pt>
                <c:pt idx="204">
                  <c:v>33.720087192956377</c:v>
                </c:pt>
                <c:pt idx="205">
                  <c:v>32.62325495510828</c:v>
                </c:pt>
                <c:pt idx="206">
                  <c:v>31.616061321097561</c:v>
                </c:pt>
                <c:pt idx="207">
                  <c:v>30.726712886052702</c:v>
                </c:pt>
                <c:pt idx="208">
                  <c:v>29.884185907618328</c:v>
                </c:pt>
                <c:pt idx="209">
                  <c:v>29.132360134947159</c:v>
                </c:pt>
                <c:pt idx="210">
                  <c:v>28.494879781958737</c:v>
                </c:pt>
                <c:pt idx="211">
                  <c:v>27.948007283559459</c:v>
                </c:pt>
                <c:pt idx="212">
                  <c:v>27.463711681370285</c:v>
                </c:pt>
                <c:pt idx="213">
                  <c:v>27.032129050359313</c:v>
                </c:pt>
                <c:pt idx="214">
                  <c:v>26.647258267609356</c:v>
                </c:pt>
                <c:pt idx="215">
                  <c:v>26.324124845086523</c:v>
                </c:pt>
                <c:pt idx="216">
                  <c:v>26.044127690710965</c:v>
                </c:pt>
                <c:pt idx="217">
                  <c:v>25.838203540374515</c:v>
                </c:pt>
                <c:pt idx="218">
                  <c:v>25.696133853714429</c:v>
                </c:pt>
                <c:pt idx="219">
                  <c:v>25.599934585151367</c:v>
                </c:pt>
                <c:pt idx="220">
                  <c:v>25.549984870660001</c:v>
                </c:pt>
                <c:pt idx="221">
                  <c:v>25.525878981943134</c:v>
                </c:pt>
                <c:pt idx="222">
                  <c:v>25.517235048398327</c:v>
                </c:pt>
                <c:pt idx="223">
                  <c:v>25.535302537515129</c:v>
                </c:pt>
                <c:pt idx="224">
                  <c:v>25.56582113559001</c:v>
                </c:pt>
                <c:pt idx="225">
                  <c:v>25.616151848208837</c:v>
                </c:pt>
                <c:pt idx="226">
                  <c:v>25.680638185746535</c:v>
                </c:pt>
                <c:pt idx="227">
                  <c:v>25.772918607362065</c:v>
                </c:pt>
                <c:pt idx="228">
                  <c:v>25.878586315437289</c:v>
                </c:pt>
                <c:pt idx="229">
                  <c:v>26.017075650482457</c:v>
                </c:pt>
                <c:pt idx="230">
                  <c:v>26.181188938860405</c:v>
                </c:pt>
                <c:pt idx="231">
                  <c:v>26.363114511321385</c:v>
                </c:pt>
                <c:pt idx="232">
                  <c:v>26.564911112777324</c:v>
                </c:pt>
                <c:pt idx="233">
                  <c:v>26.764547345086534</c:v>
                </c:pt>
                <c:pt idx="234">
                  <c:v>26.977110037405467</c:v>
                </c:pt>
                <c:pt idx="235">
                  <c:v>27.187859736061956</c:v>
                </c:pt>
                <c:pt idx="236">
                  <c:v>27.392710803481584</c:v>
                </c:pt>
                <c:pt idx="237">
                  <c:v>27.607415912188252</c:v>
                </c:pt>
                <c:pt idx="238">
                  <c:v>27.843337033119845</c:v>
                </c:pt>
                <c:pt idx="239">
                  <c:v>28.062496097855004</c:v>
                </c:pt>
                <c:pt idx="240">
                  <c:v>28.278692620862532</c:v>
                </c:pt>
                <c:pt idx="241">
                  <c:v>28.496902819906616</c:v>
                </c:pt>
                <c:pt idx="242">
                  <c:v>28.72560914812458</c:v>
                </c:pt>
                <c:pt idx="243">
                  <c:v>28.966907731099006</c:v>
                </c:pt>
                <c:pt idx="244">
                  <c:v>29.250473660432689</c:v>
                </c:pt>
                <c:pt idx="245">
                  <c:v>29.525300642441088</c:v>
                </c:pt>
                <c:pt idx="246">
                  <c:v>29.791422899315222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-1.9759352484561054E-3</c:v>
                </c:pt>
                <c:pt idx="2">
                  <c:v>-0.28453497638824082</c:v>
                </c:pt>
                <c:pt idx="3">
                  <c:v>-0.43696398255900254</c:v>
                </c:pt>
                <c:pt idx="4">
                  <c:v>-0.92803863413676435</c:v>
                </c:pt>
                <c:pt idx="5">
                  <c:v>-1.5613050722954094</c:v>
                </c:pt>
                <c:pt idx="6">
                  <c:v>-1.5613050722954094</c:v>
                </c:pt>
                <c:pt idx="7">
                  <c:v>-2.1347282379107932</c:v>
                </c:pt>
                <c:pt idx="8">
                  <c:v>-2.3598252368255994</c:v>
                </c:pt>
                <c:pt idx="9">
                  <c:v>-2.9162010260368225</c:v>
                </c:pt>
                <c:pt idx="10">
                  <c:v>-3.1378511324280893</c:v>
                </c:pt>
                <c:pt idx="11">
                  <c:v>-3.8586945176140794</c:v>
                </c:pt>
                <c:pt idx="12">
                  <c:v>-4.44524069742089</c:v>
                </c:pt>
                <c:pt idx="13">
                  <c:v>-4.8770923356388991</c:v>
                </c:pt>
                <c:pt idx="14">
                  <c:v>-5.694846764286293</c:v>
                </c:pt>
                <c:pt idx="15">
                  <c:v>-6.50256416948835</c:v>
                </c:pt>
                <c:pt idx="16">
                  <c:v>-7.2436470210049659</c:v>
                </c:pt>
                <c:pt idx="17">
                  <c:v>-7.9274804148307556</c:v>
                </c:pt>
                <c:pt idx="18">
                  <c:v>-7.9274804148307556</c:v>
                </c:pt>
                <c:pt idx="19">
                  <c:v>-9.0430431071642339</c:v>
                </c:pt>
                <c:pt idx="20">
                  <c:v>-10.21290192778341</c:v>
                </c:pt>
                <c:pt idx="21">
                  <c:v>-11.252888771679547</c:v>
                </c:pt>
                <c:pt idx="22">
                  <c:v>-13.149588651491646</c:v>
                </c:pt>
                <c:pt idx="23">
                  <c:v>-14.261765072537594</c:v>
                </c:pt>
                <c:pt idx="24">
                  <c:v>-15.519911371795921</c:v>
                </c:pt>
                <c:pt idx="25">
                  <c:v>-16.998928404326481</c:v>
                </c:pt>
                <c:pt idx="26">
                  <c:v>-17.751763695172635</c:v>
                </c:pt>
                <c:pt idx="27">
                  <c:v>-18.362767894146319</c:v>
                </c:pt>
                <c:pt idx="28">
                  <c:v>-19.264372499986102</c:v>
                </c:pt>
                <c:pt idx="29">
                  <c:v>-20.278673722577555</c:v>
                </c:pt>
                <c:pt idx="30">
                  <c:v>-21.305546313850147</c:v>
                </c:pt>
                <c:pt idx="31">
                  <c:v>-21.99068830290744</c:v>
                </c:pt>
                <c:pt idx="32">
                  <c:v>-22.874757013723222</c:v>
                </c:pt>
                <c:pt idx="33">
                  <c:v>-23.174753475561431</c:v>
                </c:pt>
                <c:pt idx="34">
                  <c:v>-23.863176038285218</c:v>
                </c:pt>
                <c:pt idx="35">
                  <c:v>-24.320163259425339</c:v>
                </c:pt>
                <c:pt idx="36">
                  <c:v>-24.798426024308263</c:v>
                </c:pt>
                <c:pt idx="37">
                  <c:v>-25.180561730742745</c:v>
                </c:pt>
                <c:pt idx="38">
                  <c:v>-25.490754453952068</c:v>
                </c:pt>
                <c:pt idx="39">
                  <c:v>-26.303674716634355</c:v>
                </c:pt>
                <c:pt idx="40">
                  <c:v>-27.512162585324649</c:v>
                </c:pt>
                <c:pt idx="41">
                  <c:v>-28.223530431951993</c:v>
                </c:pt>
                <c:pt idx="42">
                  <c:v>-28.785576425278258</c:v>
                </c:pt>
                <c:pt idx="43">
                  <c:v>-29.203040647580615</c:v>
                </c:pt>
                <c:pt idx="44">
                  <c:v>-29.583891552811391</c:v>
                </c:pt>
                <c:pt idx="45">
                  <c:v>-30.541269474190447</c:v>
                </c:pt>
                <c:pt idx="46">
                  <c:v>-31.076354019234561</c:v>
                </c:pt>
                <c:pt idx="47">
                  <c:v>-31.691963683388426</c:v>
                </c:pt>
                <c:pt idx="48">
                  <c:v>-32.33596556694237</c:v>
                </c:pt>
                <c:pt idx="49">
                  <c:v>-32.851031643377567</c:v>
                </c:pt>
                <c:pt idx="50">
                  <c:v>-33.639760173260854</c:v>
                </c:pt>
                <c:pt idx="51">
                  <c:v>-33.794964054079564</c:v>
                </c:pt>
                <c:pt idx="52">
                  <c:v>-33.945232310038328</c:v>
                </c:pt>
                <c:pt idx="53">
                  <c:v>-34.563988494965535</c:v>
                </c:pt>
                <c:pt idx="54">
                  <c:v>-35.41861614379463</c:v>
                </c:pt>
                <c:pt idx="55">
                  <c:v>-36.564464863993052</c:v>
                </c:pt>
                <c:pt idx="56">
                  <c:v>-36.939945093462903</c:v>
                </c:pt>
                <c:pt idx="57">
                  <c:v>-37.144198034017762</c:v>
                </c:pt>
                <c:pt idx="58">
                  <c:v>-37.791081258629738</c:v>
                </c:pt>
                <c:pt idx="59">
                  <c:v>-38.368948739106038</c:v>
                </c:pt>
                <c:pt idx="60">
                  <c:v>-39.232385380352397</c:v>
                </c:pt>
                <c:pt idx="61">
                  <c:v>-39.523382155938208</c:v>
                </c:pt>
                <c:pt idx="62">
                  <c:v>-39.927181630302947</c:v>
                </c:pt>
                <c:pt idx="63">
                  <c:v>-40.200220535593651</c:v>
                </c:pt>
                <c:pt idx="64">
                  <c:v>-40.731099667135815</c:v>
                </c:pt>
                <c:pt idx="65">
                  <c:v>-40.934168862843414</c:v>
                </c:pt>
                <c:pt idx="66">
                  <c:v>-41.346747683683404</c:v>
                </c:pt>
                <c:pt idx="67">
                  <c:v>-41.539133745510881</c:v>
                </c:pt>
                <c:pt idx="68">
                  <c:v>-41.859299254787175</c:v>
                </c:pt>
                <c:pt idx="69">
                  <c:v>-42.265442858890154</c:v>
                </c:pt>
                <c:pt idx="70">
                  <c:v>-42.375473191230128</c:v>
                </c:pt>
                <c:pt idx="71">
                  <c:v>-42.722461935614774</c:v>
                </c:pt>
                <c:pt idx="72">
                  <c:v>-43.440164650190447</c:v>
                </c:pt>
                <c:pt idx="73">
                  <c:v>-43.591392739135586</c:v>
                </c:pt>
                <c:pt idx="74">
                  <c:v>-43.992032380281088</c:v>
                </c:pt>
                <c:pt idx="75">
                  <c:v>-44.595825738234133</c:v>
                </c:pt>
                <c:pt idx="76">
                  <c:v>-45.052591149384128</c:v>
                </c:pt>
                <c:pt idx="77">
                  <c:v>-45.77574530848004</c:v>
                </c:pt>
                <c:pt idx="78">
                  <c:v>-46.482358025763887</c:v>
                </c:pt>
                <c:pt idx="79">
                  <c:v>-46.800570471496776</c:v>
                </c:pt>
                <c:pt idx="80">
                  <c:v>-46.95691077075729</c:v>
                </c:pt>
                <c:pt idx="81">
                  <c:v>-47.31984991577648</c:v>
                </c:pt>
                <c:pt idx="82">
                  <c:v>-47.755851309609795</c:v>
                </c:pt>
                <c:pt idx="83">
                  <c:v>-48.432915200898421</c:v>
                </c:pt>
                <c:pt idx="84">
                  <c:v>-48.72004832677969</c:v>
                </c:pt>
                <c:pt idx="85">
                  <c:v>-49.067750187331349</c:v>
                </c:pt>
                <c:pt idx="86">
                  <c:v>-49.279685347381765</c:v>
                </c:pt>
                <c:pt idx="87">
                  <c:v>-49.65371434165985</c:v>
                </c:pt>
                <c:pt idx="88">
                  <c:v>-49.849956423899762</c:v>
                </c:pt>
                <c:pt idx="89">
                  <c:v>-50.254064701384046</c:v>
                </c:pt>
                <c:pt idx="90">
                  <c:v>-50.385689049560291</c:v>
                </c:pt>
                <c:pt idx="91">
                  <c:v>-50.667258231002151</c:v>
                </c:pt>
                <c:pt idx="92">
                  <c:v>-50.89865518657011</c:v>
                </c:pt>
                <c:pt idx="93">
                  <c:v>-51.306091938527203</c:v>
                </c:pt>
                <c:pt idx="94">
                  <c:v>-51.475255252579579</c:v>
                </c:pt>
                <c:pt idx="95">
                  <c:v>-51.811765884132171</c:v>
                </c:pt>
                <c:pt idx="96">
                  <c:v>-52.138275135572954</c:v>
                </c:pt>
                <c:pt idx="97">
                  <c:v>-52.381933986217788</c:v>
                </c:pt>
                <c:pt idx="98">
                  <c:v>-52.541751659641093</c:v>
                </c:pt>
                <c:pt idx="99">
                  <c:v>-52.597398559554399</c:v>
                </c:pt>
                <c:pt idx="100">
                  <c:v>-52.856224617676553</c:v>
                </c:pt>
                <c:pt idx="101">
                  <c:v>-53.093912600452583</c:v>
                </c:pt>
                <c:pt idx="102">
                  <c:v>-53.425652447370481</c:v>
                </c:pt>
                <c:pt idx="103">
                  <c:v>-53.603467940158481</c:v>
                </c:pt>
                <c:pt idx="104">
                  <c:v>-53.819764751548817</c:v>
                </c:pt>
                <c:pt idx="105">
                  <c:v>-54.079344834458027</c:v>
                </c:pt>
                <c:pt idx="106">
                  <c:v>-54.335896251714139</c:v>
                </c:pt>
                <c:pt idx="107">
                  <c:v>-54.531953587727713</c:v>
                </c:pt>
                <c:pt idx="108">
                  <c:v>-54.775725040128279</c:v>
                </c:pt>
                <c:pt idx="109">
                  <c:v>-54.922376722701998</c:v>
                </c:pt>
                <c:pt idx="110">
                  <c:v>-55.044491114288149</c:v>
                </c:pt>
                <c:pt idx="111">
                  <c:v>-55.249846699962852</c:v>
                </c:pt>
                <c:pt idx="112">
                  <c:v>-55.394622870002301</c:v>
                </c:pt>
                <c:pt idx="113">
                  <c:v>-55.525506309587179</c:v>
                </c:pt>
                <c:pt idx="114">
                  <c:v>-55.602893566497656</c:v>
                </c:pt>
                <c:pt idx="115">
                  <c:v>-55.679722709902606</c:v>
                </c:pt>
                <c:pt idx="116">
                  <c:v>-55.979541875483775</c:v>
                </c:pt>
                <c:pt idx="117">
                  <c:v>-56.116183409047395</c:v>
                </c:pt>
                <c:pt idx="118">
                  <c:v>-56.162067184525014</c:v>
                </c:pt>
                <c:pt idx="119">
                  <c:v>-56.176427324397402</c:v>
                </c:pt>
                <c:pt idx="120">
                  <c:v>-56.18731163039439</c:v>
                </c:pt>
                <c:pt idx="121">
                  <c:v>-56.238960217894373</c:v>
                </c:pt>
                <c:pt idx="122">
                  <c:v>-58.635342992419524</c:v>
                </c:pt>
                <c:pt idx="123">
                  <c:v>-59.449605866300921</c:v>
                </c:pt>
                <c:pt idx="124">
                  <c:v>-60.093152412383539</c:v>
                </c:pt>
                <c:pt idx="125">
                  <c:v>-60.187044245442991</c:v>
                </c:pt>
                <c:pt idx="126">
                  <c:v>-61.6035737566026</c:v>
                </c:pt>
                <c:pt idx="127">
                  <c:v>-64.568283382264681</c:v>
                </c:pt>
                <c:pt idx="128">
                  <c:v>-65.92642728537173</c:v>
                </c:pt>
                <c:pt idx="129">
                  <c:v>-66.35070105090638</c:v>
                </c:pt>
                <c:pt idx="130">
                  <c:v>-67.893260237163005</c:v>
                </c:pt>
                <c:pt idx="131">
                  <c:v>-68.977189451183307</c:v>
                </c:pt>
                <c:pt idx="132">
                  <c:v>-68.977189451183307</c:v>
                </c:pt>
                <c:pt idx="133">
                  <c:v>-69.063422892154676</c:v>
                </c:pt>
                <c:pt idx="134">
                  <c:v>-70.151645456348731</c:v>
                </c:pt>
                <c:pt idx="135">
                  <c:v>-72.142427519081124</c:v>
                </c:pt>
                <c:pt idx="136">
                  <c:v>-72.904368030451238</c:v>
                </c:pt>
                <c:pt idx="137">
                  <c:v>-73.528908076221938</c:v>
                </c:pt>
                <c:pt idx="138">
                  <c:v>-74.374655530059599</c:v>
                </c:pt>
                <c:pt idx="139">
                  <c:v>-74.576637753336897</c:v>
                </c:pt>
                <c:pt idx="140">
                  <c:v>-74.644547083674212</c:v>
                </c:pt>
                <c:pt idx="141">
                  <c:v>-75.414989529705281</c:v>
                </c:pt>
                <c:pt idx="142">
                  <c:v>-75.420813451011398</c:v>
                </c:pt>
                <c:pt idx="143">
                  <c:v>-75.511399782643508</c:v>
                </c:pt>
                <c:pt idx="144">
                  <c:v>-76.459581521078874</c:v>
                </c:pt>
                <c:pt idx="145">
                  <c:v>-76.94813184075241</c:v>
                </c:pt>
                <c:pt idx="146">
                  <c:v>-77.950260605850985</c:v>
                </c:pt>
                <c:pt idx="147">
                  <c:v>-78.324125240156562</c:v>
                </c:pt>
                <c:pt idx="148">
                  <c:v>-79.118989114917625</c:v>
                </c:pt>
                <c:pt idx="149">
                  <c:v>-79.197678725511949</c:v>
                </c:pt>
                <c:pt idx="150">
                  <c:v>-79.88874549135349</c:v>
                </c:pt>
                <c:pt idx="151">
                  <c:v>-80.251972864374537</c:v>
                </c:pt>
                <c:pt idx="152">
                  <c:v>-83.991336076054537</c:v>
                </c:pt>
                <c:pt idx="153">
                  <c:v>-89.613822760977357</c:v>
                </c:pt>
                <c:pt idx="154">
                  <c:v>-91.813505986688639</c:v>
                </c:pt>
                <c:pt idx="155">
                  <c:v>-94.391816906761505</c:v>
                </c:pt>
                <c:pt idx="156">
                  <c:v>-94.391816906761505</c:v>
                </c:pt>
                <c:pt idx="157">
                  <c:v>-95.22387786542464</c:v>
                </c:pt>
                <c:pt idx="158">
                  <c:v>-95.22387786542464</c:v>
                </c:pt>
                <c:pt idx="159">
                  <c:v>-95.22387786542464</c:v>
                </c:pt>
                <c:pt idx="160">
                  <c:v>-96.132268936316237</c:v>
                </c:pt>
                <c:pt idx="161">
                  <c:v>-97.467904932564963</c:v>
                </c:pt>
                <c:pt idx="162">
                  <c:v>-98.867332446300807</c:v>
                </c:pt>
                <c:pt idx="163">
                  <c:v>-98.867332446300807</c:v>
                </c:pt>
                <c:pt idx="164">
                  <c:v>-100.25926275340255</c:v>
                </c:pt>
                <c:pt idx="165">
                  <c:v>-101.5434107790245</c:v>
                </c:pt>
                <c:pt idx="166">
                  <c:v>-103.1673789455883</c:v>
                </c:pt>
                <c:pt idx="167">
                  <c:v>-104.61798672102432</c:v>
                </c:pt>
                <c:pt idx="168">
                  <c:v>-104.78482116529402</c:v>
                </c:pt>
                <c:pt idx="169">
                  <c:v>-105.06235872272421</c:v>
                </c:pt>
                <c:pt idx="170">
                  <c:v>-106.0017594382512</c:v>
                </c:pt>
                <c:pt idx="171">
                  <c:v>-106.0017594382512</c:v>
                </c:pt>
                <c:pt idx="172">
                  <c:v>-106.0017594382512</c:v>
                </c:pt>
                <c:pt idx="173">
                  <c:v>-106.0017594382512</c:v>
                </c:pt>
                <c:pt idx="174">
                  <c:v>-106.0017594382512</c:v>
                </c:pt>
                <c:pt idx="175">
                  <c:v>-106.0017594382512</c:v>
                </c:pt>
                <c:pt idx="176">
                  <c:v>-106.0017594382512</c:v>
                </c:pt>
                <c:pt idx="177">
                  <c:v>-106.0017594382512</c:v>
                </c:pt>
                <c:pt idx="178">
                  <c:v>-106.0017594382512</c:v>
                </c:pt>
                <c:pt idx="179">
                  <c:v>-106.0017594382512</c:v>
                </c:pt>
                <c:pt idx="180">
                  <c:v>-106.0017594382512</c:v>
                </c:pt>
                <c:pt idx="181">
                  <c:v>-106.0017594382512</c:v>
                </c:pt>
                <c:pt idx="182">
                  <c:v>-106.0017594382512</c:v>
                </c:pt>
                <c:pt idx="183">
                  <c:v>-106.0017594382512</c:v>
                </c:pt>
                <c:pt idx="184">
                  <c:v>-106.0017594382512</c:v>
                </c:pt>
                <c:pt idx="185">
                  <c:v>-106.0017594382512</c:v>
                </c:pt>
                <c:pt idx="186">
                  <c:v>-106.0017594382512</c:v>
                </c:pt>
                <c:pt idx="187">
                  <c:v>-106.0017594382512</c:v>
                </c:pt>
                <c:pt idx="188">
                  <c:v>-106.0017594382512</c:v>
                </c:pt>
                <c:pt idx="189">
                  <c:v>-106.0017594382512</c:v>
                </c:pt>
                <c:pt idx="190">
                  <c:v>-106.0017594382512</c:v>
                </c:pt>
                <c:pt idx="191">
                  <c:v>-106.0017594382512</c:v>
                </c:pt>
                <c:pt idx="192">
                  <c:v>-106.0017594382512</c:v>
                </c:pt>
                <c:pt idx="193">
                  <c:v>-106.0017594382512</c:v>
                </c:pt>
                <c:pt idx="194">
                  <c:v>-106.0017594382512</c:v>
                </c:pt>
                <c:pt idx="195">
                  <c:v>-106.0017594382512</c:v>
                </c:pt>
                <c:pt idx="196">
                  <c:v>-106.0017594382512</c:v>
                </c:pt>
                <c:pt idx="197">
                  <c:v>-106.0017594382512</c:v>
                </c:pt>
                <c:pt idx="198">
                  <c:v>-106.0017594382512</c:v>
                </c:pt>
                <c:pt idx="199">
                  <c:v>-106.0017594382512</c:v>
                </c:pt>
                <c:pt idx="200">
                  <c:v>-106.0017594382512</c:v>
                </c:pt>
                <c:pt idx="201">
                  <c:v>-106.0017594382512</c:v>
                </c:pt>
                <c:pt idx="202">
                  <c:v>-106.0017594382512</c:v>
                </c:pt>
                <c:pt idx="203">
                  <c:v>-106.0017594382512</c:v>
                </c:pt>
                <c:pt idx="204">
                  <c:v>-106.0017594382512</c:v>
                </c:pt>
                <c:pt idx="205">
                  <c:v>-106.0017594382512</c:v>
                </c:pt>
                <c:pt idx="206">
                  <c:v>-106.0017594382512</c:v>
                </c:pt>
                <c:pt idx="207">
                  <c:v>-106.0017594382512</c:v>
                </c:pt>
                <c:pt idx="208">
                  <c:v>-106.0017594382512</c:v>
                </c:pt>
                <c:pt idx="209">
                  <c:v>-106.0017594382512</c:v>
                </c:pt>
                <c:pt idx="210">
                  <c:v>-106.0017594382512</c:v>
                </c:pt>
                <c:pt idx="211">
                  <c:v>-106.0017594382512</c:v>
                </c:pt>
                <c:pt idx="212">
                  <c:v>-106.0017594382512</c:v>
                </c:pt>
                <c:pt idx="213">
                  <c:v>-106.0017594382512</c:v>
                </c:pt>
                <c:pt idx="214">
                  <c:v>-106.0017594382512</c:v>
                </c:pt>
                <c:pt idx="215">
                  <c:v>-106.0017594382512</c:v>
                </c:pt>
                <c:pt idx="216">
                  <c:v>-106.0017594382512</c:v>
                </c:pt>
                <c:pt idx="217">
                  <c:v>-106.0017594382512</c:v>
                </c:pt>
                <c:pt idx="218">
                  <c:v>-106.0017594382512</c:v>
                </c:pt>
                <c:pt idx="219">
                  <c:v>-106.0017594382512</c:v>
                </c:pt>
                <c:pt idx="220">
                  <c:v>-106.0017594382512</c:v>
                </c:pt>
                <c:pt idx="221">
                  <c:v>-106.0017594382512</c:v>
                </c:pt>
                <c:pt idx="222">
                  <c:v>-106.0017594382512</c:v>
                </c:pt>
                <c:pt idx="223">
                  <c:v>-106.0017594382512</c:v>
                </c:pt>
                <c:pt idx="224">
                  <c:v>-106.0017594382512</c:v>
                </c:pt>
                <c:pt idx="225">
                  <c:v>-106.0017594382512</c:v>
                </c:pt>
                <c:pt idx="226">
                  <c:v>-106.0017594382512</c:v>
                </c:pt>
                <c:pt idx="227">
                  <c:v>-106.0017594382512</c:v>
                </c:pt>
                <c:pt idx="228">
                  <c:v>-106.0017594382512</c:v>
                </c:pt>
                <c:pt idx="229">
                  <c:v>-106.0017594382512</c:v>
                </c:pt>
                <c:pt idx="230">
                  <c:v>-106.0017594382512</c:v>
                </c:pt>
                <c:pt idx="231">
                  <c:v>-106.0017594382512</c:v>
                </c:pt>
                <c:pt idx="232">
                  <c:v>-106.0017594382512</c:v>
                </c:pt>
                <c:pt idx="233">
                  <c:v>-106.0017594382512</c:v>
                </c:pt>
                <c:pt idx="234">
                  <c:v>-106.0017594382512</c:v>
                </c:pt>
                <c:pt idx="235">
                  <c:v>-106.0017594382512</c:v>
                </c:pt>
                <c:pt idx="236">
                  <c:v>-106.0017594382512</c:v>
                </c:pt>
                <c:pt idx="237">
                  <c:v>-106.0017594382512</c:v>
                </c:pt>
                <c:pt idx="238">
                  <c:v>-106.0017594382512</c:v>
                </c:pt>
                <c:pt idx="239">
                  <c:v>-106.0017594382512</c:v>
                </c:pt>
                <c:pt idx="240">
                  <c:v>-106.0017594382512</c:v>
                </c:pt>
                <c:pt idx="241">
                  <c:v>-106.0017594382512</c:v>
                </c:pt>
                <c:pt idx="242">
                  <c:v>-106.0017594382512</c:v>
                </c:pt>
                <c:pt idx="243">
                  <c:v>-106.0017594382512</c:v>
                </c:pt>
                <c:pt idx="244">
                  <c:v>-106.0017594382512</c:v>
                </c:pt>
                <c:pt idx="245">
                  <c:v>-106.0017594382512</c:v>
                </c:pt>
                <c:pt idx="246">
                  <c:v>-106.0017594382512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0.24896369616605118</c:v>
                </c:pt>
                <c:pt idx="1">
                  <c:v>0.51535494843631069</c:v>
                </c:pt>
                <c:pt idx="2">
                  <c:v>0.77926823927689082</c:v>
                </c:pt>
                <c:pt idx="3">
                  <c:v>1.0369376125935577</c:v>
                </c:pt>
                <c:pt idx="4">
                  <c:v>1.2966040050067389</c:v>
                </c:pt>
                <c:pt idx="5">
                  <c:v>1.5598439367934889</c:v>
                </c:pt>
                <c:pt idx="6">
                  <c:v>1.8159665864630674</c:v>
                </c:pt>
                <c:pt idx="7">
                  <c:v>2.0663940992743917</c:v>
                </c:pt>
                <c:pt idx="8">
                  <c:v>2.3077872883127779</c:v>
                </c:pt>
                <c:pt idx="9">
                  <c:v>2.5519550051718638</c:v>
                </c:pt>
                <c:pt idx="10">
                  <c:v>2.802382517983188</c:v>
                </c:pt>
                <c:pt idx="11">
                  <c:v>3.0598305819447984</c:v>
                </c:pt>
                <c:pt idx="12">
                  <c:v>3.3155123568331906</c:v>
                </c:pt>
                <c:pt idx="13">
                  <c:v>3.5639867498841142</c:v>
                </c:pt>
                <c:pt idx="14">
                  <c:v>3.8107329157212169</c:v>
                </c:pt>
                <c:pt idx="15">
                  <c:v>4.0576947046139926</c:v>
                </c:pt>
                <c:pt idx="16">
                  <c:v>4.2961217689902078</c:v>
                </c:pt>
                <c:pt idx="17">
                  <c:v>4.5316053141939481</c:v>
                </c:pt>
                <c:pt idx="18">
                  <c:v>4.7772751012354329</c:v>
                </c:pt>
                <c:pt idx="19">
                  <c:v>5.0218714026026703</c:v>
                </c:pt>
                <c:pt idx="20">
                  <c:v>5.2727342173615552</c:v>
                </c:pt>
                <c:pt idx="21">
                  <c:v>5.5122180152721141</c:v>
                </c:pt>
                <c:pt idx="22">
                  <c:v>5.7466557757572261</c:v>
                </c:pt>
                <c:pt idx="23">
                  <c:v>5.9796342717230644</c:v>
                </c:pt>
                <c:pt idx="24">
                  <c:v>6.2184836834268644</c:v>
                </c:pt>
                <c:pt idx="25">
                  <c:v>6.4658770658157012</c:v>
                </c:pt>
                <c:pt idx="26">
                  <c:v>6.7001060147226195</c:v>
                </c:pt>
                <c:pt idx="27">
                  <c:v>6.9194017640953529</c:v>
                </c:pt>
                <c:pt idx="28">
                  <c:v>7.131361229055039</c:v>
                </c:pt>
                <c:pt idx="29">
                  <c:v>7.349257069749334</c:v>
                </c:pt>
                <c:pt idx="30">
                  <c:v>7.5614127643581242</c:v>
                </c:pt>
                <c:pt idx="31">
                  <c:v>7.7741578297302505</c:v>
                </c:pt>
                <c:pt idx="32">
                  <c:v>7.9837713963877652</c:v>
                </c:pt>
                <c:pt idx="33">
                  <c:v>8.1830301791357751</c:v>
                </c:pt>
                <c:pt idx="34">
                  <c:v>8.3843715599660236</c:v>
                </c:pt>
                <c:pt idx="35">
                  <c:v>8.5881917869356403</c:v>
                </c:pt>
                <c:pt idx="36">
                  <c:v>8.7908655606704507</c:v>
                </c:pt>
                <c:pt idx="37">
                  <c:v>8.9956442720209751</c:v>
                </c:pt>
                <c:pt idx="38">
                  <c:v>9.2060379885682764</c:v>
                </c:pt>
                <c:pt idx="39">
                  <c:v>9.4241334739790368</c:v>
                </c:pt>
                <c:pt idx="40">
                  <c:v>9.6426285910045095</c:v>
                </c:pt>
                <c:pt idx="41">
                  <c:v>9.8623253413322729</c:v>
                </c:pt>
                <c:pt idx="42">
                  <c:v>10.078429509777475</c:v>
                </c:pt>
                <c:pt idx="43">
                  <c:v>10.290781547661615</c:v>
                </c:pt>
                <c:pt idx="44">
                  <c:v>10.492122928491863</c:v>
                </c:pt>
                <c:pt idx="45">
                  <c:v>10.694606021864692</c:v>
                </c:pt>
                <c:pt idx="46">
                  <c:v>10.886406405513357</c:v>
                </c:pt>
                <c:pt idx="47">
                  <c:v>11.079499050573647</c:v>
                </c:pt>
                <c:pt idx="48">
                  <c:v>11.282554523692879</c:v>
                </c:pt>
                <c:pt idx="49">
                  <c:v>11.478995351645231</c:v>
                </c:pt>
                <c:pt idx="50">
                  <c:v>11.678442898197035</c:v>
                </c:pt>
                <c:pt idx="51">
                  <c:v>11.879974282431425</c:v>
                </c:pt>
                <c:pt idx="52">
                  <c:v>12.075108719112936</c:v>
                </c:pt>
                <c:pt idx="53">
                  <c:v>12.265438948076561</c:v>
                </c:pt>
                <c:pt idx="54">
                  <c:v>12.457792486119772</c:v>
                </c:pt>
                <c:pt idx="55">
                  <c:v>12.653299616031383</c:v>
                </c:pt>
                <c:pt idx="56">
                  <c:v>12.841984472742356</c:v>
                </c:pt>
                <c:pt idx="57">
                  <c:v>13.032498079583277</c:v>
                </c:pt>
                <c:pt idx="58">
                  <c:v>13.22081852647705</c:v>
                </c:pt>
                <c:pt idx="59">
                  <c:v>13.410965489357073</c:v>
                </c:pt>
                <c:pt idx="60">
                  <c:v>13.602765873005739</c:v>
                </c:pt>
                <c:pt idx="61">
                  <c:v>13.783536616527813</c:v>
                </c:pt>
                <c:pt idx="62">
                  <c:v>13.955918473139988</c:v>
                </c:pt>
                <c:pt idx="63">
                  <c:v>14.13054722009138</c:v>
                </c:pt>
                <c:pt idx="64">
                  <c:v>14.313633818748198</c:v>
                </c:pt>
                <c:pt idx="65">
                  <c:v>14.50580286003407</c:v>
                </c:pt>
                <c:pt idx="66">
                  <c:v>14.697051096665087</c:v>
                </c:pt>
                <c:pt idx="67">
                  <c:v>14.88719805954511</c:v>
                </c:pt>
                <c:pt idx="68">
                  <c:v>15.071898937673167</c:v>
                </c:pt>
                <c:pt idx="69">
                  <c:v>15.259310312767189</c:v>
                </c:pt>
                <c:pt idx="70">
                  <c:v>15.435156634328452</c:v>
                </c:pt>
                <c:pt idx="71">
                  <c:v>15.604798588423888</c:v>
                </c:pt>
                <c:pt idx="72">
                  <c:v>15.77942733537528</c:v>
                </c:pt>
                <c:pt idx="73">
                  <c:v>15.957197913031836</c:v>
                </c:pt>
                <c:pt idx="74">
                  <c:v>16.127864037539091</c:v>
                </c:pt>
                <c:pt idx="75">
                  <c:v>16.314369128711697</c:v>
                </c:pt>
                <c:pt idx="76">
                  <c:v>16.511371523554722</c:v>
                </c:pt>
                <c:pt idx="77">
                  <c:v>16.703725061597932</c:v>
                </c:pt>
                <c:pt idx="78">
                  <c:v>16.889326654521824</c:v>
                </c:pt>
                <c:pt idx="79">
                  <c:v>17.072592172977153</c:v>
                </c:pt>
                <c:pt idx="80">
                  <c:v>17.264576829470514</c:v>
                </c:pt>
                <c:pt idx="81">
                  <c:v>17.447663428127331</c:v>
                </c:pt>
                <c:pt idx="82">
                  <c:v>17.641311579911331</c:v>
                </c:pt>
                <c:pt idx="83">
                  <c:v>17.832375991318351</c:v>
                </c:pt>
                <c:pt idx="84">
                  <c:v>18.024176374967016</c:v>
                </c:pt>
                <c:pt idx="85">
                  <c:v>18.205657692148506</c:v>
                </c:pt>
                <c:pt idx="86">
                  <c:v>18.38536590027724</c:v>
                </c:pt>
                <c:pt idx="87">
                  <c:v>18.572595795627088</c:v>
                </c:pt>
                <c:pt idx="88">
                  <c:v>18.761463024694553</c:v>
                </c:pt>
                <c:pt idx="89">
                  <c:v>18.953816562737764</c:v>
                </c:pt>
                <c:pt idx="90">
                  <c:v>19.145985604023636</c:v>
                </c:pt>
                <c:pt idx="91">
                  <c:v>19.339819148893309</c:v>
                </c:pt>
                <c:pt idx="92">
                  <c:v>19.534581341280489</c:v>
                </c:pt>
                <c:pt idx="93">
                  <c:v>19.735732831477424</c:v>
                </c:pt>
                <c:pt idx="94">
                  <c:v>19.93555824348508</c:v>
                </c:pt>
                <c:pt idx="95">
                  <c:v>20.133686807330282</c:v>
                </c:pt>
                <c:pt idx="96">
                  <c:v>20.326409674850588</c:v>
                </c:pt>
                <c:pt idx="97">
                  <c:v>20.517657911481606</c:v>
                </c:pt>
                <c:pt idx="98">
                  <c:v>20.710935613377757</c:v>
                </c:pt>
                <c:pt idx="99">
                  <c:v>20.904028258438046</c:v>
                </c:pt>
                <c:pt idx="100">
                  <c:v>21.099535388349658</c:v>
                </c:pt>
                <c:pt idx="101">
                  <c:v>21.290967562084219</c:v>
                </c:pt>
                <c:pt idx="102">
                  <c:v>21.487221425794715</c:v>
                </c:pt>
                <c:pt idx="103">
                  <c:v>21.678285837201734</c:v>
                </c:pt>
                <c:pt idx="104">
                  <c:v>21.873606564373009</c:v>
                </c:pt>
                <c:pt idx="105">
                  <c:v>22.066514264646983</c:v>
                </c:pt>
                <c:pt idx="106">
                  <c:v>22.249422054591808</c:v>
                </c:pt>
                <c:pt idx="107">
                  <c:v>22.432866603950295</c:v>
                </c:pt>
                <c:pt idx="108">
                  <c:v>22.614170111379234</c:v>
                </c:pt>
                <c:pt idx="109">
                  <c:v>22.795473618808174</c:v>
                </c:pt>
                <c:pt idx="110">
                  <c:v>22.977845648954585</c:v>
                </c:pt>
                <c:pt idx="111">
                  <c:v>23.165257024048607</c:v>
                </c:pt>
                <c:pt idx="112">
                  <c:v>23.357795170830975</c:v>
                </c:pt>
                <c:pt idx="113">
                  <c:v>23.552743429256672</c:v>
                </c:pt>
                <c:pt idx="114">
                  <c:v>23.752379852222987</c:v>
                </c:pt>
                <c:pt idx="115">
                  <c:v>23.952205264230642</c:v>
                </c:pt>
                <c:pt idx="116">
                  <c:v>24.155642888386339</c:v>
                </c:pt>
                <c:pt idx="117">
                  <c:v>24.356414935565471</c:v>
                </c:pt>
                <c:pt idx="118">
                  <c:v>24.556618663600627</c:v>
                </c:pt>
                <c:pt idx="119">
                  <c:v>24.7504522084703</c:v>
                </c:pt>
                <c:pt idx="120">
                  <c:v>24.943915079268738</c:v>
                </c:pt>
                <c:pt idx="121">
                  <c:v>25.13998209107076</c:v>
                </c:pt>
                <c:pt idx="122">
                  <c:v>25.337171899653875</c:v>
                </c:pt>
                <c:pt idx="123">
                  <c:v>25.531562296549193</c:v>
                </c:pt>
                <c:pt idx="124">
                  <c:v>25.727069426460805</c:v>
                </c:pt>
                <c:pt idx="125">
                  <c:v>25.933580533355691</c:v>
                </c:pt>
                <c:pt idx="126">
                  <c:v>26.142027277894517</c:v>
                </c:pt>
                <c:pt idx="127">
                  <c:v>26.354182972503306</c:v>
                </c:pt>
                <c:pt idx="128">
                  <c:v>26.565358654835414</c:v>
                </c:pt>
                <c:pt idx="129">
                  <c:v>26.770906188558143</c:v>
                </c:pt>
                <c:pt idx="130">
                  <c:v>26.985030431510271</c:v>
                </c:pt>
                <c:pt idx="131">
                  <c:v>27.192121040489326</c:v>
                </c:pt>
                <c:pt idx="132">
                  <c:v>27.402124455164312</c:v>
                </c:pt>
                <c:pt idx="133">
                  <c:v>27.614869520536438</c:v>
                </c:pt>
                <c:pt idx="134">
                  <c:v>27.835570771418517</c:v>
                </c:pt>
                <c:pt idx="135">
                  <c:v>28.051278043902464</c:v>
                </c:pt>
                <c:pt idx="136">
                  <c:v>28.270373464013851</c:v>
                </c:pt>
                <c:pt idx="137">
                  <c:v>28.49573222765915</c:v>
                </c:pt>
                <c:pt idx="138">
                  <c:v>28.724984198143094</c:v>
                </c:pt>
                <c:pt idx="139">
                  <c:v>28.952181952352955</c:v>
                </c:pt>
                <c:pt idx="140">
                  <c:v>29.174900773745854</c:v>
                </c:pt>
                <c:pt idx="141">
                  <c:v>29.395803267391809</c:v>
                </c:pt>
                <c:pt idx="142">
                  <c:v>29.615500017719572</c:v>
                </c:pt>
                <c:pt idx="143">
                  <c:v>29.83319632773933</c:v>
                </c:pt>
                <c:pt idx="144">
                  <c:v>30.05389757862141</c:v>
                </c:pt>
                <c:pt idx="145">
                  <c:v>30.277223900804412</c:v>
                </c:pt>
                <c:pt idx="146">
                  <c:v>30.509578723226287</c:v>
                </c:pt>
                <c:pt idx="147">
                  <c:v>30.73575366998671</c:v>
                </c:pt>
                <c:pt idx="148">
                  <c:v>30.960094781911625</c:v>
                </c:pt>
                <c:pt idx="149">
                  <c:v>31.192241943132643</c:v>
                </c:pt>
                <c:pt idx="150">
                  <c:v>31.431091354836443</c:v>
                </c:pt>
                <c:pt idx="151">
                  <c:v>31.677191346143836</c:v>
                </c:pt>
                <c:pt idx="152">
                  <c:v>31.920930941080858</c:v>
                </c:pt>
                <c:pt idx="153">
                  <c:v>32.159358005457072</c:v>
                </c:pt>
                <c:pt idx="154">
                  <c:v>32.39610029295082</c:v>
                </c:pt>
                <c:pt idx="155">
                  <c:v>32.639198572155983</c:v>
                </c:pt>
                <c:pt idx="156">
                  <c:v>32.87405430112635</c:v>
                </c:pt>
                <c:pt idx="157">
                  <c:v>33.109537846330092</c:v>
                </c:pt>
                <c:pt idx="158">
                  <c:v>33.347543024716614</c:v>
                </c:pt>
                <c:pt idx="159">
                  <c:v>33.580521520682453</c:v>
                </c:pt>
                <c:pt idx="160">
                  <c:v>33.82877947990908</c:v>
                </c:pt>
                <c:pt idx="161">
                  <c:v>34.081606895945313</c:v>
                </c:pt>
                <c:pt idx="162">
                  <c:v>34.318769685986055</c:v>
                </c:pt>
                <c:pt idx="163">
                  <c:v>34.561654424475577</c:v>
                </c:pt>
                <c:pt idx="164">
                  <c:v>34.81557734798961</c:v>
                </c:pt>
                <c:pt idx="165">
                  <c:v>35.067748852586959</c:v>
                </c:pt>
                <c:pt idx="166">
                  <c:v>35.312774201138431</c:v>
                </c:pt>
                <c:pt idx="167">
                  <c:v>35.551623612842235</c:v>
                </c:pt>
                <c:pt idx="168">
                  <c:v>35.791530911838215</c:v>
                </c:pt>
                <c:pt idx="169">
                  <c:v>36.044139574661678</c:v>
                </c:pt>
                <c:pt idx="170">
                  <c:v>36.286171305959684</c:v>
                </c:pt>
                <c:pt idx="171">
                  <c:v>36.522913593453431</c:v>
                </c:pt>
                <c:pt idx="172">
                  <c:v>36.752340023703923</c:v>
                </c:pt>
                <c:pt idx="173">
                  <c:v>36.991167127693487</c:v>
                </c:pt>
                <c:pt idx="174">
                  <c:v>37.238727062931972</c:v>
                </c:pt>
                <c:pt idx="175">
                  <c:v>37.49683940388276</c:v>
                </c:pt>
                <c:pt idx="176">
                  <c:v>37.742079449557906</c:v>
                </c:pt>
                <c:pt idx="177">
                  <c:v>37.991611539693693</c:v>
                </c:pt>
                <c:pt idx="178">
                  <c:v>38.231217904363355</c:v>
                </c:pt>
                <c:pt idx="179">
                  <c:v>38.4875029302247</c:v>
                </c:pt>
                <c:pt idx="180">
                  <c:v>38.739785068141522</c:v>
                </c:pt>
                <c:pt idx="181">
                  <c:v>38.987943971000007</c:v>
                </c:pt>
                <c:pt idx="182">
                  <c:v>39.236540370881784</c:v>
                </c:pt>
                <c:pt idx="183">
                  <c:v>39.468202947552982</c:v>
                </c:pt>
                <c:pt idx="184">
                  <c:v>39.680966475486692</c:v>
                </c:pt>
                <c:pt idx="185">
                  <c:v>39.879023748971548</c:v>
                </c:pt>
                <c:pt idx="186">
                  <c:v>40.07079719761154</c:v>
                </c:pt>
                <c:pt idx="187">
                  <c:v>40.265127767400294</c:v>
                </c:pt>
                <c:pt idx="188">
                  <c:v>40.480998016786479</c:v>
                </c:pt>
                <c:pt idx="189">
                  <c:v>40.693126352860958</c:v>
                </c:pt>
                <c:pt idx="190">
                  <c:v>40.916047334379073</c:v>
                </c:pt>
                <c:pt idx="191">
                  <c:v>41.143423611049968</c:v>
                </c:pt>
                <c:pt idx="192">
                  <c:v>41.363867658288825</c:v>
                </c:pt>
                <c:pt idx="193">
                  <c:v>41.585234277130439</c:v>
                </c:pt>
                <c:pt idx="194">
                  <c:v>41.797398311599181</c:v>
                </c:pt>
                <c:pt idx="195">
                  <c:v>42.010389682650057</c:v>
                </c:pt>
                <c:pt idx="196">
                  <c:v>42.215792655377967</c:v>
                </c:pt>
                <c:pt idx="197">
                  <c:v>42.41783272760172</c:v>
                </c:pt>
                <c:pt idx="198">
                  <c:v>42.617363052763729</c:v>
                </c:pt>
                <c:pt idx="199">
                  <c:v>42.827701125060507</c:v>
                </c:pt>
                <c:pt idx="200">
                  <c:v>43.024236493096367</c:v>
                </c:pt>
                <c:pt idx="201">
                  <c:v>43.208240178013988</c:v>
                </c:pt>
                <c:pt idx="202">
                  <c:v>43.382852202647712</c:v>
                </c:pt>
                <c:pt idx="203">
                  <c:v>43.559694518698571</c:v>
                </c:pt>
                <c:pt idx="204">
                  <c:v>43.736849003521364</c:v>
                </c:pt>
                <c:pt idx="205">
                  <c:v>43.922693093520152</c:v>
                </c:pt>
                <c:pt idx="206">
                  <c:v>44.110969274072083</c:v>
                </c:pt>
                <c:pt idx="207">
                  <c:v>44.293998075281664</c:v>
                </c:pt>
                <c:pt idx="208">
                  <c:v>44.484072115216996</c:v>
                </c:pt>
                <c:pt idx="209">
                  <c:v>44.67025275183876</c:v>
                </c:pt>
                <c:pt idx="210">
                  <c:v>44.853421789480777</c:v>
                </c:pt>
                <c:pt idx="211">
                  <c:v>45.044590010229555</c:v>
                </c:pt>
                <c:pt idx="212">
                  <c:v>45.235764010693281</c:v>
                </c:pt>
                <c:pt idx="213">
                  <c:v>45.430740471786862</c:v>
                </c:pt>
                <c:pt idx="214">
                  <c:v>45.62335739400293</c:v>
                </c:pt>
                <c:pt idx="215">
                  <c:v>45.837795894929528</c:v>
                </c:pt>
                <c:pt idx="216">
                  <c:v>46.050619225938732</c:v>
                </c:pt>
                <c:pt idx="217">
                  <c:v>46.286266860133985</c:v>
                </c:pt>
                <c:pt idx="218">
                  <c:v>46.532213567730182</c:v>
                </c:pt>
                <c:pt idx="219">
                  <c:v>46.783255140648542</c:v>
                </c:pt>
                <c:pt idx="220">
                  <c:v>47.029962174142419</c:v>
                </c:pt>
                <c:pt idx="221">
                  <c:v>47.2706062025009</c:v>
                </c:pt>
                <c:pt idx="222">
                  <c:v>47.508605581749833</c:v>
                </c:pt>
                <c:pt idx="223">
                  <c:v>47.74503922800897</c:v>
                </c:pt>
                <c:pt idx="224">
                  <c:v>47.979103022599823</c:v>
                </c:pt>
                <c:pt idx="225">
                  <c:v>48.216541821687883</c:v>
                </c:pt>
                <c:pt idx="226">
                  <c:v>48.44330387927041</c:v>
                </c:pt>
                <c:pt idx="227">
                  <c:v>48.678181315008331</c:v>
                </c:pt>
                <c:pt idx="228">
                  <c:v>48.908388615054676</c:v>
                </c:pt>
                <c:pt idx="229">
                  <c:v>49.158000673801091</c:v>
                </c:pt>
                <c:pt idx="230">
                  <c:v>49.420631116247847</c:v>
                </c:pt>
                <c:pt idx="231">
                  <c:v>49.687483252705782</c:v>
                </c:pt>
                <c:pt idx="232">
                  <c:v>49.965509943811796</c:v>
                </c:pt>
                <c:pt idx="233">
                  <c:v>50.233900067480846</c:v>
                </c:pt>
                <c:pt idx="234">
                  <c:v>50.506896179583102</c:v>
                </c:pt>
                <c:pt idx="235">
                  <c:v>50.771361230210161</c:v>
                </c:pt>
                <c:pt idx="236">
                  <c:v>51.021868215976653</c:v>
                </c:pt>
                <c:pt idx="237">
                  <c:v>51.277089367141684</c:v>
                </c:pt>
                <c:pt idx="238">
                  <c:v>51.549154327962142</c:v>
                </c:pt>
                <c:pt idx="239">
                  <c:v>51.79909624962098</c:v>
                </c:pt>
                <c:pt idx="240">
                  <c:v>52.042284383170781</c:v>
                </c:pt>
                <c:pt idx="241">
                  <c:v>52.285417892725903</c:v>
                </c:pt>
                <c:pt idx="242">
                  <c:v>52.536041627482419</c:v>
                </c:pt>
                <c:pt idx="243">
                  <c:v>52.795721190574142</c:v>
                </c:pt>
                <c:pt idx="244">
                  <c:v>53.094534782890882</c:v>
                </c:pt>
                <c:pt idx="245">
                  <c:v>53.38216500249662</c:v>
                </c:pt>
                <c:pt idx="246">
                  <c:v>53.659444326958166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-0.34605114552468064</c:v>
                </c:pt>
                <c:pt idx="2">
                  <c:v>-0.67400796325200374</c:v>
                </c:pt>
                <c:pt idx="3">
                  <c:v>-0.98129133605102226</c:v>
                </c:pt>
                <c:pt idx="4">
                  <c:v>-1.2767022222950766</c:v>
                </c:pt>
                <c:pt idx="5">
                  <c:v>-1.5618943953217252</c:v>
                </c:pt>
                <c:pt idx="6">
                  <c:v>-1.8282071994499065</c:v>
                </c:pt>
                <c:pt idx="7">
                  <c:v>-2.0780907016888008</c:v>
                </c:pt>
                <c:pt idx="8">
                  <c:v>-2.310156478519946</c:v>
                </c:pt>
                <c:pt idx="9">
                  <c:v>-2.5340922441291558</c:v>
                </c:pt>
                <c:pt idx="10">
                  <c:v>-2.7523873964909016</c:v>
                </c:pt>
                <c:pt idx="11">
                  <c:v>-2.9653535365226236</c:v>
                </c:pt>
                <c:pt idx="12">
                  <c:v>-3.1672933834482557</c:v>
                </c:pt>
                <c:pt idx="13">
                  <c:v>-3.3555500428629221</c:v>
                </c:pt>
                <c:pt idx="14">
                  <c:v>-3.5341772835104122</c:v>
                </c:pt>
                <c:pt idx="15">
                  <c:v>-3.7046874758256698</c:v>
                </c:pt>
                <c:pt idx="16">
                  <c:v>-3.8629305679978723</c:v>
                </c:pt>
                <c:pt idx="17">
                  <c:v>-4.0125361985042565</c:v>
                </c:pt>
                <c:pt idx="18">
                  <c:v>-4.1600486973437913</c:v>
                </c:pt>
                <c:pt idx="19">
                  <c:v>-4.3000933194649189</c:v>
                </c:pt>
                <c:pt idx="20">
                  <c:v>-4.4361034296786741</c:v>
                </c:pt>
                <c:pt idx="21">
                  <c:v>-4.5608883014849146</c:v>
                </c:pt>
                <c:pt idx="22">
                  <c:v>-4.6777979700638106</c:v>
                </c:pt>
                <c:pt idx="23">
                  <c:v>-4.7886332684409476</c:v>
                </c:pt>
                <c:pt idx="24">
                  <c:v>-4.8961985339862402</c:v>
                </c:pt>
                <c:pt idx="25">
                  <c:v>-5.0012809160331848</c:v>
                </c:pt>
                <c:pt idx="26">
                  <c:v>-5.0969107410932537</c:v>
                </c:pt>
                <c:pt idx="27">
                  <c:v>-5.1834307896211973</c:v>
                </c:pt>
                <c:pt idx="28">
                  <c:v>-5.2637927659250678</c:v>
                </c:pt>
                <c:pt idx="29">
                  <c:v>-5.3419489640862006</c:v>
                </c:pt>
                <c:pt idx="30">
                  <c:v>-5.4148692506896943</c:v>
                </c:pt>
                <c:pt idx="31">
                  <c:v>-5.4844185913018748</c:v>
                </c:pt>
                <c:pt idx="32">
                  <c:v>-5.5498572073179187</c:v>
                </c:pt>
                <c:pt idx="33">
                  <c:v>-5.609859225558119</c:v>
                </c:pt>
                <c:pt idx="34">
                  <c:v>-5.6674161998726973</c:v>
                </c:pt>
                <c:pt idx="35">
                  <c:v>-5.7226424697268587</c:v>
                </c:pt>
                <c:pt idx="36">
                  <c:v>-5.7748930985047089</c:v>
                </c:pt>
                <c:pt idx="37">
                  <c:v>-5.8248697391604862</c:v>
                </c:pt>
                <c:pt idx="38">
                  <c:v>-5.8731939784659497</c:v>
                </c:pt>
                <c:pt idx="39">
                  <c:v>-5.9201394811608541</c:v>
                </c:pt>
                <c:pt idx="40">
                  <c:v>-5.9645075382091015</c:v>
                </c:pt>
                <c:pt idx="41">
                  <c:v>-6.0065003790538682</c:v>
                </c:pt>
                <c:pt idx="42">
                  <c:v>-6.0455501744147284</c:v>
                </c:pt>
                <c:pt idx="43">
                  <c:v>-6.0818181348353226</c:v>
                </c:pt>
                <c:pt idx="44">
                  <c:v>-6.1146336152323091</c:v>
                </c:pt>
                <c:pt idx="45">
                  <c:v>-6.1456404421427528</c:v>
                </c:pt>
                <c:pt idx="46">
                  <c:v>-6.1736745923914063</c:v>
                </c:pt>
                <c:pt idx="47">
                  <c:v>-6.20015847478758</c:v>
                </c:pt>
                <c:pt idx="48">
                  <c:v>-6.2259108010109987</c:v>
                </c:pt>
                <c:pt idx="49">
                  <c:v>-6.2494156325013881</c:v>
                </c:pt>
                <c:pt idx="50">
                  <c:v>-6.2716052204276238</c:v>
                </c:pt>
                <c:pt idx="51">
                  <c:v>-6.292419350873061</c:v>
                </c:pt>
                <c:pt idx="52">
                  <c:v>-6.3113065944255524</c:v>
                </c:pt>
                <c:pt idx="53">
                  <c:v>-6.3285202729436296</c:v>
                </c:pt>
                <c:pt idx="54">
                  <c:v>-6.3445751143626845</c:v>
                </c:pt>
                <c:pt idx="55">
                  <c:v>-6.3595499644491307</c:v>
                </c:pt>
                <c:pt idx="56">
                  <c:v>-6.3729612045589299</c:v>
                </c:pt>
                <c:pt idx="57">
                  <c:v>-6.3853278131993472</c:v>
                </c:pt>
                <c:pt idx="58">
                  <c:v>-6.3965057063607098</c:v>
                </c:pt>
                <c:pt idx="59">
                  <c:v>-6.4067087196939898</c:v>
                </c:pt>
                <c:pt idx="60">
                  <c:v>-6.4159491017567216</c:v>
                </c:pt>
                <c:pt idx="61">
                  <c:v>-6.4238761986731241</c:v>
                </c:pt>
                <c:pt idx="62">
                  <c:v>-6.4307087271332666</c:v>
                </c:pt>
                <c:pt idx="63">
                  <c:v>-6.436800548918594</c:v>
                </c:pt>
                <c:pt idx="64">
                  <c:v>-6.4422816353324492</c:v>
                </c:pt>
                <c:pt idx="65">
                  <c:v>-6.4471138710300737</c:v>
                </c:pt>
                <c:pt idx="66">
                  <c:v>-6.4511098527501769</c:v>
                </c:pt>
                <c:pt idx="67">
                  <c:v>-6.4543079579564102</c:v>
                </c:pt>
                <c:pt idx="68">
                  <c:v>-6.456713918769303</c:v>
                </c:pt>
                <c:pt idx="69">
                  <c:v>-6.4584434428045654</c:v>
                </c:pt>
                <c:pt idx="70">
                  <c:v>-6.4594629286078442</c:v>
                </c:pt>
                <c:pt idx="71">
                  <c:v>-6.4598832203223608</c:v>
                </c:pt>
                <c:pt idx="72">
                  <c:v>-6.4597498512546281</c:v>
                </c:pt>
                <c:pt idx="73">
                  <c:v>-6.45905832551583</c:v>
                </c:pt>
                <c:pt idx="74">
                  <c:v>-6.4578702276324194</c:v>
                </c:pt>
                <c:pt idx="75">
                  <c:v>-6.4560689287986275</c:v>
                </c:pt>
                <c:pt idx="76">
                  <c:v>-6.4536316361418109</c:v>
                </c:pt>
                <c:pt idx="77">
                  <c:v>-6.450700088512896</c:v>
                </c:pt>
                <c:pt idx="78">
                  <c:v>-6.4473531298492688</c:v>
                </c:pt>
                <c:pt idx="79">
                  <c:v>-6.4435795245367107</c:v>
                </c:pt>
                <c:pt idx="80">
                  <c:v>-6.4392207572759119</c:v>
                </c:pt>
                <c:pt idx="81">
                  <c:v>-6.4345845276209115</c:v>
                </c:pt>
                <c:pt idx="82">
                  <c:v>-6.429335837041493</c:v>
                </c:pt>
                <c:pt idx="83">
                  <c:v>-6.4237322204076381</c:v>
                </c:pt>
                <c:pt idx="84">
                  <c:v>-6.4177262057705953</c:v>
                </c:pt>
                <c:pt idx="85">
                  <c:v>-6.4116043151704432</c:v>
                </c:pt>
                <c:pt idx="86">
                  <c:v>-6.4052019455667377</c:v>
                </c:pt>
                <c:pt idx="87">
                  <c:v>-6.398289784220955</c:v>
                </c:pt>
                <c:pt idx="88">
                  <c:v>-6.3910213471565207</c:v>
                </c:pt>
                <c:pt idx="89">
                  <c:v>-6.3833517341527148</c:v>
                </c:pt>
                <c:pt idx="90">
                  <c:v>-6.3753960306754589</c:v>
                </c:pt>
                <c:pt idx="91">
                  <c:v>-6.3671113080683854</c:v>
                </c:pt>
                <c:pt idx="92">
                  <c:v>-6.358530720118921</c:v>
                </c:pt>
                <c:pt idx="93">
                  <c:v>-6.3494829475764387</c:v>
                </c:pt>
                <c:pt idx="94">
                  <c:v>-6.3402295366778683</c:v>
                </c:pt>
                <c:pt idx="95">
                  <c:v>-6.3308008483432783</c:v>
                </c:pt>
                <c:pt idx="96">
                  <c:v>-6.3213472188287083</c:v>
                </c:pt>
                <c:pt idx="97">
                  <c:v>-6.3117490086960331</c:v>
                </c:pt>
                <c:pt idx="98">
                  <c:v>-6.3018902177323275</c:v>
                </c:pt>
                <c:pt idx="99">
                  <c:v>-6.2918617059794659</c:v>
                </c:pt>
                <c:pt idx="100">
                  <c:v>-6.2815744160457232</c:v>
                </c:pt>
                <c:pt idx="101">
                  <c:v>-6.271288147910191</c:v>
                </c:pt>
                <c:pt idx="102">
                  <c:v>-6.2606672802487537</c:v>
                </c:pt>
                <c:pt idx="103">
                  <c:v>-6.2501154893042772</c:v>
                </c:pt>
                <c:pt idx="104">
                  <c:v>-6.2392665032799552</c:v>
                </c:pt>
                <c:pt idx="105">
                  <c:v>-6.2283968628197437</c:v>
                </c:pt>
                <c:pt idx="106">
                  <c:v>-6.2178308954620345</c:v>
                </c:pt>
                <c:pt idx="107">
                  <c:v>-6.2071491654768716</c:v>
                </c:pt>
                <c:pt idx="108">
                  <c:v>-6.1964702538946783</c:v>
                </c:pt>
                <c:pt idx="109">
                  <c:v>-6.1857127868865565</c:v>
                </c:pt>
                <c:pt idx="110">
                  <c:v>-6.1748379811819616</c:v>
                </c:pt>
                <c:pt idx="111">
                  <c:v>-6.1636818046818584</c:v>
                </c:pt>
                <c:pt idx="112">
                  <c:v>-6.1522427049731725</c:v>
                </c:pt>
                <c:pt idx="113">
                  <c:v>-6.140640937749561</c:v>
                </c:pt>
                <c:pt idx="114">
                  <c:v>-6.1287821353557224</c:v>
                </c:pt>
                <c:pt idx="115">
                  <c:v>-6.1168669230614086</c:v>
                </c:pt>
                <c:pt idx="116">
                  <c:v>-6.1047511020861496</c:v>
                </c:pt>
                <c:pt idx="117">
                  <c:v>-6.0927161906933174</c:v>
                </c:pt>
                <c:pt idx="118">
                  <c:v>-6.0806763943810171</c:v>
                </c:pt>
                <c:pt idx="119">
                  <c:v>-6.0688936221179972</c:v>
                </c:pt>
                <c:pt idx="120">
                  <c:v>-6.0571091795113929</c:v>
                </c:pt>
                <c:pt idx="121">
                  <c:v>-6.0451965004667088</c:v>
                </c:pt>
                <c:pt idx="122">
                  <c:v>-6.0332254994725361</c:v>
                </c:pt>
                <c:pt idx="123">
                  <c:v>-6.0213743039868177</c:v>
                </c:pt>
                <c:pt idx="124">
                  <c:v>-6.0094740583771395</c:v>
                </c:pt>
                <c:pt idx="125">
                  <c:v>-5.9970905058800312</c:v>
                </c:pt>
                <c:pt idx="126">
                  <c:v>-5.9846303441122943</c:v>
                </c:pt>
                <c:pt idx="127">
                  <c:v>-5.9720192569089869</c:v>
                </c:pt>
                <c:pt idx="128">
                  <c:v>-5.9594704147394397</c:v>
                </c:pt>
                <c:pt idx="129">
                  <c:v>-5.9471933302144917</c:v>
                </c:pt>
                <c:pt idx="130">
                  <c:v>-5.9345628379967676</c:v>
                </c:pt>
                <c:pt idx="131">
                  <c:v>-5.9222735015673651</c:v>
                </c:pt>
                <c:pt idx="132">
                  <c:v>-5.9098892352440302</c:v>
                </c:pt>
                <c:pt idx="133">
                  <c:v>-5.8974218169684995</c:v>
                </c:pt>
                <c:pt idx="134">
                  <c:v>-5.8846467696648084</c:v>
                </c:pt>
                <c:pt idx="135">
                  <c:v>-5.8721368347743468</c:v>
                </c:pt>
                <c:pt idx="136">
                  <c:v>-5.8595278465456904</c:v>
                </c:pt>
                <c:pt idx="137">
                  <c:v>-5.846699277298308</c:v>
                </c:pt>
                <c:pt idx="138">
                  <c:v>-5.8337597244152972</c:v>
                </c:pt>
                <c:pt idx="139">
                  <c:v>-5.8209713734202255</c:v>
                </c:pt>
                <c:pt idx="140">
                  <c:v>-5.808439491642531</c:v>
                </c:pt>
                <c:pt idx="141">
                  <c:v>-5.7960499197901774</c:v>
                </c:pt>
                <c:pt idx="142">
                  <c:v>-5.7837778606401429</c:v>
                </c:pt>
                <c:pt idx="143">
                  <c:v>-5.7716579899125611</c:v>
                </c:pt>
                <c:pt idx="144">
                  <c:v>-5.7594817362297954</c:v>
                </c:pt>
                <c:pt idx="145">
                  <c:v>-5.7472688499653541</c:v>
                </c:pt>
                <c:pt idx="146">
                  <c:v>-5.7347571087527101</c:v>
                </c:pt>
                <c:pt idx="147">
                  <c:v>-5.7225827844688943</c:v>
                </c:pt>
                <c:pt idx="148">
                  <c:v>-5.710564213069369</c:v>
                </c:pt>
                <c:pt idx="149">
                  <c:v>-5.6983095110982473</c:v>
                </c:pt>
                <c:pt idx="150">
                  <c:v>-5.6858702205265912</c:v>
                </c:pt>
                <c:pt idx="151">
                  <c:v>-5.6732304459830063</c:v>
                </c:pt>
                <c:pt idx="152">
                  <c:v>-5.6607843530952726</c:v>
                </c:pt>
                <c:pt idx="153">
                  <c:v>-5.6486482179910036</c:v>
                </c:pt>
                <c:pt idx="154">
                  <c:v>-5.6366749012176625</c:v>
                </c:pt>
                <c:pt idx="155">
                  <c:v>-5.6245495866847488</c:v>
                </c:pt>
                <c:pt idx="156">
                  <c:v>-5.6128452755600371</c:v>
                </c:pt>
                <c:pt idx="157">
                  <c:v>-5.6012140733852878</c:v>
                </c:pt>
                <c:pt idx="158">
                  <c:v>-5.5895853177402568</c:v>
                </c:pt>
                <c:pt idx="159">
                  <c:v>-5.5782466564174431</c:v>
                </c:pt>
                <c:pt idx="160">
                  <c:v>-5.566433463433615</c:v>
                </c:pt>
                <c:pt idx="161">
                  <c:v>-5.5545584130238321</c:v>
                </c:pt>
                <c:pt idx="162">
                  <c:v>-5.5433737917338002</c:v>
                </c:pt>
                <c:pt idx="163">
                  <c:v>-5.5320830700703709</c:v>
                </c:pt>
                <c:pt idx="164">
                  <c:v>-5.520498427125621</c:v>
                </c:pt>
                <c:pt idx="165">
                  <c:v>-5.5090915436460275</c:v>
                </c:pt>
                <c:pt idx="166">
                  <c:v>-5.4980524122411856</c:v>
                </c:pt>
                <c:pt idx="167">
                  <c:v>-5.4873384381496679</c:v>
                </c:pt>
                <c:pt idx="168">
                  <c:v>-5.4766923152427402</c:v>
                </c:pt>
                <c:pt idx="169">
                  <c:v>-5.4657137346132565</c:v>
                </c:pt>
                <c:pt idx="170">
                  <c:v>-5.4552103314668869</c:v>
                </c:pt>
                <c:pt idx="171">
                  <c:v>-5.4449912850602908</c:v>
                </c:pt>
                <c:pt idx="172">
                  <c:v>-5.4349585131913605</c:v>
                </c:pt>
                <c:pt idx="173">
                  <c:v>-5.4247067098849886</c:v>
                </c:pt>
                <c:pt idx="174">
                  <c:v>-5.4143646715380251</c:v>
                </c:pt>
                <c:pt idx="175">
                  <c:v>-5.4038698291221845</c:v>
                </c:pt>
                <c:pt idx="176">
                  <c:v>-5.3939056018701192</c:v>
                </c:pt>
                <c:pt idx="177">
                  <c:v>-5.3837383204476739</c:v>
                </c:pt>
                <c:pt idx="178">
                  <c:v>-5.3734820806399775</c:v>
                </c:pt>
                <c:pt idx="179">
                  <c:v>-5.3627990071181877</c:v>
                </c:pt>
                <c:pt idx="180">
                  <c:v>-5.3526530059372348</c:v>
                </c:pt>
                <c:pt idx="181">
                  <c:v>-5.3426133755178435</c:v>
                </c:pt>
                <c:pt idx="182">
                  <c:v>-5.3323954029938134</c:v>
                </c:pt>
                <c:pt idx="183">
                  <c:v>-5.3224351990208145</c:v>
                </c:pt>
                <c:pt idx="184">
                  <c:v>-5.3129240779855831</c:v>
                </c:pt>
                <c:pt idx="185">
                  <c:v>-5.3034878314033254</c:v>
                </c:pt>
                <c:pt idx="186">
                  <c:v>-5.294235994254799</c:v>
                </c:pt>
                <c:pt idx="187">
                  <c:v>-5.2849625366154616</c:v>
                </c:pt>
                <c:pt idx="188">
                  <c:v>-5.2755796629960363</c:v>
                </c:pt>
                <c:pt idx="189">
                  <c:v>-5.2665612110040465</c:v>
                </c:pt>
                <c:pt idx="190">
                  <c:v>-5.2574623387505826</c:v>
                </c:pt>
                <c:pt idx="191">
                  <c:v>-5.2483169810564352</c:v>
                </c:pt>
                <c:pt idx="192">
                  <c:v>-5.2395117336316677</c:v>
                </c:pt>
                <c:pt idx="193">
                  <c:v>-5.2306067913216197</c:v>
                </c:pt>
                <c:pt idx="194">
                  <c:v>-5.2217580803123322</c:v>
                </c:pt>
                <c:pt idx="195">
                  <c:v>-5.2130449237724772</c:v>
                </c:pt>
                <c:pt idx="196">
                  <c:v>-5.2045828411495956</c:v>
                </c:pt>
                <c:pt idx="197">
                  <c:v>-5.1962608023121737</c:v>
                </c:pt>
                <c:pt idx="198">
                  <c:v>-5.1878480186302358</c:v>
                </c:pt>
                <c:pt idx="199">
                  <c:v>-5.179358460430624</c:v>
                </c:pt>
                <c:pt idx="200">
                  <c:v>-5.1712030821409289</c:v>
                </c:pt>
                <c:pt idx="201">
                  <c:v>-5.1633609076055524</c:v>
                </c:pt>
                <c:pt idx="202">
                  <c:v>-5.1556389941373784</c:v>
                </c:pt>
                <c:pt idx="203">
                  <c:v>-5.1477963932658835</c:v>
                </c:pt>
                <c:pt idx="204">
                  <c:v>-5.140024293295852</c:v>
                </c:pt>
                <c:pt idx="205">
                  <c:v>-5.1322376567630501</c:v>
                </c:pt>
                <c:pt idx="206">
                  <c:v>-5.1244385817419014</c:v>
                </c:pt>
                <c:pt idx="207">
                  <c:v>-5.1168307651687748</c:v>
                </c:pt>
                <c:pt idx="208">
                  <c:v>-5.1090048963138139</c:v>
                </c:pt>
                <c:pt idx="209">
                  <c:v>-5.1012695903682905</c:v>
                </c:pt>
                <c:pt idx="210">
                  <c:v>-5.0938371696655089</c:v>
                </c:pt>
                <c:pt idx="211">
                  <c:v>-5.0865544636114493</c:v>
                </c:pt>
                <c:pt idx="212">
                  <c:v>-5.0793242587852721</c:v>
                </c:pt>
                <c:pt idx="213">
                  <c:v>-5.0720628573118125</c:v>
                </c:pt>
                <c:pt idx="214">
                  <c:v>-5.0647876044017526</c:v>
                </c:pt>
                <c:pt idx="215">
                  <c:v>-5.0574201225226467</c:v>
                </c:pt>
                <c:pt idx="216">
                  <c:v>-5.0500242210288047</c:v>
                </c:pt>
                <c:pt idx="217">
                  <c:v>-5.0427239854552237</c:v>
                </c:pt>
                <c:pt idx="218">
                  <c:v>-5.0356319106641791</c:v>
                </c:pt>
                <c:pt idx="219">
                  <c:v>-5.028640709172743</c:v>
                </c:pt>
                <c:pt idx="220">
                  <c:v>-5.0220051686541556</c:v>
                </c:pt>
                <c:pt idx="221">
                  <c:v>-5.0154967860494244</c:v>
                </c:pt>
                <c:pt idx="222">
                  <c:v>-5.0088851568378612</c:v>
                </c:pt>
                <c:pt idx="223">
                  <c:v>-5.0024214331870418</c:v>
                </c:pt>
                <c:pt idx="224">
                  <c:v>-4.9958221808759449</c:v>
                </c:pt>
                <c:pt idx="225">
                  <c:v>-4.989125981656068</c:v>
                </c:pt>
                <c:pt idx="226">
                  <c:v>-4.9826498431236415</c:v>
                </c:pt>
                <c:pt idx="227">
                  <c:v>-4.9763200945035706</c:v>
                </c:pt>
                <c:pt idx="228">
                  <c:v>-4.9701669499407481</c:v>
                </c:pt>
                <c:pt idx="229">
                  <c:v>-4.964076670307108</c:v>
                </c:pt>
                <c:pt idx="230">
                  <c:v>-4.9580743099287838</c:v>
                </c:pt>
                <c:pt idx="231">
                  <c:v>-4.9522956589626181</c:v>
                </c:pt>
                <c:pt idx="232">
                  <c:v>-4.9465439074655695</c:v>
                </c:pt>
                <c:pt idx="233">
                  <c:v>-4.9407808540148421</c:v>
                </c:pt>
                <c:pt idx="234">
                  <c:v>-4.9351185773829895</c:v>
                </c:pt>
                <c:pt idx="235">
                  <c:v>-4.9294939720067346</c:v>
                </c:pt>
                <c:pt idx="236">
                  <c:v>-4.9241114701719848</c:v>
                </c:pt>
                <c:pt idx="237">
                  <c:v>-4.9187709452104631</c:v>
                </c:pt>
                <c:pt idx="238">
                  <c:v>-4.9134329144655391</c:v>
                </c:pt>
                <c:pt idx="239">
                  <c:v>-4.9082933914726761</c:v>
                </c:pt>
                <c:pt idx="240">
                  <c:v>-4.9032193802959236</c:v>
                </c:pt>
                <c:pt idx="241">
                  <c:v>-4.8979530502897957</c:v>
                </c:pt>
                <c:pt idx="242">
                  <c:v>-4.8926662615117049</c:v>
                </c:pt>
                <c:pt idx="243">
                  <c:v>-4.8875614542274946</c:v>
                </c:pt>
                <c:pt idx="244">
                  <c:v>-4.8826714468244781</c:v>
                </c:pt>
                <c:pt idx="245">
                  <c:v>-4.8779268934309989</c:v>
                </c:pt>
                <c:pt idx="246">
                  <c:v>-4.8731486025013897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1.5506245596055472</c:v>
                </c:pt>
                <c:pt idx="15">
                  <c:v>1.6330267925866591</c:v>
                </c:pt>
                <c:pt idx="16">
                  <c:v>1.7211713748677124</c:v>
                </c:pt>
                <c:pt idx="17">
                  <c:v>1.813678571045297</c:v>
                </c:pt>
                <c:pt idx="18">
                  <c:v>1.9123450007072529</c:v>
                </c:pt>
                <c:pt idx="19">
                  <c:v>2.0168372034668764</c:v>
                </c:pt>
                <c:pt idx="20">
                  <c:v>2.1271022355098492</c:v>
                </c:pt>
                <c:pt idx="21">
                  <c:v>2.2435844851984621</c:v>
                </c:pt>
                <c:pt idx="22">
                  <c:v>2.3678969720026362</c:v>
                </c:pt>
                <c:pt idx="23">
                  <c:v>2.4998556361177435</c:v>
                </c:pt>
                <c:pt idx="24">
                  <c:v>2.6366503621646</c:v>
                </c:pt>
                <c:pt idx="25">
                  <c:v>2.7820757172988153</c:v>
                </c:pt>
                <c:pt idx="26">
                  <c:v>2.9373771842909937</c:v>
                </c:pt>
                <c:pt idx="27">
                  <c:v>3.1032969130224717</c:v>
                </c:pt>
                <c:pt idx="28">
                  <c:v>3.2779000595433527</c:v>
                </c:pt>
                <c:pt idx="29">
                  <c:v>3.4631326170776182</c:v>
                </c:pt>
                <c:pt idx="30">
                  <c:v>3.6564215014292332</c:v>
                </c:pt>
                <c:pt idx="31">
                  <c:v>3.8579508327695748</c:v>
                </c:pt>
                <c:pt idx="32">
                  <c:v>4.0633904111287746</c:v>
                </c:pt>
                <c:pt idx="33">
                  <c:v>4.2851260014779173</c:v>
                </c:pt>
                <c:pt idx="34">
                  <c:v>4.5172088498725982</c:v>
                </c:pt>
                <c:pt idx="35">
                  <c:v>4.7630311126512312</c:v>
                </c:pt>
                <c:pt idx="36">
                  <c:v>5.0216419219974258</c:v>
                </c:pt>
                <c:pt idx="37">
                  <c:v>5.2958457019043168</c:v>
                </c:pt>
                <c:pt idx="38">
                  <c:v>5.5903227732589196</c:v>
                </c:pt>
                <c:pt idx="39">
                  <c:v>5.9038060415574645</c:v>
                </c:pt>
                <c:pt idx="40">
                  <c:v>6.2331598540818698</c:v>
                </c:pt>
                <c:pt idx="41">
                  <c:v>6.5767184237460423</c:v>
                </c:pt>
                <c:pt idx="42">
                  <c:v>6.9389781349329605</c:v>
                </c:pt>
                <c:pt idx="43">
                  <c:v>7.3159127014104408</c:v>
                </c:pt>
                <c:pt idx="44">
                  <c:v>7.7104805082310799</c:v>
                </c:pt>
                <c:pt idx="45">
                  <c:v>8.125957497671239</c:v>
                </c:pt>
                <c:pt idx="46">
                  <c:v>8.5661733740012949</c:v>
                </c:pt>
                <c:pt idx="47">
                  <c:v>9.0292212958343772</c:v>
                </c:pt>
                <c:pt idx="48">
                  <c:v>9.5184870922439888</c:v>
                </c:pt>
                <c:pt idx="49">
                  <c:v>10.031111466083278</c:v>
                </c:pt>
                <c:pt idx="50">
                  <c:v>10.5639921455007</c:v>
                </c:pt>
                <c:pt idx="51">
                  <c:v>11.123383155326986</c:v>
                </c:pt>
                <c:pt idx="52">
                  <c:v>11.697284055619804</c:v>
                </c:pt>
                <c:pt idx="53">
                  <c:v>12.282995236019003</c:v>
                </c:pt>
                <c:pt idx="54">
                  <c:v>12.899990288326403</c:v>
                </c:pt>
                <c:pt idx="55">
                  <c:v>13.549906103431393</c:v>
                </c:pt>
                <c:pt idx="56">
                  <c:v>14.220171435165799</c:v>
                </c:pt>
                <c:pt idx="57">
                  <c:v>14.923553048092938</c:v>
                </c:pt>
                <c:pt idx="58">
                  <c:v>15.675104206404837</c:v>
                </c:pt>
                <c:pt idx="59">
                  <c:v>16.464046259364764</c:v>
                </c:pt>
                <c:pt idx="60">
                  <c:v>17.256526715243069</c:v>
                </c:pt>
                <c:pt idx="61">
                  <c:v>18.080014618283865</c:v>
                </c:pt>
                <c:pt idx="62">
                  <c:v>18.959177846098765</c:v>
                </c:pt>
                <c:pt idx="63">
                  <c:v>19.847800403892922</c:v>
                </c:pt>
                <c:pt idx="64">
                  <c:v>20.792369603575644</c:v>
                </c:pt>
                <c:pt idx="65">
                  <c:v>21.790302130133348</c:v>
                </c:pt>
                <c:pt idx="66">
                  <c:v>22.814468989802105</c:v>
                </c:pt>
                <c:pt idx="67">
                  <c:v>23.870756067647072</c:v>
                </c:pt>
                <c:pt idx="68">
                  <c:v>24.981009289537727</c:v>
                </c:pt>
                <c:pt idx="69">
                  <c:v>26.1119675608353</c:v>
                </c:pt>
                <c:pt idx="70">
                  <c:v>27.286964015334942</c:v>
                </c:pt>
                <c:pt idx="71">
                  <c:v>28.495851502263033</c:v>
                </c:pt>
                <c:pt idx="72">
                  <c:v>29.760201157907595</c:v>
                </c:pt>
                <c:pt idx="73">
                  <c:v>31.070041503983415</c:v>
                </c:pt>
                <c:pt idx="74">
                  <c:v>32.421460927240567</c:v>
                </c:pt>
                <c:pt idx="75">
                  <c:v>33.784786100609246</c:v>
                </c:pt>
                <c:pt idx="76">
                  <c:v>35.198858500457199</c:v>
                </c:pt>
                <c:pt idx="77">
                  <c:v>36.684628726301781</c:v>
                </c:pt>
                <c:pt idx="78">
                  <c:v>38.210336727713205</c:v>
                </c:pt>
                <c:pt idx="79">
                  <c:v>39.754447911218215</c:v>
                </c:pt>
                <c:pt idx="80">
                  <c:v>41.339182812393538</c:v>
                </c:pt>
                <c:pt idx="81">
                  <c:v>42.973983841827994</c:v>
                </c:pt>
                <c:pt idx="82">
                  <c:v>44.664312808667539</c:v>
                </c:pt>
                <c:pt idx="83">
                  <c:v>46.419213956470493</c:v>
                </c:pt>
                <c:pt idx="84">
                  <c:v>48.216662073011697</c:v>
                </c:pt>
                <c:pt idx="85">
                  <c:v>50.085482717533516</c:v>
                </c:pt>
                <c:pt idx="86">
                  <c:v>51.982386633847291</c:v>
                </c:pt>
                <c:pt idx="87">
                  <c:v>53.903047499560678</c:v>
                </c:pt>
                <c:pt idx="88">
                  <c:v>55.836951047925879</c:v>
                </c:pt>
                <c:pt idx="89">
                  <c:v>57.805257968832535</c:v>
                </c:pt>
                <c:pt idx="90">
                  <c:v>59.836120233844511</c:v>
                </c:pt>
                <c:pt idx="91">
                  <c:v>61.860861800672986</c:v>
                </c:pt>
                <c:pt idx="92">
                  <c:v>63.925493509479146</c:v>
                </c:pt>
                <c:pt idx="93">
                  <c:v>66.031569511742902</c:v>
                </c:pt>
                <c:pt idx="94">
                  <c:v>68.171411913045702</c:v>
                </c:pt>
                <c:pt idx="95">
                  <c:v>70.313789264041532</c:v>
                </c:pt>
                <c:pt idx="96">
                  <c:v>72.451553946482093</c:v>
                </c:pt>
                <c:pt idx="97">
                  <c:v>74.609384569372466</c:v>
                </c:pt>
                <c:pt idx="98">
                  <c:v>76.759926145315831</c:v>
                </c:pt>
                <c:pt idx="99">
                  <c:v>78.945950619687267</c:v>
                </c:pt>
                <c:pt idx="100">
                  <c:v>81.196571059994838</c:v>
                </c:pt>
                <c:pt idx="101">
                  <c:v>83.428045786890181</c:v>
                </c:pt>
                <c:pt idx="102">
                  <c:v>85.656406570463659</c:v>
                </c:pt>
                <c:pt idx="103">
                  <c:v>87.98051740984755</c:v>
                </c:pt>
                <c:pt idx="104">
                  <c:v>90.28771191578322</c:v>
                </c:pt>
                <c:pt idx="105">
                  <c:v>92.61448685975607</c:v>
                </c:pt>
                <c:pt idx="106">
                  <c:v>94.922281487166345</c:v>
                </c:pt>
                <c:pt idx="107">
                  <c:v>97.277401463920441</c:v>
                </c:pt>
                <c:pt idx="108">
                  <c:v>99.621319789206609</c:v>
                </c:pt>
                <c:pt idx="109">
                  <c:v>101.86202347832293</c:v>
                </c:pt>
                <c:pt idx="110">
                  <c:v>104.1327768795089</c:v>
                </c:pt>
                <c:pt idx="111">
                  <c:v>106.37908482346113</c:v>
                </c:pt>
                <c:pt idx="112">
                  <c:v>108.67191079247515</c:v>
                </c:pt>
                <c:pt idx="113">
                  <c:v>111.00162072192364</c:v>
                </c:pt>
                <c:pt idx="114">
                  <c:v>113.39251173111064</c:v>
                </c:pt>
                <c:pt idx="115">
                  <c:v>115.81738204561843</c:v>
                </c:pt>
                <c:pt idx="116">
                  <c:v>118.09604205151737</c:v>
                </c:pt>
                <c:pt idx="117">
                  <c:v>120.30616649722197</c:v>
                </c:pt>
                <c:pt idx="118">
                  <c:v>122.51866957276776</c:v>
                </c:pt>
                <c:pt idx="119">
                  <c:v>124.70571349974685</c:v>
                </c:pt>
                <c:pt idx="120">
                  <c:v>126.86430963050471</c:v>
                </c:pt>
                <c:pt idx="121">
                  <c:v>128.96750132529112</c:v>
                </c:pt>
                <c:pt idx="122">
                  <c:v>131.069973761753</c:v>
                </c:pt>
                <c:pt idx="123">
                  <c:v>133.18034652746485</c:v>
                </c:pt>
                <c:pt idx="124">
                  <c:v>135.22593728536324</c:v>
                </c:pt>
                <c:pt idx="125">
                  <c:v>137.21537769286991</c:v>
                </c:pt>
                <c:pt idx="126">
                  <c:v>139.12538778640763</c:v>
                </c:pt>
                <c:pt idx="127">
                  <c:v>141.03529351722241</c:v>
                </c:pt>
                <c:pt idx="128">
                  <c:v>142.96609958654065</c:v>
                </c:pt>
                <c:pt idx="129">
                  <c:v>144.91955833720627</c:v>
                </c:pt>
                <c:pt idx="130">
                  <c:v>146.83780708733255</c:v>
                </c:pt>
                <c:pt idx="131">
                  <c:v>148.68624840028164</c:v>
                </c:pt>
                <c:pt idx="132">
                  <c:v>150.4993606123989</c:v>
                </c:pt>
                <c:pt idx="133">
                  <c:v>152.28870529291862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28.960095690536843</c:v>
                </c:pt>
                <c:pt idx="1">
                  <c:v>28.173747921527429</c:v>
                </c:pt>
                <c:pt idx="2">
                  <c:v>27.464910073503027</c:v>
                </c:pt>
                <c:pt idx="3">
                  <c:v>26.807483894897906</c:v>
                </c:pt>
                <c:pt idx="4">
                  <c:v>26.185468628706055</c:v>
                </c:pt>
                <c:pt idx="5">
                  <c:v>25.616916402116704</c:v>
                </c:pt>
                <c:pt idx="6">
                  <c:v>25.101907657773936</c:v>
                </c:pt>
                <c:pt idx="7">
                  <c:v>24.637569994717261</c:v>
                </c:pt>
                <c:pt idx="8">
                  <c:v>24.223345829048192</c:v>
                </c:pt>
                <c:pt idx="9">
                  <c:v>23.845243795154744</c:v>
                </c:pt>
                <c:pt idx="10">
                  <c:v>23.516899231241108</c:v>
                </c:pt>
                <c:pt idx="11">
                  <c:v>23.226071841434958</c:v>
                </c:pt>
                <c:pt idx="12">
                  <c:v>22.969911095746752</c:v>
                </c:pt>
                <c:pt idx="13">
                  <c:v>22.756899258505964</c:v>
                </c:pt>
                <c:pt idx="14">
                  <c:v>22.585778116115435</c:v>
                </c:pt>
                <c:pt idx="15">
                  <c:v>22.363381844917964</c:v>
                </c:pt>
                <c:pt idx="16">
                  <c:v>22.163276198174373</c:v>
                </c:pt>
                <c:pt idx="17">
                  <c:v>21.982200066970886</c:v>
                </c:pt>
                <c:pt idx="18">
                  <c:v>21.86295426510064</c:v>
                </c:pt>
                <c:pt idx="19">
                  <c:v>21.773673455163504</c:v>
                </c:pt>
                <c:pt idx="20">
                  <c:v>21.701081485818328</c:v>
                </c:pt>
                <c:pt idx="21">
                  <c:v>21.651636126562973</c:v>
                </c:pt>
                <c:pt idx="22">
                  <c:v>21.623505892795674</c:v>
                </c:pt>
                <c:pt idx="23">
                  <c:v>21.597429949714897</c:v>
                </c:pt>
                <c:pt idx="24">
                  <c:v>21.581108102475319</c:v>
                </c:pt>
                <c:pt idx="25">
                  <c:v>21.567461244352621</c:v>
                </c:pt>
                <c:pt idx="26">
                  <c:v>21.558343474744149</c:v>
                </c:pt>
                <c:pt idx="27">
                  <c:v>21.561377049961987</c:v>
                </c:pt>
                <c:pt idx="28">
                  <c:v>21.572384998650591</c:v>
                </c:pt>
                <c:pt idx="29">
                  <c:v>21.577124534612416</c:v>
                </c:pt>
                <c:pt idx="30">
                  <c:v>21.593384373272436</c:v>
                </c:pt>
                <c:pt idx="31">
                  <c:v>21.599504479880459</c:v>
                </c:pt>
                <c:pt idx="32">
                  <c:v>21.619669527703085</c:v>
                </c:pt>
                <c:pt idx="33">
                  <c:v>21.639258429175189</c:v>
                </c:pt>
                <c:pt idx="34">
                  <c:v>21.63878627516138</c:v>
                </c:pt>
                <c:pt idx="35">
                  <c:v>21.624266231360004</c:v>
                </c:pt>
                <c:pt idx="36">
                  <c:v>21.603210408299038</c:v>
                </c:pt>
                <c:pt idx="37">
                  <c:v>21.56706302516832</c:v>
                </c:pt>
                <c:pt idx="38">
                  <c:v>21.5188095713909</c:v>
                </c:pt>
                <c:pt idx="39">
                  <c:v>21.462887616623004</c:v>
                </c:pt>
                <c:pt idx="40">
                  <c:v>21.399094326233669</c:v>
                </c:pt>
                <c:pt idx="41">
                  <c:v>21.307568267386443</c:v>
                </c:pt>
                <c:pt idx="42">
                  <c:v>21.197552600917618</c:v>
                </c:pt>
                <c:pt idx="43">
                  <c:v>21.074885672132684</c:v>
                </c:pt>
                <c:pt idx="44">
                  <c:v>20.931402116580944</c:v>
                </c:pt>
                <c:pt idx="45">
                  <c:v>20.788157789378506</c:v>
                </c:pt>
                <c:pt idx="46">
                  <c:v>20.615693673498676</c:v>
                </c:pt>
                <c:pt idx="47">
                  <c:v>20.414747423012209</c:v>
                </c:pt>
                <c:pt idx="48">
                  <c:v>20.203534462414446</c:v>
                </c:pt>
                <c:pt idx="49">
                  <c:v>19.972735097217821</c:v>
                </c:pt>
                <c:pt idx="50">
                  <c:v>19.709310090092139</c:v>
                </c:pt>
                <c:pt idx="51">
                  <c:v>19.424028041480476</c:v>
                </c:pt>
                <c:pt idx="52">
                  <c:v>19.107166218010363</c:v>
                </c:pt>
                <c:pt idx="53">
                  <c:v>18.758447183684467</c:v>
                </c:pt>
                <c:pt idx="54">
                  <c:v>18.377614190115381</c:v>
                </c:pt>
                <c:pt idx="55">
                  <c:v>17.960240558000425</c:v>
                </c:pt>
                <c:pt idx="56">
                  <c:v>17.528955091494637</c:v>
                </c:pt>
                <c:pt idx="57">
                  <c:v>17.081581542297265</c:v>
                </c:pt>
                <c:pt idx="58">
                  <c:v>16.593471266187024</c:v>
                </c:pt>
                <c:pt idx="59">
                  <c:v>16.079274654693343</c:v>
                </c:pt>
                <c:pt idx="60">
                  <c:v>15.569935638771888</c:v>
                </c:pt>
                <c:pt idx="61">
                  <c:v>15.026799177776164</c:v>
                </c:pt>
                <c:pt idx="62">
                  <c:v>14.434003723084638</c:v>
                </c:pt>
                <c:pt idx="63">
                  <c:v>13.821464696191903</c:v>
                </c:pt>
                <c:pt idx="64">
                  <c:v>13.146356507249257</c:v>
                </c:pt>
                <c:pt idx="65">
                  <c:v>12.429842848926562</c:v>
                </c:pt>
                <c:pt idx="66">
                  <c:v>11.674304390426897</c:v>
                </c:pt>
                <c:pt idx="67">
                  <c:v>10.912873021634287</c:v>
                </c:pt>
                <c:pt idx="68">
                  <c:v>10.102075120253534</c:v>
                </c:pt>
                <c:pt idx="69">
                  <c:v>9.2553389959235481</c:v>
                </c:pt>
                <c:pt idx="70">
                  <c:v>8.3591621193325079</c:v>
                </c:pt>
                <c:pt idx="71">
                  <c:v>7.4284231503480456</c:v>
                </c:pt>
                <c:pt idx="72">
                  <c:v>6.4462230452107869</c:v>
                </c:pt>
                <c:pt idx="73">
                  <c:v>5.4171152038069321</c:v>
                </c:pt>
                <c:pt idx="74">
                  <c:v>4.3387758629616302</c:v>
                </c:pt>
                <c:pt idx="75">
                  <c:v>3.2333875152863225</c:v>
                </c:pt>
                <c:pt idx="76">
                  <c:v>2.08343344673602</c:v>
                </c:pt>
                <c:pt idx="77">
                  <c:v>0.85545453543269723</c:v>
                </c:pt>
                <c:pt idx="78">
                  <c:v>-0.41139882032537445</c:v>
                </c:pt>
                <c:pt idx="79">
                  <c:v>-1.7003849707508221</c:v>
                </c:pt>
                <c:pt idx="80">
                  <c:v>-3.036148255108357</c:v>
                </c:pt>
                <c:pt idx="81">
                  <c:v>-4.4272145816632928</c:v>
                </c:pt>
                <c:pt idx="82">
                  <c:v>-5.86520980705009</c:v>
                </c:pt>
                <c:pt idx="83">
                  <c:v>-7.3766364385934322</c:v>
                </c:pt>
                <c:pt idx="84">
                  <c:v>-8.9315352850536378</c:v>
                </c:pt>
                <c:pt idx="85">
                  <c:v>-10.550869985570166</c:v>
                </c:pt>
                <c:pt idx="86">
                  <c:v>-12.211906960331046</c:v>
                </c:pt>
                <c:pt idx="87">
                  <c:v>-13.895821992034692</c:v>
                </c:pt>
                <c:pt idx="88">
                  <c:v>-15.602767527858166</c:v>
                </c:pt>
                <c:pt idx="89">
                  <c:v>-17.338655429578317</c:v>
                </c:pt>
                <c:pt idx="90">
                  <c:v>-19.131837952618625</c:v>
                </c:pt>
                <c:pt idx="91">
                  <c:v>-20.93351355712494</c:v>
                </c:pt>
                <c:pt idx="92">
                  <c:v>-22.780237296650711</c:v>
                </c:pt>
                <c:pt idx="93">
                  <c:v>-24.662902357694307</c:v>
                </c:pt>
                <c:pt idx="94">
                  <c:v>-26.580908331932491</c:v>
                </c:pt>
                <c:pt idx="95">
                  <c:v>-28.501680644119581</c:v>
                </c:pt>
                <c:pt idx="96">
                  <c:v>-30.412702870883745</c:v>
                </c:pt>
                <c:pt idx="97">
                  <c:v>-32.344620596379755</c:v>
                </c:pt>
                <c:pt idx="98">
                  <c:v>-34.273570921927863</c:v>
                </c:pt>
                <c:pt idx="99">
                  <c:v>-36.230315596872551</c:v>
                </c:pt>
                <c:pt idx="100">
                  <c:v>-38.247985638439829</c:v>
                </c:pt>
                <c:pt idx="101">
                  <c:v>-40.247662888533775</c:v>
                </c:pt>
                <c:pt idx="102">
                  <c:v>-42.245622202916067</c:v>
                </c:pt>
                <c:pt idx="103">
                  <c:v>-44.322933576010143</c:v>
                </c:pt>
                <c:pt idx="104">
                  <c:v>-46.385540071518214</c:v>
                </c:pt>
                <c:pt idx="105">
                  <c:v>-48.464402069148584</c:v>
                </c:pt>
                <c:pt idx="106">
                  <c:v>-50.528697186172444</c:v>
                </c:pt>
                <c:pt idx="107">
                  <c:v>-52.639929642432939</c:v>
                </c:pt>
                <c:pt idx="108">
                  <c:v>-54.734042482051827</c:v>
                </c:pt>
                <c:pt idx="109">
                  <c:v>-56.732661157024012</c:v>
                </c:pt>
                <c:pt idx="110">
                  <c:v>-58.758689144106832</c:v>
                </c:pt>
                <c:pt idx="111">
                  <c:v>-60.75267192969536</c:v>
                </c:pt>
                <c:pt idx="112">
                  <c:v>-62.76005650803107</c:v>
                </c:pt>
                <c:pt idx="113">
                  <c:v>-64.79234496877956</c:v>
                </c:pt>
                <c:pt idx="114">
                  <c:v>-66.871542730342313</c:v>
                </c:pt>
                <c:pt idx="115">
                  <c:v>-68.966657903411715</c:v>
                </c:pt>
                <c:pt idx="116">
                  <c:v>-70.931767243825135</c:v>
                </c:pt>
                <c:pt idx="117">
                  <c:v>-72.839021040446326</c:v>
                </c:pt>
                <c:pt idx="118">
                  <c:v>-74.747399481148591</c:v>
                </c:pt>
                <c:pt idx="119">
                  <c:v>-76.633326668479455</c:v>
                </c:pt>
                <c:pt idx="120">
                  <c:v>-78.494033548166556</c:v>
                </c:pt>
                <c:pt idx="121">
                  <c:v>-80.306698349594868</c:v>
                </c:pt>
                <c:pt idx="122">
                  <c:v>-82.116901794716227</c:v>
                </c:pt>
                <c:pt idx="123">
                  <c:v>-83.931533377247334</c:v>
                </c:pt>
                <c:pt idx="124">
                  <c:v>-85.689660751457495</c:v>
                </c:pt>
                <c:pt idx="125">
                  <c:v>-87.398318978344562</c:v>
                </c:pt>
                <c:pt idx="126">
                  <c:v>-89.0378524384885</c:v>
                </c:pt>
                <c:pt idx="127">
                  <c:v>-90.674639430116599</c:v>
                </c:pt>
                <c:pt idx="128">
                  <c:v>-92.325884466955415</c:v>
                </c:pt>
                <c:pt idx="129">
                  <c:v>-93.992526926779362</c:v>
                </c:pt>
                <c:pt idx="130">
                  <c:v>-95.626303275381801</c:v>
                </c:pt>
                <c:pt idx="131">
                  <c:v>-97.198526275972483</c:v>
                </c:pt>
                <c:pt idx="132">
                  <c:v>-98.737685346555423</c:v>
                </c:pt>
                <c:pt idx="133">
                  <c:v>-100.25322096414061</c:v>
                </c:pt>
                <c:pt idx="134">
                  <c:v>-101.700334708257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0.25771006729881663</c:v>
                </c:pt>
                <c:pt idx="1">
                  <c:v>0.50605197583590744</c:v>
                </c:pt>
                <c:pt idx="2">
                  <c:v>0.73660176343279005</c:v>
                </c:pt>
                <c:pt idx="3">
                  <c:v>0.96150205767306951</c:v>
                </c:pt>
                <c:pt idx="4">
                  <c:v>1.187370244515414</c:v>
                </c:pt>
                <c:pt idx="5">
                  <c:v>1.4186595601293814</c:v>
                </c:pt>
                <c:pt idx="6">
                  <c:v>1.6570607591346322</c:v>
                </c:pt>
                <c:pt idx="7">
                  <c:v>1.8830273093175196</c:v>
                </c:pt>
                <c:pt idx="8">
                  <c:v>2.0968333738209961</c:v>
                </c:pt>
                <c:pt idx="9">
                  <c:v>2.3048082371204011</c:v>
                </c:pt>
                <c:pt idx="10">
                  <c:v>2.523704171223514</c:v>
                </c:pt>
                <c:pt idx="11">
                  <c:v>2.7446188011572312</c:v>
                </c:pt>
                <c:pt idx="12">
                  <c:v>2.9576862858232627</c:v>
                </c:pt>
                <c:pt idx="13">
                  <c:v>3.1744393086489837</c:v>
                </c:pt>
                <c:pt idx="14">
                  <c:v>3.3909682296097894</c:v>
                </c:pt>
                <c:pt idx="15">
                  <c:v>3.6066035162531249</c:v>
                </c:pt>
                <c:pt idx="16">
                  <c:v>3.8251524645602148</c:v>
                </c:pt>
                <c:pt idx="17">
                  <c:v>4.0350745025525461</c:v>
                </c:pt>
                <c:pt idx="18">
                  <c:v>4.2886593590333453</c:v>
                </c:pt>
                <c:pt idx="19">
                  <c:v>4.5520076841722226</c:v>
                </c:pt>
                <c:pt idx="20">
                  <c:v>4.812078172042022</c:v>
                </c:pt>
                <c:pt idx="21">
                  <c:v>5.0776327524767613</c:v>
                </c:pt>
                <c:pt idx="22">
                  <c:v>5.3520630998873653</c:v>
                </c:pt>
                <c:pt idx="23">
                  <c:v>5.6153532918080575</c:v>
                </c:pt>
                <c:pt idx="24">
                  <c:v>5.8694810712843069</c:v>
                </c:pt>
                <c:pt idx="25">
                  <c:v>6.117500100059039</c:v>
                </c:pt>
                <c:pt idx="26">
                  <c:v>6.3637351182973623</c:v>
                </c:pt>
                <c:pt idx="27">
                  <c:v>6.6169978514590735</c:v>
                </c:pt>
                <c:pt idx="28">
                  <c:v>6.8703782819197041</c:v>
                </c:pt>
                <c:pt idx="29">
                  <c:v>7.1134706251785591</c:v>
                </c:pt>
                <c:pt idx="30">
                  <c:v>7.3616093157003828</c:v>
                </c:pt>
                <c:pt idx="31">
                  <c:v>7.5949470807877075</c:v>
                </c:pt>
                <c:pt idx="32">
                  <c:v>7.8345458248913804</c:v>
                </c:pt>
                <c:pt idx="33">
                  <c:v>8.0802335270773256</c:v>
                </c:pt>
                <c:pt idx="34">
                  <c:v>8.3068012614464379</c:v>
                </c:pt>
                <c:pt idx="35">
                  <c:v>8.52431168556536</c:v>
                </c:pt>
                <c:pt idx="36">
                  <c:v>8.7400529110281795</c:v>
                </c:pt>
                <c:pt idx="37">
                  <c:v>8.9499223573781848</c:v>
                </c:pt>
                <c:pt idx="38">
                  <c:v>9.1616816145716697</c:v>
                </c:pt>
                <c:pt idx="39">
                  <c:v>9.3778570809919231</c:v>
                </c:pt>
                <c:pt idx="40">
                  <c:v>9.5956528021398313</c:v>
                </c:pt>
                <c:pt idx="41">
                  <c:v>9.7997955376640995</c:v>
                </c:pt>
                <c:pt idx="42">
                  <c:v>10.001402216419711</c:v>
                </c:pt>
                <c:pt idx="43">
                  <c:v>10.201515817977505</c:v>
                </c:pt>
                <c:pt idx="44">
                  <c:v>10.39721292726971</c:v>
                </c:pt>
                <c:pt idx="45">
                  <c:v>10.604941056455152</c:v>
                </c:pt>
                <c:pt idx="46">
                  <c:v>10.808130568147398</c:v>
                </c:pt>
                <c:pt idx="47">
                  <c:v>11.006185218450861</c:v>
                </c:pt>
                <c:pt idx="48">
                  <c:v>11.213103553760662</c:v>
                </c:pt>
                <c:pt idx="49">
                  <c:v>11.420862562402222</c:v>
                </c:pt>
                <c:pt idx="50">
                  <c:v>11.619293833346756</c:v>
                </c:pt>
                <c:pt idx="51">
                  <c:v>11.819597326333659</c:v>
                </c:pt>
                <c:pt idx="52">
                  <c:v>12.007695671383948</c:v>
                </c:pt>
                <c:pt idx="53">
                  <c:v>12.182078388071252</c:v>
                </c:pt>
                <c:pt idx="54">
                  <c:v>12.355899847065116</c:v>
                </c:pt>
                <c:pt idx="55">
                  <c:v>12.527674869691074</c:v>
                </c:pt>
                <c:pt idx="56">
                  <c:v>12.701937156121714</c:v>
                </c:pt>
                <c:pt idx="57">
                  <c:v>12.885913516513593</c:v>
                </c:pt>
                <c:pt idx="58">
                  <c:v>13.075010906999429</c:v>
                </c:pt>
                <c:pt idx="59">
                  <c:v>13.270658388105053</c:v>
                </c:pt>
                <c:pt idx="60">
                  <c:v>13.470811761986296</c:v>
                </c:pt>
                <c:pt idx="61">
                  <c:v>13.668344442343162</c:v>
                </c:pt>
                <c:pt idx="62">
                  <c:v>13.869476371303076</c:v>
                </c:pt>
                <c:pt idx="63">
                  <c:v>14.063399606116528</c:v>
                </c:pt>
                <c:pt idx="64">
                  <c:v>14.253794848562332</c:v>
                </c:pt>
                <c:pt idx="65">
                  <c:v>14.4520028340284</c:v>
                </c:pt>
                <c:pt idx="66">
                  <c:v>14.641960147490858</c:v>
                </c:pt>
                <c:pt idx="67">
                  <c:v>14.854400567355546</c:v>
                </c:pt>
                <c:pt idx="68">
                  <c:v>15.070737811885396</c:v>
                </c:pt>
                <c:pt idx="69">
                  <c:v>15.274331782738711</c:v>
                </c:pt>
                <c:pt idx="70">
                  <c:v>15.472961549172048</c:v>
                </c:pt>
                <c:pt idx="71">
                  <c:v>15.672287755294148</c:v>
                </c:pt>
                <c:pt idx="72">
                  <c:v>15.87538206359614</c:v>
                </c:pt>
                <c:pt idx="73">
                  <c:v>16.077750428744622</c:v>
                </c:pt>
                <c:pt idx="74">
                  <c:v>16.27351648785616</c:v>
                </c:pt>
                <c:pt idx="75">
                  <c:v>16.457278080682851</c:v>
                </c:pt>
                <c:pt idx="76">
                  <c:v>16.647465585886607</c:v>
                </c:pt>
                <c:pt idx="77">
                  <c:v>16.832691249853006</c:v>
                </c:pt>
                <c:pt idx="78">
                  <c:v>17.018764077517375</c:v>
                </c:pt>
                <c:pt idx="79">
                  <c:v>17.202891911051864</c:v>
                </c:pt>
                <c:pt idx="80">
                  <c:v>17.382747452420709</c:v>
                </c:pt>
                <c:pt idx="81">
                  <c:v>17.559804868968413</c:v>
                </c:pt>
                <c:pt idx="82">
                  <c:v>17.743284972909166</c:v>
                </c:pt>
                <c:pt idx="83">
                  <c:v>17.921582667576462</c:v>
                </c:pt>
                <c:pt idx="84">
                  <c:v>18.099595388228636</c:v>
                </c:pt>
                <c:pt idx="85">
                  <c:v>18.282940535095324</c:v>
                </c:pt>
                <c:pt idx="86">
                  <c:v>18.457661552132603</c:v>
                </c:pt>
                <c:pt idx="87">
                  <c:v>18.632905651200375</c:v>
                </c:pt>
                <c:pt idx="88">
                  <c:v>18.801706409265936</c:v>
                </c:pt>
                <c:pt idx="89">
                  <c:v>18.97428189153824</c:v>
                </c:pt>
                <c:pt idx="90">
                  <c:v>19.151094173863637</c:v>
                </c:pt>
                <c:pt idx="91">
                  <c:v>19.318023046575998</c:v>
                </c:pt>
                <c:pt idx="92">
                  <c:v>19.482019247010236</c:v>
                </c:pt>
                <c:pt idx="93">
                  <c:v>19.650074379155498</c:v>
                </c:pt>
                <c:pt idx="94">
                  <c:v>19.817475940197085</c:v>
                </c:pt>
                <c:pt idx="95">
                  <c:v>19.984681130268168</c:v>
                </c:pt>
                <c:pt idx="96">
                  <c:v>20.158585742074422</c:v>
                </c:pt>
                <c:pt idx="97">
                  <c:v>20.332681034098648</c:v>
                </c:pt>
                <c:pt idx="98">
                  <c:v>20.504084573780695</c:v>
                </c:pt>
                <c:pt idx="99">
                  <c:v>20.6836670623257</c:v>
                </c:pt>
                <c:pt idx="100">
                  <c:v>20.86669828203674</c:v>
                </c:pt>
                <c:pt idx="101">
                  <c:v>21.050301519704046</c:v>
                </c:pt>
                <c:pt idx="102">
                  <c:v>21.233747999406546</c:v>
                </c:pt>
                <c:pt idx="103">
                  <c:v>21.432605185503377</c:v>
                </c:pt>
                <c:pt idx="104">
                  <c:v>21.630733743271488</c:v>
                </c:pt>
                <c:pt idx="105">
                  <c:v>21.83280539102633</c:v>
                </c:pt>
                <c:pt idx="106">
                  <c:v>22.031819927944326</c:v>
                </c:pt>
                <c:pt idx="107">
                  <c:v>22.231175446359462</c:v>
                </c:pt>
                <c:pt idx="108">
                  <c:v>22.437536588186614</c:v>
                </c:pt>
                <c:pt idx="109">
                  <c:v>22.638895019405016</c:v>
                </c:pt>
                <c:pt idx="110">
                  <c:v>22.843032400802187</c:v>
                </c:pt>
                <c:pt idx="111">
                  <c:v>23.055852344763405</c:v>
                </c:pt>
                <c:pt idx="112">
                  <c:v>23.30157415669721</c:v>
                </c:pt>
                <c:pt idx="113">
                  <c:v>23.55921187669297</c:v>
                </c:pt>
                <c:pt idx="114">
                  <c:v>23.830600904502194</c:v>
                </c:pt>
                <c:pt idx="115">
                  <c:v>24.119991577603049</c:v>
                </c:pt>
                <c:pt idx="116">
                  <c:v>24.39620497942304</c:v>
                </c:pt>
                <c:pt idx="117">
                  <c:v>24.663274489067941</c:v>
                </c:pt>
                <c:pt idx="118">
                  <c:v>24.931930684348021</c:v>
                </c:pt>
                <c:pt idx="119">
                  <c:v>25.198321936618282</c:v>
                </c:pt>
                <c:pt idx="120">
                  <c:v>25.462235227458862</c:v>
                </c:pt>
                <c:pt idx="121">
                  <c:v>25.719904600775529</c:v>
                </c:pt>
                <c:pt idx="122">
                  <c:v>25.979570993188709</c:v>
                </c:pt>
                <c:pt idx="123">
                  <c:v>26.242810924975458</c:v>
                </c:pt>
                <c:pt idx="124">
                  <c:v>26.498933574645037</c:v>
                </c:pt>
                <c:pt idx="125">
                  <c:v>26.749361087456361</c:v>
                </c:pt>
                <c:pt idx="126">
                  <c:v>26.990754276494748</c:v>
                </c:pt>
                <c:pt idx="127">
                  <c:v>27.234921993353833</c:v>
                </c:pt>
                <c:pt idx="128">
                  <c:v>27.485349506165157</c:v>
                </c:pt>
                <c:pt idx="129">
                  <c:v>27.742797570126768</c:v>
                </c:pt>
                <c:pt idx="130">
                  <c:v>27.998479345015159</c:v>
                </c:pt>
                <c:pt idx="131">
                  <c:v>28.246953738066082</c:v>
                </c:pt>
                <c:pt idx="132">
                  <c:v>28.493699903903185</c:v>
                </c:pt>
                <c:pt idx="133">
                  <c:v>28.74066169279596</c:v>
                </c:pt>
                <c:pt idx="134">
                  <c:v>28.979088757172175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-1.0890372760771951</c:v>
                </c:pt>
                <c:pt idx="2">
                  <c:v>-2.1237269536236996</c:v>
                </c:pt>
                <c:pt idx="3">
                  <c:v>-3.063114589244984</c:v>
                </c:pt>
                <c:pt idx="4">
                  <c:v>-3.945441062090385</c:v>
                </c:pt>
                <c:pt idx="5">
                  <c:v>-4.7933245151245796</c:v>
                </c:pt>
                <c:pt idx="6">
                  <c:v>-5.5931660573278972</c:v>
                </c:pt>
                <c:pt idx="7">
                  <c:v>-6.3465760006759151</c:v>
                </c:pt>
                <c:pt idx="8">
                  <c:v>-7.0368802139154774</c:v>
                </c:pt>
                <c:pt idx="9">
                  <c:v>-7.6649104440880205</c:v>
                </c:pt>
                <c:pt idx="10">
                  <c:v>-8.2509873412808723</c:v>
                </c:pt>
                <c:pt idx="11">
                  <c:v>-8.7982278392976205</c:v>
                </c:pt>
                <c:pt idx="12">
                  <c:v>-9.3099698590374889</c:v>
                </c:pt>
                <c:pt idx="13">
                  <c:v>-9.779198089391727</c:v>
                </c:pt>
                <c:pt idx="14">
                  <c:v>-10.208962949458236</c:v>
                </c:pt>
                <c:pt idx="15">
                  <c:v>-10.596613012809572</c:v>
                </c:pt>
                <c:pt idx="16">
                  <c:v>-10.952242337669267</c:v>
                </c:pt>
                <c:pt idx="17">
                  <c:v>-11.282752350438896</c:v>
                </c:pt>
                <c:pt idx="18">
                  <c:v>-11.581243323457128</c:v>
                </c:pt>
                <c:pt idx="19">
                  <c:v>-11.855407552146216</c:v>
                </c:pt>
                <c:pt idx="20">
                  <c:v>-12.103544484462608</c:v>
                </c:pt>
                <c:pt idx="21">
                  <c:v>-12.325941909634613</c:v>
                </c:pt>
                <c:pt idx="22">
                  <c:v>-12.524459599636094</c:v>
                </c:pt>
                <c:pt idx="23">
                  <c:v>-12.702707694009822</c:v>
                </c:pt>
                <c:pt idx="24">
                  <c:v>-12.860115164896184</c:v>
                </c:pt>
                <c:pt idx="25">
                  <c:v>-12.993770065565156</c:v>
                </c:pt>
                <c:pt idx="26">
                  <c:v>-13.110010597328371</c:v>
                </c:pt>
                <c:pt idx="27">
                  <c:v>-13.210061918182989</c:v>
                </c:pt>
                <c:pt idx="28">
                  <c:v>-13.294371347395385</c:v>
                </c:pt>
                <c:pt idx="29">
                  <c:v>-13.362140682646531</c:v>
                </c:pt>
                <c:pt idx="30">
                  <c:v>-13.415260932409295</c:v>
                </c:pt>
                <c:pt idx="31">
                  <c:v>-13.453850899919486</c:v>
                </c:pt>
                <c:pt idx="32">
                  <c:v>-13.479539227058444</c:v>
                </c:pt>
                <c:pt idx="33">
                  <c:v>-13.493533344980291</c:v>
                </c:pt>
                <c:pt idx="34">
                  <c:v>-13.497896555344989</c:v>
                </c:pt>
                <c:pt idx="35">
                  <c:v>-13.492853595333228</c:v>
                </c:pt>
                <c:pt idx="36">
                  <c:v>-13.479061800474893</c:v>
                </c:pt>
                <c:pt idx="37">
                  <c:v>-13.457248039652482</c:v>
                </c:pt>
                <c:pt idx="38">
                  <c:v>-13.429061089226314</c:v>
                </c:pt>
                <c:pt idx="39">
                  <c:v>-13.394596728842616</c:v>
                </c:pt>
                <c:pt idx="40">
                  <c:v>-13.353210881732222</c:v>
                </c:pt>
                <c:pt idx="41">
                  <c:v>-13.305446080745059</c:v>
                </c:pt>
                <c:pt idx="42">
                  <c:v>-13.257556305452381</c:v>
                </c:pt>
                <c:pt idx="43">
                  <c:v>-13.206918939489897</c:v>
                </c:pt>
                <c:pt idx="44">
                  <c:v>-13.152764903355147</c:v>
                </c:pt>
                <c:pt idx="45">
                  <c:v>-13.097377761378452</c:v>
                </c:pt>
                <c:pt idx="46">
                  <c:v>-13.032873228326173</c:v>
                </c:pt>
                <c:pt idx="47">
                  <c:v>-12.968310979568196</c:v>
                </c:pt>
                <c:pt idx="48">
                  <c:v>-12.904263958525041</c:v>
                </c:pt>
                <c:pt idx="49">
                  <c:v>-12.833129458022993</c:v>
                </c:pt>
                <c:pt idx="50">
                  <c:v>-12.75906345802189</c:v>
                </c:pt>
                <c:pt idx="51">
                  <c:v>-12.688039056674681</c:v>
                </c:pt>
                <c:pt idx="52">
                  <c:v>-12.614233588446963</c:v>
                </c:pt>
                <c:pt idx="53">
                  <c:v>-12.545292856674548</c:v>
                </c:pt>
                <c:pt idx="54">
                  <c:v>-12.482683427288551</c:v>
                </c:pt>
                <c:pt idx="55">
                  <c:v>-12.420342827544102</c:v>
                </c:pt>
                <c:pt idx="56">
                  <c:v>-12.359575667180026</c:v>
                </c:pt>
                <c:pt idx="57">
                  <c:v>-12.294858088382048</c:v>
                </c:pt>
                <c:pt idx="58">
                  <c:v>-12.222826385044163</c:v>
                </c:pt>
                <c:pt idx="59">
                  <c:v>-12.148482893328341</c:v>
                </c:pt>
                <c:pt idx="60">
                  <c:v>-12.06938493296772</c:v>
                </c:pt>
                <c:pt idx="61">
                  <c:v>-11.986396866892113</c:v>
                </c:pt>
                <c:pt idx="62">
                  <c:v>-11.903578105203907</c:v>
                </c:pt>
                <c:pt idx="63">
                  <c:v>-11.818342261040447</c:v>
                </c:pt>
                <c:pt idx="64">
                  <c:v>-11.736181964952477</c:v>
                </c:pt>
                <c:pt idx="65">
                  <c:v>-11.657116196658206</c:v>
                </c:pt>
                <c:pt idx="66">
                  <c:v>-11.573905313889265</c:v>
                </c:pt>
                <c:pt idx="67">
                  <c:v>-11.49523422618263</c:v>
                </c:pt>
                <c:pt idx="68">
                  <c:v>-11.412818936994961</c:v>
                </c:pt>
                <c:pt idx="69">
                  <c:v>-11.329700861014908</c:v>
                </c:pt>
                <c:pt idx="70">
                  <c:v>-11.249072684900637</c:v>
                </c:pt>
                <c:pt idx="71">
                  <c:v>-11.168882873425373</c:v>
                </c:pt>
                <c:pt idx="72">
                  <c:v>-11.090060561603844</c:v>
                </c:pt>
                <c:pt idx="73">
                  <c:v>-11.011005319398532</c:v>
                </c:pt>
                <c:pt idx="74">
                  <c:v>-10.932641179875048</c:v>
                </c:pt>
                <c:pt idx="75">
                  <c:v>-10.855327156574736</c:v>
                </c:pt>
                <c:pt idx="76">
                  <c:v>-10.781151923708055</c:v>
                </c:pt>
                <c:pt idx="77">
                  <c:v>-10.707221097614163</c:v>
                </c:pt>
                <c:pt idx="78">
                  <c:v>-10.634655447039302</c:v>
                </c:pt>
                <c:pt idx="79">
                  <c:v>-10.561873629050318</c:v>
                </c:pt>
                <c:pt idx="80">
                  <c:v>-10.490876429505246</c:v>
                </c:pt>
                <c:pt idx="81">
                  <c:v>-10.421760354056303</c:v>
                </c:pt>
                <c:pt idx="82">
                  <c:v>-10.355083067724488</c:v>
                </c:pt>
                <c:pt idx="83">
                  <c:v>-10.286229430212492</c:v>
                </c:pt>
                <c:pt idx="84">
                  <c:v>-10.221052608620175</c:v>
                </c:pt>
                <c:pt idx="85">
                  <c:v>-10.15651605919135</c:v>
                </c:pt>
                <c:pt idx="86">
                  <c:v>-10.090375262052749</c:v>
                </c:pt>
                <c:pt idx="87">
                  <c:v>-10.02922933753713</c:v>
                </c:pt>
                <c:pt idx="88">
                  <c:v>-9.9677276025951613</c:v>
                </c:pt>
                <c:pt idx="89">
                  <c:v>-9.9095703481189954</c:v>
                </c:pt>
                <c:pt idx="90">
                  <c:v>-9.8497268112047944</c:v>
                </c:pt>
                <c:pt idx="91">
                  <c:v>-9.7888593515585232</c:v>
                </c:pt>
                <c:pt idx="92">
                  <c:v>-9.732722261948723</c:v>
                </c:pt>
                <c:pt idx="93">
                  <c:v>-9.6788104931025725</c:v>
                </c:pt>
                <c:pt idx="94">
                  <c:v>-9.6234546840276778</c:v>
                </c:pt>
                <c:pt idx="95">
                  <c:v>-9.5690198180046462</c:v>
                </c:pt>
                <c:pt idx="96">
                  <c:v>-9.5146199692669917</c:v>
                </c:pt>
                <c:pt idx="97">
                  <c:v>-9.4617821253968479</c:v>
                </c:pt>
                <c:pt idx="98">
                  <c:v>-9.4099645200267137</c:v>
                </c:pt>
                <c:pt idx="99">
                  <c:v>-9.3597768093135052</c:v>
                </c:pt>
                <c:pt idx="100">
                  <c:v>-9.3100794984317652</c:v>
                </c:pt>
                <c:pt idx="101">
                  <c:v>-9.2601603194025142</c:v>
                </c:pt>
                <c:pt idx="102">
                  <c:v>-9.2119660802684251</c:v>
                </c:pt>
                <c:pt idx="103">
                  <c:v>-9.165011090779732</c:v>
                </c:pt>
                <c:pt idx="104">
                  <c:v>-9.1170688105867494</c:v>
                </c:pt>
                <c:pt idx="105">
                  <c:v>-9.0706093579272657</c:v>
                </c:pt>
                <c:pt idx="106">
                  <c:v>-9.0247680593396247</c:v>
                </c:pt>
                <c:pt idx="107">
                  <c:v>-8.9802830858712088</c:v>
                </c:pt>
                <c:pt idx="108">
                  <c:v>-8.9357510837927414</c:v>
                </c:pt>
                <c:pt idx="109">
                  <c:v>-8.8923067399526108</c:v>
                </c:pt>
                <c:pt idx="110">
                  <c:v>-8.8515801570268824</c:v>
                </c:pt>
                <c:pt idx="111">
                  <c:v>-8.8109921243209044</c:v>
                </c:pt>
                <c:pt idx="112">
                  <c:v>-8.7714869099184138</c:v>
                </c:pt>
                <c:pt idx="113">
                  <c:v>-8.731767331173911</c:v>
                </c:pt>
                <c:pt idx="114">
                  <c:v>-8.6919835824696587</c:v>
                </c:pt>
                <c:pt idx="115">
                  <c:v>-8.6516793626546367</c:v>
                </c:pt>
                <c:pt idx="116">
                  <c:v>-8.6113148943171058</c:v>
                </c:pt>
                <c:pt idx="117">
                  <c:v>-8.5739776306515658</c:v>
                </c:pt>
                <c:pt idx="118">
                  <c:v>-8.5381764912130631</c:v>
                </c:pt>
                <c:pt idx="119">
                  <c:v>-8.5027080516496181</c:v>
                </c:pt>
                <c:pt idx="120">
                  <c:v>-8.467982564271642</c:v>
                </c:pt>
                <c:pt idx="121">
                  <c:v>-8.4340066040414658</c:v>
                </c:pt>
                <c:pt idx="122">
                  <c:v>-8.4011490840000373</c:v>
                </c:pt>
                <c:pt idx="123">
                  <c:v>-8.3685464850726916</c:v>
                </c:pt>
                <c:pt idx="124">
                  <c:v>-8.3360452336787105</c:v>
                </c:pt>
                <c:pt idx="125">
                  <c:v>-8.3047044996600565</c:v>
                </c:pt>
                <c:pt idx="126">
                  <c:v>-8.2743498318517901</c:v>
                </c:pt>
                <c:pt idx="127">
                  <c:v>-8.2452663874963896</c:v>
                </c:pt>
                <c:pt idx="128">
                  <c:v>-8.2163153651687839</c:v>
                </c:pt>
                <c:pt idx="129">
                  <c:v>-8.1871818455006977</c:v>
                </c:pt>
                <c:pt idx="130">
                  <c:v>-8.1578136186206383</c:v>
                </c:pt>
                <c:pt idx="131">
                  <c:v>-8.1290229919851829</c:v>
                </c:pt>
                <c:pt idx="132">
                  <c:v>-8.1012790726776949</c:v>
                </c:pt>
                <c:pt idx="133">
                  <c:v>-8.074072096980478</c:v>
                </c:pt>
                <c:pt idx="134">
                  <c:v>-8.047224822938718</c:v>
                </c:pt>
                <c:pt idx="135">
                  <c:v>-8.0214709243499378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119.89999999999999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119.07499999999999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117.875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</c:v>
                </c:pt>
                <c:pt idx="157">
                  <c:v>120</c:v>
                </c:pt>
                <c:pt idx="158">
                  <c:v>119.50000000000001</c:v>
                </c:pt>
                <c:pt idx="159">
                  <c:v>118.97501815862728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118.70000000000002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117.5</c:v>
                </c:pt>
                <c:pt idx="172">
                  <c:v>113.27500449668185</c:v>
                </c:pt>
                <c:pt idx="173">
                  <c:v>113.2250129498173</c:v>
                </c:pt>
                <c:pt idx="174">
                  <c:v>114.3250195075456</c:v>
                </c:pt>
                <c:pt idx="175">
                  <c:v>117.02502463558604</c:v>
                </c:pt>
                <c:pt idx="176">
                  <c:v>117.15002657954957</c:v>
                </c:pt>
                <c:pt idx="177">
                  <c:v>113.1750280848572</c:v>
                </c:pt>
                <c:pt idx="178">
                  <c:v>106.95003074162619</c:v>
                </c:pt>
                <c:pt idx="179">
                  <c:v>107.25003457138378</c:v>
                </c:pt>
                <c:pt idx="180">
                  <c:v>110.30003711137878</c:v>
                </c:pt>
                <c:pt idx="181">
                  <c:v>108.57503870302868</c:v>
                </c:pt>
                <c:pt idx="182">
                  <c:v>105.32504016149987</c:v>
                </c:pt>
                <c:pt idx="183">
                  <c:v>100.22504179334959</c:v>
                </c:pt>
                <c:pt idx="184">
                  <c:v>96.200043453495695</c:v>
                </c:pt>
                <c:pt idx="185">
                  <c:v>89.175044991731681</c:v>
                </c:pt>
                <c:pt idx="186">
                  <c:v>87.100046318197357</c:v>
                </c:pt>
                <c:pt idx="187">
                  <c:v>86.675047445719485</c:v>
                </c:pt>
                <c:pt idx="188">
                  <c:v>93.557540390085876</c:v>
                </c:pt>
                <c:pt idx="189">
                  <c:v>94.98254095065586</c:v>
                </c:pt>
                <c:pt idx="190">
                  <c:v>97.132541318093359</c:v>
                </c:pt>
                <c:pt idx="191">
                  <c:v>96.944104025029162</c:v>
                </c:pt>
                <c:pt idx="192">
                  <c:v>96.881009606675264</c:v>
                </c:pt>
                <c:pt idx="193">
                  <c:v>94.556070712546713</c:v>
                </c:pt>
                <c:pt idx="194">
                  <c:v>89.90941712524851</c:v>
                </c:pt>
                <c:pt idx="195">
                  <c:v>90.492212675071457</c:v>
                </c:pt>
                <c:pt idx="196">
                  <c:v>88.942636372810668</c:v>
                </c:pt>
                <c:pt idx="197">
                  <c:v>87.824476728741729</c:v>
                </c:pt>
                <c:pt idx="198">
                  <c:v>84.036067760026185</c:v>
                </c:pt>
                <c:pt idx="199">
                  <c:v>86.337968763583802</c:v>
                </c:pt>
                <c:pt idx="200">
                  <c:v>83.045743730379499</c:v>
                </c:pt>
                <c:pt idx="201">
                  <c:v>79.902422506979264</c:v>
                </c:pt>
                <c:pt idx="202">
                  <c:v>75.41515294105487</c:v>
                </c:pt>
                <c:pt idx="203">
                  <c:v>73.387049216584515</c:v>
                </c:pt>
                <c:pt idx="204">
                  <c:v>73.021645359619953</c:v>
                </c:pt>
                <c:pt idx="205">
                  <c:v>75.61491376677661</c:v>
                </c:pt>
                <c:pt idx="206">
                  <c:v>75.083725746659638</c:v>
                </c:pt>
                <c:pt idx="207">
                  <c:v>73.649198278615614</c:v>
                </c:pt>
                <c:pt idx="208">
                  <c:v>72.502882688834276</c:v>
                </c:pt>
                <c:pt idx="209">
                  <c:v>70.278113869749319</c:v>
                </c:pt>
                <c:pt idx="210">
                  <c:v>71.434757295816581</c:v>
                </c:pt>
                <c:pt idx="211">
                  <c:v>75.866241288931349</c:v>
                </c:pt>
                <c:pt idx="212">
                  <c:v>75.062233889140032</c:v>
                </c:pt>
                <c:pt idx="213">
                  <c:v>74.793080340131681</c:v>
                </c:pt>
                <c:pt idx="214">
                  <c:v>71.891725025029245</c:v>
                </c:pt>
                <c:pt idx="215">
                  <c:v>78.614243851622149</c:v>
                </c:pt>
                <c:pt idx="216">
                  <c:v>75.882725855363873</c:v>
                </c:pt>
                <c:pt idx="217">
                  <c:v>84.715124164524525</c:v>
                </c:pt>
                <c:pt idx="218">
                  <c:v>89.878411421941195</c:v>
                </c:pt>
                <c:pt idx="219">
                  <c:v>91.533858291647036</c:v>
                </c:pt>
                <c:pt idx="220">
                  <c:v>93.706061622856083</c:v>
                </c:pt>
                <c:pt idx="221">
                  <c:v>91.794137917314998</c:v>
                </c:pt>
                <c:pt idx="222">
                  <c:v>87.463541726023877</c:v>
                </c:pt>
                <c:pt idx="223">
                  <c:v>87.508805392890594</c:v>
                </c:pt>
                <c:pt idx="224">
                  <c:v>82.767939926630262</c:v>
                </c:pt>
                <c:pt idx="225">
                  <c:v>80.860288128409621</c:v>
                </c:pt>
                <c:pt idx="226">
                  <c:v>78.30678683669224</c:v>
                </c:pt>
                <c:pt idx="227">
                  <c:v>82.032279525194951</c:v>
                </c:pt>
                <c:pt idx="228">
                  <c:v>81.33863518320922</c:v>
                </c:pt>
                <c:pt idx="229">
                  <c:v>87.960415584608441</c:v>
                </c:pt>
                <c:pt idx="230">
                  <c:v>92.312055865977612</c:v>
                </c:pt>
                <c:pt idx="231">
                  <c:v>95.913628040088597</c:v>
                </c:pt>
                <c:pt idx="232">
                  <c:v>98.40613160410588</c:v>
                </c:pt>
                <c:pt idx="233">
                  <c:v>93.168088701659016</c:v>
                </c:pt>
                <c:pt idx="234">
                  <c:v>94.728771476169726</c:v>
                </c:pt>
                <c:pt idx="235">
                  <c:v>90.699241400417634</c:v>
                </c:pt>
                <c:pt idx="236">
                  <c:v>88.426431829631611</c:v>
                </c:pt>
                <c:pt idx="237">
                  <c:v>89.137850323048113</c:v>
                </c:pt>
                <c:pt idx="238">
                  <c:v>93.218963068172215</c:v>
                </c:pt>
                <c:pt idx="239">
                  <c:v>87.518526515142796</c:v>
                </c:pt>
                <c:pt idx="240">
                  <c:v>84.546558207851916</c:v>
                </c:pt>
                <c:pt idx="241">
                  <c:v>79.032823434318459</c:v>
                </c:pt>
                <c:pt idx="242">
                  <c:v>79.543660354522686</c:v>
                </c:pt>
                <c:pt idx="243">
                  <c:v>84.296453909789648</c:v>
                </c:pt>
                <c:pt idx="244">
                  <c:v>99.545299358237671</c:v>
                </c:pt>
                <c:pt idx="245">
                  <c:v>97.210939650644676</c:v>
                </c:pt>
                <c:pt idx="246">
                  <c:v>91.276863918331273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5.000000000002558E-3</c:v>
                </c:pt>
                <c:pt idx="2">
                  <c:v>0.72500000000000853</c:v>
                </c:pt>
                <c:pt idx="3">
                  <c:v>1.1150000000000091</c:v>
                </c:pt>
                <c:pt idx="4">
                  <c:v>2.3850000000000122</c:v>
                </c:pt>
                <c:pt idx="5">
                  <c:v>4.0450000000000159</c:v>
                </c:pt>
                <c:pt idx="6">
                  <c:v>4.0450000000000159</c:v>
                </c:pt>
                <c:pt idx="7">
                  <c:v>5.5665416666666871</c:v>
                </c:pt>
                <c:pt idx="8">
                  <c:v>6.1665416666666886</c:v>
                </c:pt>
                <c:pt idx="9">
                  <c:v>7.6665416666666886</c:v>
                </c:pt>
                <c:pt idx="10">
                  <c:v>8.26654166666669</c:v>
                </c:pt>
                <c:pt idx="11">
                  <c:v>10.246541666666694</c:v>
                </c:pt>
                <c:pt idx="12">
                  <c:v>11.876541666666697</c:v>
                </c:pt>
                <c:pt idx="13">
                  <c:v>13.086541666666697</c:v>
                </c:pt>
                <c:pt idx="14">
                  <c:v>15.416541666666696</c:v>
                </c:pt>
                <c:pt idx="15">
                  <c:v>17.756541666666699</c:v>
                </c:pt>
                <c:pt idx="16">
                  <c:v>19.936541666666699</c:v>
                </c:pt>
                <c:pt idx="17">
                  <c:v>21.976541666666698</c:v>
                </c:pt>
                <c:pt idx="18">
                  <c:v>21.976541666666698</c:v>
                </c:pt>
                <c:pt idx="19">
                  <c:v>25.377795833333359</c:v>
                </c:pt>
                <c:pt idx="20">
                  <c:v>29.037795833333355</c:v>
                </c:pt>
                <c:pt idx="21">
                  <c:v>32.367795833333361</c:v>
                </c:pt>
                <c:pt idx="22">
                  <c:v>38.72779583333336</c:v>
                </c:pt>
                <c:pt idx="23">
                  <c:v>42.557795833333358</c:v>
                </c:pt>
                <c:pt idx="24">
                  <c:v>47.027795833333357</c:v>
                </c:pt>
                <c:pt idx="25">
                  <c:v>52.487795833333351</c:v>
                </c:pt>
                <c:pt idx="26">
                  <c:v>55.317795833333349</c:v>
                </c:pt>
                <c:pt idx="27">
                  <c:v>57.647795833333348</c:v>
                </c:pt>
                <c:pt idx="28">
                  <c:v>61.167795833333351</c:v>
                </c:pt>
                <c:pt idx="29">
                  <c:v>65.237795833333351</c:v>
                </c:pt>
                <c:pt idx="30">
                  <c:v>69.477795833333346</c:v>
                </c:pt>
                <c:pt idx="31">
                  <c:v>72.357795833333341</c:v>
                </c:pt>
                <c:pt idx="32">
                  <c:v>76.167795833333344</c:v>
                </c:pt>
                <c:pt idx="33">
                  <c:v>77.467795833333341</c:v>
                </c:pt>
                <c:pt idx="34">
                  <c:v>80.507795833333347</c:v>
                </c:pt>
                <c:pt idx="35">
                  <c:v>82.547795833333339</c:v>
                </c:pt>
                <c:pt idx="36">
                  <c:v>84.707795833333336</c:v>
                </c:pt>
                <c:pt idx="37">
                  <c:v>86.447795833333331</c:v>
                </c:pt>
                <c:pt idx="38">
                  <c:v>87.867795833333332</c:v>
                </c:pt>
                <c:pt idx="39">
                  <c:v>91.677795833333334</c:v>
                </c:pt>
                <c:pt idx="40">
                  <c:v>97.567795833333335</c:v>
                </c:pt>
                <c:pt idx="41">
                  <c:v>101.10779583333334</c:v>
                </c:pt>
                <c:pt idx="42">
                  <c:v>103.94779583333334</c:v>
                </c:pt>
                <c:pt idx="43">
                  <c:v>106.07779583333334</c:v>
                </c:pt>
                <c:pt idx="44">
                  <c:v>108.03779583333333</c:v>
                </c:pt>
                <c:pt idx="45">
                  <c:v>113.12779583333332</c:v>
                </c:pt>
                <c:pt idx="46">
                  <c:v>116.01779583333331</c:v>
                </c:pt>
                <c:pt idx="47">
                  <c:v>119.40779583333331</c:v>
                </c:pt>
                <c:pt idx="48">
                  <c:v>123.0277958333333</c:v>
                </c:pt>
                <c:pt idx="49">
                  <c:v>125.9677958333333</c:v>
                </c:pt>
                <c:pt idx="50">
                  <c:v>130.59779583333329</c:v>
                </c:pt>
                <c:pt idx="51">
                  <c:v>131.50779583333329</c:v>
                </c:pt>
                <c:pt idx="52">
                  <c:v>132.38779583333329</c:v>
                </c:pt>
                <c:pt idx="53">
                  <c:v>136.0877958333333</c:v>
                </c:pt>
                <c:pt idx="54">
                  <c:v>141.3677958333333</c:v>
                </c:pt>
                <c:pt idx="55">
                  <c:v>148.79779583333331</c:v>
                </c:pt>
                <c:pt idx="56">
                  <c:v>151.25779583333332</c:v>
                </c:pt>
                <c:pt idx="57">
                  <c:v>152.59779583333332</c:v>
                </c:pt>
                <c:pt idx="58">
                  <c:v>156.94779583333332</c:v>
                </c:pt>
                <c:pt idx="59">
                  <c:v>160.91779583333332</c:v>
                </c:pt>
                <c:pt idx="60">
                  <c:v>167.07779583333331</c:v>
                </c:pt>
                <c:pt idx="61">
                  <c:v>169.16779583333332</c:v>
                </c:pt>
                <c:pt idx="62">
                  <c:v>172.10779583333331</c:v>
                </c:pt>
                <c:pt idx="63">
                  <c:v>174.10779583333331</c:v>
                </c:pt>
                <c:pt idx="64">
                  <c:v>178.07779583333331</c:v>
                </c:pt>
                <c:pt idx="65">
                  <c:v>179.59779583333332</c:v>
                </c:pt>
                <c:pt idx="66">
                  <c:v>182.72779583333332</c:v>
                </c:pt>
                <c:pt idx="67">
                  <c:v>184.18779583333333</c:v>
                </c:pt>
                <c:pt idx="68">
                  <c:v>186.63779583333331</c:v>
                </c:pt>
                <c:pt idx="69">
                  <c:v>189.78779583333332</c:v>
                </c:pt>
                <c:pt idx="70">
                  <c:v>190.63779583333331</c:v>
                </c:pt>
                <c:pt idx="71">
                  <c:v>193.34779583333329</c:v>
                </c:pt>
                <c:pt idx="72">
                  <c:v>199.1477958333333</c:v>
                </c:pt>
                <c:pt idx="73">
                  <c:v>200.3677958333333</c:v>
                </c:pt>
                <c:pt idx="74">
                  <c:v>203.6477958333333</c:v>
                </c:pt>
                <c:pt idx="75">
                  <c:v>208.72779583333329</c:v>
                </c:pt>
                <c:pt idx="76">
                  <c:v>212.63779583333329</c:v>
                </c:pt>
                <c:pt idx="77">
                  <c:v>219.05779583333327</c:v>
                </c:pt>
                <c:pt idx="78">
                  <c:v>225.56779583333326</c:v>
                </c:pt>
                <c:pt idx="79">
                  <c:v>228.52779583333327</c:v>
                </c:pt>
                <c:pt idx="80">
                  <c:v>229.97779583333329</c:v>
                </c:pt>
                <c:pt idx="81">
                  <c:v>233.38779583333329</c:v>
                </c:pt>
                <c:pt idx="82">
                  <c:v>237.55779583333327</c:v>
                </c:pt>
                <c:pt idx="83">
                  <c:v>244.27779583333327</c:v>
                </c:pt>
                <c:pt idx="84">
                  <c:v>247.14779583333328</c:v>
                </c:pt>
                <c:pt idx="85">
                  <c:v>250.66779583333329</c:v>
                </c:pt>
                <c:pt idx="86">
                  <c:v>252.81779583333329</c:v>
                </c:pt>
                <c:pt idx="87">
                  <c:v>256.66779583333329</c:v>
                </c:pt>
                <c:pt idx="88">
                  <c:v>258.68779583333327</c:v>
                </c:pt>
                <c:pt idx="89">
                  <c:v>262.91779583333329</c:v>
                </c:pt>
                <c:pt idx="90">
                  <c:v>264.28779583333329</c:v>
                </c:pt>
                <c:pt idx="91">
                  <c:v>267.23779583333328</c:v>
                </c:pt>
                <c:pt idx="92">
                  <c:v>269.66779583333329</c:v>
                </c:pt>
                <c:pt idx="93">
                  <c:v>274.01779583333325</c:v>
                </c:pt>
                <c:pt idx="94">
                  <c:v>275.81779583333326</c:v>
                </c:pt>
                <c:pt idx="95">
                  <c:v>279.43779583333327</c:v>
                </c:pt>
                <c:pt idx="96">
                  <c:v>282.98779583333328</c:v>
                </c:pt>
                <c:pt idx="97">
                  <c:v>285.67779583333328</c:v>
                </c:pt>
                <c:pt idx="98">
                  <c:v>287.45779583333331</c:v>
                </c:pt>
                <c:pt idx="99">
                  <c:v>288.07779583333331</c:v>
                </c:pt>
                <c:pt idx="100">
                  <c:v>291.01779583333331</c:v>
                </c:pt>
                <c:pt idx="101">
                  <c:v>293.76779583333331</c:v>
                </c:pt>
                <c:pt idx="102">
                  <c:v>297.7177958333333</c:v>
                </c:pt>
                <c:pt idx="103">
                  <c:v>299.86779583333328</c:v>
                </c:pt>
                <c:pt idx="104">
                  <c:v>302.53779583333329</c:v>
                </c:pt>
                <c:pt idx="105">
                  <c:v>305.82779583333331</c:v>
                </c:pt>
                <c:pt idx="106">
                  <c:v>309.16779583333334</c:v>
                </c:pt>
                <c:pt idx="107">
                  <c:v>311.77779583333336</c:v>
                </c:pt>
                <c:pt idx="108">
                  <c:v>315.11779583333339</c:v>
                </c:pt>
                <c:pt idx="109">
                  <c:v>317.1677958333334</c:v>
                </c:pt>
                <c:pt idx="110">
                  <c:v>318.90779583333341</c:v>
                </c:pt>
                <c:pt idx="111">
                  <c:v>321.92779583333339</c:v>
                </c:pt>
                <c:pt idx="112">
                  <c:v>324.11779583333339</c:v>
                </c:pt>
                <c:pt idx="113">
                  <c:v>326.15779583333341</c:v>
                </c:pt>
                <c:pt idx="114">
                  <c:v>327.39779583333342</c:v>
                </c:pt>
                <c:pt idx="115">
                  <c:v>328.6677958333334</c:v>
                </c:pt>
                <c:pt idx="116">
                  <c:v>333.96779583333341</c:v>
                </c:pt>
                <c:pt idx="117">
                  <c:v>336.50779583333343</c:v>
                </c:pt>
                <c:pt idx="118">
                  <c:v>337.39779583333342</c:v>
                </c:pt>
                <c:pt idx="119">
                  <c:v>337.68779583333344</c:v>
                </c:pt>
                <c:pt idx="120">
                  <c:v>337.91779583333346</c:v>
                </c:pt>
                <c:pt idx="121">
                  <c:v>339.07779583333348</c:v>
                </c:pt>
                <c:pt idx="122">
                  <c:v>341.81779583333349</c:v>
                </c:pt>
                <c:pt idx="123">
                  <c:v>342.75779583333349</c:v>
                </c:pt>
                <c:pt idx="124">
                  <c:v>343.50779583333349</c:v>
                </c:pt>
                <c:pt idx="125">
                  <c:v>343.6177958333335</c:v>
                </c:pt>
                <c:pt idx="126">
                  <c:v>345.3077958333335</c:v>
                </c:pt>
                <c:pt idx="127">
                  <c:v>348.96779583333353</c:v>
                </c:pt>
                <c:pt idx="128">
                  <c:v>350.67779583333351</c:v>
                </c:pt>
                <c:pt idx="129">
                  <c:v>351.21779583333353</c:v>
                </c:pt>
                <c:pt idx="130">
                  <c:v>353.22779583333352</c:v>
                </c:pt>
                <c:pt idx="131">
                  <c:v>354.66779583333351</c:v>
                </c:pt>
                <c:pt idx="132">
                  <c:v>354.66779583333351</c:v>
                </c:pt>
                <c:pt idx="133">
                  <c:v>354.78467036667558</c:v>
                </c:pt>
                <c:pt idx="134">
                  <c:v>356.29467036667558</c:v>
                </c:pt>
                <c:pt idx="135">
                  <c:v>359.15467036667559</c:v>
                </c:pt>
                <c:pt idx="136">
                  <c:v>360.27467036667559</c:v>
                </c:pt>
                <c:pt idx="137">
                  <c:v>361.21467036667559</c:v>
                </c:pt>
                <c:pt idx="138">
                  <c:v>362.52467036667559</c:v>
                </c:pt>
                <c:pt idx="139">
                  <c:v>362.84467036667559</c:v>
                </c:pt>
                <c:pt idx="140">
                  <c:v>362.9546703666756</c:v>
                </c:pt>
                <c:pt idx="141">
                  <c:v>364.24467036667562</c:v>
                </c:pt>
                <c:pt idx="142">
                  <c:v>364.25467036667561</c:v>
                </c:pt>
                <c:pt idx="143">
                  <c:v>364.41467036667564</c:v>
                </c:pt>
                <c:pt idx="144">
                  <c:v>366.16467036667564</c:v>
                </c:pt>
                <c:pt idx="145">
                  <c:v>367.10467036667563</c:v>
                </c:pt>
                <c:pt idx="146">
                  <c:v>369.14467036667565</c:v>
                </c:pt>
                <c:pt idx="147">
                  <c:v>369.94467036667567</c:v>
                </c:pt>
                <c:pt idx="148">
                  <c:v>371.75467036667567</c:v>
                </c:pt>
                <c:pt idx="149">
                  <c:v>371.94467036667567</c:v>
                </c:pt>
                <c:pt idx="150">
                  <c:v>373.75467036667567</c:v>
                </c:pt>
                <c:pt idx="151">
                  <c:v>374.79467036667569</c:v>
                </c:pt>
                <c:pt idx="152">
                  <c:v>377.62467036667567</c:v>
                </c:pt>
                <c:pt idx="153">
                  <c:v>382.11467036667568</c:v>
                </c:pt>
                <c:pt idx="154">
                  <c:v>383.94467036667567</c:v>
                </c:pt>
                <c:pt idx="155">
                  <c:v>386.19467036667567</c:v>
                </c:pt>
                <c:pt idx="156">
                  <c:v>386.19467036667567</c:v>
                </c:pt>
                <c:pt idx="157">
                  <c:v>386.97468799250976</c:v>
                </c:pt>
                <c:pt idx="158">
                  <c:v>386.97468799250976</c:v>
                </c:pt>
                <c:pt idx="159">
                  <c:v>386.97468799250976</c:v>
                </c:pt>
                <c:pt idx="160">
                  <c:v>387.94470633346435</c:v>
                </c:pt>
                <c:pt idx="161">
                  <c:v>389.46470633346433</c:v>
                </c:pt>
                <c:pt idx="162">
                  <c:v>391.16470633346432</c:v>
                </c:pt>
                <c:pt idx="163">
                  <c:v>391.16470633346432</c:v>
                </c:pt>
                <c:pt idx="164">
                  <c:v>393.11471202479481</c:v>
                </c:pt>
                <c:pt idx="165">
                  <c:v>395.08471202479484</c:v>
                </c:pt>
                <c:pt idx="166">
                  <c:v>397.84471202479483</c:v>
                </c:pt>
                <c:pt idx="167">
                  <c:v>400.59471202479483</c:v>
                </c:pt>
                <c:pt idx="168">
                  <c:v>400.70471202479484</c:v>
                </c:pt>
                <c:pt idx="169">
                  <c:v>400.89471202479484</c:v>
                </c:pt>
                <c:pt idx="170">
                  <c:v>401.56471202479486</c:v>
                </c:pt>
                <c:pt idx="171">
                  <c:v>401.56471202479486</c:v>
                </c:pt>
                <c:pt idx="172">
                  <c:v>401.56471202479486</c:v>
                </c:pt>
                <c:pt idx="173">
                  <c:v>401.56471202479486</c:v>
                </c:pt>
                <c:pt idx="174">
                  <c:v>401.56471202479486</c:v>
                </c:pt>
                <c:pt idx="175">
                  <c:v>401.56471202479486</c:v>
                </c:pt>
                <c:pt idx="176">
                  <c:v>401.56471202479486</c:v>
                </c:pt>
                <c:pt idx="177">
                  <c:v>401.56471202479486</c:v>
                </c:pt>
                <c:pt idx="178">
                  <c:v>401.56471202479486</c:v>
                </c:pt>
                <c:pt idx="179">
                  <c:v>401.56471202479486</c:v>
                </c:pt>
                <c:pt idx="180">
                  <c:v>401.56471202479486</c:v>
                </c:pt>
                <c:pt idx="181">
                  <c:v>401.56471202479486</c:v>
                </c:pt>
                <c:pt idx="182">
                  <c:v>401.56471202479486</c:v>
                </c:pt>
                <c:pt idx="183">
                  <c:v>401.56471202479486</c:v>
                </c:pt>
                <c:pt idx="184">
                  <c:v>401.56471202479486</c:v>
                </c:pt>
                <c:pt idx="185">
                  <c:v>401.56471202479486</c:v>
                </c:pt>
                <c:pt idx="186">
                  <c:v>401.56471202479486</c:v>
                </c:pt>
                <c:pt idx="187">
                  <c:v>401.56471202479486</c:v>
                </c:pt>
                <c:pt idx="188">
                  <c:v>401.56471202479486</c:v>
                </c:pt>
                <c:pt idx="189">
                  <c:v>401.56471202479486</c:v>
                </c:pt>
                <c:pt idx="190">
                  <c:v>401.56471202479486</c:v>
                </c:pt>
                <c:pt idx="191">
                  <c:v>401.56471202479486</c:v>
                </c:pt>
                <c:pt idx="192">
                  <c:v>401.56471202479486</c:v>
                </c:pt>
                <c:pt idx="193">
                  <c:v>401.56471202479486</c:v>
                </c:pt>
                <c:pt idx="194">
                  <c:v>401.56471202479486</c:v>
                </c:pt>
                <c:pt idx="195">
                  <c:v>401.56471202479486</c:v>
                </c:pt>
                <c:pt idx="196">
                  <c:v>401.56471202479486</c:v>
                </c:pt>
                <c:pt idx="197">
                  <c:v>401.56471202479486</c:v>
                </c:pt>
                <c:pt idx="198">
                  <c:v>401.56471202479486</c:v>
                </c:pt>
                <c:pt idx="199">
                  <c:v>401.56471202479486</c:v>
                </c:pt>
                <c:pt idx="200">
                  <c:v>401.56471202479486</c:v>
                </c:pt>
                <c:pt idx="201">
                  <c:v>401.56471202479486</c:v>
                </c:pt>
                <c:pt idx="202">
                  <c:v>401.56471202479486</c:v>
                </c:pt>
                <c:pt idx="203">
                  <c:v>401.56471202479486</c:v>
                </c:pt>
                <c:pt idx="204">
                  <c:v>401.56471202479486</c:v>
                </c:pt>
                <c:pt idx="205">
                  <c:v>401.56471202479486</c:v>
                </c:pt>
                <c:pt idx="206">
                  <c:v>401.56471202479486</c:v>
                </c:pt>
                <c:pt idx="207">
                  <c:v>401.56471202479486</c:v>
                </c:pt>
                <c:pt idx="208">
                  <c:v>401.56471202479486</c:v>
                </c:pt>
                <c:pt idx="209">
                  <c:v>401.56471202479486</c:v>
                </c:pt>
                <c:pt idx="210">
                  <c:v>401.56471202479486</c:v>
                </c:pt>
                <c:pt idx="211">
                  <c:v>401.56471202479486</c:v>
                </c:pt>
                <c:pt idx="212">
                  <c:v>401.56471202479486</c:v>
                </c:pt>
                <c:pt idx="213">
                  <c:v>401.56471202479486</c:v>
                </c:pt>
                <c:pt idx="214">
                  <c:v>401.56471202479486</c:v>
                </c:pt>
                <c:pt idx="215">
                  <c:v>401.56471202479486</c:v>
                </c:pt>
                <c:pt idx="216">
                  <c:v>401.56471202479486</c:v>
                </c:pt>
                <c:pt idx="217">
                  <c:v>401.56471202479486</c:v>
                </c:pt>
                <c:pt idx="218">
                  <c:v>401.56471202479486</c:v>
                </c:pt>
                <c:pt idx="219">
                  <c:v>401.56471202479486</c:v>
                </c:pt>
                <c:pt idx="220">
                  <c:v>401.56471202479486</c:v>
                </c:pt>
                <c:pt idx="221">
                  <c:v>401.56471202479486</c:v>
                </c:pt>
                <c:pt idx="222">
                  <c:v>401.56471202479486</c:v>
                </c:pt>
                <c:pt idx="223">
                  <c:v>401.56471202479486</c:v>
                </c:pt>
                <c:pt idx="224">
                  <c:v>401.56471202479486</c:v>
                </c:pt>
                <c:pt idx="225">
                  <c:v>401.56471202479486</c:v>
                </c:pt>
                <c:pt idx="226">
                  <c:v>401.56471202479486</c:v>
                </c:pt>
                <c:pt idx="227">
                  <c:v>401.56471202479486</c:v>
                </c:pt>
                <c:pt idx="228">
                  <c:v>401.56471202479486</c:v>
                </c:pt>
                <c:pt idx="229">
                  <c:v>401.56471202479486</c:v>
                </c:pt>
                <c:pt idx="230">
                  <c:v>401.56471202479486</c:v>
                </c:pt>
                <c:pt idx="231">
                  <c:v>401.56471202479486</c:v>
                </c:pt>
                <c:pt idx="232">
                  <c:v>401.56471202479486</c:v>
                </c:pt>
                <c:pt idx="233">
                  <c:v>401.56471202479486</c:v>
                </c:pt>
                <c:pt idx="234">
                  <c:v>401.56471202479486</c:v>
                </c:pt>
                <c:pt idx="235">
                  <c:v>401.56471202479486</c:v>
                </c:pt>
                <c:pt idx="236">
                  <c:v>401.56471202479486</c:v>
                </c:pt>
                <c:pt idx="237">
                  <c:v>401.56471202479486</c:v>
                </c:pt>
                <c:pt idx="238">
                  <c:v>401.56471202479486</c:v>
                </c:pt>
                <c:pt idx="239">
                  <c:v>401.56471202479486</c:v>
                </c:pt>
                <c:pt idx="240">
                  <c:v>401.56471202479486</c:v>
                </c:pt>
                <c:pt idx="241">
                  <c:v>401.56471202479486</c:v>
                </c:pt>
                <c:pt idx="242">
                  <c:v>401.56471202479486</c:v>
                </c:pt>
                <c:pt idx="243">
                  <c:v>401.56471202479486</c:v>
                </c:pt>
                <c:pt idx="244">
                  <c:v>401.56471202479486</c:v>
                </c:pt>
                <c:pt idx="245">
                  <c:v>401.56471202479486</c:v>
                </c:pt>
                <c:pt idx="246">
                  <c:v>401.56471202479486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7.9033227795205895E-3</c:v>
                </c:pt>
                <c:pt idx="97">
                  <c:v>9.3090018525399335E-3</c:v>
                </c:pt>
                <c:pt idx="98">
                  <c:v>1.0996963108335742E-2</c:v>
                </c:pt>
                <c:pt idx="99">
                  <c:v>1.2983224013899706E-2</c:v>
                </c:pt>
                <c:pt idx="100">
                  <c:v>1.5380314314610745E-2</c:v>
                </c:pt>
                <c:pt idx="101">
                  <c:v>1.8096805339174207E-2</c:v>
                </c:pt>
                <c:pt idx="102">
                  <c:v>2.1442129536741173E-2</c:v>
                </c:pt>
                <c:pt idx="103">
                  <c:v>2.5187456636538801E-2</c:v>
                </c:pt>
                <c:pt idx="104">
                  <c:v>2.9761380658334856E-2</c:v>
                </c:pt>
                <c:pt idx="105">
                  <c:v>3.5006944723186502E-2</c:v>
                </c:pt>
                <c:pt idx="106">
                  <c:v>4.0506276749873282E-2</c:v>
                </c:pt>
                <c:pt idx="107">
                  <c:v>4.6866878103981019E-2</c:v>
                </c:pt>
                <c:pt idx="108">
                  <c:v>5.3989847353097462E-2</c:v>
                </c:pt>
                <c:pt idx="109">
                  <c:v>6.2124825427339693E-2</c:v>
                </c:pt>
                <c:pt idx="110">
                  <c:v>7.1509793769680433E-2</c:v>
                </c:pt>
                <c:pt idx="111">
                  <c:v>8.2809848808522976E-2</c:v>
                </c:pt>
                <c:pt idx="112">
                  <c:v>9.6424585117488901E-2</c:v>
                </c:pt>
                <c:pt idx="113">
                  <c:v>0.11238413335542587</c:v>
                </c:pt>
                <c:pt idx="114">
                  <c:v>0.13143816867102417</c:v>
                </c:pt>
                <c:pt idx="115">
                  <c:v>0.15320329414629982</c:v>
                </c:pt>
                <c:pt idx="116">
                  <c:v>0.17865080909928846</c:v>
                </c:pt>
                <c:pt idx="117">
                  <c:v>0.20661663248111375</c:v>
                </c:pt>
                <c:pt idx="118">
                  <c:v>0.23753392144150254</c:v>
                </c:pt>
                <c:pt idx="119">
                  <c:v>0.26952670735885415</c:v>
                </c:pt>
                <c:pt idx="120">
                  <c:v>0.3039857414110293</c:v>
                </c:pt>
                <c:pt idx="121">
                  <c:v>0.3417179949064294</c:v>
                </c:pt>
                <c:pt idx="122">
                  <c:v>0.38198151082922438</c:v>
                </c:pt>
                <c:pt idx="123">
                  <c:v>0.42285994683569711</c:v>
                </c:pt>
                <c:pt idx="124">
                  <c:v>0.46526055641420683</c:v>
                </c:pt>
                <c:pt idx="125">
                  <c:v>0.51241997304784948</c:v>
                </c:pt>
                <c:pt idx="126">
                  <c:v>0.56008204707728171</c:v>
                </c:pt>
                <c:pt idx="127">
                  <c:v>0.60799028824597301</c:v>
                </c:pt>
                <c:pt idx="128">
                  <c:v>0.65357323281727486</c:v>
                </c:pt>
                <c:pt idx="129">
                  <c:v>0.69470078098465504</c:v>
                </c:pt>
                <c:pt idx="130">
                  <c:v>0.7354590738324408</c:v>
                </c:pt>
                <c:pt idx="131">
                  <c:v>0.77069697748534183</c:v>
                </c:pt>
                <c:pt idx="132">
                  <c:v>0.80319783538604306</c:v>
                </c:pt>
                <c:pt idx="133">
                  <c:v>0.83266855962548791</c:v>
                </c:pt>
                <c:pt idx="134">
                  <c:v>0.85992262094270022</c:v>
                </c:pt>
                <c:pt idx="135">
                  <c:v>0.88260191948923394</c:v>
                </c:pt>
                <c:pt idx="136">
                  <c:v>0.90246738813826088</c:v>
                </c:pt>
                <c:pt idx="137">
                  <c:v>0.91995085270301336</c:v>
                </c:pt>
                <c:pt idx="138">
                  <c:v>0.93486776378169167</c:v>
                </c:pt>
                <c:pt idx="139">
                  <c:v>0.94701764086394613</c:v>
                </c:pt>
                <c:pt idx="140">
                  <c:v>0.95673902860496685</c:v>
                </c:pt>
                <c:pt idx="141">
                  <c:v>0.96465321851697938</c:v>
                </c:pt>
                <c:pt idx="142">
                  <c:v>0.971113898895822</c:v>
                </c:pt>
                <c:pt idx="143">
                  <c:v>0.97635494734078254</c:v>
                </c:pt>
                <c:pt idx="144">
                  <c:v>0.98074724422958259</c:v>
                </c:pt>
                <c:pt idx="145">
                  <c:v>0.98439539349055183</c:v>
                </c:pt>
                <c:pt idx="146">
                  <c:v>0.98752119923198545</c:v>
                </c:pt>
                <c:pt idx="147">
                  <c:v>0.98993996369980886</c:v>
                </c:pt>
                <c:pt idx="148">
                  <c:v>0.99187249708115188</c:v>
                </c:pt>
                <c:pt idx="149">
                  <c:v>0.99350852441662951</c:v>
                </c:pt>
                <c:pt idx="150">
                  <c:v>0.99486511473065609</c:v>
                </c:pt>
                <c:pt idx="151">
                  <c:v>0.99597949064119251</c:v>
                </c:pt>
                <c:pt idx="152">
                  <c:v>0.99684265164420061</c:v>
                </c:pt>
                <c:pt idx="153">
                  <c:v>0.99750276479554401</c:v>
                </c:pt>
                <c:pt idx="154">
                  <c:v>0.99802051043503737</c:v>
                </c:pt>
                <c:pt idx="155">
                  <c:v>0.99844480400960389</c:v>
                </c:pt>
                <c:pt idx="156">
                  <c:v>0.99876422677132348</c:v>
                </c:pt>
                <c:pt idx="157">
                  <c:v>0.99901897027397402</c:v>
                </c:pt>
                <c:pt idx="158">
                  <c:v>0.99922397543533981</c:v>
                </c:pt>
                <c:pt idx="159">
                  <c:v>0.99938183396536062</c:v>
                </c:pt>
                <c:pt idx="160">
                  <c:v>0.99951788049940093</c:v>
                </c:pt>
                <c:pt idx="161">
                  <c:v>0.99962630483087966</c:v>
                </c:pt>
                <c:pt idx="162">
                  <c:v>0.99970408638675201</c:v>
                </c:pt>
                <c:pt idx="163">
                  <c:v>0.9997675298521852</c:v>
                </c:pt>
                <c:pt idx="164">
                  <c:v>0.99982008438854297</c:v>
                </c:pt>
                <c:pt idx="165">
                  <c:v>0.99986043254425883</c:v>
                </c:pt>
                <c:pt idx="166">
                  <c:v>0.99989068033594974</c:v>
                </c:pt>
                <c:pt idx="167">
                  <c:v>0.99991364192095489</c:v>
                </c:pt>
                <c:pt idx="168">
                  <c:v>0.99993188092248153</c:v>
                </c:pt>
                <c:pt idx="169">
                  <c:v>0.99994718972195229</c:v>
                </c:pt>
                <c:pt idx="170">
                  <c:v>0.99995846564057933</c:v>
                </c:pt>
                <c:pt idx="171">
                  <c:v>0.99996709365296943</c:v>
                </c:pt>
                <c:pt idx="172">
                  <c:v>0.99997383748749369</c:v>
                </c:pt>
                <c:pt idx="173">
                  <c:v>0.99997947799749853</c:v>
                </c:pt>
                <c:pt idx="174">
                  <c:v>0.99998403410755909</c:v>
                </c:pt>
                <c:pt idx="175">
                  <c:v>0.99998771278097276</c:v>
                </c:pt>
                <c:pt idx="176">
                  <c:v>0.99999037881918185</c:v>
                </c:pt>
                <c:pt idx="177">
                  <c:v>0.99999256516549184</c:v>
                </c:pt>
                <c:pt idx="178">
                  <c:v>0.99999430333976658</c:v>
                </c:pt>
                <c:pt idx="179">
                  <c:v>0.99999573136429698</c:v>
                </c:pt>
                <c:pt idx="180">
                  <c:v>0.99999674749655665</c:v>
                </c:pt>
                <c:pt idx="181">
                  <c:v>0.99999752319626711</c:v>
                </c:pt>
                <c:pt idx="182">
                  <c:v>0.99999813753357558</c:v>
                </c:pt>
                <c:pt idx="183">
                  <c:v>0.99999859166728833</c:v>
                </c:pt>
                <c:pt idx="184">
                  <c:v>0.99999891965331156</c:v>
                </c:pt>
                <c:pt idx="185">
                  <c:v>0.99999917271191008</c:v>
                </c:pt>
                <c:pt idx="186">
                  <c:v>0.9999993644474876</c:v>
                </c:pt>
                <c:pt idx="187">
                  <c:v>0.9999995147435411</c:v>
                </c:pt>
                <c:pt idx="188">
                  <c:v>0.99999963328113306</c:v>
                </c:pt>
                <c:pt idx="189">
                  <c:v>0.99999971967451007</c:v>
                </c:pt>
                <c:pt idx="190">
                  <c:v>0.99999978765430764</c:v>
                </c:pt>
                <c:pt idx="191">
                  <c:v>0.9785022276491635</c:v>
                </c:pt>
                <c:pt idx="192">
                  <c:v>0.94974209244036034</c:v>
                </c:pt>
                <c:pt idx="193">
                  <c:v>0.91990767256527317</c:v>
                </c:pt>
                <c:pt idx="194">
                  <c:v>0.88976631421410468</c:v>
                </c:pt>
                <c:pt idx="195">
                  <c:v>0.85971703740576089</c:v>
                </c:pt>
                <c:pt idx="196">
                  <c:v>0.83037371909240365</c:v>
                </c:pt>
                <c:pt idx="197">
                  <c:v>0.80118387001708702</c:v>
                </c:pt>
                <c:pt idx="198">
                  <c:v>0.77091973627548616</c:v>
                </c:pt>
                <c:pt idx="199">
                  <c:v>0.73964270556281753</c:v>
                </c:pt>
                <c:pt idx="200">
                  <c:v>0.70953204105925749</c:v>
                </c:pt>
                <c:pt idx="201">
                  <c:v>0.68055704891719737</c:v>
                </c:pt>
                <c:pt idx="202">
                  <c:v>0.65167413831796184</c:v>
                </c:pt>
                <c:pt idx="203">
                  <c:v>0.62150208611918534</c:v>
                </c:pt>
                <c:pt idx="204">
                  <c:v>0.59111517698715221</c:v>
                </c:pt>
                <c:pt idx="205">
                  <c:v>0.56002230936013242</c:v>
                </c:pt>
                <c:pt idx="206">
                  <c:v>0.52822348323812585</c:v>
                </c:pt>
                <c:pt idx="207">
                  <c:v>0.49688506483024097</c:v>
                </c:pt>
                <c:pt idx="208">
                  <c:v>0.46364362787065305</c:v>
                </c:pt>
                <c:pt idx="209">
                  <c:v>0.43024872167302464</c:v>
                </c:pt>
                <c:pt idx="210">
                  <c:v>0.39795879398928835</c:v>
                </c:pt>
                <c:pt idx="211">
                  <c:v>0.36591441708641681</c:v>
                </c:pt>
                <c:pt idx="212">
                  <c:v>0.33353240785985638</c:v>
                </c:pt>
                <c:pt idx="213">
                  <c:v>0.30029097090026835</c:v>
                </c:pt>
                <c:pt idx="214">
                  <c:v>0.26628218775047752</c:v>
                </c:pt>
                <c:pt idx="215">
                  <c:v>0.23101495684875417</c:v>
                </c:pt>
                <c:pt idx="216">
                  <c:v>0.19485760436639554</c:v>
                </c:pt>
                <c:pt idx="217">
                  <c:v>0.15854678264599609</c:v>
                </c:pt>
                <c:pt idx="218">
                  <c:v>0.12278845018254292</c:v>
                </c:pt>
                <c:pt idx="219">
                  <c:v>8.693803617626561E-2</c:v>
                </c:pt>
                <c:pt idx="220">
                  <c:v>5.2683702245610031E-2</c:v>
                </c:pt>
                <c:pt idx="221">
                  <c:v>1.8582837552994946E-2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D53" sqref="D5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Agria</v>
      </c>
      <c r="E7" s="92" t="s">
        <v>253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146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Interface'!P8:Q8),0)&amp;" kg N/ha from all sources"</f>
        <v>requires 336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2" thickBot="1">
      <c r="B15" s="55">
        <f ca="1">SUMIF(B29:B43,1,G29:G43)</f>
        <v>370.51540081842143</v>
      </c>
      <c r="C15" s="105" t="s">
        <v>220</v>
      </c>
      <c r="D15" s="106" t="str">
        <f ca="1">SUMIF(B29:B43,1,G29:G43)&amp;" Kg/ha"</f>
        <v>370.515400818421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0.24896369616605118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28.960095690536843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0.25771006729881663</v>
      </c>
      <c r="AK18" s="55">
        <f t="shared" ref="AK18" ca="1" si="10">VLOOKUP(AE18,ModelOutputs,4,FALSE)</f>
        <v>-1.0890372760771951</v>
      </c>
    </row>
    <row r="19" spans="1:37" s="55" customFormat="1">
      <c r="C19" s="57" t="s">
        <v>217</v>
      </c>
      <c r="D19" s="85">
        <f>IF(E19="",60,E19)</f>
        <v>30</v>
      </c>
      <c r="E19" s="16">
        <v>30</v>
      </c>
      <c r="F19" s="94" t="str">
        <f ca="1">ROUND('Model Interface'!N7,0)&amp;" kg N/ha available from SOM mineralisation"</f>
        <v>53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49.918364171497124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-1.9759352484561054E-3</v>
      </c>
      <c r="X19" s="55">
        <f t="shared" ref="X19:X82" ca="1" si="13">VLOOKUP(S19,ModelOutputs,5,FALSE)+X18</f>
        <v>0.51535494843631069</v>
      </c>
      <c r="Y19" s="55">
        <f t="shared" ref="Y19:Y82" ca="1" si="14">VLOOKUP(S19,ModelOutputs,4,FALSE)+Y18</f>
        <v>-0.34605114552468064</v>
      </c>
      <c r="Z19">
        <f t="shared" ca="1" si="3"/>
        <v>120</v>
      </c>
      <c r="AA19">
        <f t="shared" ref="AA19:AA82" ca="1" si="15">VLOOKUP(S19,ModelOutputs,11,FALSE)+AA18</f>
        <v>5.000000000002558E-3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28.173747921527429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0.50605197583590744</v>
      </c>
      <c r="AK19" s="55">
        <f t="shared" ref="AK19:AK82" ca="1" si="19">VLOOKUP(AE19,ModelOutputs,4,FALSE)+AK18</f>
        <v>-2.1237269536236996</v>
      </c>
    </row>
    <row r="20" spans="1:37" s="55" customFormat="1">
      <c r="C20" s="57" t="s">
        <v>226</v>
      </c>
      <c r="D20" s="85" t="str">
        <f>IF(E20="","Sedementary",E20)</f>
        <v>Volcanic</v>
      </c>
      <c r="E20" s="16" t="s">
        <v>227</v>
      </c>
      <c r="F20" s="94"/>
      <c r="R20" s="83">
        <f ca="1"/>
        <v>45049</v>
      </c>
      <c r="S20" s="55">
        <f t="shared" ca="1" si="11"/>
        <v>45049</v>
      </c>
      <c r="T20" s="55">
        <f t="shared" ca="1" si="0"/>
        <v>49.571761603470591</v>
      </c>
      <c r="U20" s="55">
        <f t="shared" ca="1" si="1"/>
        <v>0</v>
      </c>
      <c r="V20" s="55">
        <f t="shared" ca="1" si="2"/>
        <v>0</v>
      </c>
      <c r="W20" s="55">
        <f t="shared" ca="1" si="12"/>
        <v>-0.28453497638824082</v>
      </c>
      <c r="X20" s="55">
        <f t="shared" ca="1" si="13"/>
        <v>0.77926823927689082</v>
      </c>
      <c r="Y20" s="55">
        <f t="shared" ca="1" si="14"/>
        <v>-0.67400796325200374</v>
      </c>
      <c r="Z20">
        <f t="shared" ca="1" si="3"/>
        <v>120</v>
      </c>
      <c r="AA20">
        <f t="shared" ca="1" si="15"/>
        <v>0.72500000000000853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27.464910073503027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0.73660176343279005</v>
      </c>
      <c r="AK20" s="55">
        <f t="shared" ca="1" si="19"/>
        <v>-3.063114589244984</v>
      </c>
    </row>
    <row r="21" spans="1:37" s="55" customFormat="1" ht="15.75" customHeight="1">
      <c r="B21" s="55">
        <f>VLOOKUP(SampleDepth,depths,2,FALSE)</f>
        <v>2</v>
      </c>
      <c r="C21" s="57" t="s">
        <v>208</v>
      </c>
      <c r="D21" s="85" t="str">
        <f>IF(E21="","0-30cm",E21)</f>
        <v>Top15cm</v>
      </c>
      <c r="E21" s="16" t="s">
        <v>260</v>
      </c>
      <c r="F21" s="94"/>
      <c r="R21" s="83">
        <f ca="1"/>
        <v>45050</v>
      </c>
      <c r="S21" s="55">
        <f t="shared" ca="1" si="11"/>
        <v>45050</v>
      </c>
      <c r="T21" s="55">
        <f t="shared" ca="1" si="0"/>
        <v>49.369718597817474</v>
      </c>
      <c r="U21" s="55">
        <f t="shared" ca="1" si="1"/>
        <v>0</v>
      </c>
      <c r="V21" s="55">
        <f t="shared" ca="1" si="2"/>
        <v>0</v>
      </c>
      <c r="W21" s="55">
        <f t="shared" ca="1" si="12"/>
        <v>-0.43696398255900254</v>
      </c>
      <c r="X21" s="55">
        <f t="shared" ca="1" si="13"/>
        <v>1.0369376125935577</v>
      </c>
      <c r="Y21" s="55">
        <f t="shared" ca="1" si="14"/>
        <v>-0.98129133605102226</v>
      </c>
      <c r="Z21">
        <f t="shared" ca="1" si="3"/>
        <v>120</v>
      </c>
      <c r="AA21">
        <f t="shared" ca="1" si="15"/>
        <v>1.1150000000000091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26.807483894897906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0.96150205767306951</v>
      </c>
      <c r="AK21" s="55">
        <f t="shared" ca="1" si="19"/>
        <v>-3.945441062090385</v>
      </c>
    </row>
    <row r="22" spans="1:37" s="55" customFormat="1" ht="15" customHeight="1">
      <c r="C22" s="57" t="s">
        <v>209</v>
      </c>
      <c r="D22" s="85" t="str">
        <f>IF(E22="","loam",E22)</f>
        <v>SandyClayLoam</v>
      </c>
      <c r="E22" s="16" t="s">
        <v>283</v>
      </c>
      <c r="F22" s="94"/>
      <c r="R22" s="83">
        <f ca="1"/>
        <v>45051</v>
      </c>
      <c r="S22" s="55">
        <f t="shared" ca="1" si="11"/>
        <v>45051</v>
      </c>
      <c r="T22" s="55">
        <f t="shared" ca="1" si="0"/>
        <v>48.842899452408837</v>
      </c>
      <c r="U22" s="55">
        <f t="shared" ca="1" si="1"/>
        <v>0</v>
      </c>
      <c r="V22" s="55">
        <f t="shared" ca="1" si="2"/>
        <v>0</v>
      </c>
      <c r="W22" s="55">
        <f t="shared" ca="1" si="12"/>
        <v>-0.92803863413676435</v>
      </c>
      <c r="X22" s="55">
        <f t="shared" ca="1" si="13"/>
        <v>1.2966040050067389</v>
      </c>
      <c r="Y22" s="55">
        <f t="shared" ca="1" si="14"/>
        <v>-1.2767022222950766</v>
      </c>
      <c r="Z22">
        <f t="shared" ca="1" si="3"/>
        <v>120</v>
      </c>
      <c r="AA22">
        <f t="shared" ca="1" si="15"/>
        <v>2.3850000000000122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26.185468628706055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1.187370244515414</v>
      </c>
      <c r="AK22" s="55">
        <f t="shared" ca="1" si="19"/>
        <v>-4.7933245151245796</v>
      </c>
    </row>
    <row r="23" spans="1:37" s="55" customFormat="1">
      <c r="C23" s="57"/>
      <c r="D23" s="85"/>
      <c r="E23" s="113"/>
      <c r="F23" s="94"/>
      <c r="R23" s="83">
        <f ca="1"/>
        <v>45052</v>
      </c>
      <c r="S23" s="55">
        <f t="shared" ca="1" si="11"/>
        <v>45052</v>
      </c>
      <c r="T23" s="55">
        <f t="shared" ca="1" si="0"/>
        <v>48.187680773010293</v>
      </c>
      <c r="U23" s="55">
        <f t="shared" ca="1" si="1"/>
        <v>0</v>
      </c>
      <c r="V23" s="55">
        <f t="shared" ca="1" si="2"/>
        <v>0</v>
      </c>
      <c r="W23" s="55">
        <f t="shared" ca="1" si="12"/>
        <v>-1.5613050722954094</v>
      </c>
      <c r="X23" s="55">
        <f t="shared" ca="1" si="13"/>
        <v>1.5598439367934889</v>
      </c>
      <c r="Y23" s="55">
        <f t="shared" ca="1" si="14"/>
        <v>-1.5618943953217252</v>
      </c>
      <c r="Z23">
        <f t="shared" ca="1" si="3"/>
        <v>120</v>
      </c>
      <c r="AA23">
        <f t="shared" ca="1" si="15"/>
        <v>4.0450000000000159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25.616916402116704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1.4186595601293814</v>
      </c>
      <c r="AK23" s="55">
        <f t="shared" ca="1" si="19"/>
        <v>-5.5931660573278972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45053</v>
      </c>
      <c r="S24" s="55">
        <f t="shared" ca="1" si="11"/>
        <v>45053</v>
      </c>
      <c r="T24" s="55">
        <f t="shared" ca="1" si="0"/>
        <v>48.177490618551687</v>
      </c>
      <c r="U24" s="55">
        <f t="shared" ca="1" si="1"/>
        <v>0</v>
      </c>
      <c r="V24" s="55">
        <f t="shared" ca="1" si="2"/>
        <v>0</v>
      </c>
      <c r="W24" s="55">
        <f t="shared" ca="1" si="12"/>
        <v>-1.5613050722954094</v>
      </c>
      <c r="X24" s="55">
        <f t="shared" ca="1" si="13"/>
        <v>1.8159665864630674</v>
      </c>
      <c r="Y24" s="55">
        <f t="shared" ca="1" si="14"/>
        <v>-1.8282071994499065</v>
      </c>
      <c r="Z24">
        <f t="shared" ca="1" si="3"/>
        <v>119.89999999999999</v>
      </c>
      <c r="AA24">
        <f t="shared" ca="1" si="15"/>
        <v>4.0450000000000159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25.101907657773936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1.6570607591346322</v>
      </c>
      <c r="AK24" s="55">
        <f t="shared" ca="1" si="19"/>
        <v>-6.3465760006759151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45054</v>
      </c>
      <c r="S25" s="55">
        <f t="shared" ca="1" si="11"/>
        <v>45054</v>
      </c>
      <c r="T25" s="55">
        <f t="shared" ca="1" si="0"/>
        <v>47.604611463508739</v>
      </c>
      <c r="U25" s="55">
        <f t="shared" ca="1" si="1"/>
        <v>0</v>
      </c>
      <c r="V25" s="55">
        <f t="shared" ca="1" si="2"/>
        <v>0</v>
      </c>
      <c r="W25" s="55">
        <f t="shared" ca="1" si="12"/>
        <v>-2.1347282379107932</v>
      </c>
      <c r="X25" s="55">
        <f t="shared" ca="1" si="13"/>
        <v>2.0663940992743917</v>
      </c>
      <c r="Y25" s="55">
        <f t="shared" ca="1" si="14"/>
        <v>-2.0780907016888008</v>
      </c>
      <c r="Z25">
        <f t="shared" ca="1" si="3"/>
        <v>120</v>
      </c>
      <c r="AA25">
        <f t="shared" ca="1" si="15"/>
        <v>5.5665416666666871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24.637569994717261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1.8830273093175196</v>
      </c>
      <c r="AK25" s="55">
        <f t="shared" ca="1" si="19"/>
        <v>-7.0368802139154774</v>
      </c>
    </row>
    <row r="26" spans="1:37" s="55" customFormat="1" ht="1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47.388841876801173</v>
      </c>
      <c r="U26" s="55">
        <f t="shared" ca="1" si="1"/>
        <v>0</v>
      </c>
      <c r="V26" s="55">
        <f t="shared" ca="1" si="2"/>
        <v>0</v>
      </c>
      <c r="W26" s="55">
        <f t="shared" ca="1" si="12"/>
        <v>-2.3598252368255994</v>
      </c>
      <c r="X26" s="55">
        <f t="shared" ca="1" si="13"/>
        <v>2.3077872883127779</v>
      </c>
      <c r="Y26" s="55">
        <f t="shared" ca="1" si="14"/>
        <v>-2.310156478519946</v>
      </c>
      <c r="Z26">
        <f t="shared" ca="1" si="3"/>
        <v>120</v>
      </c>
      <c r="AA26">
        <f t="shared" ca="1" si="15"/>
        <v>6.1665416666666886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24.223345829048192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2.0968333738209961</v>
      </c>
      <c r="AK26" s="55">
        <f t="shared" ca="1" si="19"/>
        <v>-7.6649104440880205</v>
      </c>
    </row>
    <row r="27" spans="1:37" s="55" customFormat="1" ht="15" thickBot="1">
      <c r="C27" s="123" t="s">
        <v>137</v>
      </c>
      <c r="D27" s="124"/>
      <c r="E27" s="60"/>
      <c r="F27" s="125" t="s">
        <v>144</v>
      </c>
      <c r="G27" s="126"/>
      <c r="R27" s="83">
        <f ca="1"/>
        <v>45056</v>
      </c>
      <c r="S27" s="55">
        <f t="shared" ca="1" si="11"/>
        <v>45056</v>
      </c>
      <c r="T27" s="55">
        <f t="shared" ca="1" si="0"/>
        <v>46.852698038839826</v>
      </c>
      <c r="U27" s="55">
        <f t="shared" ca="1" si="1"/>
        <v>0</v>
      </c>
      <c r="V27" s="55">
        <f t="shared" ca="1" si="2"/>
        <v>0</v>
      </c>
      <c r="W27" s="55">
        <f t="shared" ca="1" si="12"/>
        <v>-2.9162010260368225</v>
      </c>
      <c r="X27" s="55">
        <f t="shared" ca="1" si="13"/>
        <v>2.5519550051718638</v>
      </c>
      <c r="Y27" s="55">
        <f t="shared" ca="1" si="14"/>
        <v>-2.5340922441291558</v>
      </c>
      <c r="Z27">
        <f t="shared" ca="1" si="3"/>
        <v>120</v>
      </c>
      <c r="AA27">
        <f t="shared" ca="1" si="15"/>
        <v>7.6665416666666886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23.845243795154744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2.3048082371204011</v>
      </c>
      <c r="AK27" s="55">
        <f t="shared" ca="1" si="19"/>
        <v>-8.2509873412808723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45057</v>
      </c>
      <c r="S28" s="55">
        <f t="shared" ca="1" si="11"/>
        <v>45057</v>
      </c>
      <c r="T28" s="55">
        <f t="shared" ca="1" si="0"/>
        <v>46.66318029289814</v>
      </c>
      <c r="U28" s="55">
        <f t="shared" ca="1" si="1"/>
        <v>0</v>
      </c>
      <c r="V28" s="55">
        <f t="shared" ca="1" si="2"/>
        <v>0</v>
      </c>
      <c r="W28" s="55">
        <f t="shared" ca="1" si="12"/>
        <v>-3.1378511324280893</v>
      </c>
      <c r="X28" s="55">
        <f t="shared" ca="1" si="13"/>
        <v>2.802382517983188</v>
      </c>
      <c r="Y28" s="55">
        <f t="shared" ca="1" si="14"/>
        <v>-2.7523873964909016</v>
      </c>
      <c r="Z28">
        <f t="shared" ca="1" si="3"/>
        <v>120</v>
      </c>
      <c r="AA28">
        <f t="shared" ca="1" si="15"/>
        <v>8.26654166666669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23.516899231241108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2.523704171223514</v>
      </c>
      <c r="AK28" s="55">
        <f t="shared" ca="1" si="19"/>
        <v>-8.7982278392976205</v>
      </c>
    </row>
    <row r="29" spans="1:37" s="55" customFormat="1">
      <c r="A29" s="83">
        <f t="array" aca="1" ref="A29:A43" ca="1">_xlfn._xlws.FILTER('Model Interface'!X11:X500,'Model Interface'!Y11:Y500&gt;0,"")</f>
        <v>45169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45169</v>
      </c>
      <c r="G29" s="76">
        <f ca="1">IFERROR(VLOOKUP(F29,'Model Interface'!$J$11:$O$500,6,FALSE),"")</f>
        <v>107.69410428106131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45.986818831642033</v>
      </c>
      <c r="U29" s="55">
        <f t="shared" ca="1" si="1"/>
        <v>0</v>
      </c>
      <c r="V29" s="55">
        <f t="shared" ca="1" si="2"/>
        <v>0</v>
      </c>
      <c r="W29" s="55">
        <f t="shared" ca="1" si="12"/>
        <v>-3.8586945176140794</v>
      </c>
      <c r="X29" s="55">
        <f t="shared" ca="1" si="13"/>
        <v>3.0598305819447984</v>
      </c>
      <c r="Y29" s="55">
        <f t="shared" ca="1" si="14"/>
        <v>-2.9653535365226236</v>
      </c>
      <c r="Z29">
        <f t="shared" ca="1" si="3"/>
        <v>120</v>
      </c>
      <c r="AA29">
        <f t="shared" ca="1" si="15"/>
        <v>10.246541666666694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23.226071841434958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2.7446188011572312</v>
      </c>
      <c r="AK29" s="55">
        <f t="shared" ca="1" si="19"/>
        <v>-9.3099698590374889</v>
      </c>
    </row>
    <row r="30" spans="1:37" s="55" customFormat="1">
      <c r="A30" s="83">
        <f ca="1"/>
        <v>45199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45199</v>
      </c>
      <c r="G30" s="76">
        <f ca="1">IFERROR(VLOOKUP(F30,'Model Interface'!$J$11:$O$500,6,FALSE),"")</f>
        <v>131.31594497641271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45.454014579797985</v>
      </c>
      <c r="U30" s="55">
        <f t="shared" ca="1" si="1"/>
        <v>0</v>
      </c>
      <c r="V30" s="55">
        <f t="shared" ca="1" si="2"/>
        <v>0</v>
      </c>
      <c r="W30" s="55">
        <f t="shared" ca="1" si="12"/>
        <v>-4.44524069742089</v>
      </c>
      <c r="X30" s="55">
        <f t="shared" ca="1" si="13"/>
        <v>3.3155123568331906</v>
      </c>
      <c r="Y30" s="55">
        <f t="shared" ca="1" si="14"/>
        <v>-3.1672933834482557</v>
      </c>
      <c r="Z30">
        <f t="shared" ca="1" si="3"/>
        <v>120</v>
      </c>
      <c r="AA30">
        <f t="shared" ca="1" si="15"/>
        <v>11.876541666666697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22.969911095746752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2.9576862858232627</v>
      </c>
      <c r="AK30" s="55">
        <f t="shared" ca="1" si="19"/>
        <v>-9.779198089391727</v>
      </c>
    </row>
    <row r="31" spans="1:37" s="55" customFormat="1">
      <c r="A31" s="83">
        <f ca="1"/>
        <v>45215</v>
      </c>
      <c r="B31" s="55">
        <f t="shared" ca="1" si="24"/>
        <v>1</v>
      </c>
      <c r="C31" s="78"/>
      <c r="D31" s="81"/>
      <c r="F31" s="74">
        <f t="shared" ca="1" si="25"/>
        <v>45215</v>
      </c>
      <c r="G31" s="76">
        <f ca="1">IFERROR(VLOOKUP(F31,'Model Interface'!$J$11:$O$500,6,FALSE),"")</f>
        <v>131.50535156094739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45.082380675216235</v>
      </c>
      <c r="U31" s="55">
        <f t="shared" ca="1" si="1"/>
        <v>0</v>
      </c>
      <c r="V31" s="55">
        <f t="shared" ca="1" si="2"/>
        <v>0</v>
      </c>
      <c r="W31" s="55">
        <f t="shared" ca="1" si="12"/>
        <v>-4.8770923356388991</v>
      </c>
      <c r="X31" s="55">
        <f t="shared" ca="1" si="13"/>
        <v>3.5639867498841142</v>
      </c>
      <c r="Y31" s="55">
        <f t="shared" ca="1" si="14"/>
        <v>-3.3555500428629221</v>
      </c>
      <c r="Z31">
        <f t="shared" ca="1" si="3"/>
        <v>120</v>
      </c>
      <c r="AA31">
        <f t="shared" ca="1" si="15"/>
        <v>13.086541666666697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22.756899258505964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3.1744393086489837</v>
      </c>
      <c r="AK31" s="55">
        <f t="shared" ca="1" si="19"/>
        <v>-10.208962949458236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44.332745171758461</v>
      </c>
      <c r="U32" s="55">
        <f t="shared" ca="1" si="1"/>
        <v>0</v>
      </c>
      <c r="V32" s="55">
        <f t="shared" ca="1" si="2"/>
        <v>0</v>
      </c>
      <c r="W32" s="55">
        <f t="shared" ca="1" si="12"/>
        <v>-5.694846764286293</v>
      </c>
      <c r="X32" s="55">
        <f t="shared" ca="1" si="13"/>
        <v>3.8107329157212169</v>
      </c>
      <c r="Y32" s="55">
        <f t="shared" ca="1" si="14"/>
        <v>-3.5341772835104122</v>
      </c>
      <c r="Z32">
        <f t="shared" ca="1" si="3"/>
        <v>120</v>
      </c>
      <c r="AA32">
        <f t="shared" ca="1" si="15"/>
        <v>15.416541666666696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22.585778116115435</v>
      </c>
      <c r="AG32" s="55">
        <f t="shared" ca="1" si="22"/>
        <v>1.5506245596055472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3.3909682296097894</v>
      </c>
      <c r="AK32" s="55">
        <f t="shared" ca="1" si="19"/>
        <v>-10.596613012809572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43.601479363133926</v>
      </c>
      <c r="U33" s="55">
        <f t="shared" ca="1" si="1"/>
        <v>0</v>
      </c>
      <c r="V33" s="55">
        <f t="shared" ca="1" si="2"/>
        <v>0</v>
      </c>
      <c r="W33" s="55">
        <f t="shared" ca="1" si="12"/>
        <v>-6.50256416948835</v>
      </c>
      <c r="X33" s="55">
        <f t="shared" ca="1" si="13"/>
        <v>4.0576947046139926</v>
      </c>
      <c r="Y33" s="55">
        <f t="shared" ca="1" si="14"/>
        <v>-3.7046874758256698</v>
      </c>
      <c r="Z33">
        <f t="shared" ca="1" si="3"/>
        <v>120</v>
      </c>
      <c r="AA33">
        <f t="shared" ca="1" si="15"/>
        <v>17.756541666666699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22.363381844917964</v>
      </c>
      <c r="AG33" s="55">
        <f t="shared" ca="1" si="22"/>
        <v>1.6330267925866591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3.6066035162531249</v>
      </c>
      <c r="AK33" s="55">
        <f t="shared" ca="1" si="19"/>
        <v>-10.952242337669267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42.940580483821329</v>
      </c>
      <c r="U34" s="55">
        <f t="shared" ca="1" si="1"/>
        <v>0</v>
      </c>
      <c r="V34" s="55">
        <f t="shared" ca="1" si="2"/>
        <v>0</v>
      </c>
      <c r="W34" s="55">
        <f t="shared" ca="1" si="12"/>
        <v>-7.2436470210049659</v>
      </c>
      <c r="X34" s="55">
        <f t="shared" ca="1" si="13"/>
        <v>4.2961217689902078</v>
      </c>
      <c r="Y34" s="55">
        <f t="shared" ca="1" si="14"/>
        <v>-3.8629305679978723</v>
      </c>
      <c r="Z34">
        <f t="shared" ca="1" si="3"/>
        <v>120</v>
      </c>
      <c r="AA34">
        <f t="shared" ca="1" si="15"/>
        <v>19.936541666666699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22.163276198174373</v>
      </c>
      <c r="AG34" s="55">
        <f t="shared" ca="1" si="22"/>
        <v>1.7211713748677124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3.8251524645602148</v>
      </c>
      <c r="AK34" s="55">
        <f t="shared" ca="1" si="19"/>
        <v>-11.282752350438896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42.342625004692891</v>
      </c>
      <c r="U35" s="55">
        <f t="shared" ca="1" si="1"/>
        <v>0</v>
      </c>
      <c r="V35" s="55">
        <f t="shared" ca="1" si="2"/>
        <v>0</v>
      </c>
      <c r="W35" s="55">
        <f t="shared" ca="1" si="12"/>
        <v>-7.9274804148307556</v>
      </c>
      <c r="X35" s="55">
        <f t="shared" ca="1" si="13"/>
        <v>4.5316053141939481</v>
      </c>
      <c r="Y35" s="55">
        <f t="shared" ca="1" si="14"/>
        <v>-4.0125361985042565</v>
      </c>
      <c r="Z35">
        <f t="shared" ca="1" si="3"/>
        <v>120</v>
      </c>
      <c r="AA35">
        <f t="shared" ca="1" si="15"/>
        <v>21.976541666666698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21.982200066970886</v>
      </c>
      <c r="AG35" s="55">
        <f t="shared" ca="1" si="22"/>
        <v>1.813678571045297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4.0350745025525461</v>
      </c>
      <c r="AK35" s="55">
        <f t="shared" ca="1" si="19"/>
        <v>-11.581243323457128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42.440782292894845</v>
      </c>
      <c r="U36" s="55">
        <f t="shared" ca="1" si="1"/>
        <v>0</v>
      </c>
      <c r="V36" s="55">
        <f t="shared" ca="1" si="2"/>
        <v>0</v>
      </c>
      <c r="W36" s="55">
        <f t="shared" ca="1" si="12"/>
        <v>-7.9274804148307556</v>
      </c>
      <c r="X36" s="55">
        <f t="shared" ca="1" si="13"/>
        <v>4.7772751012354329</v>
      </c>
      <c r="Y36" s="55">
        <f t="shared" ca="1" si="14"/>
        <v>-4.1600486973437913</v>
      </c>
      <c r="Z36">
        <f t="shared" ca="1" si="3"/>
        <v>119.07499999999999</v>
      </c>
      <c r="AA36">
        <f t="shared" ca="1" si="15"/>
        <v>21.976541666666698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21.86295426510064</v>
      </c>
      <c r="AG36" s="55">
        <f t="shared" ca="1" si="22"/>
        <v>1.9123450007072529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4.2886593590333453</v>
      </c>
      <c r="AK36" s="55">
        <f t="shared" ca="1" si="19"/>
        <v>-11.855407552146216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41.429771279807476</v>
      </c>
      <c r="U37" s="55">
        <f t="shared" ca="1" si="1"/>
        <v>0</v>
      </c>
      <c r="V37" s="55">
        <f t="shared" ca="1" si="2"/>
        <v>0</v>
      </c>
      <c r="W37" s="55">
        <f t="shared" ca="1" si="12"/>
        <v>-9.0430431071642339</v>
      </c>
      <c r="X37" s="55">
        <f t="shared" ca="1" si="13"/>
        <v>5.0218714026026703</v>
      </c>
      <c r="Y37" s="55">
        <f t="shared" ca="1" si="14"/>
        <v>-4.3000933194649189</v>
      </c>
      <c r="Z37">
        <f t="shared" ca="1" si="3"/>
        <v>120</v>
      </c>
      <c r="AA37">
        <f t="shared" ca="1" si="15"/>
        <v>25.377795833333359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21.773673455163504</v>
      </c>
      <c r="AG37" s="55">
        <f t="shared" ca="1" si="22"/>
        <v>2.0168372034668764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4.5520076841722226</v>
      </c>
      <c r="AK37" s="55">
        <f t="shared" ca="1" si="19"/>
        <v>-12.103544484462608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40.374765163733429</v>
      </c>
      <c r="U38" s="55">
        <f t="shared" ca="1" si="1"/>
        <v>0</v>
      </c>
      <c r="V38" s="55">
        <f t="shared" ca="1" si="2"/>
        <v>0</v>
      </c>
      <c r="W38" s="55">
        <f t="shared" ca="1" si="12"/>
        <v>-10.21290192778341</v>
      </c>
      <c r="X38" s="55">
        <f t="shared" ca="1" si="13"/>
        <v>5.2727342173615552</v>
      </c>
      <c r="Y38" s="55">
        <f t="shared" ca="1" si="14"/>
        <v>-4.4361034296786741</v>
      </c>
      <c r="Z38">
        <f t="shared" ca="1" si="3"/>
        <v>120</v>
      </c>
      <c r="AA38">
        <f t="shared" ca="1" si="15"/>
        <v>29.037795833333355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21.701081485818328</v>
      </c>
      <c r="AG38" s="55">
        <f t="shared" ca="1" si="22"/>
        <v>2.1271022355098492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4.812078172042022</v>
      </c>
      <c r="AK38" s="55">
        <f t="shared" ca="1" si="19"/>
        <v>-12.325941909634613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39.449477245941608</v>
      </c>
      <c r="U39" s="55">
        <f t="shared" ca="1" si="1"/>
        <v>0</v>
      </c>
      <c r="V39" s="55">
        <f t="shared" ca="1" si="2"/>
        <v>0</v>
      </c>
      <c r="W39" s="55">
        <f t="shared" ca="1" si="12"/>
        <v>-11.252888771679547</v>
      </c>
      <c r="X39" s="55">
        <f t="shared" ca="1" si="13"/>
        <v>5.5122180152721141</v>
      </c>
      <c r="Y39" s="55">
        <f t="shared" ca="1" si="14"/>
        <v>-4.5608883014849146</v>
      </c>
      <c r="Z39">
        <f t="shared" ca="1" si="3"/>
        <v>120</v>
      </c>
      <c r="AA39">
        <f t="shared" ca="1" si="15"/>
        <v>32.367795833333361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21.651636126562973</v>
      </c>
      <c r="AG39" s="55">
        <f t="shared" ca="1" si="22"/>
        <v>2.2435844851984621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5.0776327524767613</v>
      </c>
      <c r="AK39" s="55">
        <f t="shared" ca="1" si="19"/>
        <v>-12.524459599636094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37.670305458035727</v>
      </c>
      <c r="U40" s="55">
        <f t="shared" ca="1" si="1"/>
        <v>0</v>
      </c>
      <c r="V40" s="55">
        <f t="shared" ca="1" si="2"/>
        <v>0</v>
      </c>
      <c r="W40" s="55">
        <f t="shared" ca="1" si="12"/>
        <v>-13.149588651491646</v>
      </c>
      <c r="X40" s="55">
        <f t="shared" ca="1" si="13"/>
        <v>5.7466557757572261</v>
      </c>
      <c r="Y40" s="55">
        <f t="shared" ca="1" si="14"/>
        <v>-4.6777979700638106</v>
      </c>
      <c r="Z40">
        <f t="shared" ca="1" si="3"/>
        <v>120</v>
      </c>
      <c r="AA40">
        <f t="shared" ca="1" si="15"/>
        <v>38.72779583333336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21.623505892795674</v>
      </c>
      <c r="AG40" s="55">
        <f t="shared" ca="1" si="22"/>
        <v>2.3678969720026362</v>
      </c>
      <c r="AH40" s="55">
        <f t="shared" ca="1" si="23"/>
        <v>0</v>
      </c>
      <c r="AI40" s="55">
        <f t="shared" ca="1" si="17"/>
        <v>0</v>
      </c>
      <c r="AJ40" s="55">
        <f t="shared" ca="1" si="18"/>
        <v>5.3520630998873653</v>
      </c>
      <c r="AK40" s="55">
        <f t="shared" ca="1" si="19"/>
        <v>-12.702707694009822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36.680272234578482</v>
      </c>
      <c r="U41" s="55">
        <f t="shared" ca="1" si="1"/>
        <v>0</v>
      </c>
      <c r="V41" s="55">
        <f t="shared" ca="1" si="2"/>
        <v>0</v>
      </c>
      <c r="W41" s="55">
        <f t="shared" ca="1" si="12"/>
        <v>-14.261765072537594</v>
      </c>
      <c r="X41" s="55">
        <f t="shared" ca="1" si="13"/>
        <v>5.9796342717230644</v>
      </c>
      <c r="Y41" s="55">
        <f t="shared" ca="1" si="14"/>
        <v>-4.7886332684409476</v>
      </c>
      <c r="Z41">
        <f t="shared" ca="1" si="3"/>
        <v>120</v>
      </c>
      <c r="AA41">
        <f t="shared" ca="1" si="15"/>
        <v>42.557795833333358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21.597429949714897</v>
      </c>
      <c r="AG41" s="55">
        <f t="shared" ca="1" si="22"/>
        <v>2.4998556361177435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5.6153532918080575</v>
      </c>
      <c r="AK41" s="55">
        <f t="shared" ca="1" si="19"/>
        <v>-12.860115164896184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35.553410081478667</v>
      </c>
      <c r="U42" s="55">
        <f t="shared" ca="1" si="1"/>
        <v>0</v>
      </c>
      <c r="V42" s="55">
        <f t="shared" ca="1" si="2"/>
        <v>0</v>
      </c>
      <c r="W42" s="55">
        <f t="shared" ca="1" si="12"/>
        <v>-15.519911371795921</v>
      </c>
      <c r="X42" s="55">
        <f t="shared" ca="1" si="13"/>
        <v>6.2184836834268644</v>
      </c>
      <c r="Y42" s="55">
        <f t="shared" ca="1" si="14"/>
        <v>-4.8961985339862402</v>
      </c>
      <c r="Z42">
        <f t="shared" ca="1" si="3"/>
        <v>120</v>
      </c>
      <c r="AA42">
        <f t="shared" ca="1" si="15"/>
        <v>47.027795833333357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21.581108102475319</v>
      </c>
      <c r="AG42" s="55">
        <f t="shared" ca="1" si="22"/>
        <v>2.6366503621646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5.8694810712843069</v>
      </c>
      <c r="AK42" s="55">
        <f t="shared" ca="1" si="19"/>
        <v>-12.993770065565156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34.216704049290001</v>
      </c>
      <c r="U43" s="55">
        <f t="shared" ca="1" si="1"/>
        <v>0</v>
      </c>
      <c r="V43" s="55">
        <f t="shared" ca="1" si="2"/>
        <v>0</v>
      </c>
      <c r="W43" s="55">
        <f t="shared" ca="1" si="12"/>
        <v>-16.998928404326481</v>
      </c>
      <c r="X43" s="55">
        <f t="shared" ca="1" si="13"/>
        <v>6.4658770658157012</v>
      </c>
      <c r="Y43" s="55">
        <f t="shared" ca="1" si="14"/>
        <v>-5.0012809160331848</v>
      </c>
      <c r="Z43">
        <f t="shared" ca="1" si="3"/>
        <v>120</v>
      </c>
      <c r="AA43">
        <f t="shared" ca="1" si="15"/>
        <v>52.487795833333351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21.567461244352621</v>
      </c>
      <c r="AG43" s="55">
        <f t="shared" ca="1" si="22"/>
        <v>2.7820757172988153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6.117500100059039</v>
      </c>
      <c r="AK43" s="55">
        <f t="shared" ca="1" si="19"/>
        <v>-13.110010597328371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94" t="s">
        <v>149</v>
      </c>
      <c r="D44" s="96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33.602467882290689</v>
      </c>
      <c r="U44" s="55">
        <f t="shared" ca="1" si="1"/>
        <v>0</v>
      </c>
      <c r="V44" s="55">
        <f t="shared" ca="1" si="2"/>
        <v>0</v>
      </c>
      <c r="W44" s="55">
        <f t="shared" ca="1" si="12"/>
        <v>-17.751763695172635</v>
      </c>
      <c r="X44" s="55">
        <f t="shared" ca="1" si="13"/>
        <v>6.7001060147226195</v>
      </c>
      <c r="Y44" s="55">
        <f t="shared" ca="1" si="14"/>
        <v>-5.0969107410932537</v>
      </c>
      <c r="Z44">
        <f t="shared" ca="1" si="3"/>
        <v>120</v>
      </c>
      <c r="AA44">
        <f t="shared" ca="1" si="15"/>
        <v>55.317795833333349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21.558343474744149</v>
      </c>
      <c r="AG44" s="55">
        <f t="shared" ca="1" si="22"/>
        <v>2.9373771842909937</v>
      </c>
      <c r="AH44" s="55">
        <f t="shared" ca="1" si="23"/>
        <v>0</v>
      </c>
      <c r="AI44" s="55">
        <f t="shared" ca="1" si="17"/>
        <v>0</v>
      </c>
      <c r="AJ44" s="55">
        <f t="shared" ca="1" si="18"/>
        <v>6.3637351182973623</v>
      </c>
      <c r="AK44" s="55">
        <f t="shared" ca="1" si="19"/>
        <v>-13.210061918182989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33.124239384161797</v>
      </c>
      <c r="U45" s="55">
        <f t="shared" ca="1" si="1"/>
        <v>0</v>
      </c>
      <c r="V45" s="55">
        <f t="shared" ca="1" si="2"/>
        <v>0</v>
      </c>
      <c r="W45" s="55">
        <f t="shared" ca="1" si="12"/>
        <v>-18.362767894146319</v>
      </c>
      <c r="X45" s="55">
        <f t="shared" ca="1" si="13"/>
        <v>6.9194017640953529</v>
      </c>
      <c r="Y45" s="55">
        <f t="shared" ca="1" si="14"/>
        <v>-5.1834307896211973</v>
      </c>
      <c r="Z45">
        <f t="shared" ca="1" si="3"/>
        <v>120</v>
      </c>
      <c r="AA45">
        <f t="shared" ca="1" si="15"/>
        <v>57.647795833333348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21.561377049961987</v>
      </c>
      <c r="AG45" s="55">
        <f t="shared" ca="1" si="22"/>
        <v>3.1032969130224717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6.6169978514590735</v>
      </c>
      <c r="AK45" s="55">
        <f t="shared" ca="1" si="19"/>
        <v>-13.294371347395385</v>
      </c>
    </row>
    <row r="46" spans="1:37" s="55" customFormat="1" ht="15" thickBot="1">
      <c r="C46" s="120" t="s">
        <v>153</v>
      </c>
      <c r="D46" s="120"/>
      <c r="E46" s="120"/>
      <c r="F46" s="120"/>
      <c r="G46" s="120"/>
      <c r="H46" s="120"/>
      <c r="R46" s="83">
        <f ca="1"/>
        <v>45075</v>
      </c>
      <c r="S46" s="55">
        <f t="shared" ca="1" si="11"/>
        <v>45075</v>
      </c>
      <c r="T46" s="55">
        <f t="shared" ca="1" si="0"/>
        <v>32.354232266977824</v>
      </c>
      <c r="U46" s="55">
        <f t="shared" ca="1" si="1"/>
        <v>0</v>
      </c>
      <c r="V46" s="55">
        <f t="shared" ca="1" si="2"/>
        <v>0</v>
      </c>
      <c r="W46" s="55">
        <f t="shared" ca="1" si="12"/>
        <v>-19.264372499986102</v>
      </c>
      <c r="X46" s="55">
        <f t="shared" ca="1" si="13"/>
        <v>7.131361229055039</v>
      </c>
      <c r="Y46" s="55">
        <f t="shared" ca="1" si="14"/>
        <v>-5.2637927659250678</v>
      </c>
      <c r="Z46">
        <f t="shared" ca="1" si="3"/>
        <v>120</v>
      </c>
      <c r="AA46">
        <f t="shared" ca="1" si="15"/>
        <v>61.167795833333351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21.572384998650591</v>
      </c>
      <c r="AG46" s="55">
        <f t="shared" ca="1" si="22"/>
        <v>3.2779000595433527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6.8703782819197041</v>
      </c>
      <c r="AK46" s="55">
        <f t="shared" ca="1" si="19"/>
        <v>-13.362140682646531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31.479670686919537</v>
      </c>
      <c r="U47" s="55">
        <f t="shared" ca="1" si="1"/>
        <v>0</v>
      </c>
      <c r="V47" s="55">
        <f t="shared" ca="1" si="2"/>
        <v>0</v>
      </c>
      <c r="W47" s="55">
        <f t="shared" ca="1" si="12"/>
        <v>-20.278673722577555</v>
      </c>
      <c r="X47" s="55">
        <f t="shared" ca="1" si="13"/>
        <v>7.349257069749334</v>
      </c>
      <c r="Y47" s="55">
        <f t="shared" ca="1" si="14"/>
        <v>-5.3419489640862006</v>
      </c>
      <c r="Z47">
        <f t="shared" ca="1" si="3"/>
        <v>120</v>
      </c>
      <c r="AA47">
        <f t="shared" ca="1" si="15"/>
        <v>65.237795833333351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21.577124534612416</v>
      </c>
      <c r="AG47" s="55">
        <f t="shared" ca="1" si="22"/>
        <v>3.4631326170776182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7.1134706251785591</v>
      </c>
      <c r="AK47" s="55">
        <f t="shared" ca="1" si="19"/>
        <v>-13.415260932409295</v>
      </c>
    </row>
    <row r="48" spans="1:37" s="55" customFormat="1">
      <c r="C48" s="61" t="s">
        <v>94</v>
      </c>
      <c r="D48" s="84" t="str">
        <f>IF(E48="","Barley",E48)</f>
        <v>Barley</v>
      </c>
      <c r="E48" s="66"/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30.592033503652239</v>
      </c>
      <c r="U48" s="55">
        <f t="shared" ca="1" si="1"/>
        <v>0</v>
      </c>
      <c r="V48" s="55">
        <f t="shared" ca="1" si="2"/>
        <v>0</v>
      </c>
      <c r="W48" s="55">
        <f t="shared" ca="1" si="12"/>
        <v>-21.305546313850147</v>
      </c>
      <c r="X48" s="55">
        <f t="shared" ca="1" si="13"/>
        <v>7.5614127643581242</v>
      </c>
      <c r="Y48" s="55">
        <f t="shared" ca="1" si="14"/>
        <v>-5.4148692506896943</v>
      </c>
      <c r="Z48">
        <f t="shared" ca="1" si="3"/>
        <v>120</v>
      </c>
      <c r="AA48">
        <f t="shared" ca="1" si="15"/>
        <v>69.477795833333346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21.593384373272436</v>
      </c>
      <c r="AG48" s="55">
        <f t="shared" ca="1" si="22"/>
        <v>3.6564215014292332</v>
      </c>
      <c r="AH48" s="55">
        <f t="shared" ca="1" si="23"/>
        <v>0</v>
      </c>
      <c r="AI48" s="55">
        <f t="shared" ca="1" si="17"/>
        <v>0</v>
      </c>
      <c r="AJ48" s="55">
        <f t="shared" ca="1" si="18"/>
        <v>7.3616093157003828</v>
      </c>
      <c r="AK48" s="55">
        <f t="shared" ca="1" si="19"/>
        <v>-13.453850899919486</v>
      </c>
    </row>
    <row r="49" spans="2:37" s="55" customFormat="1">
      <c r="C49" s="61" t="s">
        <v>95</v>
      </c>
      <c r="D49" s="84" t="str">
        <f>IF(E49="","General",E49)</f>
        <v>General</v>
      </c>
      <c r="E49" s="66"/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30.050087239354891</v>
      </c>
      <c r="U49" s="55">
        <f t="shared" ca="1" si="1"/>
        <v>0</v>
      </c>
      <c r="V49" s="55">
        <f t="shared" ca="1" si="2"/>
        <v>0</v>
      </c>
      <c r="W49" s="55">
        <f t="shared" ca="1" si="12"/>
        <v>-21.99068830290744</v>
      </c>
      <c r="X49" s="55">
        <f t="shared" ca="1" si="13"/>
        <v>7.7741578297302505</v>
      </c>
      <c r="Y49" s="55">
        <f t="shared" ca="1" si="14"/>
        <v>-5.4844185913018748</v>
      </c>
      <c r="Z49">
        <f t="shared" ca="1" si="3"/>
        <v>120</v>
      </c>
      <c r="AA49">
        <f t="shared" ca="1" si="15"/>
        <v>72.357795833333341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21.599504479880459</v>
      </c>
      <c r="AG49" s="55">
        <f t="shared" ca="1" si="22"/>
        <v>3.8579508327695748</v>
      </c>
      <c r="AH49" s="55">
        <f t="shared" ca="1" si="23"/>
        <v>0</v>
      </c>
      <c r="AI49" s="55">
        <f t="shared" ca="1" si="17"/>
        <v>0</v>
      </c>
      <c r="AJ49" s="55">
        <f t="shared" ca="1" si="18"/>
        <v>7.5949470807877075</v>
      </c>
      <c r="AK49" s="55">
        <f t="shared" ca="1" si="19"/>
        <v>-13.479539227058444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150</v>
      </c>
      <c r="D50" s="65" t="str">
        <f>SUBSTITUTE(PriorCropName&amp;" "&amp;PriorCropType&amp;" "&amp;PriorCropVariety,"_"," ")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29.310193479180583</v>
      </c>
      <c r="U50" s="55">
        <f t="shared" ca="1" si="1"/>
        <v>0</v>
      </c>
      <c r="V50" s="55">
        <f t="shared" ca="1" si="2"/>
        <v>0</v>
      </c>
      <c r="W50" s="55">
        <f t="shared" ca="1" si="12"/>
        <v>-22.874757013723222</v>
      </c>
      <c r="X50" s="55">
        <f t="shared" ca="1" si="13"/>
        <v>7.9837713963877652</v>
      </c>
      <c r="Y50" s="55">
        <f t="shared" ca="1" si="14"/>
        <v>-5.5498572073179187</v>
      </c>
      <c r="Z50">
        <f t="shared" ca="1" si="3"/>
        <v>120</v>
      </c>
      <c r="AA50">
        <f t="shared" ca="1" si="15"/>
        <v>76.167795833333344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21.619669527703085</v>
      </c>
      <c r="AG50" s="55">
        <f t="shared" ca="1" si="22"/>
        <v>4.0633904111287746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7.8345458248913804</v>
      </c>
      <c r="AK50" s="55">
        <f t="shared" ca="1" si="19"/>
        <v>-13.493533344980291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29.149453781850184</v>
      </c>
      <c r="U51" s="55">
        <f t="shared" ca="1" si="1"/>
        <v>0</v>
      </c>
      <c r="V51" s="55">
        <f t="shared" ca="1" si="2"/>
        <v>0</v>
      </c>
      <c r="W51" s="55">
        <f t="shared" ca="1" si="12"/>
        <v>-23.174753475561431</v>
      </c>
      <c r="X51" s="55">
        <f t="shared" ca="1" si="13"/>
        <v>8.1830301791357751</v>
      </c>
      <c r="Y51" s="55">
        <f t="shared" ca="1" si="14"/>
        <v>-5.609859225558119</v>
      </c>
      <c r="Z51">
        <f t="shared" ca="1" si="3"/>
        <v>120</v>
      </c>
      <c r="AA51">
        <f t="shared" ca="1" si="15"/>
        <v>77.467795833333341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21.639258429175189</v>
      </c>
      <c r="AG51" s="55">
        <f t="shared" ca="1" si="22"/>
        <v>4.2851260014779173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8.0802335270773256</v>
      </c>
      <c r="AK51" s="55">
        <f t="shared" ca="1" si="19"/>
        <v>-13.497896555344989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28.604815625642068</v>
      </c>
      <c r="U52" s="55">
        <f t="shared" ca="1" si="1"/>
        <v>0</v>
      </c>
      <c r="V52" s="55">
        <f t="shared" ca="1" si="2"/>
        <v>0</v>
      </c>
      <c r="W52" s="55">
        <f t="shared" ca="1" si="12"/>
        <v>-23.863176038285218</v>
      </c>
      <c r="X52" s="55">
        <f t="shared" ca="1" si="13"/>
        <v>8.3843715599660236</v>
      </c>
      <c r="Y52" s="55">
        <f t="shared" ca="1" si="14"/>
        <v>-5.6674161998726973</v>
      </c>
      <c r="Z52">
        <f t="shared" ca="1" si="3"/>
        <v>120</v>
      </c>
      <c r="AA52">
        <f t="shared" ca="1" si="15"/>
        <v>80.507795833333347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21.63878627516138</v>
      </c>
      <c r="AG52" s="55">
        <f t="shared" ca="1" si="22"/>
        <v>4.5172088498725982</v>
      </c>
      <c r="AH52" s="55">
        <f t="shared" ca="1" si="23"/>
        <v>0</v>
      </c>
      <c r="AI52" s="55">
        <f t="shared" ca="1" si="17"/>
        <v>0</v>
      </c>
      <c r="AJ52" s="55">
        <f t="shared" ca="1" si="18"/>
        <v>8.3068012614464379</v>
      </c>
      <c r="AK52" s="55">
        <f t="shared" ca="1" si="19"/>
        <v>-13.492853595333228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28.296422361617406</v>
      </c>
      <c r="U53" s="55">
        <f t="shared" ca="1" si="1"/>
        <v>0</v>
      </c>
      <c r="V53" s="55">
        <f t="shared" ca="1" si="2"/>
        <v>0</v>
      </c>
      <c r="W53" s="55">
        <f t="shared" ca="1" si="12"/>
        <v>-24.320163259425339</v>
      </c>
      <c r="X53" s="55">
        <f t="shared" ca="1" si="13"/>
        <v>8.5881917869356403</v>
      </c>
      <c r="Y53" s="55">
        <f t="shared" ca="1" si="14"/>
        <v>-5.7226424697268587</v>
      </c>
      <c r="Z53">
        <f t="shared" ca="1" si="3"/>
        <v>120</v>
      </c>
      <c r="AA53">
        <f t="shared" ca="1" si="15"/>
        <v>82.547795833333339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21.624266231360004</v>
      </c>
      <c r="AG53" s="55">
        <f t="shared" ca="1" si="22"/>
        <v>4.7630311126512312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8.52431168556536</v>
      </c>
      <c r="AK53" s="55">
        <f t="shared" ca="1" si="19"/>
        <v>-13.479061800474893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8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27.968582741691439</v>
      </c>
      <c r="U54" s="55">
        <f t="shared" ca="1" si="1"/>
        <v>0</v>
      </c>
      <c r="V54" s="55">
        <f t="shared" ca="1" si="2"/>
        <v>0</v>
      </c>
      <c r="W54" s="55">
        <f t="shared" ca="1" si="12"/>
        <v>-24.798426024308263</v>
      </c>
      <c r="X54" s="55">
        <f t="shared" ca="1" si="13"/>
        <v>8.7908655606704507</v>
      </c>
      <c r="Y54" s="55">
        <f t="shared" ca="1" si="14"/>
        <v>-5.7748930985047089</v>
      </c>
      <c r="Z54">
        <f t="shared" ca="1" si="3"/>
        <v>120</v>
      </c>
      <c r="AA54">
        <f t="shared" ca="1" si="15"/>
        <v>84.707795833333336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21.603210408299038</v>
      </c>
      <c r="AG54" s="55">
        <f t="shared" ca="1" si="22"/>
        <v>5.0216419219974258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8.7400529110281795</v>
      </c>
      <c r="AK54" s="55">
        <f t="shared" ca="1" si="19"/>
        <v>-13.457248039652482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27.741249105951702</v>
      </c>
      <c r="U55" s="55">
        <f t="shared" ca="1" si="1"/>
        <v>0</v>
      </c>
      <c r="V55" s="55">
        <f t="shared" ca="1" si="2"/>
        <v>0</v>
      </c>
      <c r="W55" s="55">
        <f t="shared" ca="1" si="12"/>
        <v>-25.180561730742745</v>
      </c>
      <c r="X55" s="55">
        <f t="shared" ca="1" si="13"/>
        <v>8.9956442720209751</v>
      </c>
      <c r="Y55" s="55">
        <f t="shared" ca="1" si="14"/>
        <v>-5.8248697391604862</v>
      </c>
      <c r="Z55">
        <f t="shared" ca="1" si="3"/>
        <v>120</v>
      </c>
      <c r="AA55">
        <f t="shared" ca="1" si="15"/>
        <v>86.447795833333331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21.56706302516832</v>
      </c>
      <c r="AG55" s="55">
        <f t="shared" ca="1" si="22"/>
        <v>5.2958457019043168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8.9499223573781848</v>
      </c>
      <c r="AK55" s="55">
        <f t="shared" ca="1" si="19"/>
        <v>-13.429061089226314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Interface'!M9,0)&amp;"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27.593125859984216</v>
      </c>
      <c r="U56" s="55">
        <f t="shared" ca="1" si="1"/>
        <v>0</v>
      </c>
      <c r="V56" s="55">
        <f t="shared" ca="1" si="2"/>
        <v>0</v>
      </c>
      <c r="W56" s="55">
        <f t="shared" ca="1" si="12"/>
        <v>-25.490754453952068</v>
      </c>
      <c r="X56" s="55">
        <f t="shared" ca="1" si="13"/>
        <v>9.2060379885682764</v>
      </c>
      <c r="Y56" s="55">
        <f t="shared" ca="1" si="14"/>
        <v>-5.8731939784659497</v>
      </c>
      <c r="Z56">
        <f t="shared" ca="1" si="3"/>
        <v>120</v>
      </c>
      <c r="AA56">
        <f t="shared" ca="1" si="15"/>
        <v>87.867795833333332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21.5188095713909</v>
      </c>
      <c r="AG56" s="55">
        <f t="shared" ca="1" si="22"/>
        <v>5.5903227732589196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9.1616816145716697</v>
      </c>
      <c r="AK56" s="55">
        <f t="shared" ca="1" si="19"/>
        <v>-13.394596728842616</v>
      </c>
    </row>
    <row r="57" spans="2:37" s="55" customFormat="1" ht="15" thickBot="1">
      <c r="C57" s="120" t="s">
        <v>154</v>
      </c>
      <c r="D57" s="120"/>
      <c r="E57" s="120"/>
      <c r="F57" s="120"/>
      <c r="G57" s="120"/>
      <c r="H57" s="120"/>
      <c r="R57" s="83">
        <f ca="1"/>
        <v>45086</v>
      </c>
      <c r="S57" s="55">
        <f t="shared" ca="1" si="11"/>
        <v>45086</v>
      </c>
      <c r="T57" s="55">
        <f t="shared" ca="1" si="0"/>
        <v>26.951355580017786</v>
      </c>
      <c r="U57" s="55">
        <f t="shared" ca="1" si="1"/>
        <v>0</v>
      </c>
      <c r="V57" s="55">
        <f t="shared" ca="1" si="2"/>
        <v>0</v>
      </c>
      <c r="W57" s="55">
        <f t="shared" ca="1" si="12"/>
        <v>-26.303674716634355</v>
      </c>
      <c r="X57" s="55">
        <f t="shared" ca="1" si="13"/>
        <v>9.4241334739790368</v>
      </c>
      <c r="Y57" s="55">
        <f t="shared" ca="1" si="14"/>
        <v>-5.9201394811608541</v>
      </c>
      <c r="Z57">
        <f t="shared" ca="1" si="3"/>
        <v>120</v>
      </c>
      <c r="AA57">
        <f t="shared" ca="1" si="15"/>
        <v>91.677795833333334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21.462887616623004</v>
      </c>
      <c r="AG57" s="55">
        <f t="shared" ca="1" si="22"/>
        <v>5.9038060415574645</v>
      </c>
      <c r="AH57" s="55">
        <f t="shared" ca="1" si="23"/>
        <v>0</v>
      </c>
      <c r="AI57" s="55">
        <f t="shared" ca="1" si="17"/>
        <v>0</v>
      </c>
      <c r="AJ57" s="55">
        <f t="shared" ca="1" si="18"/>
        <v>9.3778570809919231</v>
      </c>
      <c r="AK57" s="55">
        <f t="shared" ca="1" si="19"/>
        <v>-13.353210881732222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25.916994771304719</v>
      </c>
      <c r="U58" s="55">
        <f t="shared" ca="1" si="1"/>
        <v>0</v>
      </c>
      <c r="V58" s="55">
        <f t="shared" ca="1" si="2"/>
        <v>0</v>
      </c>
      <c r="W58" s="55">
        <f t="shared" ca="1" si="12"/>
        <v>-27.512162585324649</v>
      </c>
      <c r="X58" s="55">
        <f t="shared" ca="1" si="13"/>
        <v>9.6426285910045095</v>
      </c>
      <c r="Y58" s="55">
        <f t="shared" ca="1" si="14"/>
        <v>-5.9645075382091015</v>
      </c>
      <c r="Z58">
        <f t="shared" ca="1" si="3"/>
        <v>120</v>
      </c>
      <c r="AA58">
        <f t="shared" ca="1" si="15"/>
        <v>97.567795833333335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21.399094326233669</v>
      </c>
      <c r="AG58" s="55">
        <f t="shared" ca="1" si="22"/>
        <v>6.2331598540818698</v>
      </c>
      <c r="AH58" s="55">
        <f t="shared" ca="1" si="23"/>
        <v>0</v>
      </c>
      <c r="AI58" s="55">
        <f t="shared" ca="1" si="17"/>
        <v>0</v>
      </c>
      <c r="AJ58" s="55">
        <f t="shared" ca="1" si="18"/>
        <v>9.5956528021398313</v>
      </c>
      <c r="AK58" s="55">
        <f t="shared" ca="1" si="19"/>
        <v>-13.305446080745059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25.383330834160372</v>
      </c>
      <c r="U59" s="55">
        <f t="shared" ca="1" si="1"/>
        <v>0</v>
      </c>
      <c r="V59" s="55">
        <f t="shared" ca="1" si="2"/>
        <v>0</v>
      </c>
      <c r="W59" s="55">
        <f t="shared" ca="1" si="12"/>
        <v>-28.223530431951993</v>
      </c>
      <c r="X59" s="55">
        <f t="shared" ca="1" si="13"/>
        <v>9.8623253413322729</v>
      </c>
      <c r="Y59" s="55">
        <f t="shared" ca="1" si="14"/>
        <v>-6.0065003790538682</v>
      </c>
      <c r="Z59">
        <f t="shared" ca="1" si="3"/>
        <v>120</v>
      </c>
      <c r="AA59">
        <f t="shared" ca="1" si="15"/>
        <v>101.10779583333334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21.307568267386443</v>
      </c>
      <c r="AG59" s="55">
        <f t="shared" ca="1" si="22"/>
        <v>6.5767184237460423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9.7997955376640995</v>
      </c>
      <c r="AK59" s="55">
        <f t="shared" ca="1" si="19"/>
        <v>-13.257556305452381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24.998339213918449</v>
      </c>
      <c r="U60" s="55">
        <f t="shared" ca="1" si="1"/>
        <v>0</v>
      </c>
      <c r="V60" s="55">
        <f t="shared" ca="1" si="2"/>
        <v>0</v>
      </c>
      <c r="W60" s="55">
        <f t="shared" ca="1" si="12"/>
        <v>-28.785576425278258</v>
      </c>
      <c r="X60" s="55">
        <f t="shared" ca="1" si="13"/>
        <v>10.078429509777475</v>
      </c>
      <c r="Y60" s="55">
        <f t="shared" ca="1" si="14"/>
        <v>-6.0455501744147284</v>
      </c>
      <c r="Z60">
        <f t="shared" ca="1" si="3"/>
        <v>120</v>
      </c>
      <c r="AA60">
        <f t="shared" ca="1" si="15"/>
        <v>103.94779583333334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21.197552600917618</v>
      </c>
      <c r="AG60" s="55">
        <f t="shared" ca="1" si="22"/>
        <v>6.9389781349329605</v>
      </c>
      <c r="AH60" s="55">
        <f t="shared" ca="1" si="23"/>
        <v>0</v>
      </c>
      <c r="AI60" s="55">
        <f t="shared" ca="1" si="17"/>
        <v>0</v>
      </c>
      <c r="AJ60" s="55">
        <f t="shared" ca="1" si="18"/>
        <v>10.001402216419711</v>
      </c>
      <c r="AK60" s="55">
        <f t="shared" ca="1" si="19"/>
        <v>-13.206918939489897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24.756959069079638</v>
      </c>
      <c r="U61" s="55">
        <f t="shared" ca="1" si="1"/>
        <v>0</v>
      </c>
      <c r="V61" s="55">
        <f t="shared" ca="1" si="2"/>
        <v>0</v>
      </c>
      <c r="W61" s="55">
        <f t="shared" ca="1" si="12"/>
        <v>-29.203040647580615</v>
      </c>
      <c r="X61" s="55">
        <f t="shared" ca="1" si="13"/>
        <v>10.290781547661615</v>
      </c>
      <c r="Y61" s="55">
        <f t="shared" ca="1" si="14"/>
        <v>-6.0818181348353226</v>
      </c>
      <c r="Z61">
        <f t="shared" ca="1" si="3"/>
        <v>120</v>
      </c>
      <c r="AA61">
        <f t="shared" ca="1" si="15"/>
        <v>106.07779583333334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21.074885672132684</v>
      </c>
      <c r="AG61" s="55">
        <f t="shared" ca="1" si="22"/>
        <v>7.3159127014104408</v>
      </c>
      <c r="AH61" s="55">
        <f t="shared" ca="1" si="23"/>
        <v>0</v>
      </c>
      <c r="AI61" s="55">
        <f t="shared" ca="1" si="17"/>
        <v>0</v>
      </c>
      <c r="AJ61" s="55">
        <f t="shared" ca="1" si="18"/>
        <v>10.201515817977505</v>
      </c>
      <c r="AK61" s="55">
        <f t="shared" ca="1" si="19"/>
        <v>-13.152764903355147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24.544634064282125</v>
      </c>
      <c r="U62" s="55">
        <f t="shared" ca="1" si="1"/>
        <v>0</v>
      </c>
      <c r="V62" s="55">
        <f t="shared" ca="1" si="2"/>
        <v>0</v>
      </c>
      <c r="W62" s="55">
        <f t="shared" ca="1" si="12"/>
        <v>-29.583891552811391</v>
      </c>
      <c r="X62" s="55">
        <f t="shared" ca="1" si="13"/>
        <v>10.492122928491863</v>
      </c>
      <c r="Y62" s="55">
        <f t="shared" ca="1" si="14"/>
        <v>-6.1146336152323091</v>
      </c>
      <c r="Z62">
        <f t="shared" ca="1" si="3"/>
        <v>120</v>
      </c>
      <c r="AA62">
        <f t="shared" ca="1" si="15"/>
        <v>108.03779583333333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20.931402116580944</v>
      </c>
      <c r="AG62" s="55">
        <f t="shared" ca="1" si="22"/>
        <v>7.7104805082310799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10.39721292726971</v>
      </c>
      <c r="AK62" s="55">
        <f t="shared" ca="1" si="19"/>
        <v>-13.097377761378452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23.758732409365457</v>
      </c>
      <c r="U63" s="55">
        <f t="shared" ca="1" si="1"/>
        <v>0</v>
      </c>
      <c r="V63" s="55">
        <f t="shared" ca="1" si="2"/>
        <v>0</v>
      </c>
      <c r="W63" s="55">
        <f t="shared" ca="1" si="12"/>
        <v>-30.541269474190447</v>
      </c>
      <c r="X63" s="55">
        <f t="shared" ca="1" si="13"/>
        <v>10.694606021864692</v>
      </c>
      <c r="Y63" s="55">
        <f t="shared" ca="1" si="14"/>
        <v>-6.1456404421427528</v>
      </c>
      <c r="Z63">
        <f t="shared" ca="1" si="3"/>
        <v>120</v>
      </c>
      <c r="AA63">
        <f t="shared" ca="1" si="15"/>
        <v>113.12779583333332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20.788157789378506</v>
      </c>
      <c r="AG63" s="55">
        <f t="shared" ca="1" si="22"/>
        <v>8.125957497671239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10.604941056455152</v>
      </c>
      <c r="AK63" s="55">
        <f t="shared" ca="1" si="19"/>
        <v>-13.032873228326173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23.387414097721354</v>
      </c>
      <c r="U64" s="55">
        <f t="shared" ca="1" si="1"/>
        <v>0</v>
      </c>
      <c r="V64" s="55">
        <f t="shared" ca="1" si="2"/>
        <v>0</v>
      </c>
      <c r="W64" s="55">
        <f t="shared" ca="1" si="12"/>
        <v>-31.076354019234561</v>
      </c>
      <c r="X64" s="55">
        <f t="shared" ca="1" si="13"/>
        <v>10.886406405513357</v>
      </c>
      <c r="Y64" s="55">
        <f t="shared" ca="1" si="14"/>
        <v>-6.1736745923914063</v>
      </c>
      <c r="Z64">
        <f t="shared" ca="1" si="3"/>
        <v>120</v>
      </c>
      <c r="AA64">
        <f t="shared" ca="1" si="15"/>
        <v>116.01779583333331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20.615693673498676</v>
      </c>
      <c r="AG64" s="55">
        <f t="shared" ca="1" si="22"/>
        <v>8.5661733740012949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10.808130568147398</v>
      </c>
      <c r="AK64" s="55">
        <f t="shared" ca="1" si="19"/>
        <v>-12.968310979568196</v>
      </c>
    </row>
    <row r="65" spans="2:37" s="55" customFormat="1">
      <c r="C65" s="61" t="s">
        <v>100</v>
      </c>
      <c r="D65" s="70">
        <f>IF(E65="",VLOOKUP(FollowingCropFullName,CropCoefficients,17,FALSE),E65)</f>
        <v>10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22.938413196231604</v>
      </c>
      <c r="U65" s="55">
        <f t="shared" ca="1" si="1"/>
        <v>0</v>
      </c>
      <c r="V65" s="55">
        <f t="shared" ca="1" si="2"/>
        <v>0</v>
      </c>
      <c r="W65" s="55">
        <f t="shared" ca="1" si="12"/>
        <v>-31.691963683388426</v>
      </c>
      <c r="X65" s="55">
        <f t="shared" ca="1" si="13"/>
        <v>11.079499050573647</v>
      </c>
      <c r="Y65" s="55">
        <f t="shared" ca="1" si="14"/>
        <v>-6.20015847478758</v>
      </c>
      <c r="Z65">
        <f t="shared" ca="1" si="3"/>
        <v>120</v>
      </c>
      <c r="AA65">
        <f t="shared" ca="1" si="15"/>
        <v>119.40779583333331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20.414747423012209</v>
      </c>
      <c r="AG65" s="55">
        <f t="shared" ca="1" si="22"/>
        <v>9.0292212958343772</v>
      </c>
      <c r="AH65" s="55">
        <f t="shared" ca="1" si="23"/>
        <v>0</v>
      </c>
      <c r="AI65" s="55">
        <f t="shared" ca="1" si="17"/>
        <v>0</v>
      </c>
      <c r="AJ65" s="55">
        <f t="shared" ca="1" si="18"/>
        <v>11.006185218450861</v>
      </c>
      <c r="AK65" s="55">
        <f t="shared" ca="1" si="19"/>
        <v>-12.904263958525041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22.471714459573473</v>
      </c>
      <c r="U66" s="55">
        <f t="shared" ca="1" si="1"/>
        <v>0</v>
      </c>
      <c r="V66" s="55">
        <f t="shared" ca="1" si="2"/>
        <v>0</v>
      </c>
      <c r="W66" s="55">
        <f t="shared" ca="1" si="12"/>
        <v>-32.33596556694237</v>
      </c>
      <c r="X66" s="55">
        <f t="shared" ca="1" si="13"/>
        <v>11.282554523692879</v>
      </c>
      <c r="Y66" s="55">
        <f t="shared" ca="1" si="14"/>
        <v>-6.2259108010109987</v>
      </c>
      <c r="Z66">
        <f t="shared" ca="1" si="3"/>
        <v>120</v>
      </c>
      <c r="AA66">
        <f t="shared" ca="1" si="15"/>
        <v>123.0277958333333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20.203534462414446</v>
      </c>
      <c r="AG66" s="55">
        <f t="shared" ca="1" si="22"/>
        <v>9.5184870922439888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11.213103553760662</v>
      </c>
      <c r="AK66" s="55">
        <f t="shared" ca="1" si="19"/>
        <v>-12.833129458022993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152 kg N/ha</v>
      </c>
      <c r="R67" s="83">
        <f ca="1"/>
        <v>45096</v>
      </c>
      <c r="S67" s="55">
        <f t="shared" ca="1" si="11"/>
        <v>45096</v>
      </c>
      <c r="T67" s="55">
        <f t="shared" ca="1" si="0"/>
        <v>22.129584379600242</v>
      </c>
      <c r="U67" s="55">
        <f t="shared" ca="1" si="1"/>
        <v>0</v>
      </c>
      <c r="V67" s="55">
        <f t="shared" ca="1" si="2"/>
        <v>0</v>
      </c>
      <c r="W67" s="55">
        <f t="shared" ca="1" si="12"/>
        <v>-32.851031643377567</v>
      </c>
      <c r="X67" s="55">
        <f t="shared" ca="1" si="13"/>
        <v>11.478995351645231</v>
      </c>
      <c r="Y67" s="55">
        <f t="shared" ca="1" si="14"/>
        <v>-6.2494156325013881</v>
      </c>
      <c r="Z67">
        <f t="shared" ca="1" si="3"/>
        <v>120</v>
      </c>
      <c r="AA67">
        <f t="shared" ca="1" si="15"/>
        <v>125.9677958333333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19.972735097217821</v>
      </c>
      <c r="AG67" s="55">
        <f t="shared" ca="1" si="22"/>
        <v>10.031111466083278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11.420862562402222</v>
      </c>
      <c r="AK67" s="55">
        <f t="shared" ca="1" si="19"/>
        <v>-12.75906345802189</v>
      </c>
    </row>
    <row r="68" spans="2:37" ht="15" thickBot="1">
      <c r="C68" s="122" t="s">
        <v>185</v>
      </c>
      <c r="D68" s="122"/>
      <c r="E68" s="122"/>
      <c r="F68" s="122"/>
      <c r="G68" s="122"/>
      <c r="H68" s="122"/>
      <c r="R68" s="83">
        <f ca="1"/>
        <v>45097</v>
      </c>
      <c r="S68" s="55">
        <f t="shared" ca="1" si="11"/>
        <v>45097</v>
      </c>
      <c r="T68" s="55">
        <f t="shared" ca="1" si="0"/>
        <v>21.51811380834252</v>
      </c>
      <c r="U68" s="55">
        <f t="shared" ca="1" si="1"/>
        <v>0</v>
      </c>
      <c r="V68" s="55">
        <f t="shared" ca="1" si="2"/>
        <v>0</v>
      </c>
      <c r="W68" s="55">
        <f t="shared" ca="1" si="12"/>
        <v>-33.639760173260854</v>
      </c>
      <c r="X68" s="55">
        <f t="shared" ca="1" si="13"/>
        <v>11.678442898197035</v>
      </c>
      <c r="Y68" s="55">
        <f t="shared" ca="1" si="14"/>
        <v>-6.2716052204276238</v>
      </c>
      <c r="Z68">
        <f t="shared" ca="1" si="3"/>
        <v>120</v>
      </c>
      <c r="AA68">
        <f t="shared" ca="1" si="15"/>
        <v>130.59779583333329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19.709310090092139</v>
      </c>
      <c r="AG68" s="55">
        <f t="shared" ca="1" si="22"/>
        <v>10.5639921455007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11.619293833346756</v>
      </c>
      <c r="AK68" s="55">
        <f t="shared" ca="1" si="19"/>
        <v>-12.688039056674681</v>
      </c>
    </row>
    <row r="69" spans="2:37">
      <c r="C69" s="61"/>
      <c r="D69" s="88"/>
      <c r="E69" s="99"/>
      <c r="R69" s="83">
        <f ca="1"/>
        <v>45098</v>
      </c>
      <c r="S69" s="55">
        <f t="shared" ca="1" si="11"/>
        <v>45098</v>
      </c>
      <c r="T69" s="55">
        <f t="shared" ca="1" si="0"/>
        <v>21.543627181312765</v>
      </c>
      <c r="U69" s="55">
        <f t="shared" ca="1" si="1"/>
        <v>0</v>
      </c>
      <c r="V69" s="55">
        <f t="shared" ca="1" si="2"/>
        <v>0</v>
      </c>
      <c r="W69" s="55">
        <f t="shared" ca="1" si="12"/>
        <v>-33.794964054079564</v>
      </c>
      <c r="X69" s="55">
        <f t="shared" ca="1" si="13"/>
        <v>11.879974282431425</v>
      </c>
      <c r="Y69" s="55">
        <f t="shared" ca="1" si="14"/>
        <v>-6.292419350873061</v>
      </c>
      <c r="Z69">
        <f t="shared" ca="1" si="3"/>
        <v>120</v>
      </c>
      <c r="AA69">
        <f t="shared" ca="1" si="15"/>
        <v>131.50779583333329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19.424028041480476</v>
      </c>
      <c r="AG69" s="55">
        <f t="shared" ca="1" si="22"/>
        <v>11.123383155326986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11.819597326333659</v>
      </c>
      <c r="AK69" s="55">
        <f t="shared" ca="1" si="19"/>
        <v>-12.614233588446963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21.569606118483023</v>
      </c>
      <c r="U70" s="55">
        <f t="shared" ca="1" si="1"/>
        <v>0</v>
      </c>
      <c r="V70" s="55">
        <f t="shared" ca="1" si="2"/>
        <v>0</v>
      </c>
      <c r="W70" s="55">
        <f t="shared" ca="1" si="12"/>
        <v>-33.945232310038328</v>
      </c>
      <c r="X70" s="55">
        <f t="shared" ca="1" si="13"/>
        <v>12.075108719112936</v>
      </c>
      <c r="Y70" s="55">
        <f t="shared" ca="1" si="14"/>
        <v>-6.3113065944255524</v>
      </c>
      <c r="Z70">
        <f t="shared" ca="1" si="3"/>
        <v>120</v>
      </c>
      <c r="AA70">
        <f t="shared" ca="1" si="15"/>
        <v>132.38779583333329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19.107166218010363</v>
      </c>
      <c r="AG70" s="55">
        <f t="shared" ca="1" si="22"/>
        <v>11.697284055619804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12.007695671383948</v>
      </c>
      <c r="AK70" s="55">
        <f t="shared" ca="1" si="19"/>
        <v>-12.545292856674548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21.123966484001365</v>
      </c>
      <c r="U71" s="55">
        <f t="shared" ca="1" si="1"/>
        <v>0</v>
      </c>
      <c r="V71" s="55">
        <f t="shared" ca="1" si="2"/>
        <v>0</v>
      </c>
      <c r="W71" s="55">
        <f t="shared" ca="1" si="12"/>
        <v>-34.563988494965535</v>
      </c>
      <c r="X71" s="55">
        <f t="shared" ca="1" si="13"/>
        <v>12.265438948076561</v>
      </c>
      <c r="Y71" s="55">
        <f t="shared" ca="1" si="14"/>
        <v>-6.3285202729436296</v>
      </c>
      <c r="Z71">
        <f t="shared" ca="1" si="3"/>
        <v>120</v>
      </c>
      <c r="AA71">
        <f t="shared" ca="1" si="15"/>
        <v>136.0877958333333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18.758447183684467</v>
      </c>
      <c r="AG71" s="55">
        <f t="shared" ca="1" si="22"/>
        <v>12.282995236019003</v>
      </c>
      <c r="AH71" s="55">
        <f t="shared" ca="1" si="23"/>
        <v>0</v>
      </c>
      <c r="AI71" s="55">
        <f t="shared" ca="1" si="17"/>
        <v>0</v>
      </c>
      <c r="AJ71" s="55">
        <f t="shared" ca="1" si="18"/>
        <v>12.182078388071252</v>
      </c>
      <c r="AK71" s="55">
        <f t="shared" ca="1" si="19"/>
        <v>-12.482683427288551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20.445637531796429</v>
      </c>
      <c r="U72" s="55">
        <f t="shared" ca="1" si="1"/>
        <v>0</v>
      </c>
      <c r="V72" s="55">
        <f t="shared" ca="1" si="2"/>
        <v>0</v>
      </c>
      <c r="W72" s="55">
        <f t="shared" ca="1" si="12"/>
        <v>-35.41861614379463</v>
      </c>
      <c r="X72" s="55">
        <f t="shared" ca="1" si="13"/>
        <v>12.457792486119772</v>
      </c>
      <c r="Y72" s="55">
        <f t="shared" ca="1" si="14"/>
        <v>-6.3445751143626845</v>
      </c>
      <c r="Z72">
        <f t="shared" ca="1" si="3"/>
        <v>120</v>
      </c>
      <c r="AA72">
        <f t="shared" ca="1" si="15"/>
        <v>141.3677958333333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18.377614190115381</v>
      </c>
      <c r="AG72" s="55">
        <f t="shared" ca="1" si="22"/>
        <v>12.899990288326403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12.355899847065116</v>
      </c>
      <c r="AK72" s="55">
        <f t="shared" ca="1" si="19"/>
        <v>-12.420342827544102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19.480321091423175</v>
      </c>
      <c r="U73" s="55">
        <f t="shared" ca="1" si="1"/>
        <v>0</v>
      </c>
      <c r="V73" s="55">
        <f t="shared" ca="1" si="2"/>
        <v>0</v>
      </c>
      <c r="W73" s="55">
        <f t="shared" ca="1" si="12"/>
        <v>-36.564464863993052</v>
      </c>
      <c r="X73" s="55">
        <f t="shared" ca="1" si="13"/>
        <v>12.653299616031383</v>
      </c>
      <c r="Y73" s="55">
        <f t="shared" ca="1" si="14"/>
        <v>-6.3595499644491307</v>
      </c>
      <c r="Z73">
        <f t="shared" ca="1" si="3"/>
        <v>120</v>
      </c>
      <c r="AA73">
        <f t="shared" ca="1" si="15"/>
        <v>148.79779583333331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17.960240558000425</v>
      </c>
      <c r="AG73" s="55">
        <f t="shared" ca="1" si="22"/>
        <v>13.549906103431393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12.527674869691074</v>
      </c>
      <c r="AK73" s="55">
        <f t="shared" ca="1" si="19"/>
        <v>-12.359575667180026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19.280114478554502</v>
      </c>
      <c r="U74" s="55">
        <f t="shared" ca="1" si="1"/>
        <v>0</v>
      </c>
      <c r="V74" s="55">
        <f t="shared" ca="1" si="2"/>
        <v>0</v>
      </c>
      <c r="W74" s="55">
        <f t="shared" ca="1" si="12"/>
        <v>-36.939945093462903</v>
      </c>
      <c r="X74" s="55">
        <f t="shared" ca="1" si="13"/>
        <v>12.841984472742356</v>
      </c>
      <c r="Y74" s="55">
        <f t="shared" ca="1" si="14"/>
        <v>-6.3729612045589299</v>
      </c>
      <c r="Z74">
        <f t="shared" ca="1" si="3"/>
        <v>120</v>
      </c>
      <c r="AA74">
        <f t="shared" ca="1" si="15"/>
        <v>151.25779583333332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17.528955091494637</v>
      </c>
      <c r="AG74" s="55">
        <f t="shared" ca="1" si="22"/>
        <v>14.220171435165799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12.701937156121714</v>
      </c>
      <c r="AK74" s="55">
        <f t="shared" ca="1" si="19"/>
        <v>-12.294858088382048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19.25400853620015</v>
      </c>
      <c r="U75" s="55">
        <f t="shared" ca="1" si="1"/>
        <v>0</v>
      </c>
      <c r="V75" s="55">
        <f t="shared" ca="1" si="2"/>
        <v>0</v>
      </c>
      <c r="W75" s="55">
        <f t="shared" ca="1" si="12"/>
        <v>-37.144198034017762</v>
      </c>
      <c r="X75" s="55">
        <f t="shared" ca="1" si="13"/>
        <v>13.032498079583277</v>
      </c>
      <c r="Y75" s="55">
        <f t="shared" ca="1" si="14"/>
        <v>-6.3853278131993472</v>
      </c>
      <c r="Z75">
        <f t="shared" ca="1" si="3"/>
        <v>120</v>
      </c>
      <c r="AA75">
        <f t="shared" ca="1" si="15"/>
        <v>152.59779583333332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17.081581542297265</v>
      </c>
      <c r="AG75" s="55">
        <f t="shared" ca="1" si="22"/>
        <v>14.923553048092938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12.885913516513593</v>
      </c>
      <c r="AK75" s="55">
        <f t="shared" ca="1" si="19"/>
        <v>-12.222826385044163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18.784267865320583</v>
      </c>
      <c r="U76" s="55">
        <f t="shared" ca="1" si="1"/>
        <v>0</v>
      </c>
      <c r="V76" s="55">
        <f t="shared" ca="1" si="2"/>
        <v>0</v>
      </c>
      <c r="W76" s="55">
        <f t="shared" ca="1" si="12"/>
        <v>-37.791081258629738</v>
      </c>
      <c r="X76" s="55">
        <f t="shared" ca="1" si="13"/>
        <v>13.22081852647705</v>
      </c>
      <c r="Y76" s="55">
        <f t="shared" ca="1" si="14"/>
        <v>-6.3965057063607098</v>
      </c>
      <c r="Z76">
        <f t="shared" ca="1" si="3"/>
        <v>120</v>
      </c>
      <c r="AA76">
        <f t="shared" ca="1" si="15"/>
        <v>156.94779583333332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16.593471266187024</v>
      </c>
      <c r="AG76" s="55">
        <f t="shared" ca="1" si="22"/>
        <v>15.675104206404837</v>
      </c>
      <c r="AH76" s="55">
        <f t="shared" ca="1" si="23"/>
        <v>0</v>
      </c>
      <c r="AI76" s="55">
        <f t="shared" ca="1" si="17"/>
        <v>0</v>
      </c>
      <c r="AJ76" s="55">
        <f t="shared" ca="1" si="18"/>
        <v>13.075010906999429</v>
      </c>
      <c r="AK76" s="55">
        <f t="shared" ca="1" si="19"/>
        <v>-12.148482893328341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18.38634433439103</v>
      </c>
      <c r="U77" s="55">
        <f t="shared" ca="1" si="1"/>
        <v>0</v>
      </c>
      <c r="V77" s="55">
        <f t="shared" ca="1" si="2"/>
        <v>0</v>
      </c>
      <c r="W77" s="55">
        <f t="shared" ca="1" si="12"/>
        <v>-38.368948739106038</v>
      </c>
      <c r="X77" s="55">
        <f t="shared" ca="1" si="13"/>
        <v>13.410965489357073</v>
      </c>
      <c r="Y77" s="55">
        <f t="shared" ca="1" si="14"/>
        <v>-6.4067087196939898</v>
      </c>
      <c r="Z77">
        <f t="shared" ca="1" si="3"/>
        <v>120</v>
      </c>
      <c r="AA77">
        <f t="shared" ca="1" si="15"/>
        <v>160.91779583333332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16.079274654693343</v>
      </c>
      <c r="AG77" s="55">
        <f t="shared" ca="1" si="22"/>
        <v>16.464046259364764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13.270658388105053</v>
      </c>
      <c r="AK77" s="55">
        <f t="shared" ca="1" si="19"/>
        <v>-12.06938493296772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17.705467694730601</v>
      </c>
      <c r="U78" s="55">
        <f t="shared" ca="1" si="1"/>
        <v>0</v>
      </c>
      <c r="V78" s="55">
        <f t="shared" ca="1" si="2"/>
        <v>0</v>
      </c>
      <c r="W78" s="55">
        <f t="shared" ca="1" si="12"/>
        <v>-39.232385380352397</v>
      </c>
      <c r="X78" s="55">
        <f t="shared" ca="1" si="13"/>
        <v>13.602765873005739</v>
      </c>
      <c r="Y78" s="55">
        <f t="shared" ca="1" si="14"/>
        <v>-6.4159491017567216</v>
      </c>
      <c r="Z78">
        <f t="shared" ca="1" si="3"/>
        <v>120</v>
      </c>
      <c r="AA78">
        <f t="shared" ca="1" si="15"/>
        <v>167.07779583333331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15.569935638771888</v>
      </c>
      <c r="AG78" s="55">
        <f t="shared" ca="1" si="22"/>
        <v>17.256526715243069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13.470811761986296</v>
      </c>
      <c r="AK78" s="55">
        <f t="shared" ca="1" si="19"/>
        <v>-11.986396866892113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17.587314565750457</v>
      </c>
      <c r="U79" s="55">
        <f t="shared" ca="1" si="1"/>
        <v>0</v>
      </c>
      <c r="V79" s="55">
        <f t="shared" ca="1" si="2"/>
        <v>0</v>
      </c>
      <c r="W79" s="55">
        <f t="shared" ca="1" si="12"/>
        <v>-39.523382155938208</v>
      </c>
      <c r="X79" s="55">
        <f t="shared" ca="1" si="13"/>
        <v>13.783536616527813</v>
      </c>
      <c r="Y79" s="55">
        <f t="shared" ca="1" si="14"/>
        <v>-6.4238761986731241</v>
      </c>
      <c r="Z79">
        <f t="shared" ca="1" si="3"/>
        <v>120</v>
      </c>
      <c r="AA79">
        <f t="shared" ca="1" si="15"/>
        <v>169.16779583333332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15.026799177776164</v>
      </c>
      <c r="AG79" s="55">
        <f t="shared" ca="1" si="22"/>
        <v>18.080014618283865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13.668344442343162</v>
      </c>
      <c r="AK79" s="55">
        <f t="shared" ca="1" si="19"/>
        <v>-11.903578105203907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17.349064419537751</v>
      </c>
      <c r="U80" s="55">
        <f t="shared" ca="1" si="1"/>
        <v>0</v>
      </c>
      <c r="V80" s="55">
        <f t="shared" ca="1" si="2"/>
        <v>0</v>
      </c>
      <c r="W80" s="55">
        <f t="shared" ca="1" si="12"/>
        <v>-39.927181630302947</v>
      </c>
      <c r="X80" s="55">
        <f t="shared" ca="1" si="13"/>
        <v>13.955918473139988</v>
      </c>
      <c r="Y80" s="55">
        <f t="shared" ca="1" si="14"/>
        <v>-6.4307087271332666</v>
      </c>
      <c r="Z80">
        <f t="shared" ca="1" si="3"/>
        <v>120</v>
      </c>
      <c r="AA80">
        <f t="shared" ca="1" si="15"/>
        <v>172.10779583333331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14.434003723084638</v>
      </c>
      <c r="AG80" s="55">
        <f t="shared" ca="1" si="22"/>
        <v>18.959177846098765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13.869476371303076</v>
      </c>
      <c r="AK80" s="55">
        <f t="shared" ca="1" si="19"/>
        <v>-11.818342261040447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17.244562439413105</v>
      </c>
      <c r="U81" s="55">
        <f t="shared" ca="1" si="1"/>
        <v>0</v>
      </c>
      <c r="V81" s="55">
        <f t="shared" ca="1" si="2"/>
        <v>0</v>
      </c>
      <c r="W81" s="55">
        <f t="shared" ca="1" si="12"/>
        <v>-40.200220535593651</v>
      </c>
      <c r="X81" s="55">
        <f t="shared" ca="1" si="13"/>
        <v>14.13054722009138</v>
      </c>
      <c r="Y81" s="55">
        <f t="shared" ca="1" si="14"/>
        <v>-6.436800548918594</v>
      </c>
      <c r="Z81">
        <f t="shared" ca="1" si="3"/>
        <v>120</v>
      </c>
      <c r="AA81">
        <f t="shared" ca="1" si="15"/>
        <v>174.10779583333331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13.821464696191903</v>
      </c>
      <c r="AG81" s="55">
        <f t="shared" ca="1" si="22"/>
        <v>19.847800403892922</v>
      </c>
      <c r="AH81" s="55">
        <f t="shared" ca="1" si="23"/>
        <v>0</v>
      </c>
      <c r="AI81" s="55">
        <f t="shared" ca="1" si="17"/>
        <v>0</v>
      </c>
      <c r="AJ81" s="55">
        <f t="shared" ca="1" si="18"/>
        <v>14.063399606116528</v>
      </c>
      <c r="AK81" s="55">
        <f t="shared" ca="1" si="19"/>
        <v>-11.736181964952477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16.891288820113903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-40.731099667135815</v>
      </c>
      <c r="X82" s="55">
        <f t="shared" ca="1" si="13"/>
        <v>14.313633818748198</v>
      </c>
      <c r="Y82" s="55">
        <f t="shared" ca="1" si="14"/>
        <v>-6.4422816353324492</v>
      </c>
      <c r="Z82">
        <f t="shared" ref="Z82:Z145" ca="1" si="30">VLOOKUP(S82,ModelOutputs,10,FALSE)*AWC</f>
        <v>120</v>
      </c>
      <c r="AA82">
        <f t="shared" ca="1" si="15"/>
        <v>178.07779583333331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13.146356507249257</v>
      </c>
      <c r="AG82" s="55">
        <f t="shared" ca="1" si="22"/>
        <v>20.792369603575644</v>
      </c>
      <c r="AH82" s="55">
        <f t="shared" ca="1" si="23"/>
        <v>0</v>
      </c>
      <c r="AI82" s="55">
        <f t="shared" ca="1" si="17"/>
        <v>0</v>
      </c>
      <c r="AJ82" s="55">
        <f t="shared" ca="1" si="18"/>
        <v>14.253794848562332</v>
      </c>
      <c r="AK82" s="55">
        <f t="shared" ca="1" si="19"/>
        <v>-11.657116196658206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16.87555642999455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-40.934168862843414</v>
      </c>
      <c r="X83" s="55">
        <f t="shared" ref="X83:X146" ca="1" si="35">VLOOKUP(S83,ModelOutputs,5,FALSE)+X82</f>
        <v>14.50580286003407</v>
      </c>
      <c r="Y83" s="55">
        <f t="shared" ref="Y83:Y146" ca="1" si="36">VLOOKUP(S83,ModelOutputs,4,FALSE)+Y82</f>
        <v>-6.4471138710300737</v>
      </c>
      <c r="Z83">
        <f t="shared" ca="1" si="30"/>
        <v>120</v>
      </c>
      <c r="AA83">
        <f t="shared" ref="AA83:AA146" ca="1" si="37">VLOOKUP(S83,ModelOutputs,11,FALSE)+AA82</f>
        <v>179.59779583333332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12.429842848926562</v>
      </c>
      <c r="AG83" s="55">
        <f t="shared" ca="1" si="22"/>
        <v>21.790302130133348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14.4520028340284</v>
      </c>
      <c r="AK83" s="55">
        <f t="shared" ref="AK83:AK146" ca="1" si="40">VLOOKUP(AE83,ModelOutputs,4,FALSE)+AK82</f>
        <v>-11.573905313889265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16.650229864065476</v>
      </c>
      <c r="U84" s="55">
        <f t="shared" ca="1" si="28"/>
        <v>0</v>
      </c>
      <c r="V84" s="55">
        <f t="shared" ca="1" si="29"/>
        <v>0</v>
      </c>
      <c r="W84" s="55">
        <f t="shared" ca="1" si="34"/>
        <v>-41.346747683683404</v>
      </c>
      <c r="X84" s="55">
        <f t="shared" ca="1" si="35"/>
        <v>14.697051096665087</v>
      </c>
      <c r="Y84" s="55">
        <f t="shared" ca="1" si="36"/>
        <v>-6.4511098527501769</v>
      </c>
      <c r="Z84">
        <f t="shared" ca="1" si="30"/>
        <v>120</v>
      </c>
      <c r="AA84">
        <f t="shared" ca="1" si="37"/>
        <v>182.72779583333332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11.674304390426897</v>
      </c>
      <c r="AG84" s="55">
        <f t="shared" ca="1" si="22"/>
        <v>22.814468989802105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14.641960147490858</v>
      </c>
      <c r="AK84" s="55">
        <f t="shared" ca="1" si="40"/>
        <v>-11.49523422618263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16.644792659911786</v>
      </c>
      <c r="U85" s="55">
        <f t="shared" ca="1" si="28"/>
        <v>0</v>
      </c>
      <c r="V85" s="55">
        <f t="shared" ca="1" si="29"/>
        <v>0</v>
      </c>
      <c r="W85" s="55">
        <f t="shared" ca="1" si="34"/>
        <v>-41.539133745510881</v>
      </c>
      <c r="X85" s="55">
        <f t="shared" ca="1" si="35"/>
        <v>14.88719805954511</v>
      </c>
      <c r="Y85" s="55">
        <f t="shared" ca="1" si="36"/>
        <v>-6.4543079579564102</v>
      </c>
      <c r="Z85">
        <f t="shared" ca="1" si="30"/>
        <v>120</v>
      </c>
      <c r="AA85">
        <f t="shared" ca="1" si="37"/>
        <v>184.18779583333333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10.912873021634287</v>
      </c>
      <c r="AG85" s="55">
        <f t="shared" ref="AG85:AG148" ca="1" si="43">VLOOKUP(AE85,ModelOutputs,7,FALSE)</f>
        <v>23.870756067647072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14.854400567355546</v>
      </c>
      <c r="AK85" s="55">
        <f t="shared" ca="1" si="40"/>
        <v>-11.412818936994961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16.506922067950658</v>
      </c>
      <c r="U86" s="55">
        <f t="shared" ca="1" si="28"/>
        <v>0</v>
      </c>
      <c r="V86" s="55">
        <f t="shared" ca="1" si="29"/>
        <v>0</v>
      </c>
      <c r="W86" s="55">
        <f t="shared" ca="1" si="34"/>
        <v>-41.859299254787175</v>
      </c>
      <c r="X86" s="55">
        <f t="shared" ca="1" si="35"/>
        <v>15.071898937673167</v>
      </c>
      <c r="Y86" s="55">
        <f t="shared" ca="1" si="36"/>
        <v>-6.456713918769303</v>
      </c>
      <c r="Z86">
        <f t="shared" ca="1" si="30"/>
        <v>120</v>
      </c>
      <c r="AA86">
        <f t="shared" ca="1" si="37"/>
        <v>186.63779583333331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10.102075120253534</v>
      </c>
      <c r="AG86" s="55">
        <f t="shared" ca="1" si="43"/>
        <v>24.981009289537727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15.070737811885396</v>
      </c>
      <c r="AK86" s="55">
        <f t="shared" ca="1" si="40"/>
        <v>-11.329700861014908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16.286460314906439</v>
      </c>
      <c r="U87" s="55">
        <f t="shared" ca="1" si="28"/>
        <v>0</v>
      </c>
      <c r="V87" s="55">
        <f t="shared" ca="1" si="29"/>
        <v>0</v>
      </c>
      <c r="W87" s="55">
        <f t="shared" ca="1" si="34"/>
        <v>-42.265442858890154</v>
      </c>
      <c r="X87" s="55">
        <f t="shared" ca="1" si="35"/>
        <v>15.259310312767189</v>
      </c>
      <c r="Y87" s="55">
        <f t="shared" ca="1" si="36"/>
        <v>-6.4584434428045654</v>
      </c>
      <c r="Z87">
        <f t="shared" ca="1" si="30"/>
        <v>120</v>
      </c>
      <c r="AA87">
        <f t="shared" ca="1" si="37"/>
        <v>189.78779583333332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9.2553389959235481</v>
      </c>
      <c r="AG87" s="55">
        <f t="shared" ca="1" si="43"/>
        <v>26.1119675608353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15.274331782738711</v>
      </c>
      <c r="AK87" s="55">
        <f t="shared" ca="1" si="40"/>
        <v>-11.249072684900637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16.351256818324448</v>
      </c>
      <c r="U88" s="55">
        <f t="shared" ca="1" si="28"/>
        <v>0</v>
      </c>
      <c r="V88" s="55">
        <f t="shared" ca="1" si="29"/>
        <v>0</v>
      </c>
      <c r="W88" s="55">
        <f t="shared" ca="1" si="34"/>
        <v>-42.375473191230128</v>
      </c>
      <c r="X88" s="55">
        <f t="shared" ca="1" si="35"/>
        <v>15.435156634328452</v>
      </c>
      <c r="Y88" s="55">
        <f t="shared" ca="1" si="36"/>
        <v>-6.4594629286078442</v>
      </c>
      <c r="Z88">
        <f t="shared" ca="1" si="30"/>
        <v>120</v>
      </c>
      <c r="AA88">
        <f t="shared" ca="1" si="37"/>
        <v>190.63779583333331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8.3591621193325079</v>
      </c>
      <c r="AG88" s="55">
        <f t="shared" ca="1" si="43"/>
        <v>27.286964015334942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15.472961549172048</v>
      </c>
      <c r="AK88" s="55">
        <f t="shared" ca="1" si="40"/>
        <v>-11.168882873425373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16.173489736320722</v>
      </c>
      <c r="U89" s="55">
        <f t="shared" ca="1" si="28"/>
        <v>0</v>
      </c>
      <c r="V89" s="55">
        <f t="shared" ca="1" si="29"/>
        <v>0</v>
      </c>
      <c r="W89" s="55">
        <f t="shared" ca="1" si="34"/>
        <v>-42.722461935614774</v>
      </c>
      <c r="X89" s="55">
        <f t="shared" ca="1" si="35"/>
        <v>15.604798588423888</v>
      </c>
      <c r="Y89" s="55">
        <f t="shared" ca="1" si="36"/>
        <v>-6.4598832203223608</v>
      </c>
      <c r="Z89">
        <f t="shared" ca="1" si="30"/>
        <v>120</v>
      </c>
      <c r="AA89">
        <f t="shared" ca="1" si="37"/>
        <v>193.34779583333329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7.4284231503480456</v>
      </c>
      <c r="AG89" s="55">
        <f t="shared" ca="1" si="43"/>
        <v>28.495851502263033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15.672287755294148</v>
      </c>
      <c r="AK89" s="55">
        <f t="shared" ca="1" si="40"/>
        <v>-11.090060561603844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15.630549137764174</v>
      </c>
      <c r="U90" s="55">
        <f t="shared" ca="1" si="28"/>
        <v>0</v>
      </c>
      <c r="V90" s="55">
        <f t="shared" ca="1" si="29"/>
        <v>0</v>
      </c>
      <c r="W90" s="55">
        <f t="shared" ca="1" si="34"/>
        <v>-43.440164650190447</v>
      </c>
      <c r="X90" s="55">
        <f t="shared" ca="1" si="35"/>
        <v>15.77942733537528</v>
      </c>
      <c r="Y90" s="55">
        <f t="shared" ca="1" si="36"/>
        <v>-6.4597498512546281</v>
      </c>
      <c r="Z90">
        <f t="shared" ca="1" si="30"/>
        <v>120</v>
      </c>
      <c r="AA90">
        <f t="shared" ca="1" si="37"/>
        <v>199.1477958333333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6.4462230452107869</v>
      </c>
      <c r="AG90" s="55">
        <f t="shared" ca="1" si="43"/>
        <v>29.760201157907595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15.87538206359614</v>
      </c>
      <c r="AK90" s="55">
        <f t="shared" ca="1" si="40"/>
        <v>-11.011005319398532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15.657783152214391</v>
      </c>
      <c r="U91" s="55">
        <f t="shared" ca="1" si="28"/>
        <v>0</v>
      </c>
      <c r="V91" s="55">
        <f t="shared" ca="1" si="29"/>
        <v>0</v>
      </c>
      <c r="W91" s="55">
        <f t="shared" ca="1" si="34"/>
        <v>-43.591392739135586</v>
      </c>
      <c r="X91" s="55">
        <f t="shared" ca="1" si="35"/>
        <v>15.957197913031836</v>
      </c>
      <c r="Y91" s="55">
        <f t="shared" ca="1" si="36"/>
        <v>-6.45905832551583</v>
      </c>
      <c r="Z91">
        <f t="shared" ca="1" si="30"/>
        <v>120</v>
      </c>
      <c r="AA91">
        <f t="shared" ca="1" si="37"/>
        <v>200.3677958333333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5.4171152038069321</v>
      </c>
      <c r="AG91" s="55">
        <f t="shared" ca="1" si="43"/>
        <v>31.070041503983415</v>
      </c>
      <c r="AH91" s="55">
        <f t="shared" ca="1" si="44"/>
        <v>0</v>
      </c>
      <c r="AI91" s="55">
        <f t="shared" ca="1" si="38"/>
        <v>0</v>
      </c>
      <c r="AJ91" s="55">
        <f t="shared" ca="1" si="39"/>
        <v>16.077750428744622</v>
      </c>
      <c r="AK91" s="55">
        <f t="shared" ca="1" si="40"/>
        <v>-10.932641179875048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15.428997733459559</v>
      </c>
      <c r="U92" s="55">
        <f t="shared" ca="1" si="28"/>
        <v>0</v>
      </c>
      <c r="V92" s="55">
        <f t="shared" ca="1" si="29"/>
        <v>0</v>
      </c>
      <c r="W92" s="55">
        <f t="shared" ca="1" si="34"/>
        <v>-43.992032380281088</v>
      </c>
      <c r="X92" s="55">
        <f t="shared" ca="1" si="35"/>
        <v>16.127864037539091</v>
      </c>
      <c r="Y92" s="55">
        <f t="shared" ca="1" si="36"/>
        <v>-6.4578702276324194</v>
      </c>
      <c r="Z92">
        <f t="shared" ca="1" si="30"/>
        <v>120</v>
      </c>
      <c r="AA92">
        <f t="shared" ca="1" si="37"/>
        <v>203.6477958333333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4.3387758629616302</v>
      </c>
      <c r="AG92" s="55">
        <f t="shared" ca="1" si="43"/>
        <v>32.421460927240567</v>
      </c>
      <c r="AH92" s="55">
        <f t="shared" ca="1" si="44"/>
        <v>0</v>
      </c>
      <c r="AI92" s="55">
        <f t="shared" ca="1" si="38"/>
        <v>0</v>
      </c>
      <c r="AJ92" s="55">
        <f t="shared" ca="1" si="39"/>
        <v>16.27351648785616</v>
      </c>
      <c r="AK92" s="55">
        <f t="shared" ca="1" si="40"/>
        <v>-10.855327156574736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15.013510765512914</v>
      </c>
      <c r="U93" s="55">
        <f t="shared" ca="1" si="28"/>
        <v>0</v>
      </c>
      <c r="V93" s="55">
        <f t="shared" ca="1" si="29"/>
        <v>0</v>
      </c>
      <c r="W93" s="55">
        <f t="shared" ca="1" si="34"/>
        <v>-44.595825738234133</v>
      </c>
      <c r="X93" s="55">
        <f t="shared" ca="1" si="35"/>
        <v>16.314369128711697</v>
      </c>
      <c r="Y93" s="55">
        <f t="shared" ca="1" si="36"/>
        <v>-6.4560689287986275</v>
      </c>
      <c r="Z93">
        <f t="shared" ca="1" si="30"/>
        <v>120</v>
      </c>
      <c r="AA93">
        <f t="shared" ca="1" si="37"/>
        <v>208.72779583333329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3.2333875152863225</v>
      </c>
      <c r="AG93" s="55">
        <f t="shared" ca="1" si="43"/>
        <v>33.784786100609246</v>
      </c>
      <c r="AH93" s="55">
        <f t="shared" ca="1" si="44"/>
        <v>0</v>
      </c>
      <c r="AI93" s="55">
        <f t="shared" ca="1" si="38"/>
        <v>0</v>
      </c>
      <c r="AJ93" s="55">
        <f t="shared" ca="1" si="39"/>
        <v>16.457278080682851</v>
      </c>
      <c r="AK93" s="55">
        <f t="shared" ca="1" si="40"/>
        <v>-10.781151923708055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14.756185041862762</v>
      </c>
      <c r="U94" s="55">
        <f t="shared" ca="1" si="28"/>
        <v>0</v>
      </c>
      <c r="V94" s="55">
        <f t="shared" ca="1" si="29"/>
        <v>0</v>
      </c>
      <c r="W94" s="55">
        <f t="shared" ca="1" si="34"/>
        <v>-45.052591149384128</v>
      </c>
      <c r="X94" s="55">
        <f t="shared" ca="1" si="35"/>
        <v>16.511371523554722</v>
      </c>
      <c r="Y94" s="55">
        <f t="shared" ca="1" si="36"/>
        <v>-6.4536316361418109</v>
      </c>
      <c r="Z94">
        <f t="shared" ca="1" si="30"/>
        <v>120</v>
      </c>
      <c r="AA94">
        <f t="shared" ca="1" si="37"/>
        <v>212.63779583333329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2.08343344673602</v>
      </c>
      <c r="AG94" s="55">
        <f t="shared" ca="1" si="43"/>
        <v>35.198858500457199</v>
      </c>
      <c r="AH94" s="55">
        <f t="shared" ca="1" si="44"/>
        <v>0</v>
      </c>
      <c r="AI94" s="55">
        <f t="shared" ca="1" si="38"/>
        <v>0</v>
      </c>
      <c r="AJ94" s="55">
        <f t="shared" ca="1" si="39"/>
        <v>16.647465585886607</v>
      </c>
      <c r="AK94" s="55">
        <f t="shared" ca="1" si="40"/>
        <v>-10.707221097614163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14.228315968438977</v>
      </c>
      <c r="U95" s="55">
        <f t="shared" ca="1" si="28"/>
        <v>0</v>
      </c>
      <c r="V95" s="55">
        <f t="shared" ca="1" si="29"/>
        <v>0</v>
      </c>
      <c r="W95" s="55">
        <f t="shared" ca="1" si="34"/>
        <v>-45.77574530848004</v>
      </c>
      <c r="X95" s="55">
        <f t="shared" ca="1" si="35"/>
        <v>16.703725061597932</v>
      </c>
      <c r="Y95" s="55">
        <f t="shared" ca="1" si="36"/>
        <v>-6.450700088512896</v>
      </c>
      <c r="Z95">
        <f t="shared" ca="1" si="30"/>
        <v>120</v>
      </c>
      <c r="AA95">
        <f t="shared" ca="1" si="37"/>
        <v>219.05779583333327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0.85545453543269723</v>
      </c>
      <c r="AG95" s="55">
        <f t="shared" ca="1" si="43"/>
        <v>36.684628726301781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16.832691249853006</v>
      </c>
      <c r="AK95" s="55">
        <f t="shared" ca="1" si="40"/>
        <v>-10.634655447039302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13.710651802742646</v>
      </c>
      <c r="U96" s="55">
        <f t="shared" ca="1" si="28"/>
        <v>0</v>
      </c>
      <c r="V96" s="55">
        <f t="shared" ca="1" si="29"/>
        <v>0</v>
      </c>
      <c r="W96" s="55">
        <f t="shared" ca="1" si="34"/>
        <v>-46.482358025763887</v>
      </c>
      <c r="X96" s="55">
        <f t="shared" ca="1" si="35"/>
        <v>16.889326654521824</v>
      </c>
      <c r="Y96" s="55">
        <f t="shared" ca="1" si="36"/>
        <v>-6.4473531298492688</v>
      </c>
      <c r="Z96">
        <f t="shared" ca="1" si="30"/>
        <v>120</v>
      </c>
      <c r="AA96">
        <f t="shared" ca="1" si="37"/>
        <v>225.56779583333326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-0.41139882032537445</v>
      </c>
      <c r="AG96" s="55">
        <f t="shared" ca="1" si="43"/>
        <v>38.210336727713205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17.018764077517375</v>
      </c>
      <c r="AK96" s="55">
        <f t="shared" ca="1" si="40"/>
        <v>-10.561873629050318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13.579478480777645</v>
      </c>
      <c r="U97" s="55">
        <f t="shared" ca="1" si="28"/>
        <v>0</v>
      </c>
      <c r="V97" s="55">
        <f t="shared" ca="1" si="29"/>
        <v>0</v>
      </c>
      <c r="W97" s="55">
        <f t="shared" ca="1" si="34"/>
        <v>-46.800570471496776</v>
      </c>
      <c r="X97" s="55">
        <f t="shared" ca="1" si="35"/>
        <v>17.072592172977153</v>
      </c>
      <c r="Y97" s="55">
        <f t="shared" ca="1" si="36"/>
        <v>-6.4435795245367107</v>
      </c>
      <c r="Z97">
        <f t="shared" ca="1" si="30"/>
        <v>120</v>
      </c>
      <c r="AA97">
        <f t="shared" ca="1" si="37"/>
        <v>228.52779583333327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-1.7003849707508221</v>
      </c>
      <c r="AG97" s="55">
        <f t="shared" ca="1" si="43"/>
        <v>39.754447911218215</v>
      </c>
      <c r="AH97" s="55">
        <f t="shared" ca="1" si="44"/>
        <v>0</v>
      </c>
      <c r="AI97" s="55">
        <f t="shared" ca="1" si="38"/>
        <v>0</v>
      </c>
      <c r="AJ97" s="55">
        <f t="shared" ca="1" si="39"/>
        <v>17.202891911051864</v>
      </c>
      <c r="AK97" s="55">
        <f t="shared" ca="1" si="40"/>
        <v>-10.490876429505246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13.619481605271295</v>
      </c>
      <c r="U98" s="55">
        <f t="shared" ca="1" si="28"/>
        <v>0</v>
      </c>
      <c r="V98" s="55">
        <f t="shared" ca="1" si="29"/>
        <v>0</v>
      </c>
      <c r="W98" s="55">
        <f t="shared" ca="1" si="34"/>
        <v>-46.95691077075729</v>
      </c>
      <c r="X98" s="55">
        <f t="shared" ca="1" si="35"/>
        <v>17.264576829470514</v>
      </c>
      <c r="Y98" s="55">
        <f t="shared" ca="1" si="36"/>
        <v>-6.4392207572759119</v>
      </c>
      <c r="Z98">
        <f t="shared" ca="1" si="30"/>
        <v>120</v>
      </c>
      <c r="AA98">
        <f t="shared" ca="1" si="37"/>
        <v>229.97779583333329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-3.036148255108357</v>
      </c>
      <c r="AG98" s="55">
        <f t="shared" ca="1" si="43"/>
        <v>41.339182812393538</v>
      </c>
      <c r="AH98" s="55">
        <f t="shared" ca="1" si="44"/>
        <v>0</v>
      </c>
      <c r="AI98" s="55">
        <f t="shared" ca="1" si="38"/>
        <v>0</v>
      </c>
      <c r="AJ98" s="55">
        <f t="shared" ca="1" si="39"/>
        <v>17.382747452420709</v>
      </c>
      <c r="AK98" s="55">
        <f t="shared" ca="1" si="40"/>
        <v>-10.421760354056303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13.444265288563923</v>
      </c>
      <c r="U99" s="55">
        <f t="shared" ca="1" si="28"/>
        <v>0</v>
      </c>
      <c r="V99" s="55">
        <f t="shared" ca="1" si="29"/>
        <v>0</v>
      </c>
      <c r="W99" s="55">
        <f t="shared" ca="1" si="34"/>
        <v>-47.31984991577648</v>
      </c>
      <c r="X99" s="55">
        <f t="shared" ca="1" si="35"/>
        <v>17.447663428127331</v>
      </c>
      <c r="Y99" s="55">
        <f t="shared" ca="1" si="36"/>
        <v>-6.4345845276209115</v>
      </c>
      <c r="Z99">
        <f t="shared" ca="1" si="30"/>
        <v>120</v>
      </c>
      <c r="AA99">
        <f t="shared" ca="1" si="37"/>
        <v>233.38779583333329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-4.4272145816632928</v>
      </c>
      <c r="AG99" s="55">
        <f t="shared" ca="1" si="43"/>
        <v>42.973983841827994</v>
      </c>
      <c r="AH99" s="55">
        <f t="shared" ca="1" si="44"/>
        <v>0</v>
      </c>
      <c r="AI99" s="55">
        <f t="shared" ca="1" si="38"/>
        <v>0</v>
      </c>
      <c r="AJ99" s="55">
        <f t="shared" ca="1" si="39"/>
        <v>17.559804868968413</v>
      </c>
      <c r="AK99" s="55">
        <f t="shared" ca="1" si="40"/>
        <v>-10.355083067724488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13.207160737094027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-47.755851309609795</v>
      </c>
      <c r="X100" s="55">
        <f t="shared" ca="1" si="35"/>
        <v>17.641311579911331</v>
      </c>
      <c r="Y100" s="55">
        <f t="shared" ca="1" si="36"/>
        <v>-6.429335837041493</v>
      </c>
      <c r="Z100">
        <f t="shared" ca="1" si="30"/>
        <v>120</v>
      </c>
      <c r="AA100">
        <f t="shared" ca="1" si="37"/>
        <v>237.55779583333327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-5.86520980705009</v>
      </c>
      <c r="AG100" s="55">
        <f t="shared" ca="1" si="43"/>
        <v>44.664312808667539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17.743284972909166</v>
      </c>
      <c r="AK100" s="55">
        <f t="shared" ca="1" si="40"/>
        <v>-10.286229430212492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12.726764873846278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-48.432915200898421</v>
      </c>
      <c r="X101" s="55">
        <f t="shared" ca="1" si="35"/>
        <v>17.832375991318351</v>
      </c>
      <c r="Y101" s="55">
        <f t="shared" ca="1" si="36"/>
        <v>-6.4237322204076381</v>
      </c>
      <c r="Z101">
        <f t="shared" ca="1" si="30"/>
        <v>120</v>
      </c>
      <c r="AA101">
        <f t="shared" ca="1" si="37"/>
        <v>244.27779583333327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-7.3766364385934322</v>
      </c>
      <c r="AG101" s="55">
        <f t="shared" ca="1" si="43"/>
        <v>46.419213956470493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17.921582667576462</v>
      </c>
      <c r="AK101" s="55">
        <f t="shared" ca="1" si="40"/>
        <v>-10.221052608620175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12.637438146250716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-48.72004832677969</v>
      </c>
      <c r="X102" s="55">
        <f t="shared" ca="1" si="35"/>
        <v>18.024176374967016</v>
      </c>
      <c r="Y102" s="55">
        <f t="shared" ca="1" si="36"/>
        <v>-6.4177262057705953</v>
      </c>
      <c r="Z102">
        <f t="shared" ca="1" si="30"/>
        <v>120</v>
      </c>
      <c r="AA102">
        <f t="shared" ca="1" si="37"/>
        <v>247.14779583333328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-8.9315352850536378</v>
      </c>
      <c r="AG102" s="55">
        <f t="shared" ca="1" si="43"/>
        <v>48.216662073011697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18.099595388228636</v>
      </c>
      <c r="AK102" s="55">
        <f t="shared" ca="1" si="40"/>
        <v>-10.15651605919135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12.477339493480693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-49.067750187331349</v>
      </c>
      <c r="X103" s="55">
        <f t="shared" ca="1" si="35"/>
        <v>18.205657692148506</v>
      </c>
      <c r="Y103" s="55">
        <f t="shared" ca="1" si="36"/>
        <v>-6.4116043151704432</v>
      </c>
      <c r="Z103">
        <f t="shared" ca="1" si="30"/>
        <v>120</v>
      </c>
      <c r="AA103">
        <f t="shared" ca="1" si="37"/>
        <v>250.66779583333329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-10.550869985570166</v>
      </c>
      <c r="AG103" s="55">
        <f t="shared" ca="1" si="43"/>
        <v>50.085482717533516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18.282940535095324</v>
      </c>
      <c r="AK103" s="55">
        <f t="shared" ca="1" si="40"/>
        <v>-10.090375262052749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12.451514911162718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-49.279685347381765</v>
      </c>
      <c r="X104" s="55">
        <f t="shared" ca="1" si="35"/>
        <v>18.38536590027724</v>
      </c>
      <c r="Y104" s="55">
        <f t="shared" ca="1" si="36"/>
        <v>-6.4052019455667377</v>
      </c>
      <c r="Z104">
        <f t="shared" ca="1" si="30"/>
        <v>120</v>
      </c>
      <c r="AA104">
        <f t="shared" ca="1" si="37"/>
        <v>252.81779583333329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-12.211906960331046</v>
      </c>
      <c r="AG104" s="55">
        <f t="shared" ca="1" si="43"/>
        <v>51.982386633847291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18.457661552132603</v>
      </c>
      <c r="AK104" s="55">
        <f t="shared" ca="1" si="40"/>
        <v>-10.02922933753713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12.271627973580268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-49.65371434165985</v>
      </c>
      <c r="X105" s="55">
        <f t="shared" ca="1" si="35"/>
        <v>18.572595795627088</v>
      </c>
      <c r="Y105" s="55">
        <f t="shared" ca="1" si="36"/>
        <v>-6.398289784220955</v>
      </c>
      <c r="Z105">
        <f t="shared" ca="1" si="30"/>
        <v>120</v>
      </c>
      <c r="AA105">
        <f t="shared" ca="1" si="37"/>
        <v>256.66779583333329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-13.895821992034692</v>
      </c>
      <c r="AG105" s="55">
        <f t="shared" ca="1" si="43"/>
        <v>53.903047499560678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18.632905651200375</v>
      </c>
      <c r="AK105" s="55">
        <f t="shared" ca="1" si="40"/>
        <v>-9.9677276025951613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12.271521557472258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-49.849956423899762</v>
      </c>
      <c r="X106" s="55">
        <f t="shared" ca="1" si="35"/>
        <v>18.761463024694553</v>
      </c>
      <c r="Y106" s="55">
        <f t="shared" ca="1" si="36"/>
        <v>-6.3910213471565207</v>
      </c>
      <c r="Z106">
        <f t="shared" ca="1" si="30"/>
        <v>120</v>
      </c>
      <c r="AA106">
        <f t="shared" ca="1" si="37"/>
        <v>258.68779583333327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-15.602767527858166</v>
      </c>
      <c r="AG106" s="55">
        <f t="shared" ca="1" si="43"/>
        <v>55.836951047925879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18.801706409265936</v>
      </c>
      <c r="AK106" s="55">
        <f t="shared" ca="1" si="40"/>
        <v>-9.9095703481189954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12.067436431034992</v>
      </c>
      <c r="U107" s="55">
        <f t="shared" ca="1" si="28"/>
        <v>0</v>
      </c>
      <c r="V107" s="55">
        <f t="shared" ca="1" si="29"/>
        <v>0</v>
      </c>
      <c r="W107" s="55">
        <f t="shared" ca="1" si="34"/>
        <v>-50.254064701384046</v>
      </c>
      <c r="X107" s="55">
        <f t="shared" ca="1" si="35"/>
        <v>18.953816562737764</v>
      </c>
      <c r="Y107" s="55">
        <f t="shared" ca="1" si="36"/>
        <v>-6.3833517341527148</v>
      </c>
      <c r="Z107">
        <f t="shared" ca="1" si="30"/>
        <v>120</v>
      </c>
      <c r="AA107">
        <f t="shared" ca="1" si="37"/>
        <v>262.91779583333329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-17.338655429578317</v>
      </c>
      <c r="AG107" s="55">
        <f t="shared" ca="1" si="43"/>
        <v>57.805257968832535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18.97428189153824</v>
      </c>
      <c r="AK107" s="55">
        <f t="shared" ca="1" si="40"/>
        <v>-9.8497268112047944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12.135936827621871</v>
      </c>
      <c r="U108" s="55">
        <f t="shared" ca="1" si="28"/>
        <v>0</v>
      </c>
      <c r="V108" s="55">
        <f t="shared" ca="1" si="29"/>
        <v>0</v>
      </c>
      <c r="W108" s="55">
        <f t="shared" ca="1" si="34"/>
        <v>-50.385689049560291</v>
      </c>
      <c r="X108" s="55">
        <f t="shared" ca="1" si="35"/>
        <v>19.145985604023636</v>
      </c>
      <c r="Y108" s="55">
        <f t="shared" ca="1" si="36"/>
        <v>-6.3753960306754589</v>
      </c>
      <c r="Z108">
        <f t="shared" ca="1" si="30"/>
        <v>120</v>
      </c>
      <c r="AA108">
        <f t="shared" ca="1" si="37"/>
        <v>264.28779583333329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-19.131837952618625</v>
      </c>
      <c r="AG108" s="55">
        <f t="shared" ca="1" si="43"/>
        <v>59.836120233844511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19.151094173863637</v>
      </c>
      <c r="AK108" s="55">
        <f t="shared" ca="1" si="40"/>
        <v>-9.7888593515585232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12.056485913656758</v>
      </c>
      <c r="U109" s="55">
        <f t="shared" ca="1" si="28"/>
        <v>0</v>
      </c>
      <c r="V109" s="55">
        <f t="shared" ca="1" si="29"/>
        <v>0</v>
      </c>
      <c r="W109" s="55">
        <f t="shared" ca="1" si="34"/>
        <v>-50.667258231002151</v>
      </c>
      <c r="X109" s="55">
        <f t="shared" ca="1" si="35"/>
        <v>19.339819148893309</v>
      </c>
      <c r="Y109" s="55">
        <f t="shared" ca="1" si="36"/>
        <v>-6.3671113080683854</v>
      </c>
      <c r="Z109">
        <f t="shared" ca="1" si="30"/>
        <v>120</v>
      </c>
      <c r="AA109">
        <f t="shared" ca="1" si="37"/>
        <v>267.23779583333328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-20.93351355712494</v>
      </c>
      <c r="AG109" s="55">
        <f t="shared" ca="1" si="43"/>
        <v>61.860861800672986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19.318023046575998</v>
      </c>
      <c r="AK109" s="55">
        <f t="shared" ca="1" si="40"/>
        <v>-9.732722261948723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12.028431738425443</v>
      </c>
      <c r="U110" s="55">
        <f t="shared" ca="1" si="28"/>
        <v>0</v>
      </c>
      <c r="V110" s="55">
        <f t="shared" ca="1" si="29"/>
        <v>0</v>
      </c>
      <c r="W110" s="55">
        <f t="shared" ca="1" si="34"/>
        <v>-50.89865518657011</v>
      </c>
      <c r="X110" s="55">
        <f t="shared" ca="1" si="35"/>
        <v>19.534581341280489</v>
      </c>
      <c r="Y110" s="55">
        <f t="shared" ca="1" si="36"/>
        <v>-6.358530720118921</v>
      </c>
      <c r="Z110">
        <f t="shared" ca="1" si="30"/>
        <v>120</v>
      </c>
      <c r="AA110">
        <f t="shared" ca="1" si="37"/>
        <v>269.66779583333329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-22.780237296650711</v>
      </c>
      <c r="AG110" s="55">
        <f t="shared" ca="1" si="43"/>
        <v>63.925493509479146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19.482019247010236</v>
      </c>
      <c r="AK110" s="55">
        <f t="shared" ca="1" si="40"/>
        <v>-9.6788104931025725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11.831194249207769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-51.306091938527203</v>
      </c>
      <c r="X111" s="55">
        <f t="shared" ca="1" si="35"/>
        <v>19.735732831477424</v>
      </c>
      <c r="Y111" s="55">
        <f t="shared" ca="1" si="36"/>
        <v>-6.3494829475764387</v>
      </c>
      <c r="Z111">
        <f t="shared" ca="1" si="30"/>
        <v>120</v>
      </c>
      <c r="AA111">
        <f t="shared" ca="1" si="37"/>
        <v>274.01779583333325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-24.662902357694307</v>
      </c>
      <c r="AG111" s="55">
        <f t="shared" ca="1" si="43"/>
        <v>66.031569511742902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19.650074379155498</v>
      </c>
      <c r="AK111" s="55">
        <f t="shared" ca="1" si="40"/>
        <v>-9.6234546840276778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11.871109758061616</v>
      </c>
      <c r="U112" s="55">
        <f t="shared" ca="1" si="28"/>
        <v>0</v>
      </c>
      <c r="V112" s="55">
        <f t="shared" ca="1" si="29"/>
        <v>0</v>
      </c>
      <c r="W112" s="55">
        <f t="shared" ca="1" si="34"/>
        <v>-51.475255252579579</v>
      </c>
      <c r="X112" s="55">
        <f t="shared" ca="1" si="35"/>
        <v>19.93555824348508</v>
      </c>
      <c r="Y112" s="55">
        <f t="shared" ca="1" si="36"/>
        <v>-6.3402295366778683</v>
      </c>
      <c r="Z112">
        <f t="shared" ca="1" si="30"/>
        <v>120</v>
      </c>
      <c r="AA112">
        <f t="shared" ca="1" si="37"/>
        <v>275.81779583333326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-26.580908331932491</v>
      </c>
      <c r="AG112" s="55">
        <f t="shared" ca="1" si="43"/>
        <v>68.171411913045702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19.817475940197085</v>
      </c>
      <c r="AK112" s="55">
        <f t="shared" ca="1" si="40"/>
        <v>-9.5690198180046462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11.74215637868882</v>
      </c>
      <c r="U113" s="55">
        <f t="shared" ca="1" si="28"/>
        <v>0</v>
      </c>
      <c r="V113" s="55">
        <f t="shared" ca="1" si="29"/>
        <v>0</v>
      </c>
      <c r="W113" s="55">
        <f t="shared" ca="1" si="34"/>
        <v>-51.811765884132171</v>
      </c>
      <c r="X113" s="55">
        <f t="shared" ca="1" si="35"/>
        <v>20.133686807330282</v>
      </c>
      <c r="Y113" s="55">
        <f t="shared" ca="1" si="36"/>
        <v>-6.3308008483432783</v>
      </c>
      <c r="Z113">
        <f t="shared" ca="1" si="30"/>
        <v>120</v>
      </c>
      <c r="AA113">
        <f t="shared" ca="1" si="37"/>
        <v>279.43779583333327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-28.501680644119581</v>
      </c>
      <c r="AG113" s="55">
        <f t="shared" ca="1" si="43"/>
        <v>70.313789264041532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19.984681130268168</v>
      </c>
      <c r="AK113" s="55">
        <f t="shared" ca="1" si="40"/>
        <v>-9.5146199692669917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11.617823624282911</v>
      </c>
      <c r="U114" s="55">
        <f t="shared" ca="1" si="28"/>
        <v>2.3752320995497063</v>
      </c>
      <c r="V114" s="55">
        <f t="shared" ca="1" si="29"/>
        <v>0</v>
      </c>
      <c r="W114" s="55">
        <f t="shared" ca="1" si="34"/>
        <v>-52.138275135572954</v>
      </c>
      <c r="X114" s="55">
        <f t="shared" ca="1" si="35"/>
        <v>20.326409674850588</v>
      </c>
      <c r="Y114" s="55">
        <f t="shared" ca="1" si="36"/>
        <v>-6.3213472188287083</v>
      </c>
      <c r="Z114">
        <f t="shared" ca="1" si="30"/>
        <v>120</v>
      </c>
      <c r="AA114">
        <f t="shared" ca="1" si="37"/>
        <v>282.98779583333328</v>
      </c>
      <c r="AB114">
        <f t="shared" ca="1" si="31"/>
        <v>0</v>
      </c>
      <c r="AC114">
        <f t="shared" ca="1" si="32"/>
        <v>7.9033227795205895E-3</v>
      </c>
      <c r="AD114" s="83">
        <f ca="1"/>
        <v>45390</v>
      </c>
      <c r="AE114" s="55">
        <f t="shared" ca="1" si="41"/>
        <v>45390</v>
      </c>
      <c r="AF114" s="55">
        <f t="shared" ca="1" si="42"/>
        <v>-30.412702870883745</v>
      </c>
      <c r="AG114" s="55">
        <f t="shared" ca="1" si="43"/>
        <v>72.451553946482093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20.158585742074422</v>
      </c>
      <c r="AK114" s="55">
        <f t="shared" ca="1" si="40"/>
        <v>-9.4617821253968479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11.441620848123675</v>
      </c>
      <c r="U115" s="55">
        <f t="shared" ca="1" si="28"/>
        <v>2.508622471827803</v>
      </c>
      <c r="V115" s="55">
        <f t="shared" ca="1" si="29"/>
        <v>0</v>
      </c>
      <c r="W115" s="55">
        <f t="shared" ca="1" si="34"/>
        <v>-52.381933986217788</v>
      </c>
      <c r="X115" s="55">
        <f t="shared" ca="1" si="35"/>
        <v>20.517657911481606</v>
      </c>
      <c r="Y115" s="55">
        <f t="shared" ca="1" si="36"/>
        <v>-6.3117490086960331</v>
      </c>
      <c r="Z115">
        <f t="shared" ca="1" si="30"/>
        <v>120</v>
      </c>
      <c r="AA115">
        <f t="shared" ca="1" si="37"/>
        <v>285.67779583333328</v>
      </c>
      <c r="AB115">
        <f t="shared" ca="1" si="31"/>
        <v>0</v>
      </c>
      <c r="AC115">
        <f t="shared" ca="1" si="32"/>
        <v>9.3090018525399335E-3</v>
      </c>
      <c r="AD115" s="83">
        <f ca="1"/>
        <v>45391</v>
      </c>
      <c r="AE115" s="55">
        <f t="shared" ca="1" si="41"/>
        <v>45391</v>
      </c>
      <c r="AF115" s="55">
        <f t="shared" ca="1" si="42"/>
        <v>-32.344620596379755</v>
      </c>
      <c r="AG115" s="55">
        <f t="shared" ca="1" si="43"/>
        <v>74.609384569372466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20.332681034098648</v>
      </c>
      <c r="AK115" s="55">
        <f t="shared" ca="1" si="40"/>
        <v>-9.4099645200267137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11.341289657478809</v>
      </c>
      <c r="U116" s="55">
        <f t="shared" ca="1" si="28"/>
        <v>2.6522724819092205</v>
      </c>
      <c r="V116" s="55">
        <f t="shared" ca="1" si="29"/>
        <v>0</v>
      </c>
      <c r="W116" s="55">
        <f t="shared" ca="1" si="34"/>
        <v>-52.541751659641093</v>
      </c>
      <c r="X116" s="55">
        <f t="shared" ca="1" si="35"/>
        <v>20.710935613377757</v>
      </c>
      <c r="Y116" s="55">
        <f t="shared" ca="1" si="36"/>
        <v>-6.3018902177323275</v>
      </c>
      <c r="Z116">
        <f t="shared" ca="1" si="30"/>
        <v>120</v>
      </c>
      <c r="AA116">
        <f t="shared" ca="1" si="37"/>
        <v>287.45779583333331</v>
      </c>
      <c r="AB116">
        <f t="shared" ca="1" si="31"/>
        <v>0</v>
      </c>
      <c r="AC116">
        <f t="shared" ca="1" si="32"/>
        <v>1.0996963108335742E-2</v>
      </c>
      <c r="AD116" s="83">
        <f ca="1"/>
        <v>45392</v>
      </c>
      <c r="AE116" s="55">
        <f t="shared" ca="1" si="41"/>
        <v>45392</v>
      </c>
      <c r="AF116" s="55">
        <f t="shared" ca="1" si="42"/>
        <v>-34.273570921927863</v>
      </c>
      <c r="AG116" s="55">
        <f t="shared" ca="1" si="43"/>
        <v>76.759926145315831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20.504084573780695</v>
      </c>
      <c r="AK116" s="55">
        <f t="shared" ca="1" si="40"/>
        <v>-9.3597768093135052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11.33722918437425</v>
      </c>
      <c r="U117" s="55">
        <f t="shared" ca="1" si="28"/>
        <v>2.8038072119136279</v>
      </c>
      <c r="V117" s="55">
        <f t="shared" ca="1" si="29"/>
        <v>0</v>
      </c>
      <c r="W117" s="55">
        <f t="shared" ca="1" si="34"/>
        <v>-52.597398559554399</v>
      </c>
      <c r="X117" s="55">
        <f t="shared" ca="1" si="35"/>
        <v>20.904028258438046</v>
      </c>
      <c r="Y117" s="55">
        <f t="shared" ca="1" si="36"/>
        <v>-6.2918617059794659</v>
      </c>
      <c r="Z117">
        <f t="shared" ca="1" si="30"/>
        <v>120</v>
      </c>
      <c r="AA117">
        <f t="shared" ca="1" si="37"/>
        <v>288.07779583333331</v>
      </c>
      <c r="AB117">
        <f t="shared" ca="1" si="31"/>
        <v>0</v>
      </c>
      <c r="AC117">
        <f t="shared" ca="1" si="32"/>
        <v>1.2983224013899706E-2</v>
      </c>
      <c r="AD117" s="83">
        <f ca="1"/>
        <v>45393</v>
      </c>
      <c r="AE117" s="55">
        <f t="shared" ca="1" si="41"/>
        <v>45393</v>
      </c>
      <c r="AF117" s="55">
        <f t="shared" ca="1" si="42"/>
        <v>-36.230315596872551</v>
      </c>
      <c r="AG117" s="55">
        <f t="shared" ca="1" si="43"/>
        <v>78.945950619687267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20.6836670623257</v>
      </c>
      <c r="AK117" s="55">
        <f t="shared" ca="1" si="40"/>
        <v>-9.3100794984317652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11.120346213626418</v>
      </c>
      <c r="U118" s="55">
        <f t="shared" ca="1" si="28"/>
        <v>2.967658544384661</v>
      </c>
      <c r="V118" s="55">
        <f t="shared" ca="1" si="29"/>
        <v>0</v>
      </c>
      <c r="W118" s="55">
        <f t="shared" ca="1" si="34"/>
        <v>-52.856224617676553</v>
      </c>
      <c r="X118" s="55">
        <f t="shared" ca="1" si="35"/>
        <v>21.099535388349658</v>
      </c>
      <c r="Y118" s="55">
        <f t="shared" ca="1" si="36"/>
        <v>-6.2815744160457232</v>
      </c>
      <c r="Z118">
        <f t="shared" ca="1" si="30"/>
        <v>120</v>
      </c>
      <c r="AA118">
        <f t="shared" ca="1" si="37"/>
        <v>291.01779583333331</v>
      </c>
      <c r="AB118">
        <f t="shared" ca="1" si="31"/>
        <v>0</v>
      </c>
      <c r="AC118">
        <f t="shared" ca="1" si="32"/>
        <v>1.5380314314610745E-2</v>
      </c>
      <c r="AD118" s="83">
        <f ca="1"/>
        <v>45394</v>
      </c>
      <c r="AE118" s="55">
        <f t="shared" ca="1" si="41"/>
        <v>45394</v>
      </c>
      <c r="AF118" s="55">
        <f t="shared" ca="1" si="42"/>
        <v>-38.247985638439829</v>
      </c>
      <c r="AG118" s="55">
        <f t="shared" ca="1" si="43"/>
        <v>81.196571059994838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20.86669828203674</v>
      </c>
      <c r="AK118" s="55">
        <f t="shared" ca="1" si="40"/>
        <v>-9.2601603194025142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10.917725524640677</v>
      </c>
      <c r="U119" s="55">
        <f t="shared" ca="1" si="28"/>
        <v>3.1343096924644627</v>
      </c>
      <c r="V119" s="55">
        <f t="shared" ca="1" si="29"/>
        <v>0</v>
      </c>
      <c r="W119" s="55">
        <f t="shared" ca="1" si="34"/>
        <v>-53.093912600452583</v>
      </c>
      <c r="X119" s="55">
        <f t="shared" ca="1" si="35"/>
        <v>21.290967562084219</v>
      </c>
      <c r="Y119" s="55">
        <f t="shared" ca="1" si="36"/>
        <v>-6.271288147910191</v>
      </c>
      <c r="Z119">
        <f t="shared" ca="1" si="30"/>
        <v>120</v>
      </c>
      <c r="AA119">
        <f t="shared" ca="1" si="37"/>
        <v>293.76779583333331</v>
      </c>
      <c r="AB119">
        <f t="shared" ca="1" si="31"/>
        <v>0</v>
      </c>
      <c r="AC119">
        <f t="shared" ca="1" si="32"/>
        <v>1.8096805339174207E-2</v>
      </c>
      <c r="AD119" s="83">
        <f ca="1"/>
        <v>45395</v>
      </c>
      <c r="AE119" s="55">
        <f t="shared" ca="1" si="41"/>
        <v>45395</v>
      </c>
      <c r="AF119" s="55">
        <f t="shared" ca="1" si="42"/>
        <v>-40.247662888533775</v>
      </c>
      <c r="AG119" s="55">
        <f t="shared" ca="1" si="43"/>
        <v>83.428045786890181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21.050301519704046</v>
      </c>
      <c r="AK119" s="55">
        <f t="shared" ca="1" si="40"/>
        <v>-9.2119660802684251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10.608602699572932</v>
      </c>
      <c r="U120" s="55">
        <f t="shared" ca="1" si="28"/>
        <v>3.3185674019862463</v>
      </c>
      <c r="V120" s="55">
        <f t="shared" ca="1" si="29"/>
        <v>0</v>
      </c>
      <c r="W120" s="55">
        <f t="shared" ca="1" si="34"/>
        <v>-53.425652447370481</v>
      </c>
      <c r="X120" s="55">
        <f t="shared" ca="1" si="35"/>
        <v>21.487221425794715</v>
      </c>
      <c r="Y120" s="55">
        <f t="shared" ca="1" si="36"/>
        <v>-6.2606672802487537</v>
      </c>
      <c r="Z120">
        <f t="shared" ca="1" si="30"/>
        <v>120</v>
      </c>
      <c r="AA120">
        <f t="shared" ca="1" si="37"/>
        <v>297.7177958333333</v>
      </c>
      <c r="AB120">
        <f t="shared" ca="1" si="31"/>
        <v>0</v>
      </c>
      <c r="AC120">
        <f t="shared" ca="1" si="32"/>
        <v>2.1442129536741173E-2</v>
      </c>
      <c r="AD120" s="83">
        <f ca="1"/>
        <v>45396</v>
      </c>
      <c r="AE120" s="55">
        <f t="shared" ca="1" si="41"/>
        <v>45396</v>
      </c>
      <c r="AF120" s="55">
        <f t="shared" ca="1" si="42"/>
        <v>-42.245622202916067</v>
      </c>
      <c r="AG120" s="55">
        <f t="shared" ca="1" si="43"/>
        <v>85.656406570463659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21.233747999406546</v>
      </c>
      <c r="AK120" s="55">
        <f t="shared" ca="1" si="40"/>
        <v>-9.165011090779732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10.446932256822473</v>
      </c>
      <c r="U121" s="55">
        <f t="shared" ca="1" si="28"/>
        <v>3.5040385543001991</v>
      </c>
      <c r="V121" s="55">
        <f t="shared" ca="1" si="29"/>
        <v>0</v>
      </c>
      <c r="W121" s="55">
        <f t="shared" ca="1" si="34"/>
        <v>-53.603467940158481</v>
      </c>
      <c r="X121" s="55">
        <f t="shared" ca="1" si="35"/>
        <v>21.678285837201734</v>
      </c>
      <c r="Y121" s="55">
        <f t="shared" ca="1" si="36"/>
        <v>-6.2501154893042772</v>
      </c>
      <c r="Z121">
        <f t="shared" ca="1" si="30"/>
        <v>120</v>
      </c>
      <c r="AA121">
        <f t="shared" ca="1" si="37"/>
        <v>299.86779583333328</v>
      </c>
      <c r="AB121">
        <f t="shared" ca="1" si="31"/>
        <v>0</v>
      </c>
      <c r="AC121">
        <f t="shared" ca="1" si="32"/>
        <v>2.5187456636538801E-2</v>
      </c>
      <c r="AD121" s="83">
        <f ca="1"/>
        <v>45397</v>
      </c>
      <c r="AE121" s="55">
        <f t="shared" ca="1" si="41"/>
        <v>45397</v>
      </c>
      <c r="AF121" s="55">
        <f t="shared" ca="1" si="42"/>
        <v>-44.322933576010143</v>
      </c>
      <c r="AG121" s="55">
        <f t="shared" ca="1" si="43"/>
        <v>87.98051740984755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21.432605185503377</v>
      </c>
      <c r="AK121" s="55">
        <f t="shared" ca="1" si="40"/>
        <v>-9.1170688105867494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10.232847375060294</v>
      </c>
      <c r="U122" s="55">
        <f t="shared" ca="1" si="28"/>
        <v>3.7079963378676339</v>
      </c>
      <c r="V122" s="55">
        <f t="shared" ca="1" si="29"/>
        <v>0</v>
      </c>
      <c r="W122" s="55">
        <f t="shared" ca="1" si="34"/>
        <v>-53.819764751548817</v>
      </c>
      <c r="X122" s="55">
        <f t="shared" ca="1" si="35"/>
        <v>21.873606564373009</v>
      </c>
      <c r="Y122" s="55">
        <f t="shared" ca="1" si="36"/>
        <v>-6.2392665032799552</v>
      </c>
      <c r="Z122">
        <f t="shared" ca="1" si="30"/>
        <v>120</v>
      </c>
      <c r="AA122">
        <f t="shared" ca="1" si="37"/>
        <v>302.53779583333329</v>
      </c>
      <c r="AB122">
        <f t="shared" ca="1" si="31"/>
        <v>0</v>
      </c>
      <c r="AC122">
        <f t="shared" ca="1" si="32"/>
        <v>2.9761380658334856E-2</v>
      </c>
      <c r="AD122" s="83">
        <f ca="1"/>
        <v>45398</v>
      </c>
      <c r="AE122" s="55">
        <f t="shared" ca="1" si="41"/>
        <v>45398</v>
      </c>
      <c r="AF122" s="55">
        <f t="shared" ca="1" si="42"/>
        <v>-46.385540071518214</v>
      </c>
      <c r="AG122" s="55">
        <f t="shared" ca="1" si="43"/>
        <v>90.28771191578322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21.630733743271488</v>
      </c>
      <c r="AK122" s="55">
        <f t="shared" ca="1" si="40"/>
        <v>-9.0706093579272657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9.9662805788211113</v>
      </c>
      <c r="U123" s="55">
        <f t="shared" ca="1" si="28"/>
        <v>3.9187603919317908</v>
      </c>
      <c r="V123" s="55">
        <f t="shared" ca="1" si="29"/>
        <v>0</v>
      </c>
      <c r="W123" s="55">
        <f t="shared" ca="1" si="34"/>
        <v>-54.079344834458027</v>
      </c>
      <c r="X123" s="55">
        <f t="shared" ca="1" si="35"/>
        <v>22.066514264646983</v>
      </c>
      <c r="Y123" s="55">
        <f t="shared" ca="1" si="36"/>
        <v>-6.2283968628197437</v>
      </c>
      <c r="Z123">
        <f t="shared" ca="1" si="30"/>
        <v>120</v>
      </c>
      <c r="AA123">
        <f t="shared" ca="1" si="37"/>
        <v>305.82779583333331</v>
      </c>
      <c r="AB123">
        <f t="shared" ca="1" si="31"/>
        <v>0</v>
      </c>
      <c r="AC123">
        <f t="shared" ca="1" si="32"/>
        <v>3.5006944723186502E-2</v>
      </c>
      <c r="AD123" s="83">
        <f ca="1"/>
        <v>45399</v>
      </c>
      <c r="AE123" s="55">
        <f t="shared" ca="1" si="41"/>
        <v>45399</v>
      </c>
      <c r="AF123" s="55">
        <f t="shared" ca="1" si="42"/>
        <v>-48.464402069148584</v>
      </c>
      <c r="AG123" s="55">
        <f t="shared" ca="1" si="43"/>
        <v>92.61448685975607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21.83280539102633</v>
      </c>
      <c r="AK123" s="55">
        <f t="shared" ca="1" si="40"/>
        <v>-9.0247680593396247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9.7025433566760899</v>
      </c>
      <c r="U124" s="55">
        <f t="shared" ca="1" si="28"/>
        <v>4.1194199541232353</v>
      </c>
      <c r="V124" s="55">
        <f t="shared" ca="1" si="29"/>
        <v>0</v>
      </c>
      <c r="W124" s="55">
        <f t="shared" ca="1" si="34"/>
        <v>-54.335896251714139</v>
      </c>
      <c r="X124" s="55">
        <f t="shared" ca="1" si="35"/>
        <v>22.249422054591808</v>
      </c>
      <c r="Y124" s="55">
        <f t="shared" ca="1" si="36"/>
        <v>-6.2178308954620345</v>
      </c>
      <c r="Z124">
        <f t="shared" ca="1" si="30"/>
        <v>120</v>
      </c>
      <c r="AA124">
        <f t="shared" ca="1" si="37"/>
        <v>309.16779583333334</v>
      </c>
      <c r="AB124">
        <f t="shared" ca="1" si="31"/>
        <v>0</v>
      </c>
      <c r="AC124">
        <f t="shared" ca="1" si="32"/>
        <v>4.0506276749873282E-2</v>
      </c>
      <c r="AD124" s="83">
        <f ca="1"/>
        <v>45400</v>
      </c>
      <c r="AE124" s="55">
        <f t="shared" ca="1" si="41"/>
        <v>45400</v>
      </c>
      <c r="AF124" s="55">
        <f t="shared" ca="1" si="42"/>
        <v>-50.528697186172444</v>
      </c>
      <c r="AG124" s="55">
        <f t="shared" ca="1" si="43"/>
        <v>94.922281487166345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22.031819927944326</v>
      </c>
      <c r="AK124" s="55">
        <f t="shared" ca="1" si="40"/>
        <v>-8.9802830858712088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9.4885583067672137</v>
      </c>
      <c r="U125" s="55">
        <f t="shared" ca="1" si="28"/>
        <v>4.3314739473621851</v>
      </c>
      <c r="V125" s="55">
        <f t="shared" ca="1" si="29"/>
        <v>0</v>
      </c>
      <c r="W125" s="55">
        <f t="shared" ca="1" si="34"/>
        <v>-54.531953587727713</v>
      </c>
      <c r="X125" s="55">
        <f t="shared" ca="1" si="35"/>
        <v>22.432866603950295</v>
      </c>
      <c r="Y125" s="55">
        <f t="shared" ca="1" si="36"/>
        <v>-6.2071491654768716</v>
      </c>
      <c r="Z125">
        <f t="shared" ca="1" si="30"/>
        <v>120</v>
      </c>
      <c r="AA125">
        <f t="shared" ca="1" si="37"/>
        <v>311.77779583333336</v>
      </c>
      <c r="AB125">
        <f t="shared" ca="1" si="31"/>
        <v>0</v>
      </c>
      <c r="AC125">
        <f t="shared" ca="1" si="32"/>
        <v>4.6866878103981019E-2</v>
      </c>
      <c r="AD125" s="83">
        <f ca="1"/>
        <v>45401</v>
      </c>
      <c r="AE125" s="55">
        <f t="shared" ca="1" si="41"/>
        <v>45401</v>
      </c>
      <c r="AF125" s="55">
        <f t="shared" ca="1" si="42"/>
        <v>-52.639929642432939</v>
      </c>
      <c r="AG125" s="55">
        <f t="shared" ca="1" si="43"/>
        <v>97.277401463920441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22.231175446359462</v>
      </c>
      <c r="AK125" s="55">
        <f t="shared" ca="1" si="40"/>
        <v>-8.9357510837927414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9.2192166051268281</v>
      </c>
      <c r="U126" s="55">
        <f t="shared" ca="1" si="28"/>
        <v>4.5490266156131414</v>
      </c>
      <c r="V126" s="55">
        <f t="shared" ca="1" si="29"/>
        <v>0</v>
      </c>
      <c r="W126" s="55">
        <f t="shared" ca="1" si="34"/>
        <v>-54.775725040128279</v>
      </c>
      <c r="X126" s="55">
        <f t="shared" ca="1" si="35"/>
        <v>22.614170111379234</v>
      </c>
      <c r="Y126" s="55">
        <f t="shared" ca="1" si="36"/>
        <v>-6.1964702538946783</v>
      </c>
      <c r="Z126">
        <f t="shared" ca="1" si="30"/>
        <v>120</v>
      </c>
      <c r="AA126">
        <f t="shared" ca="1" si="37"/>
        <v>315.11779583333339</v>
      </c>
      <c r="AB126">
        <f t="shared" ca="1" si="31"/>
        <v>0</v>
      </c>
      <c r="AC126">
        <f t="shared" ca="1" si="32"/>
        <v>5.3989847353097462E-2</v>
      </c>
      <c r="AD126" s="83">
        <f ca="1"/>
        <v>45402</v>
      </c>
      <c r="AE126" s="55">
        <f t="shared" ca="1" si="41"/>
        <v>45402</v>
      </c>
      <c r="AF126" s="55">
        <f t="shared" ca="1" si="42"/>
        <v>-54.734042482051827</v>
      </c>
      <c r="AG126" s="55">
        <f t="shared" ca="1" si="43"/>
        <v>99.621319789206609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22.437536588186614</v>
      </c>
      <c r="AK126" s="55">
        <f t="shared" ca="1" si="40"/>
        <v>-8.8923067399526108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9.0363039326554748</v>
      </c>
      <c r="U127" s="55">
        <f t="shared" ca="1" si="28"/>
        <v>4.7773485799478363</v>
      </c>
      <c r="V127" s="55">
        <f t="shared" ca="1" si="29"/>
        <v>0</v>
      </c>
      <c r="W127" s="55">
        <f t="shared" ca="1" si="34"/>
        <v>-54.922376722701998</v>
      </c>
      <c r="X127" s="55">
        <f t="shared" ca="1" si="35"/>
        <v>22.795473618808174</v>
      </c>
      <c r="Y127" s="55">
        <f t="shared" ca="1" si="36"/>
        <v>-6.1857127868865565</v>
      </c>
      <c r="Z127">
        <f t="shared" ca="1" si="30"/>
        <v>120</v>
      </c>
      <c r="AA127">
        <f t="shared" ca="1" si="37"/>
        <v>317.1677958333334</v>
      </c>
      <c r="AB127">
        <f t="shared" ca="1" si="31"/>
        <v>0</v>
      </c>
      <c r="AC127">
        <f t="shared" ca="1" si="32"/>
        <v>6.2124825427339693E-2</v>
      </c>
      <c r="AD127" s="83">
        <f ca="1"/>
        <v>45403</v>
      </c>
      <c r="AE127" s="55">
        <f t="shared" ca="1" si="41"/>
        <v>45403</v>
      </c>
      <c r="AF127" s="55">
        <f t="shared" ca="1" si="42"/>
        <v>-56.732661157024012</v>
      </c>
      <c r="AG127" s="55">
        <f t="shared" ca="1" si="43"/>
        <v>101.86202347832293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22.638895019405016</v>
      </c>
      <c r="AK127" s="55">
        <f t="shared" ca="1" si="40"/>
        <v>-8.8515801570268824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8.8649286087948482</v>
      </c>
      <c r="U128" s="55">
        <f t="shared" ca="1" si="28"/>
        <v>5.019856348073322</v>
      </c>
      <c r="V128" s="55">
        <f t="shared" ca="1" si="29"/>
        <v>0</v>
      </c>
      <c r="W128" s="55">
        <f t="shared" ca="1" si="34"/>
        <v>-55.044491114288149</v>
      </c>
      <c r="X128" s="55">
        <f t="shared" ca="1" si="35"/>
        <v>22.977845648954585</v>
      </c>
      <c r="Y128" s="55">
        <f t="shared" ca="1" si="36"/>
        <v>-6.1748379811819616</v>
      </c>
      <c r="Z128">
        <f t="shared" ca="1" si="30"/>
        <v>120</v>
      </c>
      <c r="AA128">
        <f t="shared" ca="1" si="37"/>
        <v>318.90779583333341</v>
      </c>
      <c r="AB128">
        <f t="shared" ca="1" si="31"/>
        <v>0</v>
      </c>
      <c r="AC128">
        <f t="shared" ca="1" si="32"/>
        <v>7.1509793769680433E-2</v>
      </c>
      <c r="AD128" s="83">
        <f ca="1"/>
        <v>45404</v>
      </c>
      <c r="AE128" s="55">
        <f t="shared" ca="1" si="41"/>
        <v>45404</v>
      </c>
      <c r="AF128" s="55">
        <f t="shared" ca="1" si="42"/>
        <v>-58.758689144106832</v>
      </c>
      <c r="AG128" s="55">
        <f t="shared" ca="1" si="43"/>
        <v>104.1327768795089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22.843032400802187</v>
      </c>
      <c r="AK128" s="55">
        <f t="shared" ca="1" si="40"/>
        <v>-8.8109921243209044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8.5892890487851385</v>
      </c>
      <c r="U129" s="55">
        <f t="shared" ca="1" si="28"/>
        <v>5.288707874002454</v>
      </c>
      <c r="V129" s="55">
        <f t="shared" ca="1" si="29"/>
        <v>0</v>
      </c>
      <c r="W129" s="55">
        <f t="shared" ca="1" si="34"/>
        <v>-55.249846699962852</v>
      </c>
      <c r="X129" s="55">
        <f t="shared" ca="1" si="35"/>
        <v>23.165257024048607</v>
      </c>
      <c r="Y129" s="55">
        <f t="shared" ca="1" si="36"/>
        <v>-6.1636818046818584</v>
      </c>
      <c r="Z129">
        <f t="shared" ca="1" si="30"/>
        <v>120</v>
      </c>
      <c r="AA129">
        <f t="shared" ca="1" si="37"/>
        <v>321.92779583333339</v>
      </c>
      <c r="AB129">
        <f t="shared" ca="1" si="31"/>
        <v>0</v>
      </c>
      <c r="AC129">
        <f t="shared" ca="1" si="32"/>
        <v>8.2809848808522976E-2</v>
      </c>
      <c r="AD129" s="83">
        <f ca="1"/>
        <v>45405</v>
      </c>
      <c r="AE129" s="55">
        <f t="shared" ca="1" si="41"/>
        <v>45405</v>
      </c>
      <c r="AF129" s="55">
        <f t="shared" ca="1" si="42"/>
        <v>-60.75267192969536</v>
      </c>
      <c r="AG129" s="55">
        <f t="shared" ca="1" si="43"/>
        <v>106.37908482346113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23.055852344763405</v>
      </c>
      <c r="AK129" s="55">
        <f t="shared" ca="1" si="40"/>
        <v>-8.7714869099184138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8.3504640253469233</v>
      </c>
      <c r="U130" s="55">
        <f t="shared" ca="1" si="28"/>
        <v>5.586733973892267</v>
      </c>
      <c r="V130" s="55">
        <f t="shared" ca="1" si="29"/>
        <v>0</v>
      </c>
      <c r="W130" s="55">
        <f t="shared" ca="1" si="34"/>
        <v>-55.394622870002301</v>
      </c>
      <c r="X130" s="55">
        <f t="shared" ca="1" si="35"/>
        <v>23.357795170830975</v>
      </c>
      <c r="Y130" s="55">
        <f t="shared" ca="1" si="36"/>
        <v>-6.1522427049731725</v>
      </c>
      <c r="Z130">
        <f t="shared" ca="1" si="30"/>
        <v>120</v>
      </c>
      <c r="AA130">
        <f t="shared" ca="1" si="37"/>
        <v>324.11779583333339</v>
      </c>
      <c r="AB130">
        <f t="shared" ca="1" si="31"/>
        <v>0</v>
      </c>
      <c r="AC130">
        <f t="shared" ca="1" si="32"/>
        <v>9.6424585117488901E-2</v>
      </c>
      <c r="AD130" s="83">
        <f ca="1"/>
        <v>45406</v>
      </c>
      <c r="AE130" s="55">
        <f t="shared" ca="1" si="41"/>
        <v>45406</v>
      </c>
      <c r="AF130" s="55">
        <f t="shared" ca="1" si="42"/>
        <v>-62.76005650803107</v>
      </c>
      <c r="AG130" s="55">
        <f t="shared" ca="1" si="43"/>
        <v>108.67191079247515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23.30157415669721</v>
      </c>
      <c r="AK130" s="55">
        <f t="shared" ca="1" si="40"/>
        <v>-8.731767331173911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8.1042377451935348</v>
      </c>
      <c r="U131" s="55">
        <f t="shared" ca="1" si="28"/>
        <v>5.9086268401100899</v>
      </c>
      <c r="V131" s="55">
        <f t="shared" ca="1" si="29"/>
        <v>0</v>
      </c>
      <c r="W131" s="55">
        <f t="shared" ca="1" si="34"/>
        <v>-55.525506309587179</v>
      </c>
      <c r="X131" s="55">
        <f t="shared" ca="1" si="35"/>
        <v>23.552743429256672</v>
      </c>
      <c r="Y131" s="55">
        <f t="shared" ca="1" si="36"/>
        <v>-6.140640937749561</v>
      </c>
      <c r="Z131">
        <f t="shared" ca="1" si="30"/>
        <v>120</v>
      </c>
      <c r="AA131">
        <f t="shared" ca="1" si="37"/>
        <v>326.15779583333341</v>
      </c>
      <c r="AB131">
        <f t="shared" ca="1" si="31"/>
        <v>0</v>
      </c>
      <c r="AC131">
        <f t="shared" ca="1" si="32"/>
        <v>0.11238413335542587</v>
      </c>
      <c r="AD131" s="83">
        <f ca="1"/>
        <v>45407</v>
      </c>
      <c r="AE131" s="55">
        <f t="shared" ca="1" si="41"/>
        <v>45407</v>
      </c>
      <c r="AF131" s="55">
        <f t="shared" ca="1" si="42"/>
        <v>-64.79234496877956</v>
      </c>
      <c r="AG131" s="55">
        <f t="shared" ca="1" si="43"/>
        <v>111.00162072192364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23.55921187669297</v>
      </c>
      <c r="AK131" s="55">
        <f t="shared" ca="1" si="40"/>
        <v>-8.6919835824696587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7.8832519772977392</v>
      </c>
      <c r="U132" s="55">
        <f t="shared" ca="1" si="28"/>
        <v>6.2637205764555652</v>
      </c>
      <c r="V132" s="55">
        <f t="shared" ca="1" si="29"/>
        <v>0</v>
      </c>
      <c r="W132" s="55">
        <f t="shared" ca="1" si="34"/>
        <v>-55.602893566497656</v>
      </c>
      <c r="X132" s="55">
        <f t="shared" ca="1" si="35"/>
        <v>23.752379852222987</v>
      </c>
      <c r="Y132" s="55">
        <f t="shared" ca="1" si="36"/>
        <v>-6.1287821353557224</v>
      </c>
      <c r="Z132">
        <f t="shared" ca="1" si="30"/>
        <v>120</v>
      </c>
      <c r="AA132">
        <f t="shared" ca="1" si="37"/>
        <v>327.39779583333342</v>
      </c>
      <c r="AB132">
        <f t="shared" ca="1" si="31"/>
        <v>0</v>
      </c>
      <c r="AC132">
        <f t="shared" ca="1" si="32"/>
        <v>0.13143816867102417</v>
      </c>
      <c r="AD132" s="83">
        <f ca="1"/>
        <v>45408</v>
      </c>
      <c r="AE132" s="55">
        <f t="shared" ca="1" si="41"/>
        <v>45408</v>
      </c>
      <c r="AF132" s="55">
        <f t="shared" ca="1" si="42"/>
        <v>-66.871542730342313</v>
      </c>
      <c r="AG132" s="55">
        <f t="shared" ca="1" si="43"/>
        <v>113.39251173111064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23.830600904502194</v>
      </c>
      <c r="AK132" s="55">
        <f t="shared" ca="1" si="40"/>
        <v>-8.6516793626546367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7.6415227588844798</v>
      </c>
      <c r="U133" s="55">
        <f t="shared" ca="1" si="28"/>
        <v>6.6403612757658408</v>
      </c>
      <c r="V133" s="55">
        <f t="shared" ca="1" si="29"/>
        <v>0</v>
      </c>
      <c r="W133" s="55">
        <f t="shared" ca="1" si="34"/>
        <v>-55.679722709902606</v>
      </c>
      <c r="X133" s="55">
        <f t="shared" ca="1" si="35"/>
        <v>23.952205264230642</v>
      </c>
      <c r="Y133" s="55">
        <f t="shared" ca="1" si="36"/>
        <v>-6.1168669230614086</v>
      </c>
      <c r="Z133">
        <f t="shared" ca="1" si="30"/>
        <v>120</v>
      </c>
      <c r="AA133">
        <f t="shared" ca="1" si="37"/>
        <v>328.6677958333334</v>
      </c>
      <c r="AB133">
        <f t="shared" ca="1" si="31"/>
        <v>0</v>
      </c>
      <c r="AC133">
        <f t="shared" ca="1" si="32"/>
        <v>0.15320329414629982</v>
      </c>
      <c r="AD133" s="83">
        <f ca="1"/>
        <v>45409</v>
      </c>
      <c r="AE133" s="55">
        <f t="shared" ca="1" si="41"/>
        <v>45409</v>
      </c>
      <c r="AF133" s="55">
        <f t="shared" ca="1" si="42"/>
        <v>-68.966657903411715</v>
      </c>
      <c r="AG133" s="55">
        <f t="shared" ca="1" si="43"/>
        <v>115.81738204561843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24.119991577603049</v>
      </c>
      <c r="AK133" s="55">
        <f t="shared" ca="1" si="40"/>
        <v>-8.6113148943171058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7.1456404905144915</v>
      </c>
      <c r="U134" s="55">
        <f t="shared" ca="1" si="28"/>
        <v>7.0519778236856157</v>
      </c>
      <c r="V134" s="55">
        <f t="shared" ca="1" si="29"/>
        <v>0</v>
      </c>
      <c r="W134" s="55">
        <f t="shared" ca="1" si="34"/>
        <v>-55.979541875483775</v>
      </c>
      <c r="X134" s="55">
        <f t="shared" ca="1" si="35"/>
        <v>24.155642888386339</v>
      </c>
      <c r="Y134" s="55">
        <f t="shared" ca="1" si="36"/>
        <v>-6.1047511020861496</v>
      </c>
      <c r="Z134">
        <f t="shared" ca="1" si="30"/>
        <v>120</v>
      </c>
      <c r="AA134">
        <f t="shared" ca="1" si="37"/>
        <v>333.96779583333341</v>
      </c>
      <c r="AB134">
        <f t="shared" ca="1" si="31"/>
        <v>0</v>
      </c>
      <c r="AC134">
        <f t="shared" ca="1" si="32"/>
        <v>0.17865080909928846</v>
      </c>
      <c r="AD134" s="83">
        <f ca="1"/>
        <v>45410</v>
      </c>
      <c r="AE134" s="55">
        <f t="shared" ca="1" si="41"/>
        <v>45410</v>
      </c>
      <c r="AF134" s="55">
        <f t="shared" ca="1" si="42"/>
        <v>-70.931767243825135</v>
      </c>
      <c r="AG134" s="55">
        <f t="shared" ca="1" si="43"/>
        <v>118.09604205151737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24.39620497942304</v>
      </c>
      <c r="AK134" s="55">
        <f t="shared" ca="1" si="40"/>
        <v>-8.5739776306515658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6.7952689712534537</v>
      </c>
      <c r="U135" s="55">
        <f t="shared" ca="1" si="28"/>
        <v>7.478514767954997</v>
      </c>
      <c r="V135" s="55">
        <f t="shared" ca="1" si="29"/>
        <v>0</v>
      </c>
      <c r="W135" s="55">
        <f t="shared" ca="1" si="34"/>
        <v>-56.116183409047395</v>
      </c>
      <c r="X135" s="55">
        <f t="shared" ca="1" si="35"/>
        <v>24.356414935565471</v>
      </c>
      <c r="Y135" s="55">
        <f t="shared" ca="1" si="36"/>
        <v>-6.0927161906933174</v>
      </c>
      <c r="Z135">
        <f t="shared" ca="1" si="30"/>
        <v>120</v>
      </c>
      <c r="AA135">
        <f t="shared" ca="1" si="37"/>
        <v>336.50779583333343</v>
      </c>
      <c r="AB135">
        <f t="shared" ca="1" si="31"/>
        <v>0</v>
      </c>
      <c r="AC135">
        <f t="shared" ca="1" si="32"/>
        <v>0.20661663248111375</v>
      </c>
      <c r="AD135" s="83">
        <f ca="1"/>
        <v>45411</v>
      </c>
      <c r="AE135" s="55">
        <f t="shared" ca="1" si="41"/>
        <v>45411</v>
      </c>
      <c r="AF135" s="55">
        <f t="shared" ca="1" si="42"/>
        <v>-72.839021040446326</v>
      </c>
      <c r="AG135" s="55">
        <f t="shared" ca="1" si="43"/>
        <v>120.30616649722197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24.663274489067941</v>
      </c>
      <c r="AK135" s="55">
        <f t="shared" ca="1" si="40"/>
        <v>-8.5381764912130631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6.5121857567292771</v>
      </c>
      <c r="U136" s="55">
        <f t="shared" ca="1" si="28"/>
        <v>7.9279577313490073</v>
      </c>
      <c r="V136" s="55">
        <f t="shared" ca="1" si="29"/>
        <v>0</v>
      </c>
      <c r="W136" s="55">
        <f t="shared" ca="1" si="34"/>
        <v>-56.162067184525014</v>
      </c>
      <c r="X136" s="55">
        <f t="shared" ca="1" si="35"/>
        <v>24.556618663600627</v>
      </c>
      <c r="Y136" s="55">
        <f t="shared" ca="1" si="36"/>
        <v>-6.0806763943810171</v>
      </c>
      <c r="Z136">
        <f t="shared" ca="1" si="30"/>
        <v>120</v>
      </c>
      <c r="AA136">
        <f t="shared" ca="1" si="37"/>
        <v>337.39779583333342</v>
      </c>
      <c r="AB136">
        <f t="shared" ca="1" si="31"/>
        <v>0</v>
      </c>
      <c r="AC136">
        <f t="shared" ca="1" si="32"/>
        <v>0.23753392144150254</v>
      </c>
      <c r="AD136" s="83">
        <f ca="1"/>
        <v>45412</v>
      </c>
      <c r="AE136" s="55">
        <f t="shared" ca="1" si="41"/>
        <v>45412</v>
      </c>
      <c r="AF136" s="55">
        <f t="shared" ca="1" si="42"/>
        <v>-74.747399481148591</v>
      </c>
      <c r="AG136" s="55">
        <f t="shared" ca="1" si="43"/>
        <v>122.51866957276776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24.931930684348021</v>
      </c>
      <c r="AK136" s="55">
        <f t="shared" ca="1" si="40"/>
        <v>-8.5027080516496181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6.2548703618392461</v>
      </c>
      <c r="U137" s="55">
        <f t="shared" ca="1" si="28"/>
        <v>8.3765293034993427</v>
      </c>
      <c r="V137" s="55">
        <f t="shared" ca="1" si="29"/>
        <v>0</v>
      </c>
      <c r="W137" s="55">
        <f t="shared" ca="1" si="34"/>
        <v>-56.176427324397402</v>
      </c>
      <c r="X137" s="55">
        <f t="shared" ca="1" si="35"/>
        <v>24.7504522084703</v>
      </c>
      <c r="Y137" s="55">
        <f t="shared" ca="1" si="36"/>
        <v>-6.0688936221179972</v>
      </c>
      <c r="Z137">
        <f t="shared" ca="1" si="30"/>
        <v>120</v>
      </c>
      <c r="AA137">
        <f t="shared" ca="1" si="37"/>
        <v>337.68779583333344</v>
      </c>
      <c r="AB137">
        <f t="shared" ca="1" si="31"/>
        <v>0</v>
      </c>
      <c r="AC137">
        <f t="shared" ca="1" si="32"/>
        <v>0.26952670735885415</v>
      </c>
      <c r="AD137" s="83">
        <f ca="1"/>
        <v>45413</v>
      </c>
      <c r="AE137" s="55">
        <f t="shared" ca="1" si="41"/>
        <v>45413</v>
      </c>
      <c r="AF137" s="55">
        <f t="shared" ca="1" si="42"/>
        <v>-76.633326668479455</v>
      </c>
      <c r="AG137" s="55">
        <f t="shared" ca="1" si="43"/>
        <v>124.70571349974685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25.198321936618282</v>
      </c>
      <c r="AK137" s="55">
        <f t="shared" ca="1" si="40"/>
        <v>-8.467982564271642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5.9776508907962764</v>
      </c>
      <c r="U138" s="55">
        <f t="shared" ca="1" si="28"/>
        <v>8.8481117819503634</v>
      </c>
      <c r="V138" s="55">
        <f t="shared" ca="1" si="29"/>
        <v>0</v>
      </c>
      <c r="W138" s="55">
        <f t="shared" ca="1" si="34"/>
        <v>-56.18731163039439</v>
      </c>
      <c r="X138" s="55">
        <f t="shared" ca="1" si="35"/>
        <v>24.943915079268738</v>
      </c>
      <c r="Y138" s="55">
        <f t="shared" ca="1" si="36"/>
        <v>-6.0571091795113929</v>
      </c>
      <c r="Z138">
        <f t="shared" ca="1" si="30"/>
        <v>120</v>
      </c>
      <c r="AA138">
        <f t="shared" ca="1" si="37"/>
        <v>337.91779583333346</v>
      </c>
      <c r="AB138">
        <f t="shared" ca="1" si="31"/>
        <v>0</v>
      </c>
      <c r="AC138">
        <f t="shared" ca="1" si="32"/>
        <v>0.3039857414110293</v>
      </c>
      <c r="AD138" s="83">
        <f ca="1"/>
        <v>45414</v>
      </c>
      <c r="AE138" s="55">
        <f t="shared" ca="1" si="41"/>
        <v>45414</v>
      </c>
      <c r="AF138" s="55">
        <f t="shared" ca="1" si="42"/>
        <v>-78.494033548166556</v>
      </c>
      <c r="AG138" s="55">
        <f t="shared" ca="1" si="43"/>
        <v>126.86430963050471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25.462235227458862</v>
      </c>
      <c r="AK138" s="55">
        <f t="shared" ca="1" si="40"/>
        <v>-8.4340066040414658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5.6241656079833913</v>
      </c>
      <c r="U139" s="55">
        <f t="shared" ca="1" si="28"/>
        <v>9.3579281681099733</v>
      </c>
      <c r="V139" s="55">
        <f t="shared" ca="1" si="29"/>
        <v>0</v>
      </c>
      <c r="W139" s="55">
        <f t="shared" ca="1" si="34"/>
        <v>-56.238960217894373</v>
      </c>
      <c r="X139" s="55">
        <f t="shared" ca="1" si="35"/>
        <v>25.13998209107076</v>
      </c>
      <c r="Y139" s="55">
        <f t="shared" ca="1" si="36"/>
        <v>-6.0451965004667088</v>
      </c>
      <c r="Z139">
        <f t="shared" ca="1" si="30"/>
        <v>120</v>
      </c>
      <c r="AA139">
        <f t="shared" ca="1" si="37"/>
        <v>339.07779583333348</v>
      </c>
      <c r="AB139">
        <f t="shared" ca="1" si="31"/>
        <v>0</v>
      </c>
      <c r="AC139">
        <f t="shared" ca="1" si="32"/>
        <v>0.3417179949064294</v>
      </c>
      <c r="AD139" s="83">
        <f ca="1"/>
        <v>45415</v>
      </c>
      <c r="AE139" s="55">
        <f t="shared" ca="1" si="41"/>
        <v>45415</v>
      </c>
      <c r="AF139" s="55">
        <f t="shared" ca="1" si="42"/>
        <v>-80.306698349594868</v>
      </c>
      <c r="AG139" s="55">
        <f t="shared" ca="1" si="43"/>
        <v>128.96750132529112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25.719904600775529</v>
      </c>
      <c r="AK139" s="55">
        <f t="shared" ca="1" si="40"/>
        <v>-8.4011490840000373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110.5871106642773</v>
      </c>
      <c r="U140" s="55">
        <f t="shared" ca="1" si="28"/>
        <v>9.9018654279295113</v>
      </c>
      <c r="V140" s="55">
        <f t="shared" ca="1" si="29"/>
        <v>107.69410428106131</v>
      </c>
      <c r="W140" s="55">
        <f t="shared" ca="1" si="34"/>
        <v>-58.635342992419524</v>
      </c>
      <c r="X140" s="55">
        <f t="shared" ca="1" si="35"/>
        <v>25.337171899653875</v>
      </c>
      <c r="Y140" s="55">
        <f t="shared" ca="1" si="36"/>
        <v>-6.0332254994725361</v>
      </c>
      <c r="Z140">
        <f t="shared" ca="1" si="30"/>
        <v>120</v>
      </c>
      <c r="AA140">
        <f t="shared" ca="1" si="37"/>
        <v>341.81779583333349</v>
      </c>
      <c r="AB140">
        <f t="shared" ca="1" si="31"/>
        <v>0</v>
      </c>
      <c r="AC140">
        <f t="shared" ca="1" si="32"/>
        <v>0.38198151082922438</v>
      </c>
      <c r="AD140" s="83">
        <f ca="1"/>
        <v>45416</v>
      </c>
      <c r="AE140" s="55">
        <f t="shared" ca="1" si="41"/>
        <v>45416</v>
      </c>
      <c r="AF140" s="55">
        <f t="shared" ca="1" si="42"/>
        <v>-82.116901794716227</v>
      </c>
      <c r="AG140" s="55">
        <f t="shared" ca="1" si="43"/>
        <v>131.069973761753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25.979570993188709</v>
      </c>
      <c r="AK140" s="55">
        <f t="shared" ca="1" si="40"/>
        <v>-8.3685464850726916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109.41942314195707</v>
      </c>
      <c r="U141" s="55">
        <f t="shared" ca="1" si="28"/>
        <v>10.461531668749387</v>
      </c>
      <c r="V141" s="55">
        <f t="shared" ca="1" si="29"/>
        <v>0</v>
      </c>
      <c r="W141" s="55">
        <f t="shared" ca="1" si="34"/>
        <v>-59.449605866300921</v>
      </c>
      <c r="X141" s="55">
        <f t="shared" ca="1" si="35"/>
        <v>25.531562296549193</v>
      </c>
      <c r="Y141" s="55">
        <f t="shared" ca="1" si="36"/>
        <v>-6.0213743039868177</v>
      </c>
      <c r="Z141">
        <f t="shared" ca="1" si="30"/>
        <v>120</v>
      </c>
      <c r="AA141">
        <f t="shared" ca="1" si="37"/>
        <v>342.75779583333349</v>
      </c>
      <c r="AB141">
        <f t="shared" ca="1" si="31"/>
        <v>0</v>
      </c>
      <c r="AC141">
        <f t="shared" ca="1" si="32"/>
        <v>0.42285994683569711</v>
      </c>
      <c r="AD141" s="83">
        <f ca="1"/>
        <v>45417</v>
      </c>
      <c r="AE141" s="55">
        <f t="shared" ca="1" si="41"/>
        <v>45417</v>
      </c>
      <c r="AF141" s="55">
        <f t="shared" ca="1" si="42"/>
        <v>-83.931533377247334</v>
      </c>
      <c r="AG141" s="55">
        <f t="shared" ca="1" si="43"/>
        <v>133.18034652746485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26.242810924975458</v>
      </c>
      <c r="AK141" s="55">
        <f t="shared" ca="1" si="40"/>
        <v>-8.3360452336787105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108.38678670865225</v>
      </c>
      <c r="U142" s="55">
        <f t="shared" ca="1" si="28"/>
        <v>11.058028931492876</v>
      </c>
      <c r="V142" s="55">
        <f t="shared" ca="1" si="29"/>
        <v>0</v>
      </c>
      <c r="W142" s="55">
        <f t="shared" ca="1" si="34"/>
        <v>-60.093152412383539</v>
      </c>
      <c r="X142" s="55">
        <f t="shared" ca="1" si="35"/>
        <v>25.727069426460805</v>
      </c>
      <c r="Y142" s="55">
        <f t="shared" ca="1" si="36"/>
        <v>-6.0094740583771395</v>
      </c>
      <c r="Z142">
        <f t="shared" ca="1" si="30"/>
        <v>120</v>
      </c>
      <c r="AA142">
        <f t="shared" ca="1" si="37"/>
        <v>343.50779583333349</v>
      </c>
      <c r="AB142">
        <f t="shared" ca="1" si="31"/>
        <v>0</v>
      </c>
      <c r="AC142">
        <f t="shared" ca="1" si="32"/>
        <v>0.46526055641420683</v>
      </c>
      <c r="AD142" s="83">
        <f ca="1"/>
        <v>45418</v>
      </c>
      <c r="AE142" s="55">
        <f t="shared" ca="1" si="41"/>
        <v>45418</v>
      </c>
      <c r="AF142" s="55">
        <f t="shared" ca="1" si="42"/>
        <v>-85.689660751457495</v>
      </c>
      <c r="AG142" s="55">
        <f t="shared" ca="1" si="43"/>
        <v>135.22593728536324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26.498933574645037</v>
      </c>
      <c r="AK142" s="55">
        <f t="shared" ca="1" si="40"/>
        <v>-8.3047044996600565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107.81837289124663</v>
      </c>
      <c r="U143" s="55">
        <f t="shared" ca="1" si="28"/>
        <v>11.751445575231056</v>
      </c>
      <c r="V143" s="55">
        <f t="shared" ca="1" si="29"/>
        <v>0</v>
      </c>
      <c r="W143" s="55">
        <f t="shared" ca="1" si="34"/>
        <v>-60.187044245442991</v>
      </c>
      <c r="X143" s="55">
        <f t="shared" ca="1" si="35"/>
        <v>25.933580533355691</v>
      </c>
      <c r="Y143" s="55">
        <f t="shared" ca="1" si="36"/>
        <v>-5.9970905058800312</v>
      </c>
      <c r="Z143">
        <f t="shared" ca="1" si="30"/>
        <v>120</v>
      </c>
      <c r="AA143">
        <f t="shared" ca="1" si="37"/>
        <v>343.6177958333335</v>
      </c>
      <c r="AB143">
        <f t="shared" ca="1" si="31"/>
        <v>0</v>
      </c>
      <c r="AC143">
        <f t="shared" ca="1" si="32"/>
        <v>0.51241997304784948</v>
      </c>
      <c r="AD143" s="83">
        <f ca="1"/>
        <v>45419</v>
      </c>
      <c r="AE143" s="55">
        <f t="shared" ca="1" si="41"/>
        <v>45419</v>
      </c>
      <c r="AF143" s="55">
        <f t="shared" ca="1" si="42"/>
        <v>-87.398318978344562</v>
      </c>
      <c r="AG143" s="55">
        <f t="shared" ca="1" si="43"/>
        <v>137.21537769286991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26.749361087456361</v>
      </c>
      <c r="AK143" s="55">
        <f t="shared" ca="1" si="40"/>
        <v>-8.2743498318517901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105.87576539343092</v>
      </c>
      <c r="U144" s="55">
        <f t="shared" ca="1" si="28"/>
        <v>12.498430468193716</v>
      </c>
      <c r="V144" s="55">
        <f t="shared" ca="1" si="29"/>
        <v>0</v>
      </c>
      <c r="W144" s="55">
        <f t="shared" ca="1" si="34"/>
        <v>-61.6035737566026</v>
      </c>
      <c r="X144" s="55">
        <f t="shared" ca="1" si="35"/>
        <v>26.142027277894517</v>
      </c>
      <c r="Y144" s="55">
        <f t="shared" ca="1" si="36"/>
        <v>-5.9846303441122943</v>
      </c>
      <c r="Z144">
        <f t="shared" ca="1" si="30"/>
        <v>120</v>
      </c>
      <c r="AA144">
        <f t="shared" ca="1" si="37"/>
        <v>345.3077958333335</v>
      </c>
      <c r="AB144">
        <f t="shared" ca="1" si="31"/>
        <v>0</v>
      </c>
      <c r="AC144">
        <f t="shared" ca="1" si="32"/>
        <v>0.56008204707728171</v>
      </c>
      <c r="AD144" s="83">
        <f ca="1"/>
        <v>45420</v>
      </c>
      <c r="AE144" s="55">
        <f t="shared" ca="1" si="41"/>
        <v>45420</v>
      </c>
      <c r="AF144" s="55">
        <f t="shared" ca="1" si="42"/>
        <v>-89.0378524384885</v>
      </c>
      <c r="AG144" s="55">
        <f t="shared" ca="1" si="43"/>
        <v>139.12538778640763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26.990754276494748</v>
      </c>
      <c r="AK144" s="55">
        <f t="shared" ca="1" si="40"/>
        <v>-8.2452663874963896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102.31957293052905</v>
      </c>
      <c r="U145" s="55">
        <f t="shared" ca="1" si="28"/>
        <v>13.314680087245616</v>
      </c>
      <c r="V145" s="55">
        <f t="shared" ca="1" si="29"/>
        <v>0</v>
      </c>
      <c r="W145" s="55">
        <f t="shared" ca="1" si="34"/>
        <v>-64.568283382264681</v>
      </c>
      <c r="X145" s="55">
        <f t="shared" ca="1" si="35"/>
        <v>26.354182972503306</v>
      </c>
      <c r="Y145" s="55">
        <f t="shared" ca="1" si="36"/>
        <v>-5.9720192569089869</v>
      </c>
      <c r="Z145">
        <f t="shared" ca="1" si="30"/>
        <v>120</v>
      </c>
      <c r="AA145">
        <f t="shared" ca="1" si="37"/>
        <v>348.96779583333353</v>
      </c>
      <c r="AB145">
        <f t="shared" ca="1" si="31"/>
        <v>0</v>
      </c>
      <c r="AC145">
        <f t="shared" ca="1" si="32"/>
        <v>0.60799028824597301</v>
      </c>
      <c r="AD145" s="83">
        <f ca="1"/>
        <v>45421</v>
      </c>
      <c r="AE145" s="55">
        <f t="shared" ca="1" si="41"/>
        <v>45421</v>
      </c>
      <c r="AF145" s="55">
        <f t="shared" ca="1" si="42"/>
        <v>-90.674639430116599</v>
      </c>
      <c r="AG145" s="55">
        <f t="shared" ca="1" si="43"/>
        <v>141.03529351722241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27.234921993353833</v>
      </c>
      <c r="AK145" s="55">
        <f t="shared" ca="1" si="40"/>
        <v>-8.2163153651687839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100.32457271335593</v>
      </c>
      <c r="U146" s="55">
        <f t="shared" ref="U146:U209" ca="1" si="46">VLOOKUP(S146,ModelOutputs,7,FALSE)</f>
        <v>14.175260925813346</v>
      </c>
      <c r="V146" s="55">
        <f t="shared" ref="V146:V209" ca="1" si="47">VLOOKUP(S146,ModelOutputs,6,FALSE)</f>
        <v>0</v>
      </c>
      <c r="W146" s="55">
        <f t="shared" ca="1" si="34"/>
        <v>-65.92642728537173</v>
      </c>
      <c r="X146" s="55">
        <f t="shared" ca="1" si="35"/>
        <v>26.565358654835414</v>
      </c>
      <c r="Y146" s="55">
        <f t="shared" ca="1" si="36"/>
        <v>-5.9594704147394397</v>
      </c>
      <c r="Z146">
        <f t="shared" ref="Z146:Z209" ca="1" si="48">VLOOKUP(S146,ModelOutputs,10,FALSE)*AWC</f>
        <v>120</v>
      </c>
      <c r="AA146">
        <f t="shared" ca="1" si="37"/>
        <v>350.67779583333351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0.65357323281727486</v>
      </c>
      <c r="AD146" s="83">
        <f ca="1"/>
        <v>45422</v>
      </c>
      <c r="AE146" s="55">
        <f t="shared" ca="1" si="41"/>
        <v>45422</v>
      </c>
      <c r="AF146" s="55">
        <f t="shared" ca="1" si="42"/>
        <v>-92.325884466955415</v>
      </c>
      <c r="AG146" s="55">
        <f t="shared" ca="1" si="43"/>
        <v>142.96609958654065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27.485349506165157</v>
      </c>
      <c r="AK146" s="55">
        <f t="shared" ca="1" si="40"/>
        <v>-8.1871818455006977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99.245325271262487</v>
      </c>
      <c r="U147" s="55">
        <f t="shared" ca="1" si="46"/>
        <v>15.048059220619839</v>
      </c>
      <c r="V147" s="55">
        <f t="shared" ca="1" si="47"/>
        <v>0</v>
      </c>
      <c r="W147" s="55">
        <f t="shared" ref="W147:W210" ca="1" si="52">-VLOOKUP(S147,ModelOutputs,9,FALSE)+W146</f>
        <v>-66.35070105090638</v>
      </c>
      <c r="X147" s="55">
        <f t="shared" ref="X147:X210" ca="1" si="53">VLOOKUP(S147,ModelOutputs,5,FALSE)+X146</f>
        <v>26.770906188558143</v>
      </c>
      <c r="Y147" s="55">
        <f t="shared" ref="Y147:Y210" ca="1" si="54">VLOOKUP(S147,ModelOutputs,4,FALSE)+Y146</f>
        <v>-5.9471933302144917</v>
      </c>
      <c r="Z147">
        <f t="shared" ca="1" si="48"/>
        <v>120</v>
      </c>
      <c r="AA147">
        <f t="shared" ref="AA147:AA210" ca="1" si="55">VLOOKUP(S147,ModelOutputs,11,FALSE)+AA146</f>
        <v>351.21779583333353</v>
      </c>
      <c r="AB147">
        <f t="shared" ca="1" si="49"/>
        <v>0</v>
      </c>
      <c r="AC147">
        <f t="shared" ca="1" si="50"/>
        <v>0.69470078098465504</v>
      </c>
      <c r="AD147" s="83">
        <f ca="1"/>
        <v>45423</v>
      </c>
      <c r="AE147" s="55">
        <f t="shared" ca="1" si="41"/>
        <v>45423</v>
      </c>
      <c r="AF147" s="55">
        <f t="shared" ca="1" si="42"/>
        <v>-93.992526926779362</v>
      </c>
      <c r="AG147" s="55">
        <f t="shared" ca="1" si="43"/>
        <v>144.91955833720627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27.742797570126768</v>
      </c>
      <c r="AK147" s="55">
        <f t="shared" ref="AK147:AK210" ca="1" si="58">VLOOKUP(AE147,ModelOutputs,4,FALSE)+AK146</f>
        <v>-8.1578136186206383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96.940090259646936</v>
      </c>
      <c r="U148" s="55">
        <f t="shared" ca="1" si="46"/>
        <v>16.037489781148611</v>
      </c>
      <c r="V148" s="55">
        <f t="shared" ca="1" si="47"/>
        <v>0</v>
      </c>
      <c r="W148" s="55">
        <f t="shared" ca="1" si="52"/>
        <v>-67.893260237163005</v>
      </c>
      <c r="X148" s="55">
        <f t="shared" ca="1" si="53"/>
        <v>26.985030431510271</v>
      </c>
      <c r="Y148" s="55">
        <f t="shared" ca="1" si="54"/>
        <v>-5.9345628379967676</v>
      </c>
      <c r="Z148">
        <f t="shared" ca="1" si="48"/>
        <v>120</v>
      </c>
      <c r="AA148">
        <f t="shared" ca="1" si="55"/>
        <v>353.22779583333352</v>
      </c>
      <c r="AB148">
        <f t="shared" ca="1" si="49"/>
        <v>0</v>
      </c>
      <c r="AC148">
        <f t="shared" ca="1" si="50"/>
        <v>0.7354590738324408</v>
      </c>
      <c r="AD148" s="83">
        <f ca="1"/>
        <v>45424</v>
      </c>
      <c r="AE148" s="55">
        <f t="shared" ca="1" si="41"/>
        <v>45424</v>
      </c>
      <c r="AF148" s="55">
        <f t="shared" ca="1" si="42"/>
        <v>-95.626303275381801</v>
      </c>
      <c r="AG148" s="55">
        <f t="shared" ca="1" si="43"/>
        <v>146.83780708733255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27.998479345015159</v>
      </c>
      <c r="AK148" s="55">
        <f t="shared" ca="1" si="58"/>
        <v>-8.1290229919851829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95.081510001781268</v>
      </c>
      <c r="U149" s="55">
        <f t="shared" ca="1" si="46"/>
        <v>17.031520770402444</v>
      </c>
      <c r="V149" s="55">
        <f t="shared" ca="1" si="47"/>
        <v>0</v>
      </c>
      <c r="W149" s="55">
        <f t="shared" ca="1" si="52"/>
        <v>-68.977189451183307</v>
      </c>
      <c r="X149" s="55">
        <f t="shared" ca="1" si="53"/>
        <v>27.192121040489326</v>
      </c>
      <c r="Y149" s="55">
        <f t="shared" ca="1" si="54"/>
        <v>-5.9222735015673651</v>
      </c>
      <c r="Z149">
        <f t="shared" ca="1" si="48"/>
        <v>120</v>
      </c>
      <c r="AA149">
        <f t="shared" ca="1" si="55"/>
        <v>354.66779583333351</v>
      </c>
      <c r="AB149">
        <f t="shared" ca="1" si="49"/>
        <v>0</v>
      </c>
      <c r="AC149">
        <f t="shared" ca="1" si="50"/>
        <v>0.77069697748534183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-97.198526275972483</v>
      </c>
      <c r="AG149" s="55">
        <f t="shared" ref="AG149:AG212" ca="1" si="61">VLOOKUP(AE149,ModelOutputs,7,FALSE)</f>
        <v>148.68624840028164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28.246953738066082</v>
      </c>
      <c r="AK149" s="55">
        <f t="shared" ca="1" si="58"/>
        <v>-8.1012790726776949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94.226633790034484</v>
      </c>
      <c r="U150" s="55">
        <f t="shared" ca="1" si="46"/>
        <v>18.108784663147553</v>
      </c>
      <c r="V150" s="55">
        <f t="shared" ca="1" si="47"/>
        <v>0</v>
      </c>
      <c r="W150" s="55">
        <f t="shared" ca="1" si="52"/>
        <v>-68.977189451183307</v>
      </c>
      <c r="X150" s="55">
        <f t="shared" ca="1" si="53"/>
        <v>27.402124455164312</v>
      </c>
      <c r="Y150" s="55">
        <f t="shared" ca="1" si="54"/>
        <v>-5.9098892352440302</v>
      </c>
      <c r="Z150">
        <f t="shared" ca="1" si="48"/>
        <v>117.875</v>
      </c>
      <c r="AA150">
        <f t="shared" ca="1" si="55"/>
        <v>354.66779583333351</v>
      </c>
      <c r="AB150">
        <f t="shared" ca="1" si="49"/>
        <v>0</v>
      </c>
      <c r="AC150">
        <f t="shared" ca="1" si="50"/>
        <v>0.80319783538604306</v>
      </c>
      <c r="AD150" s="83">
        <f ca="1"/>
        <v>45426</v>
      </c>
      <c r="AE150" s="55">
        <f t="shared" ca="1" si="59"/>
        <v>45426</v>
      </c>
      <c r="AF150" s="55">
        <f t="shared" ca="1" si="60"/>
        <v>-98.737685346555423</v>
      </c>
      <c r="AG150" s="55">
        <f t="shared" ca="1" si="61"/>
        <v>150.4993606123989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28.493699903903185</v>
      </c>
      <c r="AK150" s="55">
        <f t="shared" ca="1" si="58"/>
        <v>-8.074072096980478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93.199475230854034</v>
      </c>
      <c r="U151" s="55">
        <f t="shared" ca="1" si="46"/>
        <v>19.274922265004307</v>
      </c>
      <c r="V151" s="55">
        <f t="shared" ca="1" si="47"/>
        <v>0</v>
      </c>
      <c r="W151" s="55">
        <f t="shared" ca="1" si="52"/>
        <v>-69.063422892154676</v>
      </c>
      <c r="X151" s="55">
        <f t="shared" ca="1" si="53"/>
        <v>27.614869520536438</v>
      </c>
      <c r="Y151" s="55">
        <f t="shared" ca="1" si="54"/>
        <v>-5.8974218169684995</v>
      </c>
      <c r="Z151">
        <f t="shared" ca="1" si="48"/>
        <v>120</v>
      </c>
      <c r="AA151">
        <f t="shared" ca="1" si="55"/>
        <v>354.78467036667558</v>
      </c>
      <c r="AB151">
        <f t="shared" ca="1" si="49"/>
        <v>0</v>
      </c>
      <c r="AC151">
        <f t="shared" ca="1" si="50"/>
        <v>0.83266855962548791</v>
      </c>
      <c r="AD151" s="83">
        <f ca="1"/>
        <v>45427</v>
      </c>
      <c r="AE151" s="55">
        <f t="shared" ca="1" si="59"/>
        <v>45427</v>
      </c>
      <c r="AF151" s="55">
        <f t="shared" ca="1" si="60"/>
        <v>-100.25322096414061</v>
      </c>
      <c r="AG151" s="55">
        <f t="shared" ca="1" si="61"/>
        <v>152.28870529291862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28.74066169279596</v>
      </c>
      <c r="AK151" s="55">
        <f t="shared" ca="1" si="58"/>
        <v>-8.047224822938718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91.032908820694587</v>
      </c>
      <c r="U152" s="55">
        <f t="shared" ca="1" si="46"/>
        <v>20.586742409155459</v>
      </c>
      <c r="V152" s="55">
        <f t="shared" ca="1" si="47"/>
        <v>0</v>
      </c>
      <c r="W152" s="55">
        <f t="shared" ca="1" si="52"/>
        <v>-70.151645456348731</v>
      </c>
      <c r="X152" s="55">
        <f t="shared" ca="1" si="53"/>
        <v>27.835570771418517</v>
      </c>
      <c r="Y152" s="55">
        <f t="shared" ca="1" si="54"/>
        <v>-5.8846467696648084</v>
      </c>
      <c r="Z152">
        <f t="shared" ca="1" si="48"/>
        <v>120</v>
      </c>
      <c r="AA152">
        <f t="shared" ca="1" si="55"/>
        <v>356.29467036667558</v>
      </c>
      <c r="AB152">
        <f t="shared" ca="1" si="49"/>
        <v>0</v>
      </c>
      <c r="AC152">
        <f t="shared" ca="1" si="50"/>
        <v>0.85992262094270022</v>
      </c>
      <c r="AD152" s="83">
        <f ca="1"/>
        <v>45428</v>
      </c>
      <c r="AE152" s="55">
        <f t="shared" ca="1" si="59"/>
        <v>45428</v>
      </c>
      <c r="AF152" s="55">
        <f t="shared" ca="1" si="60"/>
        <v>-101.700334708257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28.979088757172175</v>
      </c>
      <c r="AK152" s="55">
        <f t="shared" ca="1" si="58"/>
        <v>-8.0214709243499378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87.925597176256048</v>
      </c>
      <c r="U153" s="55">
        <f t="shared" ca="1" si="46"/>
        <v>21.931489198235997</v>
      </c>
      <c r="V153" s="55">
        <f t="shared" ca="1" si="47"/>
        <v>0</v>
      </c>
      <c r="W153" s="55">
        <f t="shared" ca="1" si="52"/>
        <v>-72.142427519081124</v>
      </c>
      <c r="X153" s="55">
        <f t="shared" ca="1" si="53"/>
        <v>28.051278043902464</v>
      </c>
      <c r="Y153" s="55">
        <f t="shared" ca="1" si="54"/>
        <v>-5.8721368347743468</v>
      </c>
      <c r="Z153">
        <f t="shared" ca="1" si="48"/>
        <v>120</v>
      </c>
      <c r="AA153">
        <f t="shared" ca="1" si="55"/>
        <v>359.15467036667559</v>
      </c>
      <c r="AB153">
        <f t="shared" ca="1" si="49"/>
        <v>0</v>
      </c>
      <c r="AC153">
        <f t="shared" ca="1" si="50"/>
        <v>0.88260191948923394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85.933140380088105</v>
      </c>
      <c r="U154" s="55">
        <f t="shared" ca="1" si="46"/>
        <v>23.393709891373877</v>
      </c>
      <c r="V154" s="55">
        <f t="shared" ca="1" si="47"/>
        <v>0</v>
      </c>
      <c r="W154" s="55">
        <f t="shared" ca="1" si="52"/>
        <v>-72.904368030451238</v>
      </c>
      <c r="X154" s="55">
        <f t="shared" ca="1" si="53"/>
        <v>28.270373464013851</v>
      </c>
      <c r="Y154" s="55">
        <f t="shared" ca="1" si="54"/>
        <v>-5.8595278465456904</v>
      </c>
      <c r="Z154">
        <f t="shared" ca="1" si="48"/>
        <v>120</v>
      </c>
      <c r="AA154">
        <f t="shared" ca="1" si="55"/>
        <v>360.27467036667559</v>
      </c>
      <c r="AB154">
        <f t="shared" ca="1" si="49"/>
        <v>0</v>
      </c>
      <c r="AC154">
        <f t="shared" ca="1" si="50"/>
        <v>0.90246738813826088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83.92475419091204</v>
      </c>
      <c r="U155" s="55">
        <f t="shared" ca="1" si="46"/>
        <v>25.015743367671934</v>
      </c>
      <c r="V155" s="55">
        <f t="shared" ca="1" si="47"/>
        <v>0</v>
      </c>
      <c r="W155" s="55">
        <f t="shared" ca="1" si="52"/>
        <v>-73.528908076221938</v>
      </c>
      <c r="X155" s="55">
        <f t="shared" ca="1" si="53"/>
        <v>28.49573222765915</v>
      </c>
      <c r="Y155" s="55">
        <f t="shared" ca="1" si="54"/>
        <v>-5.846699277298308</v>
      </c>
      <c r="Z155">
        <f t="shared" ca="1" si="48"/>
        <v>120</v>
      </c>
      <c r="AA155">
        <f t="shared" ca="1" si="55"/>
        <v>361.21467036667559</v>
      </c>
      <c r="AB155">
        <f t="shared" ca="1" si="49"/>
        <v>0</v>
      </c>
      <c r="AC155">
        <f t="shared" ca="1" si="50"/>
        <v>0.91995085270301336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81.550578112108767</v>
      </c>
      <c r="U156" s="55">
        <f t="shared" ca="1" si="46"/>
        <v>26.78636351600451</v>
      </c>
      <c r="V156" s="55">
        <f t="shared" ca="1" si="47"/>
        <v>0</v>
      </c>
      <c r="W156" s="55">
        <f t="shared" ca="1" si="52"/>
        <v>-74.374655530059599</v>
      </c>
      <c r="X156" s="55">
        <f t="shared" ca="1" si="53"/>
        <v>28.724984198143094</v>
      </c>
      <c r="Y156" s="55">
        <f t="shared" ca="1" si="54"/>
        <v>-5.8337597244152972</v>
      </c>
      <c r="Z156">
        <f t="shared" ca="1" si="48"/>
        <v>120</v>
      </c>
      <c r="AA156">
        <f t="shared" ca="1" si="55"/>
        <v>362.52467036667559</v>
      </c>
      <c r="AB156">
        <f t="shared" ca="1" si="49"/>
        <v>0</v>
      </c>
      <c r="AC156">
        <f t="shared" ca="1" si="50"/>
        <v>0.93486776378169167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79.729824977883197</v>
      </c>
      <c r="U157" s="55">
        <f t="shared" ca="1" si="46"/>
        <v>28.645120532157708</v>
      </c>
      <c r="V157" s="55">
        <f t="shared" ca="1" si="47"/>
        <v>0</v>
      </c>
      <c r="W157" s="55">
        <f t="shared" ca="1" si="52"/>
        <v>-74.576637753336897</v>
      </c>
      <c r="X157" s="55">
        <f t="shared" ca="1" si="53"/>
        <v>28.952181952352955</v>
      </c>
      <c r="Y157" s="55">
        <f t="shared" ca="1" si="54"/>
        <v>-5.8209713734202255</v>
      </c>
      <c r="Z157">
        <f t="shared" ca="1" si="48"/>
        <v>120</v>
      </c>
      <c r="AA157">
        <f t="shared" ca="1" si="55"/>
        <v>362.84467036667559</v>
      </c>
      <c r="AB157">
        <f t="shared" ca="1" si="49"/>
        <v>0</v>
      </c>
      <c r="AC157">
        <f t="shared" ca="1" si="50"/>
        <v>0.94701764086394613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77.982006128972344</v>
      </c>
      <c r="U158" s="55">
        <f t="shared" ca="1" si="46"/>
        <v>30.560280753901839</v>
      </c>
      <c r="V158" s="55">
        <f t="shared" ca="1" si="47"/>
        <v>0</v>
      </c>
      <c r="W158" s="55">
        <f t="shared" ca="1" si="52"/>
        <v>-74.644547083674212</v>
      </c>
      <c r="X158" s="55">
        <f t="shared" ca="1" si="53"/>
        <v>29.174900773745854</v>
      </c>
      <c r="Y158" s="55">
        <f t="shared" ca="1" si="54"/>
        <v>-5.808439491642531</v>
      </c>
      <c r="Z158">
        <f t="shared" ca="1" si="48"/>
        <v>120</v>
      </c>
      <c r="AA158">
        <f t="shared" ca="1" si="55"/>
        <v>362.9546703666756</v>
      </c>
      <c r="AB158">
        <f t="shared" ca="1" si="49"/>
        <v>0</v>
      </c>
      <c r="AC158">
        <f t="shared" ca="1" si="50"/>
        <v>0.95673902860496685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75.441120786395544</v>
      </c>
      <c r="U159" s="55">
        <f t="shared" ca="1" si="46"/>
        <v>32.564015715945871</v>
      </c>
      <c r="V159" s="55">
        <f t="shared" ca="1" si="47"/>
        <v>0</v>
      </c>
      <c r="W159" s="55">
        <f t="shared" ca="1" si="52"/>
        <v>-75.414989529705281</v>
      </c>
      <c r="X159" s="55">
        <f t="shared" ca="1" si="53"/>
        <v>29.395803267391809</v>
      </c>
      <c r="Y159" s="55">
        <f t="shared" ca="1" si="54"/>
        <v>-5.7960499197901774</v>
      </c>
      <c r="Z159">
        <f t="shared" ca="1" si="48"/>
        <v>120</v>
      </c>
      <c r="AA159">
        <f t="shared" ca="1" si="55"/>
        <v>364.24467036667562</v>
      </c>
      <c r="AB159">
        <f t="shared" ca="1" si="49"/>
        <v>0</v>
      </c>
      <c r="AC159">
        <f t="shared" ca="1" si="50"/>
        <v>0.96465321851697938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73.565321761492271</v>
      </c>
      <c r="U160" s="55">
        <f t="shared" ca="1" si="46"/>
        <v>34.665959629020833</v>
      </c>
      <c r="V160" s="55">
        <f t="shared" ca="1" si="47"/>
        <v>0</v>
      </c>
      <c r="W160" s="55">
        <f t="shared" ca="1" si="52"/>
        <v>-75.420813451011398</v>
      </c>
      <c r="X160" s="55">
        <f t="shared" ca="1" si="53"/>
        <v>29.615500017719572</v>
      </c>
      <c r="Y160" s="55">
        <f t="shared" ca="1" si="54"/>
        <v>-5.7837778606401429</v>
      </c>
      <c r="Z160">
        <f t="shared" ca="1" si="48"/>
        <v>120</v>
      </c>
      <c r="AA160">
        <f t="shared" ca="1" si="55"/>
        <v>364.25467036667561</v>
      </c>
      <c r="AB160">
        <f t="shared" ca="1" si="49"/>
        <v>0</v>
      </c>
      <c r="AC160">
        <f t="shared" ca="1" si="50"/>
        <v>0.971113898895822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71.515524972712839</v>
      </c>
      <c r="U161" s="55">
        <f t="shared" ca="1" si="46"/>
        <v>36.854986266915503</v>
      </c>
      <c r="V161" s="55">
        <f t="shared" ca="1" si="47"/>
        <v>0</v>
      </c>
      <c r="W161" s="55">
        <f t="shared" ca="1" si="52"/>
        <v>-75.511399782643508</v>
      </c>
      <c r="X161" s="55">
        <f t="shared" ca="1" si="53"/>
        <v>29.83319632773933</v>
      </c>
      <c r="Y161" s="55">
        <f t="shared" ca="1" si="54"/>
        <v>-5.7716579899125611</v>
      </c>
      <c r="Z161">
        <f t="shared" ca="1" si="48"/>
        <v>120</v>
      </c>
      <c r="AA161">
        <f t="shared" ca="1" si="55"/>
        <v>364.41467036667564</v>
      </c>
      <c r="AB161">
        <f t="shared" ca="1" si="49"/>
        <v>0</v>
      </c>
      <c r="AC161">
        <f t="shared" ca="1" si="50"/>
        <v>0.97635494734078254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68.440185631424626</v>
      </c>
      <c r="U162" s="55">
        <f t="shared" ca="1" si="46"/>
        <v>39.215021374333197</v>
      </c>
      <c r="V162" s="55">
        <f t="shared" ca="1" si="47"/>
        <v>0</v>
      </c>
      <c r="W162" s="55">
        <f t="shared" ca="1" si="52"/>
        <v>-76.459581521078874</v>
      </c>
      <c r="X162" s="55">
        <f t="shared" ca="1" si="53"/>
        <v>30.05389757862141</v>
      </c>
      <c r="Y162" s="55">
        <f t="shared" ca="1" si="54"/>
        <v>-5.7594817362297954</v>
      </c>
      <c r="Z162">
        <f t="shared" ca="1" si="48"/>
        <v>120</v>
      </c>
      <c r="AA162">
        <f t="shared" ca="1" si="55"/>
        <v>366.16467036667564</v>
      </c>
      <c r="AB162">
        <f t="shared" ca="1" si="49"/>
        <v>0</v>
      </c>
      <c r="AC162">
        <f t="shared" ca="1" si="50"/>
        <v>0.98074724422958259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65.650658858705654</v>
      </c>
      <c r="U163" s="55">
        <f t="shared" ca="1" si="46"/>
        <v>41.751537035826075</v>
      </c>
      <c r="V163" s="55">
        <f t="shared" ca="1" si="47"/>
        <v>0</v>
      </c>
      <c r="W163" s="55">
        <f t="shared" ca="1" si="52"/>
        <v>-76.94813184075241</v>
      </c>
      <c r="X163" s="55">
        <f t="shared" ca="1" si="53"/>
        <v>30.277223900804412</v>
      </c>
      <c r="Y163" s="55">
        <f t="shared" ca="1" si="54"/>
        <v>-5.7472688499653541</v>
      </c>
      <c r="Z163">
        <f t="shared" ca="1" si="48"/>
        <v>120</v>
      </c>
      <c r="AA163">
        <f t="shared" ca="1" si="55"/>
        <v>367.10467036667563</v>
      </c>
      <c r="AB163">
        <f t="shared" ca="1" si="49"/>
        <v>0</v>
      </c>
      <c r="AC163">
        <f t="shared" ca="1" si="50"/>
        <v>0.98439539349055183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62.051316724370011</v>
      </c>
      <c r="U164" s="55">
        <f t="shared" ca="1" si="46"/>
        <v>44.593616968697667</v>
      </c>
      <c r="V164" s="55">
        <f t="shared" ca="1" si="47"/>
        <v>0</v>
      </c>
      <c r="W164" s="55">
        <f t="shared" ca="1" si="52"/>
        <v>-77.950260605850985</v>
      </c>
      <c r="X164" s="55">
        <f t="shared" ca="1" si="53"/>
        <v>30.509578723226287</v>
      </c>
      <c r="Y164" s="55">
        <f t="shared" ca="1" si="54"/>
        <v>-5.7347571087527101</v>
      </c>
      <c r="Z164">
        <f t="shared" ca="1" si="48"/>
        <v>120</v>
      </c>
      <c r="AA164">
        <f t="shared" ca="1" si="55"/>
        <v>369.14467036667565</v>
      </c>
      <c r="AB164">
        <f t="shared" ca="1" si="49"/>
        <v>0</v>
      </c>
      <c r="AC164">
        <f t="shared" ca="1" si="50"/>
        <v>0.98752119923198545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59.031258048249462</v>
      </c>
      <c r="U165" s="55">
        <f t="shared" ca="1" si="46"/>
        <v>47.478160281556875</v>
      </c>
      <c r="V165" s="55">
        <f t="shared" ca="1" si="47"/>
        <v>0</v>
      </c>
      <c r="W165" s="55">
        <f t="shared" ca="1" si="52"/>
        <v>-78.324125240156562</v>
      </c>
      <c r="X165" s="55">
        <f t="shared" ca="1" si="53"/>
        <v>30.73575366998671</v>
      </c>
      <c r="Y165" s="55">
        <f t="shared" ca="1" si="54"/>
        <v>-5.7225827844688943</v>
      </c>
      <c r="Z165">
        <f t="shared" ca="1" si="48"/>
        <v>120</v>
      </c>
      <c r="AA165">
        <f t="shared" ca="1" si="55"/>
        <v>369.94467036667567</v>
      </c>
      <c r="AB165">
        <f t="shared" ca="1" si="49"/>
        <v>0</v>
      </c>
      <c r="AC165">
        <f t="shared" ca="1" si="50"/>
        <v>0.98993996369980886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55.471744676550166</v>
      </c>
      <c r="U166" s="55">
        <f t="shared" ca="1" si="46"/>
        <v>50.479169461819538</v>
      </c>
      <c r="V166" s="55">
        <f t="shared" ca="1" si="47"/>
        <v>0</v>
      </c>
      <c r="W166" s="55">
        <f t="shared" ca="1" si="52"/>
        <v>-79.118989114917625</v>
      </c>
      <c r="X166" s="55">
        <f t="shared" ca="1" si="53"/>
        <v>30.960094781911625</v>
      </c>
      <c r="Y166" s="55">
        <f t="shared" ca="1" si="54"/>
        <v>-5.710564213069369</v>
      </c>
      <c r="Z166">
        <f t="shared" ca="1" si="48"/>
        <v>120</v>
      </c>
      <c r="AA166">
        <f t="shared" ca="1" si="55"/>
        <v>371.75467036667567</v>
      </c>
      <c r="AB166">
        <f t="shared" ca="1" si="49"/>
        <v>0</v>
      </c>
      <c r="AC166">
        <f t="shared" ca="1" si="50"/>
        <v>0.99187249708115188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52.314422555782713</v>
      </c>
      <c r="U167" s="55">
        <f t="shared" ca="1" si="46"/>
        <v>53.802203835184812</v>
      </c>
      <c r="V167" s="55">
        <f t="shared" ca="1" si="47"/>
        <v>0</v>
      </c>
      <c r="W167" s="55">
        <f t="shared" ca="1" si="52"/>
        <v>-79.197678725511949</v>
      </c>
      <c r="X167" s="55">
        <f t="shared" ca="1" si="53"/>
        <v>31.192241943132643</v>
      </c>
      <c r="Y167" s="55">
        <f t="shared" ca="1" si="54"/>
        <v>-5.6983095110982473</v>
      </c>
      <c r="Z167">
        <f t="shared" ca="1" si="48"/>
        <v>120</v>
      </c>
      <c r="AA167">
        <f t="shared" ca="1" si="55"/>
        <v>371.94467036667567</v>
      </c>
      <c r="AB167">
        <f t="shared" ca="1" si="49"/>
        <v>0</v>
      </c>
      <c r="AC167">
        <f t="shared" ca="1" si="50"/>
        <v>0.99350852441662951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48.227980169226107</v>
      </c>
      <c r="U168" s="55">
        <f t="shared" ca="1" si="46"/>
        <v>57.448868158175344</v>
      </c>
      <c r="V168" s="55">
        <f t="shared" ca="1" si="47"/>
        <v>0</v>
      </c>
      <c r="W168" s="55">
        <f t="shared" ca="1" si="52"/>
        <v>-79.88874549135349</v>
      </c>
      <c r="X168" s="55">
        <f t="shared" ca="1" si="53"/>
        <v>31.431091354836443</v>
      </c>
      <c r="Y168" s="55">
        <f t="shared" ca="1" si="54"/>
        <v>-5.6858702205265912</v>
      </c>
      <c r="Z168">
        <f t="shared" ca="1" si="48"/>
        <v>120</v>
      </c>
      <c r="AA168">
        <f t="shared" ca="1" si="55"/>
        <v>373.75467036667567</v>
      </c>
      <c r="AB168">
        <f t="shared" ca="1" si="49"/>
        <v>0</v>
      </c>
      <c r="AC168">
        <f t="shared" ca="1" si="50"/>
        <v>0.99486511473065609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44.116684982313835</v>
      </c>
      <c r="U169" s="55">
        <f t="shared" ca="1" si="46"/>
        <v>61.455675737917545</v>
      </c>
      <c r="V169" s="55">
        <f t="shared" ca="1" si="47"/>
        <v>0</v>
      </c>
      <c r="W169" s="55">
        <f t="shared" ca="1" si="52"/>
        <v>-80.251972864374537</v>
      </c>
      <c r="X169" s="55">
        <f t="shared" ca="1" si="53"/>
        <v>31.677191346143836</v>
      </c>
      <c r="Y169" s="55">
        <f t="shared" ca="1" si="54"/>
        <v>-5.6732304459830063</v>
      </c>
      <c r="Z169">
        <f t="shared" ca="1" si="48"/>
        <v>120</v>
      </c>
      <c r="AA169">
        <f t="shared" ca="1" si="55"/>
        <v>374.79467036667569</v>
      </c>
      <c r="AB169">
        <f t="shared" ca="1" si="49"/>
        <v>0</v>
      </c>
      <c r="AC169">
        <f t="shared" ca="1" si="50"/>
        <v>0.99597949064119251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167.78592759346574</v>
      </c>
      <c r="U170" s="55">
        <f t="shared" ca="1" si="46"/>
        <v>65.619200579323106</v>
      </c>
      <c r="V170" s="55">
        <f t="shared" ca="1" si="47"/>
        <v>131.31594497641271</v>
      </c>
      <c r="W170" s="55">
        <f t="shared" ca="1" si="52"/>
        <v>-83.991336076054537</v>
      </c>
      <c r="X170" s="55">
        <f t="shared" ca="1" si="53"/>
        <v>31.920930941080858</v>
      </c>
      <c r="Y170" s="55">
        <f t="shared" ca="1" si="54"/>
        <v>-5.6607843530952726</v>
      </c>
      <c r="Z170">
        <f t="shared" ca="1" si="48"/>
        <v>120</v>
      </c>
      <c r="AA170">
        <f t="shared" ca="1" si="55"/>
        <v>377.62467036667567</v>
      </c>
      <c r="AB170">
        <f t="shared" ca="1" si="49"/>
        <v>0</v>
      </c>
      <c r="AC170">
        <f t="shared" ca="1" si="50"/>
        <v>0.99684265164420061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158.17568917846398</v>
      </c>
      <c r="U171" s="55">
        <f t="shared" ca="1" si="46"/>
        <v>69.857515508882543</v>
      </c>
      <c r="V171" s="55">
        <f t="shared" ca="1" si="47"/>
        <v>0</v>
      </c>
      <c r="W171" s="55">
        <f t="shared" ca="1" si="52"/>
        <v>-89.613822760977357</v>
      </c>
      <c r="X171" s="55">
        <f t="shared" ca="1" si="53"/>
        <v>32.159358005457072</v>
      </c>
      <c r="Y171" s="55">
        <f t="shared" ca="1" si="54"/>
        <v>-5.6486482179910036</v>
      </c>
      <c r="Z171">
        <f t="shared" ca="1" si="48"/>
        <v>120</v>
      </c>
      <c r="AA171">
        <f t="shared" ca="1" si="55"/>
        <v>382.11467036667568</v>
      </c>
      <c r="AB171">
        <f t="shared" ca="1" si="49"/>
        <v>0</v>
      </c>
      <c r="AC171">
        <f t="shared" ca="1" si="50"/>
        <v>0.99750276479554401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151.83318210259037</v>
      </c>
      <c r="U172" s="55">
        <f t="shared" ca="1" si="46"/>
        <v>74.249054963311963</v>
      </c>
      <c r="V172" s="55">
        <f t="shared" ca="1" si="47"/>
        <v>0</v>
      </c>
      <c r="W172" s="55">
        <f t="shared" ca="1" si="52"/>
        <v>-91.813505986688639</v>
      </c>
      <c r="X172" s="55">
        <f t="shared" ca="1" si="53"/>
        <v>32.39610029295082</v>
      </c>
      <c r="Y172" s="55">
        <f t="shared" ca="1" si="54"/>
        <v>-5.6366749012176625</v>
      </c>
      <c r="Z172">
        <f t="shared" ca="1" si="48"/>
        <v>120</v>
      </c>
      <c r="AA172">
        <f t="shared" ca="1" si="55"/>
        <v>383.94467036667567</v>
      </c>
      <c r="AB172">
        <f t="shared" ca="1" si="49"/>
        <v>0</v>
      </c>
      <c r="AC172">
        <f t="shared" ca="1" si="50"/>
        <v>0.99802051043503737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144.74727972338877</v>
      </c>
      <c r="U173" s="55">
        <f t="shared" ca="1" si="46"/>
        <v>79.011870016178747</v>
      </c>
      <c r="V173" s="55">
        <f t="shared" ca="1" si="47"/>
        <v>0</v>
      </c>
      <c r="W173" s="55">
        <f t="shared" ca="1" si="52"/>
        <v>-94.391816906761505</v>
      </c>
      <c r="X173" s="55">
        <f t="shared" ca="1" si="53"/>
        <v>32.639198572155983</v>
      </c>
      <c r="Y173" s="55">
        <f t="shared" ca="1" si="54"/>
        <v>-5.6245495866847488</v>
      </c>
      <c r="Z173">
        <f t="shared" ca="1" si="48"/>
        <v>120</v>
      </c>
      <c r="AA173">
        <f t="shared" ca="1" si="55"/>
        <v>386.19467036667567</v>
      </c>
      <c r="AB173">
        <f t="shared" ca="1" si="49"/>
        <v>0</v>
      </c>
      <c r="AC173">
        <f t="shared" ca="1" si="50"/>
        <v>0.99844480400960389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140.26349840688113</v>
      </c>
      <c r="U174" s="55">
        <f t="shared" ca="1" si="46"/>
        <v>83.742211372781469</v>
      </c>
      <c r="V174" s="55">
        <f t="shared" ca="1" si="47"/>
        <v>0</v>
      </c>
      <c r="W174" s="55">
        <f t="shared" ca="1" si="52"/>
        <v>-94.391816906761505</v>
      </c>
      <c r="X174" s="55">
        <f t="shared" ca="1" si="53"/>
        <v>32.87405430112635</v>
      </c>
      <c r="Y174" s="55">
        <f t="shared" ca="1" si="54"/>
        <v>-5.6128452755600371</v>
      </c>
      <c r="Z174">
        <f t="shared" ca="1" si="48"/>
        <v>119.3</v>
      </c>
      <c r="AA174">
        <f t="shared" ca="1" si="55"/>
        <v>386.19467036667567</v>
      </c>
      <c r="AB174">
        <f t="shared" ca="1" si="49"/>
        <v>0</v>
      </c>
      <c r="AC174">
        <f t="shared" ca="1" si="50"/>
        <v>0.99876422677132348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134.74366912078261</v>
      </c>
      <c r="U175" s="55">
        <f t="shared" ca="1" si="46"/>
        <v>88.677094447595351</v>
      </c>
      <c r="V175" s="55">
        <f t="shared" ca="1" si="47"/>
        <v>0</v>
      </c>
      <c r="W175" s="55">
        <f t="shared" ca="1" si="52"/>
        <v>-95.22387786542464</v>
      </c>
      <c r="X175" s="55">
        <f t="shared" ca="1" si="53"/>
        <v>33.109537846330092</v>
      </c>
      <c r="Y175" s="55">
        <f t="shared" ca="1" si="54"/>
        <v>-5.6012140733852878</v>
      </c>
      <c r="Z175">
        <f t="shared" ca="1" si="48"/>
        <v>120</v>
      </c>
      <c r="AA175">
        <f t="shared" ca="1" si="55"/>
        <v>386.97468799250976</v>
      </c>
      <c r="AB175">
        <f t="shared" ca="1" si="49"/>
        <v>0</v>
      </c>
      <c r="AC175">
        <f t="shared" ca="1" si="50"/>
        <v>0.99901897027397402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129.79653081261722</v>
      </c>
      <c r="U176" s="55">
        <f t="shared" ca="1" si="46"/>
        <v>93.873866689792308</v>
      </c>
      <c r="V176" s="55">
        <f t="shared" ca="1" si="47"/>
        <v>0</v>
      </c>
      <c r="W176" s="55">
        <f t="shared" ca="1" si="52"/>
        <v>-95.22387786542464</v>
      </c>
      <c r="X176" s="55">
        <f t="shared" ca="1" si="53"/>
        <v>33.347543024716614</v>
      </c>
      <c r="Y176" s="55">
        <f t="shared" ca="1" si="54"/>
        <v>-5.5895853177402568</v>
      </c>
      <c r="Z176">
        <f t="shared" ca="1" si="48"/>
        <v>119.50000000000001</v>
      </c>
      <c r="AA176">
        <f t="shared" ca="1" si="55"/>
        <v>386.97468799250976</v>
      </c>
      <c r="AB176">
        <f t="shared" ca="1" si="49"/>
        <v>0</v>
      </c>
      <c r="AC176">
        <f t="shared" ca="1" si="50"/>
        <v>0.99922397543533981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124.82582033534807</v>
      </c>
      <c r="U177" s="55">
        <f t="shared" ca="1" si="46"/>
        <v>99.088894324350093</v>
      </c>
      <c r="V177" s="55">
        <f t="shared" ca="1" si="47"/>
        <v>0</v>
      </c>
      <c r="W177" s="55">
        <f t="shared" ca="1" si="52"/>
        <v>-95.22387786542464</v>
      </c>
      <c r="X177" s="55">
        <f t="shared" ca="1" si="53"/>
        <v>33.580521520682453</v>
      </c>
      <c r="Y177" s="55">
        <f t="shared" ca="1" si="54"/>
        <v>-5.5782466564174431</v>
      </c>
      <c r="Z177">
        <f t="shared" ca="1" si="48"/>
        <v>118.97501815862728</v>
      </c>
      <c r="AA177">
        <f t="shared" ca="1" si="55"/>
        <v>386.97468799250976</v>
      </c>
      <c r="AB177">
        <f t="shared" ca="1" si="49"/>
        <v>0</v>
      </c>
      <c r="AC177">
        <f t="shared" ca="1" si="50"/>
        <v>0.99938183396536062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118.29068629526705</v>
      </c>
      <c r="U178" s="55">
        <f t="shared" ca="1" si="46"/>
        <v>104.97570844574996</v>
      </c>
      <c r="V178" s="55">
        <f t="shared" ca="1" si="47"/>
        <v>0</v>
      </c>
      <c r="W178" s="55">
        <f t="shared" ca="1" si="52"/>
        <v>-96.132268936316237</v>
      </c>
      <c r="X178" s="55">
        <f t="shared" ca="1" si="53"/>
        <v>33.82877947990908</v>
      </c>
      <c r="Y178" s="55">
        <f t="shared" ca="1" si="54"/>
        <v>-5.566433463433615</v>
      </c>
      <c r="Z178">
        <f t="shared" ca="1" si="48"/>
        <v>120</v>
      </c>
      <c r="AA178">
        <f t="shared" ca="1" si="55"/>
        <v>387.94470633346435</v>
      </c>
      <c r="AB178">
        <f t="shared" ca="1" si="49"/>
        <v>0</v>
      </c>
      <c r="AC178">
        <f t="shared" ca="1" si="50"/>
        <v>0.99951788049940093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110.99468112870302</v>
      </c>
      <c r="U179" s="55">
        <f t="shared" ca="1" si="46"/>
        <v>111.20078008251129</v>
      </c>
      <c r="V179" s="55">
        <f t="shared" ca="1" si="47"/>
        <v>0</v>
      </c>
      <c r="W179" s="55">
        <f t="shared" ca="1" si="52"/>
        <v>-97.467904932564963</v>
      </c>
      <c r="X179" s="55">
        <f t="shared" ca="1" si="53"/>
        <v>34.081606895945313</v>
      </c>
      <c r="Y179" s="55">
        <f t="shared" ca="1" si="54"/>
        <v>-5.5545584130238321</v>
      </c>
      <c r="Z179">
        <f t="shared" ca="1" si="48"/>
        <v>120</v>
      </c>
      <c r="AA179">
        <f t="shared" ca="1" si="55"/>
        <v>389.46470633346433</v>
      </c>
      <c r="AB179">
        <f t="shared" ca="1" si="49"/>
        <v>0</v>
      </c>
      <c r="AC179">
        <f t="shared" ca="1" si="50"/>
        <v>0.99962630483087966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103.98223012278739</v>
      </c>
      <c r="U180" s="55">
        <f t="shared" ca="1" si="46"/>
        <v>117.06215098602185</v>
      </c>
      <c r="V180" s="55">
        <f t="shared" ca="1" si="47"/>
        <v>0</v>
      </c>
      <c r="W180" s="55">
        <f t="shared" ca="1" si="52"/>
        <v>-98.867332446300807</v>
      </c>
      <c r="X180" s="55">
        <f t="shared" ca="1" si="53"/>
        <v>34.318769685986055</v>
      </c>
      <c r="Y180" s="55">
        <f t="shared" ca="1" si="54"/>
        <v>-5.5433737917338002</v>
      </c>
      <c r="Z180">
        <f t="shared" ca="1" si="48"/>
        <v>120</v>
      </c>
      <c r="AA180">
        <f t="shared" ca="1" si="55"/>
        <v>391.16470633346432</v>
      </c>
      <c r="AB180">
        <f t="shared" ca="1" si="49"/>
        <v>0</v>
      </c>
      <c r="AC180">
        <f t="shared" ca="1" si="50"/>
        <v>0.99970408638675201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98.029559861632819</v>
      </c>
      <c r="U181" s="55">
        <f t="shared" ca="1" si="46"/>
        <v>123.26899670732936</v>
      </c>
      <c r="V181" s="55">
        <f t="shared" ca="1" si="47"/>
        <v>0</v>
      </c>
      <c r="W181" s="55">
        <f t="shared" ca="1" si="52"/>
        <v>-98.867332446300807</v>
      </c>
      <c r="X181" s="55">
        <f t="shared" ca="1" si="53"/>
        <v>34.561654424475577</v>
      </c>
      <c r="Y181" s="55">
        <f t="shared" ca="1" si="54"/>
        <v>-5.5320830700703709</v>
      </c>
      <c r="Z181">
        <f t="shared" ca="1" si="48"/>
        <v>118.70000000000002</v>
      </c>
      <c r="AA181">
        <f t="shared" ca="1" si="55"/>
        <v>391.16470633346432</v>
      </c>
      <c r="AB181">
        <f t="shared" ca="1" si="49"/>
        <v>0</v>
      </c>
      <c r="AC181">
        <f t="shared" ca="1" si="50"/>
        <v>0.9997675298521852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90.165262806971114</v>
      </c>
      <c r="U182" s="55">
        <f t="shared" ca="1" si="46"/>
        <v>130.0068710213481</v>
      </c>
      <c r="V182" s="55">
        <f t="shared" ca="1" si="47"/>
        <v>0</v>
      </c>
      <c r="W182" s="55">
        <f t="shared" ca="1" si="52"/>
        <v>-100.25926275340255</v>
      </c>
      <c r="X182" s="55">
        <f t="shared" ca="1" si="53"/>
        <v>34.81557734798961</v>
      </c>
      <c r="Y182" s="55">
        <f t="shared" ca="1" si="54"/>
        <v>-5.520498427125621</v>
      </c>
      <c r="Z182">
        <f t="shared" ca="1" si="48"/>
        <v>120</v>
      </c>
      <c r="AA182">
        <f t="shared" ca="1" si="55"/>
        <v>393.11471202479481</v>
      </c>
      <c r="AB182">
        <f t="shared" ca="1" si="49"/>
        <v>0</v>
      </c>
      <c r="AC182">
        <f t="shared" ca="1" si="50"/>
        <v>0.99982008438854297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82.33917343020785</v>
      </c>
      <c r="U183" s="55">
        <f t="shared" ca="1" si="46"/>
        <v>136.81239076056636</v>
      </c>
      <c r="V183" s="55">
        <f t="shared" ca="1" si="47"/>
        <v>0</v>
      </c>
      <c r="W183" s="55">
        <f t="shared" ca="1" si="52"/>
        <v>-101.5434107790245</v>
      </c>
      <c r="X183" s="55">
        <f t="shared" ca="1" si="53"/>
        <v>35.067748852586959</v>
      </c>
      <c r="Y183" s="55">
        <f t="shared" ca="1" si="54"/>
        <v>-5.5090915436460275</v>
      </c>
      <c r="Z183">
        <f t="shared" ca="1" si="48"/>
        <v>120</v>
      </c>
      <c r="AA183">
        <f t="shared" ca="1" si="55"/>
        <v>395.08471202479484</v>
      </c>
      <c r="AB183">
        <f t="shared" ca="1" si="49"/>
        <v>0</v>
      </c>
      <c r="AC183">
        <f t="shared" ca="1" si="50"/>
        <v>0.99986043254425883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74.323485883927091</v>
      </c>
      <c r="U184" s="55">
        <f t="shared" ca="1" si="46"/>
        <v>143.46017462023963</v>
      </c>
      <c r="V184" s="55">
        <f t="shared" ca="1" si="47"/>
        <v>0</v>
      </c>
      <c r="W184" s="55">
        <f t="shared" ca="1" si="52"/>
        <v>-103.1673789455883</v>
      </c>
      <c r="X184" s="55">
        <f t="shared" ca="1" si="53"/>
        <v>35.312774201138431</v>
      </c>
      <c r="Y184" s="55">
        <f t="shared" ca="1" si="54"/>
        <v>-5.4980524122411856</v>
      </c>
      <c r="Z184">
        <f t="shared" ca="1" si="48"/>
        <v>120</v>
      </c>
      <c r="AA184">
        <f t="shared" ca="1" si="55"/>
        <v>397.84471202479483</v>
      </c>
      <c r="AB184">
        <f t="shared" ca="1" si="49"/>
        <v>0</v>
      </c>
      <c r="AC184">
        <f t="shared" ca="1" si="50"/>
        <v>0.99989068033594974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66.630787771224007</v>
      </c>
      <c r="U185" s="55">
        <f t="shared" ca="1" si="46"/>
        <v>149.951828343302</v>
      </c>
      <c r="V185" s="55">
        <f t="shared" ca="1" si="47"/>
        <v>0</v>
      </c>
      <c r="W185" s="55">
        <f t="shared" ca="1" si="52"/>
        <v>-104.61798672102432</v>
      </c>
      <c r="X185" s="55">
        <f t="shared" ca="1" si="53"/>
        <v>35.551623612842235</v>
      </c>
      <c r="Y185" s="55">
        <f t="shared" ca="1" si="54"/>
        <v>-5.4873384381496679</v>
      </c>
      <c r="Z185">
        <f t="shared" ca="1" si="48"/>
        <v>120</v>
      </c>
      <c r="AA185">
        <f t="shared" ca="1" si="55"/>
        <v>400.59471202479483</v>
      </c>
      <c r="AB185">
        <f t="shared" ca="1" si="49"/>
        <v>0</v>
      </c>
      <c r="AC185">
        <f t="shared" ca="1" si="50"/>
        <v>0.99991364192095489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191.63268357043603</v>
      </c>
      <c r="U186" s="55">
        <f t="shared" ca="1" si="46"/>
        <v>156.53900308267058</v>
      </c>
      <c r="V186" s="55">
        <f t="shared" ca="1" si="47"/>
        <v>131.50535156094739</v>
      </c>
      <c r="W186" s="55">
        <f t="shared" ca="1" si="52"/>
        <v>-104.78482116529402</v>
      </c>
      <c r="X186" s="55">
        <f t="shared" ca="1" si="53"/>
        <v>35.791530911838215</v>
      </c>
      <c r="Y186" s="55">
        <f t="shared" ca="1" si="54"/>
        <v>-5.4766923152427402</v>
      </c>
      <c r="Z186">
        <f t="shared" ca="1" si="48"/>
        <v>120</v>
      </c>
      <c r="AA186">
        <f t="shared" ca="1" si="55"/>
        <v>400.70471202479484</v>
      </c>
      <c r="AB186">
        <f t="shared" ca="1" si="49"/>
        <v>0</v>
      </c>
      <c r="AC186">
        <f t="shared" ca="1" si="50"/>
        <v>0.99993188092248153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184.51250355469639</v>
      </c>
      <c r="U187" s="55">
        <f t="shared" ca="1" si="46"/>
        <v>163.64523278443295</v>
      </c>
      <c r="V187" s="55">
        <f t="shared" ca="1" si="47"/>
        <v>0</v>
      </c>
      <c r="W187" s="55">
        <f t="shared" ca="1" si="52"/>
        <v>-105.06235872272421</v>
      </c>
      <c r="X187" s="55">
        <f t="shared" ca="1" si="53"/>
        <v>36.044139574661678</v>
      </c>
      <c r="Y187" s="55">
        <f t="shared" ca="1" si="54"/>
        <v>-5.4657137346132565</v>
      </c>
      <c r="Z187">
        <f t="shared" ca="1" si="48"/>
        <v>120</v>
      </c>
      <c r="AA187">
        <f t="shared" ca="1" si="55"/>
        <v>400.89471202479484</v>
      </c>
      <c r="AB187">
        <f t="shared" ca="1" si="49"/>
        <v>0</v>
      </c>
      <c r="AC187">
        <f t="shared" ca="1" si="50"/>
        <v>0.99994718972195229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177.10618360288854</v>
      </c>
      <c r="U188" s="55">
        <f t="shared" ca="1" si="46"/>
        <v>170.36468715515821</v>
      </c>
      <c r="V188" s="55">
        <f t="shared" ca="1" si="47"/>
        <v>0</v>
      </c>
      <c r="W188" s="55">
        <f t="shared" ca="1" si="52"/>
        <v>-106.0017594382512</v>
      </c>
      <c r="X188" s="55">
        <f t="shared" ca="1" si="53"/>
        <v>36.286171305959684</v>
      </c>
      <c r="Y188" s="55">
        <f t="shared" ca="1" si="54"/>
        <v>-5.4552103314668869</v>
      </c>
      <c r="Z188">
        <f t="shared" ca="1" si="48"/>
        <v>120</v>
      </c>
      <c r="AA188">
        <f t="shared" ca="1" si="55"/>
        <v>401.56471202479486</v>
      </c>
      <c r="AB188">
        <f t="shared" ca="1" si="49"/>
        <v>0</v>
      </c>
      <c r="AC188">
        <f t="shared" ca="1" si="50"/>
        <v>0.99995846564057933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170.84619855854606</v>
      </c>
      <c r="U189" s="55">
        <f t="shared" ca="1" si="46"/>
        <v>176.87163353340102</v>
      </c>
      <c r="V189" s="55">
        <f t="shared" ca="1" si="47"/>
        <v>0</v>
      </c>
      <c r="W189" s="55">
        <f t="shared" ca="1" si="52"/>
        <v>-106.0017594382512</v>
      </c>
      <c r="X189" s="55">
        <f t="shared" ca="1" si="53"/>
        <v>36.522913593453431</v>
      </c>
      <c r="Y189" s="55">
        <f t="shared" ca="1" si="54"/>
        <v>-5.4449912850602908</v>
      </c>
      <c r="Z189">
        <f t="shared" ca="1" si="48"/>
        <v>117.5</v>
      </c>
      <c r="AA189">
        <f t="shared" ca="1" si="55"/>
        <v>401.56471202479486</v>
      </c>
      <c r="AB189">
        <f t="shared" ca="1" si="49"/>
        <v>0</v>
      </c>
      <c r="AC189">
        <f t="shared" ca="1" si="50"/>
        <v>0.99996709365296943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164.70334362167029</v>
      </c>
      <c r="U190" s="55">
        <f t="shared" ca="1" si="46"/>
        <v>183.25394767239624</v>
      </c>
      <c r="V190" s="55">
        <f t="shared" ca="1" si="47"/>
        <v>0</v>
      </c>
      <c r="W190" s="55">
        <f t="shared" ca="1" si="52"/>
        <v>-106.0017594382512</v>
      </c>
      <c r="X190" s="55">
        <f t="shared" ca="1" si="53"/>
        <v>36.752340023703923</v>
      </c>
      <c r="Y190" s="55">
        <f t="shared" ca="1" si="54"/>
        <v>-5.4349585131913605</v>
      </c>
      <c r="Z190">
        <f t="shared" ca="1" si="48"/>
        <v>113.27500449668185</v>
      </c>
      <c r="AA190">
        <f t="shared" ca="1" si="55"/>
        <v>401.56471202479486</v>
      </c>
      <c r="AB190">
        <f t="shared" ca="1" si="49"/>
        <v>0</v>
      </c>
      <c r="AC190">
        <f t="shared" ca="1" si="50"/>
        <v>0.99997383748749369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158.24358369821167</v>
      </c>
      <c r="U191" s="55">
        <f t="shared" ca="1" si="46"/>
        <v>189.9627865031508</v>
      </c>
      <c r="V191" s="55">
        <f t="shared" ca="1" si="47"/>
        <v>0</v>
      </c>
      <c r="W191" s="55">
        <f t="shared" ca="1" si="52"/>
        <v>-106.0017594382512</v>
      </c>
      <c r="X191" s="55">
        <f t="shared" ca="1" si="53"/>
        <v>36.991167127693487</v>
      </c>
      <c r="Y191" s="55">
        <f t="shared" ca="1" si="54"/>
        <v>-5.4247067098849886</v>
      </c>
      <c r="Z191">
        <f t="shared" ca="1" si="48"/>
        <v>113.2250129498173</v>
      </c>
      <c r="AA191">
        <f t="shared" ca="1" si="55"/>
        <v>401.56471202479486</v>
      </c>
      <c r="AB191">
        <f t="shared" ca="1" si="49"/>
        <v>0</v>
      </c>
      <c r="AC191">
        <f t="shared" ca="1" si="50"/>
        <v>0.99997947799749853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151.64069325553086</v>
      </c>
      <c r="U192" s="55">
        <f t="shared" ca="1" si="46"/>
        <v>196.82357891941706</v>
      </c>
      <c r="V192" s="55">
        <f t="shared" ca="1" si="47"/>
        <v>0</v>
      </c>
      <c r="W192" s="55">
        <f t="shared" ca="1" si="52"/>
        <v>-106.0017594382512</v>
      </c>
      <c r="X192" s="55">
        <f t="shared" ca="1" si="53"/>
        <v>37.238727062931972</v>
      </c>
      <c r="Y192" s="55">
        <f t="shared" ca="1" si="54"/>
        <v>-5.4143646715380251</v>
      </c>
      <c r="Z192">
        <f t="shared" ca="1" si="48"/>
        <v>114.3250195075456</v>
      </c>
      <c r="AA192">
        <f t="shared" ca="1" si="55"/>
        <v>401.56471202479486</v>
      </c>
      <c r="AB192">
        <f t="shared" ca="1" si="49"/>
        <v>0</v>
      </c>
      <c r="AC192">
        <f t="shared" ca="1" si="50"/>
        <v>0.99998403410755909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144.85697664892143</v>
      </c>
      <c r="U193" s="55">
        <f t="shared" ca="1" si="46"/>
        <v>203.87590270939313</v>
      </c>
      <c r="V193" s="55">
        <f t="shared" ca="1" si="47"/>
        <v>0</v>
      </c>
      <c r="W193" s="55">
        <f t="shared" ca="1" si="52"/>
        <v>-106.0017594382512</v>
      </c>
      <c r="X193" s="55">
        <f t="shared" ca="1" si="53"/>
        <v>37.49683940388276</v>
      </c>
      <c r="Y193" s="55">
        <f t="shared" ca="1" si="54"/>
        <v>-5.4038698291221845</v>
      </c>
      <c r="Z193">
        <f t="shared" ca="1" si="48"/>
        <v>117.02502463558604</v>
      </c>
      <c r="AA193">
        <f t="shared" ca="1" si="55"/>
        <v>401.56471202479486</v>
      </c>
      <c r="AB193">
        <f t="shared" ca="1" si="49"/>
        <v>0</v>
      </c>
      <c r="AC193">
        <f t="shared" ca="1" si="50"/>
        <v>0.99998771278097276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138.64340114617778</v>
      </c>
      <c r="U194" s="55">
        <f t="shared" ca="1" si="46"/>
        <v>210.34468248506397</v>
      </c>
      <c r="V194" s="55">
        <f t="shared" ca="1" si="47"/>
        <v>0</v>
      </c>
      <c r="W194" s="55">
        <f t="shared" ca="1" si="52"/>
        <v>-106.0017594382512</v>
      </c>
      <c r="X194" s="55">
        <f t="shared" ca="1" si="53"/>
        <v>37.742079449557906</v>
      </c>
      <c r="Y194" s="55">
        <f t="shared" ca="1" si="54"/>
        <v>-5.3939056018701192</v>
      </c>
      <c r="Z194">
        <f t="shared" ca="1" si="48"/>
        <v>117.15002657954957</v>
      </c>
      <c r="AA194">
        <f t="shared" ca="1" si="55"/>
        <v>401.56471202479486</v>
      </c>
      <c r="AB194">
        <f t="shared" ca="1" si="49"/>
        <v>0</v>
      </c>
      <c r="AC194">
        <f t="shared" ca="1" si="50"/>
        <v>0.99999037881918185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132.2284745859443</v>
      </c>
      <c r="U195" s="55">
        <f t="shared" ca="1" si="46"/>
        <v>217.01930841685569</v>
      </c>
      <c r="V195" s="55">
        <f t="shared" ca="1" si="47"/>
        <v>0</v>
      </c>
      <c r="W195" s="55">
        <f t="shared" ca="1" si="52"/>
        <v>-106.0017594382512</v>
      </c>
      <c r="X195" s="55">
        <f t="shared" ca="1" si="53"/>
        <v>37.991611539693693</v>
      </c>
      <c r="Y195" s="55">
        <f t="shared" ca="1" si="54"/>
        <v>-5.3837383204476739</v>
      </c>
      <c r="Z195">
        <f t="shared" ca="1" si="48"/>
        <v>113.1750280848572</v>
      </c>
      <c r="AA195">
        <f t="shared" ca="1" si="55"/>
        <v>401.56471202479486</v>
      </c>
      <c r="AB195">
        <f t="shared" ca="1" si="49"/>
        <v>0</v>
      </c>
      <c r="AC195">
        <f t="shared" ca="1" si="50"/>
        <v>0.99999256516549184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125.75770885283379</v>
      </c>
      <c r="U196" s="55">
        <f t="shared" ca="1" si="46"/>
        <v>223.73993675444356</v>
      </c>
      <c r="V196" s="55">
        <f t="shared" ca="1" si="47"/>
        <v>0</v>
      </c>
      <c r="W196" s="55">
        <f t="shared" ca="1" si="52"/>
        <v>-106.0017594382512</v>
      </c>
      <c r="X196" s="55">
        <f t="shared" ca="1" si="53"/>
        <v>38.231217904363355</v>
      </c>
      <c r="Y196" s="55">
        <f t="shared" ca="1" si="54"/>
        <v>-5.3734820806399775</v>
      </c>
      <c r="Z196">
        <f t="shared" ca="1" si="48"/>
        <v>106.95003074162619</v>
      </c>
      <c r="AA196">
        <f t="shared" ca="1" si="55"/>
        <v>401.56471202479486</v>
      </c>
      <c r="AB196">
        <f t="shared" ca="1" si="49"/>
        <v>0</v>
      </c>
      <c r="AC196">
        <f t="shared" ca="1" si="50"/>
        <v>0.99999430333976658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118.96278729894313</v>
      </c>
      <c r="U197" s="55">
        <f t="shared" ca="1" si="46"/>
        <v>230.80182640771736</v>
      </c>
      <c r="V197" s="55">
        <f t="shared" ca="1" si="47"/>
        <v>0</v>
      </c>
      <c r="W197" s="55">
        <f t="shared" ca="1" si="52"/>
        <v>-106.0017594382512</v>
      </c>
      <c r="X197" s="55">
        <f t="shared" ca="1" si="53"/>
        <v>38.4875029302247</v>
      </c>
      <c r="Y197" s="55">
        <f t="shared" ca="1" si="54"/>
        <v>-5.3627990071181877</v>
      </c>
      <c r="Z197">
        <f t="shared" ca="1" si="48"/>
        <v>107.25003457138378</v>
      </c>
      <c r="AA197">
        <f t="shared" ca="1" si="55"/>
        <v>401.56471202479486</v>
      </c>
      <c r="AB197">
        <f t="shared" ca="1" si="49"/>
        <v>0</v>
      </c>
      <c r="AC197">
        <f t="shared" ca="1" si="50"/>
        <v>0.99999573136429698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112.80072307158143</v>
      </c>
      <c r="U198" s="55">
        <f t="shared" ca="1" si="46"/>
        <v>237.22631877417683</v>
      </c>
      <c r="V198" s="55">
        <f t="shared" ca="1" si="47"/>
        <v>0</v>
      </c>
      <c r="W198" s="55">
        <f t="shared" ca="1" si="52"/>
        <v>-106.0017594382512</v>
      </c>
      <c r="X198" s="55">
        <f t="shared" ca="1" si="53"/>
        <v>38.739785068141522</v>
      </c>
      <c r="Y198" s="55">
        <f t="shared" ca="1" si="54"/>
        <v>-5.3526530059372348</v>
      </c>
      <c r="Z198">
        <f t="shared" ca="1" si="48"/>
        <v>110.30003711137878</v>
      </c>
      <c r="AA198">
        <f t="shared" ca="1" si="55"/>
        <v>401.56471202479486</v>
      </c>
      <c r="AB198">
        <f t="shared" ca="1" si="49"/>
        <v>0</v>
      </c>
      <c r="AC198">
        <f t="shared" ca="1" si="50"/>
        <v>0.99999674749655665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106.85727588625102</v>
      </c>
      <c r="U199" s="55">
        <f t="shared" ca="1" si="46"/>
        <v>243.42796449278512</v>
      </c>
      <c r="V199" s="55">
        <f t="shared" ca="1" si="47"/>
        <v>0</v>
      </c>
      <c r="W199" s="55">
        <f t="shared" ca="1" si="52"/>
        <v>-106.0017594382512</v>
      </c>
      <c r="X199" s="55">
        <f t="shared" ca="1" si="53"/>
        <v>38.987943971000007</v>
      </c>
      <c r="Y199" s="55">
        <f t="shared" ca="1" si="54"/>
        <v>-5.3426133755178435</v>
      </c>
      <c r="Z199">
        <f t="shared" ca="1" si="48"/>
        <v>108.57503870302868</v>
      </c>
      <c r="AA199">
        <f t="shared" ca="1" si="55"/>
        <v>401.56471202479486</v>
      </c>
      <c r="AB199">
        <f t="shared" ca="1" si="49"/>
        <v>0</v>
      </c>
      <c r="AC199">
        <f t="shared" ca="1" si="50"/>
        <v>0.99999752319626711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100.89327791854249</v>
      </c>
      <c r="U200" s="55">
        <f t="shared" ca="1" si="46"/>
        <v>249.65077683289945</v>
      </c>
      <c r="V200" s="55">
        <f t="shared" ca="1" si="47"/>
        <v>0</v>
      </c>
      <c r="W200" s="55">
        <f t="shared" ca="1" si="52"/>
        <v>-106.0017594382512</v>
      </c>
      <c r="X200" s="55">
        <f t="shared" ca="1" si="53"/>
        <v>39.236540370881784</v>
      </c>
      <c r="Y200" s="55">
        <f t="shared" ca="1" si="54"/>
        <v>-5.3323954029938134</v>
      </c>
      <c r="Z200">
        <f t="shared" ca="1" si="48"/>
        <v>105.32504016149987</v>
      </c>
      <c r="AA200">
        <f t="shared" ca="1" si="55"/>
        <v>401.56471202479486</v>
      </c>
      <c r="AB200">
        <f t="shared" ca="1" si="49"/>
        <v>0</v>
      </c>
      <c r="AC200">
        <f t="shared" ca="1" si="50"/>
        <v>0.99999813753357558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95.306799515031798</v>
      </c>
      <c r="U201" s="55">
        <f t="shared" ca="1" si="46"/>
        <v>255.47887801705434</v>
      </c>
      <c r="V201" s="55">
        <f t="shared" ca="1" si="47"/>
        <v>0</v>
      </c>
      <c r="W201" s="55">
        <f t="shared" ca="1" si="52"/>
        <v>-106.0017594382512</v>
      </c>
      <c r="X201" s="55">
        <f t="shared" ca="1" si="53"/>
        <v>39.468202947552982</v>
      </c>
      <c r="Y201" s="55">
        <f t="shared" ca="1" si="54"/>
        <v>-5.3224351990208145</v>
      </c>
      <c r="Z201">
        <f t="shared" ca="1" si="48"/>
        <v>100.22504179334959</v>
      </c>
      <c r="AA201">
        <f t="shared" ca="1" si="55"/>
        <v>401.56471202479486</v>
      </c>
      <c r="AB201">
        <f t="shared" ca="1" si="49"/>
        <v>0</v>
      </c>
      <c r="AC201">
        <f t="shared" ca="1" si="50"/>
        <v>0.99999859166728833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90.256040833917098</v>
      </c>
      <c r="U202" s="55">
        <f t="shared" ca="1" si="46"/>
        <v>260.75191134713799</v>
      </c>
      <c r="V202" s="55">
        <f t="shared" ca="1" si="47"/>
        <v>0</v>
      </c>
      <c r="W202" s="55">
        <f t="shared" ca="1" si="52"/>
        <v>-106.0017594382512</v>
      </c>
      <c r="X202" s="55">
        <f t="shared" ca="1" si="53"/>
        <v>39.680966475486692</v>
      </c>
      <c r="Y202" s="55">
        <f t="shared" ca="1" si="54"/>
        <v>-5.3129240779855831</v>
      </c>
      <c r="Z202">
        <f t="shared" ca="1" si="48"/>
        <v>96.200043453495695</v>
      </c>
      <c r="AA202">
        <f t="shared" ca="1" si="55"/>
        <v>401.56471202479486</v>
      </c>
      <c r="AB202">
        <f t="shared" ca="1" si="49"/>
        <v>0</v>
      </c>
      <c r="AC202">
        <f t="shared" ca="1" si="50"/>
        <v>0.99999891965331156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85.409514980248986</v>
      </c>
      <c r="U203" s="55">
        <f t="shared" ca="1" si="46"/>
        <v>265.80593072087322</v>
      </c>
      <c r="V203" s="55">
        <f t="shared" ca="1" si="47"/>
        <v>0</v>
      </c>
      <c r="W203" s="55">
        <f t="shared" ca="1" si="52"/>
        <v>-106.0017594382512</v>
      </c>
      <c r="X203" s="55">
        <f t="shared" ca="1" si="53"/>
        <v>39.879023748971548</v>
      </c>
      <c r="Y203" s="55">
        <f t="shared" ca="1" si="54"/>
        <v>-5.3034878314033254</v>
      </c>
      <c r="Z203">
        <f t="shared" ca="1" si="48"/>
        <v>89.175044991731681</v>
      </c>
      <c r="AA203">
        <f t="shared" ca="1" si="55"/>
        <v>401.56471202479486</v>
      </c>
      <c r="AB203">
        <f t="shared" ca="1" si="49"/>
        <v>0</v>
      </c>
      <c r="AC203">
        <f t="shared" ca="1" si="50"/>
        <v>0.99999917271191008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80.868485316985527</v>
      </c>
      <c r="U204" s="55">
        <f t="shared" ca="1" si="46"/>
        <v>270.5479856699252</v>
      </c>
      <c r="V204" s="55">
        <f t="shared" ca="1" si="47"/>
        <v>0</v>
      </c>
      <c r="W204" s="55">
        <f t="shared" ca="1" si="52"/>
        <v>-106.0017594382512</v>
      </c>
      <c r="X204" s="55">
        <f t="shared" ca="1" si="53"/>
        <v>40.07079719761154</v>
      </c>
      <c r="Y204" s="55">
        <f t="shared" ca="1" si="54"/>
        <v>-5.294235994254799</v>
      </c>
      <c r="Z204">
        <f t="shared" ca="1" si="48"/>
        <v>87.100046318197357</v>
      </c>
      <c r="AA204">
        <f t="shared" ca="1" si="55"/>
        <v>401.56471202479486</v>
      </c>
      <c r="AB204">
        <f t="shared" ca="1" si="49"/>
        <v>0</v>
      </c>
      <c r="AC204">
        <f t="shared" ca="1" si="50"/>
        <v>0.9999993644474876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76.476063576446023</v>
      </c>
      <c r="U205" s="55">
        <f t="shared" ca="1" si="46"/>
        <v>275.1440114378928</v>
      </c>
      <c r="V205" s="55">
        <f t="shared" ca="1" si="47"/>
        <v>0</v>
      </c>
      <c r="W205" s="55">
        <f t="shared" ca="1" si="52"/>
        <v>-106.0017594382512</v>
      </c>
      <c r="X205" s="55">
        <f t="shared" ca="1" si="53"/>
        <v>40.265127767400294</v>
      </c>
      <c r="Y205" s="55">
        <f t="shared" ca="1" si="54"/>
        <v>-5.2849625366154616</v>
      </c>
      <c r="Z205">
        <f t="shared" ca="1" si="48"/>
        <v>86.675047445719485</v>
      </c>
      <c r="AA205">
        <f t="shared" ca="1" si="55"/>
        <v>401.56471202479486</v>
      </c>
      <c r="AB205">
        <f t="shared" ca="1" si="49"/>
        <v>0</v>
      </c>
      <c r="AC205">
        <f t="shared" ca="1" si="50"/>
        <v>0.9999995147435411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72.201790561903238</v>
      </c>
      <c r="U206" s="55">
        <f t="shared" ca="1" si="46"/>
        <v>279.6435375754412</v>
      </c>
      <c r="V206" s="55">
        <f t="shared" ca="1" si="47"/>
        <v>0</v>
      </c>
      <c r="W206" s="55">
        <f t="shared" ca="1" si="52"/>
        <v>-106.0017594382512</v>
      </c>
      <c r="X206" s="55">
        <f t="shared" ca="1" si="53"/>
        <v>40.480998016786479</v>
      </c>
      <c r="Y206" s="55">
        <f t="shared" ca="1" si="54"/>
        <v>-5.2755796629960363</v>
      </c>
      <c r="Z206">
        <f t="shared" ca="1" si="48"/>
        <v>93.557540390085876</v>
      </c>
      <c r="AA206">
        <f t="shared" ca="1" si="55"/>
        <v>401.56471202479486</v>
      </c>
      <c r="AB206">
        <f t="shared" ca="1" si="49"/>
        <v>0</v>
      </c>
      <c r="AC206">
        <f t="shared" ca="1" si="50"/>
        <v>0.99999963328113306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68.361924504813913</v>
      </c>
      <c r="U207" s="55">
        <f t="shared" ca="1" si="46"/>
        <v>283.704550420597</v>
      </c>
      <c r="V207" s="55">
        <f t="shared" ca="1" si="47"/>
        <v>0</v>
      </c>
      <c r="W207" s="55">
        <f t="shared" ca="1" si="52"/>
        <v>-106.0017594382512</v>
      </c>
      <c r="X207" s="55">
        <f t="shared" ca="1" si="53"/>
        <v>40.693126352860958</v>
      </c>
      <c r="Y207" s="55">
        <f t="shared" ca="1" si="54"/>
        <v>-5.2665612110040465</v>
      </c>
      <c r="Z207">
        <f t="shared" ca="1" si="48"/>
        <v>94.98254095065586</v>
      </c>
      <c r="AA207">
        <f t="shared" ca="1" si="55"/>
        <v>401.56471202479486</v>
      </c>
      <c r="AB207">
        <f t="shared" ca="1" si="49"/>
        <v>0</v>
      </c>
      <c r="AC207">
        <f t="shared" ca="1" si="50"/>
        <v>0.99999971967451007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64.651131594434176</v>
      </c>
      <c r="U208" s="55">
        <f t="shared" ca="1" si="46"/>
        <v>287.64736318474831</v>
      </c>
      <c r="V208" s="55">
        <f t="shared" ca="1" si="47"/>
        <v>0</v>
      </c>
      <c r="W208" s="55">
        <f t="shared" ca="1" si="52"/>
        <v>-106.0017594382512</v>
      </c>
      <c r="X208" s="55">
        <f t="shared" ca="1" si="53"/>
        <v>40.916047334379073</v>
      </c>
      <c r="Y208" s="55">
        <f t="shared" ca="1" si="54"/>
        <v>-5.2574623387505826</v>
      </c>
      <c r="Z208">
        <f t="shared" ca="1" si="48"/>
        <v>97.132541318093359</v>
      </c>
      <c r="AA208">
        <f t="shared" ca="1" si="55"/>
        <v>401.56471202479486</v>
      </c>
      <c r="AB208">
        <f t="shared" ca="1" si="49"/>
        <v>0</v>
      </c>
      <c r="AC208">
        <f t="shared" ca="1" si="50"/>
        <v>0.99999978765430764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61.098899352812765</v>
      </c>
      <c r="U209" s="55">
        <f t="shared" ca="1" si="46"/>
        <v>291.43611706073477</v>
      </c>
      <c r="V209" s="55">
        <f t="shared" ca="1" si="47"/>
        <v>0</v>
      </c>
      <c r="W209" s="55">
        <f t="shared" ca="1" si="52"/>
        <v>-106.0017594382512</v>
      </c>
      <c r="X209" s="55">
        <f t="shared" ca="1" si="53"/>
        <v>41.143423611049968</v>
      </c>
      <c r="Y209" s="55">
        <f t="shared" ca="1" si="54"/>
        <v>-5.2483169810564352</v>
      </c>
      <c r="Z209">
        <f t="shared" ca="1" si="48"/>
        <v>96.944104025029162</v>
      </c>
      <c r="AA209">
        <f t="shared" ca="1" si="55"/>
        <v>401.56471202479486</v>
      </c>
      <c r="AB209">
        <f t="shared" ca="1" si="49"/>
        <v>0</v>
      </c>
      <c r="AC209">
        <f t="shared" ca="1" si="50"/>
        <v>0.9785022276491635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57.921754339350294</v>
      </c>
      <c r="U210" s="55">
        <f t="shared" ref="U210:U273" ca="1" si="64">VLOOKUP(S210,ModelOutputs,7,FALSE)</f>
        <v>294.84251136886087</v>
      </c>
      <c r="V210" s="55">
        <f t="shared" ref="V210:V273" ca="1" si="65">VLOOKUP(S210,ModelOutputs,6,FALSE)</f>
        <v>0</v>
      </c>
      <c r="W210" s="55">
        <f t="shared" ca="1" si="52"/>
        <v>-106.0017594382512</v>
      </c>
      <c r="X210" s="55">
        <f t="shared" ca="1" si="53"/>
        <v>41.363867658288825</v>
      </c>
      <c r="Y210" s="55">
        <f t="shared" ca="1" si="54"/>
        <v>-5.2395117336316677</v>
      </c>
      <c r="Z210">
        <f t="shared" ref="Z210:Z273" ca="1" si="66">VLOOKUP(S210,ModelOutputs,10,FALSE)*AWC</f>
        <v>96.881009606675264</v>
      </c>
      <c r="AA210">
        <f t="shared" ca="1" si="55"/>
        <v>401.56471202479486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0.94974209244036034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54.859126037184424</v>
      </c>
      <c r="U211" s="55">
        <f t="shared" ca="1" si="64"/>
        <v>298.1354112321784</v>
      </c>
      <c r="V211" s="55">
        <f t="shared" ca="1" si="65"/>
        <v>0</v>
      </c>
      <c r="W211" s="55">
        <f t="shared" ref="W211:W274" ca="1" si="70">-VLOOKUP(S211,ModelOutputs,9,FALSE)+W210</f>
        <v>-106.0017594382512</v>
      </c>
      <c r="X211" s="55">
        <f t="shared" ref="X211:X274" ca="1" si="71">VLOOKUP(S211,ModelOutputs,5,FALSE)+X210</f>
        <v>41.585234277130439</v>
      </c>
      <c r="Y211" s="55">
        <f t="shared" ref="Y211:Y274" ca="1" si="72">VLOOKUP(S211,ModelOutputs,4,FALSE)+Y210</f>
        <v>-5.2306067913216197</v>
      </c>
      <c r="Z211">
        <f t="shared" ca="1" si="66"/>
        <v>94.556070712546713</v>
      </c>
      <c r="AA211">
        <f t="shared" ref="AA211:AA274" ca="1" si="73">VLOOKUP(S211,ModelOutputs,11,FALSE)+AA210</f>
        <v>401.56471202479486</v>
      </c>
      <c r="AB211">
        <f t="shared" ca="1" si="67"/>
        <v>0</v>
      </c>
      <c r="AC211">
        <f t="shared" ca="1" si="68"/>
        <v>0.91990767256527317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51.990928974844898</v>
      </c>
      <c r="U212" s="55">
        <f t="shared" ca="1" si="64"/>
        <v>301.22462103999595</v>
      </c>
      <c r="V212" s="55">
        <f t="shared" ca="1" si="65"/>
        <v>0</v>
      </c>
      <c r="W212" s="55">
        <f t="shared" ca="1" si="70"/>
        <v>-106.0017594382512</v>
      </c>
      <c r="X212" s="55">
        <f t="shared" ca="1" si="71"/>
        <v>41.797398311599181</v>
      </c>
      <c r="Y212" s="55">
        <f t="shared" ca="1" si="72"/>
        <v>-5.2217580803123322</v>
      </c>
      <c r="Z212">
        <f t="shared" ca="1" si="66"/>
        <v>89.90941712524851</v>
      </c>
      <c r="AA212">
        <f t="shared" ca="1" si="73"/>
        <v>401.56471202479486</v>
      </c>
      <c r="AB212">
        <f t="shared" ca="1" si="67"/>
        <v>0</v>
      </c>
      <c r="AC212">
        <f t="shared" ca="1" si="68"/>
        <v>0.88976631421410468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49.358585315707693</v>
      </c>
      <c r="U213" s="55">
        <f t="shared" ca="1" si="64"/>
        <v>304.07866922672389</v>
      </c>
      <c r="V213" s="55">
        <f t="shared" ca="1" si="65"/>
        <v>0</v>
      </c>
      <c r="W213" s="55">
        <f t="shared" ca="1" si="70"/>
        <v>-106.0017594382512</v>
      </c>
      <c r="X213" s="55">
        <f t="shared" ca="1" si="71"/>
        <v>42.010389682650057</v>
      </c>
      <c r="Y213" s="55">
        <f t="shared" ca="1" si="72"/>
        <v>-5.2130449237724772</v>
      </c>
      <c r="Z213">
        <f t="shared" ca="1" si="66"/>
        <v>90.492212675071457</v>
      </c>
      <c r="AA213">
        <f t="shared" ca="1" si="73"/>
        <v>401.56471202479486</v>
      </c>
      <c r="AB213">
        <f t="shared" ca="1" si="67"/>
        <v>0</v>
      </c>
      <c r="AC213">
        <f t="shared" ca="1" si="68"/>
        <v>0.85971703740576089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46.99126906457888</v>
      </c>
      <c r="U214" s="55">
        <f t="shared" ca="1" si="64"/>
        <v>306.6598505332035</v>
      </c>
      <c r="V214" s="55">
        <f t="shared" ca="1" si="65"/>
        <v>0</v>
      </c>
      <c r="W214" s="55">
        <f t="shared" ca="1" si="70"/>
        <v>-106.0017594382512</v>
      </c>
      <c r="X214" s="55">
        <f t="shared" ca="1" si="71"/>
        <v>42.215792655377967</v>
      </c>
      <c r="Y214" s="55">
        <f t="shared" ca="1" si="72"/>
        <v>-5.2045828411495956</v>
      </c>
      <c r="Z214">
        <f t="shared" ca="1" si="66"/>
        <v>88.942636372810668</v>
      </c>
      <c r="AA214">
        <f t="shared" ca="1" si="73"/>
        <v>401.56471202479486</v>
      </c>
      <c r="AB214">
        <f t="shared" ca="1" si="67"/>
        <v>0</v>
      </c>
      <c r="AC214">
        <f t="shared" ca="1" si="68"/>
        <v>0.83037371909240365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44.824342893926946</v>
      </c>
      <c r="U215" s="55">
        <f t="shared" ca="1" si="64"/>
        <v>309.0371388149166</v>
      </c>
      <c r="V215" s="55">
        <f t="shared" ca="1" si="65"/>
        <v>0</v>
      </c>
      <c r="W215" s="55">
        <f t="shared" ca="1" si="70"/>
        <v>-106.0017594382512</v>
      </c>
      <c r="X215" s="55">
        <f t="shared" ca="1" si="71"/>
        <v>42.41783272760172</v>
      </c>
      <c r="Y215" s="55">
        <f t="shared" ca="1" si="72"/>
        <v>-5.1962608023121737</v>
      </c>
      <c r="Z215">
        <f t="shared" ca="1" si="66"/>
        <v>87.824476728741729</v>
      </c>
      <c r="AA215">
        <f t="shared" ca="1" si="73"/>
        <v>401.56471202479486</v>
      </c>
      <c r="AB215">
        <f t="shared" ca="1" si="67"/>
        <v>0</v>
      </c>
      <c r="AC215">
        <f t="shared" ca="1" si="68"/>
        <v>0.80118387001708702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42.75607989799159</v>
      </c>
      <c r="U216" s="55">
        <f t="shared" ca="1" si="64"/>
        <v>311.31334491969591</v>
      </c>
      <c r="V216" s="55">
        <f t="shared" ca="1" si="65"/>
        <v>0</v>
      </c>
      <c r="W216" s="55">
        <f t="shared" ca="1" si="70"/>
        <v>-106.0017594382512</v>
      </c>
      <c r="X216" s="55">
        <f t="shared" ca="1" si="71"/>
        <v>42.617363052763729</v>
      </c>
      <c r="Y216" s="55">
        <f t="shared" ca="1" si="72"/>
        <v>-5.1878480186302358</v>
      </c>
      <c r="Z216">
        <f t="shared" ca="1" si="66"/>
        <v>84.036067760026185</v>
      </c>
      <c r="AA216">
        <f t="shared" ca="1" si="73"/>
        <v>401.56471202479486</v>
      </c>
      <c r="AB216">
        <f t="shared" ca="1" si="67"/>
        <v>0</v>
      </c>
      <c r="AC216">
        <f t="shared" ca="1" si="68"/>
        <v>0.77091973627548616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40.811430311339983</v>
      </c>
      <c r="U217" s="55">
        <f t="shared" ca="1" si="64"/>
        <v>313.47682213684391</v>
      </c>
      <c r="V217" s="55">
        <f t="shared" ca="1" si="65"/>
        <v>0</v>
      </c>
      <c r="W217" s="55">
        <f t="shared" ca="1" si="70"/>
        <v>-106.0017594382512</v>
      </c>
      <c r="X217" s="55">
        <f t="shared" ca="1" si="71"/>
        <v>42.827701125060507</v>
      </c>
      <c r="Y217" s="55">
        <f t="shared" ca="1" si="72"/>
        <v>-5.179358460430624</v>
      </c>
      <c r="Z217">
        <f t="shared" ca="1" si="66"/>
        <v>86.337968763583802</v>
      </c>
      <c r="AA217">
        <f t="shared" ca="1" si="73"/>
        <v>401.56471202479486</v>
      </c>
      <c r="AB217">
        <f t="shared" ca="1" si="67"/>
        <v>0</v>
      </c>
      <c r="AC217">
        <f t="shared" ca="1" si="68"/>
        <v>0.73964270556281753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39.102622921905997</v>
      </c>
      <c r="U218" s="55">
        <f t="shared" ca="1" si="64"/>
        <v>315.39032027260345</v>
      </c>
      <c r="V218" s="55">
        <f t="shared" ca="1" si="65"/>
        <v>0</v>
      </c>
      <c r="W218" s="55">
        <f t="shared" ca="1" si="70"/>
        <v>-106.0017594382512</v>
      </c>
      <c r="X218" s="55">
        <f t="shared" ca="1" si="71"/>
        <v>43.024236493096367</v>
      </c>
      <c r="Y218" s="55">
        <f t="shared" ca="1" si="72"/>
        <v>-5.1712030821409289</v>
      </c>
      <c r="Z218">
        <f t="shared" ca="1" si="66"/>
        <v>83.045743730379499</v>
      </c>
      <c r="AA218">
        <f t="shared" ca="1" si="73"/>
        <v>401.56471202479486</v>
      </c>
      <c r="AB218">
        <f t="shared" ca="1" si="67"/>
        <v>0</v>
      </c>
      <c r="AC218">
        <f t="shared" ca="1" si="68"/>
        <v>0.70953204105925749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37.599251982561832</v>
      </c>
      <c r="U219" s="55">
        <f t="shared" ca="1" si="64"/>
        <v>317.08553707140061</v>
      </c>
      <c r="V219" s="55">
        <f t="shared" ca="1" si="65"/>
        <v>0</v>
      </c>
      <c r="W219" s="55">
        <f t="shared" ca="1" si="70"/>
        <v>-106.0017594382512</v>
      </c>
      <c r="X219" s="55">
        <f t="shared" ca="1" si="71"/>
        <v>43.208240178013988</v>
      </c>
      <c r="Y219" s="55">
        <f t="shared" ca="1" si="72"/>
        <v>-5.1633609076055524</v>
      </c>
      <c r="Z219">
        <f t="shared" ca="1" si="66"/>
        <v>79.902422506979264</v>
      </c>
      <c r="AA219">
        <f t="shared" ca="1" si="73"/>
        <v>401.56471202479486</v>
      </c>
      <c r="AB219">
        <f t="shared" ca="1" si="67"/>
        <v>0</v>
      </c>
      <c r="AC219">
        <f t="shared" ca="1" si="68"/>
        <v>0.68055704891719737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36.224609900602701</v>
      </c>
      <c r="U220" s="55">
        <f t="shared" ca="1" si="64"/>
        <v>318.64251309146164</v>
      </c>
      <c r="V220" s="55">
        <f t="shared" ca="1" si="65"/>
        <v>0</v>
      </c>
      <c r="W220" s="55">
        <f t="shared" ca="1" si="70"/>
        <v>-106.0017594382512</v>
      </c>
      <c r="X220" s="55">
        <f t="shared" ca="1" si="71"/>
        <v>43.382852202647712</v>
      </c>
      <c r="Y220" s="55">
        <f t="shared" ca="1" si="72"/>
        <v>-5.1556389941373784</v>
      </c>
      <c r="Z220">
        <f t="shared" ca="1" si="66"/>
        <v>75.41515294105487</v>
      </c>
      <c r="AA220">
        <f t="shared" ca="1" si="73"/>
        <v>401.56471202479486</v>
      </c>
      <c r="AB220">
        <f t="shared" ca="1" si="67"/>
        <v>0</v>
      </c>
      <c r="AC220">
        <f t="shared" ca="1" si="68"/>
        <v>0.65167413831796184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34.914517892149661</v>
      </c>
      <c r="U221" s="55">
        <f t="shared" ca="1" si="64"/>
        <v>320.13729001683703</v>
      </c>
      <c r="V221" s="55">
        <f t="shared" ca="1" si="65"/>
        <v>0</v>
      </c>
      <c r="W221" s="55">
        <f t="shared" ca="1" si="70"/>
        <v>-106.0017594382512</v>
      </c>
      <c r="X221" s="55">
        <f t="shared" ca="1" si="71"/>
        <v>43.559694518698571</v>
      </c>
      <c r="Y221" s="55">
        <f t="shared" ca="1" si="72"/>
        <v>-5.1477963932658835</v>
      </c>
      <c r="Z221">
        <f t="shared" ca="1" si="66"/>
        <v>73.387049216584515</v>
      </c>
      <c r="AA221">
        <f t="shared" ca="1" si="73"/>
        <v>401.56471202479486</v>
      </c>
      <c r="AB221">
        <f t="shared" ca="1" si="67"/>
        <v>0</v>
      </c>
      <c r="AC221">
        <f t="shared" ca="1" si="68"/>
        <v>0.62150208611918534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33.720087192956377</v>
      </c>
      <c r="U222" s="55">
        <f t="shared" ca="1" si="64"/>
        <v>321.51664730082314</v>
      </c>
      <c r="V222" s="55">
        <f t="shared" ca="1" si="65"/>
        <v>0</v>
      </c>
      <c r="W222" s="55">
        <f t="shared" ca="1" si="70"/>
        <v>-106.0017594382512</v>
      </c>
      <c r="X222" s="55">
        <f t="shared" ca="1" si="71"/>
        <v>43.736849003521364</v>
      </c>
      <c r="Y222" s="55">
        <f t="shared" ca="1" si="72"/>
        <v>-5.140024293295852</v>
      </c>
      <c r="Z222">
        <f t="shared" ca="1" si="66"/>
        <v>73.021645359619953</v>
      </c>
      <c r="AA222">
        <f t="shared" ca="1" si="73"/>
        <v>401.56471202479486</v>
      </c>
      <c r="AB222">
        <f t="shared" ca="1" si="67"/>
        <v>0</v>
      </c>
      <c r="AC222">
        <f t="shared" ca="1" si="68"/>
        <v>0.59111517698715221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32.62325495510828</v>
      </c>
      <c r="U223" s="55">
        <f t="shared" ca="1" si="64"/>
        <v>322.80711026520282</v>
      </c>
      <c r="V223" s="55">
        <f t="shared" ca="1" si="65"/>
        <v>0</v>
      </c>
      <c r="W223" s="55">
        <f t="shared" ca="1" si="70"/>
        <v>-106.0017594382512</v>
      </c>
      <c r="X223" s="55">
        <f t="shared" ca="1" si="71"/>
        <v>43.922693093520152</v>
      </c>
      <c r="Y223" s="55">
        <f t="shared" ca="1" si="72"/>
        <v>-5.1322376567630501</v>
      </c>
      <c r="Z223">
        <f t="shared" ca="1" si="66"/>
        <v>75.61491376677661</v>
      </c>
      <c r="AA223">
        <f t="shared" ca="1" si="73"/>
        <v>401.56471202479486</v>
      </c>
      <c r="AB223">
        <f t="shared" ca="1" si="67"/>
        <v>0</v>
      </c>
      <c r="AC223">
        <f t="shared" ca="1" si="68"/>
        <v>0.56002230936013242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31.616061321097561</v>
      </c>
      <c r="U224" s="55">
        <f t="shared" ca="1" si="64"/>
        <v>324.01037915478662</v>
      </c>
      <c r="V224" s="55">
        <f t="shared" ca="1" si="65"/>
        <v>0</v>
      </c>
      <c r="W224" s="55">
        <f t="shared" ca="1" si="70"/>
        <v>-106.0017594382512</v>
      </c>
      <c r="X224" s="55">
        <f t="shared" ca="1" si="71"/>
        <v>44.110969274072083</v>
      </c>
      <c r="Y224" s="55">
        <f t="shared" ca="1" si="72"/>
        <v>-5.1244385817419014</v>
      </c>
      <c r="Z224">
        <f t="shared" ca="1" si="66"/>
        <v>75.083725746659638</v>
      </c>
      <c r="AA224">
        <f t="shared" ca="1" si="73"/>
        <v>401.56471202479486</v>
      </c>
      <c r="AB224">
        <f t="shared" ca="1" si="67"/>
        <v>0</v>
      </c>
      <c r="AC224">
        <f t="shared" ca="1" si="68"/>
        <v>0.52822348323812585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30.726712886052702</v>
      </c>
      <c r="U225" s="55">
        <f t="shared" ca="1" si="64"/>
        <v>325.09036420761419</v>
      </c>
      <c r="V225" s="55">
        <f t="shared" ca="1" si="65"/>
        <v>0</v>
      </c>
      <c r="W225" s="55">
        <f t="shared" ca="1" si="70"/>
        <v>-106.0017594382512</v>
      </c>
      <c r="X225" s="55">
        <f t="shared" ca="1" si="71"/>
        <v>44.293998075281664</v>
      </c>
      <c r="Y225" s="55">
        <f t="shared" ca="1" si="72"/>
        <v>-5.1168307651687748</v>
      </c>
      <c r="Z225">
        <f t="shared" ca="1" si="66"/>
        <v>73.649198278615614</v>
      </c>
      <c r="AA225">
        <f t="shared" ca="1" si="73"/>
        <v>401.56471202479486</v>
      </c>
      <c r="AB225">
        <f t="shared" ca="1" si="67"/>
        <v>0</v>
      </c>
      <c r="AC225">
        <f t="shared" ca="1" si="68"/>
        <v>0.49688506483024097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29.884185907618328</v>
      </c>
      <c r="U226" s="55">
        <f t="shared" ca="1" si="64"/>
        <v>326.13079109483886</v>
      </c>
      <c r="V226" s="55">
        <f t="shared" ca="1" si="65"/>
        <v>0</v>
      </c>
      <c r="W226" s="55">
        <f t="shared" ca="1" si="70"/>
        <v>-106.0017594382512</v>
      </c>
      <c r="X226" s="55">
        <f t="shared" ca="1" si="71"/>
        <v>44.484072115216996</v>
      </c>
      <c r="Y226" s="55">
        <f t="shared" ca="1" si="72"/>
        <v>-5.1090048963138139</v>
      </c>
      <c r="Z226">
        <f t="shared" ca="1" si="66"/>
        <v>72.502882688834276</v>
      </c>
      <c r="AA226">
        <f t="shared" ca="1" si="73"/>
        <v>401.56471202479486</v>
      </c>
      <c r="AB226">
        <f t="shared" ca="1" si="67"/>
        <v>0</v>
      </c>
      <c r="AC226">
        <f t="shared" ca="1" si="68"/>
        <v>0.46364362787065305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29.132360134947159</v>
      </c>
      <c r="U227" s="55">
        <f t="shared" ca="1" si="64"/>
        <v>327.07653281007731</v>
      </c>
      <c r="V227" s="55">
        <f t="shared" ca="1" si="65"/>
        <v>0</v>
      </c>
      <c r="W227" s="55">
        <f t="shared" ca="1" si="70"/>
        <v>-106.0017594382512</v>
      </c>
      <c r="X227" s="55">
        <f t="shared" ca="1" si="71"/>
        <v>44.67025275183876</v>
      </c>
      <c r="Y227" s="55">
        <f t="shared" ca="1" si="72"/>
        <v>-5.1012695903682905</v>
      </c>
      <c r="Z227">
        <f t="shared" ca="1" si="66"/>
        <v>70.278113869749319</v>
      </c>
      <c r="AA227">
        <f t="shared" ca="1" si="73"/>
        <v>401.56471202479486</v>
      </c>
      <c r="AB227">
        <f t="shared" ca="1" si="67"/>
        <v>0</v>
      </c>
      <c r="AC227">
        <f t="shared" ca="1" si="68"/>
        <v>0.43024872167302464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28.494879781958737</v>
      </c>
      <c r="U228" s="55">
        <f t="shared" ca="1" si="64"/>
        <v>327.90461462141053</v>
      </c>
      <c r="V228" s="55">
        <f t="shared" ca="1" si="65"/>
        <v>0</v>
      </c>
      <c r="W228" s="55">
        <f t="shared" ca="1" si="70"/>
        <v>-106.0017594382512</v>
      </c>
      <c r="X228" s="55">
        <f t="shared" ca="1" si="71"/>
        <v>44.853421789480777</v>
      </c>
      <c r="Y228" s="55">
        <f t="shared" ca="1" si="72"/>
        <v>-5.0938371696655089</v>
      </c>
      <c r="Z228">
        <f t="shared" ca="1" si="66"/>
        <v>71.434757295816581</v>
      </c>
      <c r="AA228">
        <f t="shared" ca="1" si="73"/>
        <v>401.56471202479486</v>
      </c>
      <c r="AB228">
        <f t="shared" ca="1" si="67"/>
        <v>0</v>
      </c>
      <c r="AC228">
        <f t="shared" ca="1" si="68"/>
        <v>0.39795879398928835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27.948007283559459</v>
      </c>
      <c r="U229" s="55">
        <f t="shared" ca="1" si="64"/>
        <v>328.64993804661265</v>
      </c>
      <c r="V229" s="55">
        <f t="shared" ca="1" si="65"/>
        <v>0</v>
      </c>
      <c r="W229" s="55">
        <f t="shared" ca="1" si="70"/>
        <v>-106.0017594382512</v>
      </c>
      <c r="X229" s="55">
        <f t="shared" ca="1" si="71"/>
        <v>45.044590010229555</v>
      </c>
      <c r="Y229" s="55">
        <f t="shared" ca="1" si="72"/>
        <v>-5.0865544636114493</v>
      </c>
      <c r="Z229">
        <f t="shared" ca="1" si="66"/>
        <v>75.866241288931349</v>
      </c>
      <c r="AA229">
        <f t="shared" ca="1" si="73"/>
        <v>401.56471202479486</v>
      </c>
      <c r="AB229">
        <f t="shared" ca="1" si="67"/>
        <v>0</v>
      </c>
      <c r="AC229">
        <f t="shared" ca="1" si="68"/>
        <v>0.36591441708641681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27.463711681370285</v>
      </c>
      <c r="U230" s="55">
        <f t="shared" ca="1" si="64"/>
        <v>329.33263785409173</v>
      </c>
      <c r="V230" s="55">
        <f t="shared" ca="1" si="65"/>
        <v>0</v>
      </c>
      <c r="W230" s="55">
        <f t="shared" ca="1" si="70"/>
        <v>-106.0017594382512</v>
      </c>
      <c r="X230" s="55">
        <f t="shared" ca="1" si="71"/>
        <v>45.235764010693281</v>
      </c>
      <c r="Y230" s="55">
        <f t="shared" ca="1" si="72"/>
        <v>-5.0793242587852721</v>
      </c>
      <c r="Z230">
        <f t="shared" ca="1" si="66"/>
        <v>75.062233889140032</v>
      </c>
      <c r="AA230">
        <f t="shared" ca="1" si="73"/>
        <v>401.56471202479486</v>
      </c>
      <c r="AB230">
        <f t="shared" ca="1" si="67"/>
        <v>0</v>
      </c>
      <c r="AC230">
        <f t="shared" ca="1" si="68"/>
        <v>0.33353240785985638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27.032129050359313</v>
      </c>
      <c r="U231" s="55">
        <f t="shared" ca="1" si="64"/>
        <v>329.96645834766974</v>
      </c>
      <c r="V231" s="55">
        <f t="shared" ca="1" si="65"/>
        <v>0</v>
      </c>
      <c r="W231" s="55">
        <f t="shared" ca="1" si="70"/>
        <v>-106.0017594382512</v>
      </c>
      <c r="X231" s="55">
        <f t="shared" ca="1" si="71"/>
        <v>45.430740471786862</v>
      </c>
      <c r="Y231" s="55">
        <f t="shared" ca="1" si="72"/>
        <v>-5.0720628573118125</v>
      </c>
      <c r="Z231">
        <f t="shared" ca="1" si="66"/>
        <v>74.793080340131681</v>
      </c>
      <c r="AA231">
        <f t="shared" ca="1" si="73"/>
        <v>401.56471202479486</v>
      </c>
      <c r="AB231">
        <f t="shared" ca="1" si="67"/>
        <v>0</v>
      </c>
      <c r="AC231">
        <f t="shared" ca="1" si="68"/>
        <v>0.30029097090026835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26.647258267609356</v>
      </c>
      <c r="U232" s="55">
        <f t="shared" ca="1" si="64"/>
        <v>330.55122130554582</v>
      </c>
      <c r="V232" s="55">
        <f t="shared" ca="1" si="65"/>
        <v>0</v>
      </c>
      <c r="W232" s="55">
        <f t="shared" ca="1" si="70"/>
        <v>-106.0017594382512</v>
      </c>
      <c r="X232" s="55">
        <f t="shared" ca="1" si="71"/>
        <v>45.62335739400293</v>
      </c>
      <c r="Y232" s="55">
        <f t="shared" ca="1" si="72"/>
        <v>-5.0647876044017526</v>
      </c>
      <c r="Z232">
        <f t="shared" ca="1" si="66"/>
        <v>71.891725025029245</v>
      </c>
      <c r="AA232">
        <f t="shared" ca="1" si="73"/>
        <v>401.56471202479486</v>
      </c>
      <c r="AB232">
        <f t="shared" ca="1" si="67"/>
        <v>0</v>
      </c>
      <c r="AC232">
        <f t="shared" ca="1" si="68"/>
        <v>0.26628218775047752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26.324124845086523</v>
      </c>
      <c r="U233" s="55">
        <f t="shared" ca="1" si="64"/>
        <v>331.09616071087436</v>
      </c>
      <c r="V233" s="55">
        <f t="shared" ca="1" si="65"/>
        <v>0</v>
      </c>
      <c r="W233" s="55">
        <f t="shared" ca="1" si="70"/>
        <v>-106.0017594382512</v>
      </c>
      <c r="X233" s="55">
        <f t="shared" ca="1" si="71"/>
        <v>45.837795894929528</v>
      </c>
      <c r="Y233" s="55">
        <f t="shared" ca="1" si="72"/>
        <v>-5.0574201225226467</v>
      </c>
      <c r="Z233">
        <f t="shared" ca="1" si="66"/>
        <v>78.614243851622149</v>
      </c>
      <c r="AA233">
        <f t="shared" ca="1" si="73"/>
        <v>401.56471202479486</v>
      </c>
      <c r="AB233">
        <f t="shared" ca="1" si="67"/>
        <v>0</v>
      </c>
      <c r="AC233">
        <f t="shared" ca="1" si="68"/>
        <v>0.23101495684875417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26.044127690710965</v>
      </c>
      <c r="U234" s="55">
        <f t="shared" ca="1" si="64"/>
        <v>331.59637709775296</v>
      </c>
      <c r="V234" s="55">
        <f t="shared" ca="1" si="65"/>
        <v>0</v>
      </c>
      <c r="W234" s="55">
        <f t="shared" ca="1" si="70"/>
        <v>-106.0017594382512</v>
      </c>
      <c r="X234" s="55">
        <f t="shared" ca="1" si="71"/>
        <v>46.050619225938732</v>
      </c>
      <c r="Y234" s="55">
        <f t="shared" ca="1" si="72"/>
        <v>-5.0500242210288047</v>
      </c>
      <c r="Z234">
        <f t="shared" ca="1" si="66"/>
        <v>75.882725855363873</v>
      </c>
      <c r="AA234">
        <f t="shared" ca="1" si="73"/>
        <v>401.56471202479486</v>
      </c>
      <c r="AB234">
        <f t="shared" ca="1" si="67"/>
        <v>0</v>
      </c>
      <c r="AC234">
        <f t="shared" ca="1" si="68"/>
        <v>0.19485760436639554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25.838203540374515</v>
      </c>
      <c r="U235" s="55">
        <f t="shared" ca="1" si="64"/>
        <v>332.04524911785825</v>
      </c>
      <c r="V235" s="55">
        <f t="shared" ca="1" si="65"/>
        <v>0</v>
      </c>
      <c r="W235" s="55">
        <f t="shared" ca="1" si="70"/>
        <v>-106.0017594382512</v>
      </c>
      <c r="X235" s="55">
        <f t="shared" ca="1" si="71"/>
        <v>46.286266860133985</v>
      </c>
      <c r="Y235" s="55">
        <f t="shared" ca="1" si="72"/>
        <v>-5.0427239854552237</v>
      </c>
      <c r="Z235">
        <f t="shared" ca="1" si="66"/>
        <v>84.715124164524525</v>
      </c>
      <c r="AA235">
        <f t="shared" ca="1" si="73"/>
        <v>401.56471202479486</v>
      </c>
      <c r="AB235">
        <f t="shared" ca="1" si="67"/>
        <v>0</v>
      </c>
      <c r="AC235">
        <f t="shared" ca="1" si="68"/>
        <v>0.15854678264599609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25.696133853714429</v>
      </c>
      <c r="U236" s="55">
        <f t="shared" ca="1" si="64"/>
        <v>332.44035758690558</v>
      </c>
      <c r="V236" s="55">
        <f t="shared" ca="1" si="65"/>
        <v>0</v>
      </c>
      <c r="W236" s="55">
        <f t="shared" ca="1" si="70"/>
        <v>-106.0017594382512</v>
      </c>
      <c r="X236" s="55">
        <f t="shared" ca="1" si="71"/>
        <v>46.532213567730182</v>
      </c>
      <c r="Y236" s="55">
        <f t="shared" ca="1" si="72"/>
        <v>-5.0356319106641791</v>
      </c>
      <c r="Z236">
        <f t="shared" ca="1" si="66"/>
        <v>89.878411421941195</v>
      </c>
      <c r="AA236">
        <f t="shared" ca="1" si="73"/>
        <v>401.56471202479486</v>
      </c>
      <c r="AB236">
        <f t="shared" ca="1" si="67"/>
        <v>0</v>
      </c>
      <c r="AC236">
        <f t="shared" ca="1" si="68"/>
        <v>0.12278845018254292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25.599934585151367</v>
      </c>
      <c r="U237" s="55">
        <f t="shared" ca="1" si="64"/>
        <v>332.79458962987843</v>
      </c>
      <c r="V237" s="55">
        <f t="shared" ca="1" si="65"/>
        <v>0</v>
      </c>
      <c r="W237" s="55">
        <f t="shared" ca="1" si="70"/>
        <v>-106.0017594382512</v>
      </c>
      <c r="X237" s="55">
        <f t="shared" ca="1" si="71"/>
        <v>46.783255140648542</v>
      </c>
      <c r="Y237" s="55">
        <f t="shared" ca="1" si="72"/>
        <v>-5.028640709172743</v>
      </c>
      <c r="Z237">
        <f t="shared" ca="1" si="66"/>
        <v>91.533858291647036</v>
      </c>
      <c r="AA237">
        <f t="shared" ca="1" si="73"/>
        <v>401.56471202479486</v>
      </c>
      <c r="AB237">
        <f t="shared" ca="1" si="67"/>
        <v>0</v>
      </c>
      <c r="AC237">
        <f t="shared" ca="1" si="68"/>
        <v>8.693803617626561E-2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25.549984870660001</v>
      </c>
      <c r="U238" s="55">
        <f t="shared" ca="1" si="64"/>
        <v>333.09788191838226</v>
      </c>
      <c r="V238" s="55">
        <f t="shared" ca="1" si="65"/>
        <v>0</v>
      </c>
      <c r="W238" s="55">
        <f t="shared" ca="1" si="70"/>
        <v>-106.0017594382512</v>
      </c>
      <c r="X238" s="55">
        <f t="shared" ca="1" si="71"/>
        <v>47.029962174142419</v>
      </c>
      <c r="Y238" s="55">
        <f t="shared" ca="1" si="72"/>
        <v>-5.0220051686541556</v>
      </c>
      <c r="Z238">
        <f t="shared" ca="1" si="66"/>
        <v>93.706061622856083</v>
      </c>
      <c r="AA238">
        <f t="shared" ca="1" si="73"/>
        <v>401.56471202479486</v>
      </c>
      <c r="AB238">
        <f t="shared" ca="1" si="67"/>
        <v>0</v>
      </c>
      <c r="AC238">
        <f t="shared" ca="1" si="68"/>
        <v>5.2683702245610031E-2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25.525878981943134</v>
      </c>
      <c r="U239" s="55">
        <f t="shared" ca="1" si="64"/>
        <v>333.36914021806234</v>
      </c>
      <c r="V239" s="55">
        <f t="shared" ca="1" si="65"/>
        <v>0</v>
      </c>
      <c r="W239" s="55">
        <f t="shared" ca="1" si="70"/>
        <v>-106.0017594382512</v>
      </c>
      <c r="X239" s="55">
        <f t="shared" ca="1" si="71"/>
        <v>47.2706062025009</v>
      </c>
      <c r="Y239" s="55">
        <f t="shared" ca="1" si="72"/>
        <v>-5.0154967860494244</v>
      </c>
      <c r="Z239">
        <f t="shared" ca="1" si="66"/>
        <v>91.794137917314998</v>
      </c>
      <c r="AA239">
        <f t="shared" ca="1" si="73"/>
        <v>401.56471202479486</v>
      </c>
      <c r="AB239">
        <f t="shared" ca="1" si="67"/>
        <v>0</v>
      </c>
      <c r="AC239">
        <f t="shared" ca="1" si="68"/>
        <v>1.8582837552994946E-2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25.517235048398327</v>
      </c>
      <c r="U240" s="55">
        <f t="shared" ca="1" si="64"/>
        <v>333.62239516006764</v>
      </c>
      <c r="V240" s="55">
        <f t="shared" ca="1" si="65"/>
        <v>0</v>
      </c>
      <c r="W240" s="55">
        <f t="shared" ca="1" si="70"/>
        <v>-106.0017594382512</v>
      </c>
      <c r="X240" s="55">
        <f t="shared" ca="1" si="71"/>
        <v>47.508605581749833</v>
      </c>
      <c r="Y240" s="55">
        <f t="shared" ca="1" si="72"/>
        <v>-5.0088851568378612</v>
      </c>
      <c r="Z240">
        <f t="shared" ca="1" si="66"/>
        <v>87.463541726023877</v>
      </c>
      <c r="AA240">
        <f t="shared" ca="1" si="73"/>
        <v>401.56471202479486</v>
      </c>
      <c r="AB240">
        <f t="shared" ca="1" si="67"/>
        <v>0</v>
      </c>
      <c r="AC240">
        <f t="shared" ca="1" si="68"/>
        <v>0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25.535302537515129</v>
      </c>
      <c r="U241" s="55">
        <f t="shared" ca="1" si="64"/>
        <v>333.84722504086079</v>
      </c>
      <c r="V241" s="55">
        <f t="shared" ca="1" si="65"/>
        <v>0</v>
      </c>
      <c r="W241" s="55">
        <f t="shared" ca="1" si="70"/>
        <v>-106.0017594382512</v>
      </c>
      <c r="X241" s="55">
        <f t="shared" ca="1" si="71"/>
        <v>47.74503922800897</v>
      </c>
      <c r="Y241" s="55">
        <f t="shared" ca="1" si="72"/>
        <v>-5.0024214331870418</v>
      </c>
      <c r="Z241">
        <f t="shared" ca="1" si="66"/>
        <v>87.508805392890594</v>
      </c>
      <c r="AA241">
        <f t="shared" ca="1" si="73"/>
        <v>401.56471202479486</v>
      </c>
      <c r="AB241">
        <f t="shared" ca="1" si="67"/>
        <v>0</v>
      </c>
      <c r="AC241">
        <f t="shared" ca="1" si="68"/>
        <v>0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25.56582113559001</v>
      </c>
      <c r="U242" s="55">
        <f t="shared" ca="1" si="64"/>
        <v>334.05736948968786</v>
      </c>
      <c r="V242" s="55">
        <f t="shared" ca="1" si="65"/>
        <v>0</v>
      </c>
      <c r="W242" s="55">
        <f t="shared" ca="1" si="70"/>
        <v>-106.0017594382512</v>
      </c>
      <c r="X242" s="55">
        <f t="shared" ca="1" si="71"/>
        <v>47.979103022599823</v>
      </c>
      <c r="Y242" s="55">
        <f t="shared" ca="1" si="72"/>
        <v>-4.9958221808759449</v>
      </c>
      <c r="Z242">
        <f t="shared" ca="1" si="66"/>
        <v>82.767939926630262</v>
      </c>
      <c r="AA242">
        <f t="shared" ca="1" si="73"/>
        <v>401.56471202479486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25.616151848208837</v>
      </c>
      <c r="U243" s="55">
        <f t="shared" ca="1" si="64"/>
        <v>334.25117377537697</v>
      </c>
      <c r="V243" s="55">
        <f t="shared" ca="1" si="65"/>
        <v>0</v>
      </c>
      <c r="W243" s="55">
        <f t="shared" ca="1" si="70"/>
        <v>-106.0017594382512</v>
      </c>
      <c r="X243" s="55">
        <f t="shared" ca="1" si="71"/>
        <v>48.216541821687883</v>
      </c>
      <c r="Y243" s="55">
        <f t="shared" ca="1" si="72"/>
        <v>-4.989125981656068</v>
      </c>
      <c r="Z243">
        <f t="shared" ca="1" si="66"/>
        <v>80.860288128409621</v>
      </c>
      <c r="AA243">
        <f t="shared" ca="1" si="73"/>
        <v>401.56471202479486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25.680638185746535</v>
      </c>
      <c r="U244" s="55">
        <f t="shared" ca="1" si="64"/>
        <v>334.41992563395422</v>
      </c>
      <c r="V244" s="55">
        <f t="shared" ca="1" si="65"/>
        <v>0</v>
      </c>
      <c r="W244" s="55">
        <f t="shared" ca="1" si="70"/>
        <v>-106.0017594382512</v>
      </c>
      <c r="X244" s="55">
        <f t="shared" ca="1" si="71"/>
        <v>48.44330387927041</v>
      </c>
      <c r="Y244" s="55">
        <f t="shared" ca="1" si="72"/>
        <v>-4.9826498431236415</v>
      </c>
      <c r="Z244">
        <f t="shared" ca="1" si="66"/>
        <v>78.30678683669224</v>
      </c>
      <c r="AA244">
        <f t="shared" ca="1" si="73"/>
        <v>401.56471202479486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25.772918607362065</v>
      </c>
      <c r="U245" s="55">
        <f t="shared" ca="1" si="64"/>
        <v>334.56885239669668</v>
      </c>
      <c r="V245" s="55">
        <f t="shared" ca="1" si="65"/>
        <v>0</v>
      </c>
      <c r="W245" s="55">
        <f t="shared" ca="1" si="70"/>
        <v>-106.0017594382512</v>
      </c>
      <c r="X245" s="55">
        <f t="shared" ca="1" si="71"/>
        <v>48.678181315008331</v>
      </c>
      <c r="Y245" s="55">
        <f t="shared" ca="1" si="72"/>
        <v>-4.9763200945035706</v>
      </c>
      <c r="Z245">
        <f t="shared" ca="1" si="66"/>
        <v>82.032279525194951</v>
      </c>
      <c r="AA245">
        <f t="shared" ca="1" si="73"/>
        <v>401.56471202479486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25.878586315437289</v>
      </c>
      <c r="U246" s="55">
        <f t="shared" ca="1" si="64"/>
        <v>334.69954513323063</v>
      </c>
      <c r="V246" s="55">
        <f t="shared" ca="1" si="65"/>
        <v>0</v>
      </c>
      <c r="W246" s="55">
        <f t="shared" ca="1" si="70"/>
        <v>-106.0017594382512</v>
      </c>
      <c r="X246" s="55">
        <f t="shared" ca="1" si="71"/>
        <v>48.908388615054676</v>
      </c>
      <c r="Y246" s="55">
        <f t="shared" ca="1" si="72"/>
        <v>-4.9701669499407481</v>
      </c>
      <c r="Z246">
        <f t="shared" ca="1" si="66"/>
        <v>81.33863518320922</v>
      </c>
      <c r="AA246">
        <f t="shared" ca="1" si="73"/>
        <v>401.56471202479486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26.017075650482457</v>
      </c>
      <c r="U247" s="55">
        <f t="shared" ca="1" si="64"/>
        <v>334.81675813656551</v>
      </c>
      <c r="V247" s="55">
        <f t="shared" ca="1" si="65"/>
        <v>0</v>
      </c>
      <c r="W247" s="55">
        <f t="shared" ca="1" si="70"/>
        <v>-106.0017594382512</v>
      </c>
      <c r="X247" s="55">
        <f t="shared" ca="1" si="71"/>
        <v>49.158000673801091</v>
      </c>
      <c r="Y247" s="55">
        <f t="shared" ca="1" si="72"/>
        <v>-4.964076670307108</v>
      </c>
      <c r="Z247">
        <f t="shared" ca="1" si="66"/>
        <v>87.960415584608441</v>
      </c>
      <c r="AA247">
        <f t="shared" ca="1" si="73"/>
        <v>401.56471202479486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26.181188938860405</v>
      </c>
      <c r="U248" s="55">
        <f t="shared" ca="1" si="64"/>
        <v>334.92127765101264</v>
      </c>
      <c r="V248" s="55">
        <f t="shared" ca="1" si="65"/>
        <v>0</v>
      </c>
      <c r="W248" s="55">
        <f t="shared" ca="1" si="70"/>
        <v>-106.0017594382512</v>
      </c>
      <c r="X248" s="55">
        <f t="shared" ca="1" si="71"/>
        <v>49.420631116247847</v>
      </c>
      <c r="Y248" s="55">
        <f t="shared" ca="1" si="72"/>
        <v>-4.9580743099287838</v>
      </c>
      <c r="Z248">
        <f t="shared" ca="1" si="66"/>
        <v>92.312055865977612</v>
      </c>
      <c r="AA248">
        <f t="shared" ca="1" si="73"/>
        <v>401.56471202479486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26.363114511321385</v>
      </c>
      <c r="U249" s="55">
        <f t="shared" ca="1" si="64"/>
        <v>335.01198286597577</v>
      </c>
      <c r="V249" s="55">
        <f t="shared" ca="1" si="65"/>
        <v>0</v>
      </c>
      <c r="W249" s="55">
        <f t="shared" ca="1" si="70"/>
        <v>-106.0017594382512</v>
      </c>
      <c r="X249" s="55">
        <f t="shared" ca="1" si="71"/>
        <v>49.687483252705782</v>
      </c>
      <c r="Y249" s="55">
        <f t="shared" ca="1" si="72"/>
        <v>-4.9522956589626181</v>
      </c>
      <c r="Z249">
        <f t="shared" ca="1" si="66"/>
        <v>95.913628040088597</v>
      </c>
      <c r="AA249">
        <f t="shared" ca="1" si="73"/>
        <v>401.56471202479486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26.564911112777324</v>
      </c>
      <c r="U250" s="55">
        <f t="shared" ca="1" si="64"/>
        <v>335.09396470712289</v>
      </c>
      <c r="V250" s="55">
        <f t="shared" ca="1" si="65"/>
        <v>0</v>
      </c>
      <c r="W250" s="55">
        <f t="shared" ca="1" si="70"/>
        <v>-106.0017594382512</v>
      </c>
      <c r="X250" s="55">
        <f t="shared" ca="1" si="71"/>
        <v>49.965509943811796</v>
      </c>
      <c r="Y250" s="55">
        <f t="shared" ca="1" si="72"/>
        <v>-4.9465439074655695</v>
      </c>
      <c r="Z250">
        <f t="shared" ca="1" si="66"/>
        <v>98.40613160410588</v>
      </c>
      <c r="AA250">
        <f t="shared" ca="1" si="73"/>
        <v>401.56471202479486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26.764547345086534</v>
      </c>
      <c r="U251" s="55">
        <f t="shared" ca="1" si="64"/>
        <v>335.16848165193346</v>
      </c>
      <c r="V251" s="55">
        <f t="shared" ca="1" si="65"/>
        <v>0</v>
      </c>
      <c r="W251" s="55">
        <f t="shared" ca="1" si="70"/>
        <v>-106.0017594382512</v>
      </c>
      <c r="X251" s="55">
        <f t="shared" ca="1" si="71"/>
        <v>50.233900067480846</v>
      </c>
      <c r="Y251" s="55">
        <f t="shared" ca="1" si="72"/>
        <v>-4.9407808540148421</v>
      </c>
      <c r="Z251">
        <f t="shared" ca="1" si="66"/>
        <v>93.168088701659016</v>
      </c>
      <c r="AA251">
        <f t="shared" ca="1" si="73"/>
        <v>401.56471202479486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26.977110037405467</v>
      </c>
      <c r="U252" s="55">
        <f t="shared" ca="1" si="64"/>
        <v>335.23457734834864</v>
      </c>
      <c r="V252" s="55">
        <f t="shared" ca="1" si="65"/>
        <v>0</v>
      </c>
      <c r="W252" s="55">
        <f t="shared" ca="1" si="70"/>
        <v>-106.0017594382512</v>
      </c>
      <c r="X252" s="55">
        <f t="shared" ca="1" si="71"/>
        <v>50.506896179583102</v>
      </c>
      <c r="Y252" s="55">
        <f t="shared" ca="1" si="72"/>
        <v>-4.9351185773829895</v>
      </c>
      <c r="Z252">
        <f t="shared" ca="1" si="66"/>
        <v>94.728771476169726</v>
      </c>
      <c r="AA252">
        <f t="shared" ca="1" si="73"/>
        <v>401.56471202479486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27.187859736061956</v>
      </c>
      <c r="U253" s="55">
        <f t="shared" ca="1" si="64"/>
        <v>335.29391730569546</v>
      </c>
      <c r="V253" s="55">
        <f t="shared" ca="1" si="65"/>
        <v>0</v>
      </c>
      <c r="W253" s="55">
        <f t="shared" ca="1" si="70"/>
        <v>-106.0017594382512</v>
      </c>
      <c r="X253" s="55">
        <f t="shared" ca="1" si="71"/>
        <v>50.771361230210161</v>
      </c>
      <c r="Y253" s="55">
        <f t="shared" ca="1" si="72"/>
        <v>-4.9294939720067346</v>
      </c>
      <c r="Z253">
        <f t="shared" ca="1" si="66"/>
        <v>90.699241400417634</v>
      </c>
      <c r="AA253">
        <f t="shared" ca="1" si="73"/>
        <v>401.56471202479486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27.392710803481584</v>
      </c>
      <c r="U254" s="55">
        <f t="shared" ca="1" si="64"/>
        <v>335.34495572587707</v>
      </c>
      <c r="V254" s="55">
        <f t="shared" ca="1" si="65"/>
        <v>0</v>
      </c>
      <c r="W254" s="55">
        <f t="shared" ca="1" si="70"/>
        <v>-106.0017594382512</v>
      </c>
      <c r="X254" s="55">
        <f t="shared" ca="1" si="71"/>
        <v>51.021868215976653</v>
      </c>
      <c r="Y254" s="55">
        <f t="shared" ca="1" si="72"/>
        <v>-4.9241114701719848</v>
      </c>
      <c r="Z254">
        <f t="shared" ca="1" si="66"/>
        <v>88.426431829631611</v>
      </c>
      <c r="AA254">
        <f t="shared" ca="1" si="73"/>
        <v>401.56471202479486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27.607415912188252</v>
      </c>
      <c r="U255" s="55">
        <f t="shared" ca="1" si="64"/>
        <v>335.39081229329696</v>
      </c>
      <c r="V255" s="55">
        <f t="shared" ca="1" si="65"/>
        <v>0</v>
      </c>
      <c r="W255" s="55">
        <f t="shared" ca="1" si="70"/>
        <v>-106.0017594382512</v>
      </c>
      <c r="X255" s="55">
        <f t="shared" ca="1" si="71"/>
        <v>51.277089367141684</v>
      </c>
      <c r="Y255" s="55">
        <f t="shared" ca="1" si="72"/>
        <v>-4.9187709452104631</v>
      </c>
      <c r="Z255">
        <f t="shared" ca="1" si="66"/>
        <v>89.137850323048113</v>
      </c>
      <c r="AA255">
        <f t="shared" ca="1" si="73"/>
        <v>401.56471202479486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27.843337033119845</v>
      </c>
      <c r="U256" s="55">
        <f t="shared" ca="1" si="64"/>
        <v>335.43229416393075</v>
      </c>
      <c r="V256" s="55">
        <f t="shared" ca="1" si="65"/>
        <v>0</v>
      </c>
      <c r="W256" s="55">
        <f t="shared" ca="1" si="70"/>
        <v>-106.0017594382512</v>
      </c>
      <c r="X256" s="55">
        <f t="shared" ca="1" si="71"/>
        <v>51.549154327962142</v>
      </c>
      <c r="Y256" s="55">
        <f t="shared" ca="1" si="72"/>
        <v>-4.9134329144655391</v>
      </c>
      <c r="Z256">
        <f t="shared" ca="1" si="66"/>
        <v>93.218963068172215</v>
      </c>
      <c r="AA256">
        <f t="shared" ca="1" si="73"/>
        <v>401.56471202479486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28.062496097855004</v>
      </c>
      <c r="U257" s="55">
        <f t="shared" ca="1" si="64"/>
        <v>335.46821654384729</v>
      </c>
      <c r="V257" s="55">
        <f t="shared" ca="1" si="65"/>
        <v>0</v>
      </c>
      <c r="W257" s="55">
        <f t="shared" ca="1" si="70"/>
        <v>-106.0017594382512</v>
      </c>
      <c r="X257" s="55">
        <f t="shared" ca="1" si="71"/>
        <v>51.79909624962098</v>
      </c>
      <c r="Y257" s="55">
        <f t="shared" ca="1" si="72"/>
        <v>-4.9082933914726761</v>
      </c>
      <c r="Z257">
        <f t="shared" ca="1" si="66"/>
        <v>87.518526515142796</v>
      </c>
      <c r="AA257">
        <f t="shared" ca="1" si="73"/>
        <v>401.56471202479486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28.278692620862532</v>
      </c>
      <c r="U258" s="55">
        <f t="shared" ca="1" si="64"/>
        <v>335.50028216556632</v>
      </c>
      <c r="V258" s="55">
        <f t="shared" ca="1" si="65"/>
        <v>0</v>
      </c>
      <c r="W258" s="55">
        <f t="shared" ca="1" si="70"/>
        <v>-106.0017594382512</v>
      </c>
      <c r="X258" s="55">
        <f t="shared" ca="1" si="71"/>
        <v>52.042284383170781</v>
      </c>
      <c r="Y258" s="55">
        <f t="shared" ca="1" si="72"/>
        <v>-4.9032193802959236</v>
      </c>
      <c r="Z258">
        <f t="shared" ca="1" si="66"/>
        <v>84.546558207851916</v>
      </c>
      <c r="AA258">
        <f t="shared" ca="1" si="73"/>
        <v>401.56471202479486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28.496902819906616</v>
      </c>
      <c r="U259" s="55">
        <f t="shared" ca="1" si="64"/>
        <v>335.53047180608348</v>
      </c>
      <c r="V259" s="55">
        <f t="shared" ca="1" si="65"/>
        <v>0</v>
      </c>
      <c r="W259" s="55">
        <f t="shared" ca="1" si="70"/>
        <v>-106.0017594382512</v>
      </c>
      <c r="X259" s="55">
        <f t="shared" ca="1" si="71"/>
        <v>52.285417892725903</v>
      </c>
      <c r="Y259" s="55">
        <f t="shared" ca="1" si="72"/>
        <v>-4.8979530502897957</v>
      </c>
      <c r="Z259">
        <f t="shared" ca="1" si="66"/>
        <v>79.032823434318459</v>
      </c>
      <c r="AA259">
        <f t="shared" ca="1" si="73"/>
        <v>401.56471202479486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28.72560914812458</v>
      </c>
      <c r="U260" s="55">
        <f t="shared" ca="1" si="64"/>
        <v>335.55767600140013</v>
      </c>
      <c r="V260" s="55">
        <f t="shared" ca="1" si="65"/>
        <v>0</v>
      </c>
      <c r="W260" s="55">
        <f t="shared" ca="1" si="70"/>
        <v>-106.0017594382512</v>
      </c>
      <c r="X260" s="55">
        <f t="shared" ca="1" si="71"/>
        <v>52.536041627482419</v>
      </c>
      <c r="Y260" s="55">
        <f t="shared" ca="1" si="72"/>
        <v>-4.8926662615117049</v>
      </c>
      <c r="Z260">
        <f t="shared" ca="1" si="66"/>
        <v>79.543660354522686</v>
      </c>
      <c r="AA260">
        <f t="shared" ca="1" si="73"/>
        <v>401.56471202479486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28.966907731099006</v>
      </c>
      <c r="U261" s="55">
        <f t="shared" ca="1" si="64"/>
        <v>335.58116178880164</v>
      </c>
      <c r="V261" s="55">
        <f t="shared" ca="1" si="65"/>
        <v>0</v>
      </c>
      <c r="W261" s="55">
        <f t="shared" ca="1" si="70"/>
        <v>-106.0017594382512</v>
      </c>
      <c r="X261" s="55">
        <f t="shared" ca="1" si="71"/>
        <v>52.795721190574142</v>
      </c>
      <c r="Y261" s="55">
        <f t="shared" ca="1" si="72"/>
        <v>-4.8875614542274946</v>
      </c>
      <c r="Z261">
        <f t="shared" ca="1" si="66"/>
        <v>84.296453909789648</v>
      </c>
      <c r="AA261">
        <f t="shared" ca="1" si="73"/>
        <v>401.56471202479486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29.250473660432689</v>
      </c>
      <c r="U262" s="55">
        <f t="shared" ca="1" si="64"/>
        <v>335.60129945918771</v>
      </c>
      <c r="V262" s="55">
        <f t="shared" ca="1" si="65"/>
        <v>0</v>
      </c>
      <c r="W262" s="55">
        <f t="shared" ca="1" si="70"/>
        <v>-106.0017594382512</v>
      </c>
      <c r="X262" s="55">
        <f t="shared" ca="1" si="71"/>
        <v>53.094534782890882</v>
      </c>
      <c r="Y262" s="55">
        <f t="shared" ca="1" si="72"/>
        <v>-4.8826714468244781</v>
      </c>
      <c r="Z262">
        <f t="shared" ca="1" si="66"/>
        <v>99.545299358237671</v>
      </c>
      <c r="AA262">
        <f t="shared" ca="1" si="73"/>
        <v>401.56471202479486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29.525300642441088</v>
      </c>
      <c r="U263" s="55">
        <f t="shared" ca="1" si="64"/>
        <v>335.61884725017853</v>
      </c>
      <c r="V263" s="55">
        <f t="shared" ca="1" si="65"/>
        <v>0</v>
      </c>
      <c r="W263" s="55">
        <f t="shared" ca="1" si="70"/>
        <v>-106.0017594382512</v>
      </c>
      <c r="X263" s="55">
        <f t="shared" ca="1" si="71"/>
        <v>53.38216500249662</v>
      </c>
      <c r="Y263" s="55">
        <f t="shared" ca="1" si="72"/>
        <v>-4.8779268934309989</v>
      </c>
      <c r="Z263">
        <f t="shared" ca="1" si="66"/>
        <v>97.210939650644676</v>
      </c>
      <c r="AA263">
        <f t="shared" ca="1" si="73"/>
        <v>401.56471202479486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29.791422899315222</v>
      </c>
      <c r="U264" s="55">
        <f t="shared" ca="1" si="64"/>
        <v>335.63478260869556</v>
      </c>
      <c r="V264" s="55">
        <f t="shared" ca="1" si="65"/>
        <v>0</v>
      </c>
      <c r="W264" s="55">
        <f t="shared" ca="1" si="70"/>
        <v>-106.0017594382512</v>
      </c>
      <c r="X264" s="55">
        <f t="shared" ca="1" si="71"/>
        <v>53.659444326958166</v>
      </c>
      <c r="Y264" s="55">
        <f t="shared" ca="1" si="72"/>
        <v>-4.8731486025013897</v>
      </c>
      <c r="Z264">
        <f t="shared" ca="1" si="66"/>
        <v>91.276863918331273</v>
      </c>
      <c r="AA264">
        <f t="shared" ca="1" si="73"/>
        <v>401.56471202479486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4" priority="49" operator="containsText" text="Suggested">
      <formula>NOT(ISERROR(SEARCH("Suggested",H29)))</formula>
    </cfRule>
  </conditionalFormatting>
  <conditionalFormatting sqref="F29:G29">
    <cfRule type="expression" dxfId="23" priority="55">
      <formula>$B$29=1</formula>
    </cfRule>
  </conditionalFormatting>
  <conditionalFormatting sqref="F30:G30">
    <cfRule type="expression" dxfId="22" priority="62">
      <formula>$B$30=1</formula>
    </cfRule>
  </conditionalFormatting>
  <conditionalFormatting sqref="F31:G31">
    <cfRule type="expression" dxfId="21" priority="64">
      <formula>$B$31=1</formula>
    </cfRule>
  </conditionalFormatting>
  <conditionalFormatting sqref="F32:G32">
    <cfRule type="expression" dxfId="20" priority="66">
      <formula>$B$32=1</formula>
    </cfRule>
  </conditionalFormatting>
  <conditionalFormatting sqref="F33:G33">
    <cfRule type="expression" dxfId="19" priority="68">
      <formula>$B$33=1</formula>
    </cfRule>
  </conditionalFormatting>
  <conditionalFormatting sqref="F34:G34">
    <cfRule type="expression" dxfId="18" priority="70">
      <formula>$B$34=1</formula>
    </cfRule>
  </conditionalFormatting>
  <conditionalFormatting sqref="F35:G35">
    <cfRule type="expression" dxfId="17" priority="72">
      <formula>$B$35=1</formula>
    </cfRule>
  </conditionalFormatting>
  <conditionalFormatting sqref="F36">
    <cfRule type="expression" dxfId="16" priority="74">
      <formula>$B$36=1</formula>
    </cfRule>
  </conditionalFormatting>
  <conditionalFormatting sqref="F37:G37">
    <cfRule type="expression" dxfId="15" priority="76">
      <formula>$B$37=1</formula>
    </cfRule>
  </conditionalFormatting>
  <conditionalFormatting sqref="F38:G38">
    <cfRule type="expression" dxfId="14" priority="78">
      <formula>$B$38=1</formula>
    </cfRule>
  </conditionalFormatting>
  <conditionalFormatting sqref="F22:H24 C22:E23 C17:H21 D24 C25:H45">
    <cfRule type="expression" dxfId="13" priority="9">
      <formula>$B$1=1</formula>
    </cfRule>
  </conditionalFormatting>
  <conditionalFormatting sqref="C55:E56 F54:H55 C68:H71 C64:E67 F65:H66 F8:H15 C57:H63 C53:H53 C46:H50 C54 E54 C51:D52 F51:H52">
    <cfRule type="expression" dxfId="12" priority="8">
      <formula>NOT($B$1=3)</formula>
    </cfRule>
  </conditionalFormatting>
  <conditionalFormatting sqref="E15">
    <cfRule type="expression" dxfId="11" priority="6">
      <formula>NOT($B$1=1)</formula>
    </cfRule>
  </conditionalFormatting>
  <conditionalFormatting sqref="D72:E72">
    <cfRule type="expression" dxfId="10" priority="5">
      <formula>NOT($B$1=3)</formula>
    </cfRule>
  </conditionalFormatting>
  <conditionalFormatting sqref="C72">
    <cfRule type="expression" dxfId="9" priority="4">
      <formula>NOT($B$1=3)</formula>
    </cfRule>
  </conditionalFormatting>
  <conditionalFormatting sqref="G36">
    <cfRule type="expression" dxfId="8" priority="87">
      <formula>$B$36</formula>
    </cfRule>
  </conditionalFormatting>
  <conditionalFormatting sqref="F39:G39">
    <cfRule type="expression" dxfId="7" priority="90">
      <formula>$B$39=1</formula>
    </cfRule>
  </conditionalFormatting>
  <conditionalFormatting sqref="F40:G40">
    <cfRule type="expression" dxfId="6" priority="91">
      <formula>$B$40=1</formula>
    </cfRule>
  </conditionalFormatting>
  <conditionalFormatting sqref="F41:G41">
    <cfRule type="expression" dxfId="5" priority="92">
      <formula>$B$41=1</formula>
    </cfRule>
  </conditionalFormatting>
  <conditionalFormatting sqref="F42:G42">
    <cfRule type="expression" dxfId="4" priority="93">
      <formula>$B$42=1</formula>
    </cfRule>
  </conditionalFormatting>
  <conditionalFormatting sqref="F43:G43">
    <cfRule type="expression" dxfId="3" priority="94">
      <formula>$B$43=1</formula>
    </cfRule>
  </conditionalFormatting>
  <conditionalFormatting sqref="C24 E24">
    <cfRule type="expression" dxfId="2" priority="3">
      <formula>$B$1=1</formula>
    </cfRule>
  </conditionalFormatting>
  <conditionalFormatting sqref="D54">
    <cfRule type="expression" dxfId="1" priority="2">
      <formula>NOT($B$1=3)</formula>
    </cfRule>
  </conditionalFormatting>
  <conditionalFormatting sqref="E51:E52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C38:C43 C29:C34 E9:E10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2</v>
      </c>
      <c r="L2">
        <f ca="1"/>
        <v>53</v>
      </c>
      <c r="M2">
        <f ca="1"/>
        <v>0</v>
      </c>
      <c r="N2">
        <f ca="1"/>
        <v>371</v>
      </c>
      <c r="O2">
        <f ca="1"/>
        <v>0</v>
      </c>
      <c r="P2">
        <f ca="1"/>
        <v>471</v>
      </c>
      <c r="Q2">
        <f ca="1">SUM(I2:O2)</f>
        <v>476</v>
      </c>
      <c r="R2">
        <f ca="1">Q2-P2</f>
        <v>5</v>
      </c>
    </row>
    <row r="3" spans="1:43">
      <c r="H3" t="s">
        <v>278</v>
      </c>
      <c r="I3">
        <f ca="1"/>
        <v>30</v>
      </c>
      <c r="J3">
        <f ca="1"/>
        <v>302</v>
      </c>
      <c r="K3">
        <f ca="1"/>
        <v>33</v>
      </c>
      <c r="L3">
        <f ca="1"/>
        <v>0</v>
      </c>
      <c r="M3">
        <f ca="1"/>
        <v>5</v>
      </c>
      <c r="N3">
        <f ca="1"/>
        <v>0</v>
      </c>
      <c r="O3">
        <f ca="1"/>
        <v>106</v>
      </c>
      <c r="P3">
        <f ca="1"/>
        <v>471</v>
      </c>
      <c r="Q3">
        <f ca="1">SUM(I3:O3)</f>
        <v>476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2</v>
      </c>
      <c r="AJ6">
        <f ca="1"/>
        <v>53</v>
      </c>
      <c r="AK6">
        <f ca="1"/>
        <v>0</v>
      </c>
      <c r="AL6">
        <f ca="1"/>
        <v>371</v>
      </c>
      <c r="AM6">
        <f ca="1"/>
        <v>0</v>
      </c>
      <c r="AN6">
        <f ca="1"/>
        <v>471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SandyClayLoam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45048</v>
      </c>
      <c r="K7" s="3">
        <v>50</v>
      </c>
      <c r="L7" s="3"/>
      <c r="M7" s="3">
        <f ca="1">SUMIF($I$12:$I$1005,TRUE,M12:M1005)</f>
        <v>-4.8731486025013897</v>
      </c>
      <c r="N7" s="3">
        <f ca="1">SUMIF($I$12:$I$1005,TRUE,N12:N1005)</f>
        <v>53.410480630792115</v>
      </c>
      <c r="O7" s="3">
        <f ca="1">SUMIF($I$12:$I$1005,TRUE,O12:O1005)</f>
        <v>370.51540081842143</v>
      </c>
      <c r="P7" s="3">
        <f ca="1">VLOOKUP(B36,ModelOutputs,P9,FALSE)-Q7</f>
        <v>0.23519708493908942</v>
      </c>
      <c r="Q7">
        <f ca="1">VLOOKUP(B36,ModelOutputs,Q9,FALSE)</f>
        <v>2.1400350146106168</v>
      </c>
      <c r="R7" s="13"/>
      <c r="W7" s="3">
        <f ca="1">MAX(0,X8-X7)</f>
        <v>1.1368683772161603E-13</v>
      </c>
      <c r="X7" s="3">
        <f ca="1">SUM(K7:R7)</f>
        <v>471.42796494626185</v>
      </c>
      <c r="AA7" s="3"/>
      <c r="AG7">
        <f ca="1"/>
        <v>30</v>
      </c>
      <c r="AH7">
        <f ca="1"/>
        <v>302</v>
      </c>
      <c r="AI7">
        <f ca="1"/>
        <v>33</v>
      </c>
      <c r="AJ7">
        <f ca="1"/>
        <v>0</v>
      </c>
      <c r="AK7">
        <f ca="1"/>
        <v>5</v>
      </c>
      <c r="AL7">
        <f ca="1"/>
        <v>0</v>
      </c>
      <c r="AM7">
        <f ca="1"/>
        <v>106</v>
      </c>
      <c r="AN7">
        <f ca="1"/>
        <v>471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Top15cm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45293</v>
      </c>
      <c r="K8" s="24">
        <f ca="1">VLOOKUP(J8,ModelOutputs,2,FALSE)</f>
        <v>29.791422899315222</v>
      </c>
      <c r="L8" s="27"/>
      <c r="M8" s="25"/>
      <c r="N8" s="25"/>
      <c r="O8" s="25"/>
      <c r="P8" s="24">
        <f ca="1">(VLOOKUP($J$8,ModelOutputs,P9,FALSE)-VLOOKUP($J$7+1,ModelOutputs,P9,FALSE))-Q8</f>
        <v>33.234782608695639</v>
      </c>
      <c r="Q8" s="26">
        <f ca="1">VLOOKUP($J$8,ModelOutputs,Q9,FALSE)-VLOOKUP($J$7+1,ModelOutputs,Q9,FALSE)</f>
        <v>302.39999999999992</v>
      </c>
      <c r="R8" s="27">
        <f ca="1">SUMIF($I$12:$I$1005,TRUE,R12:R1005)</f>
        <v>106.0017594382512</v>
      </c>
      <c r="S8" s="3"/>
      <c r="T8" s="3"/>
      <c r="U8" s="3"/>
      <c r="V8" s="3"/>
      <c r="W8" s="3">
        <f ca="1">MAX(0,X7-X8)</f>
        <v>0</v>
      </c>
      <c r="X8" s="3">
        <f ca="1">SUM(K8:R8)</f>
        <v>471.42796494626197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Volcanic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152.46531079891147</v>
      </c>
      <c r="M9">
        <f ca="1">SUMIF(H11:H1004,TRUE,M11:M1004)</f>
        <v>-4.8779268934309989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30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45047</v>
      </c>
      <c r="K11">
        <f ca="1"/>
        <v>0</v>
      </c>
      <c r="L11">
        <f ca="1"/>
        <v>2.8014315909417604</v>
      </c>
      <c r="M11">
        <f ca="1"/>
        <v>0</v>
      </c>
      <c r="N11" s="4">
        <f ca="1"/>
        <v>0.24896369616605118</v>
      </c>
      <c r="O11">
        <f ca="1"/>
        <v>0</v>
      </c>
      <c r="P11">
        <f ca="1"/>
        <v>108.00000000000001</v>
      </c>
      <c r="Q11">
        <f ca="1"/>
        <v>98.8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45047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45048</v>
      </c>
      <c r="K12">
        <f ca="1"/>
        <v>49.918364171497124</v>
      </c>
      <c r="L12">
        <f ca="1"/>
        <v>0</v>
      </c>
      <c r="M12">
        <f ca="1"/>
        <v>-0.34605114552468064</v>
      </c>
      <c r="N12" s="4">
        <f ca="1"/>
        <v>0.26639125227025956</v>
      </c>
      <c r="O12">
        <f ca="1"/>
        <v>0</v>
      </c>
      <c r="P12">
        <f ca="1"/>
        <v>0</v>
      </c>
      <c r="Q12">
        <f ca="1"/>
        <v>0</v>
      </c>
      <c r="R12">
        <f ca="1"/>
        <v>1.9759352484561054E-3</v>
      </c>
      <c r="S12">
        <f ca="1"/>
        <v>1</v>
      </c>
      <c r="T12">
        <f ca="1"/>
        <v>5.000000000002558E-3</v>
      </c>
      <c r="U12">
        <f ca="1"/>
        <v>0</v>
      </c>
      <c r="V12">
        <f ca="1"/>
        <v>0</v>
      </c>
      <c r="X12" s="2">
        <f t="shared" ca="1" si="1"/>
        <v>45048</v>
      </c>
      <c r="Y12">
        <f t="shared" ca="1" si="2"/>
        <v>0</v>
      </c>
      <c r="Z12" s="3"/>
      <c r="AA12" s="63">
        <f ca="1">K11+M12+N12+O12</f>
        <v>-7.9659893254421077E-2</v>
      </c>
      <c r="AB12" s="63">
        <f ca="1">K12+L12+R12</f>
        <v>49.920340106745577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45049</v>
      </c>
      <c r="K13">
        <f ca="1"/>
        <v>49.571761603470591</v>
      </c>
      <c r="L13">
        <f ca="1"/>
        <v>0</v>
      </c>
      <c r="M13">
        <f ca="1"/>
        <v>-0.3279568177273231</v>
      </c>
      <c r="N13" s="4">
        <f ca="1"/>
        <v>0.26391329084058007</v>
      </c>
      <c r="O13">
        <f ca="1"/>
        <v>0</v>
      </c>
      <c r="P13">
        <f ca="1"/>
        <v>0</v>
      </c>
      <c r="Q13">
        <f ca="1"/>
        <v>0</v>
      </c>
      <c r="R13">
        <f ca="1"/>
        <v>0.28255904113978469</v>
      </c>
      <c r="S13">
        <f ca="1"/>
        <v>1</v>
      </c>
      <c r="T13">
        <f ca="1"/>
        <v>0.72000000000000597</v>
      </c>
      <c r="U13">
        <f ca="1"/>
        <v>0</v>
      </c>
      <c r="V13">
        <f ca="1"/>
        <v>0</v>
      </c>
      <c r="X13" s="2">
        <f t="shared" ca="1" si="1"/>
        <v>45049</v>
      </c>
      <c r="Y13">
        <f t="shared" ca="1" si="2"/>
        <v>0</v>
      </c>
      <c r="AA13" s="63">
        <f t="shared" ref="AA13:AA76" ca="1" si="4">K12+M13+N13+O13</f>
        <v>49.854320644610375</v>
      </c>
      <c r="AB13" s="63">
        <f t="shared" ref="AB13:AB76" ca="1" si="5">K13+L13+R13</f>
        <v>49.854320644610375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45050</v>
      </c>
      <c r="K14">
        <f ca="1"/>
        <v>49.369718597817474</v>
      </c>
      <c r="L14">
        <f ca="1"/>
        <v>0</v>
      </c>
      <c r="M14">
        <f ca="1"/>
        <v>-0.30728337279901852</v>
      </c>
      <c r="N14" s="4">
        <f ca="1"/>
        <v>0.25766937331666695</v>
      </c>
      <c r="O14">
        <f ca="1"/>
        <v>0</v>
      </c>
      <c r="P14">
        <f ca="1"/>
        <v>0</v>
      </c>
      <c r="Q14">
        <f ca="1"/>
        <v>0</v>
      </c>
      <c r="R14">
        <f ca="1"/>
        <v>0.15242900617076172</v>
      </c>
      <c r="S14">
        <f ca="1"/>
        <v>1</v>
      </c>
      <c r="T14">
        <f ca="1"/>
        <v>0.39000000000000057</v>
      </c>
      <c r="U14">
        <f ca="1"/>
        <v>0</v>
      </c>
      <c r="V14">
        <f ca="1"/>
        <v>0</v>
      </c>
      <c r="X14" s="2">
        <f t="shared" ca="1" si="1"/>
        <v>45050</v>
      </c>
      <c r="Y14">
        <f t="shared" ca="1" si="2"/>
        <v>0</v>
      </c>
      <c r="AA14" s="63">
        <f t="shared" ca="1" si="4"/>
        <v>49.522147603988238</v>
      </c>
      <c r="AB14" s="63">
        <f t="shared" ca="1" si="5"/>
        <v>49.522147603988238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45051</v>
      </c>
      <c r="K15">
        <f ca="1"/>
        <v>48.842899452408837</v>
      </c>
      <c r="L15">
        <f ca="1"/>
        <v>0</v>
      </c>
      <c r="M15">
        <f ca="1"/>
        <v>-0.29541088624405432</v>
      </c>
      <c r="N15" s="4">
        <f ca="1"/>
        <v>0.25966639241318118</v>
      </c>
      <c r="O15">
        <f ca="1"/>
        <v>0</v>
      </c>
      <c r="P15">
        <f ca="1"/>
        <v>0</v>
      </c>
      <c r="Q15">
        <f ca="1"/>
        <v>0</v>
      </c>
      <c r="R15">
        <f ca="1"/>
        <v>0.49107465157776181</v>
      </c>
      <c r="S15">
        <f ca="1"/>
        <v>1</v>
      </c>
      <c r="T15">
        <f ca="1"/>
        <v>1.2700000000000031</v>
      </c>
      <c r="U15">
        <f ca="1"/>
        <v>0</v>
      </c>
      <c r="V15">
        <f ca="1"/>
        <v>0</v>
      </c>
      <c r="X15" s="2">
        <f t="shared" ca="1" si="1"/>
        <v>45051</v>
      </c>
      <c r="Y15">
        <f t="shared" ca="1" si="2"/>
        <v>0</v>
      </c>
      <c r="AA15" s="63">
        <f t="shared" ca="1" si="4"/>
        <v>49.333974103986598</v>
      </c>
      <c r="AB15" s="63">
        <f t="shared" ca="1" si="5"/>
        <v>49.333974103986598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Barley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45052</v>
      </c>
      <c r="K16">
        <f ca="1"/>
        <v>48.187680773010293</v>
      </c>
      <c r="L16">
        <f ca="1"/>
        <v>0</v>
      </c>
      <c r="M16">
        <f ca="1"/>
        <v>-0.28519217302664868</v>
      </c>
      <c r="N16" s="4">
        <f ca="1"/>
        <v>0.26323993178674993</v>
      </c>
      <c r="O16">
        <f ca="1"/>
        <v>0</v>
      </c>
      <c r="P16">
        <f ca="1"/>
        <v>0</v>
      </c>
      <c r="Q16">
        <f ca="1"/>
        <v>0</v>
      </c>
      <c r="R16">
        <f ca="1"/>
        <v>0.63326643815864503</v>
      </c>
      <c r="S16">
        <f ca="1"/>
        <v>1</v>
      </c>
      <c r="T16">
        <f ca="1"/>
        <v>1.6600000000000037</v>
      </c>
      <c r="U16">
        <f ca="1"/>
        <v>0</v>
      </c>
      <c r="V16">
        <f ca="1"/>
        <v>0</v>
      </c>
      <c r="X16" s="2">
        <f t="shared" ca="1" si="1"/>
        <v>45052</v>
      </c>
      <c r="Y16">
        <f t="shared" ca="1" si="2"/>
        <v>0</v>
      </c>
      <c r="AA16" s="63">
        <f t="shared" ca="1" si="4"/>
        <v>48.820947211168935</v>
      </c>
      <c r="AB16" s="63">
        <f t="shared" ca="1" si="5"/>
        <v>48.820947211168935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8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45053</v>
      </c>
      <c r="K17">
        <f ca="1"/>
        <v>48.177490618551687</v>
      </c>
      <c r="L17">
        <f ca="1"/>
        <v>0</v>
      </c>
      <c r="M17">
        <f ca="1"/>
        <v>-0.26631280412818126</v>
      </c>
      <c r="N17" s="4">
        <f ca="1"/>
        <v>0.25612264966957848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0.99916666666666665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45053</v>
      </c>
      <c r="Y17">
        <f t="shared" ca="1" si="2"/>
        <v>0</v>
      </c>
      <c r="AA17" s="63">
        <f t="shared" ca="1" si="4"/>
        <v>48.177490618551687</v>
      </c>
      <c r="AB17" s="63">
        <f t="shared" ca="1" si="5"/>
        <v>48.177490618551687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45054</v>
      </c>
      <c r="K18">
        <f ca="1"/>
        <v>47.604611463508739</v>
      </c>
      <c r="L18">
        <f ca="1"/>
        <v>0</v>
      </c>
      <c r="M18">
        <f ca="1"/>
        <v>-0.24988350223889433</v>
      </c>
      <c r="N18" s="4">
        <f ca="1"/>
        <v>0.25042751281132436</v>
      </c>
      <c r="O18">
        <f ca="1"/>
        <v>0</v>
      </c>
      <c r="P18">
        <f ca="1"/>
        <v>0</v>
      </c>
      <c r="Q18">
        <f ca="1"/>
        <v>0</v>
      </c>
      <c r="R18">
        <f ca="1"/>
        <v>0.57342316561538409</v>
      </c>
      <c r="S18">
        <f ca="1"/>
        <v>1</v>
      </c>
      <c r="T18">
        <f ca="1"/>
        <v>1.5215416666666712</v>
      </c>
      <c r="U18">
        <f ca="1"/>
        <v>0</v>
      </c>
      <c r="V18">
        <f ca="1"/>
        <v>0</v>
      </c>
      <c r="X18" s="2">
        <f t="shared" ca="1" si="1"/>
        <v>45054</v>
      </c>
      <c r="Y18">
        <f t="shared" ca="1" si="2"/>
        <v>0</v>
      </c>
      <c r="AA18" s="63">
        <f t="shared" ca="1" si="4"/>
        <v>48.17803462912412</v>
      </c>
      <c r="AB18" s="63">
        <f t="shared" ca="1" si="5"/>
        <v>48.17803462912412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45055</v>
      </c>
      <c r="K19">
        <f ca="1"/>
        <v>47.388841876801173</v>
      </c>
      <c r="L19">
        <f ca="1"/>
        <v>0</v>
      </c>
      <c r="M19">
        <f ca="1"/>
        <v>-0.23206577683114515</v>
      </c>
      <c r="N19" s="4">
        <f ca="1"/>
        <v>0.24139318903838619</v>
      </c>
      <c r="O19">
        <f ca="1"/>
        <v>0</v>
      </c>
      <c r="P19">
        <f ca="1"/>
        <v>0</v>
      </c>
      <c r="Q19">
        <f ca="1"/>
        <v>0</v>
      </c>
      <c r="R19">
        <f ca="1"/>
        <v>0.22509699891480608</v>
      </c>
      <c r="S19">
        <f ca="1"/>
        <v>1</v>
      </c>
      <c r="T19">
        <f ca="1"/>
        <v>0.60000000000000142</v>
      </c>
      <c r="U19">
        <f ca="1"/>
        <v>0</v>
      </c>
      <c r="V19">
        <f ca="1"/>
        <v>0</v>
      </c>
      <c r="X19" s="2">
        <f t="shared" ca="1" si="1"/>
        <v>45055</v>
      </c>
      <c r="Y19">
        <f t="shared" ca="1" si="2"/>
        <v>0</v>
      </c>
      <c r="AA19" s="63">
        <f t="shared" ca="1" si="4"/>
        <v>47.613938875715981</v>
      </c>
      <c r="AB19" s="63">
        <f t="shared" ca="1" si="5"/>
        <v>47.613938875715981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45056</v>
      </c>
      <c r="K20">
        <f ca="1"/>
        <v>46.852698038839826</v>
      </c>
      <c r="L20">
        <f ca="1"/>
        <v>0</v>
      </c>
      <c r="M20">
        <f ca="1"/>
        <v>-0.2239357656092098</v>
      </c>
      <c r="N20" s="4">
        <f ca="1"/>
        <v>0.24416771685908575</v>
      </c>
      <c r="O20">
        <f ca="1"/>
        <v>0</v>
      </c>
      <c r="P20">
        <f ca="1"/>
        <v>0</v>
      </c>
      <c r="Q20">
        <f ca="1"/>
        <v>0</v>
      </c>
      <c r="R20">
        <f ca="1"/>
        <v>0.55637578921122288</v>
      </c>
      <c r="S20">
        <f ca="1"/>
        <v>1</v>
      </c>
      <c r="T20">
        <f ca="1"/>
        <v>1.5</v>
      </c>
      <c r="U20">
        <f ca="1"/>
        <v>0</v>
      </c>
      <c r="V20">
        <f ca="1"/>
        <v>0</v>
      </c>
      <c r="X20" s="2">
        <f t="shared" ca="1" si="1"/>
        <v>45056</v>
      </c>
      <c r="Y20">
        <f t="shared" ca="1" si="2"/>
        <v>0</v>
      </c>
      <c r="AA20" s="63">
        <f t="shared" ca="1" si="4"/>
        <v>47.409073828051049</v>
      </c>
      <c r="AB20" s="63">
        <f t="shared" ca="1" si="5"/>
        <v>47.409073828051049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45057</v>
      </c>
      <c r="K21">
        <f ca="1"/>
        <v>46.66318029289814</v>
      </c>
      <c r="L21">
        <f ca="1"/>
        <v>0</v>
      </c>
      <c r="M21">
        <f ca="1"/>
        <v>-0.21829515236174579</v>
      </c>
      <c r="N21" s="4">
        <f ca="1"/>
        <v>0.25042751281132436</v>
      </c>
      <c r="O21">
        <f ca="1"/>
        <v>0</v>
      </c>
      <c r="P21">
        <f ca="1"/>
        <v>0</v>
      </c>
      <c r="Q21">
        <f ca="1"/>
        <v>0</v>
      </c>
      <c r="R21">
        <f ca="1"/>
        <v>0.22165010639126667</v>
      </c>
      <c r="S21">
        <f ca="1"/>
        <v>1</v>
      </c>
      <c r="T21">
        <f ca="1"/>
        <v>0.60000000000000142</v>
      </c>
      <c r="U21">
        <f ca="1"/>
        <v>0</v>
      </c>
      <c r="V21">
        <f ca="1"/>
        <v>0</v>
      </c>
      <c r="X21" s="2">
        <f t="shared" ca="1" si="1"/>
        <v>45057</v>
      </c>
      <c r="Y21">
        <f t="shared" ca="1" si="2"/>
        <v>0</v>
      </c>
      <c r="AA21" s="63">
        <f t="shared" ca="1" si="4"/>
        <v>46.884830399289406</v>
      </c>
      <c r="AB21" s="63">
        <f t="shared" ca="1" si="5"/>
        <v>46.884830399289406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45058</v>
      </c>
      <c r="K22">
        <f ca="1"/>
        <v>45.986818831642033</v>
      </c>
      <c r="L22">
        <f ca="1"/>
        <v>0</v>
      </c>
      <c r="M22">
        <f ca="1"/>
        <v>-0.21296614003172198</v>
      </c>
      <c r="N22" s="4">
        <f ca="1"/>
        <v>0.25744806396161041</v>
      </c>
      <c r="O22">
        <f ca="1"/>
        <v>0</v>
      </c>
      <c r="P22">
        <f ca="1"/>
        <v>0</v>
      </c>
      <c r="Q22">
        <f ca="1"/>
        <v>0</v>
      </c>
      <c r="R22">
        <f ca="1"/>
        <v>0.72084338518599034</v>
      </c>
      <c r="S22">
        <f ca="1"/>
        <v>1</v>
      </c>
      <c r="T22">
        <f ca="1"/>
        <v>1.980000000000004</v>
      </c>
      <c r="U22">
        <f ca="1"/>
        <v>0</v>
      </c>
      <c r="V22">
        <f ca="1"/>
        <v>0</v>
      </c>
      <c r="X22" s="2">
        <f t="shared" ca="1" si="1"/>
        <v>45058</v>
      </c>
      <c r="Y22">
        <f t="shared" ca="1" si="2"/>
        <v>0</v>
      </c>
      <c r="AA22" s="63">
        <f t="shared" ca="1" si="4"/>
        <v>46.707662216828027</v>
      </c>
      <c r="AB22" s="63">
        <f t="shared" ca="1" si="5"/>
        <v>46.707662216828027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44988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45059</v>
      </c>
      <c r="K23">
        <f ca="1"/>
        <v>45.454014579797985</v>
      </c>
      <c r="L23">
        <f ca="1"/>
        <v>0</v>
      </c>
      <c r="M23">
        <f ca="1"/>
        <v>-0.20193984692563216</v>
      </c>
      <c r="N23" s="4">
        <f ca="1"/>
        <v>0.25568177488839233</v>
      </c>
      <c r="O23">
        <f ca="1"/>
        <v>0</v>
      </c>
      <c r="P23">
        <f ca="1"/>
        <v>0</v>
      </c>
      <c r="Q23">
        <f ca="1"/>
        <v>0</v>
      </c>
      <c r="R23">
        <f ca="1"/>
        <v>0.58654617980681079</v>
      </c>
      <c r="S23">
        <f ca="1"/>
        <v>1</v>
      </c>
      <c r="T23">
        <f ca="1"/>
        <v>1.6300000000000026</v>
      </c>
      <c r="U23">
        <f ca="1"/>
        <v>0</v>
      </c>
      <c r="V23">
        <f ca="1"/>
        <v>0</v>
      </c>
      <c r="X23" s="2">
        <f t="shared" ca="1" si="1"/>
        <v>45059</v>
      </c>
      <c r="Y23">
        <f t="shared" ca="1" si="2"/>
        <v>0</v>
      </c>
      <c r="AA23" s="63">
        <f t="shared" ca="1" si="4"/>
        <v>46.040560759604794</v>
      </c>
      <c r="AB23" s="63">
        <f t="shared" ca="1" si="5"/>
        <v>46.040560759604794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45060</v>
      </c>
      <c r="K24">
        <f ca="1"/>
        <v>45.082380675216235</v>
      </c>
      <c r="L24">
        <f ca="1"/>
        <v>0</v>
      </c>
      <c r="M24">
        <f ca="1"/>
        <v>-0.18825665941466641</v>
      </c>
      <c r="N24" s="4">
        <f ca="1"/>
        <v>0.24847439305092375</v>
      </c>
      <c r="O24">
        <f ca="1"/>
        <v>0</v>
      </c>
      <c r="P24">
        <f ca="1"/>
        <v>0</v>
      </c>
      <c r="Q24">
        <f ca="1"/>
        <v>0</v>
      </c>
      <c r="R24">
        <f ca="1"/>
        <v>0.43185163821800915</v>
      </c>
      <c r="S24">
        <f ca="1"/>
        <v>1</v>
      </c>
      <c r="T24">
        <f ca="1"/>
        <v>1.2100000000000009</v>
      </c>
      <c r="U24">
        <f ca="1"/>
        <v>0</v>
      </c>
      <c r="V24">
        <f ca="1"/>
        <v>0</v>
      </c>
      <c r="X24" s="2">
        <f t="shared" ca="1" si="1"/>
        <v>45060</v>
      </c>
      <c r="Y24">
        <f t="shared" ca="1" si="2"/>
        <v>0</v>
      </c>
      <c r="AA24" s="63">
        <f t="shared" ca="1" si="4"/>
        <v>45.514232313434242</v>
      </c>
      <c r="AB24" s="63">
        <f t="shared" ca="1" si="5"/>
        <v>45.514232313434242</v>
      </c>
      <c r="AC24" s="3">
        <f t="shared" ca="1" si="6"/>
        <v>0</v>
      </c>
    </row>
    <row r="25" spans="1:29">
      <c r="A25" s="6" t="s">
        <v>117</v>
      </c>
      <c r="B25" s="34">
        <f>PriorHarvestDate</f>
        <v>45047</v>
      </c>
      <c r="H25" t="b">
        <f t="shared" ca="1" si="3"/>
        <v>1</v>
      </c>
      <c r="I25" t="b">
        <f t="shared" ca="1" si="0"/>
        <v>1</v>
      </c>
      <c r="J25" s="2">
        <f ca="1"/>
        <v>45061</v>
      </c>
      <c r="K25">
        <f ca="1"/>
        <v>44.332745171758461</v>
      </c>
      <c r="L25">
        <f ca="1"/>
        <v>0</v>
      </c>
      <c r="M25">
        <f ca="1"/>
        <v>-0.17862724064749003</v>
      </c>
      <c r="N25" s="4">
        <f ca="1"/>
        <v>0.24674616583710265</v>
      </c>
      <c r="O25">
        <f ca="1"/>
        <v>0</v>
      </c>
      <c r="P25">
        <f ca="1"/>
        <v>0</v>
      </c>
      <c r="Q25">
        <f ca="1"/>
        <v>0</v>
      </c>
      <c r="R25">
        <f ca="1"/>
        <v>0.81775442864739389</v>
      </c>
      <c r="S25">
        <f ca="1"/>
        <v>1</v>
      </c>
      <c r="T25">
        <f ca="1"/>
        <v>2.3299999999999983</v>
      </c>
      <c r="U25">
        <f ca="1"/>
        <v>0</v>
      </c>
      <c r="V25">
        <f ca="1"/>
        <v>0</v>
      </c>
      <c r="X25" s="2">
        <f t="shared" ca="1" si="1"/>
        <v>45061</v>
      </c>
      <c r="Y25">
        <f t="shared" ca="1" si="2"/>
        <v>0</v>
      </c>
      <c r="AA25" s="63">
        <f t="shared" ca="1" si="4"/>
        <v>45.150499600405844</v>
      </c>
      <c r="AB25" s="63">
        <f t="shared" ca="1" si="5"/>
        <v>45.150499600405851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45062</v>
      </c>
      <c r="K26">
        <f ca="1"/>
        <v>43.601479363133926</v>
      </c>
      <c r="L26">
        <f ca="1"/>
        <v>0</v>
      </c>
      <c r="M26">
        <f ca="1"/>
        <v>-0.17051019231525766</v>
      </c>
      <c r="N26" s="4">
        <f ca="1"/>
        <v>0.24696178889277556</v>
      </c>
      <c r="O26">
        <f ca="1"/>
        <v>0</v>
      </c>
      <c r="P26">
        <f ca="1"/>
        <v>0</v>
      </c>
      <c r="Q26">
        <f ca="1"/>
        <v>0</v>
      </c>
      <c r="R26">
        <f ca="1"/>
        <v>0.80771740520205704</v>
      </c>
      <c r="S26">
        <f ca="1"/>
        <v>1</v>
      </c>
      <c r="T26">
        <f ca="1"/>
        <v>2.3400000000000034</v>
      </c>
      <c r="U26">
        <f ca="1"/>
        <v>0</v>
      </c>
      <c r="V26">
        <f ca="1"/>
        <v>0</v>
      </c>
      <c r="X26" s="2">
        <f t="shared" ca="1" si="1"/>
        <v>45062</v>
      </c>
      <c r="Y26">
        <f t="shared" ca="1" si="2"/>
        <v>0</v>
      </c>
      <c r="AA26" s="63">
        <f t="shared" ca="1" si="4"/>
        <v>44.409196768335981</v>
      </c>
      <c r="AB26" s="63">
        <f t="shared" ca="1" si="5"/>
        <v>44.409196768335981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45063</v>
      </c>
      <c r="K27">
        <f ca="1"/>
        <v>42.940580483821329</v>
      </c>
      <c r="L27">
        <f ca="1"/>
        <v>0</v>
      </c>
      <c r="M27">
        <f ca="1"/>
        <v>-0.15824309217220245</v>
      </c>
      <c r="N27" s="4">
        <f ca="1"/>
        <v>0.23842706437621505</v>
      </c>
      <c r="O27">
        <f ca="1"/>
        <v>0</v>
      </c>
      <c r="P27">
        <f ca="1"/>
        <v>0</v>
      </c>
      <c r="Q27">
        <f ca="1"/>
        <v>0</v>
      </c>
      <c r="R27">
        <f ca="1"/>
        <v>0.74108285151661624</v>
      </c>
      <c r="S27">
        <f ca="1"/>
        <v>1</v>
      </c>
      <c r="T27">
        <f ca="1"/>
        <v>2.1799999999999997</v>
      </c>
      <c r="U27">
        <f ca="1"/>
        <v>0</v>
      </c>
      <c r="V27">
        <f ca="1"/>
        <v>0</v>
      </c>
      <c r="X27" s="2">
        <f t="shared" ca="1" si="1"/>
        <v>45063</v>
      </c>
      <c r="Y27">
        <f t="shared" ca="1" si="2"/>
        <v>0</v>
      </c>
      <c r="AA27" s="63">
        <f t="shared" ca="1" si="4"/>
        <v>43.681663335337944</v>
      </c>
      <c r="AB27" s="63">
        <f t="shared" ca="1" si="5"/>
        <v>43.681663335337944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45064</v>
      </c>
      <c r="K28">
        <f ca="1"/>
        <v>42.342625004692891</v>
      </c>
      <c r="L28">
        <f ca="1"/>
        <v>0</v>
      </c>
      <c r="M28">
        <f ca="1"/>
        <v>-0.1496056305063842</v>
      </c>
      <c r="N28" s="4">
        <f ca="1"/>
        <v>0.23548354520374024</v>
      </c>
      <c r="O28">
        <f ca="1"/>
        <v>0</v>
      </c>
      <c r="P28">
        <f ca="1"/>
        <v>0</v>
      </c>
      <c r="Q28">
        <f ca="1"/>
        <v>0</v>
      </c>
      <c r="R28">
        <f ca="1"/>
        <v>0.68383339382579011</v>
      </c>
      <c r="S28">
        <f ca="1"/>
        <v>1</v>
      </c>
      <c r="T28">
        <f ca="1"/>
        <v>2.0399999999999991</v>
      </c>
      <c r="U28">
        <f ca="1"/>
        <v>0</v>
      </c>
      <c r="V28">
        <f ca="1"/>
        <v>0</v>
      </c>
      <c r="X28" s="2">
        <f t="shared" ca="1" si="1"/>
        <v>45064</v>
      </c>
      <c r="Y28">
        <f t="shared" ca="1" si="2"/>
        <v>0</v>
      </c>
      <c r="AA28" s="63">
        <f t="shared" ca="1" si="4"/>
        <v>43.026458398518685</v>
      </c>
      <c r="AB28" s="63">
        <f t="shared" ca="1" si="5"/>
        <v>43.026458398518685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GroundStore Potato Agria</v>
      </c>
      <c r="H29" t="b">
        <f t="shared" ca="1" si="3"/>
        <v>1</v>
      </c>
      <c r="I29" t="b">
        <f t="shared" ca="1" si="0"/>
        <v>1</v>
      </c>
      <c r="J29" s="2">
        <f ca="1"/>
        <v>45065</v>
      </c>
      <c r="K29">
        <f ca="1"/>
        <v>42.440782292894845</v>
      </c>
      <c r="L29">
        <f ca="1"/>
        <v>0</v>
      </c>
      <c r="M29">
        <f ca="1"/>
        <v>-0.14751249883953488</v>
      </c>
      <c r="N29" s="4">
        <f ca="1"/>
        <v>0.24566978704148509</v>
      </c>
      <c r="O29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0.99229166666666657</v>
      </c>
      <c r="T29">
        <f ca="1"/>
        <v>0</v>
      </c>
      <c r="U29">
        <f ca="1"/>
        <v>0</v>
      </c>
      <c r="V29">
        <f ca="1"/>
        <v>0</v>
      </c>
      <c r="X29" s="2">
        <f t="shared" ca="1" si="1"/>
        <v>45065</v>
      </c>
      <c r="Y29">
        <f t="shared" ca="1" si="2"/>
        <v>0</v>
      </c>
      <c r="AA29" s="63">
        <f t="shared" ca="1" si="4"/>
        <v>42.440782292894845</v>
      </c>
      <c r="AB29" s="63">
        <f t="shared" ca="1" si="5"/>
        <v>42.440782292894845</v>
      </c>
      <c r="AC29" s="3">
        <f t="shared" ca="1" si="6"/>
        <v>0</v>
      </c>
    </row>
    <row r="30" spans="1:29">
      <c r="A30" s="9" t="s">
        <v>236</v>
      </c>
      <c r="B30" s="11">
        <f>CurrentYield</f>
        <v>80</v>
      </c>
      <c r="H30" t="b">
        <f t="shared" ca="1" si="3"/>
        <v>1</v>
      </c>
      <c r="I30" t="b">
        <f t="shared" ca="1" si="0"/>
        <v>1</v>
      </c>
      <c r="J30" s="2">
        <f ca="1"/>
        <v>45066</v>
      </c>
      <c r="K30">
        <f ca="1"/>
        <v>41.429771279807476</v>
      </c>
      <c r="L30">
        <f ca="1"/>
        <v>0</v>
      </c>
      <c r="M30">
        <f ca="1"/>
        <v>-0.14004462212112756</v>
      </c>
      <c r="N30" s="4">
        <f ca="1"/>
        <v>0.24459630136723751</v>
      </c>
      <c r="O30">
        <f ca="1"/>
        <v>0</v>
      </c>
      <c r="P30">
        <f ca="1"/>
        <v>0</v>
      </c>
      <c r="Q30">
        <f ca="1"/>
        <v>0</v>
      </c>
      <c r="R30">
        <f ca="1"/>
        <v>1.1155626923334776</v>
      </c>
      <c r="S30">
        <f ca="1"/>
        <v>1</v>
      </c>
      <c r="T30">
        <f ca="1"/>
        <v>3.4012541666666607</v>
      </c>
      <c r="U30">
        <f ca="1"/>
        <v>0</v>
      </c>
      <c r="V30">
        <f ca="1"/>
        <v>0</v>
      </c>
      <c r="X30" s="2">
        <f t="shared" ca="1" si="1"/>
        <v>45066</v>
      </c>
      <c r="Y30">
        <f t="shared" ca="1" si="2"/>
        <v>0</v>
      </c>
      <c r="AA30" s="63">
        <f t="shared" ca="1" si="4"/>
        <v>42.545333972140952</v>
      </c>
      <c r="AB30" s="63">
        <f t="shared" ca="1" si="5"/>
        <v>42.545333972140952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45067</v>
      </c>
      <c r="K31">
        <f ca="1"/>
        <v>40.374765163733429</v>
      </c>
      <c r="L31">
        <f ca="1"/>
        <v>0</v>
      </c>
      <c r="M31">
        <f ca="1"/>
        <v>-0.1360101102137552</v>
      </c>
      <c r="N31" s="4">
        <f ca="1"/>
        <v>0.25086281475888478</v>
      </c>
      <c r="O31">
        <f ca="1"/>
        <v>0</v>
      </c>
      <c r="P31">
        <f ca="1"/>
        <v>0</v>
      </c>
      <c r="Q31">
        <f ca="1"/>
        <v>0</v>
      </c>
      <c r="R31">
        <f ca="1"/>
        <v>1.1698588206191751</v>
      </c>
      <c r="S31">
        <f ca="1"/>
        <v>1</v>
      </c>
      <c r="T31">
        <f ca="1"/>
        <v>3.6599999999999966</v>
      </c>
      <c r="U31">
        <f ca="1"/>
        <v>0</v>
      </c>
      <c r="V31">
        <f ca="1"/>
        <v>0</v>
      </c>
      <c r="X31" s="2">
        <f t="shared" ca="1" si="1"/>
        <v>45067</v>
      </c>
      <c r="Y31">
        <f t="shared" ca="1" si="2"/>
        <v>0</v>
      </c>
      <c r="AA31" s="63">
        <f t="shared" ca="1" si="4"/>
        <v>41.544623984352604</v>
      </c>
      <c r="AB31" s="63">
        <f t="shared" ca="1" si="5"/>
        <v>41.544623984352604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45068</v>
      </c>
      <c r="K32">
        <f ca="1"/>
        <v>39.449477245941608</v>
      </c>
      <c r="L32">
        <f ca="1"/>
        <v>0</v>
      </c>
      <c r="M32">
        <f ca="1"/>
        <v>-0.12478487180624054</v>
      </c>
      <c r="N32" s="4">
        <f ca="1"/>
        <v>0.23948379791055882</v>
      </c>
      <c r="O32">
        <f ca="1"/>
        <v>0</v>
      </c>
      <c r="P32">
        <f ca="1"/>
        <v>0</v>
      </c>
      <c r="Q32">
        <f ca="1"/>
        <v>0</v>
      </c>
      <c r="R32">
        <f ca="1"/>
        <v>1.0399868438961375</v>
      </c>
      <c r="S32">
        <f ca="1"/>
        <v>1</v>
      </c>
      <c r="T32">
        <f ca="1"/>
        <v>3.3300000000000054</v>
      </c>
      <c r="U32">
        <f ca="1"/>
        <v>0</v>
      </c>
      <c r="V32">
        <f ca="1"/>
        <v>0</v>
      </c>
      <c r="X32" s="2">
        <f t="shared" ca="1" si="1"/>
        <v>45068</v>
      </c>
      <c r="Y32">
        <f t="shared" ca="1" si="2"/>
        <v>0</v>
      </c>
      <c r="AA32" s="63">
        <f t="shared" ca="1" si="4"/>
        <v>40.489464089837746</v>
      </c>
      <c r="AB32" s="63">
        <f t="shared" ca="1" si="5"/>
        <v>40.489464089837746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45069</v>
      </c>
      <c r="K33">
        <f ca="1"/>
        <v>37.670305458035727</v>
      </c>
      <c r="L33">
        <f ca="1"/>
        <v>0</v>
      </c>
      <c r="M33">
        <f ca="1"/>
        <v>-0.11690966857889595</v>
      </c>
      <c r="N33" s="4">
        <f ca="1"/>
        <v>0.23443776048511222</v>
      </c>
      <c r="O33">
        <f ca="1"/>
        <v>0</v>
      </c>
      <c r="P33">
        <f ca="1"/>
        <v>0</v>
      </c>
      <c r="Q33">
        <f ca="1"/>
        <v>0</v>
      </c>
      <c r="R33">
        <f ca="1"/>
        <v>1.8966998798120986</v>
      </c>
      <c r="S33">
        <f ca="1"/>
        <v>1</v>
      </c>
      <c r="T33">
        <f ca="1"/>
        <v>6.3599999999999994</v>
      </c>
      <c r="U33">
        <f ca="1"/>
        <v>0</v>
      </c>
      <c r="V33">
        <f ca="1"/>
        <v>0</v>
      </c>
      <c r="X33" s="2">
        <f t="shared" ca="1" si="1"/>
        <v>45069</v>
      </c>
      <c r="Y33">
        <f t="shared" ca="1" si="2"/>
        <v>0</v>
      </c>
      <c r="AA33" s="63">
        <f t="shared" ca="1" si="4"/>
        <v>39.567005337847824</v>
      </c>
      <c r="AB33" s="63">
        <f t="shared" ca="1" si="5"/>
        <v>39.567005337847824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45070</v>
      </c>
      <c r="K34">
        <f ca="1"/>
        <v>36.680272234578482</v>
      </c>
      <c r="L34">
        <f ca="1"/>
        <v>0</v>
      </c>
      <c r="M34">
        <f ca="1"/>
        <v>-0.11083529837713701</v>
      </c>
      <c r="N34" s="4">
        <f ca="1"/>
        <v>0.23297849596583792</v>
      </c>
      <c r="O34">
        <f ca="1"/>
        <v>0</v>
      </c>
      <c r="P34">
        <f ca="1"/>
        <v>0</v>
      </c>
      <c r="Q34">
        <f ca="1"/>
        <v>0</v>
      </c>
      <c r="R34">
        <f ca="1"/>
        <v>1.1121764210459477</v>
      </c>
      <c r="S34">
        <f ca="1"/>
        <v>1</v>
      </c>
      <c r="T34">
        <f ca="1"/>
        <v>3.8299999999999983</v>
      </c>
      <c r="U34">
        <f ca="1"/>
        <v>0</v>
      </c>
      <c r="V34">
        <f ca="1"/>
        <v>0</v>
      </c>
      <c r="X34" s="2">
        <f t="shared" ca="1" si="1"/>
        <v>45070</v>
      </c>
      <c r="Y34">
        <f t="shared" ca="1" si="2"/>
        <v>0</v>
      </c>
      <c r="AA34" s="63">
        <f t="shared" ca="1" si="4"/>
        <v>37.792448655624426</v>
      </c>
      <c r="AB34" s="63">
        <f t="shared" ca="1" si="5"/>
        <v>37.792448655624426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45071</v>
      </c>
      <c r="K35">
        <f ca="1"/>
        <v>35.553410081478667</v>
      </c>
      <c r="L35">
        <f ca="1"/>
        <v>0</v>
      </c>
      <c r="M35">
        <f ca="1"/>
        <v>-0.10756526554529255</v>
      </c>
      <c r="N35" s="4">
        <f ca="1"/>
        <v>0.23884941170380042</v>
      </c>
      <c r="O35">
        <f ca="1"/>
        <v>0</v>
      </c>
      <c r="P35">
        <f ca="1"/>
        <v>0</v>
      </c>
      <c r="Q35">
        <f ca="1"/>
        <v>0</v>
      </c>
      <c r="R35">
        <f ca="1"/>
        <v>1.2581462992583261</v>
      </c>
      <c r="S35">
        <f ca="1"/>
        <v>1</v>
      </c>
      <c r="T35">
        <f ca="1"/>
        <v>4.4699999999999989</v>
      </c>
      <c r="U35">
        <f ca="1"/>
        <v>0</v>
      </c>
      <c r="V35">
        <f ca="1"/>
        <v>0</v>
      </c>
      <c r="X35" s="2">
        <f t="shared" ca="1" si="1"/>
        <v>45071</v>
      </c>
      <c r="Y35">
        <f t="shared" ca="1" si="2"/>
        <v>0</v>
      </c>
      <c r="AA35" s="63">
        <f t="shared" ca="1" si="4"/>
        <v>36.811556380736995</v>
      </c>
      <c r="AB35" s="63">
        <f t="shared" ca="1" si="5"/>
        <v>36.811556380736995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45143</v>
      </c>
      <c r="H36" t="b">
        <f t="shared" ca="1" si="3"/>
        <v>1</v>
      </c>
      <c r="I36" t="b">
        <f t="shared" ca="1" si="0"/>
        <v>1</v>
      </c>
      <c r="J36" s="2">
        <f ca="1"/>
        <v>45072</v>
      </c>
      <c r="K36">
        <f ca="1"/>
        <v>34.216704049290001</v>
      </c>
      <c r="L36">
        <f ca="1"/>
        <v>0</v>
      </c>
      <c r="M36">
        <f ca="1"/>
        <v>-0.10508238204694464</v>
      </c>
      <c r="N36" s="4">
        <f ca="1"/>
        <v>0.24739338238883696</v>
      </c>
      <c r="O36">
        <f ca="1"/>
        <v>0</v>
      </c>
      <c r="P36">
        <f ca="1"/>
        <v>0</v>
      </c>
      <c r="Q36">
        <f ca="1"/>
        <v>0</v>
      </c>
      <c r="R36">
        <f ca="1"/>
        <v>1.4790170325305587</v>
      </c>
      <c r="S36">
        <f ca="1"/>
        <v>1</v>
      </c>
      <c r="T36">
        <f ca="1"/>
        <v>5.4599999999999937</v>
      </c>
      <c r="U36">
        <f ca="1"/>
        <v>0</v>
      </c>
      <c r="V36">
        <f ca="1"/>
        <v>0</v>
      </c>
      <c r="X36" s="2">
        <f t="shared" ca="1" si="1"/>
        <v>45072</v>
      </c>
      <c r="Y36">
        <f t="shared" ca="1" si="2"/>
        <v>0</v>
      </c>
      <c r="AA36" s="63">
        <f t="shared" ca="1" si="4"/>
        <v>35.695721081820558</v>
      </c>
      <c r="AB36" s="63">
        <f t="shared" ca="1" si="5"/>
        <v>35.695721081820558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45073</v>
      </c>
      <c r="K37">
        <f ca="1"/>
        <v>33.602467882290689</v>
      </c>
      <c r="L37">
        <f ca="1"/>
        <v>0</v>
      </c>
      <c r="M37">
        <f ca="1"/>
        <v>-9.5629825060068896E-2</v>
      </c>
      <c r="N37" s="4">
        <f ca="1"/>
        <v>0.2342289489069187</v>
      </c>
      <c r="O37">
        <f ca="1"/>
        <v>0</v>
      </c>
      <c r="P37">
        <f ca="1"/>
        <v>0</v>
      </c>
      <c r="Q37">
        <f ca="1"/>
        <v>0</v>
      </c>
      <c r="R37">
        <f ca="1"/>
        <v>0.75283529084615408</v>
      </c>
      <c r="S37">
        <f ca="1"/>
        <v>1</v>
      </c>
      <c r="T37">
        <f ca="1"/>
        <v>2.8299999999999983</v>
      </c>
      <c r="U37">
        <f ca="1"/>
        <v>0</v>
      </c>
      <c r="V37">
        <f ca="1"/>
        <v>0</v>
      </c>
      <c r="X37" s="2">
        <f t="shared" ca="1" si="1"/>
        <v>45073</v>
      </c>
      <c r="Y37">
        <f t="shared" ca="1" si="2"/>
        <v>0</v>
      </c>
      <c r="AA37" s="63">
        <f t="shared" ca="1" si="4"/>
        <v>34.355303173136846</v>
      </c>
      <c r="AB37" s="63">
        <f t="shared" ca="1" si="5"/>
        <v>34.355303173136846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45293</v>
      </c>
      <c r="H38" t="b">
        <f t="shared" ca="1" si="3"/>
        <v>1</v>
      </c>
      <c r="I38" t="b">
        <f t="shared" ca="1" si="0"/>
        <v>1</v>
      </c>
      <c r="J38" s="2">
        <f ca="1"/>
        <v>45074</v>
      </c>
      <c r="K38">
        <f ca="1"/>
        <v>33.124239384161797</v>
      </c>
      <c r="L38">
        <f ca="1"/>
        <v>0</v>
      </c>
      <c r="M38">
        <f ca="1"/>
        <v>-8.6520048527943594E-2</v>
      </c>
      <c r="N38" s="4">
        <f ca="1"/>
        <v>0.21929574937273377</v>
      </c>
      <c r="O38">
        <f ca="1"/>
        <v>0</v>
      </c>
      <c r="P38">
        <f ca="1"/>
        <v>0</v>
      </c>
      <c r="Q38">
        <f ca="1"/>
        <v>0</v>
      </c>
      <c r="R38">
        <f ca="1"/>
        <v>0.61100419897368397</v>
      </c>
      <c r="S38">
        <f ca="1"/>
        <v>1</v>
      </c>
      <c r="T38">
        <f ca="1"/>
        <v>2.3299999999999983</v>
      </c>
      <c r="U38">
        <f ca="1"/>
        <v>0</v>
      </c>
      <c r="V38">
        <f ca="1"/>
        <v>0</v>
      </c>
      <c r="X38" s="2">
        <f t="shared" ca="1" si="1"/>
        <v>45074</v>
      </c>
      <c r="Y38">
        <f t="shared" ca="1" si="2"/>
        <v>0</v>
      </c>
      <c r="AA38" s="63">
        <f t="shared" ca="1" si="4"/>
        <v>33.735243583135478</v>
      </c>
      <c r="AB38" s="63">
        <f t="shared" ca="1" si="5"/>
        <v>33.735243583135478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Late</v>
      </c>
      <c r="H39" t="b">
        <f t="shared" ca="1" si="3"/>
        <v>1</v>
      </c>
      <c r="I39" t="b">
        <f t="shared" ca="1" si="0"/>
        <v>1</v>
      </c>
      <c r="J39" s="2">
        <f ca="1"/>
        <v>45075</v>
      </c>
      <c r="K39">
        <f ca="1"/>
        <v>32.354232266977824</v>
      </c>
      <c r="L39">
        <f ca="1"/>
        <v>0</v>
      </c>
      <c r="M39">
        <f ca="1"/>
        <v>-8.0361976303870541E-2</v>
      </c>
      <c r="N39" s="4">
        <f ca="1"/>
        <v>0.21195946495968632</v>
      </c>
      <c r="O39">
        <f ca="1"/>
        <v>0</v>
      </c>
      <c r="P39">
        <f ca="1"/>
        <v>0</v>
      </c>
      <c r="Q39">
        <f ca="1"/>
        <v>0</v>
      </c>
      <c r="R39">
        <f ca="1"/>
        <v>0.90160460583978297</v>
      </c>
      <c r="S39">
        <f ca="1"/>
        <v>1</v>
      </c>
      <c r="T39">
        <f ca="1"/>
        <v>3.5200000000000031</v>
      </c>
      <c r="U39">
        <f ca="1"/>
        <v>0</v>
      </c>
      <c r="V39">
        <f ca="1"/>
        <v>0</v>
      </c>
      <c r="X39" s="2">
        <f t="shared" ca="1" si="1"/>
        <v>45075</v>
      </c>
      <c r="Y39">
        <f t="shared" ca="1" si="2"/>
        <v>0</v>
      </c>
      <c r="AA39" s="63">
        <f t="shared" ca="1" si="4"/>
        <v>33.255836872817611</v>
      </c>
      <c r="AB39" s="63">
        <f t="shared" ca="1" si="5"/>
        <v>33.255836872817611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45076</v>
      </c>
      <c r="K40">
        <f ca="1"/>
        <v>31.479670686919537</v>
      </c>
      <c r="L40">
        <f ca="1"/>
        <v>0</v>
      </c>
      <c r="M40">
        <f ca="1"/>
        <v>-7.8156198161132728E-2</v>
      </c>
      <c r="N40" s="4">
        <f ca="1"/>
        <v>0.21789584069429485</v>
      </c>
      <c r="O40">
        <f ca="1"/>
        <v>0</v>
      </c>
      <c r="P40">
        <f ca="1"/>
        <v>0</v>
      </c>
      <c r="Q40">
        <f ca="1"/>
        <v>0</v>
      </c>
      <c r="R40">
        <f ca="1"/>
        <v>1.0143012225914534</v>
      </c>
      <c r="S40">
        <f ca="1"/>
        <v>1</v>
      </c>
      <c r="T40">
        <f ca="1"/>
        <v>4.07</v>
      </c>
      <c r="U40">
        <f ca="1"/>
        <v>0</v>
      </c>
      <c r="V40">
        <f ca="1"/>
        <v>0</v>
      </c>
      <c r="X40" s="2">
        <f t="shared" ca="1" si="1"/>
        <v>45076</v>
      </c>
      <c r="Y40">
        <f t="shared" ca="1" si="2"/>
        <v>0</v>
      </c>
      <c r="AA40" s="63">
        <f t="shared" ca="1" si="4"/>
        <v>32.493971909510989</v>
      </c>
      <c r="AB40" s="63">
        <f t="shared" ca="1" si="5"/>
        <v>32.493971909510989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45077</v>
      </c>
      <c r="K41">
        <f ca="1"/>
        <v>30.592033503652239</v>
      </c>
      <c r="L41">
        <f ca="1"/>
        <v>0</v>
      </c>
      <c r="M41">
        <f ca="1"/>
        <v>-7.29202866034937E-2</v>
      </c>
      <c r="N41">
        <f ca="1"/>
        <v>0.21215569460878969</v>
      </c>
      <c r="O41">
        <f ca="1"/>
        <v>0</v>
      </c>
      <c r="P41">
        <f ca="1"/>
        <v>0</v>
      </c>
      <c r="Q41">
        <f ca="1"/>
        <v>0</v>
      </c>
      <c r="R41">
        <f ca="1"/>
        <v>1.0268725912725938</v>
      </c>
      <c r="S41">
        <f ca="1"/>
        <v>1</v>
      </c>
      <c r="T41">
        <f ca="1"/>
        <v>4.240000000000002</v>
      </c>
      <c r="U41">
        <f ca="1"/>
        <v>0</v>
      </c>
      <c r="V41">
        <f ca="1"/>
        <v>0</v>
      </c>
      <c r="X41" s="2">
        <f t="shared" ca="1" si="1"/>
        <v>45077</v>
      </c>
      <c r="Y41">
        <f t="shared" ca="1" si="2"/>
        <v>0</v>
      </c>
      <c r="AA41" s="63">
        <f t="shared" ca="1" si="4"/>
        <v>31.618906094924832</v>
      </c>
      <c r="AB41" s="63">
        <f t="shared" ca="1" si="5"/>
        <v>31.618906094924832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45078</v>
      </c>
      <c r="K42">
        <f ca="1"/>
        <v>30.050087239354891</v>
      </c>
      <c r="L42">
        <f ca="1"/>
        <v>0</v>
      </c>
      <c r="M42">
        <f ca="1"/>
        <v>-6.9549340612180544E-2</v>
      </c>
      <c r="N42">
        <f ca="1"/>
        <v>0.21274506537212654</v>
      </c>
      <c r="O42">
        <f ca="1"/>
        <v>0</v>
      </c>
      <c r="P42">
        <f ca="1"/>
        <v>0</v>
      </c>
      <c r="Q42">
        <f ca="1"/>
        <v>0</v>
      </c>
      <c r="R42">
        <f ca="1"/>
        <v>0.68514198905729218</v>
      </c>
      <c r="S42">
        <f ca="1"/>
        <v>1</v>
      </c>
      <c r="T42">
        <f ca="1"/>
        <v>2.8800000000000026</v>
      </c>
      <c r="U42">
        <f ca="1"/>
        <v>0</v>
      </c>
      <c r="V42">
        <f ca="1"/>
        <v>0</v>
      </c>
      <c r="X42" s="2">
        <f t="shared" ca="1" si="1"/>
        <v>45078</v>
      </c>
      <c r="Y42">
        <f t="shared" ca="1" si="2"/>
        <v>0</v>
      </c>
      <c r="AA42" s="63">
        <f t="shared" ca="1" si="4"/>
        <v>30.735229228412184</v>
      </c>
      <c r="AB42" s="63">
        <f t="shared" ca="1" si="5"/>
        <v>30.735229228412184</v>
      </c>
      <c r="AC42" s="3">
        <f t="shared" ca="1" si="6"/>
        <v>0</v>
      </c>
    </row>
    <row r="43" spans="1:29">
      <c r="A43" s="6" t="s">
        <v>237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45079</v>
      </c>
      <c r="K43">
        <f ca="1"/>
        <v>29.310193479180583</v>
      </c>
      <c r="L43">
        <f ca="1"/>
        <v>0</v>
      </c>
      <c r="M43">
        <f ca="1"/>
        <v>-6.5438616016043838E-2</v>
      </c>
      <c r="N43">
        <f ca="1"/>
        <v>0.20961356665751493</v>
      </c>
      <c r="O43">
        <f ca="1"/>
        <v>0</v>
      </c>
      <c r="P43">
        <f ca="1"/>
        <v>0</v>
      </c>
      <c r="Q43">
        <f ca="1"/>
        <v>0</v>
      </c>
      <c r="R43">
        <f ca="1"/>
        <v>0.88406871081578331</v>
      </c>
      <c r="S43">
        <f ca="1"/>
        <v>1</v>
      </c>
      <c r="T43">
        <f ca="1"/>
        <v>3.8099999999999952</v>
      </c>
      <c r="U43">
        <f ca="1"/>
        <v>0</v>
      </c>
      <c r="V43">
        <f ca="1"/>
        <v>0</v>
      </c>
      <c r="X43" s="2">
        <f t="shared" ca="1" si="1"/>
        <v>45079</v>
      </c>
      <c r="Y43">
        <f t="shared" ca="1" si="2"/>
        <v>0</v>
      </c>
      <c r="AA43" s="63">
        <f t="shared" ca="1" si="4"/>
        <v>30.194262189996365</v>
      </c>
      <c r="AB43" s="63">
        <f t="shared" ca="1" si="5"/>
        <v>30.194262189996365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45080</v>
      </c>
      <c r="K44">
        <f ca="1"/>
        <v>29.149453781850184</v>
      </c>
      <c r="L44">
        <f ca="1"/>
        <v>0</v>
      </c>
      <c r="M44">
        <f ca="1"/>
        <v>-6.000201824020035E-2</v>
      </c>
      <c r="N44">
        <f ca="1"/>
        <v>0.19925878274801007</v>
      </c>
      <c r="O44">
        <f ca="1"/>
        <v>0</v>
      </c>
      <c r="P44">
        <f ca="1"/>
        <v>0</v>
      </c>
      <c r="Q44">
        <f ca="1"/>
        <v>0</v>
      </c>
      <c r="R44">
        <f ca="1"/>
        <v>0.29999646183820755</v>
      </c>
      <c r="S44">
        <f ca="1"/>
        <v>1</v>
      </c>
      <c r="T44">
        <f ca="1"/>
        <v>1.2999999999999972</v>
      </c>
      <c r="U44">
        <f ca="1"/>
        <v>0</v>
      </c>
      <c r="V44">
        <f ca="1"/>
        <v>0</v>
      </c>
      <c r="X44" s="2">
        <f t="shared" ca="1" si="1"/>
        <v>45080</v>
      </c>
      <c r="Y44">
        <f t="shared" ca="1" si="2"/>
        <v>0</v>
      </c>
      <c r="AA44" s="63">
        <f t="shared" ca="1" si="4"/>
        <v>29.449450243688393</v>
      </c>
      <c r="AB44" s="63">
        <f t="shared" ca="1" si="5"/>
        <v>29.449450243688393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45081</v>
      </c>
      <c r="K45">
        <f ca="1"/>
        <v>28.604815625642068</v>
      </c>
      <c r="L45">
        <f ca="1"/>
        <v>0</v>
      </c>
      <c r="M45">
        <f ca="1"/>
        <v>-5.7556974314578291E-2</v>
      </c>
      <c r="N45">
        <f ca="1"/>
        <v>0.20134138083024905</v>
      </c>
      <c r="O45">
        <f ca="1"/>
        <v>0</v>
      </c>
      <c r="P45">
        <f ca="1"/>
        <v>0</v>
      </c>
      <c r="Q45">
        <f ca="1"/>
        <v>0</v>
      </c>
      <c r="R45">
        <f ca="1"/>
        <v>0.68842256272378566</v>
      </c>
      <c r="S45">
        <f ca="1"/>
        <v>1</v>
      </c>
      <c r="T45">
        <f ca="1"/>
        <v>3.0399999999999991</v>
      </c>
      <c r="U45">
        <f ca="1"/>
        <v>0</v>
      </c>
      <c r="V45">
        <f ca="1"/>
        <v>0</v>
      </c>
      <c r="X45" s="2">
        <f t="shared" ca="1" si="1"/>
        <v>45081</v>
      </c>
      <c r="Y45">
        <f t="shared" ca="1" si="2"/>
        <v>0</v>
      </c>
      <c r="AA45" s="63">
        <f t="shared" ca="1" si="4"/>
        <v>29.293238188365855</v>
      </c>
      <c r="AB45" s="63">
        <f t="shared" ca="1" si="5"/>
        <v>29.293238188365855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45082</v>
      </c>
      <c r="K46">
        <f ca="1"/>
        <v>28.296422361617406</v>
      </c>
      <c r="L46">
        <f ca="1"/>
        <v>0</v>
      </c>
      <c r="M46">
        <f ca="1"/>
        <v>-5.5226269854161458E-2</v>
      </c>
      <c r="N46">
        <f ca="1"/>
        <v>0.20382022696961694</v>
      </c>
      <c r="O46">
        <f ca="1"/>
        <v>0</v>
      </c>
      <c r="P46">
        <f ca="1"/>
        <v>0</v>
      </c>
      <c r="Q46">
        <f ca="1"/>
        <v>0</v>
      </c>
      <c r="R46">
        <f ca="1"/>
        <v>0.45698722114012102</v>
      </c>
      <c r="S46">
        <f ca="1"/>
        <v>1</v>
      </c>
      <c r="T46">
        <f ca="1"/>
        <v>2.0399999999999991</v>
      </c>
      <c r="U46">
        <f ca="1"/>
        <v>0</v>
      </c>
      <c r="V46">
        <f ca="1"/>
        <v>0</v>
      </c>
      <c r="X46" s="2">
        <f t="shared" ca="1" si="1"/>
        <v>45082</v>
      </c>
      <c r="Y46">
        <f t="shared" ca="1" si="2"/>
        <v>0</v>
      </c>
      <c r="AA46" s="63">
        <f t="shared" ca="1" si="4"/>
        <v>28.753409582757527</v>
      </c>
      <c r="AB46" s="63">
        <f t="shared" ca="1" si="5"/>
        <v>28.753409582757527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45083</v>
      </c>
      <c r="K47">
        <f ca="1"/>
        <v>27.968582741691439</v>
      </c>
      <c r="L47">
        <f ca="1"/>
        <v>0</v>
      </c>
      <c r="M47">
        <f ca="1"/>
        <v>-5.2250628777850139E-2</v>
      </c>
      <c r="N47">
        <f ca="1"/>
        <v>0.2026737737348096</v>
      </c>
      <c r="O47">
        <f ca="1"/>
        <v>0</v>
      </c>
      <c r="P47">
        <f ca="1"/>
        <v>0</v>
      </c>
      <c r="Q47">
        <f ca="1"/>
        <v>0</v>
      </c>
      <c r="R47">
        <f ca="1"/>
        <v>0.47826276488292291</v>
      </c>
      <c r="S47">
        <f ca="1"/>
        <v>1</v>
      </c>
      <c r="T47">
        <f ca="1"/>
        <v>2.1599999999999966</v>
      </c>
      <c r="U47">
        <f ca="1"/>
        <v>0</v>
      </c>
      <c r="V47">
        <f ca="1"/>
        <v>0</v>
      </c>
      <c r="X47" s="2">
        <f t="shared" ca="1" si="1"/>
        <v>45083</v>
      </c>
      <c r="Y47">
        <f t="shared" ca="1" si="2"/>
        <v>0</v>
      </c>
      <c r="AA47" s="63">
        <f t="shared" ca="1" si="4"/>
        <v>28.446845506574363</v>
      </c>
      <c r="AB47" s="63">
        <f t="shared" ca="1" si="5"/>
        <v>28.446845506574363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45084</v>
      </c>
      <c r="K48">
        <f ca="1"/>
        <v>27.741249105951702</v>
      </c>
      <c r="L48">
        <f ca="1"/>
        <v>0</v>
      </c>
      <c r="M48">
        <f ca="1"/>
        <v>-4.9976640655777338E-2</v>
      </c>
      <c r="N48">
        <f ca="1"/>
        <v>0.20477871135052383</v>
      </c>
      <c r="O48">
        <f ca="1"/>
        <v>0</v>
      </c>
      <c r="P48">
        <f ca="1"/>
        <v>0</v>
      </c>
      <c r="Q48">
        <f ca="1"/>
        <v>0</v>
      </c>
      <c r="R48">
        <f ca="1"/>
        <v>0.38213570643448358</v>
      </c>
      <c r="S48">
        <f ca="1"/>
        <v>1</v>
      </c>
      <c r="T48">
        <f ca="1"/>
        <v>1.7399999999999949</v>
      </c>
      <c r="U48">
        <f ca="1"/>
        <v>0</v>
      </c>
      <c r="V48">
        <f ca="1"/>
        <v>0</v>
      </c>
      <c r="X48" s="2">
        <f t="shared" ca="1" si="1"/>
        <v>45084</v>
      </c>
      <c r="Y48">
        <f t="shared" ca="1" si="2"/>
        <v>0</v>
      </c>
      <c r="AA48" s="63">
        <f t="shared" ca="1" si="4"/>
        <v>28.123384812386185</v>
      </c>
      <c r="AB48" s="63">
        <f t="shared" ca="1" si="5"/>
        <v>28.123384812386185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45308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45085</v>
      </c>
      <c r="K49">
        <f ca="1"/>
        <v>27.593125859984216</v>
      </c>
      <c r="L49">
        <f ca="1"/>
        <v>0</v>
      </c>
      <c r="M49">
        <f ca="1"/>
        <v>-4.8324239305463479E-2</v>
      </c>
      <c r="N49">
        <f ca="1"/>
        <v>0.21039371654730044</v>
      </c>
      <c r="O49">
        <f ca="1"/>
        <v>0</v>
      </c>
      <c r="P49">
        <f ca="1"/>
        <v>0</v>
      </c>
      <c r="Q49">
        <f ca="1"/>
        <v>0</v>
      </c>
      <c r="R49">
        <f ca="1"/>
        <v>0.3101927232093214</v>
      </c>
      <c r="S49">
        <f ca="1"/>
        <v>1</v>
      </c>
      <c r="T49">
        <f ca="1"/>
        <v>1.4199999999999946</v>
      </c>
      <c r="U49">
        <f ca="1"/>
        <v>0</v>
      </c>
      <c r="V49">
        <f ca="1"/>
        <v>0</v>
      </c>
      <c r="X49" s="2">
        <f t="shared" ca="1" si="1"/>
        <v>45085</v>
      </c>
      <c r="Y49">
        <f t="shared" ca="1" si="2"/>
        <v>0</v>
      </c>
      <c r="AA49" s="63">
        <f t="shared" ca="1" si="4"/>
        <v>27.903318583193538</v>
      </c>
      <c r="AB49" s="63">
        <f t="shared" ca="1" si="5"/>
        <v>27.903318583193538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45086</v>
      </c>
      <c r="K50">
        <f ca="1"/>
        <v>26.951355580017786</v>
      </c>
      <c r="L50">
        <f ca="1"/>
        <v>0</v>
      </c>
      <c r="M50">
        <f ca="1"/>
        <v>-4.6945502694904384E-2</v>
      </c>
      <c r="N50">
        <f ca="1"/>
        <v>0.2180954854107606</v>
      </c>
      <c r="O50">
        <f ca="1"/>
        <v>0</v>
      </c>
      <c r="P50">
        <f ca="1"/>
        <v>0</v>
      </c>
      <c r="Q50">
        <f ca="1"/>
        <v>0</v>
      </c>
      <c r="R50">
        <f ca="1"/>
        <v>0.81292026268228679</v>
      </c>
      <c r="S50">
        <f ca="1"/>
        <v>1</v>
      </c>
      <c r="T50">
        <f ca="1"/>
        <v>3.8100000000000023</v>
      </c>
      <c r="U50">
        <f ca="1"/>
        <v>0</v>
      </c>
      <c r="V50">
        <f ca="1"/>
        <v>0</v>
      </c>
      <c r="X50" s="2">
        <f t="shared" ca="1" si="1"/>
        <v>45086</v>
      </c>
      <c r="Y50">
        <f t="shared" ca="1" si="2"/>
        <v>0</v>
      </c>
      <c r="AA50" s="63">
        <f t="shared" ca="1" si="4"/>
        <v>27.764275842700073</v>
      </c>
      <c r="AB50" s="63">
        <f t="shared" ca="1" si="5"/>
        <v>27.764275842700073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45428</v>
      </c>
      <c r="H51" t="b">
        <f t="shared" ca="1" si="3"/>
        <v>1</v>
      </c>
      <c r="I51" t="b">
        <f t="shared" ca="1" si="0"/>
        <v>1</v>
      </c>
      <c r="J51" s="2">
        <f ca="1"/>
        <v>45087</v>
      </c>
      <c r="K51">
        <f ca="1"/>
        <v>25.916994771304719</v>
      </c>
      <c r="L51">
        <f ca="1"/>
        <v>0</v>
      </c>
      <c r="M51">
        <f ca="1"/>
        <v>-4.4368057048247422E-2</v>
      </c>
      <c r="N51">
        <f ca="1"/>
        <v>0.21849511702547286</v>
      </c>
      <c r="O51">
        <f ca="1"/>
        <v>0</v>
      </c>
      <c r="P51">
        <f ca="1"/>
        <v>0</v>
      </c>
      <c r="Q51">
        <f ca="1"/>
        <v>0</v>
      </c>
      <c r="R51">
        <f ca="1"/>
        <v>1.2084878686902962</v>
      </c>
      <c r="S51">
        <f ca="1"/>
        <v>1</v>
      </c>
      <c r="T51">
        <f ca="1"/>
        <v>5.8900000000000006</v>
      </c>
      <c r="U51">
        <f ca="1"/>
        <v>0</v>
      </c>
      <c r="V51">
        <f ca="1"/>
        <v>0</v>
      </c>
      <c r="X51" s="2">
        <f t="shared" ca="1" si="1"/>
        <v>45087</v>
      </c>
      <c r="Y51">
        <f t="shared" ca="1" si="2"/>
        <v>0</v>
      </c>
      <c r="AA51" s="63">
        <f t="shared" ca="1" si="4"/>
        <v>27.12548263999501</v>
      </c>
      <c r="AB51" s="63">
        <f t="shared" ca="1" si="5"/>
        <v>27.125482639995013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45088</v>
      </c>
      <c r="K52">
        <f ca="1"/>
        <v>25.383330834160372</v>
      </c>
      <c r="L52">
        <f ca="1"/>
        <v>0</v>
      </c>
      <c r="M52">
        <f ca="1"/>
        <v>-4.1992840844766732E-2</v>
      </c>
      <c r="N52">
        <f ca="1"/>
        <v>0.2196967503277642</v>
      </c>
      <c r="O52">
        <f ca="1"/>
        <v>0</v>
      </c>
      <c r="P52">
        <f ca="1"/>
        <v>0</v>
      </c>
      <c r="Q52">
        <f ca="1"/>
        <v>0</v>
      </c>
      <c r="R52">
        <f ca="1"/>
        <v>0.7113678466273442</v>
      </c>
      <c r="S52">
        <f ca="1"/>
        <v>1</v>
      </c>
      <c r="T52">
        <f ca="1"/>
        <v>3.5399999999999991</v>
      </c>
      <c r="U52">
        <f ca="1"/>
        <v>0</v>
      </c>
      <c r="V52">
        <f ca="1"/>
        <v>0</v>
      </c>
      <c r="X52" s="2">
        <f t="shared" ca="1" si="1"/>
        <v>45088</v>
      </c>
      <c r="Y52">
        <f t="shared" ca="1" si="2"/>
        <v>0</v>
      </c>
      <c r="AA52" s="63">
        <f t="shared" ca="1" si="4"/>
        <v>26.094698680787715</v>
      </c>
      <c r="AB52" s="63">
        <f t="shared" ca="1" si="5"/>
        <v>26.094698680787715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45089</v>
      </c>
      <c r="K53">
        <f ca="1"/>
        <v>24.998339213918449</v>
      </c>
      <c r="L53">
        <f ca="1"/>
        <v>0</v>
      </c>
      <c r="M53">
        <f ca="1"/>
        <v>-3.9049795360860173E-2</v>
      </c>
      <c r="N53">
        <f ca="1"/>
        <v>0.21610416844520289</v>
      </c>
      <c r="O53">
        <f ca="1"/>
        <v>0</v>
      </c>
      <c r="P53">
        <f ca="1"/>
        <v>0</v>
      </c>
      <c r="Q53">
        <f ca="1"/>
        <v>0</v>
      </c>
      <c r="R53">
        <f ca="1"/>
        <v>0.56204599332626559</v>
      </c>
      <c r="S53">
        <f ca="1"/>
        <v>1</v>
      </c>
      <c r="T53">
        <f ca="1"/>
        <v>2.8399999999999963</v>
      </c>
      <c r="U53">
        <f ca="1"/>
        <v>0</v>
      </c>
      <c r="V53">
        <f ca="1"/>
        <v>0</v>
      </c>
      <c r="X53" s="2">
        <f t="shared" ca="1" si="1"/>
        <v>45089</v>
      </c>
      <c r="Y53">
        <f t="shared" ca="1" si="2"/>
        <v>0</v>
      </c>
      <c r="AA53" s="63">
        <f t="shared" ca="1" si="4"/>
        <v>25.560385207244714</v>
      </c>
      <c r="AB53" s="63">
        <f t="shared" ca="1" si="5"/>
        <v>25.560385207244714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45090</v>
      </c>
      <c r="K54">
        <f ca="1"/>
        <v>24.756959069079638</v>
      </c>
      <c r="L54">
        <f ca="1"/>
        <v>0</v>
      </c>
      <c r="M54">
        <f ca="1"/>
        <v>-3.6267960420594214E-2</v>
      </c>
      <c r="N54">
        <f ca="1"/>
        <v>0.21235203788413951</v>
      </c>
      <c r="O54">
        <f ca="1"/>
        <v>0</v>
      </c>
      <c r="P54">
        <f ca="1"/>
        <v>0</v>
      </c>
      <c r="Q54">
        <f ca="1"/>
        <v>0</v>
      </c>
      <c r="R54">
        <f ca="1"/>
        <v>0.41746422230235591</v>
      </c>
      <c r="S54">
        <f ca="1"/>
        <v>1</v>
      </c>
      <c r="T54">
        <f ca="1"/>
        <v>2.1300000000000026</v>
      </c>
      <c r="U54">
        <f ca="1"/>
        <v>0</v>
      </c>
      <c r="V54">
        <f ca="1"/>
        <v>0</v>
      </c>
      <c r="X54" s="2">
        <f t="shared" ca="1" si="1"/>
        <v>45090</v>
      </c>
      <c r="Y54">
        <f t="shared" ca="1" si="2"/>
        <v>0</v>
      </c>
      <c r="AA54" s="63">
        <f t="shared" ca="1" si="4"/>
        <v>25.174423291381995</v>
      </c>
      <c r="AB54" s="63">
        <f t="shared" ca="1" si="5"/>
        <v>25.174423291381995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45091</v>
      </c>
      <c r="K55">
        <f ca="1"/>
        <v>24.544634064282125</v>
      </c>
      <c r="L55">
        <f ca="1"/>
        <v>0</v>
      </c>
      <c r="M55">
        <f ca="1"/>
        <v>-3.2815480396986452E-2</v>
      </c>
      <c r="N55">
        <f ca="1"/>
        <v>0.20134138083024905</v>
      </c>
      <c r="O55">
        <f ca="1"/>
        <v>0</v>
      </c>
      <c r="P55">
        <f ca="1"/>
        <v>0</v>
      </c>
      <c r="Q55">
        <f ca="1"/>
        <v>0</v>
      </c>
      <c r="R55">
        <f ca="1"/>
        <v>0.38085090523077636</v>
      </c>
      <c r="S55">
        <f ca="1"/>
        <v>1</v>
      </c>
      <c r="T55">
        <f ca="1"/>
        <v>1.9599999999999937</v>
      </c>
      <c r="U55">
        <f ca="1"/>
        <v>0</v>
      </c>
      <c r="V55">
        <f ca="1"/>
        <v>0</v>
      </c>
      <c r="X55" s="2">
        <f t="shared" ca="1" si="1"/>
        <v>45091</v>
      </c>
      <c r="Y55">
        <f t="shared" ca="1" si="2"/>
        <v>0</v>
      </c>
      <c r="AA55" s="63">
        <f t="shared" ca="1" si="4"/>
        <v>24.925484969512901</v>
      </c>
      <c r="AB55" s="63">
        <f t="shared" ca="1" si="5"/>
        <v>24.925484969512901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45092</v>
      </c>
      <c r="K56">
        <f ca="1"/>
        <v>23.758732409365457</v>
      </c>
      <c r="L56">
        <f ca="1"/>
        <v>0</v>
      </c>
      <c r="M56">
        <f ca="1"/>
        <v>-3.1006826910443763E-2</v>
      </c>
      <c r="N56">
        <f ca="1"/>
        <v>0.20248309337282872</v>
      </c>
      <c r="O56">
        <f ca="1"/>
        <v>0</v>
      </c>
      <c r="P56">
        <f ca="1"/>
        <v>0</v>
      </c>
      <c r="Q56">
        <f ca="1"/>
        <v>0</v>
      </c>
      <c r="R56">
        <f ca="1"/>
        <v>0.95737792137905486</v>
      </c>
      <c r="S56">
        <f ca="1"/>
        <v>1</v>
      </c>
      <c r="T56">
        <f ca="1"/>
        <v>5.0899999999999963</v>
      </c>
      <c r="U56">
        <f ca="1"/>
        <v>0</v>
      </c>
      <c r="V56">
        <f ca="1"/>
        <v>0</v>
      </c>
      <c r="X56" s="2">
        <f t="shared" ca="1" si="1"/>
        <v>45092</v>
      </c>
      <c r="Y56">
        <f t="shared" ca="1" si="2"/>
        <v>0</v>
      </c>
      <c r="AA56" s="63">
        <f t="shared" ca="1" si="4"/>
        <v>24.71611033074451</v>
      </c>
      <c r="AB56" s="63">
        <f t="shared" ca="1" si="5"/>
        <v>24.716110330744513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45093</v>
      </c>
      <c r="K57">
        <f ca="1"/>
        <v>23.387414097721354</v>
      </c>
      <c r="L57">
        <f ca="1"/>
        <v>0</v>
      </c>
      <c r="M57">
        <f ca="1"/>
        <v>-2.8034150248653411E-2</v>
      </c>
      <c r="N57">
        <f ca="1"/>
        <v>0.19180038364866461</v>
      </c>
      <c r="O57">
        <f ca="1"/>
        <v>0</v>
      </c>
      <c r="P57">
        <f ca="1"/>
        <v>0</v>
      </c>
      <c r="Q57">
        <f ca="1"/>
        <v>0</v>
      </c>
      <c r="R57">
        <f ca="1"/>
        <v>0.53508454504411529</v>
      </c>
      <c r="S57">
        <f ca="1"/>
        <v>1</v>
      </c>
      <c r="T57">
        <f ca="1"/>
        <v>2.8899999999999935</v>
      </c>
      <c r="U57">
        <f ca="1"/>
        <v>0</v>
      </c>
      <c r="V57">
        <f ca="1"/>
        <v>0</v>
      </c>
      <c r="X57" s="2">
        <f t="shared" ca="1" si="1"/>
        <v>45093</v>
      </c>
      <c r="Y57">
        <f t="shared" ca="1" si="2"/>
        <v>0</v>
      </c>
      <c r="AA57" s="63">
        <f t="shared" ca="1" si="4"/>
        <v>23.922498642765468</v>
      </c>
      <c r="AB57" s="63">
        <f t="shared" ca="1" si="5"/>
        <v>23.922498642765468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45094</v>
      </c>
      <c r="K58">
        <f ca="1"/>
        <v>22.938413196231604</v>
      </c>
      <c r="L58">
        <f ca="1"/>
        <v>0</v>
      </c>
      <c r="M58">
        <f ca="1"/>
        <v>-2.6483882396173719E-2</v>
      </c>
      <c r="N58">
        <f ca="1"/>
        <v>0.193092645060289</v>
      </c>
      <c r="O58">
        <f ca="1"/>
        <v>0</v>
      </c>
      <c r="P58">
        <f ca="1"/>
        <v>0</v>
      </c>
      <c r="Q58">
        <f ca="1"/>
        <v>0</v>
      </c>
      <c r="R58">
        <f ca="1"/>
        <v>0.61560966415386564</v>
      </c>
      <c r="S58">
        <f ca="1"/>
        <v>1</v>
      </c>
      <c r="T58">
        <f ca="1"/>
        <v>3.3900000000000006</v>
      </c>
      <c r="U58">
        <f ca="1"/>
        <v>0</v>
      </c>
      <c r="V58">
        <f ca="1"/>
        <v>0</v>
      </c>
      <c r="X58" s="2">
        <f t="shared" ca="1" si="1"/>
        <v>45094</v>
      </c>
      <c r="Y58">
        <f t="shared" ca="1" si="2"/>
        <v>0</v>
      </c>
      <c r="AA58" s="63">
        <f t="shared" ca="1" si="4"/>
        <v>23.554022860385469</v>
      </c>
      <c r="AB58" s="63">
        <f t="shared" ca="1" si="5"/>
        <v>23.554022860385469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45095</v>
      </c>
      <c r="K59">
        <f ca="1"/>
        <v>22.471714459573473</v>
      </c>
      <c r="L59">
        <f ca="1"/>
        <v>0</v>
      </c>
      <c r="M59">
        <f ca="1"/>
        <v>-2.575232622341872E-2</v>
      </c>
      <c r="N59">
        <f ca="1"/>
        <v>0.20305547311923097</v>
      </c>
      <c r="O59">
        <f ca="1"/>
        <v>0</v>
      </c>
      <c r="P59">
        <f ca="1"/>
        <v>0</v>
      </c>
      <c r="Q59">
        <f ca="1"/>
        <v>0</v>
      </c>
      <c r="R59">
        <f ca="1"/>
        <v>0.64400188355394272</v>
      </c>
      <c r="S59">
        <f ca="1"/>
        <v>1</v>
      </c>
      <c r="T59">
        <f ca="1"/>
        <v>3.6199999999999974</v>
      </c>
      <c r="U59">
        <f ca="1"/>
        <v>0</v>
      </c>
      <c r="V59">
        <f ca="1"/>
        <v>0</v>
      </c>
      <c r="X59" s="2">
        <f t="shared" ca="1" si="1"/>
        <v>45095</v>
      </c>
      <c r="Y59">
        <f t="shared" ca="1" si="2"/>
        <v>0</v>
      </c>
      <c r="AA59" s="63">
        <f t="shared" ca="1" si="4"/>
        <v>23.115716343127417</v>
      </c>
      <c r="AB59" s="63">
        <f t="shared" ca="1" si="5"/>
        <v>23.115716343127417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45096</v>
      </c>
      <c r="K60">
        <f ca="1"/>
        <v>22.129584379600242</v>
      </c>
      <c r="L60">
        <f ca="1"/>
        <v>0</v>
      </c>
      <c r="M60">
        <f ca="1"/>
        <v>-2.35048314903894E-2</v>
      </c>
      <c r="N60">
        <f ca="1"/>
        <v>0.1964408279523531</v>
      </c>
      <c r="O60">
        <f ca="1"/>
        <v>0</v>
      </c>
      <c r="P60">
        <f ca="1"/>
        <v>0</v>
      </c>
      <c r="Q60">
        <f ca="1"/>
        <v>0</v>
      </c>
      <c r="R60">
        <f ca="1"/>
        <v>0.5150660764351952</v>
      </c>
      <c r="S60">
        <f ca="1"/>
        <v>1</v>
      </c>
      <c r="T60">
        <f ca="1"/>
        <v>2.9399999999999977</v>
      </c>
      <c r="U60">
        <f ca="1"/>
        <v>0</v>
      </c>
      <c r="V60">
        <f ca="1"/>
        <v>0</v>
      </c>
      <c r="X60" s="2">
        <f t="shared" ca="1" si="1"/>
        <v>45096</v>
      </c>
      <c r="Y60">
        <f t="shared" ca="1" si="2"/>
        <v>0</v>
      </c>
      <c r="AA60" s="63">
        <f t="shared" ca="1" si="4"/>
        <v>22.644650456035439</v>
      </c>
      <c r="AB60" s="63">
        <f t="shared" ca="1" si="5"/>
        <v>22.644650456035439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45097</v>
      </c>
      <c r="K61">
        <f ca="1"/>
        <v>21.51811380834252</v>
      </c>
      <c r="L61">
        <f ca="1"/>
        <v>0</v>
      </c>
      <c r="M61">
        <f ca="1"/>
        <v>-2.218958792623571E-2</v>
      </c>
      <c r="N61">
        <f ca="1"/>
        <v>0.19944754655180394</v>
      </c>
      <c r="O61">
        <f ca="1"/>
        <v>0</v>
      </c>
      <c r="P61">
        <f ca="1"/>
        <v>0</v>
      </c>
      <c r="Q61">
        <f ca="1"/>
        <v>0</v>
      </c>
      <c r="R61">
        <f ca="1"/>
        <v>0.78872852988328868</v>
      </c>
      <c r="S61">
        <f ca="1"/>
        <v>1</v>
      </c>
      <c r="T61">
        <f ca="1"/>
        <v>4.6300000000000026</v>
      </c>
      <c r="U61">
        <f ca="1"/>
        <v>0</v>
      </c>
      <c r="V61">
        <f ca="1"/>
        <v>0</v>
      </c>
      <c r="X61" s="2">
        <f t="shared" ca="1" si="1"/>
        <v>45097</v>
      </c>
      <c r="Y61">
        <f t="shared" ca="1" si="2"/>
        <v>0</v>
      </c>
      <c r="AA61" s="63">
        <f t="shared" ca="1" si="4"/>
        <v>22.30684233822581</v>
      </c>
      <c r="AB61" s="63">
        <f t="shared" ca="1" si="5"/>
        <v>22.30684233822581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45098</v>
      </c>
      <c r="K62">
        <f ca="1"/>
        <v>21.543627181312765</v>
      </c>
      <c r="L62">
        <f ca="1"/>
        <v>0</v>
      </c>
      <c r="M62">
        <f ca="1"/>
        <v>-2.0814130445437229E-2</v>
      </c>
      <c r="N62">
        <f ca="1"/>
        <v>0.20153138423439018</v>
      </c>
      <c r="O62">
        <f ca="1"/>
        <v>0</v>
      </c>
      <c r="P62">
        <f ca="1"/>
        <v>0</v>
      </c>
      <c r="Q62">
        <f ca="1"/>
        <v>0</v>
      </c>
      <c r="R62">
        <f ca="1"/>
        <v>0.15520388081870801</v>
      </c>
      <c r="S62">
        <f ca="1"/>
        <v>1</v>
      </c>
      <c r="T62">
        <f ca="1"/>
        <v>0.91000000000000369</v>
      </c>
      <c r="U62">
        <f ca="1"/>
        <v>0</v>
      </c>
      <c r="V62">
        <f ca="1"/>
        <v>0</v>
      </c>
      <c r="X62" s="2">
        <f t="shared" ca="1" si="1"/>
        <v>45098</v>
      </c>
      <c r="Y62">
        <f t="shared" ca="1" si="2"/>
        <v>0</v>
      </c>
      <c r="AA62" s="63">
        <f t="shared" ca="1" si="4"/>
        <v>21.698831062131472</v>
      </c>
      <c r="AB62" s="63">
        <f t="shared" ca="1" si="5"/>
        <v>21.698831062131472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45099</v>
      </c>
      <c r="K63">
        <f ca="1"/>
        <v>21.569606118483023</v>
      </c>
      <c r="L63">
        <f ca="1"/>
        <v>0</v>
      </c>
      <c r="M63">
        <f ca="1"/>
        <v>-1.8887243552491384E-2</v>
      </c>
      <c r="N63">
        <f ca="1"/>
        <v>0.19513443668151187</v>
      </c>
      <c r="O63">
        <f ca="1"/>
        <v>0</v>
      </c>
      <c r="P63">
        <f ca="1"/>
        <v>0</v>
      </c>
      <c r="Q63">
        <f ca="1"/>
        <v>0</v>
      </c>
      <c r="R63">
        <f ca="1"/>
        <v>0.15026825595876431</v>
      </c>
      <c r="S63">
        <f ca="1"/>
        <v>1</v>
      </c>
      <c r="T63">
        <f ca="1"/>
        <v>0.87999999999999545</v>
      </c>
      <c r="U63">
        <f ca="1"/>
        <v>0</v>
      </c>
      <c r="V63">
        <f ca="1"/>
        <v>0</v>
      </c>
      <c r="X63" s="2">
        <f t="shared" ca="1" si="1"/>
        <v>45099</v>
      </c>
      <c r="Y63">
        <f t="shared" ca="1" si="2"/>
        <v>0</v>
      </c>
      <c r="AA63" s="63">
        <f t="shared" ca="1" si="4"/>
        <v>21.719874374441787</v>
      </c>
      <c r="AB63" s="63">
        <f t="shared" ca="1" si="5"/>
        <v>21.719874374441787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45100</v>
      </c>
      <c r="K64">
        <f ca="1"/>
        <v>21.123966484001365</v>
      </c>
      <c r="L64">
        <f ca="1"/>
        <v>0</v>
      </c>
      <c r="M64">
        <f ca="1"/>
        <v>-1.7213678518077202E-2</v>
      </c>
      <c r="N64">
        <f ca="1"/>
        <v>0.19033022896362495</v>
      </c>
      <c r="O64">
        <f ca="1"/>
        <v>0</v>
      </c>
      <c r="P64">
        <f ca="1"/>
        <v>0</v>
      </c>
      <c r="Q64">
        <f ca="1"/>
        <v>0</v>
      </c>
      <c r="R64">
        <f ca="1"/>
        <v>0.61875618492720708</v>
      </c>
      <c r="S64">
        <f ca="1"/>
        <v>1</v>
      </c>
      <c r="T64">
        <f ca="1"/>
        <v>3.7000000000000028</v>
      </c>
      <c r="U64">
        <f ca="1"/>
        <v>0</v>
      </c>
      <c r="V64">
        <f ca="1"/>
        <v>0</v>
      </c>
      <c r="X64" s="2">
        <f t="shared" ca="1" si="1"/>
        <v>45100</v>
      </c>
      <c r="Y64">
        <f t="shared" ca="1" si="2"/>
        <v>0</v>
      </c>
      <c r="AA64" s="63">
        <f t="shared" ca="1" si="4"/>
        <v>21.742722668928572</v>
      </c>
      <c r="AB64" s="63">
        <f t="shared" ca="1" si="5"/>
        <v>21.742722668928572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45101</v>
      </c>
      <c r="K65">
        <f ca="1"/>
        <v>20.445637531796429</v>
      </c>
      <c r="L65">
        <f ca="1"/>
        <v>0</v>
      </c>
      <c r="M65">
        <f ca="1"/>
        <v>-1.6054841419054888E-2</v>
      </c>
      <c r="N65">
        <f ca="1"/>
        <v>0.19235353804321131</v>
      </c>
      <c r="O65">
        <f ca="1"/>
        <v>0</v>
      </c>
      <c r="P65">
        <f ca="1"/>
        <v>0</v>
      </c>
      <c r="Q65">
        <f ca="1"/>
        <v>0</v>
      </c>
      <c r="R65">
        <f ca="1"/>
        <v>0.85462764882909081</v>
      </c>
      <c r="S65">
        <f ca="1"/>
        <v>1</v>
      </c>
      <c r="T65">
        <f ca="1"/>
        <v>5.2800000000000011</v>
      </c>
      <c r="U65">
        <f ca="1"/>
        <v>0</v>
      </c>
      <c r="V65">
        <f ca="1"/>
        <v>0</v>
      </c>
      <c r="X65" s="2">
        <f t="shared" ca="1" si="1"/>
        <v>45101</v>
      </c>
      <c r="Y65">
        <f t="shared" ca="1" si="2"/>
        <v>0</v>
      </c>
      <c r="AA65" s="63">
        <f t="shared" ca="1" si="4"/>
        <v>21.300265180625519</v>
      </c>
      <c r="AB65" s="63">
        <f t="shared" ca="1" si="5"/>
        <v>21.300265180625519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45102</v>
      </c>
      <c r="K66">
        <f ca="1"/>
        <v>19.480321091423175</v>
      </c>
      <c r="L66">
        <f ca="1"/>
        <v>0</v>
      </c>
      <c r="M66">
        <f ca="1"/>
        <v>-1.4974850086446168E-2</v>
      </c>
      <c r="N66">
        <f ca="1"/>
        <v>0.19550712991161051</v>
      </c>
      <c r="O66">
        <f ca="1"/>
        <v>0</v>
      </c>
      <c r="P66">
        <f ca="1"/>
        <v>0</v>
      </c>
      <c r="Q66">
        <f ca="1"/>
        <v>0</v>
      </c>
      <c r="R66">
        <f ca="1"/>
        <v>1.1458487201984207</v>
      </c>
      <c r="S66">
        <f ca="1"/>
        <v>1</v>
      </c>
      <c r="T66">
        <f ca="1"/>
        <v>7.43</v>
      </c>
      <c r="U66">
        <f ca="1"/>
        <v>0</v>
      </c>
      <c r="V66">
        <f ca="1"/>
        <v>0</v>
      </c>
      <c r="X66" s="2">
        <f t="shared" ca="1" si="1"/>
        <v>45102</v>
      </c>
      <c r="Y66">
        <f t="shared" ca="1" si="2"/>
        <v>0</v>
      </c>
      <c r="AA66" s="63">
        <f t="shared" ca="1" si="4"/>
        <v>20.626169811621594</v>
      </c>
      <c r="AB66" s="63">
        <f t="shared" ca="1" si="5"/>
        <v>20.626169811621594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45103</v>
      </c>
      <c r="K67">
        <f ca="1"/>
        <v>19.280114478554502</v>
      </c>
      <c r="L67">
        <f ca="1"/>
        <v>0</v>
      </c>
      <c r="M67">
        <f ca="1"/>
        <v>-1.3411240109799216E-2</v>
      </c>
      <c r="N67">
        <f ca="1"/>
        <v>0.18868485671097293</v>
      </c>
      <c r="O67">
        <f ca="1"/>
        <v>0</v>
      </c>
      <c r="P67">
        <f ca="1"/>
        <v>0</v>
      </c>
      <c r="Q67">
        <f ca="1"/>
        <v>0</v>
      </c>
      <c r="R67">
        <f ca="1"/>
        <v>0.37548022946984794</v>
      </c>
      <c r="S67">
        <f ca="1"/>
        <v>1</v>
      </c>
      <c r="T67">
        <f ca="1"/>
        <v>2.4599999999999937</v>
      </c>
      <c r="U67">
        <f ca="1"/>
        <v>0</v>
      </c>
      <c r="V67">
        <f ca="1"/>
        <v>0</v>
      </c>
      <c r="X67" s="2">
        <f t="shared" ca="1" si="1"/>
        <v>45103</v>
      </c>
      <c r="Y67">
        <f t="shared" ca="1" si="2"/>
        <v>0</v>
      </c>
      <c r="AA67" s="63">
        <f t="shared" ca="1" si="4"/>
        <v>19.655594708024349</v>
      </c>
      <c r="AB67" s="63">
        <f t="shared" ca="1" si="5"/>
        <v>19.655594708024349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45104</v>
      </c>
      <c r="K68">
        <f ca="1"/>
        <v>19.25400853620015</v>
      </c>
      <c r="L68">
        <f ca="1"/>
        <v>0</v>
      </c>
      <c r="M68">
        <f ca="1"/>
        <v>-1.2366608640417276E-2</v>
      </c>
      <c r="N68">
        <f ca="1"/>
        <v>0.19051360684092139</v>
      </c>
      <c r="O68">
        <f ca="1"/>
        <v>0</v>
      </c>
      <c r="P68">
        <f ca="1"/>
        <v>0</v>
      </c>
      <c r="Q68">
        <f ca="1"/>
        <v>0</v>
      </c>
      <c r="R68">
        <f ca="1"/>
        <v>0.2042529405548571</v>
      </c>
      <c r="S68">
        <f ca="1"/>
        <v>1</v>
      </c>
      <c r="T68">
        <f ca="1"/>
        <v>1.3400000000000034</v>
      </c>
      <c r="U68">
        <f ca="1"/>
        <v>0</v>
      </c>
      <c r="V68">
        <f ca="1"/>
        <v>0</v>
      </c>
      <c r="X68" s="2">
        <f t="shared" ca="1" si="1"/>
        <v>45104</v>
      </c>
      <c r="Y68">
        <f t="shared" ca="1" si="2"/>
        <v>0</v>
      </c>
      <c r="AA68" s="63">
        <f t="shared" ca="1" si="4"/>
        <v>19.458261476755006</v>
      </c>
      <c r="AB68" s="63">
        <f t="shared" ca="1" si="5"/>
        <v>19.458261476755006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45105</v>
      </c>
      <c r="K69">
        <f ca="1"/>
        <v>18.784267865320583</v>
      </c>
      <c r="L69">
        <f ca="1"/>
        <v>0</v>
      </c>
      <c r="M69">
        <f ca="1"/>
        <v>-1.117789316136264E-2</v>
      </c>
      <c r="N69">
        <f ca="1"/>
        <v>0.18832044689377292</v>
      </c>
      <c r="O69">
        <f ca="1"/>
        <v>0</v>
      </c>
      <c r="P69">
        <f ca="1"/>
        <v>0</v>
      </c>
      <c r="Q69">
        <f ca="1"/>
        <v>0</v>
      </c>
      <c r="R69">
        <f ca="1"/>
        <v>0.64688322461197756</v>
      </c>
      <c r="S69">
        <f ca="1"/>
        <v>1</v>
      </c>
      <c r="T69">
        <f ca="1"/>
        <v>4.3500000000000014</v>
      </c>
      <c r="U69">
        <f ca="1"/>
        <v>0</v>
      </c>
      <c r="V69">
        <f ca="1"/>
        <v>0</v>
      </c>
      <c r="X69" s="2">
        <f t="shared" ca="1" si="1"/>
        <v>45105</v>
      </c>
      <c r="Y69">
        <f t="shared" ca="1" si="2"/>
        <v>0</v>
      </c>
      <c r="AA69" s="63">
        <f t="shared" ca="1" si="4"/>
        <v>19.431151089932559</v>
      </c>
      <c r="AB69" s="63">
        <f t="shared" ca="1" si="5"/>
        <v>19.431151089932559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45106</v>
      </c>
      <c r="K70">
        <f ca="1"/>
        <v>18.38634433439103</v>
      </c>
      <c r="L70">
        <f ca="1"/>
        <v>0</v>
      </c>
      <c r="M70">
        <f ca="1"/>
        <v>-1.0203013333279998E-2</v>
      </c>
      <c r="N70">
        <f ca="1"/>
        <v>0.19014696288002342</v>
      </c>
      <c r="O70">
        <f ca="1"/>
        <v>0</v>
      </c>
      <c r="P70">
        <f ca="1"/>
        <v>0</v>
      </c>
      <c r="Q70">
        <f ca="1"/>
        <v>0</v>
      </c>
      <c r="R70">
        <f ca="1"/>
        <v>0.57786748047629788</v>
      </c>
      <c r="S70">
        <f ca="1"/>
        <v>1</v>
      </c>
      <c r="T70">
        <f ca="1"/>
        <v>3.9699999999999989</v>
      </c>
      <c r="U70">
        <f ca="1"/>
        <v>0</v>
      </c>
      <c r="V70">
        <f ca="1"/>
        <v>0</v>
      </c>
      <c r="X70" s="2">
        <f t="shared" ca="1" si="1"/>
        <v>45106</v>
      </c>
      <c r="Y70">
        <f t="shared" ca="1" si="2"/>
        <v>0</v>
      </c>
      <c r="AA70" s="63">
        <f t="shared" ca="1" si="4"/>
        <v>18.96421181486733</v>
      </c>
      <c r="AB70" s="63">
        <f t="shared" ca="1" si="5"/>
        <v>18.964211814867326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45107</v>
      </c>
      <c r="K71">
        <f ca="1"/>
        <v>17.705467694730601</v>
      </c>
      <c r="L71">
        <f ca="1"/>
        <v>0</v>
      </c>
      <c r="M71">
        <f ca="1"/>
        <v>-9.2403820627318112E-3</v>
      </c>
      <c r="N71">
        <f ca="1"/>
        <v>0.19180038364866461</v>
      </c>
      <c r="O71">
        <f ca="1"/>
        <v>0</v>
      </c>
      <c r="P71">
        <f ca="1"/>
        <v>0</v>
      </c>
      <c r="Q71">
        <f ca="1"/>
        <v>0</v>
      </c>
      <c r="R71">
        <f ca="1"/>
        <v>0.86343664124636199</v>
      </c>
      <c r="S71">
        <f ca="1"/>
        <v>1</v>
      </c>
      <c r="T71">
        <f ca="1"/>
        <v>6.1599999999999966</v>
      </c>
      <c r="U71">
        <f ca="1"/>
        <v>0</v>
      </c>
      <c r="V71">
        <f ca="1"/>
        <v>0</v>
      </c>
      <c r="X71" s="2">
        <f t="shared" ca="1" si="1"/>
        <v>45107</v>
      </c>
      <c r="Y71">
        <f t="shared" ca="1" si="2"/>
        <v>0</v>
      </c>
      <c r="AA71" s="63">
        <f t="shared" ca="1" si="4"/>
        <v>18.568904335976963</v>
      </c>
      <c r="AB71" s="63">
        <f t="shared" ca="1" si="5"/>
        <v>18.568904335976963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45108</v>
      </c>
      <c r="K72">
        <f ca="1"/>
        <v>17.587314565750457</v>
      </c>
      <c r="L72">
        <f ca="1"/>
        <v>0</v>
      </c>
      <c r="M72">
        <f ca="1"/>
        <v>-7.9270969164024763E-3</v>
      </c>
      <c r="N72">
        <f ca="1"/>
        <v>0.18077074352207492</v>
      </c>
      <c r="O72">
        <f ca="1"/>
        <v>0</v>
      </c>
      <c r="P72">
        <f ca="1"/>
        <v>0</v>
      </c>
      <c r="Q72">
        <f ca="1"/>
        <v>0</v>
      </c>
      <c r="R72">
        <f ca="1"/>
        <v>0.29099677558581233</v>
      </c>
      <c r="S72">
        <f ca="1"/>
        <v>1</v>
      </c>
      <c r="T72">
        <f ca="1"/>
        <v>2.0899999999999963</v>
      </c>
      <c r="U72">
        <f ca="1"/>
        <v>0</v>
      </c>
      <c r="V72">
        <f ca="1"/>
        <v>0</v>
      </c>
      <c r="X72" s="2">
        <f t="shared" ca="1" si="1"/>
        <v>45108</v>
      </c>
      <c r="Y72">
        <f t="shared" ca="1" si="2"/>
        <v>0</v>
      </c>
      <c r="AA72" s="63">
        <f t="shared" ca="1" si="4"/>
        <v>17.878311341336271</v>
      </c>
      <c r="AB72" s="63">
        <f t="shared" ca="1" si="5"/>
        <v>17.878311341336271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45109</v>
      </c>
      <c r="K73">
        <f ca="1"/>
        <v>17.349064419537751</v>
      </c>
      <c r="L73">
        <f ca="1"/>
        <v>0</v>
      </c>
      <c r="M73">
        <f ca="1"/>
        <v>-6.8325284601424841E-3</v>
      </c>
      <c r="N73">
        <f ca="1"/>
        <v>0.17238185661217495</v>
      </c>
      <c r="O73">
        <f ca="1"/>
        <v>0</v>
      </c>
      <c r="P73">
        <f ca="1"/>
        <v>0</v>
      </c>
      <c r="Q73">
        <f ca="1"/>
        <v>0</v>
      </c>
      <c r="R73">
        <f ca="1"/>
        <v>0.40379947436474184</v>
      </c>
      <c r="S73">
        <f ca="1"/>
        <v>1</v>
      </c>
      <c r="T73">
        <f ca="1"/>
        <v>2.9400000000000048</v>
      </c>
      <c r="U73">
        <f ca="1"/>
        <v>0</v>
      </c>
      <c r="V73">
        <f ca="1"/>
        <v>0</v>
      </c>
      <c r="X73" s="2">
        <f t="shared" ca="1" si="1"/>
        <v>45109</v>
      </c>
      <c r="Y73">
        <f t="shared" ca="1" si="2"/>
        <v>0</v>
      </c>
      <c r="AA73" s="63">
        <f t="shared" ca="1" si="4"/>
        <v>17.752863893902493</v>
      </c>
      <c r="AB73" s="63">
        <f t="shared" ca="1" si="5"/>
        <v>17.752863893902493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45110</v>
      </c>
      <c r="K74">
        <f ca="1"/>
        <v>17.244562439413105</v>
      </c>
      <c r="L74">
        <f ca="1"/>
        <v>0</v>
      </c>
      <c r="M74">
        <f ca="1"/>
        <v>-6.0918217853274115E-3</v>
      </c>
      <c r="N74">
        <f ca="1"/>
        <v>0.17462874695139194</v>
      </c>
      <c r="O74">
        <f ca="1"/>
        <v>0</v>
      </c>
      <c r="P74">
        <f ca="1"/>
        <v>0</v>
      </c>
      <c r="Q74">
        <f ca="1"/>
        <v>0</v>
      </c>
      <c r="R74">
        <f ca="1"/>
        <v>0.27303890529070746</v>
      </c>
      <c r="S74">
        <f ca="1"/>
        <v>1</v>
      </c>
      <c r="T74">
        <f ca="1"/>
        <v>2</v>
      </c>
      <c r="U74">
        <f ca="1"/>
        <v>0</v>
      </c>
      <c r="V74">
        <f ca="1"/>
        <v>0</v>
      </c>
      <c r="X74" s="2">
        <f t="shared" ca="1" si="1"/>
        <v>45110</v>
      </c>
      <c r="Y74">
        <f t="shared" ca="1" si="2"/>
        <v>0</v>
      </c>
      <c r="AA74" s="63">
        <f t="shared" ca="1" si="4"/>
        <v>17.517601344703813</v>
      </c>
      <c r="AB74" s="63">
        <f t="shared" ca="1" si="5"/>
        <v>17.517601344703813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45111</v>
      </c>
      <c r="K75">
        <f ca="1"/>
        <v>16.891288820113903</v>
      </c>
      <c r="L75">
        <f ca="1"/>
        <v>0</v>
      </c>
      <c r="M75">
        <f ca="1"/>
        <v>-5.4810864138552517E-3</v>
      </c>
      <c r="N75">
        <f ca="1"/>
        <v>0.18308659865681695</v>
      </c>
      <c r="O75">
        <f ca="1"/>
        <v>0</v>
      </c>
      <c r="P75">
        <f ca="1"/>
        <v>0</v>
      </c>
      <c r="Q75">
        <f ca="1"/>
        <v>0</v>
      </c>
      <c r="R75">
        <f ca="1"/>
        <v>0.53087913154216315</v>
      </c>
      <c r="S75">
        <f ca="1"/>
        <v>1</v>
      </c>
      <c r="T75">
        <f ca="1"/>
        <v>3.9699999999999989</v>
      </c>
      <c r="U75">
        <f ca="1"/>
        <v>0</v>
      </c>
      <c r="V75">
        <f ca="1"/>
        <v>0</v>
      </c>
      <c r="X75" s="2">
        <f t="shared" ref="X75:X138" ca="1" si="8">IFERROR(J75,$X$9)</f>
        <v>45111</v>
      </c>
      <c r="Y75">
        <f t="shared" ref="Y75:Y138" ca="1" si="9">IFERROR(O75,0)</f>
        <v>0</v>
      </c>
      <c r="AA75" s="63">
        <f t="shared" ca="1" si="4"/>
        <v>17.422167951656068</v>
      </c>
      <c r="AB75" s="63">
        <f t="shared" ca="1" si="5"/>
        <v>17.422167951656068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45112</v>
      </c>
      <c r="K76">
        <f ca="1"/>
        <v>16.87555642999455</v>
      </c>
      <c r="L76">
        <f ca="1"/>
        <v>0</v>
      </c>
      <c r="M76">
        <f ca="1"/>
        <v>-4.8322356976244762E-3</v>
      </c>
      <c r="N76">
        <f ca="1"/>
        <v>0.19216904128587201</v>
      </c>
      <c r="O76">
        <f ca="1"/>
        <v>0</v>
      </c>
      <c r="P76">
        <f ca="1"/>
        <v>0</v>
      </c>
      <c r="Q76">
        <f ca="1"/>
        <v>0</v>
      </c>
      <c r="R76">
        <f ca="1"/>
        <v>0.20306919570760149</v>
      </c>
      <c r="S76">
        <f ca="1"/>
        <v>1</v>
      </c>
      <c r="T76">
        <f ca="1"/>
        <v>1.5200000000000031</v>
      </c>
      <c r="U76">
        <f ca="1"/>
        <v>0</v>
      </c>
      <c r="V76">
        <f ca="1"/>
        <v>0</v>
      </c>
      <c r="X76" s="2">
        <f t="shared" ca="1" si="8"/>
        <v>45112</v>
      </c>
      <c r="Y76">
        <f t="shared" ca="1" si="9"/>
        <v>0</v>
      </c>
      <c r="AA76" s="63">
        <f t="shared" ca="1" si="4"/>
        <v>17.078625625702152</v>
      </c>
      <c r="AB76" s="63">
        <f t="shared" ca="1" si="5"/>
        <v>17.078625625702152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45113</v>
      </c>
      <c r="K77">
        <f ca="1"/>
        <v>16.650229864065476</v>
      </c>
      <c r="L77">
        <f ca="1"/>
        <v>0</v>
      </c>
      <c r="M77">
        <f ca="1"/>
        <v>-3.9959817201031811E-3</v>
      </c>
      <c r="N77">
        <f ca="1"/>
        <v>0.19124823663101764</v>
      </c>
      <c r="O77">
        <f ca="1"/>
        <v>0</v>
      </c>
      <c r="P77">
        <f ca="1"/>
        <v>0</v>
      </c>
      <c r="Q77">
        <f ca="1"/>
        <v>0</v>
      </c>
      <c r="R77">
        <f ca="1"/>
        <v>0.41257882083998865</v>
      </c>
      <c r="S77">
        <f ca="1"/>
        <v>1</v>
      </c>
      <c r="T77">
        <f ca="1"/>
        <v>3.1299999999999955</v>
      </c>
      <c r="U77">
        <f ca="1"/>
        <v>0</v>
      </c>
      <c r="V77">
        <f ca="1"/>
        <v>0</v>
      </c>
      <c r="X77" s="2">
        <f t="shared" ca="1" si="8"/>
        <v>45113</v>
      </c>
      <c r="Y77">
        <f t="shared" ca="1" si="9"/>
        <v>0</v>
      </c>
      <c r="AA77" s="63">
        <f t="shared" ref="AA77:AA140" ca="1" si="11">K76+M77+N77+O77</f>
        <v>17.062808684905466</v>
      </c>
      <c r="AB77" s="63">
        <f t="shared" ref="AB77:AB140" ca="1" si="12">K77+L77+R77</f>
        <v>17.062808684905466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45114</v>
      </c>
      <c r="K78">
        <f ca="1"/>
        <v>16.644792659911786</v>
      </c>
      <c r="L78">
        <f ca="1"/>
        <v>0</v>
      </c>
      <c r="M78">
        <f ca="1"/>
        <v>-3.1981052062333148E-3</v>
      </c>
      <c r="N78">
        <f ca="1"/>
        <v>0.19014696288002342</v>
      </c>
      <c r="O78">
        <f ca="1"/>
        <v>0</v>
      </c>
      <c r="P78">
        <f ca="1"/>
        <v>0</v>
      </c>
      <c r="Q78">
        <f ca="1"/>
        <v>0</v>
      </c>
      <c r="R78">
        <f ca="1"/>
        <v>0.19238606182748053</v>
      </c>
      <c r="S78">
        <f ca="1"/>
        <v>1</v>
      </c>
      <c r="T78">
        <f ca="1"/>
        <v>1.4600000000000009</v>
      </c>
      <c r="U78">
        <f ca="1"/>
        <v>0</v>
      </c>
      <c r="V78">
        <f ca="1"/>
        <v>0</v>
      </c>
      <c r="X78" s="2">
        <f t="shared" ca="1" si="8"/>
        <v>45114</v>
      </c>
      <c r="Y78">
        <f t="shared" ca="1" si="9"/>
        <v>0</v>
      </c>
      <c r="AA78" s="63">
        <f t="shared" ca="1" si="11"/>
        <v>16.837178721739267</v>
      </c>
      <c r="AB78" s="63">
        <f t="shared" ca="1" si="12"/>
        <v>16.837178721739267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45115</v>
      </c>
      <c r="K79">
        <f ca="1"/>
        <v>16.506922067950658</v>
      </c>
      <c r="L79">
        <f ca="1"/>
        <v>0</v>
      </c>
      <c r="M79">
        <f ca="1"/>
        <v>-2.4059608128927934E-3</v>
      </c>
      <c r="N79">
        <f ca="1"/>
        <v>0.18470087812805741</v>
      </c>
      <c r="O79">
        <f ca="1"/>
        <v>0</v>
      </c>
      <c r="P79">
        <f ca="1"/>
        <v>0</v>
      </c>
      <c r="Q79">
        <f ca="1"/>
        <v>0</v>
      </c>
      <c r="R79">
        <f ca="1"/>
        <v>0.32016550927629239</v>
      </c>
      <c r="S79">
        <f ca="1"/>
        <v>1</v>
      </c>
      <c r="T79">
        <f ca="1"/>
        <v>2.4499999999999957</v>
      </c>
      <c r="U79">
        <f ca="1"/>
        <v>0</v>
      </c>
      <c r="V79">
        <f ca="1"/>
        <v>0</v>
      </c>
      <c r="X79" s="2">
        <f t="shared" ca="1" si="8"/>
        <v>45115</v>
      </c>
      <c r="Y79">
        <f t="shared" ca="1" si="9"/>
        <v>0</v>
      </c>
      <c r="AA79" s="63">
        <f t="shared" ca="1" si="11"/>
        <v>16.827087577226951</v>
      </c>
      <c r="AB79" s="63">
        <f t="shared" ca="1" si="12"/>
        <v>16.827087577226951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45116</v>
      </c>
      <c r="K80">
        <f ca="1"/>
        <v>16.286460314906439</v>
      </c>
      <c r="L80">
        <f ca="1"/>
        <v>0</v>
      </c>
      <c r="M80">
        <f ca="1"/>
        <v>-1.7295240352623864E-3</v>
      </c>
      <c r="N80">
        <f ca="1"/>
        <v>0.18741137509402189</v>
      </c>
      <c r="O80">
        <f ca="1"/>
        <v>0</v>
      </c>
      <c r="P80">
        <f ca="1"/>
        <v>0</v>
      </c>
      <c r="Q80">
        <f ca="1"/>
        <v>0</v>
      </c>
      <c r="R80">
        <f ca="1"/>
        <v>0.40614360410298</v>
      </c>
      <c r="S80">
        <f ca="1"/>
        <v>1</v>
      </c>
      <c r="T80">
        <f ca="1"/>
        <v>3.1500000000000057</v>
      </c>
      <c r="U80">
        <f ca="1"/>
        <v>0</v>
      </c>
      <c r="V80">
        <f ca="1"/>
        <v>0</v>
      </c>
      <c r="X80" s="2">
        <f t="shared" ca="1" si="8"/>
        <v>45116</v>
      </c>
      <c r="Y80">
        <f t="shared" ca="1" si="9"/>
        <v>0</v>
      </c>
      <c r="AA80" s="63">
        <f t="shared" ca="1" si="11"/>
        <v>16.692603919009418</v>
      </c>
      <c r="AB80" s="63">
        <f t="shared" ca="1" si="12"/>
        <v>16.692603919009418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45117</v>
      </c>
      <c r="K81">
        <f ca="1"/>
        <v>16.351256818324448</v>
      </c>
      <c r="L81">
        <f ca="1"/>
        <v>0</v>
      </c>
      <c r="M81">
        <f ca="1"/>
        <v>-1.019485803278819E-3</v>
      </c>
      <c r="N81">
        <f ca="1"/>
        <v>0.17584632156126245</v>
      </c>
      <c r="O81">
        <f ca="1"/>
        <v>0</v>
      </c>
      <c r="P81">
        <f ca="1"/>
        <v>0</v>
      </c>
      <c r="Q81">
        <f ca="1"/>
        <v>0</v>
      </c>
      <c r="R81">
        <f ca="1"/>
        <v>0.11003033233997513</v>
      </c>
      <c r="S81">
        <f ca="1"/>
        <v>1</v>
      </c>
      <c r="T81">
        <f ca="1"/>
        <v>0.85000000000000142</v>
      </c>
      <c r="U81">
        <f ca="1"/>
        <v>0</v>
      </c>
      <c r="V81">
        <f ca="1"/>
        <v>0</v>
      </c>
      <c r="X81" s="2">
        <f t="shared" ca="1" si="8"/>
        <v>45117</v>
      </c>
      <c r="Y81">
        <f t="shared" ca="1" si="9"/>
        <v>0</v>
      </c>
      <c r="AA81" s="63">
        <f t="shared" ca="1" si="11"/>
        <v>16.461287150664422</v>
      </c>
      <c r="AB81" s="63">
        <f t="shared" ca="1" si="12"/>
        <v>16.461287150664422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45118</v>
      </c>
      <c r="K82">
        <f ca="1"/>
        <v>16.173489736320722</v>
      </c>
      <c r="L82">
        <f ca="1"/>
        <v>0</v>
      </c>
      <c r="M82">
        <f ca="1"/>
        <v>-4.2029171451662961E-4</v>
      </c>
      <c r="N82">
        <f ca="1"/>
        <v>0.16964195409543553</v>
      </c>
      <c r="O82">
        <f ca="1"/>
        <v>0</v>
      </c>
      <c r="P82">
        <f ca="1"/>
        <v>0</v>
      </c>
      <c r="Q82">
        <f ca="1"/>
        <v>0</v>
      </c>
      <c r="R82">
        <f ca="1"/>
        <v>0.34698874438464672</v>
      </c>
      <c r="S82">
        <f ca="1"/>
        <v>1</v>
      </c>
      <c r="T82">
        <f ca="1"/>
        <v>2.7099999999999937</v>
      </c>
      <c r="U82">
        <f ca="1"/>
        <v>0</v>
      </c>
      <c r="V82">
        <f ca="1"/>
        <v>0</v>
      </c>
      <c r="X82" s="2">
        <f t="shared" ca="1" si="8"/>
        <v>45118</v>
      </c>
      <c r="Y82">
        <f t="shared" ca="1" si="9"/>
        <v>0</v>
      </c>
      <c r="AA82" s="63">
        <f t="shared" ca="1" si="11"/>
        <v>16.520478480705368</v>
      </c>
      <c r="AB82" s="63">
        <f t="shared" ca="1" si="12"/>
        <v>16.520478480705368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45119</v>
      </c>
      <c r="K83">
        <f ca="1"/>
        <v>15.630549137764174</v>
      </c>
      <c r="L83">
        <f ca="1"/>
        <v>0</v>
      </c>
      <c r="M83">
        <f ca="1"/>
        <v>1.3336906773275814E-4</v>
      </c>
      <c r="N83">
        <f ca="1"/>
        <v>0.17462874695139194</v>
      </c>
      <c r="O83">
        <f ca="1"/>
        <v>0</v>
      </c>
      <c r="P83">
        <f ca="1"/>
        <v>0</v>
      </c>
      <c r="Q83">
        <f ca="1"/>
        <v>0</v>
      </c>
      <c r="R83">
        <f ca="1"/>
        <v>0.71770271457567214</v>
      </c>
      <c r="S83">
        <f ca="1"/>
        <v>1</v>
      </c>
      <c r="T83">
        <f ca="1"/>
        <v>5.8000000000000043</v>
      </c>
      <c r="U83">
        <f ca="1"/>
        <v>0</v>
      </c>
      <c r="V83">
        <f ca="1"/>
        <v>0</v>
      </c>
      <c r="X83" s="2">
        <f t="shared" ca="1" si="8"/>
        <v>45119</v>
      </c>
      <c r="Y83">
        <f t="shared" ca="1" si="9"/>
        <v>0</v>
      </c>
      <c r="AA83" s="63">
        <f t="shared" ca="1" si="11"/>
        <v>16.348251852339846</v>
      </c>
      <c r="AB83" s="63">
        <f t="shared" ca="1" si="12"/>
        <v>16.348251852339846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45120</v>
      </c>
      <c r="K84">
        <f ca="1"/>
        <v>15.657783152214391</v>
      </c>
      <c r="L84">
        <f ca="1"/>
        <v>0</v>
      </c>
      <c r="M84">
        <f ca="1"/>
        <v>6.9152573879804891E-4</v>
      </c>
      <c r="N84">
        <f ca="1"/>
        <v>0.17777057765655671</v>
      </c>
      <c r="O84">
        <f ca="1"/>
        <v>0</v>
      </c>
      <c r="P84">
        <f ca="1"/>
        <v>0</v>
      </c>
      <c r="Q84">
        <f ca="1"/>
        <v>0</v>
      </c>
      <c r="R84">
        <f ca="1"/>
        <v>0.1512280889451372</v>
      </c>
      <c r="S84">
        <f ca="1"/>
        <v>1</v>
      </c>
      <c r="T84">
        <f ca="1"/>
        <v>1.2199999999999989</v>
      </c>
      <c r="U84">
        <f ca="1"/>
        <v>0</v>
      </c>
      <c r="V84">
        <f ca="1"/>
        <v>0</v>
      </c>
      <c r="X84" s="2">
        <f t="shared" ca="1" si="8"/>
        <v>45120</v>
      </c>
      <c r="Y84">
        <f t="shared" ca="1" si="9"/>
        <v>0</v>
      </c>
      <c r="AA84" s="63">
        <f t="shared" ca="1" si="11"/>
        <v>15.809011241159528</v>
      </c>
      <c r="AB84" s="63">
        <f t="shared" ca="1" si="12"/>
        <v>15.809011241159528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45121</v>
      </c>
      <c r="K85">
        <f ca="1"/>
        <v>15.428997733459559</v>
      </c>
      <c r="L85">
        <f ca="1"/>
        <v>0</v>
      </c>
      <c r="M85">
        <f ca="1"/>
        <v>1.188097883410677E-3</v>
      </c>
      <c r="N85">
        <f ca="1"/>
        <v>0.17066612450725621</v>
      </c>
      <c r="O85">
        <f ca="1"/>
        <v>0</v>
      </c>
      <c r="P85">
        <f ca="1"/>
        <v>0</v>
      </c>
      <c r="Q85">
        <f ca="1"/>
        <v>0</v>
      </c>
      <c r="R85">
        <f ca="1"/>
        <v>0.40063964114549999</v>
      </c>
      <c r="S85">
        <f ca="1"/>
        <v>1</v>
      </c>
      <c r="T85">
        <f ca="1"/>
        <v>3.2800000000000011</v>
      </c>
      <c r="U85">
        <f ca="1"/>
        <v>0</v>
      </c>
      <c r="V85">
        <f ca="1"/>
        <v>0</v>
      </c>
      <c r="X85" s="2">
        <f t="shared" ca="1" si="8"/>
        <v>45121</v>
      </c>
      <c r="Y85">
        <f t="shared" ca="1" si="9"/>
        <v>0</v>
      </c>
      <c r="AA85" s="63">
        <f t="shared" ca="1" si="11"/>
        <v>15.829637374605058</v>
      </c>
      <c r="AB85" s="63">
        <f t="shared" ca="1" si="12"/>
        <v>15.829637374605058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45122</v>
      </c>
      <c r="K86">
        <f ca="1"/>
        <v>15.013510765512914</v>
      </c>
      <c r="L86">
        <f ca="1"/>
        <v>0</v>
      </c>
      <c r="M86">
        <f ca="1"/>
        <v>1.8012988337918756E-3</v>
      </c>
      <c r="N86">
        <f ca="1"/>
        <v>0.18650509117260758</v>
      </c>
      <c r="O86">
        <f ca="1"/>
        <v>0</v>
      </c>
      <c r="P86">
        <f ca="1"/>
        <v>0</v>
      </c>
      <c r="Q86">
        <f ca="1"/>
        <v>0</v>
      </c>
      <c r="R86">
        <f ca="1"/>
        <v>0.60379335795304423</v>
      </c>
      <c r="S86">
        <f ca="1"/>
        <v>1</v>
      </c>
      <c r="T86">
        <f ca="1"/>
        <v>5.0799999999999983</v>
      </c>
      <c r="U86">
        <f ca="1"/>
        <v>0</v>
      </c>
      <c r="V86">
        <f ca="1"/>
        <v>0</v>
      </c>
      <c r="X86" s="2">
        <f t="shared" ca="1" si="8"/>
        <v>45122</v>
      </c>
      <c r="Y86">
        <f t="shared" ca="1" si="9"/>
        <v>0</v>
      </c>
      <c r="AA86" s="63">
        <f t="shared" ca="1" si="11"/>
        <v>15.617304123465958</v>
      </c>
      <c r="AB86" s="63">
        <f t="shared" ca="1" si="12"/>
        <v>15.617304123465958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45123</v>
      </c>
      <c r="K87">
        <f ca="1"/>
        <v>14.756185041862762</v>
      </c>
      <c r="L87">
        <f ca="1"/>
        <v>0</v>
      </c>
      <c r="M87">
        <f ca="1"/>
        <v>2.4372926568165809E-3</v>
      </c>
      <c r="N87">
        <f ca="1"/>
        <v>0.19700239484302642</v>
      </c>
      <c r="O87">
        <f ca="1"/>
        <v>0</v>
      </c>
      <c r="P87">
        <f ca="1"/>
        <v>0</v>
      </c>
      <c r="Q87">
        <f ca="1"/>
        <v>0</v>
      </c>
      <c r="R87">
        <f ca="1"/>
        <v>0.45676541114999408</v>
      </c>
      <c r="S87">
        <f ca="1"/>
        <v>1</v>
      </c>
      <c r="T87">
        <f ca="1"/>
        <v>3.9100000000000037</v>
      </c>
      <c r="U87">
        <f ca="1"/>
        <v>0</v>
      </c>
      <c r="V87">
        <f ca="1"/>
        <v>0</v>
      </c>
      <c r="X87" s="2">
        <f t="shared" ca="1" si="8"/>
        <v>45123</v>
      </c>
      <c r="Y87">
        <f t="shared" ca="1" si="9"/>
        <v>0</v>
      </c>
      <c r="AA87" s="63">
        <f t="shared" ca="1" si="11"/>
        <v>15.212950453012757</v>
      </c>
      <c r="AB87" s="63">
        <f t="shared" ca="1" si="12"/>
        <v>15.212950453012757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45124</v>
      </c>
      <c r="K88">
        <f ca="1"/>
        <v>14.228315968438977</v>
      </c>
      <c r="L88">
        <f ca="1"/>
        <v>0</v>
      </c>
      <c r="M88">
        <f ca="1"/>
        <v>2.931547628914899E-3</v>
      </c>
      <c r="N88">
        <f ca="1"/>
        <v>0.19235353804321131</v>
      </c>
      <c r="O88">
        <f ca="1"/>
        <v>0</v>
      </c>
      <c r="P88">
        <f ca="1"/>
        <v>0</v>
      </c>
      <c r="Q88">
        <f ca="1"/>
        <v>0</v>
      </c>
      <c r="R88">
        <f ca="1"/>
        <v>0.72315415909591119</v>
      </c>
      <c r="S88">
        <f ca="1"/>
        <v>1</v>
      </c>
      <c r="T88">
        <f ca="1"/>
        <v>6.4200000000000017</v>
      </c>
      <c r="U88">
        <f ca="1"/>
        <v>0</v>
      </c>
      <c r="V88">
        <f ca="1"/>
        <v>0</v>
      </c>
      <c r="X88" s="2">
        <f t="shared" ca="1" si="8"/>
        <v>45124</v>
      </c>
      <c r="Y88">
        <f t="shared" ca="1" si="9"/>
        <v>0</v>
      </c>
      <c r="AA88" s="63">
        <f t="shared" ca="1" si="11"/>
        <v>14.951470127534888</v>
      </c>
      <c r="AB88" s="63">
        <f t="shared" ca="1" si="12"/>
        <v>14.951470127534888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45125</v>
      </c>
      <c r="K89">
        <f ca="1"/>
        <v>13.710651802742646</v>
      </c>
      <c r="L89">
        <f ca="1"/>
        <v>0</v>
      </c>
      <c r="M89">
        <f ca="1"/>
        <v>3.3469586636272197E-3</v>
      </c>
      <c r="N89">
        <f ca="1"/>
        <v>0.1856015929238915</v>
      </c>
      <c r="O89">
        <f ca="1"/>
        <v>0</v>
      </c>
      <c r="P89">
        <f ca="1"/>
        <v>0</v>
      </c>
      <c r="Q89">
        <f ca="1"/>
        <v>0</v>
      </c>
      <c r="R89">
        <f ca="1"/>
        <v>0.706612717283849</v>
      </c>
      <c r="S89">
        <f ca="1"/>
        <v>1</v>
      </c>
      <c r="T89">
        <f ca="1"/>
        <v>6.509999999999998</v>
      </c>
      <c r="U89">
        <f ca="1"/>
        <v>0</v>
      </c>
      <c r="V89">
        <f ca="1"/>
        <v>0</v>
      </c>
      <c r="X89" s="2">
        <f t="shared" ca="1" si="8"/>
        <v>45125</v>
      </c>
      <c r="Y89">
        <f t="shared" ca="1" si="9"/>
        <v>0</v>
      </c>
      <c r="AA89" s="63">
        <f t="shared" ca="1" si="11"/>
        <v>14.417264520026496</v>
      </c>
      <c r="AB89" s="63">
        <f t="shared" ca="1" si="12"/>
        <v>14.417264520026496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45126</v>
      </c>
      <c r="K90">
        <f ca="1"/>
        <v>13.579478480777645</v>
      </c>
      <c r="L90">
        <f ca="1"/>
        <v>0</v>
      </c>
      <c r="M90">
        <f ca="1"/>
        <v>3.7736053125581037E-3</v>
      </c>
      <c r="N90">
        <f ca="1"/>
        <v>0.18326551845533015</v>
      </c>
      <c r="O90">
        <f ca="1"/>
        <v>0</v>
      </c>
      <c r="P90">
        <f ca="1"/>
        <v>0</v>
      </c>
      <c r="Q90">
        <f ca="1"/>
        <v>0</v>
      </c>
      <c r="R90">
        <f ca="1"/>
        <v>0.31821244573288959</v>
      </c>
      <c r="S90">
        <f ca="1"/>
        <v>1</v>
      </c>
      <c r="T90">
        <f ca="1"/>
        <v>2.9600000000000009</v>
      </c>
      <c r="U90">
        <f ca="1"/>
        <v>0</v>
      </c>
      <c r="V90">
        <f ca="1"/>
        <v>0</v>
      </c>
      <c r="X90" s="2">
        <f t="shared" ca="1" si="8"/>
        <v>45126</v>
      </c>
      <c r="Y90">
        <f t="shared" ca="1" si="9"/>
        <v>0</v>
      </c>
      <c r="AA90" s="63">
        <f t="shared" ca="1" si="11"/>
        <v>13.897690926510535</v>
      </c>
      <c r="AB90" s="63">
        <f t="shared" ca="1" si="12"/>
        <v>13.897690926510535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45127</v>
      </c>
      <c r="K91">
        <f ca="1"/>
        <v>13.619481605271295</v>
      </c>
      <c r="L91">
        <f ca="1"/>
        <v>0</v>
      </c>
      <c r="M91">
        <f ca="1"/>
        <v>4.3587672607987571E-3</v>
      </c>
      <c r="N91">
        <f ca="1"/>
        <v>0.19198465649336038</v>
      </c>
      <c r="O91">
        <f ca="1"/>
        <v>0</v>
      </c>
      <c r="P91">
        <f ca="1"/>
        <v>0</v>
      </c>
      <c r="Q91">
        <f ca="1"/>
        <v>0</v>
      </c>
      <c r="R91">
        <f ca="1"/>
        <v>0.15634029926051038</v>
      </c>
      <c r="S91">
        <f ca="1"/>
        <v>1</v>
      </c>
      <c r="T91">
        <f ca="1"/>
        <v>1.4500000000000028</v>
      </c>
      <c r="U91">
        <f ca="1"/>
        <v>0</v>
      </c>
      <c r="V91">
        <f ca="1"/>
        <v>0</v>
      </c>
      <c r="X91" s="2">
        <f t="shared" ca="1" si="8"/>
        <v>45127</v>
      </c>
      <c r="Y91">
        <f t="shared" ca="1" si="9"/>
        <v>0</v>
      </c>
      <c r="AA91" s="63">
        <f t="shared" ca="1" si="11"/>
        <v>13.775821904531805</v>
      </c>
      <c r="AB91" s="63">
        <f t="shared" ca="1" si="12"/>
        <v>13.775821904531805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45128</v>
      </c>
      <c r="K92">
        <f ca="1"/>
        <v>13.444265288563923</v>
      </c>
      <c r="L92">
        <f ca="1"/>
        <v>0</v>
      </c>
      <c r="M92">
        <f ca="1"/>
        <v>4.6362296550004345E-3</v>
      </c>
      <c r="N92">
        <f ca="1"/>
        <v>0.18308659865681695</v>
      </c>
      <c r="O92">
        <f ca="1"/>
        <v>0</v>
      </c>
      <c r="P92">
        <f ca="1"/>
        <v>0</v>
      </c>
      <c r="Q92">
        <f ca="1"/>
        <v>0</v>
      </c>
      <c r="R92">
        <f ca="1"/>
        <v>0.36293914501919061</v>
      </c>
      <c r="S92">
        <f ca="1"/>
        <v>1</v>
      </c>
      <c r="T92">
        <f ca="1"/>
        <v>3.4100000000000037</v>
      </c>
      <c r="U92">
        <f ca="1"/>
        <v>0</v>
      </c>
      <c r="V92">
        <f ca="1"/>
        <v>0</v>
      </c>
      <c r="X92" s="2">
        <f t="shared" ca="1" si="8"/>
        <v>45128</v>
      </c>
      <c r="Y92">
        <f t="shared" ca="1" si="9"/>
        <v>0</v>
      </c>
      <c r="AA92" s="63">
        <f t="shared" ca="1" si="11"/>
        <v>13.807204433583113</v>
      </c>
      <c r="AB92" s="63">
        <f t="shared" ca="1" si="12"/>
        <v>13.807204433583113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45129</v>
      </c>
      <c r="K93">
        <f ca="1"/>
        <v>13.207160737094027</v>
      </c>
      <c r="L93">
        <f ca="1"/>
        <v>0</v>
      </c>
      <c r="M93">
        <f ca="1"/>
        <v>5.248690579418458E-3</v>
      </c>
      <c r="N93">
        <f ca="1"/>
        <v>0.19364815178400135</v>
      </c>
      <c r="O93">
        <f ca="1"/>
        <v>0</v>
      </c>
      <c r="P93">
        <f ca="1"/>
        <v>0</v>
      </c>
      <c r="Q93">
        <f ca="1"/>
        <v>0</v>
      </c>
      <c r="R93">
        <f ca="1"/>
        <v>0.43600139383331671</v>
      </c>
      <c r="S93">
        <f ca="1"/>
        <v>1</v>
      </c>
      <c r="T93">
        <f ca="1"/>
        <v>4.1700000000000017</v>
      </c>
      <c r="U93">
        <f ca="1"/>
        <v>0</v>
      </c>
      <c r="V93">
        <f ca="1"/>
        <v>0</v>
      </c>
      <c r="X93" s="2">
        <f t="shared" ca="1" si="8"/>
        <v>45129</v>
      </c>
      <c r="Y93">
        <f t="shared" ca="1" si="9"/>
        <v>0</v>
      </c>
      <c r="AA93" s="63">
        <f t="shared" ca="1" si="11"/>
        <v>13.643162130927342</v>
      </c>
      <c r="AB93" s="63">
        <f t="shared" ca="1" si="12"/>
        <v>13.643162130927344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45130</v>
      </c>
      <c r="K94">
        <f ca="1"/>
        <v>12.726764873846278</v>
      </c>
      <c r="L94">
        <f ca="1"/>
        <v>0</v>
      </c>
      <c r="M94">
        <f ca="1"/>
        <v>5.6036166338548909E-3</v>
      </c>
      <c r="N94">
        <f ca="1"/>
        <v>0.19106441140701794</v>
      </c>
      <c r="O94">
        <f ca="1"/>
        <v>0</v>
      </c>
      <c r="P94">
        <f ca="1"/>
        <v>0</v>
      </c>
      <c r="Q94">
        <f ca="1"/>
        <v>0</v>
      </c>
      <c r="R94">
        <f ca="1"/>
        <v>0.67706389128862199</v>
      </c>
      <c r="S94">
        <f ca="1"/>
        <v>1</v>
      </c>
      <c r="T94">
        <f ca="1"/>
        <v>6.7199999999999989</v>
      </c>
      <c r="U94">
        <f ca="1"/>
        <v>0</v>
      </c>
      <c r="V94">
        <f ca="1"/>
        <v>0</v>
      </c>
      <c r="X94" s="2">
        <f t="shared" ca="1" si="8"/>
        <v>45130</v>
      </c>
      <c r="Y94">
        <f t="shared" ca="1" si="9"/>
        <v>0</v>
      </c>
      <c r="AA94" s="63">
        <f t="shared" ca="1" si="11"/>
        <v>13.403828765134898</v>
      </c>
      <c r="AB94" s="63">
        <f t="shared" ca="1" si="12"/>
        <v>13.4038287651349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45131</v>
      </c>
      <c r="K95">
        <f ca="1"/>
        <v>12.637438146250716</v>
      </c>
      <c r="L95">
        <f ca="1"/>
        <v>0</v>
      </c>
      <c r="M95">
        <f ca="1"/>
        <v>6.0060146370428669E-3</v>
      </c>
      <c r="N95">
        <f ca="1"/>
        <v>0.19180038364866461</v>
      </c>
      <c r="O95">
        <f ca="1"/>
        <v>0</v>
      </c>
      <c r="P95">
        <f ca="1"/>
        <v>0</v>
      </c>
      <c r="Q95">
        <f ca="1"/>
        <v>0</v>
      </c>
      <c r="R95">
        <f ca="1"/>
        <v>0.28713312588127116</v>
      </c>
      <c r="S95">
        <f ca="1"/>
        <v>1</v>
      </c>
      <c r="T95">
        <f ca="1"/>
        <v>2.8699999999999974</v>
      </c>
      <c r="U95">
        <f ca="1"/>
        <v>0</v>
      </c>
      <c r="V95">
        <f ca="1"/>
        <v>0</v>
      </c>
      <c r="X95" s="2">
        <f t="shared" ca="1" si="8"/>
        <v>45131</v>
      </c>
      <c r="Y95">
        <f t="shared" ca="1" si="9"/>
        <v>0</v>
      </c>
      <c r="AA95" s="63">
        <f t="shared" ca="1" si="11"/>
        <v>12.924571272131987</v>
      </c>
      <c r="AB95" s="63">
        <f t="shared" ca="1" si="12"/>
        <v>12.924571272131987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45132</v>
      </c>
      <c r="K96">
        <f ca="1"/>
        <v>12.477339493480693</v>
      </c>
      <c r="L96">
        <f ca="1"/>
        <v>0</v>
      </c>
      <c r="M96">
        <f ca="1"/>
        <v>6.1218906001521134E-3</v>
      </c>
      <c r="N96">
        <f ca="1"/>
        <v>0.18148131718148816</v>
      </c>
      <c r="O96">
        <f ca="1"/>
        <v>0</v>
      </c>
      <c r="P96">
        <f ca="1"/>
        <v>0</v>
      </c>
      <c r="Q96">
        <f ca="1"/>
        <v>0</v>
      </c>
      <c r="R96">
        <f ca="1"/>
        <v>0.3477018605516623</v>
      </c>
      <c r="S96">
        <f ca="1"/>
        <v>1</v>
      </c>
      <c r="T96">
        <f ca="1"/>
        <v>3.5200000000000031</v>
      </c>
      <c r="U96">
        <f ca="1"/>
        <v>0</v>
      </c>
      <c r="V96">
        <f ca="1"/>
        <v>0</v>
      </c>
      <c r="X96" s="2">
        <f t="shared" ca="1" si="8"/>
        <v>45132</v>
      </c>
      <c r="Y96">
        <f t="shared" ca="1" si="9"/>
        <v>0</v>
      </c>
      <c r="AA96" s="63">
        <f t="shared" ca="1" si="11"/>
        <v>12.825041354032356</v>
      </c>
      <c r="AB96" s="63">
        <f t="shared" ca="1" si="12"/>
        <v>12.825041354032356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45133</v>
      </c>
      <c r="K97">
        <f ca="1"/>
        <v>12.451514911162718</v>
      </c>
      <c r="L97">
        <f ca="1"/>
        <v>0</v>
      </c>
      <c r="M97">
        <f ca="1"/>
        <v>6.4023696037054378E-3</v>
      </c>
      <c r="N97">
        <f ca="1"/>
        <v>0.1797082081287352</v>
      </c>
      <c r="O97">
        <f ca="1"/>
        <v>0</v>
      </c>
      <c r="P97">
        <f ca="1"/>
        <v>0</v>
      </c>
      <c r="Q97">
        <f ca="1"/>
        <v>0</v>
      </c>
      <c r="R97">
        <f ca="1"/>
        <v>0.21193516005041532</v>
      </c>
      <c r="S97">
        <f ca="1"/>
        <v>1</v>
      </c>
      <c r="T97">
        <f ca="1"/>
        <v>2.1499999999999986</v>
      </c>
      <c r="U97">
        <f ca="1"/>
        <v>0</v>
      </c>
      <c r="V97">
        <f ca="1"/>
        <v>0</v>
      </c>
      <c r="X97" s="2">
        <f t="shared" ca="1" si="8"/>
        <v>45133</v>
      </c>
      <c r="Y97">
        <f t="shared" ca="1" si="9"/>
        <v>0</v>
      </c>
      <c r="AA97" s="63">
        <f t="shared" ca="1" si="11"/>
        <v>12.663450071213134</v>
      </c>
      <c r="AB97" s="63">
        <f t="shared" ca="1" si="12"/>
        <v>12.663450071213134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45134</v>
      </c>
      <c r="K98">
        <f ca="1"/>
        <v>12.271627973580268</v>
      </c>
      <c r="L98">
        <f ca="1"/>
        <v>0</v>
      </c>
      <c r="M98">
        <f ca="1"/>
        <v>6.9121613457827635E-3</v>
      </c>
      <c r="N98">
        <f ca="1"/>
        <v>0.18722989534984866</v>
      </c>
      <c r="O98">
        <f ca="1"/>
        <v>0</v>
      </c>
      <c r="P98">
        <f ca="1"/>
        <v>0</v>
      </c>
      <c r="Q98">
        <f ca="1"/>
        <v>0</v>
      </c>
      <c r="R98">
        <f ca="1"/>
        <v>0.37402899427808206</v>
      </c>
      <c r="S98">
        <f ca="1"/>
        <v>1</v>
      </c>
      <c r="T98">
        <f ca="1"/>
        <v>3.8500000000000014</v>
      </c>
      <c r="U98">
        <f ca="1"/>
        <v>0</v>
      </c>
      <c r="V98">
        <f ca="1"/>
        <v>0</v>
      </c>
      <c r="X98" s="2">
        <f t="shared" ca="1" si="8"/>
        <v>45134</v>
      </c>
      <c r="Y98">
        <f t="shared" ca="1" si="9"/>
        <v>0</v>
      </c>
      <c r="AA98" s="63">
        <f t="shared" ca="1" si="11"/>
        <v>12.645656967858349</v>
      </c>
      <c r="AB98" s="63">
        <f t="shared" ca="1" si="12"/>
        <v>12.645656967858349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45135</v>
      </c>
      <c r="K99">
        <f ca="1"/>
        <v>12.271521557472258</v>
      </c>
      <c r="L99">
        <f ca="1"/>
        <v>0</v>
      </c>
      <c r="M99">
        <f ca="1"/>
        <v>7.2684370644342522E-3</v>
      </c>
      <c r="N99">
        <f ca="1"/>
        <v>0.18886722906746664</v>
      </c>
      <c r="O99">
        <f ca="1"/>
        <v>0</v>
      </c>
      <c r="P99">
        <f ca="1"/>
        <v>0</v>
      </c>
      <c r="Q99">
        <f ca="1"/>
        <v>0</v>
      </c>
      <c r="R99">
        <f ca="1"/>
        <v>0.19624208223991085</v>
      </c>
      <c r="S99">
        <f ca="1"/>
        <v>1</v>
      </c>
      <c r="T99">
        <f ca="1"/>
        <v>2.0200000000000031</v>
      </c>
      <c r="U99">
        <f ca="1"/>
        <v>0</v>
      </c>
      <c r="V99">
        <f ca="1"/>
        <v>0</v>
      </c>
      <c r="X99" s="2">
        <f t="shared" ca="1" si="8"/>
        <v>45135</v>
      </c>
      <c r="Y99">
        <f t="shared" ca="1" si="9"/>
        <v>0</v>
      </c>
      <c r="AA99" s="63">
        <f t="shared" ca="1" si="11"/>
        <v>12.467763639712169</v>
      </c>
      <c r="AB99" s="63">
        <f t="shared" ca="1" si="12"/>
        <v>12.467763639712169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45136</v>
      </c>
      <c r="K100">
        <f ca="1"/>
        <v>12.067436431034992</v>
      </c>
      <c r="L100">
        <f ca="1"/>
        <v>0</v>
      </c>
      <c r="M100">
        <f ca="1"/>
        <v>7.6696130038058641E-3</v>
      </c>
      <c r="N100">
        <f ca="1"/>
        <v>0.19235353804321131</v>
      </c>
      <c r="O100">
        <f ca="1"/>
        <v>0</v>
      </c>
      <c r="P100">
        <f ca="1"/>
        <v>0</v>
      </c>
      <c r="Q100">
        <f ca="1"/>
        <v>0</v>
      </c>
      <c r="R100">
        <f ca="1"/>
        <v>0.40410827748428402</v>
      </c>
      <c r="S100">
        <f ca="1"/>
        <v>1</v>
      </c>
      <c r="T100">
        <f ca="1"/>
        <v>4.2299999999999969</v>
      </c>
      <c r="U100">
        <f ca="1"/>
        <v>0</v>
      </c>
      <c r="V100">
        <f ca="1"/>
        <v>0</v>
      </c>
      <c r="X100" s="2">
        <f t="shared" ca="1" si="8"/>
        <v>45136</v>
      </c>
      <c r="Y100">
        <f t="shared" ca="1" si="9"/>
        <v>0</v>
      </c>
      <c r="AA100" s="63">
        <f t="shared" ca="1" si="11"/>
        <v>12.471544708519275</v>
      </c>
      <c r="AB100" s="63">
        <f t="shared" ca="1" si="12"/>
        <v>12.471544708519275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45137</v>
      </c>
      <c r="K101">
        <f ca="1"/>
        <v>12.135936827621871</v>
      </c>
      <c r="L101">
        <f ca="1"/>
        <v>0</v>
      </c>
      <c r="M101">
        <f ca="1"/>
        <v>7.9557034772559376E-3</v>
      </c>
      <c r="N101">
        <f ca="1"/>
        <v>0.19216904128587201</v>
      </c>
      <c r="O101">
        <f ca="1"/>
        <v>0</v>
      </c>
      <c r="P101">
        <f ca="1"/>
        <v>0</v>
      </c>
      <c r="Q101">
        <f ca="1"/>
        <v>0</v>
      </c>
      <c r="R101">
        <f ca="1"/>
        <v>0.13162434817624863</v>
      </c>
      <c r="S101">
        <f ca="1"/>
        <v>1</v>
      </c>
      <c r="T101">
        <f ca="1"/>
        <v>1.3699999999999974</v>
      </c>
      <c r="U101">
        <f ca="1"/>
        <v>0</v>
      </c>
      <c r="V101">
        <f ca="1"/>
        <v>0</v>
      </c>
      <c r="X101" s="2">
        <f t="shared" ca="1" si="8"/>
        <v>45137</v>
      </c>
      <c r="Y101">
        <f t="shared" ca="1" si="9"/>
        <v>0</v>
      </c>
      <c r="AA101" s="63">
        <f t="shared" ca="1" si="11"/>
        <v>12.26756117579812</v>
      </c>
      <c r="AB101" s="63">
        <f t="shared" ca="1" si="12"/>
        <v>12.26756117579812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45138</v>
      </c>
      <c r="K102">
        <f ca="1"/>
        <v>12.056485913656758</v>
      </c>
      <c r="L102">
        <f ca="1"/>
        <v>0</v>
      </c>
      <c r="M102">
        <f ca="1"/>
        <v>8.2847226070734692E-3</v>
      </c>
      <c r="N102">
        <f ca="1"/>
        <v>0.19383354486967372</v>
      </c>
      <c r="O102">
        <f ca="1"/>
        <v>0</v>
      </c>
      <c r="P102">
        <f ca="1"/>
        <v>0</v>
      </c>
      <c r="Q102">
        <f ca="1"/>
        <v>0</v>
      </c>
      <c r="R102">
        <f ca="1"/>
        <v>0.28156918144185911</v>
      </c>
      <c r="S102">
        <f ca="1"/>
        <v>1</v>
      </c>
      <c r="T102">
        <f ca="1"/>
        <v>2.9500000000000028</v>
      </c>
      <c r="U102">
        <f ca="1"/>
        <v>0</v>
      </c>
      <c r="V102">
        <f ca="1"/>
        <v>0</v>
      </c>
      <c r="X102" s="2">
        <f t="shared" ca="1" si="8"/>
        <v>45138</v>
      </c>
      <c r="Y102">
        <f t="shared" ca="1" si="9"/>
        <v>0</v>
      </c>
      <c r="AA102" s="63">
        <f t="shared" ca="1" si="11"/>
        <v>12.338055095098619</v>
      </c>
      <c r="AB102" s="63">
        <f t="shared" ca="1" si="12"/>
        <v>12.338055095098618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45139</v>
      </c>
      <c r="K103">
        <f ca="1"/>
        <v>12.028431738425443</v>
      </c>
      <c r="L103">
        <f ca="1"/>
        <v>0</v>
      </c>
      <c r="M103">
        <f ca="1"/>
        <v>8.5805879494644799E-3</v>
      </c>
      <c r="N103">
        <f ca="1"/>
        <v>0.19476219238718048</v>
      </c>
      <c r="O103">
        <f ca="1"/>
        <v>0</v>
      </c>
      <c r="P103">
        <f ca="1"/>
        <v>0</v>
      </c>
      <c r="Q103">
        <f ca="1"/>
        <v>0</v>
      </c>
      <c r="R103">
        <f ca="1"/>
        <v>0.23139695556795942</v>
      </c>
      <c r="S103">
        <f ca="1"/>
        <v>1</v>
      </c>
      <c r="T103">
        <f ca="1"/>
        <v>2.4299999999999997</v>
      </c>
      <c r="U103">
        <f ca="1"/>
        <v>0</v>
      </c>
      <c r="V103">
        <f ca="1"/>
        <v>0</v>
      </c>
      <c r="X103" s="2">
        <f t="shared" ca="1" si="8"/>
        <v>45139</v>
      </c>
      <c r="Y103">
        <f t="shared" ca="1" si="9"/>
        <v>0</v>
      </c>
      <c r="AA103" s="63">
        <f t="shared" ca="1" si="11"/>
        <v>12.259828693993402</v>
      </c>
      <c r="AB103" s="63">
        <f t="shared" ca="1" si="12"/>
        <v>12.259828693993402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45140</v>
      </c>
      <c r="K104">
        <f ca="1"/>
        <v>11.831194249207769</v>
      </c>
      <c r="L104">
        <f ca="1"/>
        <v>0</v>
      </c>
      <c r="M104">
        <f ca="1"/>
        <v>9.0477725424822353E-3</v>
      </c>
      <c r="N104">
        <f ca="1"/>
        <v>0.20115149019693665</v>
      </c>
      <c r="O104">
        <f ca="1"/>
        <v>0</v>
      </c>
      <c r="P104">
        <f ca="1"/>
        <v>0</v>
      </c>
      <c r="Q104">
        <f ca="1"/>
        <v>0</v>
      </c>
      <c r="R104">
        <f ca="1"/>
        <v>0.40743675195709206</v>
      </c>
      <c r="S104">
        <f ca="1"/>
        <v>1</v>
      </c>
      <c r="T104">
        <f ca="1"/>
        <v>4.3499999999999943</v>
      </c>
      <c r="U104">
        <f ca="1"/>
        <v>0</v>
      </c>
      <c r="V104">
        <f ca="1"/>
        <v>0</v>
      </c>
      <c r="X104" s="2">
        <f t="shared" ca="1" si="8"/>
        <v>45140</v>
      </c>
      <c r="Y104">
        <f t="shared" ca="1" si="9"/>
        <v>0</v>
      </c>
      <c r="AA104" s="63">
        <f t="shared" ca="1" si="11"/>
        <v>12.238631001164862</v>
      </c>
      <c r="AB104" s="63">
        <f t="shared" ca="1" si="12"/>
        <v>12.238631001164862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45141</v>
      </c>
      <c r="K105">
        <f ca="1"/>
        <v>11.871109758061616</v>
      </c>
      <c r="L105">
        <f ca="1"/>
        <v>0</v>
      </c>
      <c r="M105">
        <f ca="1"/>
        <v>9.2534108985704577E-3</v>
      </c>
      <c r="N105">
        <f ca="1"/>
        <v>0.19982541200765366</v>
      </c>
      <c r="O105">
        <f ca="1"/>
        <v>0</v>
      </c>
      <c r="P105">
        <f ca="1"/>
        <v>0</v>
      </c>
      <c r="Q105">
        <f ca="1"/>
        <v>0</v>
      </c>
      <c r="R105">
        <f ca="1"/>
        <v>0.16916331405237781</v>
      </c>
      <c r="S105">
        <f ca="1"/>
        <v>1</v>
      </c>
      <c r="T105">
        <f ca="1"/>
        <v>1.7999999999999972</v>
      </c>
      <c r="U105">
        <f ca="1"/>
        <v>0</v>
      </c>
      <c r="V105">
        <f ca="1"/>
        <v>0</v>
      </c>
      <c r="X105" s="2">
        <f t="shared" ca="1" si="8"/>
        <v>45141</v>
      </c>
      <c r="Y105">
        <f t="shared" ca="1" si="9"/>
        <v>0</v>
      </c>
      <c r="AA105" s="63">
        <f t="shared" ca="1" si="11"/>
        <v>12.040273072113992</v>
      </c>
      <c r="AB105" s="63">
        <f t="shared" ca="1" si="12"/>
        <v>12.040273072113994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45142</v>
      </c>
      <c r="K106">
        <f ca="1"/>
        <v>11.74215637868882</v>
      </c>
      <c r="L106">
        <f ca="1"/>
        <v>0</v>
      </c>
      <c r="M106">
        <f ca="1"/>
        <v>9.4286883345899852E-3</v>
      </c>
      <c r="N106">
        <f ca="1"/>
        <v>0.19812856384520355</v>
      </c>
      <c r="O106">
        <f ca="1"/>
        <v>0</v>
      </c>
      <c r="P106">
        <f ca="1"/>
        <v>0</v>
      </c>
      <c r="Q106">
        <f ca="1"/>
        <v>0</v>
      </c>
      <c r="R106">
        <f ca="1"/>
        <v>0.3365106315525902</v>
      </c>
      <c r="S106">
        <f ca="1"/>
        <v>1</v>
      </c>
      <c r="T106">
        <f ca="1"/>
        <v>3.6199999999999974</v>
      </c>
      <c r="U106">
        <f ca="1"/>
        <v>0</v>
      </c>
      <c r="V106">
        <f ca="1"/>
        <v>0</v>
      </c>
      <c r="X106" s="2">
        <f t="shared" ca="1" si="8"/>
        <v>45142</v>
      </c>
      <c r="Y106">
        <f t="shared" ca="1" si="9"/>
        <v>0</v>
      </c>
      <c r="AA106" s="63">
        <f t="shared" ca="1" si="11"/>
        <v>12.078667010241409</v>
      </c>
      <c r="AB106" s="63">
        <f t="shared" ca="1" si="12"/>
        <v>12.078667010241411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45143</v>
      </c>
      <c r="K107">
        <f ca="1"/>
        <v>11.617823624282911</v>
      </c>
      <c r="L107">
        <f ca="1"/>
        <v>0</v>
      </c>
      <c r="M107">
        <f ca="1"/>
        <v>9.4536295145699611E-3</v>
      </c>
      <c r="N107">
        <f ca="1"/>
        <v>0.19272286752030662</v>
      </c>
      <c r="O107">
        <f ca="1"/>
        <v>0</v>
      </c>
      <c r="P107">
        <f ca="1"/>
        <v>2.3752320995497063</v>
      </c>
      <c r="Q107">
        <f ca="1"/>
        <v>2.1400350146106168</v>
      </c>
      <c r="R107">
        <f ca="1"/>
        <v>0.32650925144078469</v>
      </c>
      <c r="S107">
        <f ca="1"/>
        <v>1</v>
      </c>
      <c r="T107">
        <f ca="1"/>
        <v>3.5500000000000043</v>
      </c>
      <c r="U107">
        <f ca="1"/>
        <v>0</v>
      </c>
      <c r="V107">
        <f ca="1"/>
        <v>7.9033227795205895E-3</v>
      </c>
      <c r="X107" s="2">
        <f t="shared" ca="1" si="8"/>
        <v>45143</v>
      </c>
      <c r="Y107">
        <f t="shared" ca="1" si="9"/>
        <v>0</v>
      </c>
      <c r="AA107" s="63">
        <f t="shared" ca="1" si="11"/>
        <v>11.944332875723696</v>
      </c>
      <c r="AB107" s="63">
        <f t="shared" ca="1" si="12"/>
        <v>11.944332875723696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45144</v>
      </c>
      <c r="K108">
        <f ca="1"/>
        <v>11.441620848123675</v>
      </c>
      <c r="L108">
        <f ca="1"/>
        <v>0.13339037227809669</v>
      </c>
      <c r="M108">
        <f ca="1"/>
        <v>9.5982101326752556E-3</v>
      </c>
      <c r="N108">
        <f ca="1"/>
        <v>0.19124823663101764</v>
      </c>
      <c r="O108">
        <f ca="1"/>
        <v>0</v>
      </c>
      <c r="P108">
        <f ca="1"/>
        <v>2.508622471827803</v>
      </c>
      <c r="Q108">
        <f ca="1"/>
        <v>2.2602169822344078</v>
      </c>
      <c r="R108">
        <f ca="1"/>
        <v>0.24365885064483353</v>
      </c>
      <c r="S108">
        <f ca="1"/>
        <v>1</v>
      </c>
      <c r="T108">
        <f ca="1"/>
        <v>2.6899999999999977</v>
      </c>
      <c r="U108">
        <f ca="1"/>
        <v>0</v>
      </c>
      <c r="V108">
        <f ca="1"/>
        <v>9.3090018525399335E-3</v>
      </c>
      <c r="X108" s="2">
        <f t="shared" ca="1" si="8"/>
        <v>45144</v>
      </c>
      <c r="Y108">
        <f t="shared" ca="1" si="9"/>
        <v>0</v>
      </c>
      <c r="AA108" s="63">
        <f t="shared" ca="1" si="11"/>
        <v>11.818670071046602</v>
      </c>
      <c r="AB108" s="63">
        <f t="shared" ca="1" si="12"/>
        <v>11.818670071046604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45145</v>
      </c>
      <c r="K109">
        <f ca="1"/>
        <v>11.341289657478809</v>
      </c>
      <c r="L109">
        <f ca="1"/>
        <v>0.14365001008141753</v>
      </c>
      <c r="M109">
        <f ca="1"/>
        <v>9.858790963705566E-3</v>
      </c>
      <c r="N109">
        <f ca="1"/>
        <v>0.19327770189615157</v>
      </c>
      <c r="O109">
        <f ca="1"/>
        <v>0</v>
      </c>
      <c r="P109">
        <f ca="1"/>
        <v>2.6522724819092205</v>
      </c>
      <c r="Q109">
        <f ca="1"/>
        <v>2.3896426714046082</v>
      </c>
      <c r="R109">
        <f ca="1"/>
        <v>0.15981767342330566</v>
      </c>
      <c r="S109">
        <f ca="1"/>
        <v>1</v>
      </c>
      <c r="T109">
        <f ca="1"/>
        <v>1.7800000000000011</v>
      </c>
      <c r="U109">
        <f ca="1"/>
        <v>0</v>
      </c>
      <c r="V109">
        <f ca="1"/>
        <v>1.0996963108335742E-2</v>
      </c>
      <c r="X109" s="2">
        <f t="shared" ca="1" si="8"/>
        <v>45145</v>
      </c>
      <c r="Y109">
        <f t="shared" ca="1" si="9"/>
        <v>0</v>
      </c>
      <c r="AA109" s="63">
        <f t="shared" ca="1" si="11"/>
        <v>11.644757340983533</v>
      </c>
      <c r="AB109" s="63">
        <f t="shared" ca="1" si="12"/>
        <v>11.644757340983531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45146</v>
      </c>
      <c r="K110">
        <f ca="1"/>
        <v>11.33722918437425</v>
      </c>
      <c r="L110">
        <f ca="1"/>
        <v>0.15153473000440743</v>
      </c>
      <c r="M110">
        <f ca="1"/>
        <v>1.0028511752861569E-2</v>
      </c>
      <c r="N110">
        <f ca="1"/>
        <v>0.193092645060289</v>
      </c>
      <c r="O110">
        <f ca="1"/>
        <v>0</v>
      </c>
      <c r="P110">
        <f ca="1"/>
        <v>2.8038072119136279</v>
      </c>
      <c r="Q110">
        <f ca="1"/>
        <v>2.5261723302116259</v>
      </c>
      <c r="R110">
        <f ca="1"/>
        <v>5.5646899913303384E-2</v>
      </c>
      <c r="S110">
        <f ca="1"/>
        <v>1</v>
      </c>
      <c r="T110">
        <f ca="1"/>
        <v>0.61999999999999744</v>
      </c>
      <c r="U110">
        <f ca="1"/>
        <v>0</v>
      </c>
      <c r="V110">
        <f ca="1"/>
        <v>1.2983224013899706E-2</v>
      </c>
      <c r="X110" s="2">
        <f t="shared" ca="1" si="8"/>
        <v>45146</v>
      </c>
      <c r="Y110">
        <f t="shared" ca="1" si="9"/>
        <v>0</v>
      </c>
      <c r="AA110" s="63">
        <f t="shared" ca="1" si="11"/>
        <v>11.544410814291961</v>
      </c>
      <c r="AB110" s="63">
        <f t="shared" ca="1" si="12"/>
        <v>11.544410814291961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45147</v>
      </c>
      <c r="K111">
        <f ca="1"/>
        <v>11.120346213626418</v>
      </c>
      <c r="L111">
        <f ca="1"/>
        <v>0.16385133247103312</v>
      </c>
      <c r="M111">
        <f ca="1"/>
        <v>1.0287289933742727E-2</v>
      </c>
      <c r="N111">
        <f ca="1"/>
        <v>0.19550712991161051</v>
      </c>
      <c r="O111">
        <f ca="1"/>
        <v>0</v>
      </c>
      <c r="P111">
        <f ca="1"/>
        <v>2.967658544384661</v>
      </c>
      <c r="Q111">
        <f ca="1"/>
        <v>2.6737989931996733</v>
      </c>
      <c r="R111">
        <f ca="1"/>
        <v>0.25882605812215403</v>
      </c>
      <c r="S111">
        <f ca="1"/>
        <v>1</v>
      </c>
      <c r="T111">
        <f ca="1"/>
        <v>2.9399999999999906</v>
      </c>
      <c r="U111">
        <f ca="1"/>
        <v>0</v>
      </c>
      <c r="V111">
        <f ca="1"/>
        <v>1.5380314314610745E-2</v>
      </c>
      <c r="X111" s="2">
        <f t="shared" ca="1" si="8"/>
        <v>45147</v>
      </c>
      <c r="Y111">
        <f t="shared" ca="1" si="9"/>
        <v>0</v>
      </c>
      <c r="AA111" s="63">
        <f t="shared" ca="1" si="11"/>
        <v>11.543023604219604</v>
      </c>
      <c r="AB111" s="63">
        <f t="shared" ca="1" si="12"/>
        <v>11.543023604219604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45148</v>
      </c>
      <c r="K112">
        <f ca="1"/>
        <v>10.917725524640677</v>
      </c>
      <c r="L112">
        <f ca="1"/>
        <v>0.16665114807980164</v>
      </c>
      <c r="M112">
        <f ca="1"/>
        <v>1.0286268135532239E-2</v>
      </c>
      <c r="N112">
        <f ca="1"/>
        <v>0.19143217373456078</v>
      </c>
      <c r="O112">
        <f ca="1"/>
        <v>0</v>
      </c>
      <c r="P112">
        <f ca="1"/>
        <v>3.1343096924644627</v>
      </c>
      <c r="Q112">
        <f ca="1"/>
        <v>2.823948232166023</v>
      </c>
      <c r="R112">
        <f ca="1"/>
        <v>0.23768798277603137</v>
      </c>
      <c r="S112">
        <f ca="1"/>
        <v>1</v>
      </c>
      <c r="T112">
        <f ca="1"/>
        <v>2.75</v>
      </c>
      <c r="U112">
        <f ca="1"/>
        <v>0</v>
      </c>
      <c r="V112">
        <f ca="1"/>
        <v>1.8096805339174207E-2</v>
      </c>
      <c r="X112" s="2">
        <f t="shared" ca="1" si="8"/>
        <v>45148</v>
      </c>
      <c r="Y112">
        <f t="shared" ca="1" si="9"/>
        <v>0</v>
      </c>
      <c r="AA112" s="63">
        <f t="shared" ca="1" si="11"/>
        <v>11.322064655496511</v>
      </c>
      <c r="AB112" s="63">
        <f t="shared" ca="1" si="12"/>
        <v>11.322064655496508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45149</v>
      </c>
      <c r="K113">
        <f ca="1"/>
        <v>10.608602699572932</v>
      </c>
      <c r="L113">
        <f ca="1"/>
        <v>0.18425770952178366</v>
      </c>
      <c r="M113">
        <f ca="1"/>
        <v>1.0620867661437217E-2</v>
      </c>
      <c r="N113">
        <f ca="1"/>
        <v>0.19625386371049675</v>
      </c>
      <c r="O113">
        <f ca="1"/>
        <v>0</v>
      </c>
      <c r="P113">
        <f ca="1"/>
        <v>3.3185674019862463</v>
      </c>
      <c r="Q113">
        <f ca="1"/>
        <v>2.9899606189821677</v>
      </c>
      <c r="R113">
        <f ca="1"/>
        <v>0.33173984691789538</v>
      </c>
      <c r="S113">
        <f ca="1"/>
        <v>1</v>
      </c>
      <c r="T113">
        <f ca="1"/>
        <v>3.9500000000000028</v>
      </c>
      <c r="U113">
        <f ca="1"/>
        <v>0</v>
      </c>
      <c r="V113">
        <f ca="1"/>
        <v>2.1442129536741173E-2</v>
      </c>
      <c r="X113" s="2">
        <f t="shared" ca="1" si="8"/>
        <v>45149</v>
      </c>
      <c r="Y113">
        <f t="shared" ca="1" si="9"/>
        <v>0</v>
      </c>
      <c r="AA113" s="63">
        <f t="shared" ca="1" si="11"/>
        <v>11.124600256012611</v>
      </c>
      <c r="AB113" s="63">
        <f t="shared" ca="1" si="12"/>
        <v>11.124600256012611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45150</v>
      </c>
      <c r="K114">
        <f ca="1"/>
        <v>10.446932256822473</v>
      </c>
      <c r="L114">
        <f ca="1"/>
        <v>0.18547115231395273</v>
      </c>
      <c r="M114">
        <f ca="1"/>
        <v>1.0551790944476558E-2</v>
      </c>
      <c r="N114">
        <f ca="1"/>
        <v>0.19106441140701794</v>
      </c>
      <c r="O114">
        <f ca="1"/>
        <v>0</v>
      </c>
      <c r="P114">
        <f ca="1"/>
        <v>3.5040385543001991</v>
      </c>
      <c r="Q114">
        <f ca="1"/>
        <v>3.1570662926665554</v>
      </c>
      <c r="R114">
        <f ca="1"/>
        <v>0.1778154927879996</v>
      </c>
      <c r="S114">
        <f ca="1"/>
        <v>1</v>
      </c>
      <c r="T114">
        <f ca="1"/>
        <v>2.1500000000000057</v>
      </c>
      <c r="U114">
        <f ca="1"/>
        <v>0</v>
      </c>
      <c r="V114">
        <f ca="1"/>
        <v>2.5187456636538801E-2</v>
      </c>
      <c r="X114" s="2">
        <f t="shared" ca="1" si="8"/>
        <v>45150</v>
      </c>
      <c r="Y114">
        <f t="shared" ca="1" si="9"/>
        <v>0</v>
      </c>
      <c r="AA114" s="63">
        <f t="shared" ca="1" si="11"/>
        <v>10.810218901924427</v>
      </c>
      <c r="AB114" s="63">
        <f t="shared" ca="1" si="12"/>
        <v>10.810218901924426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45151</v>
      </c>
      <c r="K115">
        <f ca="1"/>
        <v>10.232847375060294</v>
      </c>
      <c r="L115">
        <f ca="1"/>
        <v>0.20395778356743488</v>
      </c>
      <c r="M115">
        <f ca="1"/>
        <v>1.0848986024321938E-2</v>
      </c>
      <c r="N115">
        <f ca="1"/>
        <v>0.19532072717127388</v>
      </c>
      <c r="O115">
        <f ca="1"/>
        <v>0</v>
      </c>
      <c r="P115">
        <f ca="1"/>
        <v>3.7079963378676339</v>
      </c>
      <c r="Q115">
        <f ca="1"/>
        <v>3.3408280389057685</v>
      </c>
      <c r="R115">
        <f ca="1"/>
        <v>0.2162968113903371</v>
      </c>
      <c r="S115">
        <f ca="1"/>
        <v>1</v>
      </c>
      <c r="T115">
        <f ca="1"/>
        <v>2.6700000000000017</v>
      </c>
      <c r="U115">
        <f ca="1"/>
        <v>0</v>
      </c>
      <c r="V115">
        <f ca="1"/>
        <v>2.9761380658334856E-2</v>
      </c>
      <c r="X115" s="2">
        <f t="shared" ca="1" si="8"/>
        <v>45151</v>
      </c>
      <c r="Y115">
        <f t="shared" ca="1" si="9"/>
        <v>0</v>
      </c>
      <c r="AA115" s="63">
        <f t="shared" ca="1" si="11"/>
        <v>10.653101970018069</v>
      </c>
      <c r="AB115" s="63">
        <f t="shared" ca="1" si="12"/>
        <v>10.653101970018065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45152</v>
      </c>
      <c r="K116">
        <f ca="1"/>
        <v>9.9662805788211113</v>
      </c>
      <c r="L116">
        <f ca="1"/>
        <v>0.21076405406415688</v>
      </c>
      <c r="M116">
        <f ca="1"/>
        <v>1.0869640460211549E-2</v>
      </c>
      <c r="N116">
        <f ca="1"/>
        <v>0.192907700273974</v>
      </c>
      <c r="O116">
        <f ca="1"/>
        <v>0</v>
      </c>
      <c r="P116">
        <f ca="1"/>
        <v>3.9187603919317908</v>
      </c>
      <c r="Q116">
        <f ca="1"/>
        <v>3.530722094145291</v>
      </c>
      <c r="R116">
        <f ca="1"/>
        <v>0.25958008290921203</v>
      </c>
      <c r="S116">
        <f ca="1"/>
        <v>1</v>
      </c>
      <c r="T116">
        <f ca="1"/>
        <v>3.2900000000000063</v>
      </c>
      <c r="U116">
        <f ca="1"/>
        <v>0</v>
      </c>
      <c r="V116">
        <f ca="1"/>
        <v>3.5006944723186502E-2</v>
      </c>
      <c r="X116" s="2">
        <f t="shared" ca="1" si="8"/>
        <v>45152</v>
      </c>
      <c r="Y116">
        <f t="shared" ca="1" si="9"/>
        <v>0</v>
      </c>
      <c r="AA116" s="63">
        <f t="shared" ca="1" si="11"/>
        <v>10.43662471579448</v>
      </c>
      <c r="AB116" s="63">
        <f t="shared" ca="1" si="12"/>
        <v>10.43662471579448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45153</v>
      </c>
      <c r="K117">
        <f ca="1"/>
        <v>9.7025433566760899</v>
      </c>
      <c r="L117">
        <f ca="1"/>
        <v>0.20065956219144443</v>
      </c>
      <c r="M117">
        <f ca="1"/>
        <v>1.0565967357709205E-2</v>
      </c>
      <c r="N117">
        <f ca="1"/>
        <v>0.18290778994482482</v>
      </c>
      <c r="O117">
        <f ca="1"/>
        <v>0</v>
      </c>
      <c r="P117">
        <f ca="1"/>
        <v>4.1194199541232353</v>
      </c>
      <c r="Q117">
        <f ca="1"/>
        <v>3.7115122111142966</v>
      </c>
      <c r="R117">
        <f ca="1"/>
        <v>0.25655141725611053</v>
      </c>
      <c r="S117">
        <f ca="1"/>
        <v>1</v>
      </c>
      <c r="T117">
        <f ca="1"/>
        <v>3.3400000000000034</v>
      </c>
      <c r="U117">
        <f ca="1"/>
        <v>0</v>
      </c>
      <c r="V117">
        <f ca="1"/>
        <v>4.0506276749873282E-2</v>
      </c>
      <c r="X117" s="2">
        <f t="shared" ca="1" si="8"/>
        <v>45153</v>
      </c>
      <c r="Y117">
        <f t="shared" ca="1" si="9"/>
        <v>0</v>
      </c>
      <c r="AA117" s="63">
        <f t="shared" ca="1" si="11"/>
        <v>10.159754336123644</v>
      </c>
      <c r="AB117" s="63">
        <f t="shared" ca="1" si="12"/>
        <v>10.159754336123646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45154</v>
      </c>
      <c r="K118">
        <f ca="1"/>
        <v>9.4885583067672137</v>
      </c>
      <c r="L118">
        <f ca="1"/>
        <v>0.2120539932389498</v>
      </c>
      <c r="M118">
        <f ca="1"/>
        <v>1.0681729985162924E-2</v>
      </c>
      <c r="N118">
        <f ca="1"/>
        <v>0.18344454935848645</v>
      </c>
      <c r="O118">
        <f ca="1"/>
        <v>0</v>
      </c>
      <c r="P118">
        <f ca="1"/>
        <v>4.3314739473621851</v>
      </c>
      <c r="Q118">
        <f ca="1"/>
        <v>3.9025684748812726</v>
      </c>
      <c r="R118">
        <f ca="1"/>
        <v>0.1960573360135775</v>
      </c>
      <c r="S118">
        <f ca="1"/>
        <v>1</v>
      </c>
      <c r="T118">
        <f ca="1"/>
        <v>2.6099999999999994</v>
      </c>
      <c r="U118">
        <f ca="1"/>
        <v>0</v>
      </c>
      <c r="V118">
        <f ca="1"/>
        <v>4.6866878103981019E-2</v>
      </c>
      <c r="X118" s="2">
        <f t="shared" ca="1" si="8"/>
        <v>45154</v>
      </c>
      <c r="Y118">
        <f t="shared" ca="1" si="9"/>
        <v>0</v>
      </c>
      <c r="AA118" s="63">
        <f t="shared" ca="1" si="11"/>
        <v>9.896669636019741</v>
      </c>
      <c r="AB118" s="63">
        <f t="shared" ca="1" si="12"/>
        <v>9.896669636019741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45155</v>
      </c>
      <c r="K119">
        <f ca="1"/>
        <v>9.2192166051268281</v>
      </c>
      <c r="L119">
        <f ca="1"/>
        <v>0.21755266825095632</v>
      </c>
      <c r="M119">
        <f ca="1"/>
        <v>1.0678911582193251E-2</v>
      </c>
      <c r="N119">
        <f ca="1"/>
        <v>0.18130350742893928</v>
      </c>
      <c r="O119">
        <f ca="1"/>
        <v>0</v>
      </c>
      <c r="P119">
        <f ca="1"/>
        <v>4.5490266156131414</v>
      </c>
      <c r="Q119">
        <f ca="1"/>
        <v>4.0985789311509038</v>
      </c>
      <c r="R119">
        <f ca="1"/>
        <v>0.24377145240056211</v>
      </c>
      <c r="S119">
        <f ca="1"/>
        <v>1</v>
      </c>
      <c r="T119">
        <f ca="1"/>
        <v>3.3400000000000034</v>
      </c>
      <c r="U119">
        <f ca="1"/>
        <v>0</v>
      </c>
      <c r="V119">
        <f ca="1"/>
        <v>5.3989847353097462E-2</v>
      </c>
      <c r="X119" s="2">
        <f t="shared" ca="1" si="8"/>
        <v>45155</v>
      </c>
      <c r="Y119">
        <f t="shared" ca="1" si="9"/>
        <v>0</v>
      </c>
      <c r="AA119" s="63">
        <f t="shared" ca="1" si="11"/>
        <v>9.6805407257783465</v>
      </c>
      <c r="AB119" s="63">
        <f t="shared" ca="1" si="12"/>
        <v>9.6805407257783465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45156</v>
      </c>
      <c r="K120">
        <f ca="1"/>
        <v>9.0363039326554748</v>
      </c>
      <c r="L120">
        <f ca="1"/>
        <v>0.22832196433469498</v>
      </c>
      <c r="M120">
        <f ca="1"/>
        <v>1.0757467008121857E-2</v>
      </c>
      <c r="N120">
        <f ca="1"/>
        <v>0.18130350742893928</v>
      </c>
      <c r="O120">
        <f ca="1"/>
        <v>0</v>
      </c>
      <c r="P120">
        <f ca="1"/>
        <v>4.7773485799478363</v>
      </c>
      <c r="Q120">
        <f ca="1"/>
        <v>4.3042923005405962</v>
      </c>
      <c r="R120">
        <f ca="1"/>
        <v>0.14665168257372091</v>
      </c>
      <c r="S120">
        <f ca="1"/>
        <v>1</v>
      </c>
      <c r="T120">
        <f ca="1"/>
        <v>2.0499999999999972</v>
      </c>
      <c r="U120">
        <f ca="1"/>
        <v>0</v>
      </c>
      <c r="V120">
        <f ca="1"/>
        <v>6.2124825427339693E-2</v>
      </c>
      <c r="X120" s="2">
        <f t="shared" ca="1" si="8"/>
        <v>45156</v>
      </c>
      <c r="Y120">
        <f t="shared" ca="1" si="9"/>
        <v>0</v>
      </c>
      <c r="AA120" s="63">
        <f t="shared" ca="1" si="11"/>
        <v>9.4112775795638903</v>
      </c>
      <c r="AB120" s="63">
        <f t="shared" ca="1" si="12"/>
        <v>9.4112775795638903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45157</v>
      </c>
      <c r="K121">
        <f ca="1"/>
        <v>8.8649286087948482</v>
      </c>
      <c r="L121">
        <f ca="1"/>
        <v>0.24250776812548569</v>
      </c>
      <c r="M121">
        <f ca="1"/>
        <v>1.087480570459487E-2</v>
      </c>
      <c r="N121">
        <f ca="1"/>
        <v>0.18237203014641107</v>
      </c>
      <c r="O121">
        <f ca="1"/>
        <v>0</v>
      </c>
      <c r="P121">
        <f ca="1"/>
        <v>5.019856348073322</v>
      </c>
      <c r="Q121">
        <f ca="1"/>
        <v>4.5227867858593163</v>
      </c>
      <c r="R121">
        <f ca="1"/>
        <v>0.12211439158614867</v>
      </c>
      <c r="S121">
        <f ca="1"/>
        <v>1</v>
      </c>
      <c r="T121">
        <f ca="1"/>
        <v>1.7399999999999949</v>
      </c>
      <c r="U121">
        <f ca="1"/>
        <v>0</v>
      </c>
      <c r="V121">
        <f ca="1"/>
        <v>7.1509793769680433E-2</v>
      </c>
      <c r="X121" s="2">
        <f t="shared" ca="1" si="8"/>
        <v>45157</v>
      </c>
      <c r="Y121">
        <f t="shared" ca="1" si="9"/>
        <v>0</v>
      </c>
      <c r="AA121" s="63">
        <f t="shared" ca="1" si="11"/>
        <v>9.2295507685064813</v>
      </c>
      <c r="AB121" s="63">
        <f t="shared" ca="1" si="12"/>
        <v>9.2295507685064813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45158</v>
      </c>
      <c r="K122">
        <f ca="1"/>
        <v>8.5892890487851385</v>
      </c>
      <c r="L122">
        <f ca="1"/>
        <v>0.26885152592913197</v>
      </c>
      <c r="M122">
        <f ca="1"/>
        <v>1.1156176500103143E-2</v>
      </c>
      <c r="N122">
        <f ca="1"/>
        <v>0.18741137509402189</v>
      </c>
      <c r="O122">
        <f ca="1"/>
        <v>0</v>
      </c>
      <c r="P122">
        <f ca="1"/>
        <v>5.288707874002454</v>
      </c>
      <c r="Q122">
        <f ca="1"/>
        <v>4.7650164523112428</v>
      </c>
      <c r="R122">
        <f ca="1"/>
        <v>0.20535558567470441</v>
      </c>
      <c r="S122">
        <f ca="1"/>
        <v>1</v>
      </c>
      <c r="T122">
        <f ca="1"/>
        <v>3.019999999999996</v>
      </c>
      <c r="U122">
        <f ca="1"/>
        <v>0</v>
      </c>
      <c r="V122">
        <f ca="1"/>
        <v>8.2809848808522976E-2</v>
      </c>
      <c r="X122" s="2">
        <f t="shared" ca="1" si="8"/>
        <v>45158</v>
      </c>
      <c r="Y122">
        <f t="shared" ca="1" si="9"/>
        <v>0</v>
      </c>
      <c r="AA122" s="63">
        <f t="shared" ca="1" si="11"/>
        <v>9.0634961603889739</v>
      </c>
      <c r="AB122" s="63">
        <f t="shared" ca="1" si="12"/>
        <v>9.0634961603889739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45159</v>
      </c>
      <c r="K123">
        <f ca="1"/>
        <v>8.3504640253469233</v>
      </c>
      <c r="L123">
        <f ca="1"/>
        <v>0.29802609988981299</v>
      </c>
      <c r="M123">
        <f ca="1"/>
        <v>1.1439099708685951E-2</v>
      </c>
      <c r="N123">
        <f ca="1"/>
        <v>0.19253814678236719</v>
      </c>
      <c r="O123">
        <f ca="1"/>
        <v>0</v>
      </c>
      <c r="P123">
        <f ca="1"/>
        <v>5.586733973892267</v>
      </c>
      <c r="Q123">
        <f ca="1"/>
        <v>5.033531806727745</v>
      </c>
      <c r="R123">
        <f ca="1"/>
        <v>0.14477617003945212</v>
      </c>
      <c r="S123">
        <f ca="1"/>
        <v>1</v>
      </c>
      <c r="T123">
        <f ca="1"/>
        <v>2.1899999999999977</v>
      </c>
      <c r="U123">
        <f ca="1"/>
        <v>0</v>
      </c>
      <c r="V123">
        <f ca="1"/>
        <v>9.6424585117488901E-2</v>
      </c>
      <c r="X123" s="2">
        <f t="shared" ca="1" si="8"/>
        <v>45159</v>
      </c>
      <c r="Y123">
        <f t="shared" ca="1" si="9"/>
        <v>0</v>
      </c>
      <c r="AA123" s="63">
        <f t="shared" ca="1" si="11"/>
        <v>8.793266295276192</v>
      </c>
      <c r="AB123" s="63">
        <f t="shared" ca="1" si="12"/>
        <v>8.7932662952761902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45160</v>
      </c>
      <c r="K124">
        <f ca="1"/>
        <v>8.1042377451935348</v>
      </c>
      <c r="L124">
        <f ca="1"/>
        <v>0.32189286621782287</v>
      </c>
      <c r="M124">
        <f ca="1"/>
        <v>1.1601767223611503E-2</v>
      </c>
      <c r="N124">
        <f ca="1"/>
        <v>0.19494825842569802</v>
      </c>
      <c r="O124">
        <f ca="1"/>
        <v>0</v>
      </c>
      <c r="P124">
        <f ca="1"/>
        <v>5.9086268401100899</v>
      </c>
      <c r="Q124">
        <f ca="1"/>
        <v>5.3235506241688295</v>
      </c>
      <c r="R124">
        <f ca="1"/>
        <v>0.13088343958487555</v>
      </c>
      <c r="S124">
        <f ca="1"/>
        <v>1</v>
      </c>
      <c r="T124">
        <f ca="1"/>
        <v>2.0399999999999991</v>
      </c>
      <c r="U124">
        <f ca="1"/>
        <v>0</v>
      </c>
      <c r="V124">
        <f ca="1"/>
        <v>0.11238413335542587</v>
      </c>
      <c r="X124" s="2">
        <f t="shared" ca="1" si="8"/>
        <v>45160</v>
      </c>
      <c r="Y124">
        <f t="shared" ca="1" si="9"/>
        <v>0</v>
      </c>
      <c r="AA124" s="63">
        <f t="shared" ca="1" si="11"/>
        <v>8.5570140509962336</v>
      </c>
      <c r="AB124" s="63">
        <f t="shared" ca="1" si="12"/>
        <v>8.5570140509962336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45161</v>
      </c>
      <c r="K125">
        <f ca="1"/>
        <v>7.8832519772977392</v>
      </c>
      <c r="L125">
        <f ca="1"/>
        <v>0.35509373634547536</v>
      </c>
      <c r="M125">
        <f ca="1"/>
        <v>1.185880239383863E-2</v>
      </c>
      <c r="N125">
        <f ca="1"/>
        <v>0.19963642296631437</v>
      </c>
      <c r="O125">
        <f ca="1"/>
        <v>0</v>
      </c>
      <c r="P125">
        <f ca="1"/>
        <v>6.2637205764555652</v>
      </c>
      <c r="Q125">
        <f ca="1"/>
        <v>5.6434827391786824</v>
      </c>
      <c r="R125">
        <f ca="1"/>
        <v>7.7387256910473379E-2</v>
      </c>
      <c r="S125">
        <f ca="1"/>
        <v>1</v>
      </c>
      <c r="T125">
        <f ca="1"/>
        <v>1.2400000000000091</v>
      </c>
      <c r="U125">
        <f ca="1"/>
        <v>0</v>
      </c>
      <c r="V125">
        <f ca="1"/>
        <v>0.13143816867102417</v>
      </c>
      <c r="X125" s="2">
        <f t="shared" ca="1" si="8"/>
        <v>45161</v>
      </c>
      <c r="Y125">
        <f t="shared" ca="1" si="9"/>
        <v>0</v>
      </c>
      <c r="AA125" s="63">
        <f t="shared" ca="1" si="11"/>
        <v>8.3157329705536878</v>
      </c>
      <c r="AB125" s="63">
        <f t="shared" ca="1" si="12"/>
        <v>8.3157329705536878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45162</v>
      </c>
      <c r="K126">
        <f ca="1"/>
        <v>7.6415227588844798</v>
      </c>
      <c r="L126">
        <f ca="1"/>
        <v>0.37664069931027555</v>
      </c>
      <c r="M126">
        <f ca="1"/>
        <v>1.1915212294313804E-2</v>
      </c>
      <c r="N126">
        <f ca="1"/>
        <v>0.19982541200765366</v>
      </c>
      <c r="O126">
        <f ca="1"/>
        <v>0</v>
      </c>
      <c r="P126">
        <f ca="1"/>
        <v>6.6403612757658408</v>
      </c>
      <c r="Q126">
        <f ca="1"/>
        <v>5.9828282223439784</v>
      </c>
      <c r="R126">
        <f ca="1"/>
        <v>7.6829143404951242E-2</v>
      </c>
      <c r="S126">
        <f ca="1"/>
        <v>1</v>
      </c>
      <c r="T126">
        <f ca="1"/>
        <v>1.2700000000000031</v>
      </c>
      <c r="U126">
        <f ca="1"/>
        <v>0</v>
      </c>
      <c r="V126">
        <f ca="1"/>
        <v>0.15320329414629982</v>
      </c>
      <c r="X126" s="2">
        <f t="shared" ca="1" si="8"/>
        <v>45162</v>
      </c>
      <c r="Y126">
        <f t="shared" ca="1" si="9"/>
        <v>0</v>
      </c>
      <c r="AA126" s="63">
        <f t="shared" ca="1" si="11"/>
        <v>8.0949926015997065</v>
      </c>
      <c r="AB126" s="63">
        <f t="shared" ca="1" si="12"/>
        <v>8.0949926015997082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45163</v>
      </c>
      <c r="K127">
        <f ca="1"/>
        <v>7.1456404905144915</v>
      </c>
      <c r="L127">
        <f ca="1"/>
        <v>0.41161654791977487</v>
      </c>
      <c r="M127">
        <f ca="1"/>
        <v>1.2115820975258984E-2</v>
      </c>
      <c r="N127">
        <f ca="1"/>
        <v>0.20343762415569766</v>
      </c>
      <c r="O127">
        <f ca="1"/>
        <v>0</v>
      </c>
      <c r="P127">
        <f ca="1"/>
        <v>7.0519778236856157</v>
      </c>
      <c r="Q127">
        <f ca="1"/>
        <v>6.3536862219931338</v>
      </c>
      <c r="R127">
        <f ca="1"/>
        <v>0.29981916558117078</v>
      </c>
      <c r="S127">
        <f ca="1"/>
        <v>1</v>
      </c>
      <c r="T127">
        <f ca="1"/>
        <v>5.3000000000000043</v>
      </c>
      <c r="U127">
        <f ca="1"/>
        <v>0</v>
      </c>
      <c r="V127">
        <f ca="1"/>
        <v>0.17865080909928846</v>
      </c>
      <c r="X127" s="2">
        <f t="shared" ca="1" si="8"/>
        <v>45163</v>
      </c>
      <c r="Y127">
        <f t="shared" ca="1" si="9"/>
        <v>0</v>
      </c>
      <c r="AA127" s="63">
        <f t="shared" ca="1" si="11"/>
        <v>7.8570762040154367</v>
      </c>
      <c r="AB127" s="63">
        <f t="shared" ca="1" si="12"/>
        <v>7.8570762040154367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45164</v>
      </c>
      <c r="K128">
        <f ca="1"/>
        <v>6.7952689712534537</v>
      </c>
      <c r="L128">
        <f ca="1"/>
        <v>0.42653694426938138</v>
      </c>
      <c r="M128">
        <f ca="1"/>
        <v>1.2034911392832193E-2</v>
      </c>
      <c r="N128">
        <f ca="1"/>
        <v>0.20077204717913294</v>
      </c>
      <c r="O128">
        <f ca="1"/>
        <v>0</v>
      </c>
      <c r="P128">
        <f ca="1"/>
        <v>7.478514767954997</v>
      </c>
      <c r="Q128">
        <f ca="1"/>
        <v>6.7379871902793669</v>
      </c>
      <c r="R128">
        <f ca="1"/>
        <v>0.13664153356362188</v>
      </c>
      <c r="S128">
        <f ca="1"/>
        <v>1</v>
      </c>
      <c r="T128">
        <f ca="1"/>
        <v>2.5400000000000063</v>
      </c>
      <c r="U128">
        <f ca="1"/>
        <v>0</v>
      </c>
      <c r="V128">
        <f ca="1"/>
        <v>0.20661663248111375</v>
      </c>
      <c r="X128" s="2">
        <f t="shared" ca="1" si="8"/>
        <v>45164</v>
      </c>
      <c r="Y128">
        <f t="shared" ca="1" si="9"/>
        <v>0</v>
      </c>
      <c r="AA128" s="63">
        <f t="shared" ca="1" si="11"/>
        <v>7.3584474490864569</v>
      </c>
      <c r="AB128" s="63">
        <f t="shared" ca="1" si="12"/>
        <v>7.3584474490864569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45165</v>
      </c>
      <c r="K129">
        <f ca="1"/>
        <v>6.5121857567292771</v>
      </c>
      <c r="L129">
        <f ca="1"/>
        <v>0.44944296339401024</v>
      </c>
      <c r="M129">
        <f ca="1"/>
        <v>1.2039796312300233E-2</v>
      </c>
      <c r="N129">
        <f ca="1"/>
        <v>0.20020372803515518</v>
      </c>
      <c r="O129">
        <f ca="1"/>
        <v>0</v>
      </c>
      <c r="P129">
        <f ca="1"/>
        <v>7.9279577313490073</v>
      </c>
      <c r="Q129">
        <f ca="1"/>
        <v>7.1429260082230446</v>
      </c>
      <c r="R129">
        <f ca="1"/>
        <v>4.5883775477621722E-2</v>
      </c>
      <c r="S129">
        <f ca="1"/>
        <v>1</v>
      </c>
      <c r="T129">
        <f ca="1"/>
        <v>0.89000000000000057</v>
      </c>
      <c r="U129">
        <f ca="1"/>
        <v>0</v>
      </c>
      <c r="V129">
        <f ca="1"/>
        <v>0.23753392144150254</v>
      </c>
      <c r="X129" s="2">
        <f t="shared" ca="1" si="8"/>
        <v>45165</v>
      </c>
      <c r="Y129">
        <f t="shared" ca="1" si="9"/>
        <v>0</v>
      </c>
      <c r="AA129" s="63">
        <f t="shared" ca="1" si="11"/>
        <v>7.0075124956009089</v>
      </c>
      <c r="AB129" s="63">
        <f t="shared" ca="1" si="12"/>
        <v>7.0075124956009089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45166</v>
      </c>
      <c r="K130">
        <f ca="1"/>
        <v>6.2548703618392461</v>
      </c>
      <c r="L130">
        <f ca="1"/>
        <v>0.44857157215033538</v>
      </c>
      <c r="M130">
        <f ca="1"/>
        <v>1.1782772263019936E-2</v>
      </c>
      <c r="N130">
        <f ca="1"/>
        <v>0.19383354486967372</v>
      </c>
      <c r="O130">
        <f ca="1"/>
        <v>0</v>
      </c>
      <c r="P130">
        <f ca="1"/>
        <v>8.3765293034993427</v>
      </c>
      <c r="Q130">
        <f ca="1"/>
        <v>7.5470797206718778</v>
      </c>
      <c r="R130">
        <f ca="1"/>
        <v>1.4360139872389228E-2</v>
      </c>
      <c r="S130">
        <f ca="1"/>
        <v>1</v>
      </c>
      <c r="T130">
        <f ca="1"/>
        <v>0.28999999999999915</v>
      </c>
      <c r="U130">
        <f ca="1"/>
        <v>0</v>
      </c>
      <c r="V130">
        <f ca="1"/>
        <v>0.26952670735885415</v>
      </c>
      <c r="X130" s="2">
        <f t="shared" ca="1" si="8"/>
        <v>45166</v>
      </c>
      <c r="Y130">
        <f t="shared" ca="1" si="9"/>
        <v>0</v>
      </c>
      <c r="AA130" s="63">
        <f t="shared" ca="1" si="11"/>
        <v>6.7178020738619706</v>
      </c>
      <c r="AB130" s="63">
        <f t="shared" ca="1" si="12"/>
        <v>6.7178020738619706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45167</v>
      </c>
      <c r="K131">
        <f ca="1"/>
        <v>5.9776508907962764</v>
      </c>
      <c r="L131">
        <f ca="1"/>
        <v>0.47158247845102075</v>
      </c>
      <c r="M131">
        <f ca="1"/>
        <v>1.1784442606604273E-2</v>
      </c>
      <c r="N131">
        <f ca="1"/>
        <v>0.19346287079843785</v>
      </c>
      <c r="O131">
        <f ca="1"/>
        <v>0</v>
      </c>
      <c r="P131">
        <f ca="1"/>
        <v>8.8481117819503634</v>
      </c>
      <c r="Q131">
        <f ca="1"/>
        <v>7.9719657839552784</v>
      </c>
      <c r="R131">
        <f ca="1"/>
        <v>1.0884305996991403E-2</v>
      </c>
      <c r="S131">
        <f ca="1"/>
        <v>1</v>
      </c>
      <c r="T131">
        <f ca="1"/>
        <v>0.22999999999999687</v>
      </c>
      <c r="U131">
        <f ca="1"/>
        <v>0</v>
      </c>
      <c r="V131">
        <f ca="1"/>
        <v>0.3039857414110293</v>
      </c>
      <c r="X131" s="2">
        <f t="shared" ca="1" si="8"/>
        <v>45167</v>
      </c>
      <c r="Y131">
        <f t="shared" ca="1" si="9"/>
        <v>0</v>
      </c>
      <c r="AA131" s="63">
        <f t="shared" ca="1" si="11"/>
        <v>6.4601176752442884</v>
      </c>
      <c r="AB131" s="63">
        <f t="shared" ca="1" si="12"/>
        <v>6.4601176752442884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45168</v>
      </c>
      <c r="K132">
        <f ca="1"/>
        <v>5.6241656079833913</v>
      </c>
      <c r="L132">
        <f ca="1"/>
        <v>0.50981638615960989</v>
      </c>
      <c r="M132">
        <f ca="1"/>
        <v>1.1912679044684182E-2</v>
      </c>
      <c r="N132">
        <f ca="1"/>
        <v>0.19606701180202218</v>
      </c>
      <c r="O132">
        <f ca="1"/>
        <v>0</v>
      </c>
      <c r="P132">
        <f ca="1"/>
        <v>9.3579281681099733</v>
      </c>
      <c r="Q132">
        <f ca="1"/>
        <v>8.4312998076115981</v>
      </c>
      <c r="R132">
        <f ca="1"/>
        <v>5.1648587499980983E-2</v>
      </c>
      <c r="S132">
        <f ca="1"/>
        <v>1</v>
      </c>
      <c r="T132">
        <f ca="1"/>
        <v>1.1600000000000037</v>
      </c>
      <c r="U132">
        <f ca="1"/>
        <v>0</v>
      </c>
      <c r="V132">
        <f ca="1"/>
        <v>0.3417179949064294</v>
      </c>
      <c r="X132" s="2">
        <f t="shared" ca="1" si="8"/>
        <v>45168</v>
      </c>
      <c r="Y132">
        <f t="shared" ca="1" si="9"/>
        <v>0</v>
      </c>
      <c r="AA132" s="63">
        <f t="shared" ca="1" si="11"/>
        <v>6.1856305816429824</v>
      </c>
      <c r="AB132" s="63">
        <f t="shared" ca="1" si="12"/>
        <v>6.1856305816429824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45169</v>
      </c>
      <c r="K133">
        <f ca="1"/>
        <v>110.5871106642773</v>
      </c>
      <c r="L133">
        <f ca="1"/>
        <v>0.543937259819538</v>
      </c>
      <c r="M133">
        <f ca="1"/>
        <v>1.1971000994172698E-2</v>
      </c>
      <c r="N133">
        <f ca="1"/>
        <v>0.19718980858311519</v>
      </c>
      <c r="O133">
        <f ca="1"/>
        <v>107.69410428106131</v>
      </c>
      <c r="P133">
        <f ca="1"/>
        <v>9.9018654279295113</v>
      </c>
      <c r="Q133">
        <f ca="1"/>
        <v>8.9213760329985163</v>
      </c>
      <c r="R133">
        <f ca="1"/>
        <v>2.3963827745251516</v>
      </c>
      <c r="S133">
        <f ca="1"/>
        <v>1</v>
      </c>
      <c r="T133">
        <f ca="1"/>
        <v>2.740000000000002</v>
      </c>
      <c r="U133">
        <f ca="1"/>
        <v>0</v>
      </c>
      <c r="V133">
        <f ca="1"/>
        <v>0.38198151082922438</v>
      </c>
      <c r="X133" s="2">
        <f t="shared" ca="1" si="8"/>
        <v>45169</v>
      </c>
      <c r="Y133">
        <f t="shared" ca="1" si="9"/>
        <v>107.69410428106131</v>
      </c>
      <c r="AA133" s="63">
        <f t="shared" ca="1" si="11"/>
        <v>113.527430698622</v>
      </c>
      <c r="AB133" s="63">
        <f t="shared" ca="1" si="12"/>
        <v>113.527430698622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45170</v>
      </c>
      <c r="K134">
        <f ca="1"/>
        <v>109.41942314195707</v>
      </c>
      <c r="L134">
        <f ca="1"/>
        <v>0.55966624081987604</v>
      </c>
      <c r="M134">
        <f ca="1"/>
        <v>1.1851195485718335E-2</v>
      </c>
      <c r="N134">
        <f ca="1"/>
        <v>0.19439039689531745</v>
      </c>
      <c r="O134">
        <f ca="1"/>
        <v>0</v>
      </c>
      <c r="P134">
        <f ca="1"/>
        <v>10.461531668749387</v>
      </c>
      <c r="Q134">
        <f ca="1"/>
        <v>9.4256237450756171</v>
      </c>
      <c r="R134">
        <f ca="1"/>
        <v>0.81426287388139518</v>
      </c>
      <c r="S134">
        <f ca="1"/>
        <v>1</v>
      </c>
      <c r="T134">
        <f ca="1"/>
        <v>0.93999999999999773</v>
      </c>
      <c r="U134">
        <f ca="1"/>
        <v>0</v>
      </c>
      <c r="V134">
        <f ca="1"/>
        <v>0.42285994683569711</v>
      </c>
      <c r="X134" s="2">
        <f t="shared" ca="1" si="8"/>
        <v>45170</v>
      </c>
      <c r="Y134">
        <f t="shared" ca="1" si="9"/>
        <v>0</v>
      </c>
      <c r="AA134" s="63">
        <f t="shared" ca="1" si="11"/>
        <v>110.79335225665834</v>
      </c>
      <c r="AB134" s="63">
        <f t="shared" ca="1" si="12"/>
        <v>110.79335225665834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45171</v>
      </c>
      <c r="K135">
        <f ca="1"/>
        <v>108.38678670865225</v>
      </c>
      <c r="L135">
        <f ca="1"/>
        <v>0.59649726274348858</v>
      </c>
      <c r="M135">
        <f ca="1"/>
        <v>1.1900245609678173E-2</v>
      </c>
      <c r="N135">
        <f ca="1"/>
        <v>0.19550712991161051</v>
      </c>
      <c r="O135">
        <f ca="1"/>
        <v>0</v>
      </c>
      <c r="P135">
        <f ca="1"/>
        <v>11.058028931492876</v>
      </c>
      <c r="Q135">
        <f ca="1"/>
        <v>9.9630554464375418</v>
      </c>
      <c r="R135">
        <f ca="1"/>
        <v>0.64354654608261663</v>
      </c>
      <c r="S135">
        <f ca="1"/>
        <v>1</v>
      </c>
      <c r="T135">
        <f ca="1"/>
        <v>0.74999999999999289</v>
      </c>
      <c r="U135">
        <f ca="1"/>
        <v>0</v>
      </c>
      <c r="V135">
        <f ca="1"/>
        <v>0.46526055641420683</v>
      </c>
      <c r="X135" s="2">
        <f t="shared" ca="1" si="8"/>
        <v>45171</v>
      </c>
      <c r="Y135">
        <f t="shared" ca="1" si="9"/>
        <v>0</v>
      </c>
      <c r="AA135" s="63">
        <f t="shared" ca="1" si="11"/>
        <v>109.62683051747835</v>
      </c>
      <c r="AB135" s="63">
        <f t="shared" ca="1" si="12"/>
        <v>109.62683051747835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45172</v>
      </c>
      <c r="K136">
        <f ca="1"/>
        <v>107.81837289124663</v>
      </c>
      <c r="L136">
        <f ca="1"/>
        <v>0.69341664373818013</v>
      </c>
      <c r="M136">
        <f ca="1"/>
        <v>1.2383552497108319E-2</v>
      </c>
      <c r="N136">
        <f ca="1"/>
        <v>0.20651110689488775</v>
      </c>
      <c r="O136">
        <f ca="1"/>
        <v>0</v>
      </c>
      <c r="P136">
        <f ca="1"/>
        <v>11.751445575231056</v>
      </c>
      <c r="Q136">
        <f ca="1"/>
        <v>10.587809506301754</v>
      </c>
      <c r="R136">
        <f ca="1"/>
        <v>9.3891833059454047E-2</v>
      </c>
      <c r="S136">
        <f ca="1"/>
        <v>1</v>
      </c>
      <c r="T136">
        <f ca="1"/>
        <v>0.10999999999999233</v>
      </c>
      <c r="U136">
        <f ca="1"/>
        <v>0</v>
      </c>
      <c r="V136">
        <f ca="1"/>
        <v>0.51241997304784948</v>
      </c>
      <c r="X136" s="2">
        <f t="shared" ca="1" si="8"/>
        <v>45172</v>
      </c>
      <c r="Y136">
        <f t="shared" ca="1" si="9"/>
        <v>0</v>
      </c>
      <c r="AA136" s="63">
        <f t="shared" ca="1" si="11"/>
        <v>108.60568136804426</v>
      </c>
      <c r="AB136" s="63">
        <f t="shared" ca="1" si="12"/>
        <v>108.60568136804426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45173</v>
      </c>
      <c r="K137">
        <f ca="1"/>
        <v>105.87576539343092</v>
      </c>
      <c r="L137">
        <f ca="1"/>
        <v>0.74698489296265969</v>
      </c>
      <c r="M137">
        <f ca="1"/>
        <v>1.2460161767736899E-2</v>
      </c>
      <c r="N137">
        <f ca="1"/>
        <v>0.20844674453882714</v>
      </c>
      <c r="O137">
        <f ca="1"/>
        <v>0</v>
      </c>
      <c r="P137">
        <f ca="1"/>
        <v>12.498430468193716</v>
      </c>
      <c r="Q137">
        <f ca="1"/>
        <v>11.26082745121262</v>
      </c>
      <c r="R137">
        <f ca="1"/>
        <v>1.4165295111596092</v>
      </c>
      <c r="S137">
        <f ca="1"/>
        <v>1</v>
      </c>
      <c r="T137">
        <f ca="1"/>
        <v>1.6899999999999977</v>
      </c>
      <c r="U137">
        <f ca="1"/>
        <v>0</v>
      </c>
      <c r="V137">
        <f ca="1"/>
        <v>0.56008204707728171</v>
      </c>
      <c r="X137" s="2">
        <f t="shared" ca="1" si="8"/>
        <v>45173</v>
      </c>
      <c r="Y137">
        <f t="shared" ca="1" si="9"/>
        <v>0</v>
      </c>
      <c r="AA137" s="63">
        <f t="shared" ca="1" si="11"/>
        <v>108.03927979755319</v>
      </c>
      <c r="AB137" s="63">
        <f t="shared" ca="1" si="12"/>
        <v>108.03927979755319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45174</v>
      </c>
      <c r="K138">
        <f ca="1"/>
        <v>102.31957293052905</v>
      </c>
      <c r="L138">
        <f ca="1"/>
        <v>0.81624961905190041</v>
      </c>
      <c r="M138">
        <f ca="1"/>
        <v>1.2611087203307392E-2</v>
      </c>
      <c r="N138">
        <f ca="1"/>
        <v>0.21215569460878969</v>
      </c>
      <c r="O138">
        <f ca="1"/>
        <v>0</v>
      </c>
      <c r="P138">
        <f ca="1"/>
        <v>13.314680087245616</v>
      </c>
      <c r="Q138">
        <f ca="1"/>
        <v>11.996251482306169</v>
      </c>
      <c r="R138">
        <f ca="1"/>
        <v>2.9647096256620826</v>
      </c>
      <c r="S138">
        <f ca="1"/>
        <v>1</v>
      </c>
      <c r="T138">
        <f ca="1"/>
        <v>3.6600000000000037</v>
      </c>
      <c r="U138">
        <f ca="1"/>
        <v>0</v>
      </c>
      <c r="V138">
        <f ca="1"/>
        <v>0.60799028824597301</v>
      </c>
      <c r="X138" s="2">
        <f t="shared" ca="1" si="8"/>
        <v>45174</v>
      </c>
      <c r="Y138">
        <f t="shared" ca="1" si="9"/>
        <v>0</v>
      </c>
      <c r="AA138" s="63">
        <f t="shared" ca="1" si="11"/>
        <v>106.10053217524303</v>
      </c>
      <c r="AB138" s="63">
        <f t="shared" ca="1" si="12"/>
        <v>106.10053217524303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45175</v>
      </c>
      <c r="K139">
        <f ca="1"/>
        <v>100.32457271335593</v>
      </c>
      <c r="L139">
        <f ca="1"/>
        <v>0.8605808385677296</v>
      </c>
      <c r="M139">
        <f ca="1"/>
        <v>1.2548842169547214E-2</v>
      </c>
      <c r="N139">
        <f ca="1"/>
        <v>0.2111756823321066</v>
      </c>
      <c r="O139">
        <f ca="1"/>
        <v>0</v>
      </c>
      <c r="P139">
        <f ca="1"/>
        <v>14.175260925813346</v>
      </c>
      <c r="Q139">
        <f ca="1"/>
        <v>12.771617025651198</v>
      </c>
      <c r="R139">
        <f ca="1"/>
        <v>1.3581439031070512</v>
      </c>
      <c r="S139">
        <f ca="1"/>
        <v>1</v>
      </c>
      <c r="T139">
        <f ca="1"/>
        <v>1.7099999999999937</v>
      </c>
      <c r="U139">
        <f ca="1"/>
        <v>0</v>
      </c>
      <c r="V139">
        <f ca="1"/>
        <v>0.65357323281727486</v>
      </c>
      <c r="X139" s="2">
        <f t="shared" ref="X139:X202" ca="1" si="15">IFERROR(J139,$X$9)</f>
        <v>45175</v>
      </c>
      <c r="Y139">
        <f t="shared" ref="Y139:Y202" ca="1" si="16">IFERROR(O139,0)</f>
        <v>0</v>
      </c>
      <c r="AA139" s="63">
        <f t="shared" ca="1" si="11"/>
        <v>102.54329745503071</v>
      </c>
      <c r="AB139" s="63">
        <f t="shared" ca="1" si="12"/>
        <v>102.54329745503071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45176</v>
      </c>
      <c r="K140">
        <f ca="1"/>
        <v>99.245325271262487</v>
      </c>
      <c r="L140">
        <f ca="1"/>
        <v>0.8727982948064934</v>
      </c>
      <c r="M140">
        <f ca="1"/>
        <v>1.2277084524948023E-2</v>
      </c>
      <c r="N140">
        <f ca="1"/>
        <v>0.2055475337227306</v>
      </c>
      <c r="O140">
        <f ca="1"/>
        <v>0</v>
      </c>
      <c r="P140">
        <f ca="1"/>
        <v>15.048059220619839</v>
      </c>
      <c r="Q140">
        <f ca="1"/>
        <v>13.557990244475764</v>
      </c>
      <c r="R140">
        <f ca="1"/>
        <v>0.42427376553465207</v>
      </c>
      <c r="S140">
        <f ca="1"/>
        <v>1</v>
      </c>
      <c r="T140">
        <f ca="1"/>
        <v>0.54000000000000625</v>
      </c>
      <c r="U140">
        <f ca="1"/>
        <v>0</v>
      </c>
      <c r="V140">
        <f ca="1"/>
        <v>0.69470078098465504</v>
      </c>
      <c r="X140" s="2">
        <f t="shared" ca="1" si="15"/>
        <v>45176</v>
      </c>
      <c r="Y140">
        <f t="shared" ca="1" si="16"/>
        <v>0</v>
      </c>
      <c r="AA140" s="63">
        <f t="shared" ca="1" si="11"/>
        <v>100.54239733160362</v>
      </c>
      <c r="AB140" s="63">
        <f t="shared" ca="1" si="12"/>
        <v>100.54239733160364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45177</v>
      </c>
      <c r="K141">
        <f ca="1"/>
        <v>96.940090259646936</v>
      </c>
      <c r="L141">
        <f ca="1"/>
        <v>0.98943056052877232</v>
      </c>
      <c r="M141">
        <f ca="1"/>
        <v>1.2630492217724054E-2</v>
      </c>
      <c r="N141">
        <f ca="1"/>
        <v>0.21412424295212784</v>
      </c>
      <c r="O141">
        <f ca="1"/>
        <v>0</v>
      </c>
      <c r="P141">
        <f ca="1"/>
        <v>16.037489781148611</v>
      </c>
      <c r="Q141">
        <f ca="1"/>
        <v>14.449446723385254</v>
      </c>
      <c r="R141">
        <f ca="1"/>
        <v>1.5425591862566304</v>
      </c>
      <c r="S141">
        <f ca="1"/>
        <v>1</v>
      </c>
      <c r="T141">
        <f ca="1"/>
        <v>2.009999999999998</v>
      </c>
      <c r="U141">
        <f ca="1"/>
        <v>0</v>
      </c>
      <c r="V141">
        <f ca="1"/>
        <v>0.7354590738324408</v>
      </c>
      <c r="X141" s="2">
        <f t="shared" ca="1" si="15"/>
        <v>45177</v>
      </c>
      <c r="Y141">
        <f t="shared" ca="1" si="16"/>
        <v>0</v>
      </c>
      <c r="AA141" s="63">
        <f t="shared" ref="AA141:AA204" ca="1" si="18">K140+M141+N141+O141</f>
        <v>99.472080006432336</v>
      </c>
      <c r="AB141" s="63">
        <f t="shared" ref="AB141:AB204" ca="1" si="19">K141+L141+R141</f>
        <v>99.472080006432336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45178</v>
      </c>
      <c r="K142">
        <f ca="1"/>
        <v>95.081510001781268</v>
      </c>
      <c r="L142">
        <f ca="1"/>
        <v>0.99403098925383304</v>
      </c>
      <c r="M142">
        <f ca="1"/>
        <v>1.2289336429402553E-2</v>
      </c>
      <c r="N142">
        <f ca="1"/>
        <v>0.20709060897905301</v>
      </c>
      <c r="O142">
        <f ca="1"/>
        <v>0</v>
      </c>
      <c r="P142">
        <f ca="1"/>
        <v>17.031520770402444</v>
      </c>
      <c r="Q142">
        <f ca="1"/>
        <v>15.345048093463793</v>
      </c>
      <c r="R142">
        <f ca="1"/>
        <v>1.0839292140203047</v>
      </c>
      <c r="S142">
        <f ca="1"/>
        <v>1</v>
      </c>
      <c r="T142">
        <f ca="1"/>
        <v>1.4399999999999977</v>
      </c>
      <c r="U142">
        <f ca="1"/>
        <v>0</v>
      </c>
      <c r="V142">
        <f ca="1"/>
        <v>0.77069697748534183</v>
      </c>
      <c r="X142" s="2">
        <f t="shared" ca="1" si="15"/>
        <v>45178</v>
      </c>
      <c r="Y142">
        <f t="shared" ca="1" si="16"/>
        <v>0</v>
      </c>
      <c r="AA142" s="63">
        <f t="shared" ca="1" si="18"/>
        <v>97.159470205055399</v>
      </c>
      <c r="AB142" s="63">
        <f t="shared" ca="1" si="19"/>
        <v>97.159470205055399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45179</v>
      </c>
      <c r="K143">
        <f ca="1"/>
        <v>94.226633790034484</v>
      </c>
      <c r="L143">
        <f ca="1"/>
        <v>1.0772638927451084</v>
      </c>
      <c r="M143">
        <f ca="1"/>
        <v>1.2384266323334892E-2</v>
      </c>
      <c r="N143">
        <f ca="1"/>
        <v>0.2100034146749864</v>
      </c>
      <c r="O143">
        <f ca="1"/>
        <v>0</v>
      </c>
      <c r="P143">
        <f ca="1"/>
        <v>18.108784663147553</v>
      </c>
      <c r="Q143">
        <f ca="1"/>
        <v>16.315640588777121</v>
      </c>
      <c r="R143">
        <f ca="1"/>
        <v>0</v>
      </c>
      <c r="S143">
        <f ca="1"/>
        <v>0.98229166666666667</v>
      </c>
      <c r="T143">
        <f ca="1"/>
        <v>0</v>
      </c>
      <c r="U143">
        <f ca="1"/>
        <v>0</v>
      </c>
      <c r="V143">
        <f ca="1"/>
        <v>0.80319783538604306</v>
      </c>
      <c r="X143" s="2">
        <f t="shared" ca="1" si="15"/>
        <v>45179</v>
      </c>
      <c r="Y143">
        <f t="shared" ca="1" si="16"/>
        <v>0</v>
      </c>
      <c r="AA143" s="63">
        <f t="shared" ca="1" si="18"/>
        <v>95.303897682779592</v>
      </c>
      <c r="AB143" s="63">
        <f t="shared" ca="1" si="19"/>
        <v>95.303897682779592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45180</v>
      </c>
      <c r="K144">
        <f ca="1"/>
        <v>93.199475230854034</v>
      </c>
      <c r="L144">
        <f ca="1"/>
        <v>1.1661376018567537</v>
      </c>
      <c r="M144">
        <f ca="1"/>
        <v>1.2467418275530662E-2</v>
      </c>
      <c r="N144">
        <f ca="1"/>
        <v>0.21274506537212654</v>
      </c>
      <c r="O144">
        <f ca="1"/>
        <v>0</v>
      </c>
      <c r="P144">
        <f ca="1"/>
        <v>19.274922265004307</v>
      </c>
      <c r="Q144">
        <f ca="1"/>
        <v>17.366306458567536</v>
      </c>
      <c r="R144">
        <f ca="1"/>
        <v>8.6233440971367037E-2</v>
      </c>
      <c r="S144">
        <f ca="1"/>
        <v>1</v>
      </c>
      <c r="T144">
        <f ca="1"/>
        <v>0.116874533342056</v>
      </c>
      <c r="U144">
        <f ca="1"/>
        <v>0</v>
      </c>
      <c r="V144">
        <f ca="1"/>
        <v>0.83266855962548791</v>
      </c>
      <c r="X144" s="2">
        <f t="shared" ca="1" si="15"/>
        <v>45180</v>
      </c>
      <c r="Y144">
        <f t="shared" ca="1" si="16"/>
        <v>0</v>
      </c>
      <c r="AA144" s="63">
        <f t="shared" ca="1" si="18"/>
        <v>94.45184627368215</v>
      </c>
      <c r="AB144" s="63">
        <f t="shared" ca="1" si="19"/>
        <v>94.45184627368215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45181</v>
      </c>
      <c r="K145">
        <f ca="1"/>
        <v>91.032908820694587</v>
      </c>
      <c r="L145">
        <f ca="1"/>
        <v>1.3118201441511523</v>
      </c>
      <c r="M145">
        <f ca="1"/>
        <v>1.2775047303691167E-2</v>
      </c>
      <c r="N145">
        <f ca="1"/>
        <v>0.22070125088207898</v>
      </c>
      <c r="O145">
        <f ca="1"/>
        <v>0</v>
      </c>
      <c r="P145">
        <f ca="1"/>
        <v>20.586742409155459</v>
      </c>
      <c r="Q145">
        <f ca="1"/>
        <v>18.548229287030161</v>
      </c>
      <c r="R145">
        <f ca="1"/>
        <v>1.0882225641940571</v>
      </c>
      <c r="S145">
        <f ca="1"/>
        <v>1</v>
      </c>
      <c r="T145">
        <f ca="1"/>
        <v>1.5100000000000051</v>
      </c>
      <c r="U145">
        <f ca="1"/>
        <v>0</v>
      </c>
      <c r="V145">
        <f ca="1"/>
        <v>0.85992262094270022</v>
      </c>
      <c r="X145" s="2">
        <f t="shared" ca="1" si="15"/>
        <v>45181</v>
      </c>
      <c r="Y145">
        <f t="shared" ca="1" si="16"/>
        <v>0</v>
      </c>
      <c r="AA145" s="63">
        <f t="shared" ca="1" si="18"/>
        <v>93.432951529039798</v>
      </c>
      <c r="AB145" s="63">
        <f t="shared" ca="1" si="19"/>
        <v>93.432951529039798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45182</v>
      </c>
      <c r="K146">
        <f ca="1"/>
        <v>87.925597176256048</v>
      </c>
      <c r="L146">
        <f ca="1"/>
        <v>1.3447467890805385</v>
      </c>
      <c r="M146">
        <f ca="1"/>
        <v>1.2509934890461594E-2</v>
      </c>
      <c r="N146">
        <f ca="1"/>
        <v>0.21570727248394497</v>
      </c>
      <c r="O146">
        <f ca="1"/>
        <v>0</v>
      </c>
      <c r="P146">
        <f ca="1"/>
        <v>21.931489198235997</v>
      </c>
      <c r="Q146">
        <f ca="1"/>
        <v>19.75981834182743</v>
      </c>
      <c r="R146">
        <f ca="1"/>
        <v>1.9907820627323971</v>
      </c>
      <c r="S146">
        <f ca="1"/>
        <v>1</v>
      </c>
      <c r="T146">
        <f ca="1"/>
        <v>2.8599999999999994</v>
      </c>
      <c r="U146">
        <f ca="1"/>
        <v>0</v>
      </c>
      <c r="V146">
        <f ca="1"/>
        <v>0.88260191948923394</v>
      </c>
      <c r="X146" s="2">
        <f t="shared" ca="1" si="15"/>
        <v>45182</v>
      </c>
      <c r="Y146">
        <f t="shared" ca="1" si="16"/>
        <v>0</v>
      </c>
      <c r="AA146" s="63">
        <f t="shared" ca="1" si="18"/>
        <v>91.261126028068986</v>
      </c>
      <c r="AB146" s="63">
        <f t="shared" ca="1" si="19"/>
        <v>91.261126028068986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45183</v>
      </c>
      <c r="K147">
        <f ca="1"/>
        <v>85.933140380088105</v>
      </c>
      <c r="L147">
        <f ca="1"/>
        <v>1.4622206931378798</v>
      </c>
      <c r="M147">
        <f ca="1"/>
        <v>1.2608988228656415E-2</v>
      </c>
      <c r="N147">
        <f ca="1"/>
        <v>0.21909542011138533</v>
      </c>
      <c r="O147">
        <f ca="1"/>
        <v>0</v>
      </c>
      <c r="P147">
        <f ca="1"/>
        <v>23.393709891373877</v>
      </c>
      <c r="Q147">
        <f ca="1"/>
        <v>21.077248955448937</v>
      </c>
      <c r="R147">
        <f ca="1"/>
        <v>0.76194051137011276</v>
      </c>
      <c r="S147">
        <f ca="1"/>
        <v>1</v>
      </c>
      <c r="T147">
        <f ca="1"/>
        <v>1.1199999999999974</v>
      </c>
      <c r="U147">
        <f ca="1"/>
        <v>0</v>
      </c>
      <c r="V147">
        <f ca="1"/>
        <v>0.90246738813826088</v>
      </c>
      <c r="X147" s="2">
        <f t="shared" ca="1" si="15"/>
        <v>45183</v>
      </c>
      <c r="Y147">
        <f t="shared" ca="1" si="16"/>
        <v>0</v>
      </c>
      <c r="AA147" s="63">
        <f t="shared" ca="1" si="18"/>
        <v>88.157301584596098</v>
      </c>
      <c r="AB147" s="63">
        <f t="shared" ca="1" si="19"/>
        <v>88.157301584596098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45184</v>
      </c>
      <c r="K148">
        <f ca="1"/>
        <v>83.92475419091204</v>
      </c>
      <c r="L148">
        <f ca="1"/>
        <v>1.6220334762980571</v>
      </c>
      <c r="M148">
        <f ca="1"/>
        <v>1.2828569247382404E-2</v>
      </c>
      <c r="N148">
        <f ca="1"/>
        <v>0.22535876364530144</v>
      </c>
      <c r="O148">
        <f ca="1"/>
        <v>0</v>
      </c>
      <c r="P148">
        <f ca="1"/>
        <v>25.015743367671934</v>
      </c>
      <c r="Q148">
        <f ca="1"/>
        <v>22.538667582624985</v>
      </c>
      <c r="R148">
        <f ca="1"/>
        <v>0.62454004577070221</v>
      </c>
      <c r="S148">
        <f ca="1"/>
        <v>1</v>
      </c>
      <c r="T148">
        <f ca="1"/>
        <v>0.93999999999999773</v>
      </c>
      <c r="U148">
        <f ca="1"/>
        <v>0</v>
      </c>
      <c r="V148">
        <f ca="1"/>
        <v>0.91995085270301336</v>
      </c>
      <c r="X148" s="2">
        <f t="shared" ca="1" si="15"/>
        <v>45184</v>
      </c>
      <c r="Y148">
        <f t="shared" ca="1" si="16"/>
        <v>0</v>
      </c>
      <c r="AA148" s="63">
        <f t="shared" ca="1" si="18"/>
        <v>86.171327712980784</v>
      </c>
      <c r="AB148" s="63">
        <f t="shared" ca="1" si="19"/>
        <v>86.171327712980798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45185</v>
      </c>
      <c r="K149">
        <f ca="1"/>
        <v>81.550578112108767</v>
      </c>
      <c r="L149">
        <f ca="1"/>
        <v>1.7706201483325756</v>
      </c>
      <c r="M149">
        <f ca="1"/>
        <v>1.2939552883010741E-2</v>
      </c>
      <c r="N149">
        <f ca="1"/>
        <v>0.22925197048394486</v>
      </c>
      <c r="O149">
        <f ca="1"/>
        <v>0</v>
      </c>
      <c r="P149">
        <f ca="1"/>
        <v>26.78636351600451</v>
      </c>
      <c r="Q149">
        <f ca="1"/>
        <v>24.133959729327245</v>
      </c>
      <c r="R149">
        <f ca="1"/>
        <v>0.8457474538376627</v>
      </c>
      <c r="S149">
        <f ca="1"/>
        <v>1</v>
      </c>
      <c r="T149">
        <f ca="1"/>
        <v>1.3100000000000023</v>
      </c>
      <c r="U149">
        <f ca="1"/>
        <v>0</v>
      </c>
      <c r="V149">
        <f ca="1"/>
        <v>0.93486776378169167</v>
      </c>
      <c r="X149" s="2">
        <f t="shared" ca="1" si="15"/>
        <v>45185</v>
      </c>
      <c r="Y149">
        <f t="shared" ca="1" si="16"/>
        <v>0</v>
      </c>
      <c r="AA149" s="63">
        <f t="shared" ca="1" si="18"/>
        <v>84.166945714278995</v>
      </c>
      <c r="AB149" s="63">
        <f t="shared" ca="1" si="19"/>
        <v>84.166945714279009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45186</v>
      </c>
      <c r="K150">
        <f ca="1"/>
        <v>79.729824977883197</v>
      </c>
      <c r="L150">
        <f ca="1"/>
        <v>1.8587570161531985</v>
      </c>
      <c r="M150">
        <f ca="1"/>
        <v>1.2788350995071696E-2</v>
      </c>
      <c r="N150">
        <f ca="1"/>
        <v>0.22719775420986049</v>
      </c>
      <c r="O150">
        <f ca="1"/>
        <v>0</v>
      </c>
      <c r="P150">
        <f ca="1"/>
        <v>28.645120532157708</v>
      </c>
      <c r="Q150">
        <f ca="1"/>
        <v>25.808661371737305</v>
      </c>
      <c r="R150">
        <f ca="1"/>
        <v>0.20198222327730425</v>
      </c>
      <c r="S150">
        <f ca="1"/>
        <v>1</v>
      </c>
      <c r="T150">
        <f ca="1"/>
        <v>0.32000000000000028</v>
      </c>
      <c r="U150">
        <f ca="1"/>
        <v>0</v>
      </c>
      <c r="V150">
        <f ca="1"/>
        <v>0.94701764086394613</v>
      </c>
      <c r="X150" s="2">
        <f t="shared" ca="1" si="15"/>
        <v>45186</v>
      </c>
      <c r="Y150">
        <f t="shared" ca="1" si="16"/>
        <v>0</v>
      </c>
      <c r="AA150" s="63">
        <f t="shared" ca="1" si="18"/>
        <v>81.790564217313687</v>
      </c>
      <c r="AB150" s="63">
        <f t="shared" ca="1" si="19"/>
        <v>81.790564217313687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45187</v>
      </c>
      <c r="K151">
        <f ca="1"/>
        <v>77.982006128972344</v>
      </c>
      <c r="L151">
        <f ca="1"/>
        <v>1.9151602217441308</v>
      </c>
      <c r="M151">
        <f ca="1"/>
        <v>1.2531881777694487E-2</v>
      </c>
      <c r="N151">
        <f ca="1"/>
        <v>0.22271882139289842</v>
      </c>
      <c r="O151">
        <f ca="1"/>
        <v>0</v>
      </c>
      <c r="P151">
        <f ca="1"/>
        <v>30.560280753901839</v>
      </c>
      <c r="Q151">
        <f ca="1"/>
        <v>27.534181136268472</v>
      </c>
      <c r="R151">
        <f ca="1"/>
        <v>6.790933033731307E-2</v>
      </c>
      <c r="S151">
        <f ca="1"/>
        <v>1</v>
      </c>
      <c r="T151">
        <f ca="1"/>
        <v>0.10999999999999943</v>
      </c>
      <c r="U151">
        <f ca="1"/>
        <v>0</v>
      </c>
      <c r="V151">
        <f ca="1"/>
        <v>0.95673902860496685</v>
      </c>
      <c r="X151" s="2">
        <f t="shared" ca="1" si="15"/>
        <v>45187</v>
      </c>
      <c r="Y151">
        <f t="shared" ca="1" si="16"/>
        <v>0</v>
      </c>
      <c r="AA151" s="63">
        <f t="shared" ca="1" si="18"/>
        <v>79.96507568105379</v>
      </c>
      <c r="AB151" s="63">
        <f t="shared" ca="1" si="19"/>
        <v>79.96507568105379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45188</v>
      </c>
      <c r="K152">
        <f ca="1"/>
        <v>75.441120786395544</v>
      </c>
      <c r="L152">
        <f ca="1"/>
        <v>2.0037349620440317</v>
      </c>
      <c r="M152">
        <f ca="1"/>
        <v>1.2389571852353676E-2</v>
      </c>
      <c r="N152">
        <f ca="1"/>
        <v>0.22090249364595518</v>
      </c>
      <c r="O152">
        <f ca="1"/>
        <v>0</v>
      </c>
      <c r="P152">
        <f ca="1"/>
        <v>32.564015715945871</v>
      </c>
      <c r="Q152">
        <f ca="1"/>
        <v>29.339504910558411</v>
      </c>
      <c r="R152">
        <f ca="1"/>
        <v>0.77044244603106404</v>
      </c>
      <c r="S152">
        <f ca="1"/>
        <v>1</v>
      </c>
      <c r="T152">
        <f ca="1"/>
        <v>1.2899999999999991</v>
      </c>
      <c r="U152">
        <f ca="1"/>
        <v>0</v>
      </c>
      <c r="V152">
        <f ca="1"/>
        <v>0.96465321851697938</v>
      </c>
      <c r="X152" s="2">
        <f t="shared" ca="1" si="15"/>
        <v>45188</v>
      </c>
      <c r="Y152">
        <f t="shared" ca="1" si="16"/>
        <v>0</v>
      </c>
      <c r="AA152" s="63">
        <f t="shared" ca="1" si="18"/>
        <v>78.215298194470648</v>
      </c>
      <c r="AB152" s="63">
        <f t="shared" ca="1" si="19"/>
        <v>78.215298194470648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45189</v>
      </c>
      <c r="K153">
        <f ca="1"/>
        <v>73.565321761492271</v>
      </c>
      <c r="L153">
        <f ca="1"/>
        <v>2.1019439130749618</v>
      </c>
      <c r="M153">
        <f ca="1"/>
        <v>1.2272059150034487E-2</v>
      </c>
      <c r="N153">
        <f ca="1"/>
        <v>0.2196967503277642</v>
      </c>
      <c r="O153">
        <f ca="1"/>
        <v>0</v>
      </c>
      <c r="P153">
        <f ca="1"/>
        <v>34.665959629020833</v>
      </c>
      <c r="Q153">
        <f ca="1"/>
        <v>31.23331291929189</v>
      </c>
      <c r="R153">
        <f ca="1"/>
        <v>5.82392130611698E-3</v>
      </c>
      <c r="S153">
        <f ca="1"/>
        <v>1</v>
      </c>
      <c r="T153">
        <f ca="1"/>
        <v>9.9999999999980105E-3</v>
      </c>
      <c r="U153">
        <f ca="1"/>
        <v>0</v>
      </c>
      <c r="V153">
        <f ca="1"/>
        <v>0.971113898895822</v>
      </c>
      <c r="X153" s="2">
        <f t="shared" ca="1" si="15"/>
        <v>45189</v>
      </c>
      <c r="Y153">
        <f t="shared" ca="1" si="16"/>
        <v>0</v>
      </c>
      <c r="AA153" s="63">
        <f t="shared" ca="1" si="18"/>
        <v>75.67308959587335</v>
      </c>
      <c r="AB153" s="63">
        <f t="shared" ca="1" si="19"/>
        <v>75.67308959587335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45190</v>
      </c>
      <c r="K154">
        <f ca="1"/>
        <v>71.515524972712839</v>
      </c>
      <c r="L154">
        <f ca="1"/>
        <v>2.1890266378946706</v>
      </c>
      <c r="M154">
        <f ca="1"/>
        <v>1.2119870727581805E-2</v>
      </c>
      <c r="N154">
        <f ca="1"/>
        <v>0.21769631001975795</v>
      </c>
      <c r="O154">
        <f ca="1"/>
        <v>0</v>
      </c>
      <c r="P154">
        <f ca="1"/>
        <v>36.854986266915503</v>
      </c>
      <c r="Q154">
        <f ca="1"/>
        <v>33.205580662683388</v>
      </c>
      <c r="R154">
        <f ca="1"/>
        <v>9.0586331632105027E-2</v>
      </c>
      <c r="S154">
        <f ca="1"/>
        <v>1</v>
      </c>
      <c r="T154">
        <f ca="1"/>
        <v>0.16000000000000369</v>
      </c>
      <c r="U154">
        <f ca="1"/>
        <v>0</v>
      </c>
      <c r="V154">
        <f ca="1"/>
        <v>0.97635494734078254</v>
      </c>
      <c r="X154" s="2">
        <f t="shared" ca="1" si="15"/>
        <v>45190</v>
      </c>
      <c r="Y154">
        <f t="shared" ca="1" si="16"/>
        <v>0</v>
      </c>
      <c r="AA154" s="63">
        <f t="shared" ca="1" si="18"/>
        <v>73.79513794223962</v>
      </c>
      <c r="AB154" s="63">
        <f t="shared" ca="1" si="19"/>
        <v>73.79513794223962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45191</v>
      </c>
      <c r="K155">
        <f ca="1"/>
        <v>68.440185631424626</v>
      </c>
      <c r="L155">
        <f ca="1"/>
        <v>2.3600351074176942</v>
      </c>
      <c r="M155">
        <f ca="1"/>
        <v>1.2176253682765648E-2</v>
      </c>
      <c r="N155">
        <f ca="1"/>
        <v>0.22070125088207898</v>
      </c>
      <c r="O155">
        <f ca="1"/>
        <v>0</v>
      </c>
      <c r="P155">
        <f ca="1"/>
        <v>39.215021374333197</v>
      </c>
      <c r="Q155">
        <f ca="1"/>
        <v>35.331923501575503</v>
      </c>
      <c r="R155">
        <f ca="1"/>
        <v>0.94818173843536202</v>
      </c>
      <c r="S155">
        <f ca="1"/>
        <v>1</v>
      </c>
      <c r="T155">
        <f ca="1"/>
        <v>1.75</v>
      </c>
      <c r="U155">
        <f ca="1"/>
        <v>0</v>
      </c>
      <c r="V155">
        <f ca="1"/>
        <v>0.98074724422958259</v>
      </c>
      <c r="X155" s="2">
        <f t="shared" ca="1" si="15"/>
        <v>45191</v>
      </c>
      <c r="Y155">
        <f t="shared" ca="1" si="16"/>
        <v>0</v>
      </c>
      <c r="AA155" s="63">
        <f t="shared" ca="1" si="18"/>
        <v>71.748402477277679</v>
      </c>
      <c r="AB155" s="63">
        <f t="shared" ca="1" si="19"/>
        <v>71.748402477277679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45192</v>
      </c>
      <c r="K156">
        <f ca="1"/>
        <v>65.650658858705654</v>
      </c>
      <c r="L156">
        <f ca="1"/>
        <v>2.5365156614928779</v>
      </c>
      <c r="M156">
        <f ca="1"/>
        <v>1.2212886264441281E-2</v>
      </c>
      <c r="N156">
        <f ca="1"/>
        <v>0.22332632218300291</v>
      </c>
      <c r="O156">
        <f ca="1"/>
        <v>0</v>
      </c>
      <c r="P156">
        <f ca="1"/>
        <v>41.751537035826075</v>
      </c>
      <c r="Q156">
        <f ca="1"/>
        <v>37.617271671016312</v>
      </c>
      <c r="R156">
        <f ca="1"/>
        <v>0.48855031967353341</v>
      </c>
      <c r="S156">
        <f ca="1"/>
        <v>1</v>
      </c>
      <c r="T156">
        <f ca="1"/>
        <v>0.93999999999999773</v>
      </c>
      <c r="U156">
        <f ca="1"/>
        <v>0</v>
      </c>
      <c r="V156">
        <f ca="1"/>
        <v>0.98439539349055183</v>
      </c>
      <c r="X156" s="2">
        <f t="shared" ca="1" si="15"/>
        <v>45192</v>
      </c>
      <c r="Y156">
        <f t="shared" ca="1" si="16"/>
        <v>0</v>
      </c>
      <c r="AA156" s="63">
        <f t="shared" ca="1" si="18"/>
        <v>68.675724839872061</v>
      </c>
      <c r="AB156" s="63">
        <f t="shared" ca="1" si="19"/>
        <v>68.675724839872075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45193</v>
      </c>
      <c r="K157">
        <f ca="1"/>
        <v>62.051316724370011</v>
      </c>
      <c r="L157">
        <f ca="1"/>
        <v>2.8420799328715916</v>
      </c>
      <c r="M157">
        <f ca="1"/>
        <v>1.251174121264409E-2</v>
      </c>
      <c r="N157">
        <f ca="1"/>
        <v>0.23235482242187427</v>
      </c>
      <c r="O157">
        <f ca="1"/>
        <v>0</v>
      </c>
      <c r="P157">
        <f ca="1"/>
        <v>44.593616968697667</v>
      </c>
      <c r="Q157">
        <f ca="1"/>
        <v>40.177926931536092</v>
      </c>
      <c r="R157">
        <f ca="1"/>
        <v>1.002128765098572</v>
      </c>
      <c r="S157">
        <f ca="1"/>
        <v>1</v>
      </c>
      <c r="T157">
        <f ca="1"/>
        <v>2.039999999999992</v>
      </c>
      <c r="U157">
        <f ca="1"/>
        <v>0</v>
      </c>
      <c r="V157">
        <f ca="1"/>
        <v>0.98752119923198545</v>
      </c>
      <c r="X157" s="2">
        <f t="shared" ca="1" si="15"/>
        <v>45193</v>
      </c>
      <c r="Y157">
        <f t="shared" ca="1" si="16"/>
        <v>0</v>
      </c>
      <c r="AA157" s="63">
        <f t="shared" ca="1" si="18"/>
        <v>65.895525422340171</v>
      </c>
      <c r="AB157" s="63">
        <f t="shared" ca="1" si="19"/>
        <v>65.895525422340171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45194</v>
      </c>
      <c r="K158">
        <f ca="1"/>
        <v>59.031258048249462</v>
      </c>
      <c r="L158">
        <f ca="1"/>
        <v>2.8845433128592077</v>
      </c>
      <c r="M158">
        <f ca="1"/>
        <v>1.2174324283815707E-2</v>
      </c>
      <c r="N158">
        <f ca="1"/>
        <v>0.2261749467604216</v>
      </c>
      <c r="O158">
        <f ca="1"/>
        <v>0</v>
      </c>
      <c r="P158">
        <f ca="1"/>
        <v>47.478160281556875</v>
      </c>
      <c r="Q158">
        <f ca="1"/>
        <v>42.776840819509353</v>
      </c>
      <c r="R158">
        <f ca="1"/>
        <v>0.37386463430558203</v>
      </c>
      <c r="S158">
        <f ca="1"/>
        <v>1</v>
      </c>
      <c r="T158">
        <f ca="1"/>
        <v>0.80000000000000426</v>
      </c>
      <c r="U158">
        <f ca="1"/>
        <v>0</v>
      </c>
      <c r="V158">
        <f ca="1"/>
        <v>0.98993996369980886</v>
      </c>
      <c r="X158" s="2">
        <f t="shared" ca="1" si="15"/>
        <v>45194</v>
      </c>
      <c r="Y158">
        <f t="shared" ca="1" si="16"/>
        <v>0</v>
      </c>
      <c r="AA158" s="63">
        <f t="shared" ca="1" si="18"/>
        <v>62.289665995414254</v>
      </c>
      <c r="AB158" s="63">
        <f t="shared" ca="1" si="19"/>
        <v>62.289665995414254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45195</v>
      </c>
      <c r="K159">
        <f ca="1"/>
        <v>55.471744676550166</v>
      </c>
      <c r="L159">
        <f ca="1"/>
        <v>3.0010091802626633</v>
      </c>
      <c r="M159">
        <f ca="1"/>
        <v>1.2018571399525335E-2</v>
      </c>
      <c r="N159">
        <f ca="1"/>
        <v>0.22434111192491357</v>
      </c>
      <c r="O159">
        <f ca="1"/>
        <v>0</v>
      </c>
      <c r="P159">
        <f ca="1"/>
        <v>50.479169461819538</v>
      </c>
      <c r="Q159">
        <f ca="1"/>
        <v>45.480688046122502</v>
      </c>
      <c r="R159">
        <f ca="1"/>
        <v>0.79486387476106779</v>
      </c>
      <c r="S159">
        <f ca="1"/>
        <v>1</v>
      </c>
      <c r="T159">
        <f ca="1"/>
        <v>1.8100000000000023</v>
      </c>
      <c r="U159">
        <f ca="1"/>
        <v>0</v>
      </c>
      <c r="V159">
        <f ca="1"/>
        <v>0.99187249708115188</v>
      </c>
      <c r="X159" s="2">
        <f t="shared" ca="1" si="15"/>
        <v>45195</v>
      </c>
      <c r="Y159">
        <f t="shared" ca="1" si="16"/>
        <v>0</v>
      </c>
      <c r="AA159" s="63">
        <f t="shared" ca="1" si="18"/>
        <v>59.2676177315739</v>
      </c>
      <c r="AB159" s="63">
        <f t="shared" ca="1" si="19"/>
        <v>59.2676177315739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45196</v>
      </c>
      <c r="K160">
        <f ca="1"/>
        <v>52.314422555782713</v>
      </c>
      <c r="L160">
        <f ca="1"/>
        <v>3.3230343733652745</v>
      </c>
      <c r="M160">
        <f ca="1"/>
        <v>1.2254701971121662E-2</v>
      </c>
      <c r="N160">
        <f ca="1"/>
        <v>0.2321471612210193</v>
      </c>
      <c r="O160">
        <f ca="1"/>
        <v>0</v>
      </c>
      <c r="P160">
        <f ca="1"/>
        <v>53.802203835184812</v>
      </c>
      <c r="Q160">
        <f ca="1"/>
        <v>48.474673313964125</v>
      </c>
      <c r="R160">
        <f ca="1"/>
        <v>7.8689610594322223E-2</v>
      </c>
      <c r="S160">
        <f ca="1"/>
        <v>1</v>
      </c>
      <c r="T160">
        <f ca="1"/>
        <v>0.18999999999999773</v>
      </c>
      <c r="U160">
        <f ca="1"/>
        <v>0</v>
      </c>
      <c r="V160">
        <f ca="1"/>
        <v>0.99350852441662951</v>
      </c>
      <c r="X160" s="2">
        <f t="shared" ca="1" si="15"/>
        <v>45196</v>
      </c>
      <c r="Y160">
        <f t="shared" ca="1" si="16"/>
        <v>0</v>
      </c>
      <c r="AA160" s="63">
        <f t="shared" ca="1" si="18"/>
        <v>55.716146539742311</v>
      </c>
      <c r="AB160" s="63">
        <f t="shared" ca="1" si="19"/>
        <v>55.716146539742311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45197</v>
      </c>
      <c r="K161">
        <f ca="1"/>
        <v>48.227980169226107</v>
      </c>
      <c r="L161">
        <f ca="1"/>
        <v>3.6466643229905316</v>
      </c>
      <c r="M161">
        <f ca="1"/>
        <v>1.2439290571656159E-2</v>
      </c>
      <c r="N161">
        <f ca="1"/>
        <v>0.23884941170380042</v>
      </c>
      <c r="O161">
        <f ca="1"/>
        <v>0</v>
      </c>
      <c r="P161">
        <f ca="1"/>
        <v>57.448868158175344</v>
      </c>
      <c r="Q161">
        <f ca="1"/>
        <v>51.760242475483338</v>
      </c>
      <c r="R161">
        <f ca="1"/>
        <v>0.69106676584153381</v>
      </c>
      <c r="S161">
        <f ca="1"/>
        <v>1</v>
      </c>
      <c r="T161">
        <f ca="1"/>
        <v>1.8099999999999952</v>
      </c>
      <c r="U161">
        <f ca="1"/>
        <v>0</v>
      </c>
      <c r="V161">
        <f ca="1"/>
        <v>0.99486511473065609</v>
      </c>
      <c r="X161" s="2">
        <f t="shared" ca="1" si="15"/>
        <v>45197</v>
      </c>
      <c r="Y161">
        <f t="shared" ca="1" si="16"/>
        <v>0</v>
      </c>
      <c r="AA161" s="63">
        <f t="shared" ca="1" si="18"/>
        <v>52.565711258058172</v>
      </c>
      <c r="AB161" s="63">
        <f t="shared" ca="1" si="19"/>
        <v>52.565711258058172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45198</v>
      </c>
      <c r="K162">
        <f ca="1"/>
        <v>44.116684982313835</v>
      </c>
      <c r="L162">
        <f ca="1"/>
        <v>4.0068075797422011</v>
      </c>
      <c r="M162">
        <f ca="1"/>
        <v>1.2639774543584892E-2</v>
      </c>
      <c r="N162">
        <f ca="1"/>
        <v>0.24609999130739199</v>
      </c>
      <c r="O162">
        <f ca="1"/>
        <v>0</v>
      </c>
      <c r="P162">
        <f ca="1"/>
        <v>61.455675737917545</v>
      </c>
      <c r="Q162">
        <f ca="1"/>
        <v>55.370293265501338</v>
      </c>
      <c r="R162">
        <f ca="1"/>
        <v>0.36322737302105024</v>
      </c>
      <c r="S162">
        <f ca="1"/>
        <v>1</v>
      </c>
      <c r="T162">
        <f ca="1"/>
        <v>1.0399999999999991</v>
      </c>
      <c r="U162">
        <f ca="1"/>
        <v>0</v>
      </c>
      <c r="V162">
        <f ca="1"/>
        <v>0.99597949064119251</v>
      </c>
      <c r="X162" s="2">
        <f t="shared" ca="1" si="15"/>
        <v>45198</v>
      </c>
      <c r="Y162">
        <f t="shared" ca="1" si="16"/>
        <v>0</v>
      </c>
      <c r="AA162" s="63">
        <f t="shared" ca="1" si="18"/>
        <v>48.486719935077083</v>
      </c>
      <c r="AB162" s="63">
        <f t="shared" ca="1" si="19"/>
        <v>48.486719935077083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45199</v>
      </c>
      <c r="K163">
        <f ca="1"/>
        <v>167.78592759346574</v>
      </c>
      <c r="L163">
        <f ca="1"/>
        <v>4.163524841405561</v>
      </c>
      <c r="M163">
        <f ca="1"/>
        <v>1.2446092887733684E-2</v>
      </c>
      <c r="N163">
        <f ca="1"/>
        <v>0.24373959493702374</v>
      </c>
      <c r="O163">
        <f ca="1"/>
        <v>131.31594497641271</v>
      </c>
      <c r="P163">
        <f ca="1"/>
        <v>65.619200579323106</v>
      </c>
      <c r="Q163">
        <f ca="1"/>
        <v>59.121543068204062</v>
      </c>
      <c r="R163">
        <f ca="1"/>
        <v>3.7393632116800051</v>
      </c>
      <c r="S163">
        <f ca="1"/>
        <v>1</v>
      </c>
      <c r="T163">
        <f ca="1"/>
        <v>2.8300000000000054</v>
      </c>
      <c r="U163">
        <f ca="1"/>
        <v>0</v>
      </c>
      <c r="V163">
        <f ca="1"/>
        <v>0.99684265164420061</v>
      </c>
      <c r="X163" s="2">
        <f t="shared" ca="1" si="15"/>
        <v>45199</v>
      </c>
      <c r="Y163">
        <f t="shared" ca="1" si="16"/>
        <v>131.31594497641271</v>
      </c>
      <c r="AA163" s="63">
        <f t="shared" ca="1" si="18"/>
        <v>175.68881564655129</v>
      </c>
      <c r="AB163" s="63">
        <f t="shared" ca="1" si="19"/>
        <v>175.68881564655132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45200</v>
      </c>
      <c r="K164">
        <f ca="1"/>
        <v>158.17568917846398</v>
      </c>
      <c r="L164">
        <f ca="1"/>
        <v>4.2383149295594365</v>
      </c>
      <c r="M164">
        <f ca="1"/>
        <v>1.213613510426903E-2</v>
      </c>
      <c r="N164">
        <f ca="1"/>
        <v>0.23842706437621505</v>
      </c>
      <c r="O164">
        <f ca="1"/>
        <v>0</v>
      </c>
      <c r="P164">
        <f ca="1"/>
        <v>69.857515508882543</v>
      </c>
      <c r="Q164">
        <f ca="1"/>
        <v>62.940177194074799</v>
      </c>
      <c r="R164">
        <f ca="1"/>
        <v>5.6224866849228201</v>
      </c>
      <c r="S164">
        <f ca="1"/>
        <v>1</v>
      </c>
      <c r="T164">
        <f ca="1"/>
        <v>4.490000000000002</v>
      </c>
      <c r="U164">
        <f ca="1"/>
        <v>0</v>
      </c>
      <c r="V164">
        <f ca="1"/>
        <v>0.99750276479554401</v>
      </c>
      <c r="X164" s="2">
        <f t="shared" ca="1" si="15"/>
        <v>45200</v>
      </c>
      <c r="Y164">
        <f t="shared" ca="1" si="16"/>
        <v>0</v>
      </c>
      <c r="AA164" s="63">
        <f t="shared" ca="1" si="18"/>
        <v>168.03649079294624</v>
      </c>
      <c r="AB164" s="63">
        <f t="shared" ca="1" si="19"/>
        <v>168.03649079294624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45201</v>
      </c>
      <c r="K165">
        <f ca="1"/>
        <v>151.83318210259037</v>
      </c>
      <c r="L165">
        <f ca="1"/>
        <v>4.3915394544294202</v>
      </c>
      <c r="M165">
        <f ca="1"/>
        <v>1.1973316773341125E-2</v>
      </c>
      <c r="N165">
        <f ca="1"/>
        <v>0.23674228749374457</v>
      </c>
      <c r="O165">
        <f ca="1"/>
        <v>0</v>
      </c>
      <c r="P165">
        <f ca="1"/>
        <v>74.249054963311963</v>
      </c>
      <c r="Q165">
        <f ca="1"/>
        <v>66.896863448990544</v>
      </c>
      <c r="R165">
        <f ca="1"/>
        <v>2.1996832257112762</v>
      </c>
      <c r="S165">
        <f ca="1"/>
        <v>1</v>
      </c>
      <c r="T165">
        <f ca="1"/>
        <v>1.8299999999999983</v>
      </c>
      <c r="U165">
        <f ca="1"/>
        <v>0</v>
      </c>
      <c r="V165">
        <f ca="1"/>
        <v>0.99802051043503737</v>
      </c>
      <c r="X165" s="2">
        <f t="shared" ca="1" si="15"/>
        <v>45201</v>
      </c>
      <c r="Y165">
        <f t="shared" ca="1" si="16"/>
        <v>0</v>
      </c>
      <c r="AA165" s="63">
        <f t="shared" ca="1" si="18"/>
        <v>158.42440478273107</v>
      </c>
      <c r="AB165" s="63">
        <f t="shared" ca="1" si="19"/>
        <v>158.42440478273107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45202</v>
      </c>
      <c r="K166">
        <f ca="1"/>
        <v>144.74727972338877</v>
      </c>
      <c r="L166">
        <f ca="1"/>
        <v>4.7628150528667845</v>
      </c>
      <c r="M166">
        <f ca="1"/>
        <v>1.2125314532913656E-2</v>
      </c>
      <c r="N166">
        <f ca="1"/>
        <v>0.24309827920516552</v>
      </c>
      <c r="O166">
        <f ca="1"/>
        <v>0</v>
      </c>
      <c r="P166">
        <f ca="1"/>
        <v>79.011870016178747</v>
      </c>
      <c r="Q166">
        <f ca="1"/>
        <v>71.18806134210665</v>
      </c>
      <c r="R166">
        <f ca="1"/>
        <v>2.5783109200728704</v>
      </c>
      <c r="S166">
        <f ca="1"/>
        <v>1</v>
      </c>
      <c r="T166">
        <f ca="1"/>
        <v>2.2500000000000071</v>
      </c>
      <c r="U166">
        <f ca="1"/>
        <v>0</v>
      </c>
      <c r="V166">
        <f ca="1"/>
        <v>0.99844480400960389</v>
      </c>
      <c r="X166" s="2">
        <f t="shared" ca="1" si="15"/>
        <v>45202</v>
      </c>
      <c r="Y166">
        <f t="shared" ca="1" si="16"/>
        <v>0</v>
      </c>
      <c r="AA166" s="63">
        <f t="shared" ca="1" si="18"/>
        <v>152.08840569632844</v>
      </c>
      <c r="AB166" s="63">
        <f t="shared" ca="1" si="19"/>
        <v>152.08840569632844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45203</v>
      </c>
      <c r="K167">
        <f ca="1"/>
        <v>140.26349840688113</v>
      </c>
      <c r="L167">
        <f ca="1"/>
        <v>4.7303413566027217</v>
      </c>
      <c r="M167">
        <f ca="1"/>
        <v>1.1704311124711708E-2</v>
      </c>
      <c r="N167">
        <f ca="1"/>
        <v>0.2348557289703691</v>
      </c>
      <c r="O167">
        <f ca="1"/>
        <v>0</v>
      </c>
      <c r="P167">
        <f ca="1"/>
        <v>83.742211372781469</v>
      </c>
      <c r="Q167">
        <f ca="1"/>
        <v>75.450001106271017</v>
      </c>
      <c r="R167">
        <f ca="1"/>
        <v>0</v>
      </c>
      <c r="S167">
        <f ca="1"/>
        <v>0.99416666666666664</v>
      </c>
      <c r="T167">
        <f ca="1"/>
        <v>0</v>
      </c>
      <c r="U167">
        <f ca="1"/>
        <v>0</v>
      </c>
      <c r="V167">
        <f ca="1"/>
        <v>0.99876422677132348</v>
      </c>
      <c r="X167" s="2">
        <f t="shared" ca="1" si="15"/>
        <v>45203</v>
      </c>
      <c r="Y167">
        <f t="shared" ca="1" si="16"/>
        <v>0</v>
      </c>
      <c r="AA167" s="63">
        <f t="shared" ca="1" si="18"/>
        <v>144.99383976348383</v>
      </c>
      <c r="AB167" s="63">
        <f t="shared" ca="1" si="19"/>
        <v>144.99383976348383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45204</v>
      </c>
      <c r="K168">
        <f ca="1"/>
        <v>134.74366912078261</v>
      </c>
      <c r="L168">
        <f ca="1"/>
        <v>4.9348830748138823</v>
      </c>
      <c r="M168">
        <f ca="1"/>
        <v>1.1631202174749333E-2</v>
      </c>
      <c r="N168">
        <f ca="1"/>
        <v>0.23548354520374024</v>
      </c>
      <c r="O168">
        <f ca="1"/>
        <v>0</v>
      </c>
      <c r="P168">
        <f ca="1"/>
        <v>88.677094447595351</v>
      </c>
      <c r="Q168">
        <f ca="1"/>
        <v>79.896228729715958</v>
      </c>
      <c r="R168">
        <f ca="1"/>
        <v>0.83206095866314178</v>
      </c>
      <c r="S168">
        <f ca="1"/>
        <v>1</v>
      </c>
      <c r="T168">
        <f ca="1"/>
        <v>0.78001762583407697</v>
      </c>
      <c r="U168">
        <f ca="1"/>
        <v>0</v>
      </c>
      <c r="V168">
        <f ca="1"/>
        <v>0.99901897027397402</v>
      </c>
      <c r="X168" s="2">
        <f t="shared" ca="1" si="15"/>
        <v>45204</v>
      </c>
      <c r="Y168">
        <f t="shared" ca="1" si="16"/>
        <v>0</v>
      </c>
      <c r="AA168" s="63">
        <f t="shared" ca="1" si="18"/>
        <v>140.51061315425963</v>
      </c>
      <c r="AB168" s="63">
        <f t="shared" ca="1" si="19"/>
        <v>140.51061315425963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45205</v>
      </c>
      <c r="K169">
        <f ca="1"/>
        <v>129.79653081261722</v>
      </c>
      <c r="L169">
        <f ca="1"/>
        <v>5.1967722421969569</v>
      </c>
      <c r="M169">
        <f ca="1"/>
        <v>1.1628755645030964E-2</v>
      </c>
      <c r="N169">
        <f ca="1"/>
        <v>0.23800517838652496</v>
      </c>
      <c r="O169">
        <f ca="1"/>
        <v>0</v>
      </c>
      <c r="P169">
        <f ca="1"/>
        <v>93.873866689792308</v>
      </c>
      <c r="Q169">
        <f ca="1"/>
        <v>84.578413078507097</v>
      </c>
      <c r="R169">
        <f ca="1"/>
        <v>0</v>
      </c>
      <c r="S169">
        <f ca="1"/>
        <v>0.99583333333333346</v>
      </c>
      <c r="T169">
        <f ca="1"/>
        <v>0</v>
      </c>
      <c r="U169">
        <f ca="1"/>
        <v>0</v>
      </c>
      <c r="V169">
        <f ca="1"/>
        <v>0.99922397543533981</v>
      </c>
      <c r="X169" s="2">
        <f t="shared" ca="1" si="15"/>
        <v>45205</v>
      </c>
      <c r="Y169">
        <f t="shared" ca="1" si="16"/>
        <v>0</v>
      </c>
      <c r="AA169" s="63">
        <f t="shared" ca="1" si="18"/>
        <v>134.99330305481416</v>
      </c>
      <c r="AB169" s="63">
        <f t="shared" ca="1" si="19"/>
        <v>134.99330305481419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45206</v>
      </c>
      <c r="K170">
        <f ca="1"/>
        <v>124.82582033534807</v>
      </c>
      <c r="L170">
        <f ca="1"/>
        <v>5.2150276345577851</v>
      </c>
      <c r="M170">
        <f ca="1"/>
        <v>1.1338661322813692E-2</v>
      </c>
      <c r="N170">
        <f ca="1"/>
        <v>0.23297849596583792</v>
      </c>
      <c r="O170">
        <f ca="1"/>
        <v>0</v>
      </c>
      <c r="P170">
        <f ca="1"/>
        <v>99.088894324350093</v>
      </c>
      <c r="Q170">
        <f ca="1"/>
        <v>89.277045158391616</v>
      </c>
      <c r="R170">
        <f ca="1"/>
        <v>0</v>
      </c>
      <c r="S170">
        <f ca="1"/>
        <v>0.99145848465522735</v>
      </c>
      <c r="T170">
        <f ca="1"/>
        <v>0</v>
      </c>
      <c r="U170">
        <f ca="1"/>
        <v>0</v>
      </c>
      <c r="V170">
        <f ca="1"/>
        <v>0.99938183396536062</v>
      </c>
      <c r="X170" s="2">
        <f t="shared" ca="1" si="15"/>
        <v>45206</v>
      </c>
      <c r="Y170">
        <f t="shared" ca="1" si="16"/>
        <v>0</v>
      </c>
      <c r="AA170" s="63">
        <f t="shared" ca="1" si="18"/>
        <v>130.04084796990585</v>
      </c>
      <c r="AB170" s="63">
        <f t="shared" ca="1" si="19"/>
        <v>130.04084796990585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45207</v>
      </c>
      <c r="K171">
        <f ca="1"/>
        <v>118.29068629526705</v>
      </c>
      <c r="L171">
        <f ca="1"/>
        <v>5.8868141213998655</v>
      </c>
      <c r="M171">
        <f ca="1"/>
        <v>1.1813192983828102E-2</v>
      </c>
      <c r="N171">
        <f ca="1"/>
        <v>0.24825795922662597</v>
      </c>
      <c r="O171">
        <f ca="1"/>
        <v>0</v>
      </c>
      <c r="P171">
        <f ca="1"/>
        <v>104.97570844574996</v>
      </c>
      <c r="Q171">
        <f ca="1"/>
        <v>94.580942973972768</v>
      </c>
      <c r="R171">
        <f ca="1"/>
        <v>0.90839107089159421</v>
      </c>
      <c r="S171">
        <f ca="1"/>
        <v>1</v>
      </c>
      <c r="T171">
        <f ca="1"/>
        <v>0.97001834095460993</v>
      </c>
      <c r="U171">
        <f ca="1"/>
        <v>0</v>
      </c>
      <c r="V171">
        <f ca="1"/>
        <v>0.99951788049940093</v>
      </c>
      <c r="X171" s="2">
        <f t="shared" ca="1" si="15"/>
        <v>45207</v>
      </c>
      <c r="Y171">
        <f t="shared" ca="1" si="16"/>
        <v>0</v>
      </c>
      <c r="AA171" s="63">
        <f t="shared" ca="1" si="18"/>
        <v>125.08589148755851</v>
      </c>
      <c r="AB171" s="63">
        <f t="shared" ca="1" si="19"/>
        <v>125.08589148755851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45208</v>
      </c>
      <c r="K172">
        <f ca="1"/>
        <v>110.99468112870302</v>
      </c>
      <c r="L172">
        <f ca="1"/>
        <v>6.2250716367613279</v>
      </c>
      <c r="M172">
        <f ca="1"/>
        <v>1.1875050409782872E-2</v>
      </c>
      <c r="N172">
        <f ca="1"/>
        <v>0.25282741603623299</v>
      </c>
      <c r="O172">
        <f ca="1"/>
        <v>0</v>
      </c>
      <c r="P172">
        <f ca="1"/>
        <v>111.20078008251129</v>
      </c>
      <c r="Q172">
        <f ca="1"/>
        <v>100.18960381754009</v>
      </c>
      <c r="R172">
        <f ca="1"/>
        <v>1.335635996248723</v>
      </c>
      <c r="S172">
        <f ca="1"/>
        <v>1</v>
      </c>
      <c r="T172">
        <f ca="1"/>
        <v>1.519999999999996</v>
      </c>
      <c r="U172">
        <f ca="1"/>
        <v>0</v>
      </c>
      <c r="V172">
        <f ca="1"/>
        <v>0.99962630483087966</v>
      </c>
      <c r="X172" s="2">
        <f t="shared" ca="1" si="15"/>
        <v>45208</v>
      </c>
      <c r="Y172">
        <f t="shared" ca="1" si="16"/>
        <v>0</v>
      </c>
      <c r="AA172" s="63">
        <f t="shared" ca="1" si="18"/>
        <v>118.55538876171308</v>
      </c>
      <c r="AB172" s="63">
        <f t="shared" ca="1" si="19"/>
        <v>118.55538876171308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45209</v>
      </c>
      <c r="K173">
        <f ca="1"/>
        <v>103.98223012278739</v>
      </c>
      <c r="L173">
        <f ca="1"/>
        <v>5.8613709035105614</v>
      </c>
      <c r="M173">
        <f ca="1"/>
        <v>1.1184621290031949E-2</v>
      </c>
      <c r="N173">
        <f ca="1"/>
        <v>0.23716279004073956</v>
      </c>
      <c r="O173">
        <f ca="1"/>
        <v>0</v>
      </c>
      <c r="P173">
        <f ca="1"/>
        <v>117.06215098602185</v>
      </c>
      <c r="Q173">
        <f ca="1"/>
        <v>105.47057781983253</v>
      </c>
      <c r="R173">
        <f ca="1"/>
        <v>1.3994275137358494</v>
      </c>
      <c r="S173">
        <f ca="1"/>
        <v>1</v>
      </c>
      <c r="T173">
        <f ca="1"/>
        <v>1.7000000000000028</v>
      </c>
      <c r="U173">
        <f ca="1"/>
        <v>0</v>
      </c>
      <c r="V173">
        <f ca="1"/>
        <v>0.99970408638675201</v>
      </c>
      <c r="X173" s="2">
        <f t="shared" ca="1" si="15"/>
        <v>45209</v>
      </c>
      <c r="Y173">
        <f t="shared" ca="1" si="16"/>
        <v>0</v>
      </c>
      <c r="AA173" s="63">
        <f t="shared" ca="1" si="18"/>
        <v>111.24302854003379</v>
      </c>
      <c r="AB173" s="63">
        <f t="shared" ca="1" si="19"/>
        <v>111.24302854003379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45210</v>
      </c>
      <c r="K174">
        <f ca="1"/>
        <v>98.029559861632819</v>
      </c>
      <c r="L174">
        <f ca="1"/>
        <v>6.2068457213075163</v>
      </c>
      <c r="M174">
        <f ca="1"/>
        <v>1.129072166342926E-2</v>
      </c>
      <c r="N174">
        <f ca="1"/>
        <v>0.24288473848951933</v>
      </c>
      <c r="O174">
        <f ca="1"/>
        <v>0</v>
      </c>
      <c r="P174">
        <f ca="1"/>
        <v>123.26899670732936</v>
      </c>
      <c r="Q174">
        <f ca="1"/>
        <v>111.06281749039033</v>
      </c>
      <c r="R174">
        <f ca="1"/>
        <v>0</v>
      </c>
      <c r="S174">
        <f ca="1"/>
        <v>0.98916666666666675</v>
      </c>
      <c r="T174">
        <f ca="1"/>
        <v>0</v>
      </c>
      <c r="U174">
        <f ca="1"/>
        <v>0</v>
      </c>
      <c r="V174">
        <f ca="1"/>
        <v>0.9997675298521852</v>
      </c>
      <c r="X174" s="2">
        <f t="shared" ca="1" si="15"/>
        <v>45210</v>
      </c>
      <c r="Y174">
        <f t="shared" ca="1" si="16"/>
        <v>0</v>
      </c>
      <c r="AA174" s="63">
        <f t="shared" ca="1" si="18"/>
        <v>104.23640558294034</v>
      </c>
      <c r="AB174" s="63">
        <f t="shared" ca="1" si="19"/>
        <v>104.23640558294034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45211</v>
      </c>
      <c r="K175">
        <f ca="1"/>
        <v>90.165262806971114</v>
      </c>
      <c r="L175">
        <f ca="1"/>
        <v>6.7378743140187396</v>
      </c>
      <c r="M175">
        <f ca="1"/>
        <v>1.1584642944749923E-2</v>
      </c>
      <c r="N175">
        <f ca="1"/>
        <v>0.25392292351403012</v>
      </c>
      <c r="O175">
        <f ca="1"/>
        <v>0</v>
      </c>
      <c r="P175">
        <f ca="1"/>
        <v>130.0068710213481</v>
      </c>
      <c r="Q175">
        <f ca="1"/>
        <v>117.13350294415261</v>
      </c>
      <c r="R175">
        <f ca="1"/>
        <v>1.3919303071017517</v>
      </c>
      <c r="S175">
        <f ca="1"/>
        <v>1</v>
      </c>
      <c r="T175">
        <f ca="1"/>
        <v>1.9500056913305173</v>
      </c>
      <c r="U175">
        <f ca="1"/>
        <v>0</v>
      </c>
      <c r="V175">
        <f ca="1"/>
        <v>0.99982008438854297</v>
      </c>
      <c r="X175" s="2">
        <f t="shared" ca="1" si="15"/>
        <v>45211</v>
      </c>
      <c r="Y175">
        <f t="shared" ca="1" si="16"/>
        <v>0</v>
      </c>
      <c r="AA175" s="63">
        <f t="shared" ca="1" si="18"/>
        <v>98.295067428091599</v>
      </c>
      <c r="AB175" s="63">
        <f t="shared" ca="1" si="19"/>
        <v>98.295067428091599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45212</v>
      </c>
      <c r="K176">
        <f ca="1"/>
        <v>82.33917343020785</v>
      </c>
      <c r="L176">
        <f ca="1"/>
        <v>6.8055197392182549</v>
      </c>
      <c r="M176">
        <f ca="1"/>
        <v>1.140688347959351E-2</v>
      </c>
      <c r="N176">
        <f ca="1"/>
        <v>0.25217150459734589</v>
      </c>
      <c r="O176">
        <f ca="1"/>
        <v>0</v>
      </c>
      <c r="P176">
        <f ca="1"/>
        <v>136.81239076056636</v>
      </c>
      <c r="Q176">
        <f ca="1"/>
        <v>123.26513552747438</v>
      </c>
      <c r="R176">
        <f ca="1"/>
        <v>1.2841480256219493</v>
      </c>
      <c r="S176">
        <f ca="1"/>
        <v>1</v>
      </c>
      <c r="T176">
        <f ca="1"/>
        <v>1.9699999999999989</v>
      </c>
      <c r="U176">
        <f ca="1"/>
        <v>0</v>
      </c>
      <c r="V176">
        <f ca="1"/>
        <v>0.99986043254425883</v>
      </c>
      <c r="X176" s="2">
        <f t="shared" ca="1" si="15"/>
        <v>45212</v>
      </c>
      <c r="Y176">
        <f t="shared" ca="1" si="16"/>
        <v>0</v>
      </c>
      <c r="AA176" s="63">
        <f t="shared" ca="1" si="18"/>
        <v>90.428841195048051</v>
      </c>
      <c r="AB176" s="63">
        <f t="shared" ca="1" si="19"/>
        <v>90.428841195048051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45213</v>
      </c>
      <c r="K177">
        <f ca="1"/>
        <v>74.323485883927091</v>
      </c>
      <c r="L177">
        <f ca="1"/>
        <v>6.6477838596732681</v>
      </c>
      <c r="M177">
        <f ca="1"/>
        <v>1.1039131404841918E-2</v>
      </c>
      <c r="N177">
        <f ca="1"/>
        <v>0.24502534855146982</v>
      </c>
      <c r="O177">
        <f ca="1"/>
        <v>0</v>
      </c>
      <c r="P177">
        <f ca="1"/>
        <v>143.46017462023963</v>
      </c>
      <c r="Q177">
        <f ca="1"/>
        <v>129.25465134445966</v>
      </c>
      <c r="R177">
        <f ca="1"/>
        <v>1.6239681665638057</v>
      </c>
      <c r="S177">
        <f ca="1"/>
        <v>1</v>
      </c>
      <c r="T177">
        <f ca="1"/>
        <v>2.759999999999998</v>
      </c>
      <c r="U177">
        <f ca="1"/>
        <v>0</v>
      </c>
      <c r="V177">
        <f ca="1"/>
        <v>0.99989068033594974</v>
      </c>
      <c r="X177" s="2">
        <f t="shared" ca="1" si="15"/>
        <v>45213</v>
      </c>
      <c r="Y177">
        <f t="shared" ca="1" si="16"/>
        <v>0</v>
      </c>
      <c r="AA177" s="63">
        <f t="shared" ca="1" si="18"/>
        <v>82.595237910164158</v>
      </c>
      <c r="AB177" s="63">
        <f t="shared" ca="1" si="19"/>
        <v>82.595237910164158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45214</v>
      </c>
      <c r="K178">
        <f ca="1"/>
        <v>66.630787771224007</v>
      </c>
      <c r="L178">
        <f ca="1"/>
        <v>6.4916537230623703</v>
      </c>
      <c r="M178">
        <f ca="1"/>
        <v>1.0713974091517642E-2</v>
      </c>
      <c r="N178">
        <f ca="1"/>
        <v>0.23884941170380042</v>
      </c>
      <c r="O178">
        <f ca="1"/>
        <v>0</v>
      </c>
      <c r="P178">
        <f ca="1"/>
        <v>149.951828343302</v>
      </c>
      <c r="Q178">
        <f ca="1"/>
        <v>135.10349713629384</v>
      </c>
      <c r="R178">
        <f ca="1"/>
        <v>1.4506077754360227</v>
      </c>
      <c r="S178">
        <f ca="1"/>
        <v>1</v>
      </c>
      <c r="T178">
        <f ca="1"/>
        <v>2.75</v>
      </c>
      <c r="U178">
        <f ca="1"/>
        <v>0</v>
      </c>
      <c r="V178">
        <f ca="1"/>
        <v>0.99991364192095489</v>
      </c>
      <c r="X178" s="2">
        <f t="shared" ca="1" si="15"/>
        <v>45214</v>
      </c>
      <c r="Y178">
        <f t="shared" ca="1" si="16"/>
        <v>0</v>
      </c>
      <c r="AA178" s="63">
        <f t="shared" ca="1" si="18"/>
        <v>74.573049269722404</v>
      </c>
      <c r="AB178" s="63">
        <f t="shared" ca="1" si="19"/>
        <v>74.573049269722404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45215</v>
      </c>
      <c r="K179">
        <f ca="1"/>
        <v>191.63268357043603</v>
      </c>
      <c r="L179">
        <f ca="1"/>
        <v>6.587174739368578</v>
      </c>
      <c r="M179">
        <f ca="1"/>
        <v>1.064612290692768E-2</v>
      </c>
      <c r="N179">
        <f ca="1"/>
        <v>0.23990729899597737</v>
      </c>
      <c r="O179">
        <f ca="1"/>
        <v>131.50535156094739</v>
      </c>
      <c r="P179">
        <f ca="1"/>
        <v>156.53900308267058</v>
      </c>
      <c r="Q179">
        <f ca="1"/>
        <v>141.03840538895673</v>
      </c>
      <c r="R179">
        <f ca="1"/>
        <v>0.16683444426969837</v>
      </c>
      <c r="S179">
        <f ca="1"/>
        <v>1</v>
      </c>
      <c r="T179">
        <f ca="1"/>
        <v>0.10999999999999943</v>
      </c>
      <c r="U179">
        <f ca="1"/>
        <v>0</v>
      </c>
      <c r="V179">
        <f ca="1"/>
        <v>0.99993188092248153</v>
      </c>
      <c r="X179" s="2">
        <f t="shared" ca="1" si="15"/>
        <v>45215</v>
      </c>
      <c r="Y179">
        <f t="shared" ca="1" si="16"/>
        <v>131.50535156094739</v>
      </c>
      <c r="AA179" s="63">
        <f t="shared" ca="1" si="18"/>
        <v>198.38669275407432</v>
      </c>
      <c r="AB179" s="63">
        <f t="shared" ca="1" si="19"/>
        <v>198.38669275407432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45216</v>
      </c>
      <c r="K180">
        <f ca="1"/>
        <v>184.51250355469639</v>
      </c>
      <c r="L180">
        <f ca="1"/>
        <v>7.1062297017623735</v>
      </c>
      <c r="M180">
        <f ca="1"/>
        <v>1.0978580629483758E-2</v>
      </c>
      <c r="N180">
        <f ca="1"/>
        <v>0.25260866282346151</v>
      </c>
      <c r="O180">
        <f ca="1"/>
        <v>0</v>
      </c>
      <c r="P180">
        <f ca="1"/>
        <v>163.64523278443295</v>
      </c>
      <c r="Q180">
        <f ca="1"/>
        <v>147.44097143145862</v>
      </c>
      <c r="R180">
        <f ca="1"/>
        <v>0.27753755743019631</v>
      </c>
      <c r="S180">
        <f ca="1"/>
        <v>1</v>
      </c>
      <c r="T180">
        <f ca="1"/>
        <v>0.19000000000000483</v>
      </c>
      <c r="U180">
        <f ca="1"/>
        <v>0</v>
      </c>
      <c r="V180">
        <f ca="1"/>
        <v>0.99994718972195229</v>
      </c>
      <c r="X180" s="2">
        <f t="shared" ca="1" si="15"/>
        <v>45216</v>
      </c>
      <c r="Y180">
        <f t="shared" ca="1" si="16"/>
        <v>0</v>
      </c>
      <c r="AA180" s="63">
        <f t="shared" ca="1" si="18"/>
        <v>191.89627081388898</v>
      </c>
      <c r="AB180" s="63">
        <f t="shared" ca="1" si="19"/>
        <v>191.89627081388898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45217</v>
      </c>
      <c r="K181">
        <f ca="1"/>
        <v>177.10618360288854</v>
      </c>
      <c r="L181">
        <f ca="1"/>
        <v>6.7194543707252592</v>
      </c>
      <c r="M181">
        <f ca="1"/>
        <v>1.050340314636955E-2</v>
      </c>
      <c r="N181">
        <f ca="1"/>
        <v>0.2420317312980079</v>
      </c>
      <c r="O181">
        <f ca="1"/>
        <v>0</v>
      </c>
      <c r="P181">
        <f ca="1"/>
        <v>170.36468715515821</v>
      </c>
      <c r="Q181">
        <f ca="1"/>
        <v>153.4950608971393</v>
      </c>
      <c r="R181">
        <f ca="1"/>
        <v>0.93940071552698023</v>
      </c>
      <c r="S181">
        <f ca="1"/>
        <v>1</v>
      </c>
      <c r="T181">
        <f ca="1"/>
        <v>0.6699999999999946</v>
      </c>
      <c r="U181">
        <f ca="1"/>
        <v>0</v>
      </c>
      <c r="V181">
        <f ca="1"/>
        <v>0.99995846564057933</v>
      </c>
      <c r="X181" s="2">
        <f t="shared" ca="1" si="15"/>
        <v>45217</v>
      </c>
      <c r="Y181">
        <f t="shared" ca="1" si="16"/>
        <v>0</v>
      </c>
      <c r="AA181" s="63">
        <f t="shared" ca="1" si="18"/>
        <v>184.76503868914077</v>
      </c>
      <c r="AB181" s="63">
        <f t="shared" ca="1" si="19"/>
        <v>184.76503868914077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45218</v>
      </c>
      <c r="K182">
        <f ca="1"/>
        <v>170.84619855854606</v>
      </c>
      <c r="L182">
        <f ca="1"/>
        <v>6.5069463782428159</v>
      </c>
      <c r="M182">
        <f ca="1"/>
        <v>1.02190464065961E-2</v>
      </c>
      <c r="N182">
        <f ca="1"/>
        <v>0.23674228749374457</v>
      </c>
      <c r="O182">
        <f ca="1"/>
        <v>0</v>
      </c>
      <c r="P182">
        <f ca="1"/>
        <v>176.87163353340102</v>
      </c>
      <c r="Q182">
        <f ca="1"/>
        <v>159.35768505512084</v>
      </c>
      <c r="R182">
        <f ca="1"/>
        <v>0</v>
      </c>
      <c r="S182">
        <f ca="1"/>
        <v>0.97916666666666663</v>
      </c>
      <c r="T182">
        <f ca="1"/>
        <v>0</v>
      </c>
      <c r="U182">
        <f ca="1"/>
        <v>0</v>
      </c>
      <c r="V182">
        <f ca="1"/>
        <v>0.99996709365296943</v>
      </c>
      <c r="X182" s="2">
        <f t="shared" ca="1" si="15"/>
        <v>45218</v>
      </c>
      <c r="Y182">
        <f t="shared" ca="1" si="16"/>
        <v>0</v>
      </c>
      <c r="AA182" s="63">
        <f t="shared" ca="1" si="18"/>
        <v>177.35314493678888</v>
      </c>
      <c r="AB182" s="63">
        <f t="shared" ca="1" si="19"/>
        <v>177.35314493678888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45219</v>
      </c>
      <c r="K183">
        <f ca="1"/>
        <v>164.70334362167029</v>
      </c>
      <c r="L183">
        <f ca="1"/>
        <v>6.3823141389952127</v>
      </c>
      <c r="M183">
        <f ca="1"/>
        <v>1.0032771868930368E-2</v>
      </c>
      <c r="N183">
        <f ca="1"/>
        <v>0.22942643025049139</v>
      </c>
      <c r="O183">
        <f ca="1"/>
        <v>0</v>
      </c>
      <c r="P183">
        <f ca="1"/>
        <v>183.25394767239624</v>
      </c>
      <c r="Q183">
        <f ca="1"/>
        <v>165.10801814226778</v>
      </c>
      <c r="R183">
        <f ca="1"/>
        <v>0</v>
      </c>
      <c r="S183">
        <f ca="1"/>
        <v>0.94395837080568201</v>
      </c>
      <c r="T183">
        <f ca="1"/>
        <v>0</v>
      </c>
      <c r="U183">
        <f ca="1"/>
        <v>0</v>
      </c>
      <c r="V183">
        <f ca="1"/>
        <v>0.99997383748749369</v>
      </c>
      <c r="X183" s="2">
        <f t="shared" ca="1" si="15"/>
        <v>45219</v>
      </c>
      <c r="Y183">
        <f t="shared" ca="1" si="16"/>
        <v>0</v>
      </c>
      <c r="AA183" s="63">
        <f t="shared" ca="1" si="18"/>
        <v>171.0856577606655</v>
      </c>
      <c r="AB183" s="63">
        <f t="shared" ca="1" si="19"/>
        <v>171.0856577606655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45220</v>
      </c>
      <c r="K184">
        <f ca="1"/>
        <v>158.24358369821167</v>
      </c>
      <c r="L184">
        <f ca="1"/>
        <v>6.7088388307545586</v>
      </c>
      <c r="M184">
        <f ca="1"/>
        <v>1.0251803306371876E-2</v>
      </c>
      <c r="N184">
        <f ca="1"/>
        <v>0.23882710398956622</v>
      </c>
      <c r="O184">
        <f ca="1"/>
        <v>0</v>
      </c>
      <c r="P184">
        <f ca="1"/>
        <v>189.9627865031508</v>
      </c>
      <c r="Q184">
        <f ca="1"/>
        <v>171.15254322590735</v>
      </c>
      <c r="R184">
        <f ca="1"/>
        <v>0</v>
      </c>
      <c r="S184">
        <f ca="1"/>
        <v>0.94354177458181077</v>
      </c>
      <c r="T184">
        <f ca="1"/>
        <v>0</v>
      </c>
      <c r="U184">
        <f ca="1"/>
        <v>0</v>
      </c>
      <c r="V184">
        <f ca="1"/>
        <v>0.99997947799749853</v>
      </c>
      <c r="X184" s="2">
        <f t="shared" ca="1" si="15"/>
        <v>45220</v>
      </c>
      <c r="Y184">
        <f t="shared" ca="1" si="16"/>
        <v>0</v>
      </c>
      <c r="AA184" s="63">
        <f t="shared" ca="1" si="18"/>
        <v>164.95242252896622</v>
      </c>
      <c r="AB184" s="63">
        <f t="shared" ca="1" si="19"/>
        <v>164.95242252896622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45221</v>
      </c>
      <c r="K185">
        <f ca="1"/>
        <v>151.64069325553086</v>
      </c>
      <c r="L185">
        <f ca="1"/>
        <v>6.8607924162662641</v>
      </c>
      <c r="M185">
        <f ca="1"/>
        <v>1.0342038346963456E-2</v>
      </c>
      <c r="N185">
        <f ca="1"/>
        <v>0.24755993523848741</v>
      </c>
      <c r="O185">
        <f ca="1"/>
        <v>0</v>
      </c>
      <c r="P185">
        <f ca="1"/>
        <v>196.82357891941706</v>
      </c>
      <c r="Q185">
        <f ca="1"/>
        <v>177.33397534850636</v>
      </c>
      <c r="R185">
        <f ca="1"/>
        <v>0</v>
      </c>
      <c r="S185">
        <f ca="1"/>
        <v>0.95270849589621343</v>
      </c>
      <c r="T185">
        <f ca="1"/>
        <v>0</v>
      </c>
      <c r="U185">
        <f ca="1"/>
        <v>0</v>
      </c>
      <c r="V185">
        <f ca="1"/>
        <v>0.99998403410755909</v>
      </c>
      <c r="X185" s="2">
        <f t="shared" ca="1" si="15"/>
        <v>45221</v>
      </c>
      <c r="Y185">
        <f t="shared" ca="1" si="16"/>
        <v>0</v>
      </c>
      <c r="AA185" s="63">
        <f t="shared" ca="1" si="18"/>
        <v>158.50148567179713</v>
      </c>
      <c r="AB185" s="63">
        <f t="shared" ca="1" si="19"/>
        <v>158.50148567179713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45222</v>
      </c>
      <c r="K186">
        <f ca="1"/>
        <v>144.85697664892143</v>
      </c>
      <c r="L186">
        <f ca="1"/>
        <v>7.0523237899760716</v>
      </c>
      <c r="M186">
        <f ca="1"/>
        <v>1.0494842415840644E-2</v>
      </c>
      <c r="N186">
        <f ca="1"/>
        <v>0.25811234095078717</v>
      </c>
      <c r="O186">
        <f ca="1"/>
        <v>0</v>
      </c>
      <c r="P186">
        <f ca="1"/>
        <v>203.87590270939313</v>
      </c>
      <c r="Q186">
        <f ca="1"/>
        <v>183.68797327897445</v>
      </c>
      <c r="R186">
        <f ca="1"/>
        <v>0</v>
      </c>
      <c r="S186">
        <f ca="1"/>
        <v>0.97520853862988366</v>
      </c>
      <c r="T186">
        <f ca="1"/>
        <v>0</v>
      </c>
      <c r="U186">
        <f ca="1"/>
        <v>0</v>
      </c>
      <c r="V186">
        <f ca="1"/>
        <v>0.99998771278097276</v>
      </c>
      <c r="X186" s="2">
        <f t="shared" ca="1" si="15"/>
        <v>45222</v>
      </c>
      <c r="Y186">
        <f t="shared" ca="1" si="16"/>
        <v>0</v>
      </c>
      <c r="AA186" s="63">
        <f t="shared" ca="1" si="18"/>
        <v>151.9093004388975</v>
      </c>
      <c r="AB186" s="63">
        <f t="shared" ca="1" si="19"/>
        <v>151.9093004388975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45223</v>
      </c>
      <c r="K187">
        <f ca="1"/>
        <v>138.64340114617778</v>
      </c>
      <c r="L187">
        <f ca="1"/>
        <v>6.4687797756708392</v>
      </c>
      <c r="M187">
        <f ca="1"/>
        <v>9.9642272520652497E-3</v>
      </c>
      <c r="N187">
        <f ca="1"/>
        <v>0.24524004567514462</v>
      </c>
      <c r="O187">
        <f ca="1"/>
        <v>0</v>
      </c>
      <c r="P187">
        <f ca="1"/>
        <v>210.34468248506397</v>
      </c>
      <c r="Q187">
        <f ca="1"/>
        <v>189.51621011711967</v>
      </c>
      <c r="R187">
        <f ca="1"/>
        <v>0</v>
      </c>
      <c r="S187">
        <f ca="1"/>
        <v>0.97625022149624652</v>
      </c>
      <c r="T187">
        <f ca="1"/>
        <v>0</v>
      </c>
      <c r="U187">
        <f ca="1"/>
        <v>0</v>
      </c>
      <c r="V187">
        <f ca="1"/>
        <v>0.99999037881918185</v>
      </c>
      <c r="X187" s="2">
        <f t="shared" ca="1" si="15"/>
        <v>45223</v>
      </c>
      <c r="Y187">
        <f t="shared" ca="1" si="16"/>
        <v>0</v>
      </c>
      <c r="AA187" s="63">
        <f t="shared" ca="1" si="18"/>
        <v>145.11218092184862</v>
      </c>
      <c r="AB187" s="63">
        <f t="shared" ca="1" si="19"/>
        <v>145.11218092184862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45224</v>
      </c>
      <c r="K188">
        <f ca="1"/>
        <v>132.2284745859443</v>
      </c>
      <c r="L188">
        <f ca="1"/>
        <v>6.6746259317917236</v>
      </c>
      <c r="M188">
        <f ca="1"/>
        <v>1.0167281422445384E-2</v>
      </c>
      <c r="N188">
        <f ca="1"/>
        <v>0.24953209013578853</v>
      </c>
      <c r="O188">
        <f ca="1"/>
        <v>0</v>
      </c>
      <c r="P188">
        <f ca="1"/>
        <v>217.01930841685569</v>
      </c>
      <c r="Q188">
        <f ca="1"/>
        <v>195.52991008613333</v>
      </c>
      <c r="R188">
        <f ca="1"/>
        <v>0</v>
      </c>
      <c r="S188">
        <f ca="1"/>
        <v>0.94312523404047666</v>
      </c>
      <c r="T188">
        <f ca="1"/>
        <v>0</v>
      </c>
      <c r="U188">
        <f ca="1"/>
        <v>0</v>
      </c>
      <c r="V188">
        <f ca="1"/>
        <v>0.99999256516549184</v>
      </c>
      <c r="X188" s="2">
        <f t="shared" ca="1" si="15"/>
        <v>45224</v>
      </c>
      <c r="Y188">
        <f t="shared" ca="1" si="16"/>
        <v>0</v>
      </c>
      <c r="AA188" s="63">
        <f t="shared" ca="1" si="18"/>
        <v>138.90310051773602</v>
      </c>
      <c r="AB188" s="63">
        <f t="shared" ca="1" si="19"/>
        <v>138.90310051773602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45225</v>
      </c>
      <c r="K189">
        <f ca="1"/>
        <v>125.75770885283379</v>
      </c>
      <c r="L189">
        <f ca="1"/>
        <v>6.7206283375878684</v>
      </c>
      <c r="M189">
        <f ca="1"/>
        <v>1.025623980769641E-2</v>
      </c>
      <c r="N189">
        <f ca="1"/>
        <v>0.23960636466966412</v>
      </c>
      <c r="O189">
        <f ca="1"/>
        <v>0</v>
      </c>
      <c r="P189">
        <f ca="1"/>
        <v>223.73993675444356</v>
      </c>
      <c r="Q189">
        <f ca="1"/>
        <v>201.58505727168583</v>
      </c>
      <c r="R189">
        <f ca="1"/>
        <v>0</v>
      </c>
      <c r="S189">
        <f ca="1"/>
        <v>0.89125025618021825</v>
      </c>
      <c r="T189">
        <f ca="1"/>
        <v>0</v>
      </c>
      <c r="U189">
        <f ca="1"/>
        <v>0</v>
      </c>
      <c r="V189">
        <f ca="1"/>
        <v>0.99999430333976658</v>
      </c>
      <c r="X189" s="2">
        <f t="shared" ca="1" si="15"/>
        <v>45225</v>
      </c>
      <c r="Y189">
        <f t="shared" ca="1" si="16"/>
        <v>0</v>
      </c>
      <c r="AA189" s="63">
        <f t="shared" ca="1" si="18"/>
        <v>132.47833719042166</v>
      </c>
      <c r="AB189" s="63">
        <f t="shared" ca="1" si="19"/>
        <v>132.47833719042166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45226</v>
      </c>
      <c r="K190">
        <f ca="1"/>
        <v>118.96278729894313</v>
      </c>
      <c r="L190">
        <f ca="1"/>
        <v>7.0618896532737949</v>
      </c>
      <c r="M190">
        <f ca="1"/>
        <v>1.0683073521789765E-2</v>
      </c>
      <c r="N190">
        <f ca="1"/>
        <v>0.25628502586134777</v>
      </c>
      <c r="O190">
        <f ca="1"/>
        <v>0</v>
      </c>
      <c r="P190">
        <f ca="1"/>
        <v>230.80182640771736</v>
      </c>
      <c r="Q190">
        <f ca="1"/>
        <v>207.94767384721433</v>
      </c>
      <c r="R190">
        <f ca="1"/>
        <v>0</v>
      </c>
      <c r="S190">
        <f ca="1"/>
        <v>0.89375028809486479</v>
      </c>
      <c r="T190">
        <f ca="1"/>
        <v>0</v>
      </c>
      <c r="U190">
        <f ca="1"/>
        <v>0</v>
      </c>
      <c r="V190">
        <f ca="1"/>
        <v>0.99999573136429698</v>
      </c>
      <c r="X190" s="2">
        <f t="shared" ca="1" si="15"/>
        <v>45226</v>
      </c>
      <c r="Y190">
        <f t="shared" ca="1" si="16"/>
        <v>0</v>
      </c>
      <c r="AA190" s="63">
        <f t="shared" ca="1" si="18"/>
        <v>126.02467695221692</v>
      </c>
      <c r="AB190" s="63">
        <f t="shared" ca="1" si="19"/>
        <v>126.02467695221692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45227</v>
      </c>
      <c r="K191">
        <f ca="1"/>
        <v>112.80072307158143</v>
      </c>
      <c r="L191">
        <f ca="1"/>
        <v>6.4244923664594751</v>
      </c>
      <c r="M191">
        <f ca="1"/>
        <v>1.0146001180952879E-2</v>
      </c>
      <c r="N191">
        <f ca="1"/>
        <v>0.25228213791682302</v>
      </c>
      <c r="O191">
        <f ca="1"/>
        <v>0</v>
      </c>
      <c r="P191">
        <f ca="1"/>
        <v>237.22631877417683</v>
      </c>
      <c r="Q191">
        <f ca="1"/>
        <v>213.73600864528663</v>
      </c>
      <c r="R191">
        <f ca="1"/>
        <v>0</v>
      </c>
      <c r="S191">
        <f ca="1"/>
        <v>0.91916697592815655</v>
      </c>
      <c r="T191">
        <f ca="1"/>
        <v>0</v>
      </c>
      <c r="U191">
        <f ca="1"/>
        <v>0</v>
      </c>
      <c r="V191">
        <f ca="1"/>
        <v>0.99999674749655665</v>
      </c>
      <c r="X191" s="2">
        <f t="shared" ca="1" si="15"/>
        <v>45227</v>
      </c>
      <c r="Y191">
        <f t="shared" ca="1" si="16"/>
        <v>0</v>
      </c>
      <c r="AA191" s="63">
        <f t="shared" ca="1" si="18"/>
        <v>119.22521543804091</v>
      </c>
      <c r="AB191" s="63">
        <f t="shared" ca="1" si="19"/>
        <v>119.22521543804091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45228</v>
      </c>
      <c r="K192">
        <f ca="1"/>
        <v>106.85727588625102</v>
      </c>
      <c r="L192">
        <f ca="1"/>
        <v>6.2016457186082903</v>
      </c>
      <c r="M192">
        <f ca="1"/>
        <v>1.0039630419391266E-2</v>
      </c>
      <c r="N192">
        <f ca="1"/>
        <v>0.24815890285848663</v>
      </c>
      <c r="O192">
        <f ca="1"/>
        <v>0</v>
      </c>
      <c r="P192">
        <f ca="1"/>
        <v>243.42796449278512</v>
      </c>
      <c r="Q192">
        <f ca="1"/>
        <v>219.32356322092065</v>
      </c>
      <c r="R192">
        <f ca="1"/>
        <v>0</v>
      </c>
      <c r="S192">
        <f ca="1"/>
        <v>0.90479198919190573</v>
      </c>
      <c r="T192">
        <f ca="1"/>
        <v>0</v>
      </c>
      <c r="U192">
        <f ca="1"/>
        <v>0</v>
      </c>
      <c r="V192">
        <f ca="1"/>
        <v>0.99999752319626711</v>
      </c>
      <c r="X192" s="2">
        <f t="shared" ca="1" si="15"/>
        <v>45228</v>
      </c>
      <c r="Y192">
        <f t="shared" ca="1" si="16"/>
        <v>0</v>
      </c>
      <c r="AA192" s="63">
        <f t="shared" ca="1" si="18"/>
        <v>113.05892160485931</v>
      </c>
      <c r="AB192" s="63">
        <f t="shared" ca="1" si="19"/>
        <v>113.05892160485931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45229</v>
      </c>
      <c r="K193">
        <f ca="1"/>
        <v>100.89327791854249</v>
      </c>
      <c r="L193">
        <f ca="1"/>
        <v>6.2228123401143307</v>
      </c>
      <c r="M193">
        <f ca="1"/>
        <v>1.0217972524030117E-2</v>
      </c>
      <c r="N193">
        <f ca="1"/>
        <v>0.24859639988177412</v>
      </c>
      <c r="O193">
        <f ca="1"/>
        <v>0</v>
      </c>
      <c r="P193">
        <f ca="1"/>
        <v>249.65077683289945</v>
      </c>
      <c r="Q193">
        <f ca="1"/>
        <v>224.9301884849192</v>
      </c>
      <c r="R193">
        <f ca="1"/>
        <v>0</v>
      </c>
      <c r="S193">
        <f ca="1"/>
        <v>0.87770866801249892</v>
      </c>
      <c r="T193">
        <f ca="1"/>
        <v>0</v>
      </c>
      <c r="U193">
        <f ca="1"/>
        <v>0</v>
      </c>
      <c r="V193">
        <f ca="1"/>
        <v>0.99999813753357558</v>
      </c>
      <c r="X193" s="2">
        <f t="shared" ca="1" si="15"/>
        <v>45229</v>
      </c>
      <c r="Y193">
        <f t="shared" ca="1" si="16"/>
        <v>0</v>
      </c>
      <c r="AA193" s="63">
        <f t="shared" ca="1" si="18"/>
        <v>107.11609025865683</v>
      </c>
      <c r="AB193" s="63">
        <f t="shared" ca="1" si="19"/>
        <v>107.11609025865683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45230</v>
      </c>
      <c r="K194">
        <f ca="1"/>
        <v>95.306799515031798</v>
      </c>
      <c r="L194">
        <f ca="1"/>
        <v>5.8281011841548889</v>
      </c>
      <c r="M194">
        <f ca="1"/>
        <v>9.9602039729989045E-3</v>
      </c>
      <c r="N194">
        <f ca="1"/>
        <v>0.23166257667119611</v>
      </c>
      <c r="O194">
        <f ca="1"/>
        <v>0</v>
      </c>
      <c r="P194">
        <f ca="1"/>
        <v>255.47887801705434</v>
      </c>
      <c r="Q194">
        <f ca="1"/>
        <v>230.18118715791186</v>
      </c>
      <c r="R194">
        <f ca="1"/>
        <v>0</v>
      </c>
      <c r="S194">
        <f ca="1"/>
        <v>0.83520868161124662</v>
      </c>
      <c r="T194">
        <f ca="1"/>
        <v>0</v>
      </c>
      <c r="U194">
        <f ca="1"/>
        <v>0</v>
      </c>
      <c r="V194">
        <f ca="1"/>
        <v>0.99999859166728833</v>
      </c>
      <c r="X194" s="2">
        <f t="shared" ca="1" si="15"/>
        <v>45230</v>
      </c>
      <c r="Y194">
        <f t="shared" ca="1" si="16"/>
        <v>0</v>
      </c>
      <c r="AA194" s="63">
        <f t="shared" ca="1" si="18"/>
        <v>101.13490069918669</v>
      </c>
      <c r="AB194" s="63">
        <f t="shared" ca="1" si="19"/>
        <v>101.13490069918669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45231</v>
      </c>
      <c r="K195">
        <f ca="1"/>
        <v>90.256040833917098</v>
      </c>
      <c r="L195">
        <f ca="1"/>
        <v>5.2730333300836492</v>
      </c>
      <c r="M195">
        <f ca="1"/>
        <v>9.5111210352314401E-3</v>
      </c>
      <c r="N195">
        <f ca="1"/>
        <v>0.21276352793371023</v>
      </c>
      <c r="O195">
        <f ca="1"/>
        <v>0</v>
      </c>
      <c r="P195">
        <f ca="1"/>
        <v>260.75191134713799</v>
      </c>
      <c r="Q195">
        <f ca="1"/>
        <v>234.93208117021788</v>
      </c>
      <c r="R195">
        <f ca="1"/>
        <v>0</v>
      </c>
      <c r="S195">
        <f ca="1"/>
        <v>0.80166702877913076</v>
      </c>
      <c r="T195">
        <f ca="1"/>
        <v>0</v>
      </c>
      <c r="U195">
        <f ca="1"/>
        <v>0</v>
      </c>
      <c r="V195">
        <f ca="1"/>
        <v>0.99999891965331156</v>
      </c>
      <c r="X195" s="2">
        <f t="shared" ca="1" si="15"/>
        <v>45231</v>
      </c>
      <c r="Y195">
        <f t="shared" ca="1" si="16"/>
        <v>0</v>
      </c>
      <c r="AA195" s="63">
        <f t="shared" ca="1" si="18"/>
        <v>95.529074164000747</v>
      </c>
      <c r="AB195" s="63">
        <f t="shared" ca="1" si="19"/>
        <v>95.529074164000747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45232</v>
      </c>
      <c r="K196">
        <f ca="1"/>
        <v>85.409514980248986</v>
      </c>
      <c r="L196">
        <f ca="1"/>
        <v>5.0540193737352297</v>
      </c>
      <c r="M196">
        <f ca="1"/>
        <v>9.4362465822577235E-3</v>
      </c>
      <c r="N196">
        <f ca="1"/>
        <v>0.19805727348485863</v>
      </c>
      <c r="O196">
        <f ca="1"/>
        <v>0</v>
      </c>
      <c r="P196">
        <f ca="1"/>
        <v>265.80593072087322</v>
      </c>
      <c r="Q196">
        <f ca="1"/>
        <v>239.48564813589013</v>
      </c>
      <c r="R196">
        <f ca="1"/>
        <v>0</v>
      </c>
      <c r="S196">
        <f ca="1"/>
        <v>0.74312537493109732</v>
      </c>
      <c r="T196">
        <f ca="1"/>
        <v>0</v>
      </c>
      <c r="U196">
        <f ca="1"/>
        <v>0</v>
      </c>
      <c r="V196">
        <f ca="1"/>
        <v>0.99999917271191008</v>
      </c>
      <c r="X196" s="2">
        <f t="shared" ca="1" si="15"/>
        <v>45232</v>
      </c>
      <c r="Y196">
        <f t="shared" ca="1" si="16"/>
        <v>0</v>
      </c>
      <c r="AA196" s="63">
        <f t="shared" ca="1" si="18"/>
        <v>90.463534353984215</v>
      </c>
      <c r="AB196" s="63">
        <f t="shared" ca="1" si="19"/>
        <v>90.463534353984215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45233</v>
      </c>
      <c r="K197">
        <f ca="1"/>
        <v>80.868485316985527</v>
      </c>
      <c r="L197">
        <f ca="1"/>
        <v>4.7420549490519761</v>
      </c>
      <c r="M197">
        <f ca="1"/>
        <v>9.2518371485263984E-3</v>
      </c>
      <c r="N197">
        <f ca="1"/>
        <v>0.19177344863999557</v>
      </c>
      <c r="O197">
        <f ca="1"/>
        <v>0</v>
      </c>
      <c r="P197">
        <f ca="1"/>
        <v>270.5479856699252</v>
      </c>
      <c r="Q197">
        <f ca="1"/>
        <v>243.75814160467689</v>
      </c>
      <c r="R197">
        <f ca="1"/>
        <v>0</v>
      </c>
      <c r="S197">
        <f ca="1"/>
        <v>0.72583371931831131</v>
      </c>
      <c r="T197">
        <f ca="1"/>
        <v>0</v>
      </c>
      <c r="U197">
        <f ca="1"/>
        <v>0</v>
      </c>
      <c r="V197">
        <f ca="1"/>
        <v>0.9999993644474876</v>
      </c>
      <c r="X197" s="2">
        <f t="shared" ca="1" si="15"/>
        <v>45233</v>
      </c>
      <c r="Y197">
        <f t="shared" ca="1" si="16"/>
        <v>0</v>
      </c>
      <c r="AA197" s="63">
        <f t="shared" ca="1" si="18"/>
        <v>85.610540266037503</v>
      </c>
      <c r="AB197" s="63">
        <f t="shared" ca="1" si="19"/>
        <v>85.610540266037503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45234</v>
      </c>
      <c r="K198">
        <f ca="1"/>
        <v>76.476063576446023</v>
      </c>
      <c r="L198">
        <f ca="1"/>
        <v>4.5960257679676033</v>
      </c>
      <c r="M198">
        <f ca="1"/>
        <v>9.2734576393374013E-3</v>
      </c>
      <c r="N198">
        <f ca="1"/>
        <v>0.19433056978875538</v>
      </c>
      <c r="O198">
        <f ca="1"/>
        <v>0</v>
      </c>
      <c r="P198">
        <f ca="1"/>
        <v>275.1440114378928</v>
      </c>
      <c r="Q198">
        <f ca="1"/>
        <v>247.89906580040829</v>
      </c>
      <c r="R198">
        <f ca="1"/>
        <v>0</v>
      </c>
      <c r="S198">
        <f ca="1"/>
        <v>0.72229206204766239</v>
      </c>
      <c r="T198">
        <f ca="1"/>
        <v>0</v>
      </c>
      <c r="U198">
        <f ca="1"/>
        <v>0</v>
      </c>
      <c r="V198">
        <f ca="1"/>
        <v>0.9999995147435411</v>
      </c>
      <c r="X198" s="2">
        <f t="shared" ca="1" si="15"/>
        <v>45234</v>
      </c>
      <c r="Y198">
        <f t="shared" ca="1" si="16"/>
        <v>0</v>
      </c>
      <c r="AA198" s="63">
        <f t="shared" ca="1" si="18"/>
        <v>81.072089344413627</v>
      </c>
      <c r="AB198" s="63">
        <f t="shared" ca="1" si="19"/>
        <v>81.072089344413627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45235</v>
      </c>
      <c r="K199">
        <f ca="1"/>
        <v>72.201790561903238</v>
      </c>
      <c r="L199">
        <f ca="1"/>
        <v>4.4995261375484006</v>
      </c>
      <c r="M199">
        <f ca="1"/>
        <v>9.3828736194252471E-3</v>
      </c>
      <c r="N199">
        <f ca="1"/>
        <v>0.21587024938618418</v>
      </c>
      <c r="O199">
        <f ca="1"/>
        <v>0</v>
      </c>
      <c r="P199">
        <f ca="1"/>
        <v>279.6435375754412</v>
      </c>
      <c r="Q199">
        <f ca="1"/>
        <v>251.95304582422776</v>
      </c>
      <c r="R199">
        <f ca="1"/>
        <v>0</v>
      </c>
      <c r="S199">
        <f ca="1"/>
        <v>0.77964616991738234</v>
      </c>
      <c r="T199">
        <f ca="1"/>
        <v>0</v>
      </c>
      <c r="U199">
        <f ca="1"/>
        <v>0</v>
      </c>
      <c r="V199">
        <f ca="1"/>
        <v>0.99999963328113306</v>
      </c>
      <c r="X199" s="2">
        <f t="shared" ca="1" si="15"/>
        <v>45235</v>
      </c>
      <c r="Y199">
        <f t="shared" ca="1" si="16"/>
        <v>0</v>
      </c>
      <c r="AA199" s="63">
        <f t="shared" ca="1" si="18"/>
        <v>76.701316699451638</v>
      </c>
      <c r="AB199" s="63">
        <f t="shared" ca="1" si="19"/>
        <v>76.701316699451638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45236</v>
      </c>
      <c r="K200">
        <f ca="1"/>
        <v>68.361924504813913</v>
      </c>
      <c r="L200">
        <f ca="1"/>
        <v>4.0610128451558012</v>
      </c>
      <c r="M200">
        <f ca="1"/>
        <v>9.0184519919898065E-3</v>
      </c>
      <c r="N200">
        <f ca="1"/>
        <v>0.21212833607448145</v>
      </c>
      <c r="O200">
        <f ca="1"/>
        <v>0</v>
      </c>
      <c r="P200">
        <f ca="1"/>
        <v>283.704550420597</v>
      </c>
      <c r="Q200">
        <f ca="1"/>
        <v>255.61193443770875</v>
      </c>
      <c r="R200">
        <f ca="1"/>
        <v>0</v>
      </c>
      <c r="S200">
        <f ca="1"/>
        <v>0.79152117458879878</v>
      </c>
      <c r="T200">
        <f ca="1"/>
        <v>0</v>
      </c>
      <c r="U200">
        <f ca="1"/>
        <v>0</v>
      </c>
      <c r="V200">
        <f ca="1"/>
        <v>0.99999971967451007</v>
      </c>
      <c r="X200" s="2">
        <f t="shared" ca="1" si="15"/>
        <v>45236</v>
      </c>
      <c r="Y200">
        <f t="shared" ca="1" si="16"/>
        <v>0</v>
      </c>
      <c r="AA200" s="63">
        <f t="shared" ca="1" si="18"/>
        <v>72.422937349969715</v>
      </c>
      <c r="AB200" s="63">
        <f t="shared" ca="1" si="19"/>
        <v>72.422937349969715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45237</v>
      </c>
      <c r="K201">
        <f ca="1"/>
        <v>64.651131594434176</v>
      </c>
      <c r="L201">
        <f ca="1"/>
        <v>3.9428127641513129</v>
      </c>
      <c r="M201">
        <f ca="1"/>
        <v>9.0988722534639521E-3</v>
      </c>
      <c r="N201">
        <f ca="1"/>
        <v>0.22292098151811471</v>
      </c>
      <c r="O201">
        <f ca="1"/>
        <v>0</v>
      </c>
      <c r="P201">
        <f ca="1"/>
        <v>287.64736318474831</v>
      </c>
      <c r="Q201">
        <f ca="1"/>
        <v>259.16432722194952</v>
      </c>
      <c r="R201">
        <f ca="1"/>
        <v>0</v>
      </c>
      <c r="S201">
        <f ca="1"/>
        <v>0.8094378443174447</v>
      </c>
      <c r="T201">
        <f ca="1"/>
        <v>0</v>
      </c>
      <c r="U201">
        <f ca="1"/>
        <v>0</v>
      </c>
      <c r="V201">
        <f ca="1"/>
        <v>0.99999978765430764</v>
      </c>
      <c r="X201" s="2">
        <f t="shared" ca="1" si="15"/>
        <v>45237</v>
      </c>
      <c r="Y201">
        <f t="shared" ca="1" si="16"/>
        <v>0</v>
      </c>
      <c r="AA201" s="63">
        <f t="shared" ca="1" si="18"/>
        <v>68.593944358585489</v>
      </c>
      <c r="AB201" s="63">
        <f t="shared" ca="1" si="19"/>
        <v>68.593944358585489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45238</v>
      </c>
      <c r="K202">
        <f ca="1"/>
        <v>61.098899352812765</v>
      </c>
      <c r="L202">
        <f ca="1"/>
        <v>3.7887538759864583</v>
      </c>
      <c r="M202">
        <f ca="1"/>
        <v>9.1453576941473713E-3</v>
      </c>
      <c r="N202">
        <f ca="1"/>
        <v>0.22737627667089438</v>
      </c>
      <c r="O202">
        <f ca="1"/>
        <v>0</v>
      </c>
      <c r="P202">
        <f ca="1"/>
        <v>291.43611706073477</v>
      </c>
      <c r="Q202">
        <f ca="1"/>
        <v>262.57791613306682</v>
      </c>
      <c r="R202">
        <f ca="1"/>
        <v>0</v>
      </c>
      <c r="S202">
        <f ca="1"/>
        <v>0.80786753354190965</v>
      </c>
      <c r="T202">
        <f ca="1"/>
        <v>0</v>
      </c>
      <c r="U202">
        <f ca="1"/>
        <v>0</v>
      </c>
      <c r="V202">
        <f ca="1"/>
        <v>0.9785022276491635</v>
      </c>
      <c r="X202" s="2">
        <f t="shared" ca="1" si="15"/>
        <v>45238</v>
      </c>
      <c r="Y202">
        <f t="shared" ca="1" si="16"/>
        <v>0</v>
      </c>
      <c r="AA202" s="63">
        <f t="shared" ca="1" si="18"/>
        <v>64.887653228799223</v>
      </c>
      <c r="AB202" s="63">
        <f t="shared" ca="1" si="19"/>
        <v>64.887653228799223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45239</v>
      </c>
      <c r="K203">
        <f ca="1"/>
        <v>57.921754339350294</v>
      </c>
      <c r="L203">
        <f ca="1"/>
        <v>3.4063943081260959</v>
      </c>
      <c r="M203">
        <f ca="1"/>
        <v>8.805247424767515E-3</v>
      </c>
      <c r="N203">
        <f ca="1"/>
        <v>0.22044404723885808</v>
      </c>
      <c r="O203">
        <f ca="1"/>
        <v>0</v>
      </c>
      <c r="P203">
        <f ca="1"/>
        <v>294.84251136886087</v>
      </c>
      <c r="Q203">
        <f ca="1"/>
        <v>265.6470069786908</v>
      </c>
      <c r="R203">
        <f ca="1"/>
        <v>0</v>
      </c>
      <c r="S203">
        <f ca="1"/>
        <v>0.80734174672229386</v>
      </c>
      <c r="T203">
        <f ca="1"/>
        <v>0</v>
      </c>
      <c r="U203">
        <f ca="1"/>
        <v>0</v>
      </c>
      <c r="V203">
        <f ca="1"/>
        <v>0.94974209244036034</v>
      </c>
      <c r="X203" s="2">
        <f t="shared" ref="X203:X266" ca="1" si="22">IFERROR(J203,$X$9)</f>
        <v>45239</v>
      </c>
      <c r="Y203">
        <f t="shared" ref="Y203:Y266" ca="1" si="23">IFERROR(O203,0)</f>
        <v>0</v>
      </c>
      <c r="AA203" s="63">
        <f t="shared" ca="1" si="18"/>
        <v>61.328148647476389</v>
      </c>
      <c r="AB203" s="63">
        <f t="shared" ca="1" si="19"/>
        <v>61.328148647476389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45240</v>
      </c>
      <c r="K204">
        <f ca="1"/>
        <v>54.859126037184424</v>
      </c>
      <c r="L204">
        <f ca="1"/>
        <v>3.2928998633175297</v>
      </c>
      <c r="M204">
        <f ca="1"/>
        <v>8.9049423100480141E-3</v>
      </c>
      <c r="N204">
        <f ca="1"/>
        <v>0.2213666188416139</v>
      </c>
      <c r="O204">
        <f ca="1"/>
        <v>0</v>
      </c>
      <c r="P204">
        <f ca="1"/>
        <v>298.1354112321784</v>
      </c>
      <c r="Q204">
        <f ca="1"/>
        <v>268.61384167599965</v>
      </c>
      <c r="R204">
        <f ca="1"/>
        <v>0</v>
      </c>
      <c r="S204">
        <f ca="1"/>
        <v>0.7879672559378893</v>
      </c>
      <c r="T204">
        <f ca="1"/>
        <v>0</v>
      </c>
      <c r="U204">
        <f ca="1"/>
        <v>0</v>
      </c>
      <c r="V204">
        <f ca="1"/>
        <v>0.91990767256527317</v>
      </c>
      <c r="X204" s="2">
        <f t="shared" ca="1" si="22"/>
        <v>45240</v>
      </c>
      <c r="Y204">
        <f t="shared" ca="1" si="23"/>
        <v>0</v>
      </c>
      <c r="AA204" s="63">
        <f t="shared" ca="1" si="18"/>
        <v>58.152025900501954</v>
      </c>
      <c r="AB204" s="63">
        <f t="shared" ca="1" si="19"/>
        <v>58.152025900501954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45241</v>
      </c>
      <c r="K205">
        <f ca="1"/>
        <v>51.990928974844898</v>
      </c>
      <c r="L205">
        <f ca="1"/>
        <v>3.0892098078175536</v>
      </c>
      <c r="M205">
        <f ca="1"/>
        <v>8.8487110092874133E-3</v>
      </c>
      <c r="N205">
        <f ca="1"/>
        <v>0.21216403446874474</v>
      </c>
      <c r="O205">
        <f ca="1"/>
        <v>0</v>
      </c>
      <c r="P205">
        <f ca="1"/>
        <v>301.22462103999595</v>
      </c>
      <c r="Q205">
        <f ca="1"/>
        <v>271.39715584452301</v>
      </c>
      <c r="R205">
        <f ca="1"/>
        <v>0</v>
      </c>
      <c r="S205">
        <f ca="1"/>
        <v>0.74924514271040421</v>
      </c>
      <c r="T205">
        <f ca="1"/>
        <v>0</v>
      </c>
      <c r="U205">
        <f ca="1"/>
        <v>0</v>
      </c>
      <c r="V205">
        <f ca="1"/>
        <v>0.88976631421410468</v>
      </c>
      <c r="X205" s="2">
        <f t="shared" ca="1" si="22"/>
        <v>45241</v>
      </c>
      <c r="Y205">
        <f t="shared" ca="1" si="23"/>
        <v>0</v>
      </c>
      <c r="AA205" s="63">
        <f ca="1">K204+M205+N205+O205</f>
        <v>55.080138782662452</v>
      </c>
      <c r="AB205" s="63">
        <f ca="1">K205+L205+R205</f>
        <v>55.080138782662452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45242</v>
      </c>
      <c r="K206">
        <f ca="1"/>
        <v>49.358585315707693</v>
      </c>
      <c r="L206">
        <f ca="1"/>
        <v>2.8540481867279368</v>
      </c>
      <c r="M206">
        <f ca="1"/>
        <v>8.7131565398550492E-3</v>
      </c>
      <c r="N206">
        <f ca="1"/>
        <v>0.21299137105087404</v>
      </c>
      <c r="O206">
        <f ca="1"/>
        <v>0</v>
      </c>
      <c r="P206">
        <f ca="1"/>
        <v>304.07866922672389</v>
      </c>
      <c r="Q206">
        <f ca="1"/>
        <v>273.96859425432797</v>
      </c>
      <c r="R206">
        <f ca="1"/>
        <v>0</v>
      </c>
      <c r="S206">
        <f ca="1"/>
        <v>0.75410177229226216</v>
      </c>
      <c r="T206">
        <f ca="1"/>
        <v>0</v>
      </c>
      <c r="U206">
        <f ca="1"/>
        <v>0</v>
      </c>
      <c r="V206">
        <f ca="1"/>
        <v>0.85971703740576089</v>
      </c>
      <c r="X206" s="2">
        <f t="shared" ca="1" si="22"/>
        <v>45242</v>
      </c>
      <c r="Y206">
        <f t="shared" ca="1" si="23"/>
        <v>0</v>
      </c>
      <c r="AA206" s="63">
        <f ca="1">K205+M206+N206+O206</f>
        <v>52.212633502435629</v>
      </c>
      <c r="AB206" s="63">
        <f ca="1">K206+L206+R206</f>
        <v>52.212633502435629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45243</v>
      </c>
      <c r="K207">
        <f ca="1"/>
        <v>46.99126906457888</v>
      </c>
      <c r="L207">
        <f ca="1"/>
        <v>2.581181306479607</v>
      </c>
      <c r="M207">
        <f ca="1"/>
        <v>8.4620826228816171E-3</v>
      </c>
      <c r="N207">
        <f ca="1"/>
        <v>0.20540297272790989</v>
      </c>
      <c r="O207">
        <f ca="1"/>
        <v>0</v>
      </c>
      <c r="P207">
        <f ca="1"/>
        <v>306.6598505332035</v>
      </c>
      <c r="Q207">
        <f ca="1"/>
        <v>276.29418524645536</v>
      </c>
      <c r="R207">
        <f ca="1"/>
        <v>0</v>
      </c>
      <c r="S207">
        <f ca="1"/>
        <v>0.74118863644008892</v>
      </c>
      <c r="T207">
        <f ca="1"/>
        <v>0</v>
      </c>
      <c r="U207">
        <f ca="1"/>
        <v>0</v>
      </c>
      <c r="V207">
        <f ca="1"/>
        <v>0.83037371909240365</v>
      </c>
      <c r="X207" s="2">
        <f t="shared" ca="1" si="22"/>
        <v>45243</v>
      </c>
      <c r="Y207">
        <f t="shared" ca="1" si="23"/>
        <v>0</v>
      </c>
      <c r="AA207" s="63">
        <f ca="1">K206+M207+N207+O207</f>
        <v>49.572450371058487</v>
      </c>
      <c r="AB207" s="63">
        <f ca="1">K207+L207+R207</f>
        <v>49.572450371058487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45244</v>
      </c>
      <c r="K208">
        <f ca="1"/>
        <v>44.824342893926946</v>
      </c>
      <c r="L208">
        <f ca="1"/>
        <v>2.3772882817131062</v>
      </c>
      <c r="M208">
        <f ca="1"/>
        <v>8.3220388374218857E-3</v>
      </c>
      <c r="N208">
        <f ca="1"/>
        <v>0.20204007222375087</v>
      </c>
      <c r="O208">
        <f ca="1"/>
        <v>0</v>
      </c>
      <c r="P208">
        <f ca="1"/>
        <v>309.0371388149166</v>
      </c>
      <c r="Q208">
        <f ca="1"/>
        <v>278.43607283868437</v>
      </c>
      <c r="R208">
        <f ca="1"/>
        <v>0</v>
      </c>
      <c r="S208">
        <f ca="1"/>
        <v>0.73187063940618102</v>
      </c>
      <c r="T208">
        <f ca="1"/>
        <v>0</v>
      </c>
      <c r="U208">
        <f ca="1"/>
        <v>0</v>
      </c>
      <c r="V208">
        <f ca="1"/>
        <v>0.80118387001708702</v>
      </c>
      <c r="X208" s="2">
        <f t="shared" ca="1" si="22"/>
        <v>45244</v>
      </c>
      <c r="Y208">
        <f t="shared" ca="1" si="23"/>
        <v>0</v>
      </c>
      <c r="AA208" s="63">
        <f t="shared" ref="AA208:AA271" ca="1" si="25">K207+M208+N208+O208</f>
        <v>47.201631175640053</v>
      </c>
      <c r="AB208" s="63">
        <f t="shared" ref="AB208:AB271" ca="1" si="26">K208+L208+R208</f>
        <v>47.201631175640053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45245</v>
      </c>
      <c r="K209">
        <f ca="1"/>
        <v>42.75607989799159</v>
      </c>
      <c r="L209">
        <f ca="1"/>
        <v>2.2762061047793054</v>
      </c>
      <c r="M209">
        <f ca="1"/>
        <v>8.4127836819378743E-3</v>
      </c>
      <c r="N209">
        <f ca="1"/>
        <v>0.19953032516201058</v>
      </c>
      <c r="O209">
        <f ca="1"/>
        <v>0</v>
      </c>
      <c r="P209">
        <f ca="1"/>
        <v>311.31334491969591</v>
      </c>
      <c r="Q209">
        <f ca="1"/>
        <v>280.48688747933431</v>
      </c>
      <c r="R209">
        <f ca="1"/>
        <v>0</v>
      </c>
      <c r="S209">
        <f ca="1"/>
        <v>0.70030056466688484</v>
      </c>
      <c r="T209">
        <f ca="1"/>
        <v>0</v>
      </c>
      <c r="U209">
        <f ca="1"/>
        <v>0</v>
      </c>
      <c r="V209">
        <f ca="1"/>
        <v>0.77091973627548616</v>
      </c>
      <c r="X209" s="2">
        <f t="shared" ca="1" si="22"/>
        <v>45245</v>
      </c>
      <c r="Y209">
        <f t="shared" ca="1" si="23"/>
        <v>0</v>
      </c>
      <c r="AA209" s="63">
        <f t="shared" ca="1" si="25"/>
        <v>45.032286002770896</v>
      </c>
      <c r="AB209" s="63">
        <f t="shared" ca="1" si="26"/>
        <v>45.032286002770896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45246</v>
      </c>
      <c r="K210">
        <f ca="1"/>
        <v>40.811430311339983</v>
      </c>
      <c r="L210">
        <f ca="1"/>
        <v>2.1634772171479995</v>
      </c>
      <c r="M210">
        <f ca="1"/>
        <v>8.4895581996118352E-3</v>
      </c>
      <c r="N210">
        <f ca="1"/>
        <v>0.21033807229677826</v>
      </c>
      <c r="O210">
        <f ca="1"/>
        <v>0</v>
      </c>
      <c r="P210">
        <f ca="1"/>
        <v>313.47682213684391</v>
      </c>
      <c r="Q210">
        <f ca="1"/>
        <v>282.4361357228583</v>
      </c>
      <c r="R210">
        <f ca="1"/>
        <v>0</v>
      </c>
      <c r="S210">
        <f ca="1"/>
        <v>0.71948307302986503</v>
      </c>
      <c r="T210">
        <f ca="1"/>
        <v>0</v>
      </c>
      <c r="U210">
        <f ca="1"/>
        <v>0</v>
      </c>
      <c r="V210">
        <f ca="1"/>
        <v>0.73964270556281753</v>
      </c>
      <c r="X210" s="2">
        <f t="shared" ca="1" si="22"/>
        <v>45246</v>
      </c>
      <c r="Y210">
        <f t="shared" ca="1" si="23"/>
        <v>0</v>
      </c>
      <c r="AA210" s="63">
        <f t="shared" ca="1" si="25"/>
        <v>42.974907528487982</v>
      </c>
      <c r="AB210" s="63">
        <f t="shared" ca="1" si="26"/>
        <v>42.974907528487982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45247</v>
      </c>
      <c r="K211">
        <f ca="1"/>
        <v>39.102622921905997</v>
      </c>
      <c r="L211">
        <f ca="1"/>
        <v>1.9134981357595393</v>
      </c>
      <c r="M211">
        <f ca="1"/>
        <v>8.1553782896950366E-3</v>
      </c>
      <c r="N211">
        <f ca="1"/>
        <v>0.19653536803586197</v>
      </c>
      <c r="O211">
        <f ca="1"/>
        <v>0</v>
      </c>
      <c r="P211">
        <f ca="1"/>
        <v>315.39032027260345</v>
      </c>
      <c r="Q211">
        <f ca="1"/>
        <v>284.16015798228034</v>
      </c>
      <c r="R211">
        <f ca="1"/>
        <v>0</v>
      </c>
      <c r="S211">
        <f ca="1"/>
        <v>0.69204786441982913</v>
      </c>
      <c r="T211">
        <f ca="1"/>
        <v>0</v>
      </c>
      <c r="U211">
        <f ca="1"/>
        <v>0</v>
      </c>
      <c r="V211">
        <f ca="1"/>
        <v>0.70953204105925749</v>
      </c>
      <c r="X211" s="2">
        <f t="shared" ca="1" si="22"/>
        <v>45247</v>
      </c>
      <c r="Y211">
        <f t="shared" ca="1" si="23"/>
        <v>0</v>
      </c>
      <c r="AA211" s="63">
        <f t="shared" ca="1" si="25"/>
        <v>41.016121057665536</v>
      </c>
      <c r="AB211" s="63">
        <f t="shared" ca="1" si="26"/>
        <v>41.016121057665536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45248</v>
      </c>
      <c r="K212">
        <f ca="1"/>
        <v>37.599251982561832</v>
      </c>
      <c r="L212">
        <f ca="1"/>
        <v>1.695216798797162</v>
      </c>
      <c r="M212">
        <f ca="1"/>
        <v>7.8421745353765004E-3</v>
      </c>
      <c r="N212">
        <f ca="1"/>
        <v>0.18400368491761901</v>
      </c>
      <c r="O212">
        <f ca="1"/>
        <v>0</v>
      </c>
      <c r="P212">
        <f ca="1"/>
        <v>317.08553707140061</v>
      </c>
      <c r="Q212">
        <f ca="1"/>
        <v>285.68751326998881</v>
      </c>
      <c r="R212">
        <f ca="1"/>
        <v>0</v>
      </c>
      <c r="S212">
        <f ca="1"/>
        <v>0.66585352089149386</v>
      </c>
      <c r="T212">
        <f ca="1"/>
        <v>0</v>
      </c>
      <c r="U212">
        <f ca="1"/>
        <v>0</v>
      </c>
      <c r="V212">
        <f ca="1"/>
        <v>0.68055704891719737</v>
      </c>
      <c r="X212" s="2">
        <f t="shared" ca="1" si="22"/>
        <v>45248</v>
      </c>
      <c r="Y212">
        <f t="shared" ca="1" si="23"/>
        <v>0</v>
      </c>
      <c r="AA212" s="63">
        <f t="shared" ca="1" si="25"/>
        <v>39.294468781358994</v>
      </c>
      <c r="AB212" s="63">
        <f t="shared" ca="1" si="26"/>
        <v>39.294468781358994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45249</v>
      </c>
      <c r="K213">
        <f ca="1"/>
        <v>36.224609900602701</v>
      </c>
      <c r="L213">
        <f ca="1"/>
        <v>1.556976020061029</v>
      </c>
      <c r="M213">
        <f ca="1"/>
        <v>7.7219134681740798E-3</v>
      </c>
      <c r="N213">
        <f ca="1"/>
        <v>0.17461202463372233</v>
      </c>
      <c r="O213">
        <f ca="1"/>
        <v>0</v>
      </c>
      <c r="P213">
        <f ca="1"/>
        <v>318.64251309146164</v>
      </c>
      <c r="Q213">
        <f ca="1"/>
        <v>287.09031647413519</v>
      </c>
      <c r="R213">
        <f ca="1"/>
        <v>0</v>
      </c>
      <c r="S213">
        <f ca="1"/>
        <v>0.62845960784212396</v>
      </c>
      <c r="T213">
        <f ca="1"/>
        <v>0</v>
      </c>
      <c r="U213">
        <f ca="1"/>
        <v>0</v>
      </c>
      <c r="V213">
        <f ca="1"/>
        <v>0.65167413831796184</v>
      </c>
      <c r="X213" s="2">
        <f t="shared" ca="1" si="22"/>
        <v>45249</v>
      </c>
      <c r="Y213">
        <f t="shared" ca="1" si="23"/>
        <v>0</v>
      </c>
      <c r="AA213" s="63">
        <f t="shared" ca="1" si="25"/>
        <v>37.78158592066373</v>
      </c>
      <c r="AB213" s="63">
        <f t="shared" ca="1" si="26"/>
        <v>37.78158592066373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45250</v>
      </c>
      <c r="K214">
        <f ca="1"/>
        <v>34.914517892149661</v>
      </c>
      <c r="L214">
        <f ca="1"/>
        <v>1.4947769253753904</v>
      </c>
      <c r="M214">
        <f ca="1"/>
        <v>7.8426008714949091E-3</v>
      </c>
      <c r="N214">
        <f ca="1"/>
        <v>0.17684231605085637</v>
      </c>
      <c r="O214">
        <f ca="1"/>
        <v>0</v>
      </c>
      <c r="P214">
        <f ca="1"/>
        <v>320.13729001683703</v>
      </c>
      <c r="Q214">
        <f ca="1"/>
        <v>288.4370795799141</v>
      </c>
      <c r="R214">
        <f ca="1"/>
        <v>0</v>
      </c>
      <c r="S214">
        <f ca="1"/>
        <v>0.6115587434715376</v>
      </c>
      <c r="T214">
        <f ca="1"/>
        <v>0</v>
      </c>
      <c r="U214">
        <f ca="1"/>
        <v>0</v>
      </c>
      <c r="V214">
        <f ca="1"/>
        <v>0.62150208611918534</v>
      </c>
      <c r="X214" s="2">
        <f t="shared" ca="1" si="22"/>
        <v>45250</v>
      </c>
      <c r="Y214">
        <f t="shared" ca="1" si="23"/>
        <v>0</v>
      </c>
      <c r="AA214" s="63">
        <f t="shared" ca="1" si="25"/>
        <v>36.409294817525058</v>
      </c>
      <c r="AB214" s="63">
        <f t="shared" ca="1" si="26"/>
        <v>36.409294817525051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45251</v>
      </c>
      <c r="K215">
        <f ca="1"/>
        <v>33.720087192956377</v>
      </c>
      <c r="L215">
        <f ca="1"/>
        <v>1.3793572839861099</v>
      </c>
      <c r="M215">
        <f ca="1"/>
        <v>7.7720999700314763E-3</v>
      </c>
      <c r="N215">
        <f ca="1"/>
        <v>0.17715448482279425</v>
      </c>
      <c r="O215">
        <f ca="1"/>
        <v>0</v>
      </c>
      <c r="P215">
        <f ca="1"/>
        <v>321.51664730082314</v>
      </c>
      <c r="Q215">
        <f ca="1"/>
        <v>289.67985197506158</v>
      </c>
      <c r="R215">
        <f ca="1"/>
        <v>0</v>
      </c>
      <c r="S215">
        <f ca="1"/>
        <v>0.6085137113301663</v>
      </c>
      <c r="T215">
        <f ca="1"/>
        <v>0</v>
      </c>
      <c r="U215">
        <f ca="1"/>
        <v>0</v>
      </c>
      <c r="V215">
        <f ca="1"/>
        <v>0.59111517698715221</v>
      </c>
      <c r="X215" s="2">
        <f t="shared" ca="1" si="22"/>
        <v>45251</v>
      </c>
      <c r="Y215">
        <f t="shared" ca="1" si="23"/>
        <v>0</v>
      </c>
      <c r="AA215" s="63">
        <f t="shared" ca="1" si="25"/>
        <v>35.099444476942487</v>
      </c>
      <c r="AB215" s="63">
        <f t="shared" ca="1" si="26"/>
        <v>35.099444476942487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45252</v>
      </c>
      <c r="K216">
        <f ca="1"/>
        <v>32.62325495510828</v>
      </c>
      <c r="L216">
        <f ca="1"/>
        <v>1.2904629643796852</v>
      </c>
      <c r="M216">
        <f ca="1"/>
        <v>7.7866365328018716E-3</v>
      </c>
      <c r="N216">
        <f ca="1"/>
        <v>0.18584408999878799</v>
      </c>
      <c r="O216">
        <f ca="1"/>
        <v>0</v>
      </c>
      <c r="P216">
        <f ca="1"/>
        <v>322.80711026520282</v>
      </c>
      <c r="Q216">
        <f ca="1"/>
        <v>290.84253242610225</v>
      </c>
      <c r="R216">
        <f ca="1"/>
        <v>0</v>
      </c>
      <c r="S216">
        <f ca="1"/>
        <v>0.63012428138980503</v>
      </c>
      <c r="T216">
        <f ca="1"/>
        <v>0</v>
      </c>
      <c r="U216">
        <f ca="1"/>
        <v>0</v>
      </c>
      <c r="V216">
        <f ca="1"/>
        <v>0.56002230936013242</v>
      </c>
      <c r="X216" s="2">
        <f t="shared" ca="1" si="22"/>
        <v>45252</v>
      </c>
      <c r="Y216">
        <f t="shared" ca="1" si="23"/>
        <v>0</v>
      </c>
      <c r="AA216" s="63">
        <f t="shared" ca="1" si="25"/>
        <v>33.913717919487965</v>
      </c>
      <c r="AB216" s="63">
        <f t="shared" ca="1" si="26"/>
        <v>33.913717919487965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45253</v>
      </c>
      <c r="K217">
        <f ca="1"/>
        <v>31.616061321097561</v>
      </c>
      <c r="L217">
        <f ca="1"/>
        <v>1.2032688895837964</v>
      </c>
      <c r="M217">
        <f ca="1"/>
        <v>7.7990750211487381E-3</v>
      </c>
      <c r="N217">
        <f ca="1"/>
        <v>0.18827618055193326</v>
      </c>
      <c r="O217">
        <f ca="1"/>
        <v>0</v>
      </c>
      <c r="P217">
        <f ca="1"/>
        <v>324.01037915478662</v>
      </c>
      <c r="Q217">
        <f ca="1"/>
        <v>291.92665281845848</v>
      </c>
      <c r="R217">
        <f ca="1"/>
        <v>0</v>
      </c>
      <c r="S217">
        <f ca="1"/>
        <v>0.62569771455549694</v>
      </c>
      <c r="T217">
        <f ca="1"/>
        <v>0</v>
      </c>
      <c r="U217">
        <f ca="1"/>
        <v>0</v>
      </c>
      <c r="V217">
        <f ca="1"/>
        <v>0.52822348323812585</v>
      </c>
      <c r="X217" s="2">
        <f t="shared" ca="1" si="22"/>
        <v>45253</v>
      </c>
      <c r="Y217">
        <f t="shared" ca="1" si="23"/>
        <v>0</v>
      </c>
      <c r="AA217" s="63">
        <f t="shared" ca="1" si="25"/>
        <v>32.819330210681358</v>
      </c>
      <c r="AB217" s="63">
        <f t="shared" ca="1" si="26"/>
        <v>32.819330210681358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45254</v>
      </c>
      <c r="K218">
        <f ca="1"/>
        <v>30.726712886052702</v>
      </c>
      <c r="L218">
        <f ca="1"/>
        <v>1.079985052827567</v>
      </c>
      <c r="M218">
        <f ca="1"/>
        <v>7.6078165731265912E-3</v>
      </c>
      <c r="N218">
        <f ca="1"/>
        <v>0.1830288012095809</v>
      </c>
      <c r="O218">
        <f ca="1"/>
        <v>0</v>
      </c>
      <c r="P218">
        <f ca="1"/>
        <v>325.09036420761419</v>
      </c>
      <c r="Q218">
        <f ca="1"/>
        <v>292.89969702274709</v>
      </c>
      <c r="R218">
        <f ca="1"/>
        <v>0</v>
      </c>
      <c r="S218">
        <f ca="1"/>
        <v>0.61374331898846346</v>
      </c>
      <c r="T218">
        <f ca="1"/>
        <v>0</v>
      </c>
      <c r="U218">
        <f ca="1"/>
        <v>0</v>
      </c>
      <c r="V218">
        <f ca="1"/>
        <v>0.49688506483024097</v>
      </c>
      <c r="X218" s="2">
        <f t="shared" ca="1" si="22"/>
        <v>45254</v>
      </c>
      <c r="Y218">
        <f t="shared" ca="1" si="23"/>
        <v>0</v>
      </c>
      <c r="AA218" s="63">
        <f t="shared" ca="1" si="25"/>
        <v>31.806697938880269</v>
      </c>
      <c r="AB218" s="63">
        <f t="shared" ca="1" si="26"/>
        <v>31.806697938880269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45255</v>
      </c>
      <c r="K219">
        <f ca="1"/>
        <v>29.884185907618328</v>
      </c>
      <c r="L219">
        <f ca="1"/>
        <v>1.0404268872246689</v>
      </c>
      <c r="M219">
        <f ca="1"/>
        <v>7.825868854960838E-3</v>
      </c>
      <c r="N219">
        <f ca="1"/>
        <v>0.19007403993533067</v>
      </c>
      <c r="O219">
        <f ca="1"/>
        <v>0</v>
      </c>
      <c r="P219">
        <f ca="1"/>
        <v>326.13079109483886</v>
      </c>
      <c r="Q219">
        <f ca="1"/>
        <v>293.83710013767848</v>
      </c>
      <c r="R219">
        <f ca="1"/>
        <v>0</v>
      </c>
      <c r="S219">
        <f ca="1"/>
        <v>0.60419068907361895</v>
      </c>
      <c r="T219">
        <f ca="1"/>
        <v>0</v>
      </c>
      <c r="U219">
        <f ca="1"/>
        <v>0</v>
      </c>
      <c r="V219">
        <f ca="1"/>
        <v>0.46364362787065305</v>
      </c>
      <c r="X219" s="2">
        <f t="shared" ca="1" si="22"/>
        <v>45255</v>
      </c>
      <c r="Y219">
        <f t="shared" ca="1" si="23"/>
        <v>0</v>
      </c>
      <c r="AA219" s="63">
        <f t="shared" ca="1" si="25"/>
        <v>30.924612794842993</v>
      </c>
      <c r="AB219" s="63">
        <f t="shared" ca="1" si="26"/>
        <v>30.924612794842997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45256</v>
      </c>
      <c r="K220">
        <f ca="1"/>
        <v>29.132360134947159</v>
      </c>
      <c r="L220">
        <f ca="1"/>
        <v>0.94574171523845507</v>
      </c>
      <c r="M220">
        <f ca="1"/>
        <v>7.7353059455234074E-3</v>
      </c>
      <c r="N220">
        <f ca="1"/>
        <v>0.18618063662176293</v>
      </c>
      <c r="O220">
        <f ca="1"/>
        <v>0</v>
      </c>
      <c r="P220">
        <f ca="1"/>
        <v>327.07653281007731</v>
      </c>
      <c r="Q220">
        <f ca="1"/>
        <v>294.68919387023283</v>
      </c>
      <c r="R220">
        <f ca="1"/>
        <v>0</v>
      </c>
      <c r="S220">
        <f ca="1"/>
        <v>0.5856509489145777</v>
      </c>
      <c r="T220">
        <f ca="1"/>
        <v>0</v>
      </c>
      <c r="U220">
        <f ca="1"/>
        <v>0</v>
      </c>
      <c r="V220">
        <f ca="1"/>
        <v>0.43024872167302464</v>
      </c>
      <c r="X220" s="2">
        <f t="shared" ca="1" si="22"/>
        <v>45256</v>
      </c>
      <c r="Y220">
        <f t="shared" ca="1" si="23"/>
        <v>0</v>
      </c>
      <c r="AA220" s="63">
        <f t="shared" ca="1" si="25"/>
        <v>30.078101850185615</v>
      </c>
      <c r="AB220" s="63">
        <f t="shared" ca="1" si="26"/>
        <v>30.078101850185615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45257</v>
      </c>
      <c r="K221">
        <f ca="1"/>
        <v>28.494879781958737</v>
      </c>
      <c r="L221">
        <f ca="1"/>
        <v>0.82808181133322023</v>
      </c>
      <c r="M221">
        <f ca="1"/>
        <v>7.4324207027816058E-3</v>
      </c>
      <c r="N221">
        <f ca="1"/>
        <v>0.18316903764201597</v>
      </c>
      <c r="O221">
        <f ca="1"/>
        <v>0</v>
      </c>
      <c r="P221">
        <f ca="1"/>
        <v>327.90461462141053</v>
      </c>
      <c r="Q221">
        <f ca="1"/>
        <v>295.43527846194553</v>
      </c>
      <c r="R221">
        <f ca="1"/>
        <v>0</v>
      </c>
      <c r="S221">
        <f ca="1"/>
        <v>0.59528964413180485</v>
      </c>
      <c r="T221">
        <f ca="1"/>
        <v>0</v>
      </c>
      <c r="U221">
        <f ca="1"/>
        <v>0</v>
      </c>
      <c r="V221">
        <f ca="1"/>
        <v>0.39795879398928835</v>
      </c>
      <c r="X221" s="2">
        <f t="shared" ca="1" si="22"/>
        <v>45257</v>
      </c>
      <c r="Y221">
        <f t="shared" ca="1" si="23"/>
        <v>0</v>
      </c>
      <c r="AA221" s="63">
        <f t="shared" ca="1" si="25"/>
        <v>29.322961593291957</v>
      </c>
      <c r="AB221" s="63">
        <f t="shared" ca="1" si="26"/>
        <v>29.322961593291957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45258</v>
      </c>
      <c r="K222">
        <f ca="1"/>
        <v>27.948007283559459</v>
      </c>
      <c r="L222">
        <f ca="1"/>
        <v>0.74532342520211614</v>
      </c>
      <c r="M222">
        <f ca="1"/>
        <v>7.2827060540596733E-3</v>
      </c>
      <c r="N222">
        <f ca="1"/>
        <v>0.19116822074877815</v>
      </c>
      <c r="O222">
        <f ca="1"/>
        <v>0</v>
      </c>
      <c r="P222">
        <f ca="1"/>
        <v>328.64993804661265</v>
      </c>
      <c r="Q222">
        <f ca="1"/>
        <v>296.10679945875438</v>
      </c>
      <c r="R222">
        <f ca="1"/>
        <v>0</v>
      </c>
      <c r="S222">
        <f ca="1"/>
        <v>0.63221867740776128</v>
      </c>
      <c r="T222">
        <f ca="1"/>
        <v>0</v>
      </c>
      <c r="U222">
        <f ca="1"/>
        <v>0</v>
      </c>
      <c r="V222">
        <f ca="1"/>
        <v>0.36591441708641681</v>
      </c>
      <c r="X222" s="2">
        <f t="shared" ca="1" si="22"/>
        <v>45258</v>
      </c>
      <c r="Y222">
        <f t="shared" ca="1" si="23"/>
        <v>0</v>
      </c>
      <c r="AA222" s="63">
        <f t="shared" ca="1" si="25"/>
        <v>28.693330708761575</v>
      </c>
      <c r="AB222" s="63">
        <f t="shared" ca="1" si="26"/>
        <v>28.693330708761575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45259</v>
      </c>
      <c r="K223">
        <f ca="1"/>
        <v>27.463711681370285</v>
      </c>
      <c r="L223">
        <f ca="1"/>
        <v>0.68269980747908221</v>
      </c>
      <c r="M223">
        <f ca="1"/>
        <v>7.2302048261772001E-3</v>
      </c>
      <c r="N223">
        <f ca="1"/>
        <v>0.19117400046372743</v>
      </c>
      <c r="O223">
        <f ca="1"/>
        <v>0</v>
      </c>
      <c r="P223">
        <f ca="1"/>
        <v>329.33263785409173</v>
      </c>
      <c r="Q223">
        <f ca="1"/>
        <v>296.72189787071596</v>
      </c>
      <c r="R223">
        <f ca="1"/>
        <v>0</v>
      </c>
      <c r="S223">
        <f ca="1"/>
        <v>0.62551861574283363</v>
      </c>
      <c r="T223">
        <f ca="1"/>
        <v>0</v>
      </c>
      <c r="U223">
        <f ca="1"/>
        <v>0</v>
      </c>
      <c r="V223">
        <f ca="1"/>
        <v>0.33353240785985638</v>
      </c>
      <c r="X223" s="2">
        <f t="shared" ca="1" si="22"/>
        <v>45259</v>
      </c>
      <c r="Y223">
        <f t="shared" ca="1" si="23"/>
        <v>0</v>
      </c>
      <c r="AA223" s="63">
        <f t="shared" ca="1" si="25"/>
        <v>28.146411488849363</v>
      </c>
      <c r="AB223" s="63">
        <f t="shared" ca="1" si="26"/>
        <v>28.146411488849367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45260</v>
      </c>
      <c r="K224">
        <f ca="1"/>
        <v>27.032129050359313</v>
      </c>
      <c r="L224">
        <f ca="1"/>
        <v>0.63382049357801407</v>
      </c>
      <c r="M224">
        <f ca="1"/>
        <v>7.26140147345955E-3</v>
      </c>
      <c r="N224">
        <f ca="1"/>
        <v>0.1949764610935823</v>
      </c>
      <c r="O224">
        <f ca="1"/>
        <v>0</v>
      </c>
      <c r="P224">
        <f ca="1"/>
        <v>329.96645834766974</v>
      </c>
      <c r="Q224">
        <f ca="1"/>
        <v>297.2929570314152</v>
      </c>
      <c r="R224">
        <f ca="1"/>
        <v>0</v>
      </c>
      <c r="S224">
        <f ca="1"/>
        <v>0.62327566950109736</v>
      </c>
      <c r="T224">
        <f ca="1"/>
        <v>0</v>
      </c>
      <c r="U224">
        <f ca="1"/>
        <v>0</v>
      </c>
      <c r="V224">
        <f ca="1"/>
        <v>0.30029097090026835</v>
      </c>
      <c r="X224" s="2">
        <f t="shared" ca="1" si="22"/>
        <v>45260</v>
      </c>
      <c r="Y224">
        <f t="shared" ca="1" si="23"/>
        <v>0</v>
      </c>
      <c r="AA224" s="63">
        <f t="shared" ca="1" si="25"/>
        <v>27.665949543937327</v>
      </c>
      <c r="AB224" s="63">
        <f t="shared" ca="1" si="26"/>
        <v>27.665949543937327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45261</v>
      </c>
      <c r="K225">
        <f ca="1"/>
        <v>26.647258267609356</v>
      </c>
      <c r="L225">
        <f ca="1"/>
        <v>0.58476295787608024</v>
      </c>
      <c r="M225">
        <f ca="1"/>
        <v>7.2752529100599261E-3</v>
      </c>
      <c r="N225">
        <f ca="1"/>
        <v>0.1926169222160653</v>
      </c>
      <c r="O225">
        <f ca="1"/>
        <v>0</v>
      </c>
      <c r="P225">
        <f ca="1"/>
        <v>330.55122130554582</v>
      </c>
      <c r="Q225">
        <f ca="1"/>
        <v>297.81981636669411</v>
      </c>
      <c r="R225">
        <f ca="1"/>
        <v>0</v>
      </c>
      <c r="S225">
        <f ca="1"/>
        <v>0.59909770854191036</v>
      </c>
      <c r="T225">
        <f ca="1"/>
        <v>0</v>
      </c>
      <c r="U225">
        <f ca="1"/>
        <v>0</v>
      </c>
      <c r="V225">
        <f ca="1"/>
        <v>0.26628218775047752</v>
      </c>
      <c r="X225" s="2">
        <f t="shared" ca="1" si="22"/>
        <v>45261</v>
      </c>
      <c r="Y225">
        <f t="shared" ca="1" si="23"/>
        <v>0</v>
      </c>
      <c r="AA225" s="63">
        <f t="shared" ca="1" si="25"/>
        <v>27.232021225485436</v>
      </c>
      <c r="AB225" s="63">
        <f t="shared" ca="1" si="26"/>
        <v>27.232021225485436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45262</v>
      </c>
      <c r="K226">
        <f ca="1"/>
        <v>26.324124845086523</v>
      </c>
      <c r="L226">
        <f ca="1"/>
        <v>0.54493940532853458</v>
      </c>
      <c r="M226">
        <f ca="1"/>
        <v>7.3674818791058527E-3</v>
      </c>
      <c r="N226">
        <f ca="1"/>
        <v>0.21443850092659533</v>
      </c>
      <c r="O226">
        <f ca="1"/>
        <v>0</v>
      </c>
      <c r="P226">
        <f ca="1"/>
        <v>331.09616071087436</v>
      </c>
      <c r="Q226">
        <f ca="1"/>
        <v>298.31079550446566</v>
      </c>
      <c r="R226">
        <f ca="1"/>
        <v>0</v>
      </c>
      <c r="S226">
        <f ca="1"/>
        <v>0.65511869876351791</v>
      </c>
      <c r="T226">
        <f ca="1"/>
        <v>0</v>
      </c>
      <c r="U226">
        <f ca="1"/>
        <v>0</v>
      </c>
      <c r="V226">
        <f ca="1"/>
        <v>0.23101495684875417</v>
      </c>
      <c r="X226" s="2">
        <f t="shared" ca="1" si="22"/>
        <v>45262</v>
      </c>
      <c r="Y226">
        <f t="shared" ca="1" si="23"/>
        <v>0</v>
      </c>
      <c r="AA226" s="63">
        <f t="shared" ca="1" si="25"/>
        <v>26.869064250415054</v>
      </c>
      <c r="AB226" s="63">
        <f t="shared" ca="1" si="26"/>
        <v>26.869064250415057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45263</v>
      </c>
      <c r="K227">
        <f ca="1"/>
        <v>26.044127690710965</v>
      </c>
      <c r="L227">
        <f ca="1"/>
        <v>0.50021638687860559</v>
      </c>
      <c r="M227">
        <f ca="1"/>
        <v>7.3959014938420609E-3</v>
      </c>
      <c r="N227">
        <f ca="1"/>
        <v>0.21282333100920497</v>
      </c>
      <c r="O227">
        <f ca="1"/>
        <v>0</v>
      </c>
      <c r="P227">
        <f ca="1"/>
        <v>331.59637709775296</v>
      </c>
      <c r="Q227">
        <f ca="1"/>
        <v>298.76148012724644</v>
      </c>
      <c r="R227">
        <f ca="1"/>
        <v>0</v>
      </c>
      <c r="S227">
        <f ca="1"/>
        <v>0.63235604879469898</v>
      </c>
      <c r="T227">
        <f ca="1"/>
        <v>0</v>
      </c>
      <c r="U227">
        <f ca="1"/>
        <v>0</v>
      </c>
      <c r="V227">
        <f ca="1"/>
        <v>0.19485760436639554</v>
      </c>
      <c r="X227" s="2">
        <f t="shared" ca="1" si="22"/>
        <v>45263</v>
      </c>
      <c r="Y227">
        <f t="shared" ca="1" si="23"/>
        <v>0</v>
      </c>
      <c r="AA227" s="63">
        <f t="shared" ca="1" si="25"/>
        <v>26.544344077589571</v>
      </c>
      <c r="AB227" s="63">
        <f t="shared" ca="1" si="26"/>
        <v>26.544344077589571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45264</v>
      </c>
      <c r="K228">
        <f ca="1"/>
        <v>25.838203540374515</v>
      </c>
      <c r="L228">
        <f ca="1"/>
        <v>0.44887202010528426</v>
      </c>
      <c r="M228">
        <f ca="1"/>
        <v>7.3002355735809488E-3</v>
      </c>
      <c r="N228">
        <f ca="1"/>
        <v>0.235647634195252</v>
      </c>
      <c r="O228">
        <f ca="1"/>
        <v>0</v>
      </c>
      <c r="P228">
        <f ca="1"/>
        <v>332.04524911785825</v>
      </c>
      <c r="Q228">
        <f ca="1"/>
        <v>299.16590453709102</v>
      </c>
      <c r="R228">
        <f ca="1"/>
        <v>0</v>
      </c>
      <c r="S228">
        <f ca="1"/>
        <v>0.70595936803770432</v>
      </c>
      <c r="T228">
        <f ca="1"/>
        <v>0</v>
      </c>
      <c r="U228">
        <f ca="1"/>
        <v>0</v>
      </c>
      <c r="V228">
        <f ca="1"/>
        <v>0.15854678264599609</v>
      </c>
      <c r="X228" s="2">
        <f t="shared" ca="1" si="22"/>
        <v>45264</v>
      </c>
      <c r="Y228">
        <f t="shared" ca="1" si="23"/>
        <v>0</v>
      </c>
      <c r="AA228" s="63">
        <f t="shared" ca="1" si="25"/>
        <v>26.287075560479799</v>
      </c>
      <c r="AB228" s="63">
        <f t="shared" ca="1" si="26"/>
        <v>26.287075560479799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45265</v>
      </c>
      <c r="K229">
        <f ca="1"/>
        <v>25.696133853714429</v>
      </c>
      <c r="L229">
        <f ca="1"/>
        <v>0.39510846904732944</v>
      </c>
      <c r="M229">
        <f ca="1"/>
        <v>7.092074791044567E-3</v>
      </c>
      <c r="N229">
        <f ca="1"/>
        <v>0.24594670759619622</v>
      </c>
      <c r="O229">
        <f ca="1"/>
        <v>0</v>
      </c>
      <c r="P229">
        <f ca="1"/>
        <v>332.44035758690558</v>
      </c>
      <c r="Q229">
        <f ca="1"/>
        <v>299.52188909897484</v>
      </c>
      <c r="R229">
        <f ca="1"/>
        <v>0</v>
      </c>
      <c r="S229">
        <f ca="1"/>
        <v>0.74898676184950996</v>
      </c>
      <c r="T229">
        <f ca="1"/>
        <v>0</v>
      </c>
      <c r="U229">
        <f ca="1"/>
        <v>0</v>
      </c>
      <c r="V229">
        <f ca="1"/>
        <v>0.12278845018254292</v>
      </c>
      <c r="X229" s="2">
        <f t="shared" ca="1" si="22"/>
        <v>45265</v>
      </c>
      <c r="Y229">
        <f t="shared" ca="1" si="23"/>
        <v>0</v>
      </c>
      <c r="AA229" s="63">
        <f t="shared" ca="1" si="25"/>
        <v>26.091242322761758</v>
      </c>
      <c r="AB229" s="63">
        <f t="shared" ca="1" si="26"/>
        <v>26.091242322761758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45266</v>
      </c>
      <c r="K230">
        <f ca="1"/>
        <v>25.599934585151367</v>
      </c>
      <c r="L230">
        <f ca="1"/>
        <v>0.35423204297285338</v>
      </c>
      <c r="M230">
        <f ca="1"/>
        <v>6.991201491436172E-3</v>
      </c>
      <c r="N230">
        <f ca="1"/>
        <v>0.25104157291835727</v>
      </c>
      <c r="O230">
        <f ca="1"/>
        <v>0</v>
      </c>
      <c r="P230">
        <f ca="1"/>
        <v>332.79458962987843</v>
      </c>
      <c r="Q230">
        <f ca="1"/>
        <v>299.8410448460711</v>
      </c>
      <c r="R230">
        <f ca="1"/>
        <v>0</v>
      </c>
      <c r="S230">
        <f ca="1"/>
        <v>0.76278215243039194</v>
      </c>
      <c r="T230">
        <f ca="1"/>
        <v>0</v>
      </c>
      <c r="U230">
        <f ca="1"/>
        <v>0</v>
      </c>
      <c r="V230">
        <f ca="1"/>
        <v>8.693803617626561E-2</v>
      </c>
      <c r="X230" s="2">
        <f t="shared" ca="1" si="22"/>
        <v>45266</v>
      </c>
      <c r="Y230">
        <f t="shared" ca="1" si="23"/>
        <v>0</v>
      </c>
      <c r="AA230" s="63">
        <f t="shared" ca="1" si="25"/>
        <v>25.954166628124224</v>
      </c>
      <c r="AB230" s="63">
        <f t="shared" ca="1" si="26"/>
        <v>25.95416662812422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45267</v>
      </c>
      <c r="K231">
        <f ca="1"/>
        <v>25.549984870660001</v>
      </c>
      <c r="L231">
        <f ca="1"/>
        <v>0.30329228850382606</v>
      </c>
      <c r="M231">
        <f ca="1"/>
        <v>6.6355405185873906E-3</v>
      </c>
      <c r="N231">
        <f ca="1"/>
        <v>0.24670703349387349</v>
      </c>
      <c r="O231">
        <f ca="1"/>
        <v>0</v>
      </c>
      <c r="P231">
        <f ca="1"/>
        <v>333.09788191838226</v>
      </c>
      <c r="Q231">
        <f ca="1"/>
        <v>300.11430492755221</v>
      </c>
      <c r="R231">
        <f ca="1"/>
        <v>0</v>
      </c>
      <c r="S231">
        <f ca="1"/>
        <v>0.78088384685713408</v>
      </c>
      <c r="T231">
        <f ca="1"/>
        <v>0</v>
      </c>
      <c r="U231">
        <f ca="1"/>
        <v>0</v>
      </c>
      <c r="V231">
        <f ca="1"/>
        <v>5.2683702245610031E-2</v>
      </c>
      <c r="X231" s="2">
        <f t="shared" ca="1" si="22"/>
        <v>45267</v>
      </c>
      <c r="Y231">
        <f t="shared" ca="1" si="23"/>
        <v>0</v>
      </c>
      <c r="AA231" s="63">
        <f t="shared" ca="1" si="25"/>
        <v>25.853277159163827</v>
      </c>
      <c r="AB231" s="63">
        <f t="shared" ca="1" si="26"/>
        <v>25.853277159163827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45268</v>
      </c>
      <c r="K232">
        <f ca="1"/>
        <v>25.525878981943134</v>
      </c>
      <c r="L232">
        <f ca="1"/>
        <v>0.27125829968008475</v>
      </c>
      <c r="M232">
        <f ca="1"/>
        <v>6.5083826047311888E-3</v>
      </c>
      <c r="N232">
        <f ca="1"/>
        <v>0.24064402835848339</v>
      </c>
      <c r="O232">
        <f ca="1"/>
        <v>0</v>
      </c>
      <c r="P232">
        <f ca="1"/>
        <v>333.36914021806234</v>
      </c>
      <c r="Q232">
        <f ca="1"/>
        <v>300.35870304739456</v>
      </c>
      <c r="R232">
        <f ca="1"/>
        <v>0</v>
      </c>
      <c r="S232">
        <f ca="1"/>
        <v>0.76495114931095831</v>
      </c>
      <c r="T232">
        <f ca="1"/>
        <v>0</v>
      </c>
      <c r="U232">
        <f ca="1"/>
        <v>0</v>
      </c>
      <c r="V232">
        <f ca="1"/>
        <v>1.8582837552994946E-2</v>
      </c>
      <c r="X232" s="2">
        <f t="shared" ca="1" si="22"/>
        <v>45268</v>
      </c>
      <c r="Y232">
        <f t="shared" ca="1" si="23"/>
        <v>0</v>
      </c>
      <c r="AA232" s="63">
        <f t="shared" ca="1" si="25"/>
        <v>25.797137281623218</v>
      </c>
      <c r="AB232" s="63">
        <f t="shared" ca="1" si="26"/>
        <v>25.797137281623218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45269</v>
      </c>
      <c r="K233">
        <f ca="1"/>
        <v>25.517235048398327</v>
      </c>
      <c r="L233">
        <f ca="1"/>
        <v>0.25325494200529874</v>
      </c>
      <c r="M233">
        <f ca="1"/>
        <v>6.6116292115632191E-3</v>
      </c>
      <c r="N233">
        <f ca="1"/>
        <v>0.23799937924892967</v>
      </c>
      <c r="O233">
        <f ca="1"/>
        <v>0</v>
      </c>
      <c r="P233">
        <f ca="1"/>
        <v>333.62239516006764</v>
      </c>
      <c r="Q233">
        <f ca="1"/>
        <v>300.586880514185</v>
      </c>
      <c r="R233">
        <f ca="1"/>
        <v>0</v>
      </c>
      <c r="S233">
        <f ca="1"/>
        <v>0.7288628477168656</v>
      </c>
      <c r="T233">
        <f ca="1"/>
        <v>0</v>
      </c>
      <c r="U233">
        <f ca="1"/>
        <v>0</v>
      </c>
      <c r="V233">
        <f ca="1"/>
        <v>0</v>
      </c>
      <c r="X233" s="2">
        <f t="shared" ca="1" si="22"/>
        <v>45269</v>
      </c>
      <c r="Y233">
        <f t="shared" ca="1" si="23"/>
        <v>0</v>
      </c>
      <c r="AA233" s="63">
        <f t="shared" ca="1" si="25"/>
        <v>25.770489990403625</v>
      </c>
      <c r="AB233" s="63">
        <f t="shared" ca="1" si="26"/>
        <v>25.770489990403625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45270</v>
      </c>
      <c r="K234">
        <f ca="1"/>
        <v>25.535302537515129</v>
      </c>
      <c r="L234">
        <f ca="1"/>
        <v>0.22482988079315191</v>
      </c>
      <c r="M234">
        <f ca="1"/>
        <v>6.4637236508193752E-3</v>
      </c>
      <c r="N234">
        <f ca="1"/>
        <v>0.23643364625913493</v>
      </c>
      <c r="O234">
        <f ca="1"/>
        <v>0</v>
      </c>
      <c r="P234">
        <f ca="1"/>
        <v>333.84722504086079</v>
      </c>
      <c r="Q234">
        <f ca="1"/>
        <v>300.78944758850133</v>
      </c>
      <c r="R234">
        <f ca="1"/>
        <v>0</v>
      </c>
      <c r="S234">
        <f ca="1"/>
        <v>0.72924004494075501</v>
      </c>
      <c r="T234">
        <f ca="1"/>
        <v>0</v>
      </c>
      <c r="U234">
        <f ca="1"/>
        <v>0</v>
      </c>
      <c r="V234">
        <f ca="1"/>
        <v>0</v>
      </c>
      <c r="X234" s="2">
        <f t="shared" ca="1" si="22"/>
        <v>45270</v>
      </c>
      <c r="Y234">
        <f t="shared" ca="1" si="23"/>
        <v>0</v>
      </c>
      <c r="AA234" s="63">
        <f t="shared" ca="1" si="25"/>
        <v>25.760132418308277</v>
      </c>
      <c r="AB234" s="63">
        <f t="shared" ca="1" si="26"/>
        <v>25.760132418308281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45271</v>
      </c>
      <c r="K235">
        <f ca="1"/>
        <v>25.56582113559001</v>
      </c>
      <c r="L235">
        <f ca="1"/>
        <v>0.21014444882706584</v>
      </c>
      <c r="M235">
        <f ca="1"/>
        <v>6.5992523110969259E-3</v>
      </c>
      <c r="N235">
        <f ca="1"/>
        <v>0.23406379459085003</v>
      </c>
      <c r="O235">
        <f ca="1"/>
        <v>0</v>
      </c>
      <c r="P235">
        <f ca="1"/>
        <v>334.05736948968786</v>
      </c>
      <c r="Q235">
        <f ca="1"/>
        <v>300.97878339223234</v>
      </c>
      <c r="R235">
        <f ca="1"/>
        <v>0</v>
      </c>
      <c r="S235">
        <f ca="1"/>
        <v>0.68973283272191888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45271</v>
      </c>
      <c r="Y235">
        <f t="shared" ca="1" si="23"/>
        <v>0</v>
      </c>
      <c r="AA235" s="63">
        <f t="shared" ca="1" si="25"/>
        <v>25.775965584417076</v>
      </c>
      <c r="AB235" s="63">
        <f t="shared" ca="1" si="26"/>
        <v>25.775965584417076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45272</v>
      </c>
      <c r="K236">
        <f ca="1"/>
        <v>25.616151848208837</v>
      </c>
      <c r="L236">
        <f ca="1"/>
        <v>0.19380428568911157</v>
      </c>
      <c r="M236">
        <f ca="1"/>
        <v>6.6961992198768527E-3</v>
      </c>
      <c r="N236">
        <f ca="1"/>
        <v>0.23743879908806018</v>
      </c>
      <c r="O236">
        <f ca="1"/>
        <v>0</v>
      </c>
      <c r="P236">
        <f ca="1"/>
        <v>334.25117377537697</v>
      </c>
      <c r="Q236">
        <f ca="1"/>
        <v>301.15339704680315</v>
      </c>
      <c r="R236">
        <f ca="1"/>
        <v>0</v>
      </c>
      <c r="S236">
        <f ca="1"/>
        <v>0.67383573440341349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45272</v>
      </c>
      <c r="Y236">
        <f t="shared" ca="1" si="23"/>
        <v>0</v>
      </c>
      <c r="AA236" s="63">
        <f t="shared" ca="1" si="25"/>
        <v>25.809956133897948</v>
      </c>
      <c r="AB236" s="63">
        <f t="shared" ca="1" si="26"/>
        <v>25.809956133897948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45273</v>
      </c>
      <c r="K237">
        <f ca="1"/>
        <v>25.680638185746535</v>
      </c>
      <c r="L237">
        <f ca="1"/>
        <v>0.16875185857725228</v>
      </c>
      <c r="M237">
        <f ca="1"/>
        <v>6.4761385324265675E-3</v>
      </c>
      <c r="N237">
        <f ca="1"/>
        <v>0.22676205758252316</v>
      </c>
      <c r="O237">
        <f ca="1"/>
        <v>0</v>
      </c>
      <c r="P237">
        <f ca="1"/>
        <v>334.41992563395422</v>
      </c>
      <c r="Q237">
        <f ca="1"/>
        <v>301.3054389824963</v>
      </c>
      <c r="R237">
        <f ca="1"/>
        <v>0</v>
      </c>
      <c r="S237">
        <f ca="1"/>
        <v>0.65255655697243531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45273</v>
      </c>
      <c r="Y237">
        <f t="shared" ca="1" si="23"/>
        <v>0</v>
      </c>
      <c r="AA237" s="63">
        <f t="shared" ca="1" si="25"/>
        <v>25.849390044323787</v>
      </c>
      <c r="AB237" s="63">
        <f t="shared" ca="1" si="26"/>
        <v>25.849390044323787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45274</v>
      </c>
      <c r="K238">
        <f ca="1"/>
        <v>25.772918607362065</v>
      </c>
      <c r="L238">
        <f ca="1"/>
        <v>0.14892676274246242</v>
      </c>
      <c r="M238">
        <f ca="1"/>
        <v>6.3297486200708519E-3</v>
      </c>
      <c r="N238">
        <f ca="1"/>
        <v>0.23487743573791978</v>
      </c>
      <c r="O238">
        <f ca="1"/>
        <v>0</v>
      </c>
      <c r="P238">
        <f ca="1"/>
        <v>334.56885239669668</v>
      </c>
      <c r="Q238">
        <f ca="1"/>
        <v>301.4396189167191</v>
      </c>
      <c r="R238">
        <f ca="1"/>
        <v>0</v>
      </c>
      <c r="S238">
        <f ca="1"/>
        <v>0.68360232937662457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45274</v>
      </c>
      <c r="Y238">
        <f t="shared" ca="1" si="23"/>
        <v>0</v>
      </c>
      <c r="AA238" s="63">
        <f t="shared" ca="1" si="25"/>
        <v>25.921845370104528</v>
      </c>
      <c r="AB238" s="63">
        <f t="shared" ca="1" si="26"/>
        <v>25.921845370104528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45275</v>
      </c>
      <c r="K239">
        <f ca="1"/>
        <v>25.878586315437289</v>
      </c>
      <c r="L239">
        <f ca="1"/>
        <v>0.13069273653394475</v>
      </c>
      <c r="M239">
        <f ca="1"/>
        <v>6.1531445628224546E-3</v>
      </c>
      <c r="N239">
        <f ca="1"/>
        <v>0.23020730004634629</v>
      </c>
      <c r="O239">
        <f ca="1"/>
        <v>0</v>
      </c>
      <c r="P239">
        <f ca="1"/>
        <v>334.69954513323063</v>
      </c>
      <c r="Q239">
        <f ca="1"/>
        <v>301.55737037031008</v>
      </c>
      <c r="R239">
        <f ca="1"/>
        <v>0</v>
      </c>
      <c r="S239">
        <f ca="1"/>
        <v>0.67782195986007687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45275</v>
      </c>
      <c r="Y239">
        <f t="shared" ca="1" si="23"/>
        <v>0</v>
      </c>
      <c r="AA239" s="63">
        <f t="shared" ca="1" si="25"/>
        <v>26.009279051971234</v>
      </c>
      <c r="AB239" s="63">
        <f t="shared" ca="1" si="26"/>
        <v>26.009279051971234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45276</v>
      </c>
      <c r="K240">
        <f ca="1"/>
        <v>26.017075650482457</v>
      </c>
      <c r="L240">
        <f ca="1"/>
        <v>0.11721300333488216</v>
      </c>
      <c r="M240">
        <f ca="1"/>
        <v>6.0902796336401721E-3</v>
      </c>
      <c r="N240">
        <f ca="1"/>
        <v>0.24961205874641196</v>
      </c>
      <c r="O240">
        <f ca="1"/>
        <v>0</v>
      </c>
      <c r="P240">
        <f ca="1"/>
        <v>334.81675813656551</v>
      </c>
      <c r="Q240">
        <f ca="1"/>
        <v>301.66297686297742</v>
      </c>
      <c r="R240">
        <f ca="1"/>
        <v>0</v>
      </c>
      <c r="S240">
        <f ca="1"/>
        <v>0.73300346320507037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45276</v>
      </c>
      <c r="Y240">
        <f t="shared" ca="1" si="23"/>
        <v>0</v>
      </c>
      <c r="AA240" s="63">
        <f t="shared" ca="1" si="25"/>
        <v>26.13428865381734</v>
      </c>
      <c r="AB240" s="63">
        <f t="shared" ca="1" si="26"/>
        <v>26.13428865381734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45277</v>
      </c>
      <c r="K241">
        <f ca="1"/>
        <v>26.181188938860405</v>
      </c>
      <c r="L241">
        <f ca="1"/>
        <v>0.10451951444713359</v>
      </c>
      <c r="M241">
        <f ca="1"/>
        <v>6.0023603783241342E-3</v>
      </c>
      <c r="N241">
        <f ca="1"/>
        <v>0.26263044244675754</v>
      </c>
      <c r="O241">
        <f ca="1"/>
        <v>0</v>
      </c>
      <c r="P241">
        <f ca="1"/>
        <v>334.92127765101264</v>
      </c>
      <c r="Q241">
        <f ca="1"/>
        <v>301.7571467845903</v>
      </c>
      <c r="R241">
        <f ca="1"/>
        <v>0</v>
      </c>
      <c r="S241">
        <f ca="1"/>
        <v>0.76926713221648013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45277</v>
      </c>
      <c r="Y241">
        <f t="shared" ca="1" si="23"/>
        <v>0</v>
      </c>
      <c r="AA241" s="63">
        <f t="shared" ca="1" si="25"/>
        <v>26.285708453307539</v>
      </c>
      <c r="AB241" s="63">
        <f t="shared" ca="1" si="26"/>
        <v>26.285708453307539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45278</v>
      </c>
      <c r="K242">
        <f ca="1"/>
        <v>26.363114511321385</v>
      </c>
      <c r="L242">
        <f ca="1"/>
        <v>9.0705214963122671E-2</v>
      </c>
      <c r="M242">
        <f ca="1"/>
        <v>5.7786509661656993E-3</v>
      </c>
      <c r="N242">
        <f ca="1"/>
        <v>0.26685213645793826</v>
      </c>
      <c r="O242">
        <f ca="1"/>
        <v>0</v>
      </c>
      <c r="P242">
        <f ca="1"/>
        <v>335.01198286597577</v>
      </c>
      <c r="Q242">
        <f ca="1"/>
        <v>301.83887030797382</v>
      </c>
      <c r="R242">
        <f ca="1"/>
        <v>0</v>
      </c>
      <c r="S242">
        <f ca="1"/>
        <v>0.79928023366740497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45278</v>
      </c>
      <c r="Y242">
        <f t="shared" ca="1" si="23"/>
        <v>0</v>
      </c>
      <c r="AA242" s="63">
        <f t="shared" ca="1" si="25"/>
        <v>26.453819726284511</v>
      </c>
      <c r="AB242" s="63">
        <f t="shared" ca="1" si="26"/>
        <v>26.453819726284507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45279</v>
      </c>
      <c r="K243">
        <f ca="1"/>
        <v>26.564911112777324</v>
      </c>
      <c r="L243">
        <f ca="1"/>
        <v>8.1981841147126033E-2</v>
      </c>
      <c r="M243">
        <f ca="1"/>
        <v>5.7517514970486516E-3</v>
      </c>
      <c r="N243">
        <f ca="1"/>
        <v>0.2780266911060173</v>
      </c>
      <c r="O243">
        <f ca="1"/>
        <v>0</v>
      </c>
      <c r="P243">
        <f ca="1"/>
        <v>335.09396470712289</v>
      </c>
      <c r="Q243">
        <f ca="1"/>
        <v>301.91273425190172</v>
      </c>
      <c r="R243">
        <f ca="1"/>
        <v>0</v>
      </c>
      <c r="S243">
        <f ca="1"/>
        <v>0.82005109670088239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45279</v>
      </c>
      <c r="Y243">
        <f t="shared" ca="1" si="23"/>
        <v>0</v>
      </c>
      <c r="AA243" s="63">
        <f t="shared" ca="1" si="25"/>
        <v>26.64689295392445</v>
      </c>
      <c r="AB243" s="63">
        <f t="shared" ca="1" si="26"/>
        <v>26.64689295392445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45280</v>
      </c>
      <c r="K244">
        <f ca="1"/>
        <v>26.764547345086534</v>
      </c>
      <c r="L244">
        <f ca="1"/>
        <v>7.4516944810568475E-2</v>
      </c>
      <c r="M244">
        <f ca="1"/>
        <v>5.7630534507273623E-3</v>
      </c>
      <c r="N244">
        <f ca="1"/>
        <v>0.26839012366905168</v>
      </c>
      <c r="O244">
        <f ca="1"/>
        <v>0</v>
      </c>
      <c r="P244">
        <f ca="1"/>
        <v>335.16848165193346</v>
      </c>
      <c r="Q244">
        <f ca="1"/>
        <v>301.97987247856469</v>
      </c>
      <c r="R244">
        <f ca="1"/>
        <v>0</v>
      </c>
      <c r="S244">
        <f ca="1"/>
        <v>0.77640073918049179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45280</v>
      </c>
      <c r="Y244">
        <f t="shared" ca="1" si="23"/>
        <v>0</v>
      </c>
      <c r="AA244" s="63">
        <f t="shared" ca="1" si="25"/>
        <v>26.839064289897102</v>
      </c>
      <c r="AB244" s="63">
        <f t="shared" ca="1" si="26"/>
        <v>26.839064289897102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45281</v>
      </c>
      <c r="K245">
        <f ca="1"/>
        <v>26.977110037405467</v>
      </c>
      <c r="L245">
        <f ca="1"/>
        <v>6.6095696415175098E-2</v>
      </c>
      <c r="M245">
        <f ca="1"/>
        <v>5.6622766318525919E-3</v>
      </c>
      <c r="N245">
        <f ca="1"/>
        <v>0.27299611210225549</v>
      </c>
      <c r="O245">
        <f ca="1"/>
        <v>0</v>
      </c>
      <c r="P245">
        <f ca="1"/>
        <v>335.23457734834864</v>
      </c>
      <c r="Q245">
        <f ca="1"/>
        <v>302.0394233345296</v>
      </c>
      <c r="R245">
        <f ca="1"/>
        <v>0</v>
      </c>
      <c r="S245">
        <f ca="1"/>
        <v>0.789406428968081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45281</v>
      </c>
      <c r="Y245">
        <f t="shared" ca="1" si="23"/>
        <v>0</v>
      </c>
      <c r="AA245" s="63">
        <f t="shared" ca="1" si="25"/>
        <v>27.043205733820642</v>
      </c>
      <c r="AB245" s="63">
        <f t="shared" ca="1" si="26"/>
        <v>27.043205733820642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45282</v>
      </c>
      <c r="K246">
        <f ca="1"/>
        <v>27.187859736061956</v>
      </c>
      <c r="L246">
        <f ca="1"/>
        <v>5.9339957346821848E-2</v>
      </c>
      <c r="M246">
        <f ca="1"/>
        <v>5.6246053762549764E-3</v>
      </c>
      <c r="N246">
        <f ca="1"/>
        <v>0.26446505062705744</v>
      </c>
      <c r="O246">
        <f ca="1"/>
        <v>0</v>
      </c>
      <c r="P246">
        <f ca="1"/>
        <v>335.29391730569546</v>
      </c>
      <c r="Q246">
        <f ca="1"/>
        <v>302.09288740926644</v>
      </c>
      <c r="R246">
        <f ca="1"/>
        <v>0</v>
      </c>
      <c r="S246">
        <f ca="1"/>
        <v>0.75582701167014699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45282</v>
      </c>
      <c r="Y246">
        <f t="shared" ca="1" si="23"/>
        <v>0</v>
      </c>
      <c r="AA246" s="63">
        <f t="shared" ca="1" si="25"/>
        <v>27.247199693408778</v>
      </c>
      <c r="AB246" s="63">
        <f t="shared" ca="1" si="26"/>
        <v>27.247199693408778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45283</v>
      </c>
      <c r="K247">
        <f ca="1"/>
        <v>27.392710803481584</v>
      </c>
      <c r="L247">
        <f ca="1"/>
        <v>5.103842018161231E-2</v>
      </c>
      <c r="M247">
        <f ca="1"/>
        <v>5.3825018347497533E-3</v>
      </c>
      <c r="N247">
        <f ca="1"/>
        <v>0.2505069857664925</v>
      </c>
      <c r="O247">
        <f ca="1"/>
        <v>0</v>
      </c>
      <c r="P247">
        <f ca="1"/>
        <v>335.34495572587707</v>
      </c>
      <c r="Q247">
        <f ca="1"/>
        <v>302.13887197064878</v>
      </c>
      <c r="R247">
        <f ca="1"/>
        <v>0</v>
      </c>
      <c r="S247">
        <f ca="1"/>
        <v>0.73688693191359678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45283</v>
      </c>
      <c r="Y247">
        <f t="shared" ca="1" si="23"/>
        <v>0</v>
      </c>
      <c r="AA247" s="63">
        <f t="shared" ca="1" si="25"/>
        <v>27.443749223663197</v>
      </c>
      <c r="AB247" s="63">
        <f t="shared" ca="1" si="26"/>
        <v>27.443749223663197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45284</v>
      </c>
      <c r="K248">
        <f ca="1"/>
        <v>27.607415912188252</v>
      </c>
      <c r="L248">
        <f ca="1"/>
        <v>4.5856567419889416E-2</v>
      </c>
      <c r="M248">
        <f ca="1"/>
        <v>5.3405249615217087E-3</v>
      </c>
      <c r="N248">
        <f ca="1"/>
        <v>0.25522115116503347</v>
      </c>
      <c r="O248">
        <f ca="1"/>
        <v>0</v>
      </c>
      <c r="P248">
        <f ca="1"/>
        <v>335.39081229329696</v>
      </c>
      <c r="Q248">
        <f ca="1"/>
        <v>302.18018778982582</v>
      </c>
      <c r="R248">
        <f ca="1"/>
        <v>0</v>
      </c>
      <c r="S248">
        <f ca="1"/>
        <v>0.7428154193587343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45284</v>
      </c>
      <c r="Y248">
        <f t="shared" ca="1" si="23"/>
        <v>0</v>
      </c>
      <c r="AA248" s="63">
        <f t="shared" ca="1" si="25"/>
        <v>27.653272479608141</v>
      </c>
      <c r="AB248" s="63">
        <f t="shared" ca="1" si="26"/>
        <v>27.653272479608141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45285</v>
      </c>
      <c r="K249">
        <f ca="1"/>
        <v>27.843337033119845</v>
      </c>
      <c r="L249">
        <f ca="1"/>
        <v>4.1481870633788276E-2</v>
      </c>
      <c r="M249">
        <f ca="1"/>
        <v>5.338030744924005E-3</v>
      </c>
      <c r="N249">
        <f ca="1"/>
        <v>0.27206496082045772</v>
      </c>
      <c r="O249">
        <f ca="1"/>
        <v>0</v>
      </c>
      <c r="P249">
        <f ca="1"/>
        <v>335.43229416393075</v>
      </c>
      <c r="Q249">
        <f ca="1"/>
        <v>302.21756209764379</v>
      </c>
      <c r="R249">
        <f ca="1"/>
        <v>0</v>
      </c>
      <c r="S249">
        <f ca="1"/>
        <v>0.77682469223476847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45285</v>
      </c>
      <c r="Y249">
        <f t="shared" ca="1" si="23"/>
        <v>0</v>
      </c>
      <c r="AA249" s="63">
        <f t="shared" ca="1" si="25"/>
        <v>27.884818903753633</v>
      </c>
      <c r="AB249" s="63">
        <f t="shared" ca="1" si="26"/>
        <v>27.884818903753633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45286</v>
      </c>
      <c r="K250">
        <f ca="1"/>
        <v>28.062496097855004</v>
      </c>
      <c r="L250">
        <f ca="1"/>
        <v>3.5922379916542013E-2</v>
      </c>
      <c r="M250">
        <f ca="1"/>
        <v>5.1395229928630215E-3</v>
      </c>
      <c r="N250">
        <f ca="1"/>
        <v>0.24994192165883916</v>
      </c>
      <c r="O250">
        <f ca="1"/>
        <v>0</v>
      </c>
      <c r="P250">
        <f ca="1"/>
        <v>335.46821654384729</v>
      </c>
      <c r="Q250">
        <f ca="1"/>
        <v>302.24992741926616</v>
      </c>
      <c r="R250">
        <f ca="1"/>
        <v>0</v>
      </c>
      <c r="S250">
        <f ca="1"/>
        <v>0.72932105429285665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45286</v>
      </c>
      <c r="Y250">
        <f t="shared" ca="1" si="23"/>
        <v>0</v>
      </c>
      <c r="AA250" s="63">
        <f t="shared" ca="1" si="25"/>
        <v>28.098418477771546</v>
      </c>
      <c r="AB250" s="63">
        <f t="shared" ca="1" si="26"/>
        <v>28.098418477771546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45287</v>
      </c>
      <c r="K251">
        <f ca="1"/>
        <v>28.278692620862532</v>
      </c>
      <c r="L251">
        <f ca="1"/>
        <v>3.2065621719027604E-2</v>
      </c>
      <c r="M251">
        <f ca="1"/>
        <v>5.0740111767524354E-3</v>
      </c>
      <c r="N251">
        <f ca="1"/>
        <v>0.24318813354980359</v>
      </c>
      <c r="O251">
        <f ca="1"/>
        <v>0</v>
      </c>
      <c r="P251">
        <f ca="1"/>
        <v>335.50028216556632</v>
      </c>
      <c r="Q251">
        <f ca="1"/>
        <v>302.27881788148954</v>
      </c>
      <c r="R251">
        <f ca="1"/>
        <v>0</v>
      </c>
      <c r="S251">
        <f ca="1"/>
        <v>0.7045546517320993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45287</v>
      </c>
      <c r="Y251">
        <f t="shared" ca="1" si="23"/>
        <v>0</v>
      </c>
      <c r="AA251" s="63">
        <f t="shared" ca="1" si="25"/>
        <v>28.31075824258156</v>
      </c>
      <c r="AB251" s="63">
        <f t="shared" ca="1" si="26"/>
        <v>28.31075824258156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45288</v>
      </c>
      <c r="K252">
        <f ca="1"/>
        <v>28.496902819906616</v>
      </c>
      <c r="L252">
        <f ca="1"/>
        <v>3.0189640517164662E-2</v>
      </c>
      <c r="M252">
        <f ca="1"/>
        <v>5.2663300061279728E-3</v>
      </c>
      <c r="N252">
        <f ca="1"/>
        <v>0.24313350955511959</v>
      </c>
      <c r="O252">
        <f ca="1"/>
        <v>0</v>
      </c>
      <c r="P252">
        <f ca="1"/>
        <v>335.53047180608348</v>
      </c>
      <c r="Q252">
        <f ca="1"/>
        <v>302.30601812343536</v>
      </c>
      <c r="R252">
        <f ca="1"/>
        <v>0</v>
      </c>
      <c r="S252">
        <f ca="1"/>
        <v>0.65860686195265383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45288</v>
      </c>
      <c r="Y252">
        <f t="shared" ca="1" si="23"/>
        <v>0</v>
      </c>
      <c r="AA252" s="63">
        <f t="shared" ca="1" si="25"/>
        <v>28.527092460423777</v>
      </c>
      <c r="AB252" s="63">
        <f t="shared" ca="1" si="26"/>
        <v>28.527092460423781</v>
      </c>
      <c r="AC252" s="3">
        <f t="shared" ca="1" si="27"/>
        <v>0</v>
      </c>
    </row>
    <row r="253" spans="8:29">
      <c r="H253" t="b">
        <f t="shared" ca="1" si="24"/>
        <v>1</v>
      </c>
      <c r="I253" t="b">
        <f t="shared" ca="1" si="21"/>
        <v>1</v>
      </c>
      <c r="J253" s="2">
        <f ca="1"/>
        <v>45289</v>
      </c>
      <c r="K253">
        <f ca="1"/>
        <v>28.72560914812458</v>
      </c>
      <c r="L253">
        <f ca="1"/>
        <v>2.7204195316642199E-2</v>
      </c>
      <c r="M253">
        <f ca="1"/>
        <v>5.2867887780907452E-3</v>
      </c>
      <c r="N253">
        <f ca="1"/>
        <v>0.2506237347565175</v>
      </c>
      <c r="O253">
        <f ca="1"/>
        <v>0</v>
      </c>
      <c r="P253">
        <f ca="1"/>
        <v>335.55767600140013</v>
      </c>
      <c r="Q253">
        <f ca="1"/>
        <v>302.33052854097855</v>
      </c>
      <c r="R253">
        <f ca="1"/>
        <v>0</v>
      </c>
      <c r="S253">
        <f ca="1"/>
        <v>0.66286383628768908</v>
      </c>
      <c r="T253">
        <f ca="1"/>
        <v>0</v>
      </c>
      <c r="U253">
        <f ca="1"/>
        <v>0</v>
      </c>
      <c r="V253">
        <f ca="1"/>
        <v>0</v>
      </c>
      <c r="X253" s="2">
        <f t="shared" ca="1" si="22"/>
        <v>45289</v>
      </c>
      <c r="Y253">
        <f t="shared" ca="1" si="23"/>
        <v>0</v>
      </c>
      <c r="AA253" s="63">
        <f t="shared" ca="1" si="25"/>
        <v>28.752813343441222</v>
      </c>
      <c r="AB253" s="63">
        <f t="shared" ca="1" si="26"/>
        <v>28.752813343441222</v>
      </c>
      <c r="AC253" s="3">
        <f t="shared" ca="1" si="27"/>
        <v>0</v>
      </c>
    </row>
    <row r="254" spans="8:29">
      <c r="H254" t="b">
        <f t="shared" ca="1" si="24"/>
        <v>1</v>
      </c>
      <c r="I254" t="b">
        <f t="shared" ca="1" si="21"/>
        <v>1</v>
      </c>
      <c r="J254" s="2">
        <f ca="1"/>
        <v>45290</v>
      </c>
      <c r="K254">
        <f ca="1"/>
        <v>28.966907731099006</v>
      </c>
      <c r="L254">
        <f ca="1"/>
        <v>2.3485787401511971E-2</v>
      </c>
      <c r="M254">
        <f ca="1"/>
        <v>5.1048072842103664E-3</v>
      </c>
      <c r="N254">
        <f ca="1"/>
        <v>0.25967956309172607</v>
      </c>
      <c r="O254">
        <f ca="1"/>
        <v>0</v>
      </c>
      <c r="P254">
        <f ca="1"/>
        <v>335.58116178880164</v>
      </c>
      <c r="Q254">
        <f ca="1"/>
        <v>302.35168874986698</v>
      </c>
      <c r="R254">
        <f ca="1"/>
        <v>0</v>
      </c>
      <c r="S254">
        <f ca="1"/>
        <v>0.70247044924824709</v>
      </c>
      <c r="T254">
        <f ca="1"/>
        <v>0</v>
      </c>
      <c r="U254">
        <f ca="1"/>
        <v>0</v>
      </c>
      <c r="V254">
        <f ca="1"/>
        <v>0</v>
      </c>
      <c r="X254" s="2">
        <f t="shared" ca="1" si="22"/>
        <v>45290</v>
      </c>
      <c r="Y254">
        <f t="shared" ca="1" si="23"/>
        <v>0</v>
      </c>
      <c r="AA254" s="63">
        <f t="shared" ca="1" si="25"/>
        <v>28.990393518500515</v>
      </c>
      <c r="AB254" s="63">
        <f t="shared" ca="1" si="26"/>
        <v>28.990393518500518</v>
      </c>
      <c r="AC254" s="3">
        <f t="shared" ca="1" si="27"/>
        <v>0</v>
      </c>
    </row>
    <row r="255" spans="8:29">
      <c r="H255" t="b">
        <f t="shared" ca="1" si="24"/>
        <v>1</v>
      </c>
      <c r="I255" t="b">
        <f t="shared" ca="1" si="21"/>
        <v>1</v>
      </c>
      <c r="J255" s="2">
        <f ca="1"/>
        <v>45291</v>
      </c>
      <c r="K255">
        <f ca="1"/>
        <v>29.250473660432689</v>
      </c>
      <c r="L255">
        <f ca="1"/>
        <v>2.0137670386077389E-2</v>
      </c>
      <c r="M255">
        <f ca="1"/>
        <v>4.8900074030164831E-3</v>
      </c>
      <c r="N255">
        <f ca="1"/>
        <v>0.29881359231674359</v>
      </c>
      <c r="O255">
        <f ca="1"/>
        <v>0</v>
      </c>
      <c r="P255">
        <f ca="1"/>
        <v>335.60129945918771</v>
      </c>
      <c r="Q255">
        <f ca="1"/>
        <v>302.36983237454564</v>
      </c>
      <c r="R255">
        <f ca="1"/>
        <v>0</v>
      </c>
      <c r="S255">
        <f ca="1"/>
        <v>0.82954416131864728</v>
      </c>
      <c r="T255">
        <f ca="1"/>
        <v>0</v>
      </c>
      <c r="U255">
        <f ca="1"/>
        <v>0</v>
      </c>
      <c r="V255">
        <f ca="1"/>
        <v>0</v>
      </c>
      <c r="X255" s="2">
        <f t="shared" ca="1" si="22"/>
        <v>45291</v>
      </c>
      <c r="Y255">
        <f t="shared" ca="1" si="23"/>
        <v>0</v>
      </c>
      <c r="AA255" s="63">
        <f t="shared" ca="1" si="25"/>
        <v>29.270611330818767</v>
      </c>
      <c r="AB255" s="63">
        <f t="shared" ca="1" si="26"/>
        <v>29.270611330818767</v>
      </c>
      <c r="AC255" s="3">
        <f t="shared" ca="1" si="27"/>
        <v>0</v>
      </c>
    </row>
    <row r="256" spans="8:29">
      <c r="H256" t="b">
        <f t="shared" ca="1" si="24"/>
        <v>1</v>
      </c>
      <c r="I256" t="b">
        <f t="shared" ca="1" si="21"/>
        <v>1</v>
      </c>
      <c r="J256" s="2">
        <f ca="1"/>
        <v>45292</v>
      </c>
      <c r="K256">
        <f ca="1"/>
        <v>29.525300642441088</v>
      </c>
      <c r="L256">
        <f ca="1"/>
        <v>1.7547790990818157E-2</v>
      </c>
      <c r="M256">
        <f ca="1"/>
        <v>4.7445533934791229E-3</v>
      </c>
      <c r="N256">
        <f ca="1"/>
        <v>0.28763021960573937</v>
      </c>
      <c r="O256">
        <f ca="1"/>
        <v>0</v>
      </c>
      <c r="P256">
        <f ca="1"/>
        <v>335.61884725017853</v>
      </c>
      <c r="Q256">
        <f ca="1"/>
        <v>302.385642571434</v>
      </c>
      <c r="R256">
        <f ca="1"/>
        <v>0</v>
      </c>
      <c r="S256">
        <f ca="1"/>
        <v>0.81009116375537227</v>
      </c>
      <c r="T256">
        <f ca="1"/>
        <v>0</v>
      </c>
      <c r="U256">
        <f ca="1"/>
        <v>0</v>
      </c>
      <c r="V256">
        <f ca="1"/>
        <v>0</v>
      </c>
      <c r="X256" s="2">
        <f t="shared" ca="1" si="22"/>
        <v>45292</v>
      </c>
      <c r="Y256">
        <f t="shared" ca="1" si="23"/>
        <v>0</v>
      </c>
      <c r="AA256" s="63">
        <f t="shared" ca="1" si="25"/>
        <v>29.542848433431907</v>
      </c>
      <c r="AB256" s="63">
        <f t="shared" ca="1" si="26"/>
        <v>29.542848433431907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1</v>
      </c>
      <c r="J257" s="2">
        <f ca="1"/>
        <v>45293</v>
      </c>
      <c r="K257">
        <f ca="1"/>
        <v>29.791422899315222</v>
      </c>
      <c r="L257">
        <f ca="1"/>
        <v>1.5935358517026543E-2</v>
      </c>
      <c r="M257">
        <f ca="1"/>
        <v>4.7782909296092413E-3</v>
      </c>
      <c r="N257">
        <f ca="1"/>
        <v>0.27727932446154896</v>
      </c>
      <c r="O257">
        <f ca="1"/>
        <v>0</v>
      </c>
      <c r="P257">
        <f ca="1"/>
        <v>335.63478260869556</v>
      </c>
      <c r="Q257">
        <f ca="1"/>
        <v>302.39999999999992</v>
      </c>
      <c r="R257">
        <f ca="1"/>
        <v>0</v>
      </c>
      <c r="S257">
        <f ca="1"/>
        <v>0.76064053265276066</v>
      </c>
      <c r="T257">
        <f ca="1"/>
        <v>0</v>
      </c>
      <c r="U257">
        <f ca="1"/>
        <v>0</v>
      </c>
      <c r="V257">
        <f ca="1"/>
        <v>0</v>
      </c>
      <c r="X257" s="2">
        <f t="shared" ca="1" si="22"/>
        <v>45293</v>
      </c>
      <c r="Y257">
        <f t="shared" ca="1" si="23"/>
        <v>0</v>
      </c>
      <c r="AA257" s="63">
        <f t="shared" ca="1" si="25"/>
        <v>29.807358257832245</v>
      </c>
      <c r="AB257" s="63">
        <f t="shared" ca="1" si="26"/>
        <v>29.807358257832249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45294</v>
      </c>
      <c r="K258">
        <f ca="1"/>
        <v>28.960095690536843</v>
      </c>
      <c r="L258">
        <f ca="1"/>
        <v>0</v>
      </c>
      <c r="M258">
        <f ca="1"/>
        <v>-1.0890372760771951</v>
      </c>
      <c r="N258">
        <f ca="1"/>
        <v>0.25771006729881663</v>
      </c>
      <c r="O258">
        <f ca="1"/>
        <v>0</v>
      </c>
      <c r="P258">
        <f ca="1"/>
        <v>0</v>
      </c>
      <c r="Q258">
        <f ca="1"/>
        <v>0</v>
      </c>
      <c r="R258">
        <f ca="1"/>
        <v>0</v>
      </c>
      <c r="S258">
        <f ca="1"/>
        <v>0.71547188249462579</v>
      </c>
      <c r="T258">
        <f ca="1"/>
        <v>0</v>
      </c>
      <c r="U258">
        <f ca="1"/>
        <v>0</v>
      </c>
      <c r="V258">
        <f ca="1"/>
        <v>0</v>
      </c>
      <c r="X258" s="2">
        <f t="shared" ca="1" si="22"/>
        <v>45294</v>
      </c>
      <c r="Y258">
        <f t="shared" ca="1" si="23"/>
        <v>0</v>
      </c>
      <c r="AA258" s="63">
        <f t="shared" ca="1" si="25"/>
        <v>28.960095690536843</v>
      </c>
      <c r="AB258" s="63">
        <f t="shared" ca="1" si="26"/>
        <v>28.960095690536843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45295</v>
      </c>
      <c r="K259">
        <f ca="1"/>
        <v>28.173747921527429</v>
      </c>
      <c r="L259">
        <f ca="1"/>
        <v>0</v>
      </c>
      <c r="M259">
        <f ca="1"/>
        <v>-1.0346896775465044</v>
      </c>
      <c r="N259">
        <f ca="1"/>
        <v>0.24834190853709076</v>
      </c>
      <c r="O259">
        <f ca="1"/>
        <v>0</v>
      </c>
      <c r="P259">
        <f ca="1"/>
        <v>0</v>
      </c>
      <c r="Q259">
        <f ca="1"/>
        <v>0</v>
      </c>
      <c r="R259">
        <f ca="1"/>
        <v>0</v>
      </c>
      <c r="S259">
        <f ca="1"/>
        <v>0.67395865716233161</v>
      </c>
      <c r="T259">
        <f ca="1"/>
        <v>0</v>
      </c>
      <c r="U259">
        <f ca="1"/>
        <v>0</v>
      </c>
      <c r="V259">
        <f ca="1"/>
        <v>0</v>
      </c>
      <c r="X259" s="2">
        <f t="shared" ca="1" si="22"/>
        <v>45295</v>
      </c>
      <c r="Y259">
        <f t="shared" ca="1" si="23"/>
        <v>0</v>
      </c>
      <c r="AA259" s="63">
        <f t="shared" ca="1" si="25"/>
        <v>28.173747921527426</v>
      </c>
      <c r="AB259" s="63">
        <f t="shared" ca="1" si="26"/>
        <v>28.173747921527429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45296</v>
      </c>
      <c r="K260">
        <f ca="1"/>
        <v>27.464910073503027</v>
      </c>
      <c r="L260">
        <f ca="1"/>
        <v>0</v>
      </c>
      <c r="M260">
        <f ca="1"/>
        <v>-0.93938763562128447</v>
      </c>
      <c r="N260">
        <f ca="1"/>
        <v>0.23054978759688263</v>
      </c>
      <c r="O260">
        <f ca="1"/>
        <v>0</v>
      </c>
      <c r="P260">
        <f ca="1"/>
        <v>0</v>
      </c>
      <c r="Q260">
        <f ca="1"/>
        <v>0</v>
      </c>
      <c r="R260">
        <f ca="1"/>
        <v>0</v>
      </c>
      <c r="S260">
        <f ca="1"/>
        <v>0.64143149838064262</v>
      </c>
      <c r="T260">
        <f ca="1"/>
        <v>0</v>
      </c>
      <c r="U260">
        <f ca="1"/>
        <v>0</v>
      </c>
      <c r="V260">
        <f ca="1"/>
        <v>0</v>
      </c>
      <c r="X260" s="2">
        <f t="shared" ca="1" si="22"/>
        <v>45296</v>
      </c>
      <c r="Y260">
        <f t="shared" ca="1" si="23"/>
        <v>0</v>
      </c>
      <c r="AA260" s="63">
        <f t="shared" ca="1" si="25"/>
        <v>27.464910073503027</v>
      </c>
      <c r="AB260" s="63">
        <f t="shared" ca="1" si="26"/>
        <v>27.464910073503027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45297</v>
      </c>
      <c r="K261">
        <f ca="1"/>
        <v>26.807483894897906</v>
      </c>
      <c r="L261">
        <f ca="1"/>
        <v>0</v>
      </c>
      <c r="M261">
        <f ca="1"/>
        <v>-0.882326472845401</v>
      </c>
      <c r="N261">
        <f ca="1"/>
        <v>0.22490029424027941</v>
      </c>
      <c r="O261">
        <f ca="1"/>
        <v>0</v>
      </c>
      <c r="P261">
        <f ca="1"/>
        <v>0</v>
      </c>
      <c r="Q261">
        <f ca="1"/>
        <v>0</v>
      </c>
      <c r="R261">
        <f ca="1"/>
        <v>0</v>
      </c>
      <c r="S261">
        <f ca="1"/>
        <v>0.6182785411389855</v>
      </c>
      <c r="T261">
        <f ca="1"/>
        <v>0</v>
      </c>
      <c r="U261">
        <f ca="1"/>
        <v>0</v>
      </c>
      <c r="V261">
        <f ca="1"/>
        <v>0</v>
      </c>
      <c r="X261" s="2">
        <f t="shared" ca="1" si="22"/>
        <v>45297</v>
      </c>
      <c r="Y261">
        <f t="shared" ca="1" si="23"/>
        <v>0</v>
      </c>
      <c r="AA261" s="63">
        <f t="shared" ca="1" si="25"/>
        <v>26.807483894897906</v>
      </c>
      <c r="AB261" s="63">
        <f t="shared" ca="1" si="26"/>
        <v>26.807483894897906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45298</v>
      </c>
      <c r="K262">
        <f ca="1"/>
        <v>26.185468628706055</v>
      </c>
      <c r="L262">
        <f ca="1"/>
        <v>0</v>
      </c>
      <c r="M262">
        <f ca="1"/>
        <v>-0.84788345303419455</v>
      </c>
      <c r="N262">
        <f ca="1"/>
        <v>0.22586818684234444</v>
      </c>
      <c r="O262">
        <f ca="1"/>
        <v>0</v>
      </c>
      <c r="P262">
        <f ca="1"/>
        <v>0</v>
      </c>
      <c r="Q262">
        <f ca="1"/>
        <v>0</v>
      </c>
      <c r="R262">
        <f ca="1"/>
        <v>0</v>
      </c>
      <c r="S262">
        <f ca="1"/>
        <v>0.59663772377943436</v>
      </c>
      <c r="T262">
        <f ca="1"/>
        <v>0</v>
      </c>
      <c r="U262">
        <f ca="1"/>
        <v>0</v>
      </c>
      <c r="V262">
        <f ca="1"/>
        <v>0</v>
      </c>
      <c r="X262" s="2">
        <f t="shared" ca="1" si="22"/>
        <v>45298</v>
      </c>
      <c r="Y262">
        <f t="shared" ca="1" si="23"/>
        <v>0</v>
      </c>
      <c r="AA262" s="63">
        <f t="shared" ca="1" si="25"/>
        <v>26.185468628706058</v>
      </c>
      <c r="AB262" s="63">
        <f t="shared" ca="1" si="26"/>
        <v>26.185468628706055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45299</v>
      </c>
      <c r="K263">
        <f ca="1"/>
        <v>25.616916402116704</v>
      </c>
      <c r="L263">
        <f ca="1"/>
        <v>0</v>
      </c>
      <c r="M263">
        <f ca="1"/>
        <v>-0.7998415422033176</v>
      </c>
      <c r="N263">
        <f ca="1"/>
        <v>0.23128931561396757</v>
      </c>
      <c r="O263">
        <f ca="1"/>
        <v>0</v>
      </c>
      <c r="P263">
        <f ca="1"/>
        <v>0</v>
      </c>
      <c r="Q263">
        <f ca="1"/>
        <v>0</v>
      </c>
      <c r="R263">
        <f ca="1"/>
        <v>0</v>
      </c>
      <c r="S263">
        <f ca="1"/>
        <v>0.60267071536133199</v>
      </c>
      <c r="T263">
        <f ca="1"/>
        <v>0</v>
      </c>
      <c r="U263">
        <f ca="1"/>
        <v>0</v>
      </c>
      <c r="V263">
        <f ca="1"/>
        <v>0</v>
      </c>
      <c r="X263" s="2">
        <f t="shared" ca="1" si="22"/>
        <v>45299</v>
      </c>
      <c r="Y263">
        <f t="shared" ca="1" si="23"/>
        <v>0</v>
      </c>
      <c r="AA263" s="63">
        <f t="shared" ca="1" si="25"/>
        <v>25.616916402116704</v>
      </c>
      <c r="AB263" s="63">
        <f t="shared" ca="1" si="26"/>
        <v>25.616916402116704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45300</v>
      </c>
      <c r="K264">
        <f ca="1"/>
        <v>25.101907657773936</v>
      </c>
      <c r="L264">
        <f ca="1"/>
        <v>0</v>
      </c>
      <c r="M264">
        <f ca="1"/>
        <v>-0.75340994334801792</v>
      </c>
      <c r="N264">
        <f ca="1"/>
        <v>0.23840119900525089</v>
      </c>
      <c r="O264">
        <f ca="1"/>
        <v>0</v>
      </c>
      <c r="P264">
        <f ca="1"/>
        <v>0</v>
      </c>
      <c r="Q264">
        <f ca="1"/>
        <v>0</v>
      </c>
      <c r="R264">
        <f ca="1"/>
        <v>0</v>
      </c>
      <c r="S264">
        <f ca="1"/>
        <v>0.61314758669668323</v>
      </c>
      <c r="T264">
        <f ca="1"/>
        <v>0</v>
      </c>
      <c r="U264">
        <f ca="1"/>
        <v>0</v>
      </c>
      <c r="V264">
        <f ca="1"/>
        <v>0</v>
      </c>
      <c r="X264" s="2">
        <f t="shared" ca="1" si="22"/>
        <v>45300</v>
      </c>
      <c r="Y264">
        <f t="shared" ca="1" si="23"/>
        <v>0</v>
      </c>
      <c r="AA264" s="63">
        <f t="shared" ca="1" si="25"/>
        <v>25.101907657773936</v>
      </c>
      <c r="AB264" s="63">
        <f t="shared" ca="1" si="26"/>
        <v>25.101907657773936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45301</v>
      </c>
      <c r="K265">
        <f ca="1"/>
        <v>24.637569994717261</v>
      </c>
      <c r="L265">
        <f ca="1"/>
        <v>0</v>
      </c>
      <c r="M265">
        <f ca="1"/>
        <v>-0.69030421323956226</v>
      </c>
      <c r="N265">
        <f ca="1"/>
        <v>0.2259665501828873</v>
      </c>
      <c r="O265">
        <f ca="1"/>
        <v>0</v>
      </c>
      <c r="P265">
        <f ca="1"/>
        <v>0</v>
      </c>
      <c r="Q265">
        <f ca="1"/>
        <v>0</v>
      </c>
      <c r="R265">
        <f ca="1"/>
        <v>0</v>
      </c>
      <c r="S265">
        <f ca="1"/>
        <v>0.5818678556160789</v>
      </c>
      <c r="T265">
        <f ca="1"/>
        <v>0</v>
      </c>
      <c r="U265">
        <f ca="1"/>
        <v>0</v>
      </c>
      <c r="V265">
        <f ca="1"/>
        <v>0</v>
      </c>
      <c r="X265" s="2">
        <f t="shared" ca="1" si="22"/>
        <v>45301</v>
      </c>
      <c r="Y265">
        <f t="shared" ca="1" si="23"/>
        <v>0</v>
      </c>
      <c r="AA265" s="63">
        <f t="shared" ca="1" si="25"/>
        <v>24.637569994717257</v>
      </c>
      <c r="AB265" s="63">
        <f t="shared" ca="1" si="26"/>
        <v>24.637569994717261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45302</v>
      </c>
      <c r="K266">
        <f ca="1"/>
        <v>24.223345829048192</v>
      </c>
      <c r="L266">
        <f ca="1"/>
        <v>0</v>
      </c>
      <c r="M266">
        <f ca="1"/>
        <v>-0.62803023017254311</v>
      </c>
      <c r="N266">
        <f ca="1"/>
        <v>0.21380606450347667</v>
      </c>
      <c r="O266">
        <f ca="1"/>
        <v>0</v>
      </c>
      <c r="P266">
        <f ca="1"/>
        <v>0</v>
      </c>
      <c r="Q266">
        <f ca="1"/>
        <v>0</v>
      </c>
      <c r="R266">
        <f ca="1"/>
        <v>0</v>
      </c>
      <c r="S266">
        <f ca="1"/>
        <v>0.55487074340897813</v>
      </c>
      <c r="T266">
        <f ca="1"/>
        <v>0</v>
      </c>
      <c r="U266">
        <f ca="1"/>
        <v>0</v>
      </c>
      <c r="V266">
        <f ca="1"/>
        <v>0</v>
      </c>
      <c r="X266" s="2">
        <f t="shared" ca="1" si="22"/>
        <v>45302</v>
      </c>
      <c r="Y266">
        <f t="shared" ca="1" si="23"/>
        <v>0</v>
      </c>
      <c r="AA266" s="63">
        <f t="shared" ca="1" si="25"/>
        <v>24.223345829048196</v>
      </c>
      <c r="AB266" s="63">
        <f t="shared" ca="1" si="26"/>
        <v>24.223345829048192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45303</v>
      </c>
      <c r="K267">
        <f ca="1"/>
        <v>23.845243795154744</v>
      </c>
      <c r="L267">
        <f ca="1"/>
        <v>0</v>
      </c>
      <c r="M267">
        <f ca="1"/>
        <v>-0.58607689719285183</v>
      </c>
      <c r="N267">
        <f ca="1"/>
        <v>0.20797486329940484</v>
      </c>
      <c r="O267">
        <f ca="1"/>
        <v>0</v>
      </c>
      <c r="P267">
        <f ca="1"/>
        <v>0</v>
      </c>
      <c r="Q267">
        <f ca="1"/>
        <v>0</v>
      </c>
      <c r="R267">
        <f ca="1"/>
        <v>0</v>
      </c>
      <c r="S267">
        <f ca="1"/>
        <v>0.52726720074279454</v>
      </c>
      <c r="T267">
        <f ca="1"/>
        <v>0</v>
      </c>
      <c r="U267">
        <f ca="1"/>
        <v>0</v>
      </c>
      <c r="V267">
        <f ca="1"/>
        <v>0</v>
      </c>
      <c r="X267" s="2">
        <f t="shared" ref="X267:X330" ca="1" si="29">IFERROR(J267,$X$9)</f>
        <v>45303</v>
      </c>
      <c r="Y267">
        <f t="shared" ref="Y267:Y330" ca="1" si="30">IFERROR(O267,0)</f>
        <v>0</v>
      </c>
      <c r="AA267" s="63">
        <f t="shared" ca="1" si="25"/>
        <v>23.845243795154744</v>
      </c>
      <c r="AB267" s="63">
        <f t="shared" ca="1" si="26"/>
        <v>23.845243795154744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45304</v>
      </c>
      <c r="K268">
        <f ca="1"/>
        <v>23.516899231241108</v>
      </c>
      <c r="L268">
        <f ca="1"/>
        <v>0</v>
      </c>
      <c r="M268">
        <f ca="1"/>
        <v>-0.54724049801674823</v>
      </c>
      <c r="N268">
        <f ca="1"/>
        <v>0.21889593410311273</v>
      </c>
      <c r="O268">
        <f ca="1"/>
        <v>0</v>
      </c>
      <c r="P268">
        <f ca="1"/>
        <v>0</v>
      </c>
      <c r="Q268">
        <f ca="1"/>
        <v>0</v>
      </c>
      <c r="R268">
        <f ca="1"/>
        <v>0</v>
      </c>
      <c r="S268">
        <f ca="1"/>
        <v>0.55687376334199068</v>
      </c>
      <c r="T268">
        <f ca="1"/>
        <v>0</v>
      </c>
      <c r="U268">
        <f ca="1"/>
        <v>0</v>
      </c>
      <c r="V268">
        <f ca="1"/>
        <v>0</v>
      </c>
      <c r="X268" s="2">
        <f t="shared" ca="1" si="29"/>
        <v>45304</v>
      </c>
      <c r="Y268">
        <f t="shared" ca="1" si="30"/>
        <v>0</v>
      </c>
      <c r="AA268" s="63">
        <f t="shared" ca="1" si="25"/>
        <v>23.516899231241108</v>
      </c>
      <c r="AB268" s="63">
        <f t="shared" ca="1" si="26"/>
        <v>23.516899231241108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45305</v>
      </c>
      <c r="K269">
        <f ca="1"/>
        <v>23.226071841434958</v>
      </c>
      <c r="L269">
        <f ca="1"/>
        <v>0</v>
      </c>
      <c r="M269">
        <f ca="1"/>
        <v>-0.51174201973986833</v>
      </c>
      <c r="N269">
        <f ca="1"/>
        <v>0.22091462993371735</v>
      </c>
      <c r="O269">
        <f ca="1"/>
        <v>0</v>
      </c>
      <c r="P269">
        <f ca="1"/>
        <v>0</v>
      </c>
      <c r="Q269">
        <f ca="1"/>
        <v>0</v>
      </c>
      <c r="R269">
        <f ca="1"/>
        <v>0</v>
      </c>
      <c r="S269">
        <f ca="1"/>
        <v>0.551541848028679</v>
      </c>
      <c r="T269">
        <f ca="1"/>
        <v>0</v>
      </c>
      <c r="U269">
        <f ca="1"/>
        <v>0</v>
      </c>
      <c r="V269">
        <f ca="1"/>
        <v>0</v>
      </c>
      <c r="X269" s="2">
        <f t="shared" ca="1" si="29"/>
        <v>45305</v>
      </c>
      <c r="Y269">
        <f t="shared" ca="1" si="30"/>
        <v>0</v>
      </c>
      <c r="AA269" s="63">
        <f t="shared" ca="1" si="25"/>
        <v>23.226071841434958</v>
      </c>
      <c r="AB269" s="63">
        <f t="shared" ca="1" si="26"/>
        <v>23.226071841434958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45306</v>
      </c>
      <c r="K270">
        <f ca="1"/>
        <v>22.969911095746752</v>
      </c>
      <c r="L270">
        <f ca="1"/>
        <v>0</v>
      </c>
      <c r="M270">
        <f ca="1"/>
        <v>-0.46922823035423811</v>
      </c>
      <c r="N270">
        <f ca="1"/>
        <v>0.2130674846660312</v>
      </c>
      <c r="O270">
        <f ca="1"/>
        <v>0</v>
      </c>
      <c r="P270">
        <f ca="1"/>
        <v>0</v>
      </c>
      <c r="Q270">
        <f ca="1"/>
        <v>0</v>
      </c>
      <c r="R270">
        <f ca="1"/>
        <v>0</v>
      </c>
      <c r="S270">
        <f ca="1"/>
        <v>0.52593446938590682</v>
      </c>
      <c r="T270">
        <f ca="1"/>
        <v>0</v>
      </c>
      <c r="U270">
        <f ca="1"/>
        <v>0</v>
      </c>
      <c r="V270">
        <f ca="1"/>
        <v>0</v>
      </c>
      <c r="X270" s="2">
        <f t="shared" ca="1" si="29"/>
        <v>45306</v>
      </c>
      <c r="Y270">
        <f t="shared" ca="1" si="30"/>
        <v>0</v>
      </c>
      <c r="AA270" s="63">
        <f t="shared" ca="1" si="25"/>
        <v>22.969911095746749</v>
      </c>
      <c r="AB270" s="63">
        <f t="shared" ca="1" si="26"/>
        <v>22.969911095746752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45307</v>
      </c>
      <c r="K271">
        <f ca="1"/>
        <v>22.756899258505964</v>
      </c>
      <c r="L271">
        <f ca="1"/>
        <v>0</v>
      </c>
      <c r="M271">
        <f ca="1"/>
        <v>-0.42976486006650916</v>
      </c>
      <c r="N271">
        <f ca="1"/>
        <v>0.21675302282572112</v>
      </c>
      <c r="O271">
        <f ca="1"/>
        <v>0</v>
      </c>
      <c r="P271">
        <f ca="1"/>
        <v>0</v>
      </c>
      <c r="Q271">
        <f ca="1"/>
        <v>0</v>
      </c>
      <c r="R271">
        <f ca="1"/>
        <v>0</v>
      </c>
      <c r="S271">
        <f ca="1"/>
        <v>0.53999386430104368</v>
      </c>
      <c r="T271">
        <f ca="1"/>
        <v>0</v>
      </c>
      <c r="U271">
        <f ca="1"/>
        <v>0</v>
      </c>
      <c r="V271">
        <f ca="1"/>
        <v>0</v>
      </c>
      <c r="X271" s="2">
        <f t="shared" ca="1" si="29"/>
        <v>45307</v>
      </c>
      <c r="Y271">
        <f t="shared" ca="1" si="30"/>
        <v>0</v>
      </c>
      <c r="AA271" s="63">
        <f t="shared" ca="1" si="25"/>
        <v>22.756899258505964</v>
      </c>
      <c r="AB271" s="63">
        <f t="shared" ca="1" si="26"/>
        <v>22.756899258505964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45308</v>
      </c>
      <c r="K272">
        <f ca="1"/>
        <v>22.585778116115435</v>
      </c>
      <c r="L272">
        <f ca="1"/>
        <v>0</v>
      </c>
      <c r="M272">
        <f ca="1"/>
        <v>-0.38765006335133556</v>
      </c>
      <c r="N272">
        <f ca="1"/>
        <v>0.21652892096080575</v>
      </c>
      <c r="O272">
        <f ca="1"/>
        <v>0</v>
      </c>
      <c r="P272">
        <f ca="1"/>
        <v>1.5506245596055472</v>
      </c>
      <c r="Q272">
        <f ca="1"/>
        <v>1.4348311671674707</v>
      </c>
      <c r="R272">
        <f ca="1"/>
        <v>0</v>
      </c>
      <c r="S272">
        <f ca="1"/>
        <v>0.55148683763715245</v>
      </c>
      <c r="T272">
        <f ca="1"/>
        <v>0</v>
      </c>
      <c r="U272">
        <f ca="1"/>
        <v>0</v>
      </c>
      <c r="V272">
        <f ca="1"/>
        <v>7.6151880498666596E-3</v>
      </c>
      <c r="X272" s="2">
        <f t="shared" ca="1" si="29"/>
        <v>45308</v>
      </c>
      <c r="Y272">
        <f t="shared" ca="1" si="30"/>
        <v>0</v>
      </c>
      <c r="AA272" s="63">
        <f t="shared" ref="AA272:AA335" ca="1" si="32">K271+M272+N272+O272</f>
        <v>22.585778116115435</v>
      </c>
      <c r="AB272" s="63">
        <f t="shared" ref="AB272:AB335" ca="1" si="33">K272+L272+R272</f>
        <v>22.585778116115435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45309</v>
      </c>
      <c r="K273">
        <f ca="1"/>
        <v>22.363381844917964</v>
      </c>
      <c r="L273">
        <f ca="1"/>
        <v>8.2402232981111823E-2</v>
      </c>
      <c r="M273">
        <f ca="1"/>
        <v>-0.35562932485969512</v>
      </c>
      <c r="N273">
        <f ca="1"/>
        <v>0.21563528664333559</v>
      </c>
      <c r="O273">
        <f ca="1"/>
        <v>0</v>
      </c>
      <c r="P273">
        <f ca="1"/>
        <v>1.6330267925866591</v>
      </c>
      <c r="Q273">
        <f ca="1"/>
        <v>1.5110799866467459</v>
      </c>
      <c r="R273">
        <f ca="1"/>
        <v>0</v>
      </c>
      <c r="S273">
        <f ca="1"/>
        <v>0.54557756331359064</v>
      </c>
      <c r="T273">
        <f ca="1"/>
        <v>0</v>
      </c>
      <c r="U273">
        <f ca="1"/>
        <v>0</v>
      </c>
      <c r="V273">
        <f ca="1"/>
        <v>8.6665551885986916E-3</v>
      </c>
      <c r="X273" s="2">
        <f t="shared" ca="1" si="29"/>
        <v>45309</v>
      </c>
      <c r="Y273">
        <f t="shared" ca="1" si="30"/>
        <v>0</v>
      </c>
      <c r="AA273" s="63">
        <f t="shared" ca="1" si="32"/>
        <v>22.445784077899077</v>
      </c>
      <c r="AB273" s="63">
        <f t="shared" ca="1" si="33"/>
        <v>22.445784077899077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45310</v>
      </c>
      <c r="K274">
        <f ca="1"/>
        <v>22.163276198174373</v>
      </c>
      <c r="L274">
        <f ca="1"/>
        <v>8.8144582281053374E-2</v>
      </c>
      <c r="M274">
        <f ca="1"/>
        <v>-0.33051001276962921</v>
      </c>
      <c r="N274">
        <f ca="1"/>
        <v>0.21854894830708996</v>
      </c>
      <c r="O274">
        <f ca="1"/>
        <v>0</v>
      </c>
      <c r="P274">
        <f ca="1"/>
        <v>1.7211713748677124</v>
      </c>
      <c r="Q274">
        <f ca="1"/>
        <v>1.5926423436275909</v>
      </c>
      <c r="R274">
        <f ca="1"/>
        <v>0</v>
      </c>
      <c r="S274">
        <f ca="1"/>
        <v>0.53955024128082085</v>
      </c>
      <c r="T274">
        <f ca="1"/>
        <v>0</v>
      </c>
      <c r="U274">
        <f ca="1"/>
        <v>0</v>
      </c>
      <c r="V274">
        <f ca="1"/>
        <v>9.8816435122381988E-3</v>
      </c>
      <c r="X274" s="2">
        <f t="shared" ca="1" si="29"/>
        <v>45310</v>
      </c>
      <c r="Y274">
        <f t="shared" ca="1" si="30"/>
        <v>0</v>
      </c>
      <c r="AA274" s="63">
        <f t="shared" ca="1" si="32"/>
        <v>22.251420780455426</v>
      </c>
      <c r="AB274" s="63">
        <f t="shared" ca="1" si="33"/>
        <v>22.251420780455426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45311</v>
      </c>
      <c r="K275">
        <f ca="1"/>
        <v>21.982200066970886</v>
      </c>
      <c r="L275">
        <f ca="1"/>
        <v>9.2507196177584516E-2</v>
      </c>
      <c r="M275">
        <f ca="1"/>
        <v>-0.29849097301823235</v>
      </c>
      <c r="N275">
        <f ca="1"/>
        <v>0.20992203799233081</v>
      </c>
      <c r="O275">
        <f ca="1"/>
        <v>0</v>
      </c>
      <c r="P275">
        <f ca="1"/>
        <v>1.813678571045297</v>
      </c>
      <c r="Q275">
        <f ca="1"/>
        <v>1.6782415348958104</v>
      </c>
      <c r="R275">
        <f ca="1"/>
        <v>0</v>
      </c>
      <c r="S275">
        <f ca="1"/>
        <v>0.51300382510832843</v>
      </c>
      <c r="T275">
        <f ca="1"/>
        <v>0</v>
      </c>
      <c r="U275">
        <f ca="1"/>
        <v>0</v>
      </c>
      <c r="V275">
        <f ca="1"/>
        <v>1.125965381977662E-2</v>
      </c>
      <c r="X275" s="2">
        <f t="shared" ca="1" si="29"/>
        <v>45311</v>
      </c>
      <c r="Y275">
        <f t="shared" ca="1" si="30"/>
        <v>0</v>
      </c>
      <c r="AA275" s="63">
        <f t="shared" ca="1" si="32"/>
        <v>22.074707263148472</v>
      </c>
      <c r="AB275" s="63">
        <f t="shared" ca="1" si="33"/>
        <v>22.074707263148472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45312</v>
      </c>
      <c r="K276">
        <f ca="1"/>
        <v>21.86295426510064</v>
      </c>
      <c r="L276">
        <f ca="1"/>
        <v>9.8666429661955934E-2</v>
      </c>
      <c r="M276">
        <f ca="1"/>
        <v>-0.27416422868908796</v>
      </c>
      <c r="N276">
        <f ca="1"/>
        <v>0.25358485648079948</v>
      </c>
      <c r="O276">
        <f ca="1"/>
        <v>0</v>
      </c>
      <c r="P276">
        <f ca="1"/>
        <v>1.9123450007072529</v>
      </c>
      <c r="Q276">
        <f ca="1"/>
        <v>1.7695400168882049</v>
      </c>
      <c r="R276">
        <f ca="1"/>
        <v>0</v>
      </c>
      <c r="S276">
        <f ca="1"/>
        <v>0.64234412894313075</v>
      </c>
      <c r="T276">
        <f ca="1"/>
        <v>0</v>
      </c>
      <c r="U276">
        <f ca="1"/>
        <v>0</v>
      </c>
      <c r="V276">
        <f ca="1"/>
        <v>1.2847916510203897E-2</v>
      </c>
      <c r="X276" s="2">
        <f t="shared" ca="1" si="29"/>
        <v>45312</v>
      </c>
      <c r="Y276">
        <f t="shared" ca="1" si="30"/>
        <v>0</v>
      </c>
      <c r="AA276" s="63">
        <f t="shared" ca="1" si="32"/>
        <v>21.961620694762598</v>
      </c>
      <c r="AB276" s="63">
        <f t="shared" ca="1" si="33"/>
        <v>21.961620694762598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45313</v>
      </c>
      <c r="K277">
        <f ca="1"/>
        <v>21.773673455163504</v>
      </c>
      <c r="L277">
        <f ca="1"/>
        <v>0.10449220275962356</v>
      </c>
      <c r="M277">
        <f ca="1"/>
        <v>-0.24813693231639178</v>
      </c>
      <c r="N277">
        <f ca="1"/>
        <v>0.26334832513887746</v>
      </c>
      <c r="O277">
        <f ca="1"/>
        <v>0</v>
      </c>
      <c r="P277">
        <f ca="1"/>
        <v>2.0168372034668764</v>
      </c>
      <c r="Q277">
        <f ca="1"/>
        <v>1.8662292304807138</v>
      </c>
      <c r="R277">
        <f ca="1"/>
        <v>0</v>
      </c>
      <c r="S277">
        <f ca="1"/>
        <v>0.66575534297446104</v>
      </c>
      <c r="T277">
        <f ca="1"/>
        <v>0</v>
      </c>
      <c r="U277">
        <f ca="1"/>
        <v>0</v>
      </c>
      <c r="V277">
        <f ca="1"/>
        <v>1.4666073571756772E-2</v>
      </c>
      <c r="X277" s="2">
        <f t="shared" ca="1" si="29"/>
        <v>45313</v>
      </c>
      <c r="Y277">
        <f t="shared" ca="1" si="30"/>
        <v>0</v>
      </c>
      <c r="AA277" s="63">
        <f t="shared" ca="1" si="32"/>
        <v>21.878165657923127</v>
      </c>
      <c r="AB277" s="63">
        <f t="shared" ca="1" si="33"/>
        <v>21.878165657923127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45314</v>
      </c>
      <c r="K278">
        <f ca="1"/>
        <v>21.701081485818328</v>
      </c>
      <c r="L278">
        <f ca="1"/>
        <v>0.11026503204297278</v>
      </c>
      <c r="M278">
        <f ca="1"/>
        <v>-0.22239742517200511</v>
      </c>
      <c r="N278">
        <f ca="1"/>
        <v>0.26007048786979925</v>
      </c>
      <c r="O278">
        <f ca="1"/>
        <v>0</v>
      </c>
      <c r="P278">
        <f ca="1"/>
        <v>2.1271022355098492</v>
      </c>
      <c r="Q278">
        <f ca="1"/>
        <v>1.9682601854555422</v>
      </c>
      <c r="R278">
        <f ca="1"/>
        <v>0</v>
      </c>
      <c r="S278">
        <f ca="1"/>
        <v>0.65525948120289101</v>
      </c>
      <c r="T278">
        <f ca="1"/>
        <v>0</v>
      </c>
      <c r="U278">
        <f ca="1"/>
        <v>0</v>
      </c>
      <c r="V278">
        <f ca="1"/>
        <v>1.6739486150287624E-2</v>
      </c>
      <c r="X278" s="2">
        <f t="shared" ca="1" si="29"/>
        <v>45314</v>
      </c>
      <c r="Y278">
        <f t="shared" ca="1" si="30"/>
        <v>0</v>
      </c>
      <c r="AA278" s="63">
        <f t="shared" ca="1" si="32"/>
        <v>21.811346517861299</v>
      </c>
      <c r="AB278" s="63">
        <f t="shared" ca="1" si="33"/>
        <v>21.811346517861303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45315</v>
      </c>
      <c r="K279">
        <f ca="1"/>
        <v>21.651636126562973</v>
      </c>
      <c r="L279">
        <f ca="1"/>
        <v>0.11648224968861287</v>
      </c>
      <c r="M279">
        <f ca="1"/>
        <v>-0.19851769000148067</v>
      </c>
      <c r="N279">
        <f ca="1"/>
        <v>0.26555458043473962</v>
      </c>
      <c r="O279">
        <f ca="1"/>
        <v>0</v>
      </c>
      <c r="P279">
        <f ca="1"/>
        <v>2.2435844851984621</v>
      </c>
      <c r="Q279">
        <f ca="1"/>
        <v>2.0760440853297455</v>
      </c>
      <c r="R279">
        <f ca="1"/>
        <v>0</v>
      </c>
      <c r="S279">
        <f ca="1"/>
        <v>0.66873584357634297</v>
      </c>
      <c r="T279">
        <f ca="1"/>
        <v>0</v>
      </c>
      <c r="U279">
        <f ca="1"/>
        <v>0</v>
      </c>
      <c r="V279">
        <f ca="1"/>
        <v>1.9105635905283531E-2</v>
      </c>
      <c r="X279" s="2">
        <f t="shared" ca="1" si="29"/>
        <v>45315</v>
      </c>
      <c r="Y279">
        <f t="shared" ca="1" si="30"/>
        <v>0</v>
      </c>
      <c r="AA279" s="63">
        <f t="shared" ca="1" si="32"/>
        <v>21.768118376251586</v>
      </c>
      <c r="AB279" s="63">
        <f t="shared" ca="1" si="33"/>
        <v>21.768118376251586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45316</v>
      </c>
      <c r="K280">
        <f ca="1"/>
        <v>21.623505892795674</v>
      </c>
      <c r="L280">
        <f ca="1"/>
        <v>0.12431248680417406</v>
      </c>
      <c r="M280">
        <f ca="1"/>
        <v>-0.17824809437372835</v>
      </c>
      <c r="N280">
        <f ca="1"/>
        <v>0.2744303474106044</v>
      </c>
      <c r="O280">
        <f ca="1"/>
        <v>0</v>
      </c>
      <c r="P280">
        <f ca="1"/>
        <v>2.3678969720026362</v>
      </c>
      <c r="Q280">
        <f ca="1"/>
        <v>2.1910734968206214</v>
      </c>
      <c r="R280">
        <f ca="1"/>
        <v>0</v>
      </c>
      <c r="S280">
        <f ca="1"/>
        <v>0.68089803628490142</v>
      </c>
      <c r="T280">
        <f ca="1"/>
        <v>0</v>
      </c>
      <c r="U280">
        <f ca="1"/>
        <v>0</v>
      </c>
      <c r="V280">
        <f ca="1"/>
        <v>2.1833478475928626E-2</v>
      </c>
      <c r="X280" s="2">
        <f t="shared" ca="1" si="29"/>
        <v>45316</v>
      </c>
      <c r="Y280">
        <f t="shared" ca="1" si="30"/>
        <v>0</v>
      </c>
      <c r="AA280" s="63">
        <f t="shared" ca="1" si="32"/>
        <v>21.747818379599849</v>
      </c>
      <c r="AB280" s="63">
        <f t="shared" ca="1" si="33"/>
        <v>21.747818379599849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45317</v>
      </c>
      <c r="K281">
        <f ca="1"/>
        <v>21.597429949714897</v>
      </c>
      <c r="L281">
        <f ca="1"/>
        <v>0.13195866411510737</v>
      </c>
      <c r="M281">
        <f ca="1"/>
        <v>-0.15740747088636198</v>
      </c>
      <c r="N281">
        <f ca="1"/>
        <v>0.26329019192069192</v>
      </c>
      <c r="O281">
        <f ca="1"/>
        <v>0</v>
      </c>
      <c r="P281">
        <f ca="1"/>
        <v>2.4998556361177435</v>
      </c>
      <c r="Q281">
        <f ca="1"/>
        <v>2.3131781048492108</v>
      </c>
      <c r="R281">
        <f ca="1"/>
        <v>0</v>
      </c>
      <c r="S281">
        <f ca="1"/>
        <v>0.64328466784523775</v>
      </c>
      <c r="T281">
        <f ca="1"/>
        <v>0</v>
      </c>
      <c r="U281">
        <f ca="1"/>
        <v>0</v>
      </c>
      <c r="V281">
        <f ca="1"/>
        <v>2.4961500223006573E-2</v>
      </c>
      <c r="X281" s="2">
        <f t="shared" ca="1" si="29"/>
        <v>45317</v>
      </c>
      <c r="Y281">
        <f t="shared" ca="1" si="30"/>
        <v>0</v>
      </c>
      <c r="AA281" s="63">
        <f t="shared" ca="1" si="32"/>
        <v>21.729388613830004</v>
      </c>
      <c r="AB281" s="63">
        <f t="shared" ca="1" si="33"/>
        <v>21.729388613830004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45318</v>
      </c>
      <c r="K282">
        <f ca="1"/>
        <v>21.581108102475319</v>
      </c>
      <c r="L282">
        <f ca="1"/>
        <v>0.1367947260468565</v>
      </c>
      <c r="M282">
        <f ca="1"/>
        <v>-0.13365490066897223</v>
      </c>
      <c r="N282">
        <f ca="1"/>
        <v>0.25412777947624932</v>
      </c>
      <c r="O282">
        <f ca="1"/>
        <v>0</v>
      </c>
      <c r="P282">
        <f ca="1"/>
        <v>2.6366503621646</v>
      </c>
      <c r="Q282">
        <f ca="1"/>
        <v>2.4397576403146459</v>
      </c>
      <c r="R282">
        <f ca="1"/>
        <v>0</v>
      </c>
      <c r="S282">
        <f ca="1"/>
        <v>0.63464677795289914</v>
      </c>
      <c r="T282">
        <f ca="1"/>
        <v>0</v>
      </c>
      <c r="U282">
        <f ca="1"/>
        <v>0</v>
      </c>
      <c r="V282">
        <f ca="1"/>
        <v>2.8460112111480612E-2</v>
      </c>
      <c r="X282" s="2">
        <f t="shared" ca="1" si="29"/>
        <v>45318</v>
      </c>
      <c r="Y282">
        <f t="shared" ca="1" si="30"/>
        <v>0</v>
      </c>
      <c r="AA282" s="63">
        <f t="shared" ca="1" si="32"/>
        <v>21.717902828522174</v>
      </c>
      <c r="AB282" s="63">
        <f t="shared" ca="1" si="33"/>
        <v>21.717902828522178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45319</v>
      </c>
      <c r="K283">
        <f ca="1"/>
        <v>21.567461244352621</v>
      </c>
      <c r="L283">
        <f ca="1"/>
        <v>0.14542535513421528</v>
      </c>
      <c r="M283">
        <f ca="1"/>
        <v>-0.11624053176321425</v>
      </c>
      <c r="N283">
        <f ca="1"/>
        <v>0.24801902877473189</v>
      </c>
      <c r="O283">
        <f ca="1"/>
        <v>0</v>
      </c>
      <c r="P283">
        <f ca="1"/>
        <v>2.7820757172988153</v>
      </c>
      <c r="Q283">
        <f ca="1"/>
        <v>2.5743233098381895</v>
      </c>
      <c r="R283">
        <f ca="1"/>
        <v>0</v>
      </c>
      <c r="S283">
        <f ca="1"/>
        <v>0.60770419577431489</v>
      </c>
      <c r="T283">
        <f ca="1"/>
        <v>0</v>
      </c>
      <c r="U283">
        <f ca="1"/>
        <v>0</v>
      </c>
      <c r="V283">
        <f ca="1"/>
        <v>3.2468242923406894E-2</v>
      </c>
      <c r="X283" s="2">
        <f t="shared" ca="1" si="29"/>
        <v>45319</v>
      </c>
      <c r="Y283">
        <f t="shared" ca="1" si="30"/>
        <v>0</v>
      </c>
      <c r="AA283" s="63">
        <f t="shared" ca="1" si="32"/>
        <v>21.712886599486836</v>
      </c>
      <c r="AB283" s="63">
        <f t="shared" ca="1" si="33"/>
        <v>21.712886599486836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45320</v>
      </c>
      <c r="K284">
        <f ca="1"/>
        <v>21.558343474744149</v>
      </c>
      <c r="L284">
        <f ca="1"/>
        <v>0.15530146699217839</v>
      </c>
      <c r="M284">
        <f ca="1"/>
        <v>-0.1000513208546181</v>
      </c>
      <c r="N284">
        <f ca="1"/>
        <v>0.24623501823832369</v>
      </c>
      <c r="O284">
        <f ca="1"/>
        <v>0</v>
      </c>
      <c r="P284">
        <f ca="1"/>
        <v>2.9373771842909937</v>
      </c>
      <c r="Q284">
        <f ca="1"/>
        <v>2.7180275893601729</v>
      </c>
      <c r="R284">
        <f ca="1"/>
        <v>0</v>
      </c>
      <c r="S284">
        <f ca="1"/>
        <v>0.58930784946631853</v>
      </c>
      <c r="T284">
        <f ca="1"/>
        <v>0</v>
      </c>
      <c r="U284">
        <f ca="1"/>
        <v>0</v>
      </c>
      <c r="V284">
        <f ca="1"/>
        <v>3.7079788761938404E-2</v>
      </c>
      <c r="X284" s="2">
        <f t="shared" ca="1" si="29"/>
        <v>45320</v>
      </c>
      <c r="Y284">
        <f t="shared" ca="1" si="30"/>
        <v>0</v>
      </c>
      <c r="AA284" s="63">
        <f t="shared" ca="1" si="32"/>
        <v>21.713644941736327</v>
      </c>
      <c r="AB284" s="63">
        <f t="shared" ca="1" si="33"/>
        <v>21.713644941736327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45321</v>
      </c>
      <c r="K285">
        <f ca="1"/>
        <v>21.561377049961987</v>
      </c>
      <c r="L285">
        <f ca="1"/>
        <v>0.16591972873147798</v>
      </c>
      <c r="M285">
        <f ca="1"/>
        <v>-8.4309429212396481E-2</v>
      </c>
      <c r="N285">
        <f ca="1"/>
        <v>0.25326273316171105</v>
      </c>
      <c r="O285">
        <f ca="1"/>
        <v>0</v>
      </c>
      <c r="P285">
        <f ca="1"/>
        <v>3.1032969130224717</v>
      </c>
      <c r="Q285">
        <f ca="1"/>
        <v>2.8715572084785856</v>
      </c>
      <c r="R285">
        <f ca="1"/>
        <v>0</v>
      </c>
      <c r="S285">
        <f ca="1"/>
        <v>0.59751719088639577</v>
      </c>
      <c r="T285">
        <f ca="1"/>
        <v>0</v>
      </c>
      <c r="U285">
        <f ca="1"/>
        <v>0</v>
      </c>
      <c r="V285">
        <f ca="1"/>
        <v>4.2386392206681882E-2</v>
      </c>
      <c r="X285" s="2">
        <f t="shared" ca="1" si="29"/>
        <v>45321</v>
      </c>
      <c r="Y285">
        <f t="shared" ca="1" si="30"/>
        <v>0</v>
      </c>
      <c r="AA285" s="63">
        <f t="shared" ca="1" si="32"/>
        <v>21.727296778693464</v>
      </c>
      <c r="AB285" s="63">
        <f t="shared" ca="1" si="33"/>
        <v>21.727296778693464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45322</v>
      </c>
      <c r="K286">
        <f ca="1"/>
        <v>21.572384998650591</v>
      </c>
      <c r="L286">
        <f ca="1"/>
        <v>0.17460314652088105</v>
      </c>
      <c r="M286">
        <f ca="1"/>
        <v>-6.7769335251146146E-2</v>
      </c>
      <c r="N286">
        <f ca="1"/>
        <v>0.25338043046063108</v>
      </c>
      <c r="O286">
        <f ca="1"/>
        <v>0</v>
      </c>
      <c r="P286">
        <f ca="1"/>
        <v>3.2779000595433527</v>
      </c>
      <c r="Q286">
        <f ca="1"/>
        <v>3.0331218083436871</v>
      </c>
      <c r="R286">
        <f ca="1"/>
        <v>0</v>
      </c>
      <c r="S286">
        <f ca="1"/>
        <v>0.60107885502332714</v>
      </c>
      <c r="T286">
        <f ca="1"/>
        <v>0</v>
      </c>
      <c r="U286">
        <f ca="1"/>
        <v>0</v>
      </c>
      <c r="V286">
        <f ca="1"/>
        <v>4.839474639201935E-2</v>
      </c>
      <c r="X286" s="2">
        <f t="shared" ca="1" si="29"/>
        <v>45322</v>
      </c>
      <c r="Y286">
        <f t="shared" ca="1" si="30"/>
        <v>0</v>
      </c>
      <c r="AA286" s="63">
        <f t="shared" ca="1" si="32"/>
        <v>21.746988145171471</v>
      </c>
      <c r="AB286" s="63">
        <f t="shared" ca="1" si="33"/>
        <v>21.746988145171471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45323</v>
      </c>
      <c r="K287">
        <f ca="1"/>
        <v>21.577124534612416</v>
      </c>
      <c r="L287">
        <f ca="1"/>
        <v>0.18523255753426549</v>
      </c>
      <c r="M287">
        <f ca="1"/>
        <v>-5.3120249762763194E-2</v>
      </c>
      <c r="N287">
        <f ca="1"/>
        <v>0.24309234325885468</v>
      </c>
      <c r="O287">
        <f ca="1"/>
        <v>0</v>
      </c>
      <c r="P287">
        <f ca="1"/>
        <v>3.4631326170776182</v>
      </c>
      <c r="Q287">
        <f ca="1"/>
        <v>3.2045220645036396</v>
      </c>
      <c r="R287">
        <f ca="1"/>
        <v>0</v>
      </c>
      <c r="S287">
        <f ca="1"/>
        <v>0.56461836190812986</v>
      </c>
      <c r="T287">
        <f ca="1"/>
        <v>0</v>
      </c>
      <c r="U287">
        <f ca="1"/>
        <v>0</v>
      </c>
      <c r="V287">
        <f ca="1"/>
        <v>5.5242528819339255E-2</v>
      </c>
      <c r="X287" s="2">
        <f t="shared" ca="1" si="29"/>
        <v>45323</v>
      </c>
      <c r="Y287">
        <f t="shared" ca="1" si="30"/>
        <v>0</v>
      </c>
      <c r="AA287" s="63">
        <f t="shared" ca="1" si="32"/>
        <v>21.762357092146683</v>
      </c>
      <c r="AB287" s="63">
        <f t="shared" ca="1" si="33"/>
        <v>21.762357092146683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45324</v>
      </c>
      <c r="K288">
        <f ca="1"/>
        <v>21.593384373272436</v>
      </c>
      <c r="L288">
        <f ca="1"/>
        <v>0.19328888435161495</v>
      </c>
      <c r="M288">
        <f ca="1"/>
        <v>-3.8589967510191059E-2</v>
      </c>
      <c r="N288">
        <f ca="1"/>
        <v>0.24813869052182327</v>
      </c>
      <c r="O288">
        <f ca="1"/>
        <v>0</v>
      </c>
      <c r="P288">
        <f ca="1"/>
        <v>3.6564215014292332</v>
      </c>
      <c r="Q288">
        <f ca="1"/>
        <v>3.3833770386601669</v>
      </c>
      <c r="R288">
        <f ca="1"/>
        <v>0</v>
      </c>
      <c r="S288">
        <f ca="1"/>
        <v>0.5918511726490282</v>
      </c>
      <c r="T288">
        <f ca="1"/>
        <v>0</v>
      </c>
      <c r="U288">
        <f ca="1"/>
        <v>0</v>
      </c>
      <c r="V288">
        <f ca="1"/>
        <v>6.2903508550455442E-2</v>
      </c>
      <c r="X288" s="2">
        <f t="shared" ca="1" si="29"/>
        <v>45324</v>
      </c>
      <c r="Y288">
        <f t="shared" ca="1" si="30"/>
        <v>0</v>
      </c>
      <c r="AA288" s="63">
        <f t="shared" ca="1" si="32"/>
        <v>21.786673257624049</v>
      </c>
      <c r="AB288" s="63">
        <f t="shared" ca="1" si="33"/>
        <v>21.786673257624052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45325</v>
      </c>
      <c r="K289">
        <f ca="1"/>
        <v>21.599504479880459</v>
      </c>
      <c r="L289">
        <f ca="1"/>
        <v>0.20152933134034168</v>
      </c>
      <c r="M289">
        <f ca="1"/>
        <v>-2.56883271389583E-2</v>
      </c>
      <c r="N289">
        <f ca="1"/>
        <v>0.23333776508732432</v>
      </c>
      <c r="O289">
        <f ca="1"/>
        <v>0</v>
      </c>
      <c r="P289">
        <f ca="1"/>
        <v>3.8579508327695748</v>
      </c>
      <c r="Q289">
        <f ca="1"/>
        <v>3.5698571017510679</v>
      </c>
      <c r="R289">
        <f ca="1"/>
        <v>0</v>
      </c>
      <c r="S289">
        <f ca="1"/>
        <v>0.55756980701319414</v>
      </c>
      <c r="T289">
        <f ca="1"/>
        <v>0</v>
      </c>
      <c r="U289">
        <f ca="1"/>
        <v>0</v>
      </c>
      <c r="V289">
        <f ca="1"/>
        <v>7.1443351070160754E-2</v>
      </c>
      <c r="X289" s="2">
        <f t="shared" ca="1" si="29"/>
        <v>45325</v>
      </c>
      <c r="Y289">
        <f t="shared" ca="1" si="30"/>
        <v>0</v>
      </c>
      <c r="AA289" s="63">
        <f t="shared" ca="1" si="32"/>
        <v>21.801033811220801</v>
      </c>
      <c r="AB289" s="63">
        <f t="shared" ca="1" si="33"/>
        <v>21.801033811220801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45326</v>
      </c>
      <c r="K290">
        <f ca="1"/>
        <v>21.619669527703085</v>
      </c>
      <c r="L290">
        <f ca="1"/>
        <v>0.20543957835919979</v>
      </c>
      <c r="M290">
        <f ca="1"/>
        <v>-1.3994117921846794E-2</v>
      </c>
      <c r="N290">
        <f ca="1"/>
        <v>0.23959874410367291</v>
      </c>
      <c r="O290">
        <f ca="1"/>
        <v>0</v>
      </c>
      <c r="P290">
        <f ca="1"/>
        <v>4.0633904111287746</v>
      </c>
      <c r="Q290">
        <f ca="1"/>
        <v>3.7599554128951325</v>
      </c>
      <c r="R290">
        <f ca="1"/>
        <v>0</v>
      </c>
      <c r="S290">
        <f ca="1"/>
        <v>0.61137516517771795</v>
      </c>
      <c r="T290">
        <f ca="1"/>
        <v>0</v>
      </c>
      <c r="U290">
        <f ca="1"/>
        <v>0</v>
      </c>
      <c r="V290">
        <f ca="1"/>
        <v>8.0716941688170563E-2</v>
      </c>
      <c r="X290" s="2">
        <f t="shared" ca="1" si="29"/>
        <v>45326</v>
      </c>
      <c r="Y290">
        <f t="shared" ca="1" si="30"/>
        <v>0</v>
      </c>
      <c r="AA290" s="63">
        <f t="shared" ca="1" si="32"/>
        <v>21.825109106062285</v>
      </c>
      <c r="AB290" s="63">
        <f t="shared" ca="1" si="33"/>
        <v>21.825109106062285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45327</v>
      </c>
      <c r="K291">
        <f ca="1"/>
        <v>21.639258429175189</v>
      </c>
      <c r="L291">
        <f ca="1"/>
        <v>0.2217355903491427</v>
      </c>
      <c r="M291">
        <f ca="1"/>
        <v>-4.3632103646977782E-3</v>
      </c>
      <c r="N291">
        <f ca="1"/>
        <v>0.24568770218594552</v>
      </c>
      <c r="O291">
        <f ca="1"/>
        <v>0</v>
      </c>
      <c r="P291">
        <f ca="1"/>
        <v>4.2851260014779173</v>
      </c>
      <c r="Q291">
        <f ca="1"/>
        <v>3.9651328260428778</v>
      </c>
      <c r="R291">
        <f ca="1"/>
        <v>0</v>
      </c>
      <c r="S291">
        <f ca="1"/>
        <v>0.6044297241916281</v>
      </c>
      <c r="T291">
        <f ca="1"/>
        <v>0</v>
      </c>
      <c r="U291">
        <f ca="1"/>
        <v>0</v>
      </c>
      <c r="V291">
        <f ca="1"/>
        <v>9.1351242145708819E-2</v>
      </c>
      <c r="X291" s="2">
        <f t="shared" ca="1" si="29"/>
        <v>45327</v>
      </c>
      <c r="Y291">
        <f t="shared" ca="1" si="30"/>
        <v>0</v>
      </c>
      <c r="AA291" s="63">
        <f t="shared" ca="1" si="32"/>
        <v>21.860994019524334</v>
      </c>
      <c r="AB291" s="63">
        <f t="shared" ca="1" si="33"/>
        <v>21.860994019524334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45328</v>
      </c>
      <c r="K292">
        <f ca="1"/>
        <v>21.63878627516138</v>
      </c>
      <c r="L292">
        <f ca="1"/>
        <v>0.23208284839468085</v>
      </c>
      <c r="M292">
        <f ca="1"/>
        <v>5.0429600117603002E-3</v>
      </c>
      <c r="N292">
        <f ca="1"/>
        <v>0.22656773436911218</v>
      </c>
      <c r="O292">
        <f ca="1"/>
        <v>0</v>
      </c>
      <c r="P292">
        <f ca="1"/>
        <v>4.5172088498725982</v>
      </c>
      <c r="Q292">
        <f ca="1"/>
        <v>4.1798848123821113</v>
      </c>
      <c r="R292">
        <f ca="1"/>
        <v>0</v>
      </c>
      <c r="S292">
        <f ca="1"/>
        <v>0.5501553952647944</v>
      </c>
      <c r="T292">
        <f ca="1"/>
        <v>0</v>
      </c>
      <c r="U292">
        <f ca="1"/>
        <v>0</v>
      </c>
      <c r="V292">
        <f ca="1"/>
        <v>0.10315086824018324</v>
      </c>
      <c r="X292" s="2">
        <f t="shared" ca="1" si="29"/>
        <v>45328</v>
      </c>
      <c r="Y292">
        <f t="shared" ca="1" si="30"/>
        <v>0</v>
      </c>
      <c r="AA292" s="63">
        <f t="shared" ca="1" si="32"/>
        <v>21.870869123556062</v>
      </c>
      <c r="AB292" s="63">
        <f t="shared" ca="1" si="33"/>
        <v>21.870869123556062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45329</v>
      </c>
      <c r="K293">
        <f ca="1"/>
        <v>21.624266231360004</v>
      </c>
      <c r="L293">
        <f ca="1"/>
        <v>0.24582226277863306</v>
      </c>
      <c r="M293">
        <f ca="1"/>
        <v>1.3791794858335038E-2</v>
      </c>
      <c r="N293">
        <f ca="1"/>
        <v>0.2175104241189226</v>
      </c>
      <c r="O293">
        <f ca="1"/>
        <v>0</v>
      </c>
      <c r="P293">
        <f ca="1"/>
        <v>4.7630311126512312</v>
      </c>
      <c r="Q293">
        <f ca="1"/>
        <v>4.4073502178753277</v>
      </c>
      <c r="R293">
        <f ca="1"/>
        <v>0</v>
      </c>
      <c r="S293">
        <f ca="1"/>
        <v>0.5133075638430783</v>
      </c>
      <c r="T293">
        <f ca="1"/>
        <v>0</v>
      </c>
      <c r="U293">
        <f ca="1"/>
        <v>0</v>
      </c>
      <c r="V293">
        <f ca="1"/>
        <v>0.11635940092663848</v>
      </c>
      <c r="X293" s="2">
        <f t="shared" ca="1" si="29"/>
        <v>45329</v>
      </c>
      <c r="Y293">
        <f t="shared" ca="1" si="30"/>
        <v>0</v>
      </c>
      <c r="AA293" s="63">
        <f t="shared" ca="1" si="32"/>
        <v>21.870088494138638</v>
      </c>
      <c r="AB293" s="63">
        <f t="shared" ca="1" si="33"/>
        <v>21.870088494138635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45330</v>
      </c>
      <c r="K294">
        <f ca="1"/>
        <v>21.603210408299038</v>
      </c>
      <c r="L294">
        <f ca="1"/>
        <v>0.25861080934619451</v>
      </c>
      <c r="M294">
        <f ca="1"/>
        <v>2.1813760822411155E-2</v>
      </c>
      <c r="N294">
        <f ca="1"/>
        <v>0.21574122546281921</v>
      </c>
      <c r="O294">
        <f ca="1"/>
        <v>0</v>
      </c>
      <c r="P294">
        <f ca="1"/>
        <v>5.0216419219974258</v>
      </c>
      <c r="Q294">
        <f ca="1"/>
        <v>4.646649181069046</v>
      </c>
      <c r="R294">
        <f ca="1"/>
        <v>0</v>
      </c>
      <c r="S294">
        <f ca="1"/>
        <v>0.50821559339183353</v>
      </c>
      <c r="T294">
        <f ca="1"/>
        <v>0</v>
      </c>
      <c r="U294">
        <f ca="1"/>
        <v>0</v>
      </c>
      <c r="V294">
        <f ca="1"/>
        <v>0.1309961464081395</v>
      </c>
      <c r="X294" s="2">
        <f t="shared" ca="1" si="29"/>
        <v>45330</v>
      </c>
      <c r="Y294">
        <f t="shared" ca="1" si="30"/>
        <v>0</v>
      </c>
      <c r="AA294" s="63">
        <f t="shared" ca="1" si="32"/>
        <v>21.861821217645232</v>
      </c>
      <c r="AB294" s="63">
        <f t="shared" ca="1" si="33"/>
        <v>21.861821217645232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45331</v>
      </c>
      <c r="K295">
        <f ca="1"/>
        <v>21.56706302516832</v>
      </c>
      <c r="L295">
        <f ca="1"/>
        <v>0.27420377990689104</v>
      </c>
      <c r="M295">
        <f ca="1"/>
        <v>2.8186950426167812E-2</v>
      </c>
      <c r="N295">
        <f ca="1"/>
        <v>0.20986944635000609</v>
      </c>
      <c r="O295">
        <f ca="1"/>
        <v>0</v>
      </c>
      <c r="P295">
        <f ca="1"/>
        <v>5.2958457019043168</v>
      </c>
      <c r="Q295">
        <f ca="1"/>
        <v>4.9003767046841897</v>
      </c>
      <c r="R295">
        <f ca="1"/>
        <v>0</v>
      </c>
      <c r="S295">
        <f ca="1"/>
        <v>0.4800165153783284</v>
      </c>
      <c r="T295">
        <f ca="1"/>
        <v>0</v>
      </c>
      <c r="U295">
        <f ca="1"/>
        <v>0</v>
      </c>
      <c r="V295">
        <f ca="1"/>
        <v>0.14728261825706584</v>
      </c>
      <c r="X295" s="2">
        <f t="shared" ca="1" si="29"/>
        <v>45331</v>
      </c>
      <c r="Y295">
        <f t="shared" ca="1" si="30"/>
        <v>0</v>
      </c>
      <c r="AA295" s="63">
        <f t="shared" ca="1" si="32"/>
        <v>21.841266805075211</v>
      </c>
      <c r="AB295" s="63">
        <f t="shared" ca="1" si="33"/>
        <v>21.841266805075211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45332</v>
      </c>
      <c r="K296">
        <f ca="1"/>
        <v>21.5188095713909</v>
      </c>
      <c r="L296">
        <f ca="1"/>
        <v>0.29447707135460277</v>
      </c>
      <c r="M296">
        <f ca="1"/>
        <v>3.4464360383697823E-2</v>
      </c>
      <c r="N296">
        <f ca="1"/>
        <v>0.21175925719348568</v>
      </c>
      <c r="O296">
        <f ca="1"/>
        <v>0</v>
      </c>
      <c r="P296">
        <f ca="1"/>
        <v>5.5903227732589196</v>
      </c>
      <c r="Q296">
        <f ca="1"/>
        <v>5.172863605125948</v>
      </c>
      <c r="R296">
        <f ca="1"/>
        <v>0</v>
      </c>
      <c r="S296">
        <f ca="1"/>
        <v>0.46647702394998025</v>
      </c>
      <c r="T296">
        <f ca="1"/>
        <v>0</v>
      </c>
      <c r="U296">
        <f ca="1"/>
        <v>0</v>
      </c>
      <c r="V296">
        <f ca="1"/>
        <v>0.16556954447888142</v>
      </c>
      <c r="X296" s="2">
        <f t="shared" ca="1" si="29"/>
        <v>45332</v>
      </c>
      <c r="Y296">
        <f t="shared" ca="1" si="30"/>
        <v>0</v>
      </c>
      <c r="AA296" s="63">
        <f t="shared" ca="1" si="32"/>
        <v>21.813286642745503</v>
      </c>
      <c r="AB296" s="63">
        <f t="shared" ca="1" si="33"/>
        <v>21.813286642745503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45333</v>
      </c>
      <c r="K297">
        <f ca="1"/>
        <v>21.462887616623004</v>
      </c>
      <c r="L297">
        <f ca="1"/>
        <v>0.31348326829854489</v>
      </c>
      <c r="M297">
        <f ca="1"/>
        <v>4.138584711039428E-2</v>
      </c>
      <c r="N297">
        <f ca="1"/>
        <v>0.21617546642025282</v>
      </c>
      <c r="O297">
        <f ca="1"/>
        <v>0</v>
      </c>
      <c r="P297">
        <f ca="1"/>
        <v>5.9038060415574645</v>
      </c>
      <c r="Q297">
        <f ca="1"/>
        <v>5.4629374085840174</v>
      </c>
      <c r="R297">
        <f ca="1"/>
        <v>0</v>
      </c>
      <c r="S297">
        <f ca="1"/>
        <v>0.47191716034039644</v>
      </c>
      <c r="T297">
        <f ca="1"/>
        <v>0</v>
      </c>
      <c r="U297">
        <f ca="1"/>
        <v>0</v>
      </c>
      <c r="V297">
        <f ca="1"/>
        <v>0.18583557892014643</v>
      </c>
      <c r="X297" s="2">
        <f t="shared" ca="1" si="29"/>
        <v>45333</v>
      </c>
      <c r="Y297">
        <f t="shared" ca="1" si="30"/>
        <v>0</v>
      </c>
      <c r="AA297" s="63">
        <f t="shared" ca="1" si="32"/>
        <v>21.776370884921548</v>
      </c>
      <c r="AB297" s="63">
        <f t="shared" ca="1" si="33"/>
        <v>21.776370884921548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45334</v>
      </c>
      <c r="K298">
        <f ca="1"/>
        <v>21.399094326233669</v>
      </c>
      <c r="L298">
        <f ca="1"/>
        <v>0.32935381252440532</v>
      </c>
      <c r="M298">
        <f ca="1"/>
        <v>4.7764800987163625E-2</v>
      </c>
      <c r="N298">
        <f ca="1"/>
        <v>0.21779572114790879</v>
      </c>
      <c r="O298">
        <f ca="1"/>
        <v>0</v>
      </c>
      <c r="P298">
        <f ca="1"/>
        <v>6.2331598540818698</v>
      </c>
      <c r="Q298">
        <f ca="1"/>
        <v>5.7676966182251066</v>
      </c>
      <c r="R298">
        <f ca="1"/>
        <v>0</v>
      </c>
      <c r="S298">
        <f ca="1"/>
        <v>0.48145306349756306</v>
      </c>
      <c r="T298">
        <f ca="1"/>
        <v>0</v>
      </c>
      <c r="U298">
        <f ca="1"/>
        <v>0</v>
      </c>
      <c r="V298">
        <f ca="1"/>
        <v>0.20788259509618059</v>
      </c>
      <c r="X298" s="2">
        <f t="shared" ca="1" si="29"/>
        <v>45334</v>
      </c>
      <c r="Y298">
        <f t="shared" ca="1" si="30"/>
        <v>0</v>
      </c>
      <c r="AA298" s="63">
        <f t="shared" ca="1" si="32"/>
        <v>21.728448138758075</v>
      </c>
      <c r="AB298" s="63">
        <f t="shared" ca="1" si="33"/>
        <v>21.728448138758075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45335</v>
      </c>
      <c r="K299">
        <f ca="1"/>
        <v>21.307568267386443</v>
      </c>
      <c r="L299">
        <f ca="1"/>
        <v>0.34355856966417253</v>
      </c>
      <c r="M299">
        <f ca="1"/>
        <v>4.7889775292677683E-2</v>
      </c>
      <c r="N299">
        <f ca="1"/>
        <v>0.20414273552426832</v>
      </c>
      <c r="O299">
        <f ca="1"/>
        <v>0</v>
      </c>
      <c r="P299">
        <f ca="1"/>
        <v>6.5767184237460423</v>
      </c>
      <c r="Q299">
        <f ca="1"/>
        <v>6.0855998401546172</v>
      </c>
      <c r="R299">
        <f ca="1"/>
        <v>0</v>
      </c>
      <c r="S299">
        <f ca="1"/>
        <v>0.44261534359401905</v>
      </c>
      <c r="T299">
        <f ca="1"/>
        <v>0</v>
      </c>
      <c r="U299">
        <f ca="1"/>
        <v>0</v>
      </c>
      <c r="V299">
        <f ca="1"/>
        <v>0.23154920604863558</v>
      </c>
      <c r="X299" s="2">
        <f t="shared" ca="1" si="29"/>
        <v>45335</v>
      </c>
      <c r="Y299">
        <f t="shared" ca="1" si="30"/>
        <v>0</v>
      </c>
      <c r="AA299" s="63">
        <f t="shared" ca="1" si="32"/>
        <v>21.651126837050615</v>
      </c>
      <c r="AB299" s="63">
        <f t="shared" ca="1" si="33"/>
        <v>21.651126837050615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45336</v>
      </c>
      <c r="K300">
        <f ca="1"/>
        <v>21.197552600917618</v>
      </c>
      <c r="L300">
        <f ca="1"/>
        <v>0.36225971118691813</v>
      </c>
      <c r="M300">
        <f ca="1"/>
        <v>5.0637365962483472E-2</v>
      </c>
      <c r="N300">
        <f ca="1"/>
        <v>0.201606678755611</v>
      </c>
      <c r="O300">
        <f ca="1"/>
        <v>0</v>
      </c>
      <c r="P300">
        <f ca="1"/>
        <v>6.9389781349329605</v>
      </c>
      <c r="Q300">
        <f ca="1"/>
        <v>6.4208076897918636</v>
      </c>
      <c r="R300">
        <f ca="1"/>
        <v>0</v>
      </c>
      <c r="S300">
        <f ca="1"/>
        <v>0.43177232792956266</v>
      </c>
      <c r="T300">
        <f ca="1"/>
        <v>0</v>
      </c>
      <c r="U300">
        <f ca="1"/>
        <v>0</v>
      </c>
      <c r="V300">
        <f ca="1"/>
        <v>0.2570628349070081</v>
      </c>
      <c r="X300" s="2">
        <f t="shared" ca="1" si="29"/>
        <v>45336</v>
      </c>
      <c r="Y300">
        <f t="shared" ca="1" si="30"/>
        <v>0</v>
      </c>
      <c r="AA300" s="63">
        <f t="shared" ca="1" si="32"/>
        <v>21.559812312104537</v>
      </c>
      <c r="AB300" s="63">
        <f t="shared" ca="1" si="33"/>
        <v>21.559812312104537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45337</v>
      </c>
      <c r="K301">
        <f ca="1"/>
        <v>21.074885672132684</v>
      </c>
      <c r="L301">
        <f ca="1"/>
        <v>0.37693456647748036</v>
      </c>
      <c r="M301">
        <f ca="1"/>
        <v>5.4154036134750783E-2</v>
      </c>
      <c r="N301">
        <f ca="1"/>
        <v>0.20011360155779423</v>
      </c>
      <c r="O301">
        <f ca="1"/>
        <v>0</v>
      </c>
      <c r="P301">
        <f ca="1"/>
        <v>7.3159127014104408</v>
      </c>
      <c r="Q301">
        <f ca="1"/>
        <v>6.7695945451362851</v>
      </c>
      <c r="R301">
        <f ca="1"/>
        <v>0</v>
      </c>
      <c r="S301">
        <f ca="1"/>
        <v>0.43886808619061113</v>
      </c>
      <c r="T301">
        <f ca="1"/>
        <v>0</v>
      </c>
      <c r="U301">
        <f ca="1"/>
        <v>0</v>
      </c>
      <c r="V301">
        <f ca="1"/>
        <v>0.28401719383592128</v>
      </c>
      <c r="X301" s="2">
        <f t="shared" ca="1" si="29"/>
        <v>45337</v>
      </c>
      <c r="Y301">
        <f t="shared" ca="1" si="30"/>
        <v>0</v>
      </c>
      <c r="AA301" s="63">
        <f t="shared" ca="1" si="32"/>
        <v>21.451820238610164</v>
      </c>
      <c r="AB301" s="63">
        <f t="shared" ca="1" si="33"/>
        <v>21.451820238610164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45338</v>
      </c>
      <c r="K302">
        <f ca="1"/>
        <v>20.931402116580944</v>
      </c>
      <c r="L302">
        <f ca="1"/>
        <v>0.39456780682063908</v>
      </c>
      <c r="M302">
        <f ca="1"/>
        <v>5.538714197669492E-2</v>
      </c>
      <c r="N302">
        <f ca="1"/>
        <v>0.19569710929220499</v>
      </c>
      <c r="O302">
        <f ca="1"/>
        <v>0</v>
      </c>
      <c r="P302">
        <f ca="1"/>
        <v>7.7104805082310799</v>
      </c>
      <c r="Q302">
        <f ca="1"/>
        <v>7.1346978728761616</v>
      </c>
      <c r="R302">
        <f ca="1"/>
        <v>0</v>
      </c>
      <c r="S302">
        <f ca="1"/>
        <v>0.42710431632201734</v>
      </c>
      <c r="T302">
        <f ca="1"/>
        <v>0</v>
      </c>
      <c r="U302">
        <f ca="1"/>
        <v>0</v>
      </c>
      <c r="V302">
        <f ca="1"/>
        <v>0.31245694604831853</v>
      </c>
      <c r="X302" s="2">
        <f t="shared" ca="1" si="29"/>
        <v>45338</v>
      </c>
      <c r="Y302">
        <f t="shared" ca="1" si="30"/>
        <v>0</v>
      </c>
      <c r="AA302" s="63">
        <f t="shared" ca="1" si="32"/>
        <v>21.325969923401583</v>
      </c>
      <c r="AB302" s="63">
        <f t="shared" ca="1" si="33"/>
        <v>21.325969923401583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45339</v>
      </c>
      <c r="K303">
        <f ca="1"/>
        <v>20.788157789378506</v>
      </c>
      <c r="L303">
        <f ca="1"/>
        <v>0.41547698944015909</v>
      </c>
      <c r="M303">
        <f ca="1"/>
        <v>6.4504533052279101E-2</v>
      </c>
      <c r="N303">
        <f ca="1"/>
        <v>0.20772812918544223</v>
      </c>
      <c r="O303">
        <f ca="1"/>
        <v>0</v>
      </c>
      <c r="P303">
        <f ca="1"/>
        <v>8.125957497671239</v>
      </c>
      <c r="Q303">
        <f ca="1"/>
        <v>7.5191489832347509</v>
      </c>
      <c r="R303">
        <f ca="1"/>
        <v>0</v>
      </c>
      <c r="S303">
        <f ca="1"/>
        <v>0.47216118474379432</v>
      </c>
      <c r="T303">
        <f ca="1"/>
        <v>0</v>
      </c>
      <c r="U303">
        <f ca="1"/>
        <v>0</v>
      </c>
      <c r="V303">
        <f ca="1"/>
        <v>0.3424144629958491</v>
      </c>
      <c r="X303" s="2">
        <f t="shared" ca="1" si="29"/>
        <v>45339</v>
      </c>
      <c r="Y303">
        <f t="shared" ca="1" si="30"/>
        <v>0</v>
      </c>
      <c r="AA303" s="63">
        <f t="shared" ca="1" si="32"/>
        <v>21.203634778818664</v>
      </c>
      <c r="AB303" s="63">
        <f t="shared" ca="1" si="33"/>
        <v>21.203634778818664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45340</v>
      </c>
      <c r="K304">
        <f ca="1"/>
        <v>20.615693673498676</v>
      </c>
      <c r="L304">
        <f ca="1"/>
        <v>0.44021587633005588</v>
      </c>
      <c r="M304">
        <f ca="1"/>
        <v>6.4562248757976448E-2</v>
      </c>
      <c r="N304">
        <f ca="1"/>
        <v>0.20318951169224647</v>
      </c>
      <c r="O304">
        <f ca="1"/>
        <v>0</v>
      </c>
      <c r="P304">
        <f ca="1"/>
        <v>8.5661733740012949</v>
      </c>
      <c r="Q304">
        <f ca="1"/>
        <v>7.9264915960726281</v>
      </c>
      <c r="R304">
        <f ca="1"/>
        <v>0</v>
      </c>
      <c r="S304">
        <f ca="1"/>
        <v>0.44734717557619558</v>
      </c>
      <c r="T304">
        <f ca="1"/>
        <v>0</v>
      </c>
      <c r="U304">
        <f ca="1"/>
        <v>0</v>
      </c>
      <c r="V304">
        <f ca="1"/>
        <v>0.37391448267378469</v>
      </c>
      <c r="X304" s="2">
        <f t="shared" ca="1" si="29"/>
        <v>45340</v>
      </c>
      <c r="Y304">
        <f t="shared" ca="1" si="30"/>
        <v>0</v>
      </c>
      <c r="AA304" s="63">
        <f t="shared" ca="1" si="32"/>
        <v>21.05590954982873</v>
      </c>
      <c r="AB304" s="63">
        <f t="shared" ca="1" si="33"/>
        <v>21.055909549828733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45341</v>
      </c>
      <c r="K305">
        <f ca="1"/>
        <v>20.414747423012209</v>
      </c>
      <c r="L305">
        <f ca="1"/>
        <v>0.4630479218330823</v>
      </c>
      <c r="M305">
        <f ca="1"/>
        <v>6.4047021043155183E-2</v>
      </c>
      <c r="N305">
        <f ca="1"/>
        <v>0.19805465030346311</v>
      </c>
      <c r="O305">
        <f ca="1"/>
        <v>0</v>
      </c>
      <c r="P305">
        <f ca="1"/>
        <v>9.0292212958343772</v>
      </c>
      <c r="Q305">
        <f ca="1"/>
        <v>8.3549612640025899</v>
      </c>
      <c r="R305">
        <f ca="1"/>
        <v>0</v>
      </c>
      <c r="S305">
        <f ca="1"/>
        <v>0.4274312665050588</v>
      </c>
      <c r="T305">
        <f ca="1"/>
        <v>0</v>
      </c>
      <c r="U305">
        <f ca="1"/>
        <v>0</v>
      </c>
      <c r="V305">
        <f ca="1"/>
        <v>0.40652087869178238</v>
      </c>
      <c r="X305" s="2">
        <f t="shared" ca="1" si="29"/>
        <v>45341</v>
      </c>
      <c r="Y305">
        <f t="shared" ca="1" si="30"/>
        <v>0</v>
      </c>
      <c r="AA305" s="63">
        <f t="shared" ca="1" si="32"/>
        <v>20.877795344845293</v>
      </c>
      <c r="AB305" s="63">
        <f t="shared" ca="1" si="33"/>
        <v>20.877795344845289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45342</v>
      </c>
      <c r="K306">
        <f ca="1"/>
        <v>20.203534462414446</v>
      </c>
      <c r="L306">
        <f ca="1"/>
        <v>0.48926579640961165</v>
      </c>
      <c r="M306">
        <f ca="1"/>
        <v>7.1134500502047615E-2</v>
      </c>
      <c r="N306">
        <f ca="1"/>
        <v>0.20691833530980161</v>
      </c>
      <c r="O306">
        <f ca="1"/>
        <v>0</v>
      </c>
      <c r="P306">
        <f ca="1"/>
        <v>9.5184870922439888</v>
      </c>
      <c r="Q306">
        <f ca="1"/>
        <v>8.807690978212781</v>
      </c>
      <c r="R306">
        <f ca="1"/>
        <v>0</v>
      </c>
      <c r="S306">
        <f ca="1"/>
        <v>0.45639884637126532</v>
      </c>
      <c r="T306">
        <f ca="1"/>
        <v>0</v>
      </c>
      <c r="U306">
        <f ca="1"/>
        <v>0</v>
      </c>
      <c r="V306">
        <f ca="1"/>
        <v>0.44012906021900916</v>
      </c>
      <c r="X306" s="2">
        <f t="shared" ca="1" si="29"/>
        <v>45342</v>
      </c>
      <c r="Y306">
        <f t="shared" ca="1" si="30"/>
        <v>0</v>
      </c>
      <c r="AA306" s="63">
        <f t="shared" ca="1" si="32"/>
        <v>20.692800258824057</v>
      </c>
      <c r="AB306" s="63">
        <f t="shared" ca="1" si="33"/>
        <v>20.692800258824057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45343</v>
      </c>
      <c r="K307">
        <f ca="1"/>
        <v>19.972735097217821</v>
      </c>
      <c r="L307">
        <f ca="1"/>
        <v>0.51262437383928905</v>
      </c>
      <c r="M307">
        <f ca="1"/>
        <v>7.4066000001103305E-2</v>
      </c>
      <c r="N307">
        <f ca="1"/>
        <v>0.20775900864156055</v>
      </c>
      <c r="O307">
        <f ca="1"/>
        <v>0</v>
      </c>
      <c r="P307">
        <f ca="1"/>
        <v>10.031111466083278</v>
      </c>
      <c r="Q307">
        <f ca="1"/>
        <v>9.2820349604991375</v>
      </c>
      <c r="R307">
        <f ca="1"/>
        <v>0</v>
      </c>
      <c r="S307">
        <f ca="1"/>
        <v>0.4634027175199284</v>
      </c>
      <c r="T307">
        <f ca="1"/>
        <v>0</v>
      </c>
      <c r="U307">
        <f ca="1"/>
        <v>0</v>
      </c>
      <c r="V307">
        <f ca="1"/>
        <v>0.47417201159211969</v>
      </c>
      <c r="X307" s="2">
        <f t="shared" ca="1" si="29"/>
        <v>45343</v>
      </c>
      <c r="Y307">
        <f t="shared" ca="1" si="30"/>
        <v>0</v>
      </c>
      <c r="AA307" s="63">
        <f t="shared" ca="1" si="32"/>
        <v>20.485359471057109</v>
      </c>
      <c r="AB307" s="63">
        <f t="shared" ca="1" si="33"/>
        <v>20.485359471057109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45344</v>
      </c>
      <c r="K308">
        <f ca="1"/>
        <v>19.709310090092139</v>
      </c>
      <c r="L308">
        <f ca="1"/>
        <v>0.53288067941742234</v>
      </c>
      <c r="M308">
        <f ca="1"/>
        <v>7.1024401347209221E-2</v>
      </c>
      <c r="N308">
        <f ca="1"/>
        <v>0.19843127094453369</v>
      </c>
      <c r="O308">
        <f ca="1"/>
        <v>0</v>
      </c>
      <c r="P308">
        <f ca="1"/>
        <v>10.5639921455007</v>
      </c>
      <c r="Q308">
        <f ca="1"/>
        <v>9.7751226021678548</v>
      </c>
      <c r="R308">
        <f ca="1"/>
        <v>0</v>
      </c>
      <c r="S308">
        <f ca="1"/>
        <v>0.43961466069322491</v>
      </c>
      <c r="T308">
        <f ca="1"/>
        <v>0</v>
      </c>
      <c r="U308">
        <f ca="1"/>
        <v>0</v>
      </c>
      <c r="V308">
        <f ca="1"/>
        <v>0.50808625431152654</v>
      </c>
      <c r="X308" s="2">
        <f t="shared" ca="1" si="29"/>
        <v>45344</v>
      </c>
      <c r="Y308">
        <f t="shared" ca="1" si="30"/>
        <v>0</v>
      </c>
      <c r="AA308" s="63">
        <f t="shared" ca="1" si="32"/>
        <v>20.242190769509563</v>
      </c>
      <c r="AB308" s="63">
        <f t="shared" ca="1" si="33"/>
        <v>20.242190769509563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45345</v>
      </c>
      <c r="K309">
        <f ca="1"/>
        <v>19.424028041480476</v>
      </c>
      <c r="L309">
        <f ca="1"/>
        <v>0.55939100982628531</v>
      </c>
      <c r="M309">
        <f ca="1"/>
        <v>7.3805468227718052E-2</v>
      </c>
      <c r="N309">
        <f ca="1"/>
        <v>0.20030349298690314</v>
      </c>
      <c r="O309">
        <f ca="1"/>
        <v>0</v>
      </c>
      <c r="P309">
        <f ca="1"/>
        <v>11.123383155326986</v>
      </c>
      <c r="Q309">
        <f ca="1"/>
        <v>10.292740906714906</v>
      </c>
      <c r="R309">
        <f ca="1"/>
        <v>0</v>
      </c>
      <c r="S309">
        <f ca="1"/>
        <v>0.44746288129136835</v>
      </c>
      <c r="T309">
        <f ca="1"/>
        <v>0</v>
      </c>
      <c r="U309">
        <f ca="1"/>
        <v>0</v>
      </c>
      <c r="V309">
        <f ca="1"/>
        <v>0.54190871120978057</v>
      </c>
      <c r="X309" s="2">
        <f t="shared" ca="1" si="29"/>
        <v>45345</v>
      </c>
      <c r="Y309">
        <f t="shared" ca="1" si="30"/>
        <v>0</v>
      </c>
      <c r="AA309" s="63">
        <f t="shared" ca="1" si="32"/>
        <v>19.983419051306761</v>
      </c>
      <c r="AB309" s="63">
        <f t="shared" ca="1" si="33"/>
        <v>19.983419051306761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45346</v>
      </c>
      <c r="K310">
        <f ca="1"/>
        <v>19.107166218010363</v>
      </c>
      <c r="L310">
        <f ca="1"/>
        <v>0.57390090029281815</v>
      </c>
      <c r="M310">
        <f ca="1"/>
        <v>6.8940731772414665E-2</v>
      </c>
      <c r="N310">
        <f ca="1"/>
        <v>0.18809834505028844</v>
      </c>
      <c r="O310">
        <f ca="1"/>
        <v>0</v>
      </c>
      <c r="P310">
        <f ca="1"/>
        <v>11.697284055619804</v>
      </c>
      <c r="Q310">
        <f ca="1"/>
        <v>10.823785570946894</v>
      </c>
      <c r="R310">
        <f ca="1"/>
        <v>0</v>
      </c>
      <c r="S310">
        <f ca="1"/>
        <v>0.42293563467873846</v>
      </c>
      <c r="T310">
        <f ca="1"/>
        <v>0</v>
      </c>
      <c r="U310">
        <f ca="1"/>
        <v>0</v>
      </c>
      <c r="V310">
        <f ca="1"/>
        <v>0.5746074631304664</v>
      </c>
      <c r="X310" s="2">
        <f t="shared" ca="1" si="29"/>
        <v>45346</v>
      </c>
      <c r="Y310">
        <f t="shared" ca="1" si="30"/>
        <v>0</v>
      </c>
      <c r="AA310" s="63">
        <f t="shared" ca="1" si="32"/>
        <v>19.681067118303179</v>
      </c>
      <c r="AB310" s="63">
        <f t="shared" ca="1" si="33"/>
        <v>19.681067118303183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45347</v>
      </c>
      <c r="K311">
        <f ca="1"/>
        <v>18.758447183684467</v>
      </c>
      <c r="L311">
        <f ca="1"/>
        <v>0.58571118039919945</v>
      </c>
      <c r="M311">
        <f ca="1"/>
        <v>6.2609429385997117E-2</v>
      </c>
      <c r="N311">
        <f ca="1"/>
        <v>0.17438271668730415</v>
      </c>
      <c r="O311">
        <f ca="1"/>
        <v>0</v>
      </c>
      <c r="P311">
        <f ca="1"/>
        <v>12.282995236019003</v>
      </c>
      <c r="Q311">
        <f ca="1"/>
        <v>11.365758578783819</v>
      </c>
      <c r="R311">
        <f ca="1"/>
        <v>0</v>
      </c>
      <c r="S311">
        <f ca="1"/>
        <v>0.3917501589147207</v>
      </c>
      <c r="T311">
        <f ca="1"/>
        <v>0</v>
      </c>
      <c r="U311">
        <f ca="1"/>
        <v>0</v>
      </c>
      <c r="V311">
        <f ca="1"/>
        <v>0.60584056775058559</v>
      </c>
      <c r="X311" s="2">
        <f t="shared" ca="1" si="29"/>
        <v>45347</v>
      </c>
      <c r="Y311">
        <f t="shared" ca="1" si="30"/>
        <v>0</v>
      </c>
      <c r="AA311" s="63">
        <f t="shared" ca="1" si="32"/>
        <v>19.344158364083665</v>
      </c>
      <c r="AB311" s="63">
        <f t="shared" ca="1" si="33"/>
        <v>19.344158364083668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45348</v>
      </c>
      <c r="K312">
        <f ca="1"/>
        <v>18.377614190115381</v>
      </c>
      <c r="L312">
        <f ca="1"/>
        <v>0.61699505230740037</v>
      </c>
      <c r="M312">
        <f ca="1"/>
        <v>6.234059974444861E-2</v>
      </c>
      <c r="N312">
        <f ca="1"/>
        <v>0.17382145899386323</v>
      </c>
      <c r="O312">
        <f ca="1"/>
        <v>0</v>
      </c>
      <c r="P312">
        <f ca="1"/>
        <v>12.899990288326403</v>
      </c>
      <c r="Q312">
        <f ca="1"/>
        <v>11.936679325237098</v>
      </c>
      <c r="R312">
        <f ca="1"/>
        <v>0</v>
      </c>
      <c r="S312">
        <f ca="1"/>
        <v>0.38261079164900563</v>
      </c>
      <c r="T312">
        <f ca="1"/>
        <v>0</v>
      </c>
      <c r="U312">
        <f ca="1"/>
        <v>0</v>
      </c>
      <c r="V312">
        <f ca="1"/>
        <v>0.63641193747966174</v>
      </c>
      <c r="X312" s="2">
        <f t="shared" ca="1" si="29"/>
        <v>45348</v>
      </c>
      <c r="Y312">
        <f t="shared" ca="1" si="30"/>
        <v>0</v>
      </c>
      <c r="AA312" s="63">
        <f t="shared" ca="1" si="32"/>
        <v>18.994609242422779</v>
      </c>
      <c r="AB312" s="63">
        <f t="shared" ca="1" si="33"/>
        <v>18.994609242422783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45349</v>
      </c>
      <c r="K313">
        <f ca="1"/>
        <v>17.960240558000425</v>
      </c>
      <c r="L313">
        <f ca="1"/>
        <v>0.64991581510498975</v>
      </c>
      <c r="M313">
        <f ca="1"/>
        <v>6.0767160364076034E-2</v>
      </c>
      <c r="N313">
        <f ca="1"/>
        <v>0.17177502262595898</v>
      </c>
      <c r="O313">
        <f ca="1"/>
        <v>0</v>
      </c>
      <c r="P313">
        <f ca="1"/>
        <v>13.549906103431393</v>
      </c>
      <c r="Q313">
        <f ca="1"/>
        <v>12.53806246583749</v>
      </c>
      <c r="R313">
        <f ca="1"/>
        <v>0</v>
      </c>
      <c r="S313">
        <f ca="1"/>
        <v>0.36644746372633286</v>
      </c>
      <c r="T313">
        <f ca="1"/>
        <v>0</v>
      </c>
      <c r="U313">
        <f ca="1"/>
        <v>0</v>
      </c>
      <c r="V313">
        <f ca="1"/>
        <v>0.66609242294384652</v>
      </c>
      <c r="X313" s="2">
        <f t="shared" ca="1" si="29"/>
        <v>45349</v>
      </c>
      <c r="Y313">
        <f t="shared" ca="1" si="30"/>
        <v>0</v>
      </c>
      <c r="AA313" s="63">
        <f t="shared" ca="1" si="32"/>
        <v>18.610156373105415</v>
      </c>
      <c r="AB313" s="63">
        <f t="shared" ca="1" si="33"/>
        <v>18.610156373105415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45350</v>
      </c>
      <c r="K314">
        <f ca="1"/>
        <v>17.528955091494637</v>
      </c>
      <c r="L314">
        <f ca="1"/>
        <v>0.67026533173440583</v>
      </c>
      <c r="M314">
        <f ca="1"/>
        <v>6.4717578797978348E-2</v>
      </c>
      <c r="N314">
        <f ca="1"/>
        <v>0.17426228643063901</v>
      </c>
      <c r="O314">
        <f ca="1"/>
        <v>0</v>
      </c>
      <c r="P314">
        <f ca="1"/>
        <v>14.220171435165799</v>
      </c>
      <c r="Q314">
        <f ca="1"/>
        <v>13.158275516306015</v>
      </c>
      <c r="R314">
        <f ca="1"/>
        <v>0</v>
      </c>
      <c r="S314">
        <f ca="1"/>
        <v>0.39417596299233854</v>
      </c>
      <c r="T314">
        <f ca="1"/>
        <v>0</v>
      </c>
      <c r="U314">
        <f ca="1"/>
        <v>0</v>
      </c>
      <c r="V314">
        <f ca="1"/>
        <v>0.69410850203430008</v>
      </c>
      <c r="X314" s="2">
        <f t="shared" ca="1" si="29"/>
        <v>45350</v>
      </c>
      <c r="Y314">
        <f t="shared" ca="1" si="30"/>
        <v>0</v>
      </c>
      <c r="AA314" s="63">
        <f t="shared" ca="1" si="32"/>
        <v>18.199220423229043</v>
      </c>
      <c r="AB314" s="63">
        <f t="shared" ca="1" si="33"/>
        <v>18.199220423229043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45351</v>
      </c>
      <c r="K315">
        <f ca="1"/>
        <v>17.081581542297265</v>
      </c>
      <c r="L315">
        <f ca="1"/>
        <v>0.70338161292713863</v>
      </c>
      <c r="M315">
        <f ca="1"/>
        <v>7.2031703337884778E-2</v>
      </c>
      <c r="N315">
        <f ca="1"/>
        <v>0.18397636039187956</v>
      </c>
      <c r="O315">
        <f ca="1"/>
        <v>0</v>
      </c>
      <c r="P315">
        <f ca="1"/>
        <v>14.923553048092938</v>
      </c>
      <c r="Q315">
        <f ca="1"/>
        <v>13.809131878917167</v>
      </c>
      <c r="R315">
        <f ca="1"/>
        <v>0</v>
      </c>
      <c r="S315">
        <f ca="1"/>
        <v>0.43338265616407884</v>
      </c>
      <c r="T315">
        <f ca="1"/>
        <v>0</v>
      </c>
      <c r="U315">
        <f ca="1"/>
        <v>0</v>
      </c>
      <c r="V315">
        <f ca="1"/>
        <v>0.72084461444662917</v>
      </c>
      <c r="X315" s="2">
        <f t="shared" ca="1" si="29"/>
        <v>45351</v>
      </c>
      <c r="Y315">
        <f t="shared" ca="1" si="30"/>
        <v>0</v>
      </c>
      <c r="AA315" s="63">
        <f t="shared" ca="1" si="32"/>
        <v>17.784963155224403</v>
      </c>
      <c r="AB315" s="63">
        <f t="shared" ca="1" si="33"/>
        <v>17.784963155224403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45352</v>
      </c>
      <c r="K316">
        <f ca="1"/>
        <v>16.593471266187024</v>
      </c>
      <c r="L316">
        <f ca="1"/>
        <v>0.75155115831189967</v>
      </c>
      <c r="M316">
        <f ca="1"/>
        <v>7.4343491715822552E-2</v>
      </c>
      <c r="N316">
        <f ca="1"/>
        <v>0.18909739048583646</v>
      </c>
      <c r="O316">
        <f ca="1"/>
        <v>0</v>
      </c>
      <c r="P316">
        <f ca="1"/>
        <v>15.675104206404837</v>
      </c>
      <c r="Q316">
        <f ca="1"/>
        <v>14.504560710472008</v>
      </c>
      <c r="R316">
        <f ca="1"/>
        <v>0</v>
      </c>
      <c r="S316">
        <f ca="1"/>
        <v>0.43225302039654617</v>
      </c>
      <c r="T316">
        <f ca="1"/>
        <v>0</v>
      </c>
      <c r="U316">
        <f ca="1"/>
        <v>0</v>
      </c>
      <c r="V316">
        <f ca="1"/>
        <v>0.7466198824955752</v>
      </c>
      <c r="X316" s="2">
        <f t="shared" ca="1" si="29"/>
        <v>45352</v>
      </c>
      <c r="Y316">
        <f t="shared" ca="1" si="30"/>
        <v>0</v>
      </c>
      <c r="AA316" s="63">
        <f t="shared" ca="1" si="32"/>
        <v>17.345022424498925</v>
      </c>
      <c r="AB316" s="63">
        <f t="shared" ca="1" si="33"/>
        <v>17.345022424498922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45353</v>
      </c>
      <c r="K317">
        <f ca="1"/>
        <v>16.079274654693343</v>
      </c>
      <c r="L317">
        <f ca="1"/>
        <v>0.7889420529599267</v>
      </c>
      <c r="M317">
        <f ca="1"/>
        <v>7.9097960360620334E-2</v>
      </c>
      <c r="N317">
        <f ca="1"/>
        <v>0.19564748110562466</v>
      </c>
      <c r="O317">
        <f ca="1"/>
        <v>0</v>
      </c>
      <c r="P317">
        <f ca="1"/>
        <v>16.464046259364764</v>
      </c>
      <c r="Q317">
        <f ca="1"/>
        <v>15.234588259477135</v>
      </c>
      <c r="R317">
        <f ca="1"/>
        <v>0</v>
      </c>
      <c r="S317">
        <f ca="1"/>
        <v>0.45524562937039459</v>
      </c>
      <c r="T317">
        <f ca="1"/>
        <v>0</v>
      </c>
      <c r="U317">
        <f ca="1"/>
        <v>0</v>
      </c>
      <c r="V317">
        <f ca="1"/>
        <v>0.77084687795443541</v>
      </c>
      <c r="X317" s="2">
        <f t="shared" ca="1" si="29"/>
        <v>45353</v>
      </c>
      <c r="Y317">
        <f t="shared" ca="1" si="30"/>
        <v>0</v>
      </c>
      <c r="AA317" s="63">
        <f t="shared" ca="1" si="32"/>
        <v>16.868216707653268</v>
      </c>
      <c r="AB317" s="63">
        <f t="shared" ca="1" si="33"/>
        <v>16.868216707653268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45354</v>
      </c>
      <c r="K318">
        <f ca="1"/>
        <v>15.569935638771888</v>
      </c>
      <c r="L318">
        <f ca="1"/>
        <v>0.79248045587830518</v>
      </c>
      <c r="M318">
        <f ca="1"/>
        <v>8.2988066075607492E-2</v>
      </c>
      <c r="N318">
        <f ca="1"/>
        <v>0.20015337388124291</v>
      </c>
      <c r="O318">
        <f ca="1"/>
        <v>0</v>
      </c>
      <c r="P318">
        <f ca="1"/>
        <v>17.256526715243069</v>
      </c>
      <c r="Q318">
        <f ca="1"/>
        <v>15.967889980013876</v>
      </c>
      <c r="R318">
        <f ca="1"/>
        <v>0</v>
      </c>
      <c r="S318">
        <f ca="1"/>
        <v>0.51412768810395149</v>
      </c>
      <c r="T318">
        <f ca="1"/>
        <v>0</v>
      </c>
      <c r="U318">
        <f ca="1"/>
        <v>0</v>
      </c>
      <c r="V318">
        <f ca="1"/>
        <v>0.79255240772857027</v>
      </c>
      <c r="X318" s="2">
        <f t="shared" ca="1" si="29"/>
        <v>45354</v>
      </c>
      <c r="Y318">
        <f t="shared" ca="1" si="30"/>
        <v>0</v>
      </c>
      <c r="AA318" s="63">
        <f t="shared" ca="1" si="32"/>
        <v>16.362416094650193</v>
      </c>
      <c r="AB318" s="63">
        <f t="shared" ca="1" si="33"/>
        <v>16.362416094650193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45355</v>
      </c>
      <c r="K319">
        <f ca="1"/>
        <v>15.026799177776164</v>
      </c>
      <c r="L319">
        <f ca="1"/>
        <v>0.823487903040796</v>
      </c>
      <c r="M319">
        <f ca="1"/>
        <v>8.2818761688205456E-2</v>
      </c>
      <c r="N319">
        <f ca="1"/>
        <v>0.19753268035686661</v>
      </c>
      <c r="O319">
        <f ca="1"/>
        <v>0</v>
      </c>
      <c r="P319">
        <f ca="1"/>
        <v>18.080014618283865</v>
      </c>
      <c r="Q319">
        <f ca="1"/>
        <v>16.729883656528902</v>
      </c>
      <c r="R319">
        <f ca="1"/>
        <v>0</v>
      </c>
      <c r="S319">
        <f ca="1"/>
        <v>0.50870236308298333</v>
      </c>
      <c r="T319">
        <f ca="1"/>
        <v>0</v>
      </c>
      <c r="U319">
        <f ca="1"/>
        <v>0</v>
      </c>
      <c r="V319">
        <f ca="1"/>
        <v>0.81261554817765158</v>
      </c>
      <c r="X319" s="2">
        <f t="shared" ca="1" si="29"/>
        <v>45355</v>
      </c>
      <c r="Y319">
        <f t="shared" ca="1" si="30"/>
        <v>0</v>
      </c>
      <c r="AA319" s="63">
        <f t="shared" ca="1" si="32"/>
        <v>15.85028708081696</v>
      </c>
      <c r="AB319" s="63">
        <f t="shared" ca="1" si="33"/>
        <v>15.85028708081696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45356</v>
      </c>
      <c r="K320">
        <f ca="1"/>
        <v>14.434003723084638</v>
      </c>
      <c r="L320">
        <f ca="1"/>
        <v>0.87916322781489953</v>
      </c>
      <c r="M320">
        <f ca="1"/>
        <v>8.5235844163459973E-2</v>
      </c>
      <c r="N320">
        <f ca="1"/>
        <v>0.20113192895991439</v>
      </c>
      <c r="O320">
        <f ca="1"/>
        <v>0</v>
      </c>
      <c r="P320">
        <f ca="1"/>
        <v>18.959177846098765</v>
      </c>
      <c r="Q320">
        <f ca="1"/>
        <v>17.543395084864116</v>
      </c>
      <c r="R320">
        <f ca="1"/>
        <v>0</v>
      </c>
      <c r="S320">
        <f ca="1"/>
        <v>0.49908430682291799</v>
      </c>
      <c r="T320">
        <f ca="1"/>
        <v>0</v>
      </c>
      <c r="U320">
        <f ca="1"/>
        <v>0</v>
      </c>
      <c r="V320">
        <f ca="1"/>
        <v>0.83155748407997554</v>
      </c>
      <c r="X320" s="2">
        <f t="shared" ca="1" si="29"/>
        <v>45356</v>
      </c>
      <c r="Y320">
        <f t="shared" ca="1" si="30"/>
        <v>0</v>
      </c>
      <c r="AA320" s="63">
        <f t="shared" ca="1" si="32"/>
        <v>15.313166950899538</v>
      </c>
      <c r="AB320" s="63">
        <f t="shared" ca="1" si="33"/>
        <v>15.313166950899538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45357</v>
      </c>
      <c r="K321">
        <f ca="1"/>
        <v>13.821464696191903</v>
      </c>
      <c r="L321">
        <f ca="1"/>
        <v>0.88862255779415733</v>
      </c>
      <c r="M321">
        <f ca="1"/>
        <v>8.2160296087970153E-2</v>
      </c>
      <c r="N321">
        <f ca="1"/>
        <v>0.19392323481345258</v>
      </c>
      <c r="O321">
        <f ca="1"/>
        <v>0</v>
      </c>
      <c r="P321">
        <f ca="1"/>
        <v>19.847800403892922</v>
      </c>
      <c r="Q321">
        <f ca="1"/>
        <v>18.365659464641176</v>
      </c>
      <c r="R321">
        <f ca="1"/>
        <v>0</v>
      </c>
      <c r="S321">
        <f ca="1"/>
        <v>0.50388387666349688</v>
      </c>
      <c r="T321">
        <f ca="1"/>
        <v>0</v>
      </c>
      <c r="U321">
        <f ca="1"/>
        <v>0</v>
      </c>
      <c r="V321">
        <f ca="1"/>
        <v>0.84842385255940678</v>
      </c>
      <c r="X321" s="2">
        <f t="shared" ca="1" si="29"/>
        <v>45357</v>
      </c>
      <c r="Y321">
        <f t="shared" ca="1" si="30"/>
        <v>0</v>
      </c>
      <c r="AA321" s="63">
        <f t="shared" ca="1" si="32"/>
        <v>14.71008725398606</v>
      </c>
      <c r="AB321" s="63">
        <f t="shared" ca="1" si="33"/>
        <v>14.71008725398606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45358</v>
      </c>
      <c r="K322">
        <f ca="1"/>
        <v>13.146356507249257</v>
      </c>
      <c r="L322">
        <f ca="1"/>
        <v>0.94456919968272146</v>
      </c>
      <c r="M322">
        <f ca="1"/>
        <v>7.9065768294270811E-2</v>
      </c>
      <c r="N322">
        <f ca="1"/>
        <v>0.1903952424458038</v>
      </c>
      <c r="O322">
        <f ca="1"/>
        <v>0</v>
      </c>
      <c r="P322">
        <f ca="1"/>
        <v>20.792369603575644</v>
      </c>
      <c r="Q322">
        <f ca="1"/>
        <v>19.239692652659283</v>
      </c>
      <c r="R322">
        <f ca="1"/>
        <v>0</v>
      </c>
      <c r="S322">
        <f ca="1"/>
        <v>0.46972945299653962</v>
      </c>
      <c r="T322">
        <f ca="1"/>
        <v>0</v>
      </c>
      <c r="U322">
        <f ca="1"/>
        <v>0</v>
      </c>
      <c r="V322">
        <f ca="1"/>
        <v>0.8641681122571595</v>
      </c>
      <c r="X322" s="2">
        <f t="shared" ca="1" si="29"/>
        <v>45358</v>
      </c>
      <c r="Y322">
        <f t="shared" ca="1" si="30"/>
        <v>0</v>
      </c>
      <c r="AA322" s="63">
        <f t="shared" ca="1" si="32"/>
        <v>14.090925706931978</v>
      </c>
      <c r="AB322" s="63">
        <f t="shared" ca="1" si="33"/>
        <v>14.090925706931978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45359</v>
      </c>
      <c r="K323">
        <f ca="1"/>
        <v>12.429842848926562</v>
      </c>
      <c r="L323">
        <f ca="1"/>
        <v>0.99793252655770459</v>
      </c>
      <c r="M323">
        <f ca="1"/>
        <v>8.321088276894173E-2</v>
      </c>
      <c r="N323">
        <f ca="1"/>
        <v>0.19820798546606735</v>
      </c>
      <c r="O323">
        <f ca="1"/>
        <v>0</v>
      </c>
      <c r="P323">
        <f ca="1"/>
        <v>21.790302130133348</v>
      </c>
      <c r="Q323">
        <f ca="1"/>
        <v>20.163104243792223</v>
      </c>
      <c r="R323">
        <f ca="1"/>
        <v>0</v>
      </c>
      <c r="S323">
        <f ca="1"/>
        <v>0.48679244927587173</v>
      </c>
      <c r="T323">
        <f ca="1"/>
        <v>0</v>
      </c>
      <c r="U323">
        <f ca="1"/>
        <v>0</v>
      </c>
      <c r="V323">
        <f ca="1"/>
        <v>0.8786918943460168</v>
      </c>
      <c r="X323" s="2">
        <f t="shared" ca="1" si="29"/>
        <v>45359</v>
      </c>
      <c r="Y323">
        <f t="shared" ca="1" si="30"/>
        <v>0</v>
      </c>
      <c r="AA323" s="63">
        <f t="shared" ca="1" si="32"/>
        <v>13.427775375484266</v>
      </c>
      <c r="AB323" s="63">
        <f t="shared" ca="1" si="33"/>
        <v>13.427775375484266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45360</v>
      </c>
      <c r="K324">
        <f ca="1"/>
        <v>11.674304390426897</v>
      </c>
      <c r="L324">
        <f ca="1"/>
        <v>1.0241668596687568</v>
      </c>
      <c r="M324">
        <f ca="1"/>
        <v>7.8671087706634779E-2</v>
      </c>
      <c r="N324">
        <f ca="1"/>
        <v>0.18995731346245714</v>
      </c>
      <c r="O324">
        <f ca="1"/>
        <v>0</v>
      </c>
      <c r="P324">
        <f ca="1"/>
        <v>22.814468989802105</v>
      </c>
      <c r="Q324">
        <f ca="1"/>
        <v>21.110791110693505</v>
      </c>
      <c r="R324">
        <f ca="1"/>
        <v>0</v>
      </c>
      <c r="S324">
        <f ca="1"/>
        <v>0.47026476110218213</v>
      </c>
      <c r="T324">
        <f ca="1"/>
        <v>0</v>
      </c>
      <c r="U324">
        <f ca="1"/>
        <v>0</v>
      </c>
      <c r="V324">
        <f ca="1"/>
        <v>0.89166627414488331</v>
      </c>
      <c r="X324" s="2">
        <f t="shared" ca="1" si="29"/>
        <v>45360</v>
      </c>
      <c r="Y324">
        <f t="shared" ca="1" si="30"/>
        <v>0</v>
      </c>
      <c r="AA324" s="63">
        <f t="shared" ca="1" si="32"/>
        <v>12.698471250095654</v>
      </c>
      <c r="AB324" s="63">
        <f t="shared" ca="1" si="33"/>
        <v>12.698471250095654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45361</v>
      </c>
      <c r="K325">
        <f ca="1"/>
        <v>10.912873021634287</v>
      </c>
      <c r="L325">
        <f ca="1"/>
        <v>1.0562870778449671</v>
      </c>
      <c r="M325">
        <f ca="1"/>
        <v>8.2415289187668606E-2</v>
      </c>
      <c r="N325">
        <f ca="1"/>
        <v>0.21244041986468706</v>
      </c>
      <c r="O325">
        <f ca="1"/>
        <v>0</v>
      </c>
      <c r="P325">
        <f ca="1"/>
        <v>23.870756067647072</v>
      </c>
      <c r="Q325">
        <f ca="1"/>
        <v>22.088199608050051</v>
      </c>
      <c r="R325">
        <f ca="1"/>
        <v>0</v>
      </c>
      <c r="S325">
        <f ca="1"/>
        <v>0.56474254278487657</v>
      </c>
      <c r="T325">
        <f ca="1"/>
        <v>0</v>
      </c>
      <c r="U325">
        <f ca="1"/>
        <v>0</v>
      </c>
      <c r="V325">
        <f ca="1"/>
        <v>0.90330076257421943</v>
      </c>
      <c r="X325" s="2">
        <f t="shared" ca="1" si="29"/>
        <v>45361</v>
      </c>
      <c r="Y325">
        <f t="shared" ca="1" si="30"/>
        <v>0</v>
      </c>
      <c r="AA325" s="63">
        <f t="shared" ca="1" si="32"/>
        <v>11.969160099479254</v>
      </c>
      <c r="AB325" s="63">
        <f t="shared" ca="1" si="33"/>
        <v>11.969160099479254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45362</v>
      </c>
      <c r="K326">
        <f ca="1"/>
        <v>10.102075120253534</v>
      </c>
      <c r="L326">
        <f ca="1"/>
        <v>1.1102532218906553</v>
      </c>
      <c r="M326">
        <f ca="1"/>
        <v>8.3118075980053163E-2</v>
      </c>
      <c r="N326">
        <f ca="1"/>
        <v>0.21633724452984912</v>
      </c>
      <c r="O326">
        <f ca="1"/>
        <v>0</v>
      </c>
      <c r="P326">
        <f ca="1"/>
        <v>24.981009289537727</v>
      </c>
      <c r="Q326">
        <f ca="1"/>
        <v>23.115544310124196</v>
      </c>
      <c r="R326">
        <f ca="1"/>
        <v>0</v>
      </c>
      <c r="S326">
        <f ca="1"/>
        <v>0.56822418470034286</v>
      </c>
      <c r="T326">
        <f ca="1"/>
        <v>0</v>
      </c>
      <c r="U326">
        <f ca="1"/>
        <v>0</v>
      </c>
      <c r="V326">
        <f ca="1"/>
        <v>0.91390658061743213</v>
      </c>
      <c r="X326" s="2">
        <f t="shared" ca="1" si="29"/>
        <v>45362</v>
      </c>
      <c r="Y326">
        <f t="shared" ca="1" si="30"/>
        <v>0</v>
      </c>
      <c r="AA326" s="63">
        <f t="shared" ca="1" si="32"/>
        <v>11.21232834214419</v>
      </c>
      <c r="AB326" s="63">
        <f t="shared" ca="1" si="33"/>
        <v>11.21232834214419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ca="1" si="28"/>
        <v>0</v>
      </c>
      <c r="J327" s="2">
        <f ca="1"/>
        <v>45363</v>
      </c>
      <c r="K327">
        <f ca="1"/>
        <v>9.2553389959235481</v>
      </c>
      <c r="L327">
        <f ca="1"/>
        <v>1.1309582712975725</v>
      </c>
      <c r="M327">
        <f ca="1"/>
        <v>8.0628176114270644E-2</v>
      </c>
      <c r="N327">
        <f ca="1"/>
        <v>0.20359397085331635</v>
      </c>
      <c r="O327">
        <f ca="1"/>
        <v>0</v>
      </c>
      <c r="P327">
        <f ca="1"/>
        <v>26.1119675608353</v>
      </c>
      <c r="Q327">
        <f ca="1"/>
        <v>24.162047905318374</v>
      </c>
      <c r="R327">
        <f ca="1"/>
        <v>0</v>
      </c>
      <c r="S327">
        <f ca="1"/>
        <v>0.54355782824647958</v>
      </c>
      <c r="T327">
        <f ca="1"/>
        <v>0</v>
      </c>
      <c r="U327">
        <f ca="1"/>
        <v>0</v>
      </c>
      <c r="V327">
        <f ca="1"/>
        <v>0.92326290021876256</v>
      </c>
      <c r="X327" s="2">
        <f t="shared" ca="1" si="29"/>
        <v>45363</v>
      </c>
      <c r="Y327">
        <f t="shared" ca="1" si="30"/>
        <v>0</v>
      </c>
      <c r="AA327" s="63">
        <f t="shared" ca="1" si="32"/>
        <v>10.386297267221121</v>
      </c>
      <c r="AB327" s="63">
        <f t="shared" ca="1" si="33"/>
        <v>10.386297267221121</v>
      </c>
      <c r="AC327" s="3">
        <f t="shared" ca="1" si="34"/>
        <v>0</v>
      </c>
    </row>
    <row r="328" spans="8:29">
      <c r="H328" t="b">
        <f t="shared" ca="1" si="31"/>
        <v>0</v>
      </c>
      <c r="I328" t="b">
        <f t="shared" ca="1" si="28"/>
        <v>0</v>
      </c>
      <c r="J328" s="2">
        <f ca="1"/>
        <v>45364</v>
      </c>
      <c r="K328">
        <f ca="1"/>
        <v>8.3591621193325079</v>
      </c>
      <c r="L328">
        <f ca="1"/>
        <v>1.1749964544996416</v>
      </c>
      <c r="M328">
        <f ca="1"/>
        <v>8.0189811475264605E-2</v>
      </c>
      <c r="N328">
        <f ca="1"/>
        <v>0.19862976643333602</v>
      </c>
      <c r="O328">
        <f ca="1"/>
        <v>0</v>
      </c>
      <c r="P328">
        <f ca="1"/>
        <v>27.286964015334942</v>
      </c>
      <c r="Q328">
        <f ca="1"/>
        <v>25.249301118085906</v>
      </c>
      <c r="R328">
        <f ca="1"/>
        <v>0</v>
      </c>
      <c r="S328">
        <f ca="1"/>
        <v>0.52492807099494709</v>
      </c>
      <c r="T328">
        <f ca="1"/>
        <v>0</v>
      </c>
      <c r="U328">
        <f ca="1"/>
        <v>0</v>
      </c>
      <c r="V328">
        <f ca="1"/>
        <v>0.93167842350504293</v>
      </c>
      <c r="X328" s="2">
        <f t="shared" ca="1" si="29"/>
        <v>45364</v>
      </c>
      <c r="Y328">
        <f t="shared" ca="1" si="30"/>
        <v>0</v>
      </c>
      <c r="AA328" s="63">
        <f t="shared" ca="1" si="32"/>
        <v>9.5341585738321495</v>
      </c>
      <c r="AB328" s="63">
        <f t="shared" ca="1" si="33"/>
        <v>9.5341585738321495</v>
      </c>
      <c r="AC328" s="3">
        <f t="shared" ca="1" si="34"/>
        <v>0</v>
      </c>
    </row>
    <row r="329" spans="8:29">
      <c r="H329" t="b">
        <f t="shared" ca="1" si="31"/>
        <v>0</v>
      </c>
      <c r="I329" t="b">
        <f t="shared" ca="1" si="28"/>
        <v>0</v>
      </c>
      <c r="J329" s="2">
        <f ca="1"/>
        <v>45365</v>
      </c>
      <c r="K329">
        <f ca="1"/>
        <v>7.4284231503480456</v>
      </c>
      <c r="L329">
        <f ca="1"/>
        <v>1.2088874869280914</v>
      </c>
      <c r="M329">
        <f ca="1"/>
        <v>7.8822311821529212E-2</v>
      </c>
      <c r="N329">
        <f ca="1"/>
        <v>0.19932620612210042</v>
      </c>
      <c r="O329">
        <f ca="1"/>
        <v>0</v>
      </c>
      <c r="P329">
        <f ca="1"/>
        <v>28.495851502263033</v>
      </c>
      <c r="Q329">
        <f ca="1"/>
        <v>26.367914539431702</v>
      </c>
      <c r="R329">
        <f ca="1"/>
        <v>0</v>
      </c>
      <c r="S329">
        <f ca="1"/>
        <v>0.5367647440172213</v>
      </c>
      <c r="T329">
        <f ca="1"/>
        <v>0</v>
      </c>
      <c r="U329">
        <f ca="1"/>
        <v>0</v>
      </c>
      <c r="V329">
        <f ca="1"/>
        <v>0.93916728798111104</v>
      </c>
      <c r="X329" s="2">
        <f t="shared" ca="1" si="29"/>
        <v>45365</v>
      </c>
      <c r="Y329">
        <f t="shared" ca="1" si="30"/>
        <v>0</v>
      </c>
      <c r="AA329" s="63">
        <f t="shared" ca="1" si="32"/>
        <v>8.637310637276137</v>
      </c>
      <c r="AB329" s="63">
        <f t="shared" ca="1" si="33"/>
        <v>8.637310637276137</v>
      </c>
      <c r="AC329" s="3">
        <f t="shared" ca="1" si="34"/>
        <v>0</v>
      </c>
    </row>
    <row r="330" spans="8:29">
      <c r="H330" t="b">
        <f t="shared" ca="1" si="31"/>
        <v>0</v>
      </c>
      <c r="I330" t="b">
        <f t="shared" ca="1" si="28"/>
        <v>0</v>
      </c>
      <c r="J330" s="2">
        <f ca="1"/>
        <v>45366</v>
      </c>
      <c r="K330">
        <f ca="1"/>
        <v>6.4462230452107869</v>
      </c>
      <c r="L330">
        <f ca="1"/>
        <v>1.2643496556445619</v>
      </c>
      <c r="M330">
        <f ca="1"/>
        <v>7.9055242205312126E-2</v>
      </c>
      <c r="N330">
        <f ca="1"/>
        <v>0.20309430830199154</v>
      </c>
      <c r="O330">
        <f ca="1"/>
        <v>0</v>
      </c>
      <c r="P330">
        <f ca="1"/>
        <v>29.760201157907595</v>
      </c>
      <c r="Q330">
        <f ca="1"/>
        <v>27.537848474037872</v>
      </c>
      <c r="R330">
        <f ca="1"/>
        <v>0</v>
      </c>
      <c r="S330">
        <f ca="1"/>
        <v>0.54285043485687245</v>
      </c>
      <c r="T330">
        <f ca="1"/>
        <v>0</v>
      </c>
      <c r="U330">
        <f ca="1"/>
        <v>0</v>
      </c>
      <c r="V330">
        <f ca="1"/>
        <v>0.94593353154584547</v>
      </c>
      <c r="X330" s="2">
        <f t="shared" ca="1" si="29"/>
        <v>45366</v>
      </c>
      <c r="Y330">
        <f t="shared" ca="1" si="30"/>
        <v>0</v>
      </c>
      <c r="AA330" s="63">
        <f t="shared" ca="1" si="32"/>
        <v>7.7105727008553488</v>
      </c>
      <c r="AB330" s="63">
        <f t="shared" ca="1" si="33"/>
        <v>7.7105727008553488</v>
      </c>
      <c r="AC330" s="3">
        <f t="shared" ca="1" si="34"/>
        <v>0</v>
      </c>
    </row>
    <row r="331" spans="8:29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45367</v>
      </c>
      <c r="K331">
        <f ca="1"/>
        <v>5.4171152038069321</v>
      </c>
      <c r="L331">
        <f ca="1"/>
        <v>1.3098403460758199</v>
      </c>
      <c r="M331">
        <f ca="1"/>
        <v>7.836413952348309E-2</v>
      </c>
      <c r="N331">
        <f ca="1"/>
        <v>0.20236836514848211</v>
      </c>
      <c r="O331">
        <f ca="1"/>
        <v>0</v>
      </c>
      <c r="P331">
        <f ca="1"/>
        <v>31.070041503983415</v>
      </c>
      <c r="Q331">
        <f ca="1"/>
        <v>28.74987606699764</v>
      </c>
      <c r="R331">
        <f ca="1"/>
        <v>0</v>
      </c>
      <c r="S331">
        <f ca="1"/>
        <v>0.54129680285731108</v>
      </c>
      <c r="T331">
        <f ca="1"/>
        <v>0</v>
      </c>
      <c r="U331">
        <f ca="1"/>
        <v>0</v>
      </c>
      <c r="V331">
        <f ca="1"/>
        <v>0.95197920745875775</v>
      </c>
      <c r="X331" s="2">
        <f t="shared" ref="X331:X394" ca="1" si="36">IFERROR(J331,$X$9)</f>
        <v>45367</v>
      </c>
      <c r="Y331">
        <f t="shared" ref="Y331:Y394" ca="1" si="37">IFERROR(O331,0)</f>
        <v>0</v>
      </c>
      <c r="AA331" s="63">
        <f t="shared" ca="1" si="32"/>
        <v>6.726955549882752</v>
      </c>
      <c r="AB331" s="63">
        <f t="shared" ca="1" si="33"/>
        <v>6.726955549882752</v>
      </c>
      <c r="AC331" s="3">
        <f t="shared" ca="1" si="34"/>
        <v>0</v>
      </c>
    </row>
    <row r="332" spans="8:29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45368</v>
      </c>
      <c r="K332">
        <f ca="1"/>
        <v>4.3387758629616302</v>
      </c>
      <c r="L332">
        <f ca="1"/>
        <v>1.3514194232571519</v>
      </c>
      <c r="M332">
        <f ca="1"/>
        <v>7.7314023300312229E-2</v>
      </c>
      <c r="N332">
        <f ca="1"/>
        <v>0.19576605911153747</v>
      </c>
      <c r="O332">
        <f ca="1"/>
        <v>0</v>
      </c>
      <c r="P332">
        <f ca="1"/>
        <v>32.421460927240567</v>
      </c>
      <c r="Q332">
        <f ca="1"/>
        <v>30.000377806050526</v>
      </c>
      <c r="R332">
        <f ca="1"/>
        <v>0</v>
      </c>
      <c r="S332">
        <f ca="1"/>
        <v>0.52084621277958043</v>
      </c>
      <c r="T332">
        <f ca="1"/>
        <v>0</v>
      </c>
      <c r="U332">
        <f ca="1"/>
        <v>0</v>
      </c>
      <c r="V332">
        <f ca="1"/>
        <v>0.95735626928236484</v>
      </c>
      <c r="X332" s="2">
        <f t="shared" ca="1" si="36"/>
        <v>45368</v>
      </c>
      <c r="Y332">
        <f t="shared" ca="1" si="37"/>
        <v>0</v>
      </c>
      <c r="AA332" s="63">
        <f t="shared" ca="1" si="32"/>
        <v>5.6901952862187821</v>
      </c>
      <c r="AB332" s="63">
        <f t="shared" ca="1" si="33"/>
        <v>5.6901952862187821</v>
      </c>
      <c r="AC332" s="3">
        <f t="shared" ca="1" si="34"/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45369</v>
      </c>
      <c r="K333">
        <f ca="1"/>
        <v>3.2333875152863225</v>
      </c>
      <c r="L333">
        <f ca="1"/>
        <v>1.3633251733686791</v>
      </c>
      <c r="M333">
        <f ca="1"/>
        <v>7.4175232866680929E-2</v>
      </c>
      <c r="N333">
        <f ca="1"/>
        <v>0.18376159282669072</v>
      </c>
      <c r="O333">
        <f ca="1"/>
        <v>0</v>
      </c>
      <c r="P333">
        <f ca="1"/>
        <v>33.784786100609246</v>
      </c>
      <c r="Q333">
        <f ca="1"/>
        <v>31.261896229459854</v>
      </c>
      <c r="R333">
        <f ca="1"/>
        <v>0</v>
      </c>
      <c r="S333">
        <f ca="1"/>
        <v>0.49903600316421964</v>
      </c>
      <c r="T333">
        <f ca="1"/>
        <v>0</v>
      </c>
      <c r="U333">
        <f ca="1"/>
        <v>0</v>
      </c>
      <c r="V333">
        <f ca="1"/>
        <v>0.96203933481376669</v>
      </c>
      <c r="X333" s="2">
        <f t="shared" ca="1" si="36"/>
        <v>45369</v>
      </c>
      <c r="Y333">
        <f t="shared" ca="1" si="37"/>
        <v>0</v>
      </c>
      <c r="AA333" s="63">
        <f t="shared" ca="1" si="32"/>
        <v>4.5967126886550016</v>
      </c>
      <c r="AB333" s="63">
        <f t="shared" ca="1" si="33"/>
        <v>4.5967126886550016</v>
      </c>
      <c r="AC333" s="3">
        <f t="shared" ca="1" si="34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45370</v>
      </c>
      <c r="K334">
        <f ca="1"/>
        <v>2.08343344673602</v>
      </c>
      <c r="L334">
        <f ca="1"/>
        <v>1.414072399847953</v>
      </c>
      <c r="M334">
        <f ca="1"/>
        <v>7.3930826093892676E-2</v>
      </c>
      <c r="N334">
        <f ca="1"/>
        <v>0.1901875052037578</v>
      </c>
      <c r="O334">
        <f ca="1"/>
        <v>0</v>
      </c>
      <c r="P334">
        <f ca="1"/>
        <v>35.198858500457199</v>
      </c>
      <c r="Q334">
        <f ca="1"/>
        <v>32.570372313734744</v>
      </c>
      <c r="R334">
        <f ca="1"/>
        <v>0</v>
      </c>
      <c r="S334">
        <f ca="1"/>
        <v>0.52217583173655846</v>
      </c>
      <c r="T334">
        <f ca="1"/>
        <v>0</v>
      </c>
      <c r="U334">
        <f ca="1"/>
        <v>0</v>
      </c>
      <c r="V334">
        <f ca="1"/>
        <v>0.96623777330341531</v>
      </c>
      <c r="X334" s="2">
        <f t="shared" ca="1" si="36"/>
        <v>45370</v>
      </c>
      <c r="Y334">
        <f t="shared" ca="1" si="37"/>
        <v>0</v>
      </c>
      <c r="AA334" s="63">
        <f t="shared" ca="1" si="32"/>
        <v>3.497505846583973</v>
      </c>
      <c r="AB334" s="63">
        <f t="shared" ca="1" si="33"/>
        <v>3.497505846583973</v>
      </c>
      <c r="AC334" s="3">
        <f t="shared" ca="1" si="34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45371</v>
      </c>
      <c r="K335">
        <f ca="1"/>
        <v>0.85545453543269723</v>
      </c>
      <c r="L335">
        <f ca="1"/>
        <v>1.4857702258445826</v>
      </c>
      <c r="M335">
        <f ca="1"/>
        <v>7.2565650574860641E-2</v>
      </c>
      <c r="N335">
        <f ca="1"/>
        <v>0.18522566396639936</v>
      </c>
      <c r="O335">
        <f ca="1"/>
        <v>0</v>
      </c>
      <c r="P335">
        <f ca="1"/>
        <v>36.684628726301781</v>
      </c>
      <c r="Q335">
        <f ca="1"/>
        <v>33.945192165571449</v>
      </c>
      <c r="R335">
        <f ca="1"/>
        <v>0</v>
      </c>
      <c r="S335">
        <f ca="1"/>
        <v>0.48575131723652715</v>
      </c>
      <c r="T335">
        <f ca="1"/>
        <v>0</v>
      </c>
      <c r="U335">
        <f ca="1"/>
        <v>0</v>
      </c>
      <c r="V335">
        <f ca="1"/>
        <v>0.97004384410079736</v>
      </c>
      <c r="X335" s="2">
        <f t="shared" ca="1" si="36"/>
        <v>45371</v>
      </c>
      <c r="Y335">
        <f t="shared" ca="1" si="37"/>
        <v>0</v>
      </c>
      <c r="AA335" s="63">
        <f t="shared" ca="1" si="32"/>
        <v>2.3412247612772799</v>
      </c>
      <c r="AB335" s="63">
        <f t="shared" ca="1" si="33"/>
        <v>2.3412247612772799</v>
      </c>
      <c r="AC335" s="3">
        <f t="shared" ca="1" si="34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45372</v>
      </c>
      <c r="K336">
        <f ca="1"/>
        <v>-0.41139882032537445</v>
      </c>
      <c r="L336">
        <f ca="1"/>
        <v>1.5257080014114237</v>
      </c>
      <c r="M336">
        <f ca="1"/>
        <v>7.2781817988984088E-2</v>
      </c>
      <c r="N336">
        <f ca="1"/>
        <v>0.18607282766436806</v>
      </c>
      <c r="O336">
        <f ca="1"/>
        <v>0</v>
      </c>
      <c r="P336">
        <f ca="1"/>
        <v>38.210336727713205</v>
      </c>
      <c r="Q336">
        <f ca="1"/>
        <v>35.356967426617736</v>
      </c>
      <c r="R336">
        <f ca="1"/>
        <v>0</v>
      </c>
      <c r="S336">
        <f ca="1"/>
        <v>0.49565521537049939</v>
      </c>
      <c r="T336">
        <f ca="1"/>
        <v>0</v>
      </c>
      <c r="U336">
        <f ca="1"/>
        <v>0</v>
      </c>
      <c r="V336">
        <f ca="1"/>
        <v>0.97341255807887272</v>
      </c>
      <c r="X336" s="2">
        <f t="shared" ca="1" si="36"/>
        <v>45372</v>
      </c>
      <c r="Y336">
        <f t="shared" ca="1" si="37"/>
        <v>0</v>
      </c>
      <c r="AA336" s="63">
        <f t="shared" ref="AA336:AA399" ca="1" si="39">K335+M336+N336+O336</f>
        <v>1.1143091810860493</v>
      </c>
      <c r="AB336" s="63">
        <f t="shared" ref="AB336:AB399" ca="1" si="40">K336+L336+R336</f>
        <v>1.1143091810860493</v>
      </c>
      <c r="AC336" s="3">
        <f t="shared" ref="AC336:AC399" ca="1" si="41">AB336-AA336</f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45373</v>
      </c>
      <c r="K337">
        <f ca="1"/>
        <v>-1.7003849707508221</v>
      </c>
      <c r="L337">
        <f ca="1"/>
        <v>1.5441111835050094</v>
      </c>
      <c r="M337">
        <f ca="1"/>
        <v>7.099719954507222E-2</v>
      </c>
      <c r="N337">
        <f ca="1"/>
        <v>0.18412783353448958</v>
      </c>
      <c r="O337">
        <f ca="1"/>
        <v>0</v>
      </c>
      <c r="P337">
        <f ca="1"/>
        <v>39.754447911218215</v>
      </c>
      <c r="Q337">
        <f ca="1"/>
        <v>36.785771606159713</v>
      </c>
      <c r="R337">
        <f ca="1"/>
        <v>0</v>
      </c>
      <c r="S337">
        <f ca="1"/>
        <v>0.50760741045049307</v>
      </c>
      <c r="T337">
        <f ca="1"/>
        <v>0</v>
      </c>
      <c r="U337">
        <f ca="1"/>
        <v>0</v>
      </c>
      <c r="V337">
        <f ca="1"/>
        <v>0.97635631159076197</v>
      </c>
      <c r="X337" s="2">
        <f t="shared" ca="1" si="36"/>
        <v>45373</v>
      </c>
      <c r="Y337">
        <f t="shared" ca="1" si="37"/>
        <v>0</v>
      </c>
      <c r="AA337" s="63">
        <f t="shared" ca="1" si="39"/>
        <v>-0.15627378724581265</v>
      </c>
      <c r="AB337" s="63">
        <f t="shared" ca="1" si="40"/>
        <v>-0.15627378724581265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45374</v>
      </c>
      <c r="K338">
        <f ca="1"/>
        <v>-3.036148255108357</v>
      </c>
      <c r="L338">
        <f ca="1"/>
        <v>1.5847349011753238</v>
      </c>
      <c r="M338">
        <f ca="1"/>
        <v>6.9116075448942382E-2</v>
      </c>
      <c r="N338">
        <f ca="1"/>
        <v>0.17985554136884652</v>
      </c>
      <c r="O338">
        <f ca="1"/>
        <v>0</v>
      </c>
      <c r="P338">
        <f ca="1"/>
        <v>41.339182812393538</v>
      </c>
      <c r="Q338">
        <f ca="1"/>
        <v>38.252165914065451</v>
      </c>
      <c r="R338">
        <f ca="1"/>
        <v>0</v>
      </c>
      <c r="S338">
        <f ca="1"/>
        <v>0.4944838898526544</v>
      </c>
      <c r="T338">
        <f ca="1"/>
        <v>0</v>
      </c>
      <c r="U338">
        <f ca="1"/>
        <v>0</v>
      </c>
      <c r="V338">
        <f ca="1"/>
        <v>0.97896954739169706</v>
      </c>
      <c r="X338" s="2">
        <f t="shared" ca="1" si="36"/>
        <v>45374</v>
      </c>
      <c r="Y338">
        <f t="shared" ca="1" si="37"/>
        <v>0</v>
      </c>
      <c r="AA338" s="63">
        <f t="shared" ca="1" si="39"/>
        <v>-1.4514133539330332</v>
      </c>
      <c r="AB338" s="63">
        <f t="shared" ca="1" si="40"/>
        <v>-1.4514133539330332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45375</v>
      </c>
      <c r="K339">
        <f ca="1"/>
        <v>-4.4272145816632928</v>
      </c>
      <c r="L339">
        <f ca="1"/>
        <v>1.6348010294344562</v>
      </c>
      <c r="M339">
        <f ca="1"/>
        <v>6.6677286331815466E-2</v>
      </c>
      <c r="N339">
        <f ca="1"/>
        <v>0.17705741654770518</v>
      </c>
      <c r="O339">
        <f ca="1"/>
        <v>0</v>
      </c>
      <c r="P339">
        <f ca="1"/>
        <v>42.973983841827994</v>
      </c>
      <c r="Q339">
        <f ca="1"/>
        <v>39.764887645847331</v>
      </c>
      <c r="R339">
        <f ca="1"/>
        <v>0</v>
      </c>
      <c r="S339">
        <f ca="1"/>
        <v>0.48133263698672768</v>
      </c>
      <c r="T339">
        <f ca="1"/>
        <v>0</v>
      </c>
      <c r="U339">
        <f ca="1"/>
        <v>0</v>
      </c>
      <c r="V339">
        <f ca="1"/>
        <v>0.98130207620447396</v>
      </c>
      <c r="X339" s="2">
        <f t="shared" ca="1" si="36"/>
        <v>45375</v>
      </c>
      <c r="Y339">
        <f t="shared" ca="1" si="37"/>
        <v>0</v>
      </c>
      <c r="AA339" s="63">
        <f t="shared" ca="1" si="39"/>
        <v>-2.7924135522288362</v>
      </c>
      <c r="AB339" s="63">
        <f t="shared" ca="1" si="40"/>
        <v>-2.7924135522288367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45376</v>
      </c>
      <c r="K340">
        <f ca="1"/>
        <v>-5.86520980705009</v>
      </c>
      <c r="L340">
        <f ca="1"/>
        <v>1.6903289668395445</v>
      </c>
      <c r="M340">
        <f ca="1"/>
        <v>6.8853637511995913E-2</v>
      </c>
      <c r="N340">
        <f ca="1"/>
        <v>0.18348010394075184</v>
      </c>
      <c r="O340">
        <f ca="1"/>
        <v>0</v>
      </c>
      <c r="P340">
        <f ca="1"/>
        <v>44.664312808667539</v>
      </c>
      <c r="Q340">
        <f ca="1"/>
        <v>41.328990748280027</v>
      </c>
      <c r="R340">
        <f ca="1"/>
        <v>0</v>
      </c>
      <c r="S340">
        <f ca="1"/>
        <v>0.50434298649863973</v>
      </c>
      <c r="T340">
        <f ca="1"/>
        <v>0</v>
      </c>
      <c r="U340">
        <f ca="1"/>
        <v>0</v>
      </c>
      <c r="V340">
        <f ca="1"/>
        <v>0.98338836595064694</v>
      </c>
      <c r="X340" s="2">
        <f t="shared" ca="1" si="36"/>
        <v>45376</v>
      </c>
      <c r="Y340">
        <f t="shared" ca="1" si="37"/>
        <v>0</v>
      </c>
      <c r="AA340" s="63">
        <f t="shared" ca="1" si="39"/>
        <v>-4.1748808402105455</v>
      </c>
      <c r="AB340" s="63">
        <f t="shared" ca="1" si="40"/>
        <v>-4.1748808402105455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45377</v>
      </c>
      <c r="K341">
        <f ca="1"/>
        <v>-7.3766364385934322</v>
      </c>
      <c r="L341">
        <f ca="1"/>
        <v>1.7549011478029541</v>
      </c>
      <c r="M341">
        <f ca="1"/>
        <v>6.5176821592316969E-2</v>
      </c>
      <c r="N341">
        <f ca="1"/>
        <v>0.17829769466729531</v>
      </c>
      <c r="O341">
        <f ca="1"/>
        <v>0</v>
      </c>
      <c r="P341">
        <f ca="1"/>
        <v>46.419213956470493</v>
      </c>
      <c r="Q341">
        <f ca="1"/>
        <v>42.952844083097695</v>
      </c>
      <c r="R341">
        <f ca="1"/>
        <v>0</v>
      </c>
      <c r="S341">
        <f ca="1"/>
        <v>0.47363228626594767</v>
      </c>
      <c r="T341">
        <f ca="1"/>
        <v>0</v>
      </c>
      <c r="U341">
        <f ca="1"/>
        <v>0</v>
      </c>
      <c r="V341">
        <f ca="1"/>
        <v>0.98526075568404048</v>
      </c>
      <c r="X341" s="2">
        <f t="shared" ca="1" si="36"/>
        <v>45377</v>
      </c>
      <c r="Y341">
        <f t="shared" ca="1" si="37"/>
        <v>0</v>
      </c>
      <c r="AA341" s="63">
        <f t="shared" ca="1" si="39"/>
        <v>-5.6217352907904781</v>
      </c>
      <c r="AB341" s="63">
        <f t="shared" ca="1" si="40"/>
        <v>-5.6217352907904781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45378</v>
      </c>
      <c r="K342">
        <f ca="1"/>
        <v>-8.9315352850536378</v>
      </c>
      <c r="L342">
        <f ca="1"/>
        <v>1.7974481165412044</v>
      </c>
      <c r="M342">
        <f ca="1"/>
        <v>6.4536549428824586E-2</v>
      </c>
      <c r="N342">
        <f ca="1"/>
        <v>0.17801272065217463</v>
      </c>
      <c r="O342">
        <f ca="1"/>
        <v>0</v>
      </c>
      <c r="P342">
        <f ca="1"/>
        <v>48.216662073011697</v>
      </c>
      <c r="Q342">
        <f ca="1"/>
        <v>44.616067177949134</v>
      </c>
      <c r="R342">
        <f ca="1"/>
        <v>0</v>
      </c>
      <c r="S342">
        <f ca="1"/>
        <v>0.47655070658396448</v>
      </c>
      <c r="T342">
        <f ca="1"/>
        <v>0</v>
      </c>
      <c r="U342">
        <f ca="1"/>
        <v>0</v>
      </c>
      <c r="V342">
        <f ca="1"/>
        <v>0.98691852583122153</v>
      </c>
      <c r="X342" s="2">
        <f t="shared" ca="1" si="36"/>
        <v>45378</v>
      </c>
      <c r="Y342">
        <f t="shared" ca="1" si="37"/>
        <v>0</v>
      </c>
      <c r="AA342" s="63">
        <f t="shared" ca="1" si="39"/>
        <v>-7.1340871685124334</v>
      </c>
      <c r="AB342" s="63">
        <f t="shared" ca="1" si="40"/>
        <v>-7.1340871685124334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45379</v>
      </c>
      <c r="K343">
        <f ca="1"/>
        <v>-10.550869985570166</v>
      </c>
      <c r="L343">
        <f ca="1"/>
        <v>1.8688206445218185</v>
      </c>
      <c r="M343">
        <f ca="1"/>
        <v>6.6140797138601215E-2</v>
      </c>
      <c r="N343">
        <f ca="1"/>
        <v>0.18334514686668785</v>
      </c>
      <c r="O343">
        <f ca="1"/>
        <v>0</v>
      </c>
      <c r="P343">
        <f ca="1"/>
        <v>50.085482717533516</v>
      </c>
      <c r="Q343">
        <f ca="1"/>
        <v>46.345333034081342</v>
      </c>
      <c r="R343">
        <f ca="1"/>
        <v>0</v>
      </c>
      <c r="S343">
        <f ca="1"/>
        <v>0.48732570030354871</v>
      </c>
      <c r="T343">
        <f ca="1"/>
        <v>0</v>
      </c>
      <c r="U343">
        <f ca="1"/>
        <v>0</v>
      </c>
      <c r="V343">
        <f ca="1"/>
        <v>0.98840822557276997</v>
      </c>
      <c r="X343" s="2">
        <f t="shared" ca="1" si="36"/>
        <v>45379</v>
      </c>
      <c r="Y343">
        <f t="shared" ca="1" si="37"/>
        <v>0</v>
      </c>
      <c r="AA343" s="63">
        <f t="shared" ca="1" si="39"/>
        <v>-8.6820493410483479</v>
      </c>
      <c r="AB343" s="63">
        <f t="shared" ca="1" si="40"/>
        <v>-8.6820493410483479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45380</v>
      </c>
      <c r="K344">
        <f ca="1"/>
        <v>-12.211906960331046</v>
      </c>
      <c r="L344">
        <f ca="1"/>
        <v>1.8969039163137751</v>
      </c>
      <c r="M344">
        <f ca="1"/>
        <v>6.1145924515619399E-2</v>
      </c>
      <c r="N344">
        <f ca="1"/>
        <v>0.17472101703727685</v>
      </c>
      <c r="O344">
        <f ca="1"/>
        <v>0</v>
      </c>
      <c r="P344">
        <f ca="1"/>
        <v>51.982386633847291</v>
      </c>
      <c r="Q344">
        <f ca="1"/>
        <v>48.100585034566478</v>
      </c>
      <c r="R344">
        <f ca="1"/>
        <v>0</v>
      </c>
      <c r="S344">
        <f ca="1"/>
        <v>0.46222047524949894</v>
      </c>
      <c r="T344">
        <f ca="1"/>
        <v>0</v>
      </c>
      <c r="U344">
        <f ca="1"/>
        <v>0</v>
      </c>
      <c r="V344">
        <f ca="1"/>
        <v>0.98971568484646388</v>
      </c>
      <c r="X344" s="2">
        <f t="shared" ca="1" si="36"/>
        <v>45380</v>
      </c>
      <c r="Y344">
        <f t="shared" ca="1" si="37"/>
        <v>0</v>
      </c>
      <c r="AA344" s="63">
        <f t="shared" ca="1" si="39"/>
        <v>-10.315003044017271</v>
      </c>
      <c r="AB344" s="63">
        <f t="shared" ca="1" si="40"/>
        <v>-10.315003044017271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45381</v>
      </c>
      <c r="K345">
        <f ca="1"/>
        <v>-13.895821992034692</v>
      </c>
      <c r="L345">
        <f ca="1"/>
        <v>1.920660865713387</v>
      </c>
      <c r="M345">
        <f ca="1"/>
        <v>6.1501734941968422E-2</v>
      </c>
      <c r="N345">
        <f ca="1"/>
        <v>0.17524409906777144</v>
      </c>
      <c r="O345">
        <f ca="1"/>
        <v>0</v>
      </c>
      <c r="P345">
        <f ca="1"/>
        <v>53.903047499560678</v>
      </c>
      <c r="Q345">
        <f ca="1"/>
        <v>49.877819926541534</v>
      </c>
      <c r="R345">
        <f ca="1"/>
        <v>0</v>
      </c>
      <c r="S345">
        <f ca="1"/>
        <v>0.47762354821136427</v>
      </c>
      <c r="T345">
        <f ca="1"/>
        <v>0</v>
      </c>
      <c r="U345">
        <f ca="1"/>
        <v>0</v>
      </c>
      <c r="V345">
        <f ca="1"/>
        <v>0.99086298435066367</v>
      </c>
      <c r="X345" s="2">
        <f t="shared" ca="1" si="36"/>
        <v>45381</v>
      </c>
      <c r="Y345">
        <f t="shared" ca="1" si="37"/>
        <v>0</v>
      </c>
      <c r="AA345" s="63">
        <f t="shared" ca="1" si="39"/>
        <v>-11.975161126321305</v>
      </c>
      <c r="AB345" s="63">
        <f t="shared" ca="1" si="40"/>
        <v>-11.975161126321305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45382</v>
      </c>
      <c r="K346">
        <f ca="1"/>
        <v>-15.602767527858166</v>
      </c>
      <c r="L346">
        <f ca="1"/>
        <v>1.9339035483652012</v>
      </c>
      <c r="M346">
        <f ca="1"/>
        <v>5.8157254476165932E-2</v>
      </c>
      <c r="N346">
        <f ca="1"/>
        <v>0.16880075806556166</v>
      </c>
      <c r="O346">
        <f ca="1"/>
        <v>0</v>
      </c>
      <c r="P346">
        <f ca="1"/>
        <v>55.836951047925879</v>
      </c>
      <c r="Q346">
        <f ca="1"/>
        <v>51.667308599541805</v>
      </c>
      <c r="R346">
        <f ca="1"/>
        <v>0</v>
      </c>
      <c r="S346">
        <f ca="1"/>
        <v>0.46629559415172311</v>
      </c>
      <c r="T346">
        <f ca="1"/>
        <v>0</v>
      </c>
      <c r="U346">
        <f ca="1"/>
        <v>0</v>
      </c>
      <c r="V346">
        <f ca="1"/>
        <v>0.99186684454341822</v>
      </c>
      <c r="X346" s="2">
        <f t="shared" ca="1" si="36"/>
        <v>45382</v>
      </c>
      <c r="Y346">
        <f t="shared" ca="1" si="37"/>
        <v>0</v>
      </c>
      <c r="AA346" s="63">
        <f t="shared" ca="1" si="39"/>
        <v>-13.668863979492965</v>
      </c>
      <c r="AB346" s="63">
        <f t="shared" ca="1" si="40"/>
        <v>-13.668863979492965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45383</v>
      </c>
      <c r="K347">
        <f ca="1"/>
        <v>-17.338655429578317</v>
      </c>
      <c r="L347">
        <f ca="1"/>
        <v>1.9683069209066559</v>
      </c>
      <c r="M347">
        <f ca="1"/>
        <v>5.9843536914200968E-2</v>
      </c>
      <c r="N347">
        <f ca="1"/>
        <v>0.17257548227230446</v>
      </c>
      <c r="O347">
        <f ca="1"/>
        <v>0</v>
      </c>
      <c r="P347">
        <f ca="1"/>
        <v>57.805257968832535</v>
      </c>
      <c r="Q347">
        <f ca="1"/>
        <v>53.488631562069074</v>
      </c>
      <c r="R347">
        <f ca="1"/>
        <v>0</v>
      </c>
      <c r="S347">
        <f ca="1"/>
        <v>0.48865326951655841</v>
      </c>
      <c r="T347">
        <f ca="1"/>
        <v>0</v>
      </c>
      <c r="U347">
        <f ca="1"/>
        <v>0</v>
      </c>
      <c r="V347">
        <f ca="1"/>
        <v>0.99275665170699068</v>
      </c>
      <c r="X347" s="2">
        <f t="shared" ca="1" si="36"/>
        <v>45383</v>
      </c>
      <c r="Y347">
        <f t="shared" ca="1" si="37"/>
        <v>0</v>
      </c>
      <c r="AA347" s="63">
        <f t="shared" ca="1" si="39"/>
        <v>-15.370348508671661</v>
      </c>
      <c r="AB347" s="63">
        <f t="shared" ca="1" si="40"/>
        <v>-15.370348508671661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45384</v>
      </c>
      <c r="K348">
        <f ca="1"/>
        <v>-19.131837952618625</v>
      </c>
      <c r="L348">
        <f ca="1"/>
        <v>2.0308622650119759</v>
      </c>
      <c r="M348">
        <f ca="1"/>
        <v>6.0867459646271271E-2</v>
      </c>
      <c r="N348">
        <f ca="1"/>
        <v>0.17681228232539739</v>
      </c>
      <c r="O348">
        <f ca="1"/>
        <v>0</v>
      </c>
      <c r="P348">
        <f ca="1"/>
        <v>59.836120233844511</v>
      </c>
      <c r="Q348">
        <f ca="1"/>
        <v>55.367838528070401</v>
      </c>
      <c r="R348">
        <f ca="1"/>
        <v>0</v>
      </c>
      <c r="S348">
        <f ca="1"/>
        <v>0.49814265962314908</v>
      </c>
      <c r="T348">
        <f ca="1"/>
        <v>0</v>
      </c>
      <c r="U348">
        <f ca="1"/>
        <v>0</v>
      </c>
      <c r="V348">
        <f ca="1"/>
        <v>0.99355652529034821</v>
      </c>
      <c r="X348" s="2">
        <f t="shared" ca="1" si="36"/>
        <v>45384</v>
      </c>
      <c r="Y348">
        <f t="shared" ca="1" si="37"/>
        <v>0</v>
      </c>
      <c r="AA348" s="63">
        <f t="shared" ca="1" si="39"/>
        <v>-17.100975687606649</v>
      </c>
      <c r="AB348" s="63">
        <f t="shared" ca="1" si="40"/>
        <v>-17.100975687606649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45385</v>
      </c>
      <c r="K349">
        <f ca="1"/>
        <v>-20.93351355712494</v>
      </c>
      <c r="L349">
        <f ca="1"/>
        <v>2.0247415668284745</v>
      </c>
      <c r="M349">
        <f ca="1"/>
        <v>5.6137089609800128E-2</v>
      </c>
      <c r="N349">
        <f ca="1"/>
        <v>0.16692887271236281</v>
      </c>
      <c r="O349">
        <f ca="1"/>
        <v>0</v>
      </c>
      <c r="P349">
        <f ca="1"/>
        <v>61.860861800672986</v>
      </c>
      <c r="Q349">
        <f ca="1"/>
        <v>57.241381861012343</v>
      </c>
      <c r="R349">
        <f ca="1"/>
        <v>0</v>
      </c>
      <c r="S349">
        <f ca="1"/>
        <v>0.4783548013643561</v>
      </c>
      <c r="T349">
        <f ca="1"/>
        <v>0</v>
      </c>
      <c r="U349">
        <f ca="1"/>
        <v>0</v>
      </c>
      <c r="V349">
        <f ca="1"/>
        <v>0.99425246598802586</v>
      </c>
      <c r="X349" s="2">
        <f t="shared" ca="1" si="36"/>
        <v>45385</v>
      </c>
      <c r="Y349">
        <f t="shared" ca="1" si="37"/>
        <v>0</v>
      </c>
      <c r="AA349" s="63">
        <f t="shared" ca="1" si="39"/>
        <v>-18.908771990296465</v>
      </c>
      <c r="AB349" s="63">
        <f t="shared" ca="1" si="40"/>
        <v>-18.908771990296465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45386</v>
      </c>
      <c r="K350">
        <f ca="1"/>
        <v>-22.780237296650711</v>
      </c>
      <c r="L350">
        <f ca="1"/>
        <v>2.0646317088061608</v>
      </c>
      <c r="M350">
        <f ca="1"/>
        <v>5.3911768846150565E-2</v>
      </c>
      <c r="N350">
        <f ca="1"/>
        <v>0.16399620043423813</v>
      </c>
      <c r="O350">
        <f ca="1"/>
        <v>0</v>
      </c>
      <c r="P350">
        <f ca="1"/>
        <v>63.925493509479146</v>
      </c>
      <c r="Q350">
        <f ca="1"/>
        <v>59.151836526628436</v>
      </c>
      <c r="R350">
        <f ca="1"/>
        <v>0</v>
      </c>
      <c r="S350">
        <f ca="1"/>
        <v>0.46536809008677743</v>
      </c>
      <c r="T350">
        <f ca="1"/>
        <v>0</v>
      </c>
      <c r="U350">
        <f ca="1"/>
        <v>0</v>
      </c>
      <c r="V350">
        <f ca="1"/>
        <v>0.99487326796677833</v>
      </c>
      <c r="X350" s="2">
        <f t="shared" ca="1" si="36"/>
        <v>45386</v>
      </c>
      <c r="Y350">
        <f t="shared" ca="1" si="37"/>
        <v>0</v>
      </c>
      <c r="AA350" s="63">
        <f t="shared" ca="1" si="39"/>
        <v>-20.715605587844554</v>
      </c>
      <c r="AB350" s="63">
        <f t="shared" ca="1" si="40"/>
        <v>-20.71560558784455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45387</v>
      </c>
      <c r="K351">
        <f ca="1"/>
        <v>-24.662902357694307</v>
      </c>
      <c r="L351">
        <f ca="1"/>
        <v>2.1060760022637552</v>
      </c>
      <c r="M351">
        <f ca="1"/>
        <v>5.535580907489468E-2</v>
      </c>
      <c r="N351">
        <f ca="1"/>
        <v>0.16805513214526219</v>
      </c>
      <c r="O351">
        <f ca="1"/>
        <v>0</v>
      </c>
      <c r="P351">
        <f ca="1"/>
        <v>66.031569511742902</v>
      </c>
      <c r="Q351">
        <f ca="1"/>
        <v>61.10064061963223</v>
      </c>
      <c r="R351">
        <f ca="1"/>
        <v>0</v>
      </c>
      <c r="S351">
        <f ca="1"/>
        <v>0.48349705126615961</v>
      </c>
      <c r="T351">
        <f ca="1"/>
        <v>0</v>
      </c>
      <c r="U351">
        <f ca="1"/>
        <v>0</v>
      </c>
      <c r="V351">
        <f ca="1"/>
        <v>0.9954276456577803</v>
      </c>
      <c r="X351" s="2">
        <f t="shared" ca="1" si="36"/>
        <v>45387</v>
      </c>
      <c r="Y351">
        <f t="shared" ca="1" si="37"/>
        <v>0</v>
      </c>
      <c r="AA351" s="63">
        <f t="shared" ca="1" si="39"/>
        <v>-22.556826355430552</v>
      </c>
      <c r="AB351" s="63">
        <f t="shared" ca="1" si="40"/>
        <v>-22.556826355430552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45388</v>
      </c>
      <c r="K352">
        <f ca="1"/>
        <v>-26.580908331932491</v>
      </c>
      <c r="L352">
        <f ca="1"/>
        <v>2.1398424013028006</v>
      </c>
      <c r="M352">
        <f ca="1"/>
        <v>5.4434866023031603E-2</v>
      </c>
      <c r="N352">
        <f ca="1"/>
        <v>0.16740156104158616</v>
      </c>
      <c r="O352">
        <f ca="1"/>
        <v>0</v>
      </c>
      <c r="P352">
        <f ca="1"/>
        <v>68.171411913045702</v>
      </c>
      <c r="Q352">
        <f ca="1"/>
        <v>63.080689594863721</v>
      </c>
      <c r="R352">
        <f ca="1"/>
        <v>0</v>
      </c>
      <c r="S352">
        <f ca="1"/>
        <v>0.48295020620126589</v>
      </c>
      <c r="T352">
        <f ca="1"/>
        <v>0</v>
      </c>
      <c r="U352">
        <f ca="1"/>
        <v>0</v>
      </c>
      <c r="V352">
        <f ca="1"/>
        <v>0.99592117468283925</v>
      </c>
      <c r="X352" s="2">
        <f t="shared" ca="1" si="36"/>
        <v>45388</v>
      </c>
      <c r="Y352">
        <f t="shared" ca="1" si="37"/>
        <v>0</v>
      </c>
      <c r="AA352" s="63">
        <f t="shared" ca="1" si="39"/>
        <v>-24.441065930629691</v>
      </c>
      <c r="AB352" s="63">
        <f t="shared" ca="1" si="40"/>
        <v>-24.441065930629691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45389</v>
      </c>
      <c r="K353">
        <f ca="1"/>
        <v>-28.501680644119581</v>
      </c>
      <c r="L353">
        <f ca="1"/>
        <v>2.1423773509958295</v>
      </c>
      <c r="M353">
        <f ca="1"/>
        <v>5.4399848737654466E-2</v>
      </c>
      <c r="N353">
        <f ca="1"/>
        <v>0.16720519007108373</v>
      </c>
      <c r="O353">
        <f ca="1"/>
        <v>0</v>
      </c>
      <c r="P353">
        <f ca="1"/>
        <v>70.313789264041532</v>
      </c>
      <c r="Q353">
        <f ca="1"/>
        <v>65.063084221596867</v>
      </c>
      <c r="R353">
        <f ca="1"/>
        <v>0</v>
      </c>
      <c r="S353">
        <f ca="1"/>
        <v>0.49789719978225316</v>
      </c>
      <c r="T353">
        <f ca="1"/>
        <v>0</v>
      </c>
      <c r="U353">
        <f ca="1"/>
        <v>0</v>
      </c>
      <c r="V353">
        <f ca="1"/>
        <v>0.99635496829431924</v>
      </c>
      <c r="X353" s="2">
        <f t="shared" ca="1" si="36"/>
        <v>45389</v>
      </c>
      <c r="Y353">
        <f t="shared" ca="1" si="37"/>
        <v>0</v>
      </c>
      <c r="AA353" s="63">
        <f t="shared" ca="1" si="39"/>
        <v>-26.359303293123755</v>
      </c>
      <c r="AB353" s="63">
        <f t="shared" ca="1" si="40"/>
        <v>-26.359303293123752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45390</v>
      </c>
      <c r="K354">
        <f ca="1"/>
        <v>-30.412702870883745</v>
      </c>
      <c r="L354">
        <f ca="1"/>
        <v>2.1377646824405616</v>
      </c>
      <c r="M354">
        <f ca="1"/>
        <v>5.2837843870143786E-2</v>
      </c>
      <c r="N354">
        <f ca="1"/>
        <v>0.17390461180625297</v>
      </c>
      <c r="O354">
        <f ca="1"/>
        <v>0</v>
      </c>
      <c r="P354">
        <f ca="1"/>
        <v>72.451553946482093</v>
      </c>
      <c r="Q354">
        <f ca="1"/>
        <v>67.041210632296739</v>
      </c>
      <c r="R354">
        <f ca="1"/>
        <v>0</v>
      </c>
      <c r="S354">
        <f ca="1"/>
        <v>0.54531586140220889</v>
      </c>
      <c r="T354">
        <f ca="1"/>
        <v>0</v>
      </c>
      <c r="U354">
        <f ca="1"/>
        <v>0</v>
      </c>
      <c r="V354">
        <f ca="1"/>
        <v>0.99673612442940607</v>
      </c>
      <c r="X354" s="2">
        <f t="shared" ca="1" si="36"/>
        <v>45390</v>
      </c>
      <c r="Y354">
        <f t="shared" ca="1" si="37"/>
        <v>0</v>
      </c>
      <c r="AA354" s="63">
        <f t="shared" ca="1" si="39"/>
        <v>-28.274938188443183</v>
      </c>
      <c r="AB354" s="63">
        <f t="shared" ca="1" si="40"/>
        <v>-28.274938188443183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45391</v>
      </c>
      <c r="K355">
        <f ca="1"/>
        <v>-32.344620596379755</v>
      </c>
      <c r="L355">
        <f ca="1"/>
        <v>2.1578306228903728</v>
      </c>
      <c r="M355">
        <f ca="1"/>
        <v>5.1817605370134245E-2</v>
      </c>
      <c r="N355">
        <f ca="1"/>
        <v>0.17409529202422819</v>
      </c>
      <c r="O355">
        <f ca="1"/>
        <v>0</v>
      </c>
      <c r="P355">
        <f ca="1"/>
        <v>74.609384569372466</v>
      </c>
      <c r="Q355">
        <f ca="1"/>
        <v>69.037904552828422</v>
      </c>
      <c r="R355">
        <f ca="1"/>
        <v>0</v>
      </c>
      <c r="S355">
        <f ca="1"/>
        <v>0.55163816047014436</v>
      </c>
      <c r="T355">
        <f ca="1"/>
        <v>0</v>
      </c>
      <c r="U355">
        <f ca="1"/>
        <v>0</v>
      </c>
      <c r="V355">
        <f ca="1"/>
        <v>0.99707568855360307</v>
      </c>
      <c r="X355" s="2">
        <f t="shared" ca="1" si="36"/>
        <v>45391</v>
      </c>
      <c r="Y355">
        <f t="shared" ca="1" si="37"/>
        <v>0</v>
      </c>
      <c r="AA355" s="63">
        <f t="shared" ca="1" si="39"/>
        <v>-30.186789973489383</v>
      </c>
      <c r="AB355" s="63">
        <f t="shared" ca="1" si="40"/>
        <v>-30.186789973489383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45392</v>
      </c>
      <c r="K356">
        <f ca="1"/>
        <v>-34.273570921927863</v>
      </c>
      <c r="L356">
        <f ca="1"/>
        <v>2.1505415759433646</v>
      </c>
      <c r="M356">
        <f ca="1"/>
        <v>5.0187710713208489E-2</v>
      </c>
      <c r="N356">
        <f ca="1"/>
        <v>0.1714035396820453</v>
      </c>
      <c r="O356">
        <f ca="1"/>
        <v>0</v>
      </c>
      <c r="P356">
        <f ca="1"/>
        <v>76.759926145315831</v>
      </c>
      <c r="Q356">
        <f ca="1"/>
        <v>71.027853738360434</v>
      </c>
      <c r="R356">
        <f ca="1"/>
        <v>0</v>
      </c>
      <c r="S356">
        <f ca="1"/>
        <v>0.55648989986556807</v>
      </c>
      <c r="T356">
        <f ca="1"/>
        <v>0</v>
      </c>
      <c r="U356">
        <f ca="1"/>
        <v>0</v>
      </c>
      <c r="V356">
        <f ca="1"/>
        <v>0.99737503286352391</v>
      </c>
      <c r="X356" s="2">
        <f t="shared" ca="1" si="36"/>
        <v>45392</v>
      </c>
      <c r="Y356">
        <f t="shared" ca="1" si="37"/>
        <v>0</v>
      </c>
      <c r="AA356" s="63">
        <f t="shared" ca="1" si="39"/>
        <v>-32.123029345984499</v>
      </c>
      <c r="AB356" s="63">
        <f t="shared" ca="1" si="40"/>
        <v>-32.123029345984499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45393</v>
      </c>
      <c r="K357">
        <f ca="1"/>
        <v>-36.230315596872551</v>
      </c>
      <c r="L357">
        <f ca="1"/>
        <v>2.1860244743714361</v>
      </c>
      <c r="M357">
        <f ca="1"/>
        <v>4.9697310881740009E-2</v>
      </c>
      <c r="N357">
        <f ca="1"/>
        <v>0.1795824885450068</v>
      </c>
      <c r="O357">
        <f ca="1"/>
        <v>0</v>
      </c>
      <c r="P357">
        <f ca="1"/>
        <v>78.945950619687267</v>
      </c>
      <c r="Q357">
        <f ca="1"/>
        <v>73.050636125359972</v>
      </c>
      <c r="R357">
        <f ca="1"/>
        <v>0</v>
      </c>
      <c r="S357">
        <f ca="1"/>
        <v>0.58842017805794311</v>
      </c>
      <c r="T357">
        <f ca="1"/>
        <v>0</v>
      </c>
      <c r="U357">
        <f ca="1"/>
        <v>0</v>
      </c>
      <c r="V357">
        <f ca="1"/>
        <v>0.99764463705073358</v>
      </c>
      <c r="X357" s="2">
        <f t="shared" ca="1" si="36"/>
        <v>45393</v>
      </c>
      <c r="Y357">
        <f t="shared" ca="1" si="37"/>
        <v>0</v>
      </c>
      <c r="AA357" s="63">
        <f t="shared" ca="1" si="39"/>
        <v>-34.044291122501114</v>
      </c>
      <c r="AB357" s="63">
        <f t="shared" ca="1" si="40"/>
        <v>-34.044291122501114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45394</v>
      </c>
      <c r="K358">
        <f ca="1"/>
        <v>-38.247985638439829</v>
      </c>
      <c r="L358">
        <f ca="1"/>
        <v>2.2506204403075714</v>
      </c>
      <c r="M358">
        <f ca="1"/>
        <v>4.9919179029251026E-2</v>
      </c>
      <c r="N358">
        <f ca="1"/>
        <v>0.18303121971103878</v>
      </c>
      <c r="O358">
        <f ca="1"/>
        <v>0</v>
      </c>
      <c r="P358">
        <f ca="1"/>
        <v>81.196571059994838</v>
      </c>
      <c r="Q358">
        <f ca="1"/>
        <v>75.133190753566637</v>
      </c>
      <c r="R358">
        <f ca="1"/>
        <v>0</v>
      </c>
      <c r="S358">
        <f ca="1"/>
        <v>0.58679891296135855</v>
      </c>
      <c r="T358">
        <f ca="1"/>
        <v>0</v>
      </c>
      <c r="U358">
        <f ca="1"/>
        <v>0</v>
      </c>
      <c r="V358">
        <f ca="1"/>
        <v>0.99789047676659282</v>
      </c>
      <c r="X358" s="2">
        <f t="shared" ca="1" si="36"/>
        <v>45394</v>
      </c>
      <c r="Y358">
        <f t="shared" ca="1" si="37"/>
        <v>0</v>
      </c>
      <c r="AA358" s="63">
        <f t="shared" ca="1" si="39"/>
        <v>-35.997365198132258</v>
      </c>
      <c r="AB358" s="63">
        <f t="shared" ca="1" si="40"/>
        <v>-35.997365198132258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45395</v>
      </c>
      <c r="K359">
        <f ca="1"/>
        <v>-40.247662888533775</v>
      </c>
      <c r="L359">
        <f ca="1"/>
        <v>2.2314747268953425</v>
      </c>
      <c r="M359">
        <f ca="1"/>
        <v>4.8194239134089045E-2</v>
      </c>
      <c r="N359">
        <f ca="1"/>
        <v>0.18360323766730746</v>
      </c>
      <c r="O359">
        <f ca="1"/>
        <v>0</v>
      </c>
      <c r="P359">
        <f ca="1"/>
        <v>83.428045786890181</v>
      </c>
      <c r="Q359">
        <f ca="1"/>
        <v>77.198029380726311</v>
      </c>
      <c r="R359">
        <f ca="1"/>
        <v>0</v>
      </c>
      <c r="S359">
        <f ca="1"/>
        <v>0.6080901501425896</v>
      </c>
      <c r="T359">
        <f ca="1"/>
        <v>0</v>
      </c>
      <c r="U359">
        <f ca="1"/>
        <v>0</v>
      </c>
      <c r="V359">
        <f ca="1"/>
        <v>0.99810657445429607</v>
      </c>
      <c r="X359" s="2">
        <f t="shared" ca="1" si="36"/>
        <v>45395</v>
      </c>
      <c r="Y359">
        <f t="shared" ca="1" si="37"/>
        <v>0</v>
      </c>
      <c r="AA359" s="63">
        <f t="shared" ca="1" si="39"/>
        <v>-38.016188161638432</v>
      </c>
      <c r="AB359" s="63">
        <f t="shared" ca="1" si="40"/>
        <v>-38.016188161638432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45396</v>
      </c>
      <c r="K360">
        <f ca="1"/>
        <v>-42.245622202916067</v>
      </c>
      <c r="L360">
        <f ca="1"/>
        <v>2.2283607835734784</v>
      </c>
      <c r="M360">
        <f ca="1"/>
        <v>4.6954989488693144E-2</v>
      </c>
      <c r="N360">
        <f ca="1"/>
        <v>0.18344647970249967</v>
      </c>
      <c r="O360">
        <f ca="1"/>
        <v>0</v>
      </c>
      <c r="P360">
        <f ca="1"/>
        <v>85.656406570463659</v>
      </c>
      <c r="Q360">
        <f ca="1"/>
        <v>79.259986599292674</v>
      </c>
      <c r="R360">
        <f ca="1"/>
        <v>0</v>
      </c>
      <c r="S360">
        <f ca="1"/>
        <v>0.61853807622749757</v>
      </c>
      <c r="T360">
        <f ca="1"/>
        <v>0</v>
      </c>
      <c r="U360">
        <f ca="1"/>
        <v>0</v>
      </c>
      <c r="V360">
        <f ca="1"/>
        <v>0.99829841584898038</v>
      </c>
      <c r="X360" s="2">
        <f t="shared" ca="1" si="36"/>
        <v>45396</v>
      </c>
      <c r="Y360">
        <f t="shared" ca="1" si="37"/>
        <v>0</v>
      </c>
      <c r="AA360" s="63">
        <f t="shared" ca="1" si="39"/>
        <v>-40.017261419342589</v>
      </c>
      <c r="AB360" s="63">
        <f t="shared" ca="1" si="40"/>
        <v>-40.017261419342589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45397</v>
      </c>
      <c r="K361">
        <f ca="1"/>
        <v>-44.322933576010143</v>
      </c>
      <c r="L361">
        <f ca="1"/>
        <v>2.3241108393838914</v>
      </c>
      <c r="M361">
        <f ca="1"/>
        <v>4.7942280192982523E-2</v>
      </c>
      <c r="N361">
        <f ca="1"/>
        <v>0.19885718609683076</v>
      </c>
      <c r="O361">
        <f ca="1"/>
        <v>0</v>
      </c>
      <c r="P361">
        <f ca="1"/>
        <v>87.98051740984755</v>
      </c>
      <c r="Q361">
        <f ca="1"/>
        <v>81.410543707164123</v>
      </c>
      <c r="R361">
        <f ca="1"/>
        <v>0</v>
      </c>
      <c r="S361">
        <f ca="1"/>
        <v>0.64835807934177769</v>
      </c>
      <c r="T361">
        <f ca="1"/>
        <v>0</v>
      </c>
      <c r="U361">
        <f ca="1"/>
        <v>0</v>
      </c>
      <c r="V361">
        <f ca="1"/>
        <v>0.99847622940156455</v>
      </c>
      <c r="X361" s="2">
        <f t="shared" ca="1" si="36"/>
        <v>45397</v>
      </c>
      <c r="Y361">
        <f t="shared" ca="1" si="37"/>
        <v>0</v>
      </c>
      <c r="AA361" s="63">
        <f t="shared" ca="1" si="39"/>
        <v>-41.998822736626252</v>
      </c>
      <c r="AB361" s="63">
        <f t="shared" ca="1" si="40"/>
        <v>-41.998822736626252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45398</v>
      </c>
      <c r="K362">
        <f ca="1"/>
        <v>-46.385540071518214</v>
      </c>
      <c r="L362">
        <f ca="1"/>
        <v>2.3071945059356693</v>
      </c>
      <c r="M362">
        <f ca="1"/>
        <v>4.6459452659483702E-2</v>
      </c>
      <c r="N362">
        <f ca="1"/>
        <v>0.19812855776811147</v>
      </c>
      <c r="O362">
        <f ca="1"/>
        <v>0</v>
      </c>
      <c r="P362">
        <f ca="1"/>
        <v>90.28771191578322</v>
      </c>
      <c r="Q362">
        <f ca="1"/>
        <v>83.545447714279931</v>
      </c>
      <c r="R362">
        <f ca="1"/>
        <v>0</v>
      </c>
      <c r="S362">
        <f ca="1"/>
        <v>0.66087900835591673</v>
      </c>
      <c r="T362">
        <f ca="1"/>
        <v>0</v>
      </c>
      <c r="U362">
        <f ca="1"/>
        <v>0</v>
      </c>
      <c r="V362">
        <f ca="1"/>
        <v>0.99863308005902152</v>
      </c>
      <c r="X362" s="2">
        <f t="shared" ca="1" si="36"/>
        <v>45398</v>
      </c>
      <c r="Y362">
        <f t="shared" ca="1" si="37"/>
        <v>0</v>
      </c>
      <c r="AA362" s="63">
        <f t="shared" ca="1" si="39"/>
        <v>-44.078345565582545</v>
      </c>
      <c r="AB362" s="63">
        <f t="shared" ca="1" si="40"/>
        <v>-44.078345565582545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45399</v>
      </c>
      <c r="K363">
        <f ca="1"/>
        <v>-48.464402069148584</v>
      </c>
      <c r="L363">
        <f ca="1"/>
        <v>2.3267749439728505</v>
      </c>
      <c r="M363">
        <f ca="1"/>
        <v>4.5841298587641077E-2</v>
      </c>
      <c r="N363">
        <f ca="1"/>
        <v>0.20207164775484196</v>
      </c>
      <c r="O363">
        <f ca="1"/>
        <v>0</v>
      </c>
      <c r="P363">
        <f ca="1"/>
        <v>92.61448685975607</v>
      </c>
      <c r="Q363">
        <f ca="1"/>
        <v>85.698469983865181</v>
      </c>
      <c r="R363">
        <f ca="1"/>
        <v>0</v>
      </c>
      <c r="S363">
        <f ca="1"/>
        <v>0.67506447260922886</v>
      </c>
      <c r="T363">
        <f ca="1"/>
        <v>0</v>
      </c>
      <c r="U363">
        <f ca="1"/>
        <v>0</v>
      </c>
      <c r="V363">
        <f ca="1"/>
        <v>0.9987738914374219</v>
      </c>
      <c r="X363" s="2">
        <f t="shared" ca="1" si="36"/>
        <v>45399</v>
      </c>
      <c r="Y363">
        <f t="shared" ca="1" si="37"/>
        <v>0</v>
      </c>
      <c r="AA363" s="63">
        <f t="shared" ca="1" si="39"/>
        <v>-46.137627125175733</v>
      </c>
      <c r="AB363" s="63">
        <f t="shared" ca="1" si="40"/>
        <v>-46.137627125175733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45400</v>
      </c>
      <c r="K364">
        <f ca="1"/>
        <v>-50.528697186172444</v>
      </c>
      <c r="L364">
        <f ca="1"/>
        <v>2.3077946274102743</v>
      </c>
      <c r="M364">
        <f ca="1"/>
        <v>4.4484973468415845E-2</v>
      </c>
      <c r="N364">
        <f ca="1"/>
        <v>0.19901453691799792</v>
      </c>
      <c r="O364">
        <f ca="1"/>
        <v>0</v>
      </c>
      <c r="P364">
        <f ca="1"/>
        <v>94.922281487166345</v>
      </c>
      <c r="Q364">
        <f ca="1"/>
        <v>87.833929298189631</v>
      </c>
      <c r="R364">
        <f ca="1"/>
        <v>0</v>
      </c>
      <c r="S364">
        <f ca="1"/>
        <v>0.67778995722620816</v>
      </c>
      <c r="T364">
        <f ca="1"/>
        <v>0</v>
      </c>
      <c r="U364">
        <f ca="1"/>
        <v>0</v>
      </c>
      <c r="V364">
        <f ca="1"/>
        <v>0.99889842814207541</v>
      </c>
      <c r="X364" s="2">
        <f t="shared" ca="1" si="36"/>
        <v>45400</v>
      </c>
      <c r="Y364">
        <f t="shared" ca="1" si="37"/>
        <v>0</v>
      </c>
      <c r="AA364" s="63">
        <f t="shared" ca="1" si="39"/>
        <v>-48.22090255876217</v>
      </c>
      <c r="AB364" s="63">
        <f t="shared" ca="1" si="40"/>
        <v>-48.22090255876217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45401</v>
      </c>
      <c r="K365">
        <f ca="1"/>
        <v>-52.639929642432939</v>
      </c>
      <c r="L365">
        <f ca="1"/>
        <v>2.3551199767540965</v>
      </c>
      <c r="M365">
        <f ca="1"/>
        <v>4.4532002078467414E-2</v>
      </c>
      <c r="N365">
        <f ca="1"/>
        <v>0.1993555184151353</v>
      </c>
      <c r="O365">
        <f ca="1"/>
        <v>0</v>
      </c>
      <c r="P365">
        <f ca="1"/>
        <v>97.277401463920441</v>
      </c>
      <c r="Q365">
        <f ca="1"/>
        <v>90.013179926030276</v>
      </c>
      <c r="R365">
        <f ca="1"/>
        <v>0</v>
      </c>
      <c r="S365">
        <f ca="1"/>
        <v>0.66551367930582928</v>
      </c>
      <c r="T365">
        <f ca="1"/>
        <v>0</v>
      </c>
      <c r="U365">
        <f ca="1"/>
        <v>0</v>
      </c>
      <c r="V365">
        <f ca="1"/>
        <v>0.99901186241281625</v>
      </c>
      <c r="X365" s="2">
        <f t="shared" ca="1" si="36"/>
        <v>45401</v>
      </c>
      <c r="Y365">
        <f t="shared" ca="1" si="37"/>
        <v>0</v>
      </c>
      <c r="AA365" s="63">
        <f t="shared" ca="1" si="39"/>
        <v>-50.284809665678843</v>
      </c>
      <c r="AB365" s="63">
        <f t="shared" ca="1" si="40"/>
        <v>-50.284809665678843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45402</v>
      </c>
      <c r="K366">
        <f ca="1"/>
        <v>-54.734042482051827</v>
      </c>
      <c r="L366">
        <f ca="1"/>
        <v>2.3439183252861682</v>
      </c>
      <c r="M366">
        <f ca="1"/>
        <v>4.3444343840130628E-2</v>
      </c>
      <c r="N366">
        <f ca="1"/>
        <v>0.20636114182715229</v>
      </c>
      <c r="O366">
        <f ca="1"/>
        <v>0</v>
      </c>
      <c r="P366">
        <f ca="1"/>
        <v>99.621319789206609</v>
      </c>
      <c r="Q366">
        <f ca="1"/>
        <v>92.182065389363274</v>
      </c>
      <c r="R366">
        <f ca="1"/>
        <v>0</v>
      </c>
      <c r="S366">
        <f ca="1"/>
        <v>0.7007364195027006</v>
      </c>
      <c r="T366">
        <f ca="1"/>
        <v>0</v>
      </c>
      <c r="U366">
        <f ca="1"/>
        <v>0</v>
      </c>
      <c r="V366">
        <f ca="1"/>
        <v>0.99911268791300178</v>
      </c>
      <c r="X366" s="2">
        <f t="shared" ca="1" si="36"/>
        <v>45402</v>
      </c>
      <c r="Y366">
        <f t="shared" ca="1" si="37"/>
        <v>0</v>
      </c>
      <c r="AA366" s="63">
        <f t="shared" ca="1" si="39"/>
        <v>-52.390124156765658</v>
      </c>
      <c r="AB366" s="63">
        <f t="shared" ca="1" si="40"/>
        <v>-52.390124156765658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45403</v>
      </c>
      <c r="K367">
        <f ca="1"/>
        <v>-56.732661157024012</v>
      </c>
      <c r="L367">
        <f ca="1"/>
        <v>2.2407036891163159</v>
      </c>
      <c r="M367">
        <f ca="1"/>
        <v>4.0726582925728394E-2</v>
      </c>
      <c r="N367">
        <f ca="1"/>
        <v>0.20135843121840169</v>
      </c>
      <c r="O367">
        <f ca="1"/>
        <v>0</v>
      </c>
      <c r="P367">
        <f ca="1"/>
        <v>101.86202347832293</v>
      </c>
      <c r="Q367">
        <f ca="1"/>
        <v>94.255443802993625</v>
      </c>
      <c r="R367">
        <f ca="1"/>
        <v>0</v>
      </c>
      <c r="S367">
        <f ca="1"/>
        <v>0.72803917109515071</v>
      </c>
      <c r="T367">
        <f ca="1"/>
        <v>0</v>
      </c>
      <c r="U367">
        <f ca="1"/>
        <v>0</v>
      </c>
      <c r="V367">
        <f ca="1"/>
        <v>0.99919912048571768</v>
      </c>
      <c r="X367" s="2">
        <f t="shared" ca="1" si="36"/>
        <v>45403</v>
      </c>
      <c r="Y367">
        <f t="shared" ca="1" si="37"/>
        <v>0</v>
      </c>
      <c r="AA367" s="63">
        <f t="shared" ca="1" si="39"/>
        <v>-54.491957467907696</v>
      </c>
      <c r="AB367" s="63">
        <f t="shared" ca="1" si="40"/>
        <v>-54.491957467907696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45404</v>
      </c>
      <c r="K368">
        <f ca="1"/>
        <v>-58.758689144106832</v>
      </c>
      <c r="L368">
        <f ca="1"/>
        <v>2.2707534011859707</v>
      </c>
      <c r="M368">
        <f ca="1"/>
        <v>4.0588032705977994E-2</v>
      </c>
      <c r="N368">
        <f ca="1"/>
        <v>0.20413738139717275</v>
      </c>
      <c r="O368">
        <f ca="1"/>
        <v>0</v>
      </c>
      <c r="P368">
        <f ca="1"/>
        <v>104.1327768795089</v>
      </c>
      <c r="Q368">
        <f ca="1"/>
        <v>96.356627956688442</v>
      </c>
      <c r="R368">
        <f ca="1"/>
        <v>0</v>
      </c>
      <c r="S368">
        <f ca="1"/>
        <v>0.72888170982297362</v>
      </c>
      <c r="T368">
        <f ca="1"/>
        <v>0</v>
      </c>
      <c r="U368">
        <f ca="1"/>
        <v>0</v>
      </c>
      <c r="V368">
        <f ca="1"/>
        <v>0.99927790428532104</v>
      </c>
      <c r="X368" s="2">
        <f t="shared" ca="1" si="36"/>
        <v>45404</v>
      </c>
      <c r="Y368">
        <f t="shared" ca="1" si="37"/>
        <v>0</v>
      </c>
      <c r="AA368" s="63">
        <f t="shared" ca="1" si="39"/>
        <v>-56.487935742920861</v>
      </c>
      <c r="AB368" s="63">
        <f t="shared" ca="1" si="40"/>
        <v>-56.487935742920861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45405</v>
      </c>
      <c r="K369">
        <f ca="1"/>
        <v>-60.75267192969536</v>
      </c>
      <c r="L369">
        <f ca="1"/>
        <v>2.2463079439522318</v>
      </c>
      <c r="M369">
        <f ca="1"/>
        <v>3.9505214402490552E-2</v>
      </c>
      <c r="N369">
        <f ca="1"/>
        <v>0.21281994396121778</v>
      </c>
      <c r="O369">
        <f ca="1"/>
        <v>0</v>
      </c>
      <c r="P369">
        <f ca="1"/>
        <v>106.37908482346113</v>
      </c>
      <c r="Q369">
        <f ca="1"/>
        <v>98.435192125605269</v>
      </c>
      <c r="R369">
        <f ca="1"/>
        <v>0</v>
      </c>
      <c r="S369">
        <f ca="1"/>
        <v>0.77263995816595588</v>
      </c>
      <c r="T369">
        <f ca="1"/>
        <v>0</v>
      </c>
      <c r="U369">
        <f ca="1"/>
        <v>0</v>
      </c>
      <c r="V369">
        <f ca="1"/>
        <v>0.99934806977924784</v>
      </c>
      <c r="X369" s="2">
        <f t="shared" ca="1" si="36"/>
        <v>45405</v>
      </c>
      <c r="Y369">
        <f t="shared" ca="1" si="37"/>
        <v>0</v>
      </c>
      <c r="AA369" s="63">
        <f t="shared" ca="1" si="39"/>
        <v>-58.506363985743128</v>
      </c>
      <c r="AB369" s="63">
        <f t="shared" ca="1" si="40"/>
        <v>-58.506363985743128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45406</v>
      </c>
      <c r="K370">
        <f ca="1"/>
        <v>-62.76005650803107</v>
      </c>
      <c r="L370">
        <f ca="1"/>
        <v>2.292825969014018</v>
      </c>
      <c r="M370">
        <f ca="1"/>
        <v>3.9719578744502826E-2</v>
      </c>
      <c r="N370">
        <f ca="1"/>
        <v>0.24572181193380488</v>
      </c>
      <c r="O370">
        <f ca="1"/>
        <v>0</v>
      </c>
      <c r="P370">
        <f ca="1"/>
        <v>108.67191079247515</v>
      </c>
      <c r="Q370">
        <f ca="1"/>
        <v>100.55680057095914</v>
      </c>
      <c r="R370">
        <f ca="1"/>
        <v>0</v>
      </c>
      <c r="S370">
        <f ca="1"/>
        <v>0.86535388412202696</v>
      </c>
      <c r="T370">
        <f ca="1"/>
        <v>0</v>
      </c>
      <c r="U370">
        <f ca="1"/>
        <v>0</v>
      </c>
      <c r="V370">
        <f ca="1"/>
        <v>0.99941258292892665</v>
      </c>
      <c r="X370" s="2">
        <f t="shared" ca="1" si="36"/>
        <v>45406</v>
      </c>
      <c r="Y370">
        <f t="shared" ca="1" si="37"/>
        <v>0</v>
      </c>
      <c r="AA370" s="63">
        <f t="shared" ca="1" si="39"/>
        <v>-60.467230539017052</v>
      </c>
      <c r="AB370" s="63">
        <f t="shared" ca="1" si="40"/>
        <v>-60.467230539017052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45407</v>
      </c>
      <c r="K371">
        <f ca="1"/>
        <v>-64.79234496877956</v>
      </c>
      <c r="L371">
        <f ca="1"/>
        <v>2.329709929448498</v>
      </c>
      <c r="M371">
        <f ca="1"/>
        <v>3.9783748704252275E-2</v>
      </c>
      <c r="N371">
        <f ca="1"/>
        <v>0.25763771999575918</v>
      </c>
      <c r="O371">
        <f ca="1"/>
        <v>0</v>
      </c>
      <c r="P371">
        <f ca="1"/>
        <v>111.00162072192364</v>
      </c>
      <c r="Q371">
        <f ca="1"/>
        <v>102.71253865502676</v>
      </c>
      <c r="R371">
        <f ca="1"/>
        <v>0</v>
      </c>
      <c r="S371">
        <f ca="1"/>
        <v>0.88744037476127191</v>
      </c>
      <c r="T371">
        <f ca="1"/>
        <v>0</v>
      </c>
      <c r="U371">
        <f ca="1"/>
        <v>0</v>
      </c>
      <c r="V371">
        <f ca="1"/>
        <v>0.99947157364851869</v>
      </c>
      <c r="X371" s="2">
        <f t="shared" ca="1" si="36"/>
        <v>45407</v>
      </c>
      <c r="Y371">
        <f t="shared" ca="1" si="37"/>
        <v>0</v>
      </c>
      <c r="AA371" s="63">
        <f t="shared" ca="1" si="39"/>
        <v>-62.462635039331062</v>
      </c>
      <c r="AB371" s="63">
        <f t="shared" ca="1" si="40"/>
        <v>-62.462635039331062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45408</v>
      </c>
      <c r="K372">
        <f ca="1"/>
        <v>-66.871542730342313</v>
      </c>
      <c r="L372">
        <f ca="1"/>
        <v>2.3908910091870013</v>
      </c>
      <c r="M372">
        <f ca="1"/>
        <v>4.030421981502208E-2</v>
      </c>
      <c r="N372">
        <f ca="1"/>
        <v>0.27138902780922375</v>
      </c>
      <c r="O372">
        <f ca="1"/>
        <v>0</v>
      </c>
      <c r="P372">
        <f ca="1"/>
        <v>113.39251173111064</v>
      </c>
      <c r="Q372">
        <f ca="1"/>
        <v>104.9248891018394</v>
      </c>
      <c r="R372">
        <f ca="1"/>
        <v>0</v>
      </c>
      <c r="S372">
        <f ca="1"/>
        <v>0.90244274239786171</v>
      </c>
      <c r="T372">
        <f ca="1"/>
        <v>0</v>
      </c>
      <c r="U372">
        <f ca="1"/>
        <v>0</v>
      </c>
      <c r="V372">
        <f ca="1"/>
        <v>0.9995259828678168</v>
      </c>
      <c r="X372" s="2">
        <f t="shared" ca="1" si="36"/>
        <v>45408</v>
      </c>
      <c r="Y372">
        <f t="shared" ca="1" si="37"/>
        <v>0</v>
      </c>
      <c r="AA372" s="63">
        <f t="shared" ca="1" si="39"/>
        <v>-64.480651721155311</v>
      </c>
      <c r="AB372" s="63">
        <f t="shared" ca="1" si="40"/>
        <v>-64.480651721155311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45409</v>
      </c>
      <c r="K373">
        <f ca="1"/>
        <v>-68.966657903411715</v>
      </c>
      <c r="L373">
        <f ca="1"/>
        <v>2.4248703145077855</v>
      </c>
      <c r="M373">
        <f ca="1"/>
        <v>4.0364468337530823E-2</v>
      </c>
      <c r="N373">
        <f ca="1"/>
        <v>0.28939067310085415</v>
      </c>
      <c r="O373">
        <f ca="1"/>
        <v>0</v>
      </c>
      <c r="P373">
        <f ca="1"/>
        <v>115.81738204561843</v>
      </c>
      <c r="Q373">
        <f ca="1"/>
        <v>107.16868143831574</v>
      </c>
      <c r="R373">
        <f ca="1"/>
        <v>0</v>
      </c>
      <c r="S373">
        <f ca="1"/>
        <v>0.93786116907073092</v>
      </c>
      <c r="T373">
        <f ca="1"/>
        <v>0</v>
      </c>
      <c r="U373">
        <f ca="1"/>
        <v>0</v>
      </c>
      <c r="V373">
        <f ca="1"/>
        <v>0.99957551173882364</v>
      </c>
      <c r="X373" s="2">
        <f t="shared" ca="1" si="36"/>
        <v>45409</v>
      </c>
      <c r="Y373">
        <f t="shared" ca="1" si="37"/>
        <v>0</v>
      </c>
      <c r="AA373" s="63">
        <f t="shared" ca="1" si="39"/>
        <v>-66.541787588903929</v>
      </c>
      <c r="AB373" s="63">
        <f t="shared" ca="1" si="40"/>
        <v>-66.541787588903929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45410</v>
      </c>
      <c r="K374">
        <f ca="1"/>
        <v>-70.931767243825135</v>
      </c>
      <c r="L374">
        <f ca="1"/>
        <v>2.2786600058989421</v>
      </c>
      <c r="M374">
        <f ca="1"/>
        <v>3.7337263665540021E-2</v>
      </c>
      <c r="N374">
        <f ca="1"/>
        <v>0.27621340181998955</v>
      </c>
      <c r="O374">
        <f ca="1"/>
        <v>0</v>
      </c>
      <c r="P374">
        <f ca="1"/>
        <v>118.09604205151737</v>
      </c>
      <c r="Q374">
        <f ca="1"/>
        <v>109.27718176844952</v>
      </c>
      <c r="R374">
        <f ca="1"/>
        <v>0</v>
      </c>
      <c r="S374">
        <f ca="1"/>
        <v>0.96265388571888655</v>
      </c>
      <c r="T374">
        <f ca="1"/>
        <v>0</v>
      </c>
      <c r="U374">
        <f ca="1"/>
        <v>0</v>
      </c>
      <c r="V374">
        <f ca="1"/>
        <v>0.99961741852185326</v>
      </c>
      <c r="X374" s="2">
        <f t="shared" ca="1" si="36"/>
        <v>45410</v>
      </c>
      <c r="Y374">
        <f t="shared" ca="1" si="37"/>
        <v>0</v>
      </c>
      <c r="AA374" s="63">
        <f t="shared" ca="1" si="39"/>
        <v>-68.653107237926193</v>
      </c>
      <c r="AB374" s="63">
        <f t="shared" ca="1" si="40"/>
        <v>-68.653107237926193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45411</v>
      </c>
      <c r="K375">
        <f ca="1"/>
        <v>-72.839021040446326</v>
      </c>
      <c r="L375">
        <f ca="1"/>
        <v>2.2101244457045937</v>
      </c>
      <c r="M375">
        <f ca="1"/>
        <v>3.5801139438502716E-2</v>
      </c>
      <c r="N375">
        <f ca="1"/>
        <v>0.26706950964490273</v>
      </c>
      <c r="O375">
        <f ca="1"/>
        <v>0</v>
      </c>
      <c r="P375">
        <f ca="1"/>
        <v>120.30616649722197</v>
      </c>
      <c r="Q375">
        <f ca="1"/>
        <v>111.32226445359827</v>
      </c>
      <c r="R375">
        <f ca="1"/>
        <v>0</v>
      </c>
      <c r="S375">
        <f ca="1"/>
        <v>1</v>
      </c>
      <c r="T375">
        <f ca="1"/>
        <v>0.90740885526126647</v>
      </c>
      <c r="U375">
        <f ca="1"/>
        <v>0</v>
      </c>
      <c r="V375">
        <f ca="1"/>
        <v>0.99965421486824568</v>
      </c>
      <c r="X375" s="2">
        <f t="shared" ca="1" si="36"/>
        <v>45411</v>
      </c>
      <c r="Y375">
        <f t="shared" ca="1" si="37"/>
        <v>0</v>
      </c>
      <c r="AA375" s="63">
        <f t="shared" ca="1" si="39"/>
        <v>-70.628896594741732</v>
      </c>
      <c r="AB375" s="63">
        <f t="shared" ca="1" si="40"/>
        <v>-70.628896594741732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45412</v>
      </c>
      <c r="K376">
        <f ca="1"/>
        <v>-74.747399481148591</v>
      </c>
      <c r="L376">
        <f ca="1"/>
        <v>2.2125030755457971</v>
      </c>
      <c r="M376">
        <f ca="1"/>
        <v>3.5468439563445031E-2</v>
      </c>
      <c r="N376">
        <f ca="1"/>
        <v>0.26865619528008111</v>
      </c>
      <c r="O376">
        <f ca="1"/>
        <v>0</v>
      </c>
      <c r="P376">
        <f ca="1"/>
        <v>122.51866957276776</v>
      </c>
      <c r="Q376">
        <f ca="1"/>
        <v>113.3695481436325</v>
      </c>
      <c r="R376">
        <f ca="1"/>
        <v>0</v>
      </c>
      <c r="S376">
        <f ca="1"/>
        <v>1</v>
      </c>
      <c r="T376">
        <f ca="1"/>
        <v>1.240000000000002</v>
      </c>
      <c r="U376">
        <f ca="1"/>
        <v>0</v>
      </c>
      <c r="V376">
        <f ca="1"/>
        <v>0.99968762763193197</v>
      </c>
      <c r="X376" s="2">
        <f t="shared" ca="1" si="36"/>
        <v>45412</v>
      </c>
      <c r="Y376">
        <f t="shared" ca="1" si="37"/>
        <v>0</v>
      </c>
      <c r="AA376" s="63">
        <f t="shared" ca="1" si="39"/>
        <v>-72.534896405602794</v>
      </c>
      <c r="AB376" s="63">
        <f t="shared" ca="1" si="40"/>
        <v>-72.534896405602794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45413</v>
      </c>
      <c r="K377">
        <f ca="1"/>
        <v>-76.633326668479455</v>
      </c>
      <c r="L377">
        <f ca="1"/>
        <v>2.1870439269790865</v>
      </c>
      <c r="M377">
        <f ca="1"/>
        <v>3.4725487377976094E-2</v>
      </c>
      <c r="N377">
        <f ca="1"/>
        <v>0.26639125227025956</v>
      </c>
      <c r="O377">
        <f ca="1"/>
        <v>0</v>
      </c>
      <c r="P377">
        <f ca="1"/>
        <v>124.70571349974685</v>
      </c>
      <c r="Q377">
        <f ca="1"/>
        <v>115.39327385528524</v>
      </c>
      <c r="R377">
        <f ca="1"/>
        <v>0</v>
      </c>
      <c r="S377">
        <f ca="1"/>
        <v>1</v>
      </c>
      <c r="T377">
        <f ca="1"/>
        <v>4.6199999999999974</v>
      </c>
      <c r="U377">
        <f ca="1"/>
        <v>0</v>
      </c>
      <c r="V377">
        <f ca="1"/>
        <v>0.99971761345474575</v>
      </c>
      <c r="X377" s="2">
        <f t="shared" ca="1" si="36"/>
        <v>45413</v>
      </c>
      <c r="Y377">
        <f t="shared" ca="1" si="37"/>
        <v>0</v>
      </c>
      <c r="AA377" s="63">
        <f t="shared" ca="1" si="39"/>
        <v>-74.446282741500355</v>
      </c>
      <c r="AB377" s="63">
        <f t="shared" ca="1" si="40"/>
        <v>-74.446282741500369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45414</v>
      </c>
      <c r="K378">
        <f ca="1"/>
        <v>-78.494033548166556</v>
      </c>
      <c r="L378">
        <f ca="1"/>
        <v>2.1585961307578572</v>
      </c>
      <c r="M378">
        <f ca="1"/>
        <v>3.3975960230176128E-2</v>
      </c>
      <c r="N378">
        <f ca="1"/>
        <v>0.26391329084058007</v>
      </c>
      <c r="O378">
        <f ca="1"/>
        <v>0</v>
      </c>
      <c r="P378">
        <f ca="1"/>
        <v>126.86430963050471</v>
      </c>
      <c r="Q378">
        <f ca="1"/>
        <v>117.39067611913585</v>
      </c>
      <c r="R378">
        <f ca="1"/>
        <v>0</v>
      </c>
      <c r="S378">
        <f ca="1"/>
        <v>1</v>
      </c>
      <c r="T378">
        <f ca="1"/>
        <v>0.72000000000000597</v>
      </c>
      <c r="U378">
        <f ca="1"/>
        <v>0</v>
      </c>
      <c r="V378">
        <f ca="1"/>
        <v>0.99974452330026775</v>
      </c>
      <c r="X378" s="2">
        <f t="shared" ca="1" si="36"/>
        <v>45414</v>
      </c>
      <c r="Y378">
        <f t="shared" ca="1" si="37"/>
        <v>0</v>
      </c>
      <c r="AA378" s="63">
        <f t="shared" ca="1" si="39"/>
        <v>-76.335437417408698</v>
      </c>
      <c r="AB378" s="63">
        <f t="shared" ca="1" si="40"/>
        <v>-76.335437417408698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45415</v>
      </c>
      <c r="K379">
        <f ca="1"/>
        <v>-80.306698349594868</v>
      </c>
      <c r="L379">
        <f ca="1"/>
        <v>2.1031916947864175</v>
      </c>
      <c r="M379">
        <f ca="1"/>
        <v>3.2857520041428501E-2</v>
      </c>
      <c r="N379">
        <f ca="1"/>
        <v>0.25766937331666695</v>
      </c>
      <c r="O379">
        <f ca="1"/>
        <v>0</v>
      </c>
      <c r="P379">
        <f ca="1"/>
        <v>128.96750132529112</v>
      </c>
      <c r="Q379">
        <f ca="1"/>
        <v>119.33681129125965</v>
      </c>
      <c r="R379">
        <f ca="1"/>
        <v>0</v>
      </c>
      <c r="S379">
        <f ca="1"/>
        <v>1</v>
      </c>
      <c r="T379">
        <f ca="1"/>
        <v>0.39000000000000767</v>
      </c>
      <c r="U379">
        <f ca="1"/>
        <v>0</v>
      </c>
      <c r="V379">
        <f ca="1"/>
        <v>0.9997684121774838</v>
      </c>
      <c r="X379" s="2">
        <f t="shared" ca="1" si="36"/>
        <v>45415</v>
      </c>
      <c r="Y379">
        <f t="shared" ca="1" si="37"/>
        <v>0</v>
      </c>
      <c r="AA379" s="63">
        <f t="shared" ca="1" si="39"/>
        <v>-78.20350665480845</v>
      </c>
      <c r="AB379" s="63">
        <f t="shared" ca="1" si="40"/>
        <v>-78.20350665480845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45416</v>
      </c>
      <c r="K380">
        <f ca="1"/>
        <v>-82.116901794716227</v>
      </c>
      <c r="L380">
        <f ca="1"/>
        <v>2.1024724364618805</v>
      </c>
      <c r="M380">
        <f ca="1"/>
        <v>3.2602598927345738E-2</v>
      </c>
      <c r="N380">
        <f ca="1"/>
        <v>0.25966639241318118</v>
      </c>
      <c r="O380">
        <f ca="1"/>
        <v>0</v>
      </c>
      <c r="P380">
        <f ca="1"/>
        <v>131.069973761753</v>
      </c>
      <c r="Q380">
        <f ca="1"/>
        <v>121.2822809159078</v>
      </c>
      <c r="R380">
        <f ca="1"/>
        <v>0</v>
      </c>
      <c r="S380">
        <f ca="1"/>
        <v>1</v>
      </c>
      <c r="T380">
        <f ca="1"/>
        <v>1.269999999999996</v>
      </c>
      <c r="U380">
        <f ca="1"/>
        <v>0</v>
      </c>
      <c r="V380">
        <f ca="1"/>
        <v>0.99979020105374539</v>
      </c>
      <c r="X380" s="2">
        <f t="shared" ca="1" si="36"/>
        <v>45416</v>
      </c>
      <c r="Y380">
        <f t="shared" ca="1" si="37"/>
        <v>0</v>
      </c>
      <c r="AA380" s="63">
        <f t="shared" ca="1" si="39"/>
        <v>-80.014429358254347</v>
      </c>
      <c r="AB380" s="63">
        <f t="shared" ca="1" si="40"/>
        <v>-80.014429358254347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45417</v>
      </c>
      <c r="K381">
        <f ca="1"/>
        <v>-83.931533377247334</v>
      </c>
      <c r="L381">
        <f ca="1"/>
        <v>2.1103727657118441</v>
      </c>
      <c r="M381">
        <f ca="1"/>
        <v>3.2501251393981079E-2</v>
      </c>
      <c r="N381">
        <f ca="1"/>
        <v>0.26323993178674993</v>
      </c>
      <c r="O381">
        <f ca="1"/>
        <v>0</v>
      </c>
      <c r="P381">
        <f ca="1"/>
        <v>133.18034652746485</v>
      </c>
      <c r="Q381">
        <f ca="1"/>
        <v>123.23506091015419</v>
      </c>
      <c r="R381">
        <f ca="1"/>
        <v>0</v>
      </c>
      <c r="S381">
        <f ca="1"/>
        <v>1</v>
      </c>
      <c r="T381">
        <f ca="1"/>
        <v>1.6599999999999966</v>
      </c>
      <c r="U381">
        <f ca="1"/>
        <v>0</v>
      </c>
      <c r="V381">
        <f ca="1"/>
        <v>0.99981015482988256</v>
      </c>
      <c r="X381" s="2">
        <f t="shared" ca="1" si="36"/>
        <v>45417</v>
      </c>
      <c r="Y381">
        <f t="shared" ca="1" si="37"/>
        <v>0</v>
      </c>
      <c r="AA381" s="63">
        <f t="shared" ca="1" si="39"/>
        <v>-81.82116061153549</v>
      </c>
      <c r="AB381" s="63">
        <f t="shared" ca="1" si="40"/>
        <v>-81.82116061153549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45418</v>
      </c>
      <c r="K382">
        <f ca="1"/>
        <v>-85.689660751457495</v>
      </c>
      <c r="L382">
        <f ca="1"/>
        <v>2.0455907578983954</v>
      </c>
      <c r="M382">
        <f ca="1"/>
        <v>3.1340734018654004E-2</v>
      </c>
      <c r="N382">
        <f ca="1"/>
        <v>0.25612264966957848</v>
      </c>
      <c r="O382">
        <f ca="1"/>
        <v>0</v>
      </c>
      <c r="P382">
        <f ca="1"/>
        <v>135.22593728536324</v>
      </c>
      <c r="Q382">
        <f ca="1"/>
        <v>125.12789651405366</v>
      </c>
      <c r="R382">
        <f ca="1"/>
        <v>0</v>
      </c>
      <c r="S382">
        <f ca="1"/>
        <v>0.99916666666666665</v>
      </c>
      <c r="T382">
        <f ca="1"/>
        <v>0</v>
      </c>
      <c r="U382">
        <f ca="1"/>
        <v>0</v>
      </c>
      <c r="V382">
        <f ca="1"/>
        <v>0.99982782270471748</v>
      </c>
      <c r="X382" s="2">
        <f t="shared" ca="1" si="36"/>
        <v>45418</v>
      </c>
      <c r="Y382">
        <f t="shared" ca="1" si="37"/>
        <v>0</v>
      </c>
      <c r="AA382" s="63">
        <f t="shared" ca="1" si="39"/>
        <v>-83.6440699935591</v>
      </c>
      <c r="AB382" s="63">
        <f t="shared" ca="1" si="40"/>
        <v>-83.6440699935591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45419</v>
      </c>
      <c r="K383">
        <f ca="1"/>
        <v>-87.398318978344562</v>
      </c>
      <c r="L383">
        <f ca="1"/>
        <v>1.9894404075066632</v>
      </c>
      <c r="M383">
        <f ca="1"/>
        <v>3.0354667808266456E-2</v>
      </c>
      <c r="N383">
        <f ca="1"/>
        <v>0.25042751281132436</v>
      </c>
      <c r="O383">
        <f ca="1"/>
        <v>0</v>
      </c>
      <c r="P383">
        <f ca="1"/>
        <v>137.21537769286991</v>
      </c>
      <c r="Q383">
        <f ca="1"/>
        <v>126.96877481320753</v>
      </c>
      <c r="R383">
        <f ca="1"/>
        <v>0</v>
      </c>
      <c r="S383">
        <f ca="1"/>
        <v>1</v>
      </c>
      <c r="T383">
        <f ca="1"/>
        <v>1.520000241178721</v>
      </c>
      <c r="U383">
        <f ca="1"/>
        <v>0</v>
      </c>
      <c r="V383">
        <f ca="1"/>
        <v>0.99984355975346972</v>
      </c>
      <c r="X383" s="2">
        <f t="shared" ca="1" si="36"/>
        <v>45419</v>
      </c>
      <c r="Y383">
        <f t="shared" ca="1" si="37"/>
        <v>0</v>
      </c>
      <c r="AA383" s="63">
        <f t="shared" ca="1" si="39"/>
        <v>-85.408878570837899</v>
      </c>
      <c r="AB383" s="63">
        <f t="shared" ca="1" si="40"/>
        <v>-85.408878570837899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45420</v>
      </c>
      <c r="K384">
        <f ca="1"/>
        <v>-89.0378524384885</v>
      </c>
      <c r="L384">
        <f ca="1"/>
        <v>1.9100100935377213</v>
      </c>
      <c r="M384">
        <f ca="1"/>
        <v>2.9083444355400445E-2</v>
      </c>
      <c r="N384">
        <f ca="1"/>
        <v>0.24139318903838619</v>
      </c>
      <c r="O384">
        <f ca="1"/>
        <v>0</v>
      </c>
      <c r="P384">
        <f ca="1"/>
        <v>139.12538778640763</v>
      </c>
      <c r="Q384">
        <f ca="1"/>
        <v>128.73615428287718</v>
      </c>
      <c r="R384">
        <f ca="1"/>
        <v>0</v>
      </c>
      <c r="S384">
        <f ca="1"/>
        <v>1</v>
      </c>
      <c r="T384">
        <f ca="1"/>
        <v>0.60000000000000142</v>
      </c>
      <c r="U384">
        <f ca="1"/>
        <v>0</v>
      </c>
      <c r="V384">
        <f ca="1"/>
        <v>0.99985743663080795</v>
      </c>
      <c r="X384" s="2">
        <f t="shared" ca="1" si="36"/>
        <v>45420</v>
      </c>
      <c r="Y384">
        <f t="shared" ca="1" si="37"/>
        <v>0</v>
      </c>
      <c r="AA384" s="63">
        <f t="shared" ca="1" si="39"/>
        <v>-87.127842344950764</v>
      </c>
      <c r="AB384" s="63">
        <f t="shared" ca="1" si="40"/>
        <v>-87.127842344950778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45421</v>
      </c>
      <c r="K385">
        <f ca="1"/>
        <v>-90.674639430116599</v>
      </c>
      <c r="L385">
        <f ca="1"/>
        <v>1.9099057308147849</v>
      </c>
      <c r="M385">
        <f ca="1"/>
        <v>2.8951022327605713E-2</v>
      </c>
      <c r="N385">
        <f ca="1"/>
        <v>0.24416771685908575</v>
      </c>
      <c r="O385">
        <f ca="1"/>
        <v>0</v>
      </c>
      <c r="P385">
        <f ca="1"/>
        <v>141.03529351722241</v>
      </c>
      <c r="Q385">
        <f ca="1"/>
        <v>130.50343718314411</v>
      </c>
      <c r="R385">
        <f ca="1"/>
        <v>0</v>
      </c>
      <c r="S385">
        <f ca="1"/>
        <v>1</v>
      </c>
      <c r="T385">
        <f ca="1"/>
        <v>1.5</v>
      </c>
      <c r="U385">
        <f ca="1"/>
        <v>0</v>
      </c>
      <c r="V385">
        <f ca="1"/>
        <v>0.99987020189080489</v>
      </c>
      <c r="X385" s="2">
        <f t="shared" ca="1" si="36"/>
        <v>45421</v>
      </c>
      <c r="Y385">
        <f t="shared" ca="1" si="37"/>
        <v>0</v>
      </c>
      <c r="AA385" s="63">
        <f t="shared" ca="1" si="39"/>
        <v>-88.764733699301814</v>
      </c>
      <c r="AB385" s="63">
        <f t="shared" ca="1" si="40"/>
        <v>-88.764733699301814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45422</v>
      </c>
      <c r="K386">
        <f ca="1"/>
        <v>-92.325884466955415</v>
      </c>
      <c r="L386">
        <f ca="1"/>
        <v>1.930806069318237</v>
      </c>
      <c r="M386">
        <f ca="1"/>
        <v>2.9133519668086194E-2</v>
      </c>
      <c r="N386">
        <f ca="1"/>
        <v>0.25042751281132436</v>
      </c>
      <c r="O386">
        <f ca="1"/>
        <v>0</v>
      </c>
      <c r="P386">
        <f ca="1"/>
        <v>142.96609958654065</v>
      </c>
      <c r="Q386">
        <f ca="1"/>
        <v>132.29005968235091</v>
      </c>
      <c r="R386">
        <f ca="1"/>
        <v>0</v>
      </c>
      <c r="S386">
        <f ca="1"/>
        <v>1</v>
      </c>
      <c r="T386">
        <f ca="1"/>
        <v>0.60000000000000142</v>
      </c>
      <c r="U386">
        <f ca="1"/>
        <v>0</v>
      </c>
      <c r="V386">
        <f ca="1"/>
        <v>0.99988206592802065</v>
      </c>
      <c r="X386" s="2">
        <f t="shared" ca="1" si="36"/>
        <v>45422</v>
      </c>
      <c r="Y386">
        <f t="shared" ca="1" si="37"/>
        <v>0</v>
      </c>
      <c r="AA386" s="63">
        <f t="shared" ca="1" si="39"/>
        <v>-90.395078397637192</v>
      </c>
      <c r="AB386" s="63">
        <f t="shared" ca="1" si="40"/>
        <v>-90.395078397637178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45423</v>
      </c>
      <c r="K387">
        <f ca="1"/>
        <v>-93.992526926779362</v>
      </c>
      <c r="L387">
        <f ca="1"/>
        <v>1.953458750665618</v>
      </c>
      <c r="M387">
        <f ca="1"/>
        <v>2.9368226880059467E-2</v>
      </c>
      <c r="N387">
        <f ca="1"/>
        <v>0.25744806396161041</v>
      </c>
      <c r="O387">
        <f ca="1"/>
        <v>0</v>
      </c>
      <c r="P387">
        <f ca="1"/>
        <v>144.91955833720627</v>
      </c>
      <c r="Q387">
        <f ca="1"/>
        <v>134.09764326657074</v>
      </c>
      <c r="R387">
        <f ca="1"/>
        <v>0</v>
      </c>
      <c r="S387">
        <f ca="1"/>
        <v>1</v>
      </c>
      <c r="T387">
        <f ca="1"/>
        <v>1.980000000000004</v>
      </c>
      <c r="U387">
        <f ca="1"/>
        <v>0</v>
      </c>
      <c r="V387">
        <f ca="1"/>
        <v>0.99989308742633654</v>
      </c>
      <c r="X387" s="2">
        <f t="shared" ca="1" si="36"/>
        <v>45423</v>
      </c>
      <c r="Y387">
        <f t="shared" ca="1" si="37"/>
        <v>0</v>
      </c>
      <c r="AA387" s="63">
        <f t="shared" ca="1" si="39"/>
        <v>-92.039068176113759</v>
      </c>
      <c r="AB387" s="63">
        <f t="shared" ca="1" si="40"/>
        <v>-92.039068176113744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45424</v>
      </c>
      <c r="K388">
        <f ca="1"/>
        <v>-95.626303275381801</v>
      </c>
      <c r="L388">
        <f ca="1"/>
        <v>1.9182487501262813</v>
      </c>
      <c r="M388">
        <f ca="1"/>
        <v>2.8790626635455396E-2</v>
      </c>
      <c r="N388">
        <f ca="1"/>
        <v>0.25568177488839233</v>
      </c>
      <c r="O388">
        <f ca="1"/>
        <v>0</v>
      </c>
      <c r="P388">
        <f ca="1"/>
        <v>146.83780708733255</v>
      </c>
      <c r="Q388">
        <f ca="1"/>
        <v>135.87264616847332</v>
      </c>
      <c r="R388">
        <f ca="1"/>
        <v>0</v>
      </c>
      <c r="S388">
        <f ca="1"/>
        <v>1</v>
      </c>
      <c r="T388">
        <f ca="1"/>
        <v>1.6300000000000026</v>
      </c>
      <c r="U388">
        <f ca="1"/>
        <v>0</v>
      </c>
      <c r="V388">
        <f ca="1"/>
        <v>0.99990302426691202</v>
      </c>
      <c r="X388" s="2">
        <f t="shared" ca="1" si="36"/>
        <v>45424</v>
      </c>
      <c r="Y388">
        <f t="shared" ca="1" si="37"/>
        <v>0</v>
      </c>
      <c r="AA388" s="63">
        <f t="shared" ca="1" si="39"/>
        <v>-93.70805452525552</v>
      </c>
      <c r="AB388" s="63">
        <f t="shared" ca="1" si="40"/>
        <v>-93.70805452525552</v>
      </c>
      <c r="AC388" s="3">
        <f t="shared" ca="1" si="41"/>
        <v>0</v>
      </c>
    </row>
    <row r="389" spans="8:29">
      <c r="H389" t="b">
        <f t="shared" ca="1" si="38"/>
        <v>0</v>
      </c>
      <c r="I389" t="b">
        <f t="shared" ca="1" si="35"/>
        <v>0</v>
      </c>
      <c r="J389" s="2">
        <f ca="1"/>
        <v>45425</v>
      </c>
      <c r="K389">
        <f ca="1"/>
        <v>-97.198526275972483</v>
      </c>
      <c r="L389">
        <f ca="1"/>
        <v>1.8484413129490918</v>
      </c>
      <c r="M389">
        <f ca="1"/>
        <v>2.7743919307487985E-2</v>
      </c>
      <c r="N389">
        <f ca="1"/>
        <v>0.24847439305092375</v>
      </c>
      <c r="O389">
        <f ca="1"/>
        <v>0</v>
      </c>
      <c r="P389">
        <f ca="1"/>
        <v>148.68624840028164</v>
      </c>
      <c r="Q389">
        <f ca="1"/>
        <v>137.58305452623466</v>
      </c>
      <c r="R389">
        <f ca="1"/>
        <v>0</v>
      </c>
      <c r="S389">
        <f ca="1"/>
        <v>1</v>
      </c>
      <c r="T389">
        <f ca="1"/>
        <v>1.2100000000000009</v>
      </c>
      <c r="U389">
        <f ca="1"/>
        <v>0</v>
      </c>
      <c r="V389">
        <f ca="1"/>
        <v>0.9999118324854378</v>
      </c>
      <c r="X389" s="2">
        <f t="shared" ca="1" si="36"/>
        <v>45425</v>
      </c>
      <c r="Y389">
        <f t="shared" ca="1" si="37"/>
        <v>0</v>
      </c>
      <c r="AA389" s="63">
        <f t="shared" ca="1" si="39"/>
        <v>-95.350084963023392</v>
      </c>
      <c r="AB389" s="63">
        <f t="shared" ca="1" si="40"/>
        <v>-95.350084963023392</v>
      </c>
      <c r="AC389" s="3">
        <f t="shared" ca="1" si="41"/>
        <v>0</v>
      </c>
    </row>
    <row r="390" spans="8:29">
      <c r="H390" t="b">
        <f t="shared" ca="1" si="38"/>
        <v>0</v>
      </c>
      <c r="I390" t="b">
        <f t="shared" ca="1" si="35"/>
        <v>0</v>
      </c>
      <c r="J390" s="2">
        <f ca="1"/>
        <v>45426</v>
      </c>
      <c r="K390">
        <f ca="1"/>
        <v>-98.737685346555423</v>
      </c>
      <c r="L390">
        <f ca="1"/>
        <v>1.8131122121172609</v>
      </c>
      <c r="M390">
        <f ca="1"/>
        <v>2.7206975697216862E-2</v>
      </c>
      <c r="N390">
        <f ca="1"/>
        <v>0.24674616583710265</v>
      </c>
      <c r="O390">
        <f ca="1"/>
        <v>0</v>
      </c>
      <c r="P390">
        <f ca="1"/>
        <v>150.4993606123989</v>
      </c>
      <c r="Q390">
        <f ca="1"/>
        <v>139.26077199523922</v>
      </c>
      <c r="R390">
        <f ca="1"/>
        <v>0</v>
      </c>
      <c r="S390">
        <f ca="1"/>
        <v>1</v>
      </c>
      <c r="T390">
        <f ca="1"/>
        <v>2.3300000000000054</v>
      </c>
      <c r="U390">
        <f ca="1"/>
        <v>0</v>
      </c>
      <c r="V390">
        <f ca="1"/>
        <v>0.99991979544642251</v>
      </c>
      <c r="X390" s="2">
        <f t="shared" ca="1" si="36"/>
        <v>45426</v>
      </c>
      <c r="Y390">
        <f t="shared" ca="1" si="37"/>
        <v>0</v>
      </c>
      <c r="AA390" s="63">
        <f t="shared" ca="1" si="39"/>
        <v>-96.924573134438162</v>
      </c>
      <c r="AB390" s="63">
        <f t="shared" ca="1" si="40"/>
        <v>-96.924573134438162</v>
      </c>
      <c r="AC390" s="3">
        <f t="shared" ca="1" si="41"/>
        <v>0</v>
      </c>
    </row>
    <row r="391" spans="8:29">
      <c r="H391" t="b">
        <f t="shared" ca="1" si="38"/>
        <v>0</v>
      </c>
      <c r="I391" t="b">
        <f t="shared" ca="1" si="35"/>
        <v>0</v>
      </c>
      <c r="J391" s="2">
        <f ca="1"/>
        <v>45427</v>
      </c>
      <c r="K391">
        <f ca="1"/>
        <v>-100.25322096414061</v>
      </c>
      <c r="L391">
        <f ca="1"/>
        <v>1.7893446805197186</v>
      </c>
      <c r="M391">
        <f ca="1"/>
        <v>2.6847274041760016E-2</v>
      </c>
      <c r="N391">
        <f ca="1"/>
        <v>0.24696178889277556</v>
      </c>
      <c r="O391">
        <f ca="1"/>
        <v>0</v>
      </c>
      <c r="P391">
        <f ca="1"/>
        <v>152.28870529291862</v>
      </c>
      <c r="Q391">
        <f ca="1"/>
        <v>140.91649678078508</v>
      </c>
      <c r="R391">
        <f ca="1"/>
        <v>0</v>
      </c>
      <c r="S391">
        <f ca="1"/>
        <v>1</v>
      </c>
      <c r="T391">
        <f ca="1"/>
        <v>2.3400000000000034</v>
      </c>
      <c r="U391">
        <f ca="1"/>
        <v>0</v>
      </c>
      <c r="V391">
        <f ca="1"/>
        <v>0.99992704442497116</v>
      </c>
      <c r="X391" s="2">
        <f t="shared" ca="1" si="36"/>
        <v>45427</v>
      </c>
      <c r="Y391">
        <f t="shared" ca="1" si="37"/>
        <v>0</v>
      </c>
      <c r="AA391" s="63">
        <f t="shared" ca="1" si="39"/>
        <v>-98.463876283620891</v>
      </c>
      <c r="AB391" s="63">
        <f t="shared" ca="1" si="40"/>
        <v>-98.463876283620891</v>
      </c>
      <c r="AC391" s="3">
        <f t="shared" ca="1" si="41"/>
        <v>0</v>
      </c>
    </row>
    <row r="392" spans="8:29">
      <c r="H392" t="b">
        <f t="shared" ca="1" si="38"/>
        <v>0</v>
      </c>
      <c r="I392" t="b">
        <f t="shared" ca="1" si="35"/>
        <v>0</v>
      </c>
      <c r="J392" s="2">
        <f ca="1"/>
        <v>45428</v>
      </c>
      <c r="K392">
        <f ca="1"/>
        <v>-101.700334708257</v>
      </c>
      <c r="L392">
        <f ca="1"/>
        <v>1.7112947070813789</v>
      </c>
      <c r="M392">
        <f ca="1"/>
        <v>2.5753898588780189E-2</v>
      </c>
      <c r="N392">
        <f ca="1"/>
        <v>0.23842706437621505</v>
      </c>
      <c r="O392">
        <f ca="1"/>
        <v>0</v>
      </c>
      <c r="P392">
        <f ca="1"/>
        <v>154</v>
      </c>
      <c r="Q392">
        <f ca="1"/>
        <v>142.50000000000003</v>
      </c>
      <c r="R392">
        <f ca="1"/>
        <v>0</v>
      </c>
      <c r="S392">
        <f ca="1"/>
        <v>1</v>
      </c>
      <c r="T392">
        <f ca="1"/>
        <v>2.1799999999999997</v>
      </c>
      <c r="U392">
        <f ca="1"/>
        <v>0</v>
      </c>
      <c r="V392">
        <f ca="1"/>
        <v>0.99993345063478134</v>
      </c>
      <c r="X392" s="2">
        <f t="shared" ca="1" si="36"/>
        <v>45428</v>
      </c>
      <c r="Y392">
        <f t="shared" ca="1" si="37"/>
        <v>0</v>
      </c>
      <c r="AA392" s="63">
        <f t="shared" ca="1" si="39"/>
        <v>-99.989040001175624</v>
      </c>
      <c r="AB392" s="63">
        <f t="shared" ca="1" si="40"/>
        <v>-99.989040001175624</v>
      </c>
      <c r="AC392" s="3">
        <f t="shared" ca="1" si="41"/>
        <v>0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G1" workbookViewId="0">
      <selection activeCell="AM11" sqref="AM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6.3320312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2024-06-22T06:16:30Z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