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FA62FC10-5689-4E85-8C3B-47F8DE69CBD1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8" i="3" s="1"/>
  <c r="J8" i="3" s="1"/>
  <c r="B21" i="1"/>
  <c r="B44" i="1"/>
  <c r="D44" i="1"/>
  <c r="B36" i="3"/>
  <c r="D52" i="1"/>
  <c r="R14" i="1" s="1"/>
  <c r="D61" i="1"/>
  <c r="D50" i="1"/>
  <c r="G52" i="1" s="1"/>
  <c r="B29" i="3"/>
  <c r="D18" i="3"/>
  <c r="D9" i="3"/>
  <c r="AI11" i="3" a="1"/>
  <c r="AI10" i="3" a="1"/>
  <c r="AI9" i="3" a="1"/>
  <c r="AI9" i="3" l="1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B17" i="3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G5" i="3" a="1"/>
  <c r="AH9" i="3" a="1"/>
  <c r="AG11" i="3" a="1"/>
  <c r="AH11" i="3" a="1"/>
  <c r="AH10" i="3" a="1"/>
  <c r="J10" i="3" a="1"/>
  <c r="I1" i="3" a="1"/>
  <c r="AG9" i="3" a="1"/>
  <c r="AG10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M10" i="3" a="1"/>
  <c r="AK10" i="3" a="1"/>
  <c r="AJ10" i="3" a="1"/>
  <c r="AO9" i="3" a="1"/>
  <c r="AM9" i="3" a="1"/>
  <c r="AO10" i="3" a="1"/>
  <c r="AL9" i="3" a="1"/>
  <c r="AK11" i="3" a="1"/>
  <c r="AN11" i="3" a="1"/>
  <c r="AJ11" i="3" a="1"/>
  <c r="AO11" i="3" a="1"/>
  <c r="AL10" i="3" a="1"/>
  <c r="AL11" i="3" a="1"/>
  <c r="AK9" i="3" a="1"/>
  <c r="AN9" i="3" a="1"/>
  <c r="AM11" i="3" a="1"/>
  <c r="AJ9" i="3" a="1"/>
  <c r="AN10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<sst xmlns="http://schemas.openxmlformats.org/spreadsheetml/2006/main" count="488" uniqueCount="285">
  <si>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</si>
  <si>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</si>
  <si>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</si>
  <si>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</si>
  <si>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</si>
  <si>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</si>
  <si>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</si>
  <si>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</si>
  <si>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</si>
  <si>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</si>
  <si>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</si>
  <si>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</si>
  <si>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</si>
  <si>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</si>
  <si>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</si>
  <si>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</si>
  <si>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</si>
  <si>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</si>
  <si>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</si>
  <si>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</si>
  <si>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</si>
  <si>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</si>
  <si>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</si>
  <si>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</si>
  <si>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</si>
  <si>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</si>
  <si>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</si>
  <si>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</si>
  <si>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</si>
  <si>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</si>
  <si>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</si>
  <si>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</si>
  <si>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</si>
  <si>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</si>
  <si>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</si>
  <si>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</si>
  <si>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</si>
  <si>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</si>
  <si>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</si>
  <si>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</si>
  <si>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</si>
  <si>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</si>
  <si>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</si>
  <si>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</si>
  <si>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</si>
  <si>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</si>
  <si>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</si>
  <si>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</si>
  <si>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</si>
  <si>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</si>
  <si>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</si>
  <si>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</si>
  <si>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</si>
  <si>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</si>
  <si>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</si>
  <si>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</si>
  <si>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</si>
  <si>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</si>
  <si>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</si>
  <si>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</si>
  <si>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</si>
  <si>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</si>
  <si>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</si>
  <si>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</si>
  <si>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</si>
  <si>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</si>
  <si>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</si>
  <si>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</si>
  <si>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</si>
  <si>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</si>
  <si>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</si>
  <si>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</si>
  <si>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</si>
  <si>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</si>
  <si>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</si>
  <si>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</si>
  <si>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</si>
  <si>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</si>
  <si>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</si>
  <si>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</si>
  <si>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</si>
  <si>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</si>
  <si>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</si>
  <si>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</si>
  <si>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</si>
  <si>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</si>
  <si>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</si>
  <si>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</si>
  <si>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</si>
  <si>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</si>
  <si>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</si>
  <si>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</si>
  <si>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</si>
  <si>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</si>
  <si>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</si>
  <si>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</si>
  <si>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</si>
  <si>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</si>
  <si>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</si>
  <si>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</si>
  <si>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</si>
  <si>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</si>
  <si>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</si>
  <si>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</si>
  <si>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</si>
  <si>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</si>
  <si>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</si>
  <si>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</si>
  <si>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</si>
  <si>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</si>
  <si>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</si>
  <si>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</si>
  <si>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</si>
  <si>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</si>
  <si>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</si>
  <si>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</si>
  <si>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</si>
  <si>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</si>
  <si>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</si>
  <si>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</si>
  <si>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</si>
  <si>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</si>
  <si>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</si>
  <si>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</si>
  <si>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</si>
  <si>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</si>
  <si>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</si>
  <si>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</si>
  <si>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</si>
  <si>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</si>
  <si>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</si>
  <si>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</si>
  <si>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</si>
  <si>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</si>
  <si>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</si>
  <si>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</si>
  <si>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</si>
  <si>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</si>
  <si>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</si>
  <si>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</si>
  <si>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</si>
  <si>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</si>
  <si>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</si>
  <si>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</si>
  <si>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</si>
  <si>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</si>
  <si>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</si>
  <si>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</si>
  <si>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</si>
  <si>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</si>
  <si>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</si>
  <si>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</si>
  <si>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</si>
  <si>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</si>
  <si>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</si>
  <si>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</si>
  <si>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</si>
  <si>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</si>
  <si>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</si>
  <si>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</si>
  <si>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</si>
  <si>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</si>
  <si>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</si>
  <si>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</si>
  <si>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</si>
  <si>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</si>
  <si>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</si>
  <si>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</si>
  <si>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</si>
  <si>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</si>
  <si>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</si>
  <si>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</si>
  <si>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</si>
  <si>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</si>
  <si>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</si>
  <si>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</si>
  <si>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</si>
  <si>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</si>
  <si>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</si>
  <si>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</si>
  <si>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</si>
  <si>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</si>
  <si>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</si>
  <si>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</si>
  <si>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</si>
  <si>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</si>
  <si>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</si>
  <si>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</si>
  <si>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</si>
  <si>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</si>
  <si>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</si>
  <si>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</si>
  <si>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</si>
  <si>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</si>
  <si>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</si>
  <si>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</si>
  <si>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</si>
  <si>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</si>
  <si>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</si>
  <si>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</si>
  <si>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</si>
  <si>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</si>
  <si>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</si>
  <si>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</si>
  <si>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</si>
  <si>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</si>
  <si>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</si>
  <si>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</si>
  <si>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</si>
  <si>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</si>
  <si>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</si>
  <si>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</si>
  <si>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</si>
  <si>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</si>
  <si>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</si>
  <si>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</si>
  <si>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</si>
  <si>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</si>
  <si>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</si>
  <si>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</si>
  <si>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</si>
  <si>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</si>
  <si>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</si>
  <si>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</si>
  <si>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</si>
  <si>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</si>
  <si>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</si>
  <si>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</si>
  <si>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</si>
  <si>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</si>
  <si>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</si>
  <si>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</si>
  <si>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</si>
  <si>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</si>
  <si>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</si>
  <si>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</si>
  <si>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</si>
  <si>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</si>
  <si>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</si>
  <si>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</si>
  <si>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Sandy clay loam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</si>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</sst>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4</c:v>
                </c:pt>
                <c:pt idx="1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105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85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108.00000000000001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4.3350007828678008</c:v>
                </c:pt>
                <c:pt idx="16">
                  <c:v>4.5597824125602777</c:v>
                </c:pt>
                <c:pt idx="17">
                  <c:v>4.7931417181915794</c:v>
                </c:pt>
                <c:pt idx="18">
                  <c:v>5.0441531908104533</c:v>
                </c:pt>
                <c:pt idx="19">
                  <c:v>5.3184282016878637</c:v>
                </c:pt>
                <c:pt idx="20">
                  <c:v>5.5952931119966163</c:v>
                </c:pt>
                <c:pt idx="21">
                  <c:v>5.8964478655378034</c:v>
                </c:pt>
                <c:pt idx="22">
                  <c:v>6.2224773763531998</c:v>
                </c:pt>
                <c:pt idx="23">
                  <c:v>6.5531694080792855</c:v>
                </c:pt>
                <c:pt idx="24">
                  <c:v>6.9144492832551263</c:v>
                </c:pt>
                <c:pt idx="25">
                  <c:v>7.2992752600819664</c:v>
                </c:pt>
                <c:pt idx="26">
                  <c:v>7.703798066842821</c:v>
                </c:pt>
                <c:pt idx="27">
                  <c:v>8.1199653889159027</c:v>
                </c:pt>
                <c:pt idx="28">
                  <c:v>8.5557405394685073</c:v>
                </c:pt>
                <c:pt idx="29">
                  <c:v>9.0316555251239876</c:v>
                </c:pt>
                <c:pt idx="30">
                  <c:v>9.5506074754893788</c:v>
                </c:pt>
                <c:pt idx="31">
                  <c:v>10.077583721498767</c:v>
                </c:pt>
                <c:pt idx="32">
                  <c:v>10.611322064653445</c:v>
                </c:pt>
                <c:pt idx="33">
                  <c:v>11.170635752616549</c:v>
                </c:pt>
                <c:pt idx="34">
                  <c:v>11.785403510415467</c:v>
                </c:pt>
                <c:pt idx="35">
                  <c:v>12.437580604897594</c:v>
                </c:pt>
                <c:pt idx="36">
                  <c:v>13.140931188554466</c:v>
                </c:pt>
                <c:pt idx="37">
                  <c:v>13.899831378953127</c:v>
                </c:pt>
                <c:pt idx="38">
                  <c:v>14.688872663384984</c:v>
                </c:pt>
                <c:pt idx="39">
                  <c:v>15.5727250453444</c:v>
                </c:pt>
                <c:pt idx="40">
                  <c:v>16.511761756251264</c:v>
                </c:pt>
                <c:pt idx="41">
                  <c:v>17.470922744943902</c:v>
                </c:pt>
                <c:pt idx="42">
                  <c:v>18.475028419651856</c:v>
                </c:pt>
                <c:pt idx="43">
                  <c:v>19.54514618153615</c:v>
                </c:pt>
                <c:pt idx="44">
                  <c:v>20.704427364353485</c:v>
                </c:pt>
                <c:pt idx="45">
                  <c:v>21.957266293399595</c:v>
                </c:pt>
                <c:pt idx="46">
                  <c:v>23.331320449101252</c:v>
                </c:pt>
                <c:pt idx="47">
                  <c:v>24.823094433191333</c:v>
                </c:pt>
                <c:pt idx="48">
                  <c:v>26.40999416434855</c:v>
                </c:pt>
                <c:pt idx="49">
                  <c:v>28.063922737886294</c:v>
                </c:pt>
                <c:pt idx="50">
                  <c:v>29.81720506584838</c:v>
                </c:pt>
                <c:pt idx="51">
                  <c:v>31.585363866754882</c:v>
                </c:pt>
                <c:pt idx="52">
                  <c:v>33.439657794619492</c:v>
                </c:pt>
                <c:pt idx="53">
                  <c:v>35.47458038971299</c:v>
                </c:pt>
                <c:pt idx="54">
                  <c:v>37.602582553730976</c:v>
                </c:pt>
                <c:pt idx="55">
                  <c:v>39.951509187801157</c:v>
                </c:pt>
                <c:pt idx="56">
                  <c:v>42.526141197543829</c:v>
                </c:pt>
                <c:pt idx="57">
                  <c:v>45.192878888458637</c:v>
                </c:pt>
                <c:pt idx="58">
                  <c:v>47.983890616818918</c:v>
                </c:pt>
                <c:pt idx="59">
                  <c:v>50.881099824258158</c:v>
                </c:pt>
                <c:pt idx="60">
                  <c:v>53.95037722807745</c:v>
                </c:pt>
                <c:pt idx="61">
                  <c:v>57.183063772301445</c:v>
                </c:pt>
                <c:pt idx="62">
                  <c:v>60.487311364589353</c:v>
                </c:pt>
                <c:pt idx="63">
                  <c:v>63.997800863958538</c:v>
                </c:pt>
                <c:pt idx="64">
                  <c:v>67.755577326086211</c:v>
                </c:pt>
                <c:pt idx="65">
                  <c:v>71.683179610599282</c:v>
                </c:pt>
                <c:pt idx="66">
                  <c:v>75.836752903644424</c:v>
                </c:pt>
                <c:pt idx="67">
                  <c:v>80.032844698772948</c:v>
                </c:pt>
                <c:pt idx="68">
                  <c:v>84.44715612930284</c:v>
                </c:pt>
                <c:pt idx="69">
                  <c:v>89.126986154990433</c:v>
                </c:pt>
                <c:pt idx="70">
                  <c:v>93.867537071186547</c:v>
                </c:pt>
                <c:pt idx="71">
                  <c:v>98.801821428175131</c:v>
                </c:pt>
                <c:pt idx="72">
                  <c:v>104.23793664008785</c:v>
                </c:pt>
                <c:pt idx="73">
                  <c:v>109.9984750819139</c:v>
                </c:pt>
                <c:pt idx="74">
                  <c:v>115.83758755473015</c:v>
                </c:pt>
                <c:pt idx="75">
                  <c:v>121.68242406905252</c:v>
                </c:pt>
                <c:pt idx="76">
                  <c:v>127.59651859929455</c:v>
                </c:pt>
                <c:pt idx="77">
                  <c:v>133.82557290663163</c:v>
                </c:pt>
                <c:pt idx="78">
                  <c:v>140.09771732454107</c:v>
                </c:pt>
                <c:pt idx="79">
                  <c:v>146.60594531346601</c:v>
                </c:pt>
                <c:pt idx="80">
                  <c:v>153.01058256764017</c:v>
                </c:pt>
                <c:pt idx="81">
                  <c:v>159.54105249705376</c:v>
                </c:pt>
                <c:pt idx="82">
                  <c:v>166.37088629987113</c:v>
                </c:pt>
                <c:pt idx="83">
                  <c:v>173.36833371033947</c:v>
                </c:pt>
                <c:pt idx="84">
                  <c:v>180.52171887301796</c:v>
                </c:pt>
                <c:pt idx="85">
                  <c:v>187.61142857142875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34.903721139082059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36.216130265462652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34.089891228669714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50.458006435245238</c:v>
                </c:pt>
                <c:pt idx="2">
                  <c:v>50.907299322097053</c:v>
                </c:pt>
                <c:pt idx="3">
                  <c:v>51.344068898807407</c:v>
                </c:pt>
                <c:pt idx="4">
                  <c:v>51.818761833002618</c:v>
                </c:pt>
                <c:pt idx="5">
                  <c:v>52.330756069793587</c:v>
                </c:pt>
                <c:pt idx="6">
                  <c:v>52.896535927344537</c:v>
                </c:pt>
                <c:pt idx="7">
                  <c:v>53.44767673762469</c:v>
                </c:pt>
                <c:pt idx="8">
                  <c:v>54.013224619563118</c:v>
                </c:pt>
                <c:pt idx="9">
                  <c:v>54.571446821430314</c:v>
                </c:pt>
                <c:pt idx="10">
                  <c:v>55.190523300956954</c:v>
                </c:pt>
                <c:pt idx="11">
                  <c:v>55.815032243452087</c:v>
                </c:pt>
                <c:pt idx="12">
                  <c:v>56.444932576007147</c:v>
                </c:pt>
                <c:pt idx="13">
                  <c:v>57.093939930333924</c:v>
                </c:pt>
                <c:pt idx="14">
                  <c:v>57.716497488341268</c:v>
                </c:pt>
                <c:pt idx="15">
                  <c:v>58.327259479334643</c:v>
                </c:pt>
                <c:pt idx="16">
                  <c:v>58.699953168654048</c:v>
                </c:pt>
                <c:pt idx="17">
                  <c:v>59.08689523168983</c:v>
                </c:pt>
                <c:pt idx="18">
                  <c:v>59.515925833585101</c:v>
                </c:pt>
                <c:pt idx="19">
                  <c:v>59.745050941284006</c:v>
                </c:pt>
                <c:pt idx="20">
                  <c:v>59.034241522799931</c:v>
                </c:pt>
                <c:pt idx="21">
                  <c:v>58.250611092203798</c:v>
                </c:pt>
                <c:pt idx="22">
                  <c:v>57.954226763448446</c:v>
                </c:pt>
                <c:pt idx="23">
                  <c:v>57.615733023991382</c:v>
                </c:pt>
                <c:pt idx="24">
                  <c:v>57.734062748861241</c:v>
                </c:pt>
                <c:pt idx="25">
                  <c:v>58.188125626233926</c:v>
                </c:pt>
                <c:pt idx="26">
                  <c:v>58.019838100499186</c:v>
                </c:pt>
                <c:pt idx="27">
                  <c:v>57.981315506711923</c:v>
                </c:pt>
                <c:pt idx="28">
                  <c:v>57.829386754253868</c:v>
                </c:pt>
                <c:pt idx="29">
                  <c:v>58.21838553743158</c:v>
                </c:pt>
                <c:pt idx="30">
                  <c:v>57.519034089683046</c:v>
                </c:pt>
                <c:pt idx="31">
                  <c:v>57.863621590330069</c:v>
                </c:pt>
                <c:pt idx="32">
                  <c:v>58.178969987261745</c:v>
                </c:pt>
                <c:pt idx="33">
                  <c:v>58.470855736456087</c:v>
                </c:pt>
                <c:pt idx="34">
                  <c:v>58.742517684794706</c:v>
                </c:pt>
                <c:pt idx="35">
                  <c:v>58.838569810945273</c:v>
                </c:pt>
                <c:pt idx="36">
                  <c:v>57.961328461480569</c:v>
                </c:pt>
                <c:pt idx="37">
                  <c:v>57.733309090307593</c:v>
                </c:pt>
                <c:pt idx="38">
                  <c:v>57.72632590661123</c:v>
                </c:pt>
                <c:pt idx="39">
                  <c:v>57.610646637579762</c:v>
                </c:pt>
                <c:pt idx="40">
                  <c:v>57.663145060277962</c:v>
                </c:pt>
                <c:pt idx="41">
                  <c:v>57.091854054670812</c:v>
                </c:pt>
                <c:pt idx="42">
                  <c:v>55.762542928891413</c:v>
                </c:pt>
                <c:pt idx="43">
                  <c:v>55.488199766545904</c:v>
                </c:pt>
                <c:pt idx="44">
                  <c:v>55.103218334726478</c:v>
                </c:pt>
                <c:pt idx="45">
                  <c:v>54.874241367962014</c:v>
                </c:pt>
                <c:pt idx="46">
                  <c:v>53.283009917989531</c:v>
                </c:pt>
                <c:pt idx="47">
                  <c:v>52.87956336838333</c:v>
                </c:pt>
                <c:pt idx="48">
                  <c:v>50.728835767430624</c:v>
                </c:pt>
                <c:pt idx="49">
                  <c:v>48.888101725144956</c:v>
                </c:pt>
                <c:pt idx="50">
                  <c:v>47.575763466139691</c:v>
                </c:pt>
                <c:pt idx="51">
                  <c:v>46.123524954683681</c:v>
                </c:pt>
                <c:pt idx="52">
                  <c:v>45.297121602980262</c:v>
                </c:pt>
                <c:pt idx="53">
                  <c:v>44.346857909404079</c:v>
                </c:pt>
                <c:pt idx="54">
                  <c:v>43.297740578882241</c:v>
                </c:pt>
                <c:pt idx="55">
                  <c:v>42.070932950773418</c:v>
                </c:pt>
                <c:pt idx="56">
                  <c:v>40.647578194705744</c:v>
                </c:pt>
                <c:pt idx="57">
                  <c:v>39.090870980667354</c:v>
                </c:pt>
                <c:pt idx="58">
                  <c:v>37.445703588424948</c:v>
                </c:pt>
                <c:pt idx="59">
                  <c:v>35.681720115591254</c:v>
                </c:pt>
                <c:pt idx="60">
                  <c:v>33.030866939234912</c:v>
                </c:pt>
                <c:pt idx="61">
                  <c:v>64.402655375204517</c:v>
                </c:pt>
                <c:pt idx="62">
                  <c:v>60.945278178817631</c:v>
                </c:pt>
                <c:pt idx="63">
                  <c:v>57.518095954439843</c:v>
                </c:pt>
                <c:pt idx="64">
                  <c:v>54.926389061571221</c:v>
                </c:pt>
                <c:pt idx="65">
                  <c:v>52.036242230268272</c:v>
                </c:pt>
                <c:pt idx="66">
                  <c:v>49.065144550048899</c:v>
                </c:pt>
                <c:pt idx="67">
                  <c:v>46.018325338947697</c:v>
                </c:pt>
                <c:pt idx="68">
                  <c:v>78.982716117133293</c:v>
                </c:pt>
                <c:pt idx="69">
                  <c:v>73.949918101638829</c:v>
                </c:pt>
                <c:pt idx="70">
                  <c:v>70.369806391495459</c:v>
                </c:pt>
                <c:pt idx="71">
                  <c:v>66.585141387365141</c:v>
                </c:pt>
                <c:pt idx="72">
                  <c:v>62.30660428510491</c:v>
                </c:pt>
                <c:pt idx="73">
                  <c:v>57.753045294244011</c:v>
                </c:pt>
                <c:pt idx="74">
                  <c:v>87.255501399335856</c:v>
                </c:pt>
                <c:pt idx="75">
                  <c:v>78.381500426845676</c:v>
                </c:pt>
                <c:pt idx="76">
                  <c:v>73.522393288827061</c:v>
                </c:pt>
                <c:pt idx="77">
                  <c:v>68.532313193001926</c:v>
                </c:pt>
                <c:pt idx="78">
                  <c:v>63.437858496643216</c:v>
                </c:pt>
                <c:pt idx="79">
                  <c:v>58.07669677237935</c:v>
                </c:pt>
                <c:pt idx="80">
                  <c:v>52.744196204949482</c:v>
                </c:pt>
                <c:pt idx="81">
                  <c:v>47.263190828474471</c:v>
                </c:pt>
                <c:pt idx="82">
                  <c:v>41.486998293597367</c:v>
                </c:pt>
                <c:pt idx="83">
                  <c:v>35.572171752540903</c:v>
                </c:pt>
                <c:pt idx="84">
                  <c:v>29.540547568532759</c:v>
                </c:pt>
                <c:pt idx="85">
                  <c:v>23.510958756573242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45270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-0.274321317730294</c:v>
                </c:pt>
                <c:pt idx="20">
                  <c:v>-1.467349671413789</c:v>
                </c:pt>
                <c:pt idx="21">
                  <c:v>-2.7371070830218418</c:v>
                </c:pt>
                <c:pt idx="22">
                  <c:v>-3.5199106296139444</c:v>
                </c:pt>
                <c:pt idx="23">
                  <c:v>-4.322026389186127</c:v>
                </c:pt>
                <c:pt idx="24">
                  <c:v>-4.6677309588580984</c:v>
                </c:pt>
                <c:pt idx="25">
                  <c:v>-4.6677309588580984</c:v>
                </c:pt>
                <c:pt idx="26">
                  <c:v>-5.2744499797092335</c:v>
                </c:pt>
                <c:pt idx="27">
                  <c:v>-5.7291289138555062</c:v>
                </c:pt>
                <c:pt idx="28">
                  <c:v>-6.2795069592466755</c:v>
                </c:pt>
                <c:pt idx="29">
                  <c:v>-6.2795069592466755</c:v>
                </c:pt>
                <c:pt idx="30">
                  <c:v>-7.3545936124552025</c:v>
                </c:pt>
                <c:pt idx="31">
                  <c:v>-7.3545936124552025</c:v>
                </c:pt>
                <c:pt idx="32">
                  <c:v>-7.3545936124552025</c:v>
                </c:pt>
                <c:pt idx="33">
                  <c:v>-7.3545936124552025</c:v>
                </c:pt>
                <c:pt idx="34">
                  <c:v>-7.3545936124552025</c:v>
                </c:pt>
                <c:pt idx="35">
                  <c:v>-7.5022153773684579</c:v>
                </c:pt>
                <c:pt idx="36">
                  <c:v>-8.5934691159477854</c:v>
                </c:pt>
                <c:pt idx="37">
                  <c:v>-9.0016611061584069</c:v>
                </c:pt>
                <c:pt idx="38">
                  <c:v>-9.1508924050400129</c:v>
                </c:pt>
                <c:pt idx="39">
                  <c:v>-9.3664958856382299</c:v>
                </c:pt>
                <c:pt idx="40">
                  <c:v>-9.3664958856382299</c:v>
                </c:pt>
                <c:pt idx="41">
                  <c:v>-9.9449360104770825</c:v>
                </c:pt>
                <c:pt idx="42">
                  <c:v>-11.233338013719257</c:v>
                </c:pt>
                <c:pt idx="43">
                  <c:v>-11.412564898965202</c:v>
                </c:pt>
                <c:pt idx="44">
                  <c:v>-11.638771959201732</c:v>
                </c:pt>
                <c:pt idx="45">
                  <c:v>-11.638771959201732</c:v>
                </c:pt>
                <c:pt idx="46">
                  <c:v>-12.916813557054871</c:v>
                </c:pt>
                <c:pt idx="47">
                  <c:v>-12.916813557054871</c:v>
                </c:pt>
                <c:pt idx="48">
                  <c:v>-14.576055462057957</c:v>
                </c:pt>
                <c:pt idx="49">
                  <c:v>-15.845516503520884</c:v>
                </c:pt>
                <c:pt idx="50">
                  <c:v>-16.492244131801964</c:v>
                </c:pt>
                <c:pt idx="51">
                  <c:v>-17.222267717228654</c:v>
                </c:pt>
                <c:pt idx="52">
                  <c:v>-17.238176615391641</c:v>
                </c:pt>
                <c:pt idx="53">
                  <c:v>-17.238176615391641</c:v>
                </c:pt>
                <c:pt idx="54">
                  <c:v>-17.238176615391641</c:v>
                </c:pt>
                <c:pt idx="55">
                  <c:v>-17.238176615391641</c:v>
                </c:pt>
                <c:pt idx="56">
                  <c:v>-17.238176615391641</c:v>
                </c:pt>
                <c:pt idx="57">
                  <c:v>-17.238176615391641</c:v>
                </c:pt>
                <c:pt idx="58">
                  <c:v>-17.238176615391641</c:v>
                </c:pt>
                <c:pt idx="59">
                  <c:v>-17.238176615391641</c:v>
                </c:pt>
                <c:pt idx="60">
                  <c:v>-17.963206488081987</c:v>
                </c:pt>
                <c:pt idx="61">
                  <c:v>-19.410776952750908</c:v>
                </c:pt>
                <c:pt idx="62">
                  <c:v>-20.686989546081463</c:v>
                </c:pt>
                <c:pt idx="63">
                  <c:v>-21.7437364065729</c:v>
                </c:pt>
                <c:pt idx="64">
                  <c:v>-21.7437364065729</c:v>
                </c:pt>
                <c:pt idx="65">
                  <c:v>-21.873378487121574</c:v>
                </c:pt>
                <c:pt idx="66">
                  <c:v>-21.873378487121574</c:v>
                </c:pt>
                <c:pt idx="67">
                  <c:v>-21.873378487121574</c:v>
                </c:pt>
                <c:pt idx="68">
                  <c:v>-21.873378487121574</c:v>
                </c:pt>
                <c:pt idx="69">
                  <c:v>-23.4122095056691</c:v>
                </c:pt>
                <c:pt idx="70">
                  <c:v>-23.4122095056691</c:v>
                </c:pt>
                <c:pt idx="71">
                  <c:v>-23.4122095056691</c:v>
                </c:pt>
                <c:pt idx="72">
                  <c:v>-23.4122095056691</c:v>
                </c:pt>
                <c:pt idx="73">
                  <c:v>-23.4122095056691</c:v>
                </c:pt>
                <c:pt idx="74">
                  <c:v>-23.4122095056691</c:v>
                </c:pt>
                <c:pt idx="75">
                  <c:v>-27.660996717862194</c:v>
                </c:pt>
                <c:pt idx="76">
                  <c:v>-27.810425412343459</c:v>
                </c:pt>
                <c:pt idx="77">
                  <c:v>-27.810425412343459</c:v>
                </c:pt>
                <c:pt idx="78">
                  <c:v>-27.810425412343459</c:v>
                </c:pt>
                <c:pt idx="79">
                  <c:v>-27.810425412343459</c:v>
                </c:pt>
                <c:pt idx="80">
                  <c:v>-27.810425412343459</c:v>
                </c:pt>
                <c:pt idx="81">
                  <c:v>-27.810425412343459</c:v>
                </c:pt>
                <c:pt idx="82">
                  <c:v>-27.810425412343459</c:v>
                </c:pt>
                <c:pt idx="83">
                  <c:v>-27.810425412343459</c:v>
                </c:pt>
                <c:pt idx="84">
                  <c:v>-27.810425412343459</c:v>
                </c:pt>
                <c:pt idx="85">
                  <c:v>-27.810425412343459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0.79804243581307455</c:v>
                </c:pt>
                <c:pt idx="1">
                  <c:v>1.5770177276008326</c:v>
                </c:pt>
                <c:pt idx="2">
                  <c:v>2.3286555701676552</c:v>
                </c:pt>
                <c:pt idx="3">
                  <c:v>3.0529028996660665</c:v>
                </c:pt>
                <c:pt idx="4">
                  <c:v>3.8119483178296694</c:v>
                </c:pt>
                <c:pt idx="5">
                  <c:v>4.6013444434267745</c:v>
                </c:pt>
                <c:pt idx="6">
                  <c:v>5.4390971362155351</c:v>
                </c:pt>
                <c:pt idx="7">
                  <c:v>6.2397393872790365</c:v>
                </c:pt>
                <c:pt idx="8">
                  <c:v>7.05127499617846</c:v>
                </c:pt>
                <c:pt idx="9">
                  <c:v>7.8489947336118346</c:v>
                </c:pt>
                <c:pt idx="10">
                  <c:v>8.7084741823800318</c:v>
                </c:pt>
                <c:pt idx="11">
                  <c:v>9.5528945029492736</c:v>
                </c:pt>
                <c:pt idx="12">
                  <c:v>10.392484668650187</c:v>
                </c:pt>
                <c:pt idx="13">
                  <c:v>11.246964079678818</c:v>
                </c:pt>
                <c:pt idx="14">
                  <c:v>12.062233340204072</c:v>
                </c:pt>
                <c:pt idx="15">
                  <c:v>12.850156231406851</c:v>
                </c:pt>
                <c:pt idx="16">
                  <c:v>13.61688385548157</c:v>
                </c:pt>
                <c:pt idx="17">
                  <c:v>14.396933294210108</c:v>
                </c:pt>
                <c:pt idx="18">
                  <c:v>15.231039208507598</c:v>
                </c:pt>
                <c:pt idx="19">
                  <c:v>16.158569344478916</c:v>
                </c:pt>
                <c:pt idx="20">
                  <c:v>17.055978202842837</c:v>
                </c:pt>
                <c:pt idx="21">
                  <c:v>17.977280256980976</c:v>
                </c:pt>
                <c:pt idx="22">
                  <c:v>18.918916854094576</c:v>
                </c:pt>
                <c:pt idx="23">
                  <c:v>19.832469649737998</c:v>
                </c:pt>
                <c:pt idx="24">
                  <c:v>20.77331916424388</c:v>
                </c:pt>
                <c:pt idx="25">
                  <c:v>21.722057465090796</c:v>
                </c:pt>
                <c:pt idx="26">
                  <c:v>22.668424938719589</c:v>
                </c:pt>
                <c:pt idx="27">
                  <c:v>23.596735377962222</c:v>
                </c:pt>
                <c:pt idx="28">
                  <c:v>24.521148285781926</c:v>
                </c:pt>
                <c:pt idx="29">
                  <c:v>25.473053279820824</c:v>
                </c:pt>
                <c:pt idx="30">
                  <c:v>26.451327486200388</c:v>
                </c:pt>
                <c:pt idx="31">
                  <c:v>27.399275112051466</c:v>
                </c:pt>
                <c:pt idx="32">
                  <c:v>28.318248208024347</c:v>
                </c:pt>
                <c:pt idx="33">
                  <c:v>29.234895929582155</c:v>
                </c:pt>
                <c:pt idx="34">
                  <c:v>30.184425304718239</c:v>
                </c:pt>
                <c:pt idx="35">
                  <c:v>31.139503382398665</c:v>
                </c:pt>
                <c:pt idx="36">
                  <c:v>32.112950791864513</c:v>
                </c:pt>
                <c:pt idx="37">
                  <c:v>33.10497919286761</c:v>
                </c:pt>
                <c:pt idx="38">
                  <c:v>34.084865533423766</c:v>
                </c:pt>
                <c:pt idx="39">
                  <c:v>35.115523211131709</c:v>
                </c:pt>
                <c:pt idx="40">
                  <c:v>36.150342572499774</c:v>
                </c:pt>
                <c:pt idx="41">
                  <c:v>37.155421875896614</c:v>
                </c:pt>
                <c:pt idx="42">
                  <c:v>38.153962900170079</c:v>
                </c:pt>
                <c:pt idx="43">
                  <c:v>39.161500675061035</c:v>
                </c:pt>
                <c:pt idx="44">
                  <c:v>40.192158352768978</c:v>
                </c:pt>
                <c:pt idx="45">
                  <c:v>41.243724933029689</c:v>
                </c:pt>
                <c:pt idx="46">
                  <c:v>42.330126461917104</c:v>
                </c:pt>
                <c:pt idx="47">
                  <c:v>43.441576275806028</c:v>
                </c:pt>
                <c:pt idx="48">
                  <c:v>44.557379039166563</c:v>
                </c:pt>
                <c:pt idx="49">
                  <c:v>45.657558378815075</c:v>
                </c:pt>
                <c:pt idx="50">
                  <c:v>46.760332547686865</c:v>
                </c:pt>
                <c:pt idx="51">
                  <c:v>47.818643056747767</c:v>
                </c:pt>
                <c:pt idx="52">
                  <c:v>48.872735593046372</c:v>
                </c:pt>
                <c:pt idx="53">
                  <c:v>49.966013128439748</c:v>
                </c:pt>
                <c:pt idx="54">
                  <c:v>51.051556970008434</c:v>
                </c:pt>
                <c:pt idx="55">
                  <c:v>52.178696590439223</c:v>
                </c:pt>
                <c:pt idx="56">
                  <c:v>53.333256907451094</c:v>
                </c:pt>
                <c:pt idx="57">
                  <c:v>54.444750811016213</c:v>
                </c:pt>
                <c:pt idx="58">
                  <c:v>55.590421227458044</c:v>
                </c:pt>
                <c:pt idx="59">
                  <c:v>56.7219781422856</c:v>
                </c:pt>
                <c:pt idx="60">
                  <c:v>57.862343880432135</c:v>
                </c:pt>
                <c:pt idx="61">
                  <c:v>59.006244455183889</c:v>
                </c:pt>
                <c:pt idx="62">
                  <c:v>60.123791222609711</c:v>
                </c:pt>
                <c:pt idx="63">
                  <c:v>61.257106671856761</c:v>
                </c:pt>
                <c:pt idx="64">
                  <c:v>62.4152112256618</c:v>
                </c:pt>
                <c:pt idx="65">
                  <c:v>63.573315779466839</c:v>
                </c:pt>
                <c:pt idx="66">
                  <c:v>64.745727759986181</c:v>
                </c:pt>
                <c:pt idx="67">
                  <c:v>65.884328503019873</c:v>
                </c:pt>
                <c:pt idx="68">
                  <c:v>67.035318139246669</c:v>
                </c:pt>
                <c:pt idx="69">
                  <c:v>68.208627769746172</c:v>
                </c:pt>
                <c:pt idx="70">
                  <c:v>69.35606964359981</c:v>
                </c:pt>
                <c:pt idx="71">
                  <c:v>70.491991934618014</c:v>
                </c:pt>
                <c:pt idx="72">
                  <c:v>71.634456075622111</c:v>
                </c:pt>
                <c:pt idx="73">
                  <c:v>72.825355064978126</c:v>
                </c:pt>
                <c:pt idx="74">
                  <c:v>74.060653802584696</c:v>
                </c:pt>
                <c:pt idx="75">
                  <c:v>75.263812738838638</c:v>
                </c:pt>
                <c:pt idx="76">
                  <c:v>76.451539757248625</c:v>
                </c:pt>
                <c:pt idx="77">
                  <c:v>77.673003587026287</c:v>
                </c:pt>
                <c:pt idx="78">
                  <c:v>78.833056005846686</c:v>
                </c:pt>
                <c:pt idx="79">
                  <c:v>79.961878690863458</c:v>
                </c:pt>
                <c:pt idx="80">
                  <c:v>81.016019179141537</c:v>
                </c:pt>
                <c:pt idx="81">
                  <c:v>82.047159009172816</c:v>
                </c:pt>
                <c:pt idx="82">
                  <c:v>83.081701614770523</c:v>
                </c:pt>
                <c:pt idx="83">
                  <c:v>84.144762633045332</c:v>
                </c:pt>
                <c:pt idx="84">
                  <c:v>85.246509102083081</c:v>
                </c:pt>
                <c:pt idx="85">
                  <c:v>86.286713928372393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-0.32096885654251955</c:v>
                </c:pt>
                <c:pt idx="2">
                  <c:v>-0.62331381225752858</c:v>
                </c:pt>
                <c:pt idx="3">
                  <c:v>-0.91079156504558401</c:v>
                </c:pt>
                <c:pt idx="4">
                  <c:v>-1.1951440490139724</c:v>
                </c:pt>
                <c:pt idx="5">
                  <c:v>-1.4725459378201118</c:v>
                </c:pt>
                <c:pt idx="6">
                  <c:v>-1.744518773057923</c:v>
                </c:pt>
                <c:pt idx="7">
                  <c:v>-1.9940202138412686</c:v>
                </c:pt>
                <c:pt idx="8">
                  <c:v>-2.2400079408022657</c:v>
                </c:pt>
                <c:pt idx="9">
                  <c:v>-2.4795054763684492</c:v>
                </c:pt>
                <c:pt idx="10">
                  <c:v>-2.7199084456100078</c:v>
                </c:pt>
                <c:pt idx="11">
                  <c:v>-2.9398198236841155</c:v>
                </c:pt>
                <c:pt idx="12">
                  <c:v>-3.1495096568299692</c:v>
                </c:pt>
                <c:pt idx="13">
                  <c:v>-3.3549817135318238</c:v>
                </c:pt>
                <c:pt idx="14">
                  <c:v>-3.547693416049734</c:v>
                </c:pt>
                <c:pt idx="15">
                  <c:v>-3.7248543162591341</c:v>
                </c:pt>
                <c:pt idx="16">
                  <c:v>-3.8941066213219688</c:v>
                </c:pt>
                <c:pt idx="17">
                  <c:v>-4.0538546913834201</c:v>
                </c:pt>
                <c:pt idx="18">
                  <c:v>-4.2079185311667668</c:v>
                </c:pt>
                <c:pt idx="19">
                  <c:v>-4.3577272308314789</c:v>
                </c:pt>
                <c:pt idx="20">
                  <c:v>-4.496052243687223</c:v>
                </c:pt>
                <c:pt idx="21">
                  <c:v>-4.6300725632722601</c:v>
                </c:pt>
                <c:pt idx="22">
                  <c:v>-4.7592604317337113</c:v>
                </c:pt>
                <c:pt idx="23">
                  <c:v>-4.8784991755359322</c:v>
                </c:pt>
                <c:pt idx="24">
                  <c:v>-4.9940345203241439</c:v>
                </c:pt>
                <c:pt idx="25">
                  <c:v>-5.1038839669715284</c:v>
                </c:pt>
                <c:pt idx="26">
                  <c:v>-5.2072971387230691</c:v>
                </c:pt>
                <c:pt idx="27">
                  <c:v>-5.3032839155336102</c:v>
                </c:pt>
                <c:pt idx="28">
                  <c:v>-5.3934723798675943</c:v>
                </c:pt>
                <c:pt idx="29">
                  <c:v>-5.480463605073302</c:v>
                </c:pt>
                <c:pt idx="30">
                  <c:v>-5.5640506556274802</c:v>
                </c:pt>
                <c:pt idx="31">
                  <c:v>-5.6404345348221483</c:v>
                </c:pt>
                <c:pt idx="32">
                  <c:v>-5.7103208907086822</c:v>
                </c:pt>
                <c:pt idx="33">
                  <c:v>-5.7757691751090414</c:v>
                </c:pt>
                <c:pt idx="34">
                  <c:v>-5.8388688441075853</c:v>
                </c:pt>
                <c:pt idx="35">
                  <c:v>-5.8980959362420604</c:v>
                </c:pt>
                <c:pt idx="36">
                  <c:v>-5.9541803729364133</c:v>
                </c:pt>
                <c:pt idx="37">
                  <c:v>-6.0071359645032025</c:v>
                </c:pt>
                <c:pt idx="38">
                  <c:v>-6.0557329054422571</c:v>
                </c:pt>
                <c:pt idx="39">
                  <c:v>-6.1026139896240368</c:v>
                </c:pt>
                <c:pt idx="40">
                  <c:v>-6.1458982173870389</c:v>
                </c:pt>
                <c:pt idx="41">
                  <c:v>-6.1846674128595414</c:v>
                </c:pt>
                <c:pt idx="42">
                  <c:v>-6.2200118849622745</c:v>
                </c:pt>
                <c:pt idx="43">
                  <c:v>-6.252548175068501</c:v>
                </c:pt>
                <c:pt idx="44">
                  <c:v>-6.2826990415420045</c:v>
                </c:pt>
                <c:pt idx="45">
                  <c:v>-6.3104036595210768</c:v>
                </c:pt>
                <c:pt idx="46">
                  <c:v>-6.3359408848261749</c:v>
                </c:pt>
                <c:pt idx="47">
                  <c:v>-6.3590632642312208</c:v>
                </c:pt>
                <c:pt idx="48">
                  <c:v>-6.3794519923841593</c:v>
                </c:pt>
                <c:pt idx="49">
                  <c:v>-6.3969757593176695</c:v>
                </c:pt>
                <c:pt idx="50">
                  <c:v>-6.4120782309515594</c:v>
                </c:pt>
                <c:pt idx="51">
                  <c:v>-6.4244448651352712</c:v>
                </c:pt>
                <c:pt idx="52">
                  <c:v>-6.4347379271096932</c:v>
                </c:pt>
                <c:pt idx="53">
                  <c:v>-6.4433565609857535</c:v>
                </c:pt>
                <c:pt idx="54">
                  <c:v>-6.4500155690582925</c:v>
                </c:pt>
                <c:pt idx="55">
                  <c:v>-6.4550361835277243</c:v>
                </c:pt>
                <c:pt idx="56">
                  <c:v>-6.4583192468646002</c:v>
                </c:pt>
                <c:pt idx="57">
                  <c:v>-6.4597826735533035</c:v>
                </c:pt>
                <c:pt idx="58">
                  <c:v>-6.4596087538772604</c:v>
                </c:pt>
                <c:pt idx="59">
                  <c:v>-6.4579399340992705</c:v>
                </c:pt>
                <c:pt idx="60">
                  <c:v>-6.4548515720925117</c:v>
                </c:pt>
                <c:pt idx="61">
                  <c:v>-6.4504278410637905</c:v>
                </c:pt>
                <c:pt idx="62">
                  <c:v>-6.4448916192580352</c:v>
                </c:pt>
                <c:pt idx="63">
                  <c:v>-6.4381529330222511</c:v>
                </c:pt>
                <c:pt idx="64">
                  <c:v>-6.4301879175682402</c:v>
                </c:pt>
                <c:pt idx="65">
                  <c:v>-6.4211949376144872</c:v>
                </c:pt>
                <c:pt idx="66">
                  <c:v>-6.4111313053080519</c:v>
                </c:pt>
                <c:pt idx="67">
                  <c:v>-6.400459464314423</c:v>
                </c:pt>
                <c:pt idx="68">
                  <c:v>-6.3888771572883885</c:v>
                </c:pt>
                <c:pt idx="69">
                  <c:v>-6.3763237590472315</c:v>
                </c:pt>
                <c:pt idx="70">
                  <c:v>-6.363326426848122</c:v>
                </c:pt>
                <c:pt idx="71">
                  <c:v>-6.3496293650080577</c:v>
                </c:pt>
                <c:pt idx="72">
                  <c:v>-6.3345153963596683</c:v>
                </c:pt>
                <c:pt idx="73">
                  <c:v>-6.3184349347505355</c:v>
                </c:pt>
                <c:pt idx="74">
                  <c:v>-6.3020563231187214</c:v>
                </c:pt>
                <c:pt idx="75">
                  <c:v>-6.2855925053473864</c:v>
                </c:pt>
                <c:pt idx="76">
                  <c:v>-6.2689034370526908</c:v>
                </c:pt>
                <c:pt idx="77">
                  <c:v>-6.2513930553184069</c:v>
                </c:pt>
                <c:pt idx="78">
                  <c:v>-6.2337557525880918</c:v>
                </c:pt>
                <c:pt idx="79">
                  <c:v>-6.2155121729437921</c:v>
                </c:pt>
                <c:pt idx="80">
                  <c:v>-6.1975159744775876</c:v>
                </c:pt>
                <c:pt idx="81">
                  <c:v>-6.1791912515702867</c:v>
                </c:pt>
                <c:pt idx="82">
                  <c:v>-6.1600925892277134</c:v>
                </c:pt>
                <c:pt idx="83">
                  <c:v>-6.1405327380906458</c:v>
                </c:pt>
                <c:pt idx="84">
                  <c:v>-6.120518228458053</c:v>
                </c:pt>
                <c:pt idx="85">
                  <c:v>-6.1006021682960947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45302</c:v>
                </c:pt>
                <c:pt idx="1">
                  <c:v>45303</c:v>
                </c:pt>
                <c:pt idx="2">
                  <c:v>45304</c:v>
                </c:pt>
                <c:pt idx="3">
                  <c:v>45305</c:v>
                </c:pt>
                <c:pt idx="4">
                  <c:v>45306</c:v>
                </c:pt>
                <c:pt idx="5">
                  <c:v>45307</c:v>
                </c:pt>
                <c:pt idx="6">
                  <c:v>45308</c:v>
                </c:pt>
                <c:pt idx="7">
                  <c:v>45309</c:v>
                </c:pt>
                <c:pt idx="8">
                  <c:v>45310</c:v>
                </c:pt>
                <c:pt idx="9">
                  <c:v>45311</c:v>
                </c:pt>
                <c:pt idx="10">
                  <c:v>45312</c:v>
                </c:pt>
                <c:pt idx="11">
                  <c:v>45313</c:v>
                </c:pt>
                <c:pt idx="12">
                  <c:v>45314</c:v>
                </c:pt>
                <c:pt idx="13">
                  <c:v>45315</c:v>
                </c:pt>
                <c:pt idx="14">
                  <c:v>45316</c:v>
                </c:pt>
                <c:pt idx="15">
                  <c:v>45317</c:v>
                </c:pt>
                <c:pt idx="16">
                  <c:v>45318</c:v>
                </c:pt>
                <c:pt idx="17">
                  <c:v>45319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45325</c:v>
                </c:pt>
                <c:pt idx="24">
                  <c:v>45326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45332</c:v>
                </c:pt>
                <c:pt idx="31">
                  <c:v>45333</c:v>
                </c:pt>
                <c:pt idx="32">
                  <c:v>45334</c:v>
                </c:pt>
                <c:pt idx="33">
                  <c:v>45335</c:v>
                </c:pt>
                <c:pt idx="34">
                  <c:v>45336</c:v>
                </c:pt>
                <c:pt idx="35">
                  <c:v>45337</c:v>
                </c:pt>
                <c:pt idx="36">
                  <c:v>45338</c:v>
                </c:pt>
                <c:pt idx="37">
                  <c:v>45339</c:v>
                </c:pt>
                <c:pt idx="38">
                  <c:v>45340</c:v>
                </c:pt>
                <c:pt idx="39">
                  <c:v>45341</c:v>
                </c:pt>
                <c:pt idx="40">
                  <c:v>45342</c:v>
                </c:pt>
                <c:pt idx="41">
                  <c:v>45343</c:v>
                </c:pt>
                <c:pt idx="42">
                  <c:v>45344</c:v>
                </c:pt>
                <c:pt idx="43">
                  <c:v>45345</c:v>
                </c:pt>
                <c:pt idx="44">
                  <c:v>45346</c:v>
                </c:pt>
                <c:pt idx="45">
                  <c:v>45347</c:v>
                </c:pt>
                <c:pt idx="46">
                  <c:v>45348</c:v>
                </c:pt>
                <c:pt idx="47">
                  <c:v>45349</c:v>
                </c:pt>
                <c:pt idx="48">
                  <c:v>45350</c:v>
                </c:pt>
                <c:pt idx="49">
                  <c:v>45351</c:v>
                </c:pt>
                <c:pt idx="50">
                  <c:v>45352</c:v>
                </c:pt>
                <c:pt idx="51">
                  <c:v>45353</c:v>
                </c:pt>
                <c:pt idx="52">
                  <c:v>45354</c:v>
                </c:pt>
                <c:pt idx="53">
                  <c:v>45355</c:v>
                </c:pt>
                <c:pt idx="54">
                  <c:v>45356</c:v>
                </c:pt>
                <c:pt idx="55">
                  <c:v>45357</c:v>
                </c:pt>
                <c:pt idx="56">
                  <c:v>45358</c:v>
                </c:pt>
                <c:pt idx="57">
                  <c:v>45359</c:v>
                </c:pt>
                <c:pt idx="58">
                  <c:v>45360</c:v>
                </c:pt>
                <c:pt idx="59">
                  <c:v>45361</c:v>
                </c:pt>
                <c:pt idx="60">
                  <c:v>45362</c:v>
                </c:pt>
                <c:pt idx="61">
                  <c:v>45363</c:v>
                </c:pt>
                <c:pt idx="62">
                  <c:v>45364</c:v>
                </c:pt>
                <c:pt idx="63">
                  <c:v>45365</c:v>
                </c:pt>
                <c:pt idx="64">
                  <c:v>45366</c:v>
                </c:pt>
                <c:pt idx="65">
                  <c:v>45367</c:v>
                </c:pt>
                <c:pt idx="66">
                  <c:v>45368</c:v>
                </c:pt>
                <c:pt idx="67">
                  <c:v>45369</c:v>
                </c:pt>
                <c:pt idx="68">
                  <c:v>45370</c:v>
                </c:pt>
                <c:pt idx="69">
                  <c:v>45371</c:v>
                </c:pt>
                <c:pt idx="70">
                  <c:v>45372</c:v>
                </c:pt>
                <c:pt idx="71">
                  <c:v>45373</c:v>
                </c:pt>
                <c:pt idx="72">
                  <c:v>45374</c:v>
                </c:pt>
                <c:pt idx="73">
                  <c:v>45375</c:v>
                </c:pt>
                <c:pt idx="74">
                  <c:v>45376</c:v>
                </c:pt>
                <c:pt idx="75">
                  <c:v>45377</c:v>
                </c:pt>
                <c:pt idx="76">
                  <c:v>45378</c:v>
                </c:pt>
                <c:pt idx="77">
                  <c:v>45379</c:v>
                </c:pt>
                <c:pt idx="78">
                  <c:v>45380</c:v>
                </c:pt>
                <c:pt idx="79">
                  <c:v>45381</c:v>
                </c:pt>
                <c:pt idx="80">
                  <c:v>45382</c:v>
                </c:pt>
                <c:pt idx="81">
                  <c:v>45383</c:v>
                </c:pt>
                <c:pt idx="82">
                  <c:v>45384</c:v>
                </c:pt>
                <c:pt idx="83">
                  <c:v>45385</c:v>
                </c:pt>
                <c:pt idx="84">
                  <c:v>45386</c:v>
                </c:pt>
                <c:pt idx="85">
                  <c:v>45387</c:v>
                </c:pt>
                <c:pt idx="86">
                  <c:v>45388</c:v>
                </c:pt>
                <c:pt idx="87">
                  <c:v>45389</c:v>
                </c:pt>
                <c:pt idx="88">
                  <c:v>45390</c:v>
                </c:pt>
                <c:pt idx="89">
                  <c:v>45391</c:v>
                </c:pt>
                <c:pt idx="90">
                  <c:v>45392</c:v>
                </c:pt>
                <c:pt idx="91">
                  <c:v>45393</c:v>
                </c:pt>
                <c:pt idx="92">
                  <c:v>45394</c:v>
                </c:pt>
                <c:pt idx="93">
                  <c:v>45395</c:v>
                </c:pt>
                <c:pt idx="94">
                  <c:v>45396</c:v>
                </c:pt>
                <c:pt idx="95">
                  <c:v>45397</c:v>
                </c:pt>
                <c:pt idx="96">
                  <c:v>45398</c:v>
                </c:pt>
                <c:pt idx="97">
                  <c:v>45399</c:v>
                </c:pt>
                <c:pt idx="98">
                  <c:v>45400</c:v>
                </c:pt>
                <c:pt idx="99">
                  <c:v>45401</c:v>
                </c:pt>
                <c:pt idx="100">
                  <c:v>45402</c:v>
                </c:pt>
                <c:pt idx="101">
                  <c:v>45403</c:v>
                </c:pt>
                <c:pt idx="102">
                  <c:v>45404</c:v>
                </c:pt>
                <c:pt idx="103">
                  <c:v>45405</c:v>
                </c:pt>
                <c:pt idx="104">
                  <c:v>45406</c:v>
                </c:pt>
                <c:pt idx="105">
                  <c:v>45407</c:v>
                </c:pt>
                <c:pt idx="106">
                  <c:v>45408</c:v>
                </c:pt>
                <c:pt idx="107">
                  <c:v>45409</c:v>
                </c:pt>
                <c:pt idx="108">
                  <c:v>45410</c:v>
                </c:pt>
                <c:pt idx="109">
                  <c:v>45411</c:v>
                </c:pt>
                <c:pt idx="110">
                  <c:v>45412</c:v>
                </c:pt>
                <c:pt idx="111">
                  <c:v>45413</c:v>
                </c:pt>
                <c:pt idx="112">
                  <c:v>45414</c:v>
                </c:pt>
                <c:pt idx="113">
                  <c:v>45415</c:v>
                </c:pt>
                <c:pt idx="114">
                  <c:v>45416</c:v>
                </c:pt>
                <c:pt idx="115">
                  <c:v>45417</c:v>
                </c:pt>
                <c:pt idx="116">
                  <c:v>45418</c:v>
                </c:pt>
                <c:pt idx="117">
                  <c:v>45419</c:v>
                </c:pt>
                <c:pt idx="118">
                  <c:v>45420</c:v>
                </c:pt>
                <c:pt idx="119">
                  <c:v>45421</c:v>
                </c:pt>
                <c:pt idx="120">
                  <c:v>45422</c:v>
                </c:pt>
                <c:pt idx="121">
                  <c:v>45423</c:v>
                </c:pt>
                <c:pt idx="122">
                  <c:v>45424</c:v>
                </c:pt>
                <c:pt idx="123">
                  <c:v>45425</c:v>
                </c:pt>
                <c:pt idx="124">
                  <c:v>45426</c:v>
                </c:pt>
                <c:pt idx="125">
                  <c:v>45427</c:v>
                </c:pt>
                <c:pt idx="126">
                  <c:v>45428</c:v>
                </c:pt>
                <c:pt idx="127">
                  <c:v>45429</c:v>
                </c:pt>
                <c:pt idx="128">
                  <c:v>45430</c:v>
                </c:pt>
                <c:pt idx="129">
                  <c:v>45431</c:v>
                </c:pt>
                <c:pt idx="130">
                  <c:v>45432</c:v>
                </c:pt>
                <c:pt idx="131">
                  <c:v>45433</c:v>
                </c:pt>
                <c:pt idx="132">
                  <c:v>45434</c:v>
                </c:pt>
                <c:pt idx="133">
                  <c:v>45435</c:v>
                </c:pt>
                <c:pt idx="134">
                  <c:v>45436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1.5563471258608441</c:v>
                </c:pt>
                <c:pt idx="15">
                  <c:v>1.6454328416072836</c:v>
                </c:pt>
                <c:pt idx="16">
                  <c:v>1.7379336775156009</c:v>
                </c:pt>
                <c:pt idx="17">
                  <c:v>1.8364319744098785</c:v>
                </c:pt>
                <c:pt idx="18">
                  <c:v>1.9417962936618305</c:v>
                </c:pt>
                <c:pt idx="19">
                  <c:v>2.0545588470269909</c:v>
                </c:pt>
                <c:pt idx="20">
                  <c:v>2.173431567373409</c:v>
                </c:pt>
                <c:pt idx="21">
                  <c:v>2.2997664422420034</c:v>
                </c:pt>
                <c:pt idx="22">
                  <c:v>2.4318346708975995</c:v>
                </c:pt>
                <c:pt idx="23">
                  <c:v>2.5697838472973089</c:v>
                </c:pt>
                <c:pt idx="24">
                  <c:v>2.7106640173369443</c:v>
                </c:pt>
                <c:pt idx="25">
                  <c:v>2.8629979255325817</c:v>
                </c:pt>
                <c:pt idx="26">
                  <c:v>3.0227405094075279</c:v>
                </c:pt>
                <c:pt idx="27">
                  <c:v>3.1922640206427588</c:v>
                </c:pt>
                <c:pt idx="28">
                  <c:v>3.3709554936967567</c:v>
                </c:pt>
                <c:pt idx="29">
                  <c:v>3.5607999080579384</c:v>
                </c:pt>
                <c:pt idx="30">
                  <c:v>3.7651015932850931</c:v>
                </c:pt>
                <c:pt idx="31">
                  <c:v>3.9830544261594447</c:v>
                </c:pt>
                <c:pt idx="32">
                  <c:v>4.212543056724753</c:v>
                </c:pt>
                <c:pt idx="33">
                  <c:v>4.4524615803001772</c:v>
                </c:pt>
                <c:pt idx="34">
                  <c:v>4.70601224688009</c:v>
                </c:pt>
                <c:pt idx="35">
                  <c:v>4.9704413828315106</c:v>
                </c:pt>
                <c:pt idx="36">
                  <c:v>5.2478872081524592</c:v>
                </c:pt>
                <c:pt idx="37">
                  <c:v>5.5407327111244244</c:v>
                </c:pt>
                <c:pt idx="38">
                  <c:v>5.8517766687883048</c:v>
                </c:pt>
                <c:pt idx="39">
                  <c:v>6.1797788050245996</c:v>
                </c:pt>
                <c:pt idx="40">
                  <c:v>6.5272514259740522</c:v>
                </c:pt>
                <c:pt idx="41">
                  <c:v>6.8922822169002602</c:v>
                </c:pt>
                <c:pt idx="42">
                  <c:v>7.2727661610068237</c:v>
                </c:pt>
                <c:pt idx="43">
                  <c:v>7.6732844047262843</c:v>
                </c:pt>
                <c:pt idx="44">
                  <c:v>8.0853456235735059</c:v>
                </c:pt>
                <c:pt idx="45">
                  <c:v>8.5070696490402486</c:v>
                </c:pt>
                <c:pt idx="46">
                  <c:v>8.9525886952389673</c:v>
                </c:pt>
                <c:pt idx="47">
                  <c:v>9.42326478777278</c:v>
                </c:pt>
                <c:pt idx="48">
                  <c:v>9.9101435195614638</c:v>
                </c:pt>
                <c:pt idx="49">
                  <c:v>10.422653266784087</c:v>
                </c:pt>
                <c:pt idx="50">
                  <c:v>10.972017807390012</c:v>
                </c:pt>
                <c:pt idx="51">
                  <c:v>11.550638918140006</c:v>
                </c:pt>
                <c:pt idx="52">
                  <c:v>12.133813170021108</c:v>
                </c:pt>
                <c:pt idx="53">
                  <c:v>12.741858061818204</c:v>
                </c:pt>
                <c:pt idx="54">
                  <c:v>13.393293779939135</c:v>
                </c:pt>
                <c:pt idx="55">
                  <c:v>14.054105681942554</c:v>
                </c:pt>
                <c:pt idx="56">
                  <c:v>14.759102651217722</c:v>
                </c:pt>
                <c:pt idx="57">
                  <c:v>15.506788474429969</c:v>
                </c:pt>
                <c:pt idx="58">
                  <c:v>16.277156109081336</c:v>
                </c:pt>
                <c:pt idx="59">
                  <c:v>17.074866370355934</c:v>
                </c:pt>
                <c:pt idx="60">
                  <c:v>17.916785795111956</c:v>
                </c:pt>
                <c:pt idx="61">
                  <c:v>18.778017231039751</c:v>
                </c:pt>
                <c:pt idx="62">
                  <c:v>19.676616206804834</c:v>
                </c:pt>
                <c:pt idx="63">
                  <c:v>20.605182912190489</c:v>
                </c:pt>
                <c:pt idx="64">
                  <c:v>21.580717679837427</c:v>
                </c:pt>
                <c:pt idx="65">
                  <c:v>22.5960338086063</c:v>
                </c:pt>
                <c:pt idx="66">
                  <c:v>23.648548452390944</c:v>
                </c:pt>
                <c:pt idx="67">
                  <c:v>24.715425525039912</c:v>
                </c:pt>
                <c:pt idx="68">
                  <c:v>25.827394609519736</c:v>
                </c:pt>
                <c:pt idx="69">
                  <c:v>27.001624406574546</c:v>
                </c:pt>
                <c:pt idx="70">
                  <c:v>28.21366916200358</c:v>
                </c:pt>
                <c:pt idx="71">
                  <c:v>29.446765951452225</c:v>
                </c:pt>
                <c:pt idx="72">
                  <c:v>30.719017689086186</c:v>
                </c:pt>
                <c:pt idx="73">
                  <c:v>32.03857728549432</c:v>
                </c:pt>
                <c:pt idx="74">
                  <c:v>33.41054379886895</c:v>
                </c:pt>
                <c:pt idx="75">
                  <c:v>34.843073755617411</c:v>
                </c:pt>
                <c:pt idx="76">
                  <c:v>36.318940375991055</c:v>
                </c:pt>
                <c:pt idx="77">
                  <c:v>37.862642758168249</c:v>
                </c:pt>
                <c:pt idx="78">
                  <c:v>39.439170230368184</c:v>
                </c:pt>
                <c:pt idx="79">
                  <c:v>41.045330164134405</c:v>
                </c:pt>
                <c:pt idx="80">
                  <c:v>42.672626188465955</c:v>
                </c:pt>
                <c:pt idx="81">
                  <c:v>44.33925146769964</c:v>
                </c:pt>
                <c:pt idx="82">
                  <c:v>46.069837657569856</c:v>
                </c:pt>
                <c:pt idx="83">
                  <c:v>47.806343608818615</c:v>
                </c:pt>
                <c:pt idx="84">
                  <c:v>49.588534835432945</c:v>
                </c:pt>
                <c:pt idx="85">
                  <c:v>51.418466137970462</c:v>
                </c:pt>
                <c:pt idx="86">
                  <c:v>53.290145592211097</c:v>
                </c:pt>
                <c:pt idx="87">
                  <c:v>55.176608409386162</c:v>
                </c:pt>
                <c:pt idx="88">
                  <c:v>57.071580989458326</c:v>
                </c:pt>
                <c:pt idx="89">
                  <c:v>58.997117100539569</c:v>
                </c:pt>
                <c:pt idx="90">
                  <c:v>60.928963425531379</c:v>
                </c:pt>
                <c:pt idx="91">
                  <c:v>62.905842088069207</c:v>
                </c:pt>
                <c:pt idx="92">
                  <c:v>64.955047376703675</c:v>
                </c:pt>
                <c:pt idx="93">
                  <c:v>67.000808143038526</c:v>
                </c:pt>
                <c:pt idx="94">
                  <c:v>69.057668567353673</c:v>
                </c:pt>
                <c:pt idx="95">
                  <c:v>71.217827540880535</c:v>
                </c:pt>
                <c:pt idx="96">
                  <c:v>73.37739304019162</c:v>
                </c:pt>
                <c:pt idx="97">
                  <c:v>75.57061953501379</c:v>
                </c:pt>
                <c:pt idx="98">
                  <c:v>77.761232580796346</c:v>
                </c:pt>
                <c:pt idx="99">
                  <c:v>80.012524433912731</c:v>
                </c:pt>
                <c:pt idx="100">
                  <c:v>82.268983016244746</c:v>
                </c:pt>
                <c:pt idx="101">
                  <c:v>84.440950904872523</c:v>
                </c:pt>
                <c:pt idx="102">
                  <c:v>86.6569443318634</c:v>
                </c:pt>
                <c:pt idx="103">
                  <c:v>88.863902124343781</c:v>
                </c:pt>
                <c:pt idx="104">
                  <c:v>91.131831231648121</c:v>
                </c:pt>
                <c:pt idx="105">
                  <c:v>93.452112559315424</c:v>
                </c:pt>
                <c:pt idx="106">
                  <c:v>95.850032948012355</c:v>
                </c:pt>
                <c:pt idx="107">
                  <c:v>98.299395283068492</c:v>
                </c:pt>
                <c:pt idx="108">
                  <c:v>100.61707677273519</c:v>
                </c:pt>
                <c:pt idx="109">
                  <c:v>102.87992806439064</c:v>
                </c:pt>
                <c:pt idx="110">
                  <c:v>105.15994962268735</c:v>
                </c:pt>
                <c:pt idx="111">
                  <c:v>107.42828104803985</c:v>
                </c:pt>
                <c:pt idx="112">
                  <c:v>109.68134183608188</c:v>
                </c:pt>
                <c:pt idx="113">
                  <c:v>111.89022433951594</c:v>
                </c:pt>
                <c:pt idx="114">
                  <c:v>114.11186444753731</c:v>
                </c:pt>
                <c:pt idx="115">
                  <c:v>116.35548465342899</c:v>
                </c:pt>
                <c:pt idx="116">
                  <c:v>118.54330877935674</c:v>
                </c:pt>
                <c:pt idx="117">
                  <c:v>120.68346206546934</c:v>
                </c:pt>
                <c:pt idx="118">
                  <c:v>122.74968869910995</c:v>
                </c:pt>
                <c:pt idx="119">
                  <c:v>124.82711609185031</c:v>
                </c:pt>
                <c:pt idx="120">
                  <c:v>126.93880340441238</c:v>
                </c:pt>
                <c:pt idx="121">
                  <c:v>129.08708483407898</c:v>
                </c:pt>
                <c:pt idx="122">
                  <c:v>131.20823620527702</c:v>
                </c:pt>
                <c:pt idx="123">
                  <c:v>133.26308183528403</c:v>
                </c:pt>
                <c:pt idx="124">
                  <c:v>135.28904820383664</c:v>
                </c:pt>
                <c:pt idx="125">
                  <c:v>137.29856211202897</c:v>
                </c:pt>
                <c:pt idx="126">
                  <c:v>139.22982279689785</c:v>
                </c:pt>
                <c:pt idx="127">
                  <c:v>141.1214440706494</c:v>
                </c:pt>
                <c:pt idx="128">
                  <c:v>143.06264022126015</c:v>
                </c:pt>
                <c:pt idx="129">
                  <c:v>144.97433303345784</c:v>
                </c:pt>
                <c:pt idx="130">
                  <c:v>146.90370229999959</c:v>
                </c:pt>
                <c:pt idx="131">
                  <c:v>148.73411303366117</c:v>
                </c:pt>
                <c:pt idx="132">
                  <c:v>150.50742772744752</c:v>
                </c:pt>
                <c:pt idx="133">
                  <c:v>152.24724932626367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45302</c:v>
                </c:pt>
                <c:pt idx="1">
                  <c:v>45303</c:v>
                </c:pt>
                <c:pt idx="2">
                  <c:v>45304</c:v>
                </c:pt>
                <c:pt idx="3">
                  <c:v>45305</c:v>
                </c:pt>
                <c:pt idx="4">
                  <c:v>45306</c:v>
                </c:pt>
                <c:pt idx="5">
                  <c:v>45307</c:v>
                </c:pt>
                <c:pt idx="6">
                  <c:v>45308</c:v>
                </c:pt>
                <c:pt idx="7">
                  <c:v>45309</c:v>
                </c:pt>
                <c:pt idx="8">
                  <c:v>45310</c:v>
                </c:pt>
                <c:pt idx="9">
                  <c:v>45311</c:v>
                </c:pt>
                <c:pt idx="10">
                  <c:v>45312</c:v>
                </c:pt>
                <c:pt idx="11">
                  <c:v>45313</c:v>
                </c:pt>
                <c:pt idx="12">
                  <c:v>45314</c:v>
                </c:pt>
                <c:pt idx="13">
                  <c:v>45315</c:v>
                </c:pt>
                <c:pt idx="14">
                  <c:v>45316</c:v>
                </c:pt>
                <c:pt idx="15">
                  <c:v>45317</c:v>
                </c:pt>
                <c:pt idx="16">
                  <c:v>45318</c:v>
                </c:pt>
                <c:pt idx="17">
                  <c:v>45319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45325</c:v>
                </c:pt>
                <c:pt idx="24">
                  <c:v>45326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45332</c:v>
                </c:pt>
                <c:pt idx="31">
                  <c:v>45333</c:v>
                </c:pt>
                <c:pt idx="32">
                  <c:v>45334</c:v>
                </c:pt>
                <c:pt idx="33">
                  <c:v>45335</c:v>
                </c:pt>
                <c:pt idx="34">
                  <c:v>45336</c:v>
                </c:pt>
                <c:pt idx="35">
                  <c:v>45337</c:v>
                </c:pt>
                <c:pt idx="36">
                  <c:v>45338</c:v>
                </c:pt>
                <c:pt idx="37">
                  <c:v>45339</c:v>
                </c:pt>
                <c:pt idx="38">
                  <c:v>45340</c:v>
                </c:pt>
                <c:pt idx="39">
                  <c:v>45341</c:v>
                </c:pt>
                <c:pt idx="40">
                  <c:v>45342</c:v>
                </c:pt>
                <c:pt idx="41">
                  <c:v>45343</c:v>
                </c:pt>
                <c:pt idx="42">
                  <c:v>45344</c:v>
                </c:pt>
                <c:pt idx="43">
                  <c:v>45345</c:v>
                </c:pt>
                <c:pt idx="44">
                  <c:v>45346</c:v>
                </c:pt>
                <c:pt idx="45">
                  <c:v>45347</c:v>
                </c:pt>
                <c:pt idx="46">
                  <c:v>45348</c:v>
                </c:pt>
                <c:pt idx="47">
                  <c:v>45349</c:v>
                </c:pt>
                <c:pt idx="48">
                  <c:v>45350</c:v>
                </c:pt>
                <c:pt idx="49">
                  <c:v>45351</c:v>
                </c:pt>
                <c:pt idx="50">
                  <c:v>45352</c:v>
                </c:pt>
                <c:pt idx="51">
                  <c:v>45353</c:v>
                </c:pt>
                <c:pt idx="52">
                  <c:v>45354</c:v>
                </c:pt>
                <c:pt idx="53">
                  <c:v>45355</c:v>
                </c:pt>
                <c:pt idx="54">
                  <c:v>45356</c:v>
                </c:pt>
                <c:pt idx="55">
                  <c:v>45357</c:v>
                </c:pt>
                <c:pt idx="56">
                  <c:v>45358</c:v>
                </c:pt>
                <c:pt idx="57">
                  <c:v>45359</c:v>
                </c:pt>
                <c:pt idx="58">
                  <c:v>45360</c:v>
                </c:pt>
                <c:pt idx="59">
                  <c:v>45361</c:v>
                </c:pt>
                <c:pt idx="60">
                  <c:v>45362</c:v>
                </c:pt>
                <c:pt idx="61">
                  <c:v>45363</c:v>
                </c:pt>
                <c:pt idx="62">
                  <c:v>45364</c:v>
                </c:pt>
                <c:pt idx="63">
                  <c:v>45365</c:v>
                </c:pt>
                <c:pt idx="64">
                  <c:v>45366</c:v>
                </c:pt>
                <c:pt idx="65">
                  <c:v>45367</c:v>
                </c:pt>
                <c:pt idx="66">
                  <c:v>45368</c:v>
                </c:pt>
                <c:pt idx="67">
                  <c:v>45369</c:v>
                </c:pt>
                <c:pt idx="68">
                  <c:v>45370</c:v>
                </c:pt>
                <c:pt idx="69">
                  <c:v>45371</c:v>
                </c:pt>
                <c:pt idx="70">
                  <c:v>45372</c:v>
                </c:pt>
                <c:pt idx="71">
                  <c:v>45373</c:v>
                </c:pt>
                <c:pt idx="72">
                  <c:v>45374</c:v>
                </c:pt>
                <c:pt idx="73">
                  <c:v>45375</c:v>
                </c:pt>
                <c:pt idx="74">
                  <c:v>45376</c:v>
                </c:pt>
                <c:pt idx="75">
                  <c:v>45377</c:v>
                </c:pt>
                <c:pt idx="76">
                  <c:v>45378</c:v>
                </c:pt>
                <c:pt idx="77">
                  <c:v>45379</c:v>
                </c:pt>
                <c:pt idx="78">
                  <c:v>45380</c:v>
                </c:pt>
                <c:pt idx="79">
                  <c:v>45381</c:v>
                </c:pt>
                <c:pt idx="80">
                  <c:v>45382</c:v>
                </c:pt>
                <c:pt idx="81">
                  <c:v>45383</c:v>
                </c:pt>
                <c:pt idx="82">
                  <c:v>45384</c:v>
                </c:pt>
                <c:pt idx="83">
                  <c:v>45385</c:v>
                </c:pt>
                <c:pt idx="84">
                  <c:v>45386</c:v>
                </c:pt>
                <c:pt idx="85">
                  <c:v>45387</c:v>
                </c:pt>
                <c:pt idx="86">
                  <c:v>45388</c:v>
                </c:pt>
                <c:pt idx="87">
                  <c:v>45389</c:v>
                </c:pt>
                <c:pt idx="88">
                  <c:v>45390</c:v>
                </c:pt>
                <c:pt idx="89">
                  <c:v>45391</c:v>
                </c:pt>
                <c:pt idx="90">
                  <c:v>45392</c:v>
                </c:pt>
                <c:pt idx="91">
                  <c:v>45393</c:v>
                </c:pt>
                <c:pt idx="92">
                  <c:v>45394</c:v>
                </c:pt>
                <c:pt idx="93">
                  <c:v>45395</c:v>
                </c:pt>
                <c:pt idx="94">
                  <c:v>45396</c:v>
                </c:pt>
                <c:pt idx="95">
                  <c:v>45397</c:v>
                </c:pt>
                <c:pt idx="96">
                  <c:v>45398</c:v>
                </c:pt>
                <c:pt idx="97">
                  <c:v>45399</c:v>
                </c:pt>
                <c:pt idx="98">
                  <c:v>45400</c:v>
                </c:pt>
                <c:pt idx="99">
                  <c:v>45401</c:v>
                </c:pt>
                <c:pt idx="100">
                  <c:v>45402</c:v>
                </c:pt>
                <c:pt idx="101">
                  <c:v>45403</c:v>
                </c:pt>
                <c:pt idx="102">
                  <c:v>45404</c:v>
                </c:pt>
                <c:pt idx="103">
                  <c:v>45405</c:v>
                </c:pt>
                <c:pt idx="104">
                  <c:v>45406</c:v>
                </c:pt>
                <c:pt idx="105">
                  <c:v>45407</c:v>
                </c:pt>
                <c:pt idx="106">
                  <c:v>45408</c:v>
                </c:pt>
                <c:pt idx="107">
                  <c:v>45409</c:v>
                </c:pt>
                <c:pt idx="108">
                  <c:v>45410</c:v>
                </c:pt>
                <c:pt idx="109">
                  <c:v>45411</c:v>
                </c:pt>
                <c:pt idx="110">
                  <c:v>45412</c:v>
                </c:pt>
                <c:pt idx="111">
                  <c:v>45413</c:v>
                </c:pt>
                <c:pt idx="112">
                  <c:v>45414</c:v>
                </c:pt>
                <c:pt idx="113">
                  <c:v>45415</c:v>
                </c:pt>
                <c:pt idx="114">
                  <c:v>45416</c:v>
                </c:pt>
                <c:pt idx="115">
                  <c:v>45417</c:v>
                </c:pt>
                <c:pt idx="116">
                  <c:v>45418</c:v>
                </c:pt>
                <c:pt idx="117">
                  <c:v>45419</c:v>
                </c:pt>
                <c:pt idx="118">
                  <c:v>45420</c:v>
                </c:pt>
                <c:pt idx="119">
                  <c:v>45421</c:v>
                </c:pt>
                <c:pt idx="120">
                  <c:v>45422</c:v>
                </c:pt>
                <c:pt idx="121">
                  <c:v>45423</c:v>
                </c:pt>
                <c:pt idx="122">
                  <c:v>45424</c:v>
                </c:pt>
                <c:pt idx="123">
                  <c:v>45425</c:v>
                </c:pt>
                <c:pt idx="124">
                  <c:v>45426</c:v>
                </c:pt>
                <c:pt idx="125">
                  <c:v>45427</c:v>
                </c:pt>
                <c:pt idx="126">
                  <c:v>45428</c:v>
                </c:pt>
                <c:pt idx="127">
                  <c:v>45429</c:v>
                </c:pt>
                <c:pt idx="128">
                  <c:v>45430</c:v>
                </c:pt>
                <c:pt idx="129">
                  <c:v>45431</c:v>
                </c:pt>
                <c:pt idx="130">
                  <c:v>45432</c:v>
                </c:pt>
                <c:pt idx="131">
                  <c:v>45433</c:v>
                </c:pt>
                <c:pt idx="132">
                  <c:v>45434</c:v>
                </c:pt>
                <c:pt idx="133">
                  <c:v>45435</c:v>
                </c:pt>
                <c:pt idx="134">
                  <c:v>45436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30.025515679064629</c:v>
                </c:pt>
                <c:pt idx="1">
                  <c:v>35.970935815100184</c:v>
                </c:pt>
                <c:pt idx="2">
                  <c:v>41.457197580277217</c:v>
                </c:pt>
                <c:pt idx="3">
                  <c:v>46.511396580645837</c:v>
                </c:pt>
                <c:pt idx="4">
                  <c:v>51.069226902705282</c:v>
                </c:pt>
                <c:pt idx="5">
                  <c:v>55.219441538334692</c:v>
                </c:pt>
                <c:pt idx="6">
                  <c:v>58.954944688896333</c:v>
                </c:pt>
                <c:pt idx="7">
                  <c:v>62.375300840161898</c:v>
                </c:pt>
                <c:pt idx="8">
                  <c:v>65.562040871829822</c:v>
                </c:pt>
                <c:pt idx="9">
                  <c:v>68.443814329929637</c:v>
                </c:pt>
                <c:pt idx="10">
                  <c:v>71.242972052912805</c:v>
                </c:pt>
                <c:pt idx="11">
                  <c:v>73.863448135116442</c:v>
                </c:pt>
                <c:pt idx="12">
                  <c:v>76.282434792356412</c:v>
                </c:pt>
                <c:pt idx="13">
                  <c:v>78.546901927109161</c:v>
                </c:pt>
                <c:pt idx="14">
                  <c:v>80.701649183953037</c:v>
                </c:pt>
                <c:pt idx="15">
                  <c:v>82.606951861540566</c:v>
                </c:pt>
                <c:pt idx="16">
                  <c:v>84.331603386022678</c:v>
                </c:pt>
                <c:pt idx="17">
                  <c:v>85.936941417366725</c:v>
                </c:pt>
                <c:pt idx="18">
                  <c:v>87.447916271134147</c:v>
                </c:pt>
                <c:pt idx="19">
                  <c:v>88.895503773884869</c:v>
                </c:pt>
                <c:pt idx="20">
                  <c:v>90.253886896396807</c:v>
                </c:pt>
                <c:pt idx="21">
                  <c:v>91.512063171290279</c:v>
                </c:pt>
                <c:pt idx="22">
                  <c:v>92.705417646231666</c:v>
                </c:pt>
                <c:pt idx="23">
                  <c:v>93.791601356471077</c:v>
                </c:pt>
                <c:pt idx="24">
                  <c:v>94.823321622771545</c:v>
                </c:pt>
                <c:pt idx="25">
                  <c:v>95.840410396317239</c:v>
                </c:pt>
                <c:pt idx="26">
                  <c:v>96.761627789473451</c:v>
                </c:pt>
                <c:pt idx="27">
                  <c:v>97.62232665943192</c:v>
                </c:pt>
                <c:pt idx="28">
                  <c:v>98.442047844140049</c:v>
                </c:pt>
                <c:pt idx="29">
                  <c:v>99.214939538423465</c:v>
                </c:pt>
                <c:pt idx="30">
                  <c:v>99.967628557977363</c:v>
                </c:pt>
                <c:pt idx="31">
                  <c:v>100.70520653022098</c:v>
                </c:pt>
                <c:pt idx="32">
                  <c:v>101.41811238810293</c:v>
                </c:pt>
                <c:pt idx="33">
                  <c:v>102.06471834919725</c:v>
                </c:pt>
                <c:pt idx="34">
                  <c:v>102.67989254461676</c:v>
                </c:pt>
                <c:pt idx="35">
                  <c:v>103.26628394046259</c:v>
                </c:pt>
                <c:pt idx="36">
                  <c:v>103.81796983353557</c:v>
                </c:pt>
                <c:pt idx="37">
                  <c:v>104.38311857834283</c:v>
                </c:pt>
                <c:pt idx="38">
                  <c:v>104.91579395794324</c:v>
                </c:pt>
                <c:pt idx="39">
                  <c:v>105.41347003353698</c:v>
                </c:pt>
                <c:pt idx="40">
                  <c:v>105.91659567194247</c:v>
                </c:pt>
                <c:pt idx="41">
                  <c:v>106.40212339970623</c:v>
                </c:pt>
                <c:pt idx="42">
                  <c:v>106.84110430563872</c:v>
                </c:pt>
                <c:pt idx="43">
                  <c:v>107.26558986399581</c:v>
                </c:pt>
                <c:pt idx="44">
                  <c:v>107.63436554752697</c:v>
                </c:pt>
                <c:pt idx="45">
                  <c:v>107.94167624175506</c:v>
                </c:pt>
                <c:pt idx="46">
                  <c:v>108.2173144729052</c:v>
                </c:pt>
                <c:pt idx="47">
                  <c:v>108.4546852123305</c:v>
                </c:pt>
                <c:pt idx="48">
                  <c:v>108.6742339498138</c:v>
                </c:pt>
                <c:pt idx="49">
                  <c:v>108.89002846831161</c:v>
                </c:pt>
                <c:pt idx="50">
                  <c:v>109.08226194039992</c:v>
                </c:pt>
                <c:pt idx="51">
                  <c:v>109.25702106509362</c:v>
                </c:pt>
                <c:pt idx="52">
                  <c:v>109.42022479066989</c:v>
                </c:pt>
                <c:pt idx="53">
                  <c:v>109.54622583106909</c:v>
                </c:pt>
                <c:pt idx="54">
                  <c:v>109.63720745471475</c:v>
                </c:pt>
                <c:pt idx="55">
                  <c:v>109.68590614912083</c:v>
                </c:pt>
                <c:pt idx="56">
                  <c:v>109.67749396817653</c:v>
                </c:pt>
                <c:pt idx="57">
                  <c:v>109.64029701380383</c:v>
                </c:pt>
                <c:pt idx="58">
                  <c:v>109.54163501783589</c:v>
                </c:pt>
                <c:pt idx="59">
                  <c:v>109.45933427657206</c:v>
                </c:pt>
                <c:pt idx="60">
                  <c:v>109.33969412770901</c:v>
                </c:pt>
                <c:pt idx="61">
                  <c:v>109.16175948295965</c:v>
                </c:pt>
                <c:pt idx="62">
                  <c:v>108.92901713955956</c:v>
                </c:pt>
                <c:pt idx="63">
                  <c:v>108.66084428307246</c:v>
                </c:pt>
                <c:pt idx="64">
                  <c:v>108.35256668102899</c:v>
                </c:pt>
                <c:pt idx="65">
                  <c:v>107.99521349780224</c:v>
                </c:pt>
                <c:pt idx="66">
                  <c:v>107.57918961530441</c:v>
                </c:pt>
                <c:pt idx="67">
                  <c:v>107.10688264108686</c:v>
                </c:pt>
                <c:pt idx="68">
                  <c:v>106.59834927887377</c:v>
                </c:pt>
                <c:pt idx="69">
                  <c:v>106.01374407716983</c:v>
                </c:pt>
                <c:pt idx="70">
                  <c:v>105.38676785553389</c:v>
                </c:pt>
                <c:pt idx="71">
                  <c:v>104.72567252637566</c:v>
                </c:pt>
                <c:pt idx="72">
                  <c:v>104.01106023715343</c:v>
                </c:pt>
                <c:pt idx="73">
                  <c:v>103.23985770075686</c:v>
                </c:pt>
                <c:pt idx="74">
                  <c:v>102.42819597641819</c:v>
                </c:pt>
                <c:pt idx="75">
                  <c:v>101.54386268496512</c:v>
                </c:pt>
                <c:pt idx="76">
                  <c:v>100.61243190020579</c:v>
                </c:pt>
                <c:pt idx="77">
                  <c:v>99.625043158824639</c:v>
                </c:pt>
                <c:pt idx="78">
                  <c:v>98.582008020895728</c:v>
                </c:pt>
                <c:pt idx="79">
                  <c:v>97.506199037614195</c:v>
                </c:pt>
                <c:pt idx="80">
                  <c:v>96.390652149692698</c:v>
                </c:pt>
                <c:pt idx="81">
                  <c:v>95.241457174340482</c:v>
                </c:pt>
                <c:pt idx="82">
                  <c:v>94.03786680502634</c:v>
                </c:pt>
                <c:pt idx="83">
                  <c:v>92.801809456148234</c:v>
                </c:pt>
                <c:pt idx="84">
                  <c:v>91.512918210293165</c:v>
                </c:pt>
                <c:pt idx="85">
                  <c:v>90.184111091137453</c:v>
                </c:pt>
                <c:pt idx="86">
                  <c:v>88.810999147819899</c:v>
                </c:pt>
                <c:pt idx="87">
                  <c:v>87.418976810877467</c:v>
                </c:pt>
                <c:pt idx="88">
                  <c:v>86.028203041879621</c:v>
                </c:pt>
                <c:pt idx="89">
                  <c:v>84.606147914508426</c:v>
                </c:pt>
                <c:pt idx="90">
                  <c:v>83.169049066367066</c:v>
                </c:pt>
                <c:pt idx="91">
                  <c:v>81.704112943997742</c:v>
                </c:pt>
                <c:pt idx="92">
                  <c:v>80.17689175140687</c:v>
                </c:pt>
                <c:pt idx="93">
                  <c:v>78.650475340537071</c:v>
                </c:pt>
                <c:pt idx="94">
                  <c:v>77.110403838315264</c:v>
                </c:pt>
                <c:pt idx="95">
                  <c:v>75.504053315036131</c:v>
                </c:pt>
                <c:pt idx="96">
                  <c:v>73.893640654183159</c:v>
                </c:pt>
                <c:pt idx="97">
                  <c:v>72.257470134960784</c:v>
                </c:pt>
                <c:pt idx="98">
                  <c:v>70.614843716516319</c:v>
                </c:pt>
                <c:pt idx="99">
                  <c:v>68.914779462444045</c:v>
                </c:pt>
                <c:pt idx="100">
                  <c:v>67.221179275100042</c:v>
                </c:pt>
                <c:pt idx="101">
                  <c:v>65.592708839957524</c:v>
                </c:pt>
                <c:pt idx="102">
                  <c:v>63.927389218011839</c:v>
                </c:pt>
                <c:pt idx="103">
                  <c:v>62.285226435852991</c:v>
                </c:pt>
                <c:pt idx="104">
                  <c:v>60.648692109412224</c:v>
                </c:pt>
                <c:pt idx="105">
                  <c:v>58.985525801276204</c:v>
                </c:pt>
                <c:pt idx="106">
                  <c:v>57.276301445425453</c:v>
                </c:pt>
                <c:pt idx="107">
                  <c:v>55.553144482522896</c:v>
                </c:pt>
                <c:pt idx="108">
                  <c:v>53.925282898259177</c:v>
                </c:pt>
                <c:pt idx="109">
                  <c:v>52.365851505714922</c:v>
                </c:pt>
                <c:pt idx="110">
                  <c:v>50.810744474374808</c:v>
                </c:pt>
                <c:pt idx="111">
                  <c:v>49.328786344399653</c:v>
                </c:pt>
                <c:pt idx="112">
                  <c:v>47.86558357625514</c:v>
                </c:pt>
                <c:pt idx="113">
                  <c:v>46.433615231269428</c:v>
                </c:pt>
                <c:pt idx="114">
                  <c:v>45.014110405207802</c:v>
                </c:pt>
                <c:pt idx="115">
                  <c:v>43.609706061510167</c:v>
                </c:pt>
                <c:pt idx="116">
                  <c:v>42.237722004811268</c:v>
                </c:pt>
                <c:pt idx="117">
                  <c:v>40.919153592476945</c:v>
                </c:pt>
                <c:pt idx="118">
                  <c:v>39.653855872430647</c:v>
                </c:pt>
                <c:pt idx="119">
                  <c:v>38.409595674572898</c:v>
                </c:pt>
                <c:pt idx="120">
                  <c:v>37.159948636938765</c:v>
                </c:pt>
                <c:pt idx="121">
                  <c:v>35.897721100323466</c:v>
                </c:pt>
                <c:pt idx="122">
                  <c:v>34.432564120874197</c:v>
                </c:pt>
                <c:pt idx="123">
                  <c:v>33.002821128935686</c:v>
                </c:pt>
                <c:pt idx="124">
                  <c:v>31.404546482991318</c:v>
                </c:pt>
                <c:pt idx="125">
                  <c:v>29.842603172050911</c:v>
                </c:pt>
                <c:pt idx="126">
                  <c:v>28.375420796833968</c:v>
                </c:pt>
                <c:pt idx="127">
                  <c:v>26.976980204378936</c:v>
                </c:pt>
                <c:pt idx="128">
                  <c:v>25.880700622902864</c:v>
                </c:pt>
                <c:pt idx="129">
                  <c:v>24.335168410761256</c:v>
                </c:pt>
                <c:pt idx="130">
                  <c:v>22.788146676706109</c:v>
                </c:pt>
                <c:pt idx="131">
                  <c:v>21.371397852932379</c:v>
                </c:pt>
                <c:pt idx="132">
                  <c:v>19.683323351170479</c:v>
                </c:pt>
                <c:pt idx="133">
                  <c:v>18.339994770230827</c:v>
                </c:pt>
                <c:pt idx="134">
                  <c:v>16.97144008474114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-0.22388585881121398</c:v>
                </c:pt>
                <c:pt idx="123">
                  <c:v>-0.45380551267613145</c:v>
                </c:pt>
                <c:pt idx="124">
                  <c:v>-0.87510226201008101</c:v>
                </c:pt>
                <c:pt idx="125">
                  <c:v>-1.2771635156553494</c:v>
                </c:pt>
                <c:pt idx="126">
                  <c:v>-1.6333180397174301</c:v>
                </c:pt>
                <c:pt idx="127">
                  <c:v>-1.9501749344815886</c:v>
                </c:pt>
                <c:pt idx="128">
                  <c:v>-1.9501749344815886</c:v>
                </c:pt>
                <c:pt idx="129">
                  <c:v>-2.4251532983664208</c:v>
                </c:pt>
                <c:pt idx="130">
                  <c:v>-2.9053616983355544</c:v>
                </c:pt>
                <c:pt idx="131">
                  <c:v>-3.3151096808067759</c:v>
                </c:pt>
                <c:pt idx="132">
                  <c:v>-4.0358771940660008</c:v>
                </c:pt>
                <c:pt idx="133">
                  <c:v>-4.4403018666204543</c:v>
                </c:pt>
                <c:pt idx="134">
                  <c:v>-4.8770850200741105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0.97439948791111064</c:v>
                </c:pt>
                <c:pt idx="1">
                  <c:v>1.9150015783686194</c:v>
                </c:pt>
                <c:pt idx="2">
                  <c:v>2.876311650529296</c:v>
                </c:pt>
                <c:pt idx="3">
                  <c:v>3.8318874153644384</c:v>
                </c:pt>
                <c:pt idx="4">
                  <c:v>4.7467533697530548</c:v>
                </c:pt>
                <c:pt idx="5">
                  <c:v>5.6585331579481943</c:v>
                </c:pt>
                <c:pt idx="6">
                  <c:v>6.5541179124113675</c:v>
                </c:pt>
                <c:pt idx="7">
                  <c:v>7.4368041970042631</c:v>
                </c:pt>
                <c:pt idx="8">
                  <c:v>8.3224293154178302</c:v>
                </c:pt>
                <c:pt idx="9">
                  <c:v>9.1720369630039205</c:v>
                </c:pt>
                <c:pt idx="10">
                  <c:v>10.140964016615392</c:v>
                </c:pt>
                <c:pt idx="11">
                  <c:v>11.131985710417561</c:v>
                </c:pt>
                <c:pt idx="12">
                  <c:v>12.108597793136747</c:v>
                </c:pt>
                <c:pt idx="13">
                  <c:v>13.095331418590467</c:v>
                </c:pt>
                <c:pt idx="14">
                  <c:v>14.104882182767305</c:v>
                </c:pt>
                <c:pt idx="15">
                  <c:v>15.082497535149956</c:v>
                </c:pt>
                <c:pt idx="16">
                  <c:v>16.024029410686996</c:v>
                </c:pt>
                <c:pt idx="17">
                  <c:v>16.947224437987842</c:v>
                </c:pt>
                <c:pt idx="18">
                  <c:v>17.864980486981477</c:v>
                </c:pt>
                <c:pt idx="19">
                  <c:v>18.801481777717139</c:v>
                </c:pt>
                <c:pt idx="20">
                  <c:v>19.733459193274914</c:v>
                </c:pt>
                <c:pt idx="21">
                  <c:v>20.635991782116932</c:v>
                </c:pt>
                <c:pt idx="22">
                  <c:v>21.544345814999041</c:v>
                </c:pt>
                <c:pt idx="23">
                  <c:v>22.406669158144524</c:v>
                </c:pt>
                <c:pt idx="24">
                  <c:v>23.272677465525845</c:v>
                </c:pt>
                <c:pt idx="25">
                  <c:v>24.161469246188748</c:v>
                </c:pt>
                <c:pt idx="26">
                  <c:v>24.995978910322933</c:v>
                </c:pt>
                <c:pt idx="27">
                  <c:v>25.806010769886733</c:v>
                </c:pt>
                <c:pt idx="28">
                  <c:v>26.609257523662457</c:v>
                </c:pt>
                <c:pt idx="29">
                  <c:v>27.396987629023741</c:v>
                </c:pt>
                <c:pt idx="30">
                  <c:v>28.194432095536715</c:v>
                </c:pt>
                <c:pt idx="31">
                  <c:v>29.00631617020602</c:v>
                </c:pt>
                <c:pt idx="32">
                  <c:v>29.821417701693562</c:v>
                </c:pt>
                <c:pt idx="33">
                  <c:v>30.595706325502423</c:v>
                </c:pt>
                <c:pt idx="34">
                  <c:v>31.363557926061915</c:v>
                </c:pt>
                <c:pt idx="35">
                  <c:v>32.124900810967993</c:v>
                </c:pt>
                <c:pt idx="36">
                  <c:v>32.873557081156143</c:v>
                </c:pt>
                <c:pt idx="37">
                  <c:v>33.658265671533314</c:v>
                </c:pt>
                <c:pt idx="38">
                  <c:v>34.434448024352847</c:v>
                </c:pt>
                <c:pt idx="39">
                  <c:v>35.19824812576951</c:v>
                </c:pt>
                <c:pt idx="40">
                  <c:v>35.991554670027988</c:v>
                </c:pt>
                <c:pt idx="41">
                  <c:v>36.789411903929732</c:v>
                </c:pt>
                <c:pt idx="42">
                  <c:v>37.560606366762485</c:v>
                </c:pt>
                <c:pt idx="43">
                  <c:v>38.34054943013718</c:v>
                </c:pt>
                <c:pt idx="44">
                  <c:v>39.080306515738407</c:v>
                </c:pt>
                <c:pt idx="45">
                  <c:v>39.771819071423316</c:v>
                </c:pt>
                <c:pt idx="46">
                  <c:v>40.45735621685585</c:v>
                </c:pt>
                <c:pt idx="47">
                  <c:v>41.132416371504775</c:v>
                </c:pt>
                <c:pt idx="48">
                  <c:v>41.806901929570024</c:v>
                </c:pt>
                <c:pt idx="49">
                  <c:v>42.503975402561075</c:v>
                </c:pt>
                <c:pt idx="50">
                  <c:v>43.214713530514338</c:v>
                </c:pt>
                <c:pt idx="51">
                  <c:v>43.938218048851887</c:v>
                </c:pt>
                <c:pt idx="52">
                  <c:v>44.657117431385672</c:v>
                </c:pt>
                <c:pt idx="53">
                  <c:v>45.364637467227119</c:v>
                </c:pt>
                <c:pt idx="54">
                  <c:v>46.080515776007964</c:v>
                </c:pt>
                <c:pt idx="55">
                  <c:v>46.765166265513763</c:v>
                </c:pt>
                <c:pt idx="56">
                  <c:v>47.437071451767693</c:v>
                </c:pt>
                <c:pt idx="57">
                  <c:v>48.122930929684145</c:v>
                </c:pt>
                <c:pt idx="58">
                  <c:v>48.772207067444775</c:v>
                </c:pt>
                <c:pt idx="59">
                  <c:v>49.464597649476268</c:v>
                </c:pt>
                <c:pt idx="60">
                  <c:v>50.164004254148445</c:v>
                </c:pt>
                <c:pt idx="61">
                  <c:v>50.825401110497211</c:v>
                </c:pt>
                <c:pt idx="62">
                  <c:v>51.470243459301678</c:v>
                </c:pt>
                <c:pt idx="63">
                  <c:v>52.110040860227151</c:v>
                </c:pt>
                <c:pt idx="64">
                  <c:v>52.756809240220392</c:v>
                </c:pt>
                <c:pt idx="65">
                  <c:v>53.394981763562477</c:v>
                </c:pt>
                <c:pt idx="66">
                  <c:v>54.012871338502222</c:v>
                </c:pt>
                <c:pt idx="67">
                  <c:v>54.590612109156297</c:v>
                </c:pt>
                <c:pt idx="68">
                  <c:v>55.177034225483119</c:v>
                </c:pt>
                <c:pt idx="69">
                  <c:v>55.750815638202369</c:v>
                </c:pt>
                <c:pt idx="70">
                  <c:v>56.32030815782565</c:v>
                </c:pt>
                <c:pt idx="71">
                  <c:v>56.877153260072376</c:v>
                </c:pt>
                <c:pt idx="72">
                  <c:v>57.420403468168914</c:v>
                </c:pt>
                <c:pt idx="73">
                  <c:v>57.954996305354967</c:v>
                </c:pt>
                <c:pt idx="74">
                  <c:v>58.501157301704012</c:v>
                </c:pt>
                <c:pt idx="75">
                  <c:v>59.036121525435576</c:v>
                </c:pt>
                <c:pt idx="76">
                  <c:v>59.567549709547045</c:v>
                </c:pt>
                <c:pt idx="77">
                  <c:v>60.11062447732872</c:v>
                </c:pt>
                <c:pt idx="78">
                  <c:v>60.631895376936264</c:v>
                </c:pt>
                <c:pt idx="79">
                  <c:v>61.150019882353426</c:v>
                </c:pt>
                <c:pt idx="80">
                  <c:v>61.650225836544237</c:v>
                </c:pt>
                <c:pt idx="81">
                  <c:v>62.15582381880597</c:v>
                </c:pt>
                <c:pt idx="82">
                  <c:v>62.670804165695642</c:v>
                </c:pt>
                <c:pt idx="83">
                  <c:v>63.160159915575413</c:v>
                </c:pt>
                <c:pt idx="84">
                  <c:v>63.642798020425381</c:v>
                </c:pt>
                <c:pt idx="85">
                  <c:v>64.132980270287689</c:v>
                </c:pt>
                <c:pt idx="86">
                  <c:v>64.620774990050919</c:v>
                </c:pt>
                <c:pt idx="87">
                  <c:v>65.10443854530871</c:v>
                </c:pt>
                <c:pt idx="88">
                  <c:v>65.5972195538574</c:v>
                </c:pt>
                <c:pt idx="89">
                  <c:v>66.089333197156449</c:v>
                </c:pt>
                <c:pt idx="90">
                  <c:v>66.572935153977184</c:v>
                </c:pt>
                <c:pt idx="91">
                  <c:v>67.073179206095517</c:v>
                </c:pt>
                <c:pt idx="92">
                  <c:v>67.583407233219205</c:v>
                </c:pt>
                <c:pt idx="93">
                  <c:v>68.090960783852111</c:v>
                </c:pt>
                <c:pt idx="94">
                  <c:v>68.596035784084265</c:v>
                </c:pt>
                <c:pt idx="95">
                  <c:v>69.137285769955199</c:v>
                </c:pt>
                <c:pt idx="96">
                  <c:v>69.67401096076523</c:v>
                </c:pt>
                <c:pt idx="97">
                  <c:v>70.218521896812064</c:v>
                </c:pt>
                <c:pt idx="98">
                  <c:v>70.754270066108646</c:v>
                </c:pt>
                <c:pt idx="99">
                  <c:v>71.293438005754567</c:v>
                </c:pt>
                <c:pt idx="100">
                  <c:v>71.844301477976643</c:v>
                </c:pt>
                <c:pt idx="101">
                  <c:v>72.376535780963479</c:v>
                </c:pt>
                <c:pt idx="102">
                  <c:v>72.915966426523426</c:v>
                </c:pt>
                <c:pt idx="103">
                  <c:v>73.469800272574332</c:v>
                </c:pt>
                <c:pt idx="104">
                  <c:v>74.090156183470029</c:v>
                </c:pt>
                <c:pt idx="105">
                  <c:v>74.736195808567956</c:v>
                </c:pt>
                <c:pt idx="106">
                  <c:v>75.413652103183438</c:v>
                </c:pt>
                <c:pt idx="107">
                  <c:v>76.128580936244916</c:v>
                </c:pt>
                <c:pt idx="108">
                  <c:v>76.807951857719573</c:v>
                </c:pt>
                <c:pt idx="109">
                  <c:v>77.50133599699771</c:v>
                </c:pt>
                <c:pt idx="110">
                  <c:v>78.216291671617341</c:v>
                </c:pt>
                <c:pt idx="111">
                  <c:v>78.992898700123177</c:v>
                </c:pt>
                <c:pt idx="112">
                  <c:v>79.773185672233879</c:v>
                </c:pt>
                <c:pt idx="113">
                  <c:v>80.540828971591139</c:v>
                </c:pt>
                <c:pt idx="114">
                  <c:v>81.333750652370014</c:v>
                </c:pt>
                <c:pt idx="115">
                  <c:v>82.163766802079877</c:v>
                </c:pt>
                <c:pt idx="116">
                  <c:v>82.970721504700862</c:v>
                </c:pt>
                <c:pt idx="117">
                  <c:v>83.783687146249662</c:v>
                </c:pt>
                <c:pt idx="118">
                  <c:v>84.576345236239689</c:v>
                </c:pt>
                <c:pt idx="119">
                  <c:v>85.401266903033189</c:v>
                </c:pt>
                <c:pt idx="120">
                  <c:v>86.254997060344522</c:v>
                </c:pt>
                <c:pt idx="121">
                  <c:v>87.1326609147591</c:v>
                </c:pt>
                <c:pt idx="122">
                  <c:v>88.004303329151341</c:v>
                </c:pt>
                <c:pt idx="123">
                  <c:v>88.851375123643123</c:v>
                </c:pt>
                <c:pt idx="124">
                  <c:v>89.692555234451433</c:v>
                </c:pt>
                <c:pt idx="125">
                  <c:v>90.534470423858622</c:v>
                </c:pt>
                <c:pt idx="126">
                  <c:v>91.347289961504814</c:v>
                </c:pt>
                <c:pt idx="127">
                  <c:v>92.150074774699377</c:v>
                </c:pt>
                <c:pt idx="128">
                  <c:v>92.987585412340806</c:v>
                </c:pt>
                <c:pt idx="129">
                  <c:v>93.821436439729112</c:v>
                </c:pt>
                <c:pt idx="130">
                  <c:v>94.676650580952582</c:v>
                </c:pt>
                <c:pt idx="131">
                  <c:v>95.493072619284035</c:v>
                </c:pt>
                <c:pt idx="132">
                  <c:v>96.292292257301469</c:v>
                </c:pt>
                <c:pt idx="133">
                  <c:v>97.086537129912287</c:v>
                </c:pt>
                <c:pt idx="134">
                  <c:v>97.900796487993432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5.5401574345802764</c:v>
                </c:pt>
                <c:pt idx="2">
                  <c:v>10.544975480158321</c:v>
                </c:pt>
                <c:pt idx="3">
                  <c:v>15.069927173174676</c:v>
                </c:pt>
                <c:pt idx="4">
                  <c:v>19.168550408708157</c:v>
                </c:pt>
                <c:pt idx="5">
                  <c:v>22.811514776378981</c:v>
                </c:pt>
                <c:pt idx="6">
                  <c:v>26.049949623813252</c:v>
                </c:pt>
                <c:pt idx="7">
                  <c:v>28.889868019911724</c:v>
                </c:pt>
                <c:pt idx="8">
                  <c:v>31.427537886584393</c:v>
                </c:pt>
                <c:pt idx="9">
                  <c:v>33.728652799838756</c:v>
                </c:pt>
                <c:pt idx="10">
                  <c:v>35.760818610352487</c:v>
                </c:pt>
                <c:pt idx="11">
                  <c:v>37.591049279724189</c:v>
                </c:pt>
                <c:pt idx="12">
                  <c:v>39.220503668125666</c:v>
                </c:pt>
                <c:pt idx="13">
                  <c:v>40.662878242646457</c:v>
                </c:pt>
                <c:pt idx="14">
                  <c:v>41.94061175194549</c:v>
                </c:pt>
                <c:pt idx="15">
                  <c:v>43.085808244612522</c:v>
                </c:pt>
                <c:pt idx="16">
                  <c:v>44.102581285563822</c:v>
                </c:pt>
                <c:pt idx="17">
                  <c:v>44.978201770417208</c:v>
                </c:pt>
                <c:pt idx="18">
                  <c:v>45.758843071354676</c:v>
                </c:pt>
                <c:pt idx="19">
                  <c:v>46.457426195380407</c:v>
                </c:pt>
                <c:pt idx="20">
                  <c:v>47.081274960760624</c:v>
                </c:pt>
                <c:pt idx="21">
                  <c:v>47.626553388061197</c:v>
                </c:pt>
                <c:pt idx="22">
                  <c:v>48.108531948981238</c:v>
                </c:pt>
                <c:pt idx="23">
                  <c:v>48.525600619696121</c:v>
                </c:pt>
                <c:pt idx="24">
                  <c:v>48.887410163189749</c:v>
                </c:pt>
                <c:pt idx="25">
                  <c:v>49.194002292148532</c:v>
                </c:pt>
                <c:pt idx="26">
                  <c:v>49.474633193226971</c:v>
                </c:pt>
                <c:pt idx="27">
                  <c:v>49.721083506123946</c:v>
                </c:pt>
                <c:pt idx="28">
                  <c:v>49.941274027753856</c:v>
                </c:pt>
                <c:pt idx="29">
                  <c:v>50.13643993174027</c:v>
                </c:pt>
                <c:pt idx="30">
                  <c:v>50.311445935023563</c:v>
                </c:pt>
                <c:pt idx="31">
                  <c:v>50.470992173291641</c:v>
                </c:pt>
                <c:pt idx="32">
                  <c:v>50.614638903740286</c:v>
                </c:pt>
                <c:pt idx="33">
                  <c:v>50.741931860700014</c:v>
                </c:pt>
                <c:pt idx="34">
                  <c:v>50.854167721560906</c:v>
                </c:pt>
                <c:pt idx="35">
                  <c:v>50.955040983000835</c:v>
                </c:pt>
                <c:pt idx="36">
                  <c:v>51.044518629891989</c:v>
                </c:pt>
                <c:pt idx="37">
                  <c:v>51.124994078097785</c:v>
                </c:pt>
                <c:pt idx="38">
                  <c:v>51.198279735499852</c:v>
                </c:pt>
                <c:pt idx="39">
                  <c:v>51.265816719944617</c:v>
                </c:pt>
                <c:pt idx="40">
                  <c:v>51.327694830357991</c:v>
                </c:pt>
                <c:pt idx="41">
                  <c:v>51.38498654545446</c:v>
                </c:pt>
                <c:pt idx="42">
                  <c:v>51.437687830242673</c:v>
                </c:pt>
                <c:pt idx="43">
                  <c:v>51.485958217448974</c:v>
                </c:pt>
                <c:pt idx="44">
                  <c:v>51.531018956150824</c:v>
                </c:pt>
                <c:pt idx="45">
                  <c:v>51.572098772927973</c:v>
                </c:pt>
                <c:pt idx="46">
                  <c:v>51.609620936937908</c:v>
                </c:pt>
                <c:pt idx="47">
                  <c:v>51.645241068854219</c:v>
                </c:pt>
                <c:pt idx="48">
                  <c:v>51.678227746164403</c:v>
                </c:pt>
                <c:pt idx="49">
                  <c:v>51.710169657371125</c:v>
                </c:pt>
                <c:pt idx="50">
                  <c:v>51.741400450100507</c:v>
                </c:pt>
                <c:pt idx="51">
                  <c:v>51.772260334841462</c:v>
                </c:pt>
                <c:pt idx="52">
                  <c:v>51.80213605194762</c:v>
                </c:pt>
                <c:pt idx="53">
                  <c:v>51.829614646871192</c:v>
                </c:pt>
                <c:pt idx="54">
                  <c:v>51.856140543226054</c:v>
                </c:pt>
                <c:pt idx="55">
                  <c:v>51.8826795762118</c:v>
                </c:pt>
                <c:pt idx="56">
                  <c:v>51.907539683115488</c:v>
                </c:pt>
                <c:pt idx="57">
                  <c:v>51.932219285192424</c:v>
                </c:pt>
                <c:pt idx="58">
                  <c:v>51.95684867611552</c:v>
                </c:pt>
                <c:pt idx="59">
                  <c:v>51.97927817703831</c:v>
                </c:pt>
                <c:pt idx="60">
                  <c:v>52.002297115017591</c:v>
                </c:pt>
                <c:pt idx="61">
                  <c:v>52.025169786238386</c:v>
                </c:pt>
                <c:pt idx="62">
                  <c:v>52.04706972106807</c:v>
                </c:pt>
                <c:pt idx="63">
                  <c:v>52.068084004628595</c:v>
                </c:pt>
                <c:pt idx="64">
                  <c:v>52.088680452601686</c:v>
                </c:pt>
                <c:pt idx="65">
                  <c:v>52.109169238211912</c:v>
                </c:pt>
                <c:pt idx="66">
                  <c:v>52.128959660411958</c:v>
                </c:pt>
                <c:pt idx="67">
                  <c:v>52.147560846759028</c:v>
                </c:pt>
                <c:pt idx="68">
                  <c:v>52.164390174536351</c:v>
                </c:pt>
                <c:pt idx="69">
                  <c:v>52.181403780476259</c:v>
                </c:pt>
                <c:pt idx="70">
                  <c:v>52.197246963107894</c:v>
                </c:pt>
                <c:pt idx="71">
                  <c:v>52.212822977277703</c:v>
                </c:pt>
                <c:pt idx="72">
                  <c:v>52.227979335321393</c:v>
                </c:pt>
                <c:pt idx="73">
                  <c:v>52.24236857563659</c:v>
                </c:pt>
                <c:pt idx="74">
                  <c:v>52.256132798462104</c:v>
                </c:pt>
                <c:pt idx="75">
                  <c:v>52.270276591149027</c:v>
                </c:pt>
                <c:pt idx="76">
                  <c:v>52.28350903271285</c:v>
                </c:pt>
                <c:pt idx="77">
                  <c:v>52.296516684215696</c:v>
                </c:pt>
                <c:pt idx="78">
                  <c:v>52.309755557230076</c:v>
                </c:pt>
                <c:pt idx="79">
                  <c:v>52.321976991893557</c:v>
                </c:pt>
                <c:pt idx="80">
                  <c:v>52.33420343696109</c:v>
                </c:pt>
                <c:pt idx="81">
                  <c:v>52.345746619180325</c:v>
                </c:pt>
                <c:pt idx="82">
                  <c:v>52.35757894080006</c:v>
                </c:pt>
                <c:pt idx="83">
                  <c:v>52.369594414466462</c:v>
                </c:pt>
                <c:pt idx="84">
                  <c:v>52.380687266957345</c:v>
                </c:pt>
                <c:pt idx="85">
                  <c:v>52.39134914286663</c:v>
                </c:pt>
                <c:pt idx="86">
                  <c:v>52.402291076386142</c:v>
                </c:pt>
                <c:pt idx="87">
                  <c:v>52.413063867545993</c:v>
                </c:pt>
                <c:pt idx="88">
                  <c:v>52.423840792520835</c:v>
                </c:pt>
                <c:pt idx="89">
                  <c:v>52.435258595046463</c:v>
                </c:pt>
                <c:pt idx="90">
                  <c:v>52.446625935457469</c:v>
                </c:pt>
                <c:pt idx="91">
                  <c:v>52.457771455487176</c:v>
                </c:pt>
                <c:pt idx="92">
                  <c:v>52.469469943537341</c:v>
                </c:pt>
                <c:pt idx="93">
                  <c:v>52.481226012457249</c:v>
                </c:pt>
                <c:pt idx="94">
                  <c:v>52.493016817289394</c:v>
                </c:pt>
                <c:pt idx="95">
                  <c:v>52.504730739150581</c:v>
                </c:pt>
                <c:pt idx="96">
                  <c:v>52.517289203527369</c:v>
                </c:pt>
                <c:pt idx="97">
                  <c:v>52.529716851175451</c:v>
                </c:pt>
                <c:pt idx="98">
                  <c:v>52.542261890728412</c:v>
                </c:pt>
                <c:pt idx="99">
                  <c:v>52.55450034876992</c:v>
                </c:pt>
                <c:pt idx="100">
                  <c:v>52.566560008168118</c:v>
                </c:pt>
                <c:pt idx="101">
                  <c:v>52.578554930934047</c:v>
                </c:pt>
                <c:pt idx="102">
                  <c:v>52.589818081432462</c:v>
                </c:pt>
                <c:pt idx="103">
                  <c:v>52.601061240917709</c:v>
                </c:pt>
                <c:pt idx="104">
                  <c:v>52.612022405188341</c:v>
                </c:pt>
                <c:pt idx="105">
                  <c:v>52.623061275156218</c:v>
                </c:pt>
                <c:pt idx="106">
                  <c:v>52.634136669589573</c:v>
                </c:pt>
                <c:pt idx="107">
                  <c:v>52.645376407820272</c:v>
                </c:pt>
                <c:pt idx="108">
                  <c:v>52.656652946912381</c:v>
                </c:pt>
                <c:pt idx="109">
                  <c:v>52.667101930840694</c:v>
                </c:pt>
                <c:pt idx="110">
                  <c:v>52.677137690673753</c:v>
                </c:pt>
                <c:pt idx="111">
                  <c:v>52.687096543010718</c:v>
                </c:pt>
                <c:pt idx="112">
                  <c:v>52.696862809882226</c:v>
                </c:pt>
                <c:pt idx="113">
                  <c:v>52.706433857669047</c:v>
                </c:pt>
                <c:pt idx="114">
                  <c:v>52.715704716760129</c:v>
                </c:pt>
                <c:pt idx="115">
                  <c:v>52.724918317941004</c:v>
                </c:pt>
                <c:pt idx="116">
                  <c:v>52.734118030425179</c:v>
                </c:pt>
                <c:pt idx="117">
                  <c:v>52.743003397033043</c:v>
                </c:pt>
                <c:pt idx="118">
                  <c:v>52.751622629262535</c:v>
                </c:pt>
                <c:pt idx="119">
                  <c:v>52.759893452866812</c:v>
                </c:pt>
                <c:pt idx="120">
                  <c:v>52.768138980955932</c:v>
                </c:pt>
                <c:pt idx="121">
                  <c:v>52.776449098572535</c:v>
                </c:pt>
                <c:pt idx="122">
                  <c:v>52.784839137209254</c:v>
                </c:pt>
                <c:pt idx="123">
                  <c:v>52.793076973376991</c:v>
                </c:pt>
                <c:pt idx="124">
                  <c:v>52.801027470818624</c:v>
                </c:pt>
                <c:pt idx="125">
                  <c:v>52.808835831952521</c:v>
                </c:pt>
                <c:pt idx="126">
                  <c:v>52.816552493442522</c:v>
                </c:pt>
                <c:pt idx="127">
                  <c:v>52.823965789510346</c:v>
                </c:pt>
                <c:pt idx="128">
                  <c:v>52.831218552376455</c:v>
                </c:pt>
                <c:pt idx="129">
                  <c:v>52.838624483869708</c:v>
                </c:pt>
                <c:pt idx="130">
                  <c:v>52.845912420422309</c:v>
                </c:pt>
                <c:pt idx="131">
                  <c:v>52.85325421165458</c:v>
                </c:pt>
                <c:pt idx="132">
                  <c:v>52.860242065682201</c:v>
                </c:pt>
                <c:pt idx="133">
                  <c:v>52.867030132948443</c:v>
                </c:pt>
                <c:pt idx="134">
                  <c:v>52.873702950768582</c:v>
                </c:pt>
                <c:pt idx="135">
                  <c:v>52.880422734387743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109.76181818181817</c:v>
                </c:pt>
                <c:pt idx="2">
                  <c:v>108.46950661157025</c:v>
                </c:pt>
                <c:pt idx="3">
                  <c:v>105.97330400826446</c:v>
                </c:pt>
                <c:pt idx="4">
                  <c:v>106.5617659206236</c:v>
                </c:pt>
                <c:pt idx="5">
                  <c:v>107.95426987775974</c:v>
                </c:pt>
                <c:pt idx="6">
                  <c:v>110.56217029187351</c:v>
                </c:pt>
                <c:pt idx="7">
                  <c:v>111.11925097139611</c:v>
                </c:pt>
                <c:pt idx="8">
                  <c:v>108.68718058029822</c:v>
                </c:pt>
                <c:pt idx="9">
                  <c:v>104.72212069691371</c:v>
                </c:pt>
                <c:pt idx="10">
                  <c:v>105.70419648024985</c:v>
                </c:pt>
                <c:pt idx="11">
                  <c:v>108.55919136431143</c:v>
                </c:pt>
                <c:pt idx="12">
                  <c:v>107.85588487130372</c:v>
                </c:pt>
                <c:pt idx="13">
                  <c:v>106.09761424665842</c:v>
                </c:pt>
                <c:pt idx="14">
                  <c:v>103.18685730734273</c:v>
                </c:pt>
                <c:pt idx="15">
                  <c:v>103.88448537456345</c:v>
                </c:pt>
                <c:pt idx="16">
                  <c:v>100.86179157857957</c:v>
                </c:pt>
                <c:pt idx="17">
                  <c:v>103.34530971933705</c:v>
                </c:pt>
                <c:pt idx="18">
                  <c:v>107.95920016804484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118.43272727272728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119.4527272727273</c:v>
                </c:pt>
                <c:pt idx="30">
                  <c:v>120</c:v>
                </c:pt>
                <c:pt idx="31">
                  <c:v>119.72727272727272</c:v>
                </c:pt>
                <c:pt idx="32">
                  <c:v>119.62200218871793</c:v>
                </c:pt>
                <c:pt idx="33">
                  <c:v>117.66132733857823</c:v>
                </c:pt>
                <c:pt idx="34">
                  <c:v>118.4059151844162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119.59818181818181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118.10727272727273</c:v>
                </c:pt>
                <c:pt idx="46">
                  <c:v>120</c:v>
                </c:pt>
                <c:pt idx="47">
                  <c:v>118.23090909090907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117.01090909090911</c:v>
                </c:pt>
                <c:pt idx="54">
                  <c:v>118.85698052059016</c:v>
                </c:pt>
                <c:pt idx="55">
                  <c:v>114.81476991516051</c:v>
                </c:pt>
                <c:pt idx="56">
                  <c:v>113.71698082986667</c:v>
                </c:pt>
                <c:pt idx="57">
                  <c:v>111.76888980210416</c:v>
                </c:pt>
                <c:pt idx="58">
                  <c:v>117.23134774228994</c:v>
                </c:pt>
                <c:pt idx="59">
                  <c:v>117.62360522964191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116.5690909090909</c:v>
                </c:pt>
                <c:pt idx="65">
                  <c:v>120</c:v>
                </c:pt>
                <c:pt idx="66">
                  <c:v>117.72909090909091</c:v>
                </c:pt>
                <c:pt idx="67">
                  <c:v>117.07268639137686</c:v>
                </c:pt>
                <c:pt idx="68">
                  <c:v>119.69934753976393</c:v>
                </c:pt>
                <c:pt idx="69">
                  <c:v>120</c:v>
                </c:pt>
                <c:pt idx="70">
                  <c:v>115.56363636363636</c:v>
                </c:pt>
                <c:pt idx="71">
                  <c:v>113.77638759743525</c:v>
                </c:pt>
                <c:pt idx="72">
                  <c:v>108.52068229215139</c:v>
                </c:pt>
                <c:pt idx="73">
                  <c:v>110.11940803981435</c:v>
                </c:pt>
                <c:pt idx="74">
                  <c:v>116.90281290311292</c:v>
                </c:pt>
                <c:pt idx="75">
                  <c:v>120</c:v>
                </c:pt>
                <c:pt idx="76">
                  <c:v>120</c:v>
                </c:pt>
                <c:pt idx="77">
                  <c:v>115.9</c:v>
                </c:pt>
                <c:pt idx="78">
                  <c:v>111.62184938523778</c:v>
                </c:pt>
                <c:pt idx="79">
                  <c:v>107.3139907536427</c:v>
                </c:pt>
                <c:pt idx="80">
                  <c:v>103.79358601434596</c:v>
                </c:pt>
                <c:pt idx="81">
                  <c:v>101.16730967956335</c:v>
                </c:pt>
                <c:pt idx="82">
                  <c:v>98.39583504225017</c:v>
                </c:pt>
                <c:pt idx="83">
                  <c:v>99.462972451870115</c:v>
                </c:pt>
                <c:pt idx="84">
                  <c:v>101.26851633070679</c:v>
                </c:pt>
                <c:pt idx="85">
                  <c:v>97.040603860226781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0.79747662358425941</c:v>
                </c:pt>
                <c:pt idx="20">
                  <c:v>4.3074766235842645</c:v>
                </c:pt>
                <c:pt idx="21">
                  <c:v>8.0934766235842517</c:v>
                </c:pt>
                <c:pt idx="22">
                  <c:v>10.439476623584241</c:v>
                </c:pt>
                <c:pt idx="23">
                  <c:v>12.857476623584233</c:v>
                </c:pt>
                <c:pt idx="24">
                  <c:v>13.89747662358424</c:v>
                </c:pt>
                <c:pt idx="25">
                  <c:v>13.89747662358424</c:v>
                </c:pt>
                <c:pt idx="26">
                  <c:v>15.713709098505987</c:v>
                </c:pt>
                <c:pt idx="27">
                  <c:v>17.075709098505996</c:v>
                </c:pt>
                <c:pt idx="28">
                  <c:v>18.728709098506002</c:v>
                </c:pt>
                <c:pt idx="29">
                  <c:v>18.728709098506002</c:v>
                </c:pt>
                <c:pt idx="30">
                  <c:v>21.975035806961529</c:v>
                </c:pt>
                <c:pt idx="31">
                  <c:v>21.975035806961529</c:v>
                </c:pt>
                <c:pt idx="32">
                  <c:v>21.975035806961529</c:v>
                </c:pt>
                <c:pt idx="33">
                  <c:v>21.975035806961529</c:v>
                </c:pt>
                <c:pt idx="34">
                  <c:v>21.975035806961529</c:v>
                </c:pt>
                <c:pt idx="35">
                  <c:v>22.410797073386647</c:v>
                </c:pt>
                <c:pt idx="36">
                  <c:v>25.680797073386643</c:v>
                </c:pt>
                <c:pt idx="37">
                  <c:v>26.908797073386637</c:v>
                </c:pt>
                <c:pt idx="38">
                  <c:v>27.357797073386635</c:v>
                </c:pt>
                <c:pt idx="39">
                  <c:v>28.007797073386641</c:v>
                </c:pt>
                <c:pt idx="40">
                  <c:v>28.007797073386641</c:v>
                </c:pt>
                <c:pt idx="41">
                  <c:v>29.767521259663269</c:v>
                </c:pt>
                <c:pt idx="42">
                  <c:v>33.78052125966326</c:v>
                </c:pt>
                <c:pt idx="43">
                  <c:v>34.341521259663267</c:v>
                </c:pt>
                <c:pt idx="44">
                  <c:v>35.054521259663275</c:v>
                </c:pt>
                <c:pt idx="45">
                  <c:v>35.054521259663275</c:v>
                </c:pt>
                <c:pt idx="46">
                  <c:v>39.220495484553481</c:v>
                </c:pt>
                <c:pt idx="47">
                  <c:v>39.220495484553481</c:v>
                </c:pt>
                <c:pt idx="48">
                  <c:v>44.901369409274295</c:v>
                </c:pt>
                <c:pt idx="49">
                  <c:v>49.411369409274286</c:v>
                </c:pt>
                <c:pt idx="50">
                  <c:v>51.77236940927429</c:v>
                </c:pt>
                <c:pt idx="51">
                  <c:v>54.521369409274286</c:v>
                </c:pt>
                <c:pt idx="52">
                  <c:v>54.582369409274293</c:v>
                </c:pt>
                <c:pt idx="53">
                  <c:v>54.582369409274293</c:v>
                </c:pt>
                <c:pt idx="54">
                  <c:v>54.582369409274293</c:v>
                </c:pt>
                <c:pt idx="55">
                  <c:v>54.582369409274293</c:v>
                </c:pt>
                <c:pt idx="56">
                  <c:v>54.582369409274293</c:v>
                </c:pt>
                <c:pt idx="57">
                  <c:v>54.582369409274293</c:v>
                </c:pt>
                <c:pt idx="58">
                  <c:v>54.582369409274293</c:v>
                </c:pt>
                <c:pt idx="59">
                  <c:v>54.582369409274293</c:v>
                </c:pt>
                <c:pt idx="60">
                  <c:v>58.394750152349474</c:v>
                </c:pt>
                <c:pt idx="61">
                  <c:v>62.340750152349472</c:v>
                </c:pt>
                <c:pt idx="62">
                  <c:v>65.977750152349472</c:v>
                </c:pt>
                <c:pt idx="63">
                  <c:v>69.168750152349475</c:v>
                </c:pt>
                <c:pt idx="64">
                  <c:v>69.168750152349475</c:v>
                </c:pt>
                <c:pt idx="65">
                  <c:v>69.60146361216168</c:v>
                </c:pt>
                <c:pt idx="66">
                  <c:v>69.60146361216168</c:v>
                </c:pt>
                <c:pt idx="67">
                  <c:v>69.60146361216168</c:v>
                </c:pt>
                <c:pt idx="68">
                  <c:v>69.60146361216168</c:v>
                </c:pt>
                <c:pt idx="69">
                  <c:v>73.2156751954996</c:v>
                </c:pt>
                <c:pt idx="70">
                  <c:v>73.2156751954996</c:v>
                </c:pt>
                <c:pt idx="71">
                  <c:v>73.2156751954996</c:v>
                </c:pt>
                <c:pt idx="72">
                  <c:v>73.2156751954996</c:v>
                </c:pt>
                <c:pt idx="73">
                  <c:v>73.2156751954996</c:v>
                </c:pt>
                <c:pt idx="74">
                  <c:v>73.2156751954996</c:v>
                </c:pt>
                <c:pt idx="75">
                  <c:v>82.630489260366829</c:v>
                </c:pt>
                <c:pt idx="76">
                  <c:v>82.983489260366838</c:v>
                </c:pt>
                <c:pt idx="77">
                  <c:v>82.983489260366838</c:v>
                </c:pt>
                <c:pt idx="78">
                  <c:v>82.983489260366838</c:v>
                </c:pt>
                <c:pt idx="79">
                  <c:v>82.983489260366838</c:v>
                </c:pt>
                <c:pt idx="80">
                  <c:v>82.983489260366838</c:v>
                </c:pt>
                <c:pt idx="81">
                  <c:v>82.983489260366838</c:v>
                </c:pt>
                <c:pt idx="82">
                  <c:v>82.983489260366838</c:v>
                </c:pt>
                <c:pt idx="83">
                  <c:v>82.983489260366838</c:v>
                </c:pt>
                <c:pt idx="84">
                  <c:v>82.983489260366838</c:v>
                </c:pt>
                <c:pt idx="85">
                  <c:v>82.983489260366838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2.4708900187025557E-2</c:v>
                </c:pt>
                <c:pt idx="16">
                  <c:v>2.7980827496568911E-2</c:v>
                </c:pt>
                <c:pt idx="17">
                  <c:v>3.1623892192874641E-2</c:v>
                </c:pt>
                <c:pt idx="18">
                  <c:v>3.5824511682542103E-2</c:v>
                </c:pt>
                <c:pt idx="19">
                  <c:v>4.0749886352777882E-2</c:v>
                </c:pt>
                <c:pt idx="20">
                  <c:v>4.6077210604115078E-2</c:v>
                </c:pt>
                <c:pt idx="21">
                  <c:v>5.2275925969990804E-2</c:v>
                </c:pt>
                <c:pt idx="22">
                  <c:v>5.9457230884261018E-2</c:v>
                </c:pt>
                <c:pt idx="23">
                  <c:v>6.7234024817951418E-2</c:v>
                </c:pt>
                <c:pt idx="24">
                  <c:v>7.6285672236702101E-2</c:v>
                </c:pt>
                <c:pt idx="25">
                  <c:v>8.654710700058299E-2</c:v>
                </c:pt>
                <c:pt idx="26">
                  <c:v>9.7996902607000752E-2</c:v>
                </c:pt>
                <c:pt idx="27">
                  <c:v>0.11045121172244535</c:v>
                </c:pt>
                <c:pt idx="28">
                  <c:v>0.12418160600814997</c:v>
                </c:pt>
                <c:pt idx="29">
                  <c:v>0.13992147707698785</c:v>
                </c:pt>
                <c:pt idx="30">
                  <c:v>0.1578860493226944</c:v>
                </c:pt>
                <c:pt idx="31">
                  <c:v>0.17688120040969907</c:v>
                </c:pt>
                <c:pt idx="32">
                  <c:v>0.19677900520832337</c:v>
                </c:pt>
                <c:pt idx="33">
                  <c:v>0.21821230244629108</c:v>
                </c:pt>
                <c:pt idx="34">
                  <c:v>0.24229639852937807</c:v>
                </c:pt>
                <c:pt idx="35">
                  <c:v>0.26825428555453751</c:v>
                </c:pt>
                <c:pt idx="36">
                  <c:v>0.29648954817774226</c:v>
                </c:pt>
                <c:pt idx="37">
                  <c:v>0.32696723481312573</c:v>
                </c:pt>
                <c:pt idx="38">
                  <c:v>0.35838685576611323</c:v>
                </c:pt>
                <c:pt idx="39">
                  <c:v>0.39293752084751288</c:v>
                </c:pt>
                <c:pt idx="40">
                  <c:v>0.42857236712310354</c:v>
                </c:pt>
                <c:pt idx="41">
                  <c:v>0.46354172970832391</c:v>
                </c:pt>
                <c:pt idx="42">
                  <c:v>0.49836942547914392</c:v>
                </c:pt>
                <c:pt idx="43">
                  <c:v>0.53330873244187915</c:v>
                </c:pt>
                <c:pt idx="44">
                  <c:v>0.56851771692445874</c:v>
                </c:pt>
                <c:pt idx="45">
                  <c:v>0.60346295227691105</c:v>
                </c:pt>
                <c:pt idx="46">
                  <c:v>0.63817789412554093</c:v>
                </c:pt>
                <c:pt idx="47">
                  <c:v>0.67182538064007458</c:v>
                </c:pt>
                <c:pt idx="48">
                  <c:v>0.70337429279962482</c:v>
                </c:pt>
                <c:pt idx="49">
                  <c:v>0.7320789310941499</c:v>
                </c:pt>
                <c:pt idx="50">
                  <c:v>0.7584174420885631</c:v>
                </c:pt>
                <c:pt idx="51">
                  <c:v>0.78129016904928206</c:v>
                </c:pt>
                <c:pt idx="52">
                  <c:v>0.80187732844798809</c:v>
                </c:pt>
                <c:pt idx="53">
                  <c:v>0.82109114702923114</c:v>
                </c:pt>
                <c:pt idx="54">
                  <c:v>0.83803537030694863</c:v>
                </c:pt>
                <c:pt idx="55">
                  <c:v>0.85367439042307525</c:v>
                </c:pt>
                <c:pt idx="56">
                  <c:v>0.86783101960612674</c:v>
                </c:pt>
                <c:pt idx="57">
                  <c:v>0.87986782915871165</c:v>
                </c:pt>
                <c:pt idx="58">
                  <c:v>0.89019978365825958</c:v>
                </c:pt>
                <c:pt idx="59">
                  <c:v>0.89898923741195802</c:v>
                </c:pt>
                <c:pt idx="60">
                  <c:v>0.90660810824344962</c:v>
                </c:pt>
                <c:pt idx="61">
                  <c:v>0.91315561716545079</c:v>
                </c:pt>
                <c:pt idx="62">
                  <c:v>0.91862152820375409</c:v>
                </c:pt>
                <c:pt idx="63">
                  <c:v>0.92336584335702088</c:v>
                </c:pt>
                <c:pt idx="64">
                  <c:v>0.92749709521295587</c:v>
                </c:pt>
                <c:pt idx="65">
                  <c:v>0.93100072950255408</c:v>
                </c:pt>
                <c:pt idx="66">
                  <c:v>0.93400369219107271</c:v>
                </c:pt>
                <c:pt idx="67">
                  <c:v>0.93646782025053432</c:v>
                </c:pt>
                <c:pt idx="68">
                  <c:v>0.93857923918651687</c:v>
                </c:pt>
                <c:pt idx="69">
                  <c:v>0.94039805901895424</c:v>
                </c:pt>
                <c:pt idx="70">
                  <c:v>0.94189703270273173</c:v>
                </c:pt>
                <c:pt idx="71">
                  <c:v>0.94317037459408382</c:v>
                </c:pt>
                <c:pt idx="72">
                  <c:v>0.94430880168632725</c:v>
                </c:pt>
                <c:pt idx="73">
                  <c:v>0.94528025076804012</c:v>
                </c:pt>
                <c:pt idx="74">
                  <c:v>0.9460739485984716</c:v>
                </c:pt>
                <c:pt idx="75">
                  <c:v>0.94671858826037469</c:v>
                </c:pt>
                <c:pt idx="76">
                  <c:v>0.94725114676359412</c:v>
                </c:pt>
                <c:pt idx="77">
                  <c:v>0.94770939742621485</c:v>
                </c:pt>
                <c:pt idx="78">
                  <c:v>0.9480865839794822</c:v>
                </c:pt>
                <c:pt idx="79">
                  <c:v>0.94840713808635579</c:v>
                </c:pt>
                <c:pt idx="80">
                  <c:v>0.94866641300673826</c:v>
                </c:pt>
                <c:pt idx="81">
                  <c:v>0.94888478780532359</c:v>
                </c:pt>
                <c:pt idx="82">
                  <c:v>0.94907318253985551</c:v>
                </c:pt>
                <c:pt idx="83">
                  <c:v>0.94923204538507788</c:v>
                </c:pt>
                <c:pt idx="84">
                  <c:v>0.94936565944166018</c:v>
                </c:pt>
                <c:pt idx="85">
                  <c:v>0.94947486029492256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2</v>
    <v>8</v>
    <v>9</v>
    <v>1</v>
  </rv>
  <rv s="0">
    <v>2</v>
    <v>8</v>
    <v>10</v>
    <v>1</v>
  </rv>
  <rv s="0">
    <v>2</v>
    <v>8</v>
    <v>8</v>
    <v>1</v>
  </rv>
  <rv s="0">
    <v>2</v>
    <v>8</v>
    <v>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E1" zoomScale="110" zoomScaleNormal="110" workbookViewId="0">
      <selection activeCell="E31" sqref="E31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23" t="s">
        <v>152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153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184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278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65</v>
      </c>
      <c r="E5" s="58"/>
      <c r="F5" s="102" t="s">
        <v>193</v>
      </c>
      <c r="G5" s="86" t="str">
        <f>IF(H5="","Typical",H5)</f>
        <v>Very Wet</v>
      </c>
      <c r="H5" s="98" t="s">
        <v>204</v>
      </c>
      <c r="Z5"/>
      <c r="AA5"/>
      <c r="AB5"/>
      <c r="AC5"/>
    </row>
    <row r="6" spans="2:34" s="55" customFormat="1" ht="15.6">
      <c r="C6" s="102" t="s">
        <v>95</v>
      </c>
      <c r="D6" s="104" t="s">
        <v>6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Ice berg</v>
      </c>
      <c r="E7" s="92" t="s">
        <v>88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Lettuce Vegetable Ice berg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45231</v>
      </c>
      <c r="E9" s="67">
        <v>45231</v>
      </c>
      <c r="F9" s="57" t="s">
        <v>146</v>
      </c>
      <c r="G9" s="85" t="str">
        <f>IF(H9="",VLOOKUP(CurrentCropNameFull,CropCoefficients,13,FALSE),H9)</f>
        <v>Seedling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45301</v>
      </c>
      <c r="E10" s="67">
        <v>45301</v>
      </c>
      <c r="F10" s="57" t="s">
        <v>147</v>
      </c>
      <c r="G10" s="85" t="str">
        <f>IF(H10="",VLOOKUP(CurrentCropNameFull,CropCoefficients,15,FALSE),H10)</f>
        <v>Vegetative</v>
      </c>
      <c r="H10" s="72"/>
      <c r="Z10"/>
      <c r="AA10"/>
      <c r="AB10"/>
      <c r="AC10"/>
    </row>
    <row r="11" spans="2:34" s="55" customFormat="1">
      <c r="C11" s="57" t="s">
        <v>137</v>
      </c>
      <c r="D11" s="85">
        <f>IF(CurrentUnits="kg/head",IF(E11="",VLOOKUP(CurrentCropNameFull,CropCoefficients,20,FALSE),E11),"1")</f>
        <v>60000</v>
      </c>
      <c r="E11" s="72">
        <v>60000</v>
      </c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(kg/head)</v>
      </c>
      <c r="D12" s="85">
        <f>IF(E12="",VLOOKUP(CurrentCropNameFull,CropCoefficients,17,FALSE),E12)</f>
        <v>0.9</v>
      </c>
      <c r="E12" s="69">
        <v>0.9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kg/head</v>
      </c>
      <c r="E13" s="71"/>
      <c r="F13" s="57" t="s">
        <v>135</v>
      </c>
      <c r="G13" s="93">
        <f>IF(H13="",VLOOKUP(CurrentCropNameFull,CropCoefficients,26,FALSE),H13)</f>
        <v>96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54</v>
      </c>
      <c r="C14" s="64" t="str">
        <f>"Yield "&amp;CurrentYield_tperHa&amp;" (t/ha)"</f>
        <v>Yield 54 (t/ha)</v>
      </c>
      <c r="D14" s="90" t="str">
        <f ca="1">"requires "&amp;ROUND(SUM('Model Interface'!P8:Q8),0)&amp;" kg N/ha from all sources"</f>
        <v>requires 188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 ca="1">PriorHarvestDate</f>
        <v>45216</v>
      </c>
      <c r="Z14"/>
      <c r="AA14"/>
      <c r="AB14"/>
      <c r="AC14"/>
    </row>
    <row r="15" spans="2:34" s="55" customFormat="1" ht="16.2" thickBot="1">
      <c r="B15" s="55">
        <f ca="1">SUMIF(B29:B43,1,G29:G43)</f>
        <v>105.20974263321442</v>
      </c>
      <c r="C15" s="105" t="s">
        <v>221</v>
      </c>
      <c r="D15" s="106" t="str">
        <f ca="1">SUMIF(B29:B43,1,G29:G43)&amp;" Kg/ha"</f>
        <v>105.209742633214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2" t="s">
        <v>224</v>
      </c>
      <c r="S15" s="122"/>
      <c r="T15" s="122"/>
      <c r="U15" s="122"/>
      <c r="V15" s="122"/>
      <c r="W15" s="115"/>
      <c r="X15" s="115"/>
      <c r="Y15" s="115"/>
      <c r="Z15" s="120" t="s">
        <v>223</v>
      </c>
      <c r="AA15" s="120"/>
      <c r="AB15" s="120"/>
      <c r="AC15" s="120"/>
      <c r="AD15" s="121" t="s">
        <v>225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185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244</v>
      </c>
      <c r="Y17" s="55" t="s">
        <v>245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244</v>
      </c>
      <c r="AK17" s="55" t="s">
        <v>245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45216</v>
      </c>
      <c r="S18" s="55">
        <f ca="1">IF(R18&gt;1,R18,"")</f>
        <v>45216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108.00000000000001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0.79804243581307455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Interface'!X11:X1004,('Model Interface'!X11:X1004&gt;=CurrentHarvestDate+1)*('Model Interface'!X11:X1004&lt;=FollowingHarvestDate),"")</f>
        <v>45302</v>
      </c>
      <c r="AE18" s="55">
        <f ca="1">IF(AD18&gt;1,AD18,"")</f>
        <v>45302</v>
      </c>
      <c r="AF18" s="55">
        <f t="shared" ref="AF18:AF20" ca="1" si="6">VLOOKUP(AE18,ModelOutputs,2,FALSE)</f>
        <v>30.025515679064629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0.97439948791111064</v>
      </c>
      <c r="AK18" s="55">
        <f t="shared" ref="AK18" ca="1" si="10">VLOOKUP(AE18,ModelOutputs,4,FALSE)</f>
        <v>5.5401574345802764</v>
      </c>
    </row>
    <row r="19" spans="1:37" s="55" customFormat="1">
      <c r="C19" s="57" t="s">
        <v>218</v>
      </c>
      <c r="D19" s="85">
        <f>IF(E19="",60,E19)</f>
        <v>100</v>
      </c>
      <c r="E19" s="16">
        <v>100</v>
      </c>
      <c r="F19" s="94" t="str">
        <f ca="1">ROUND('Model Interface'!N7,0)&amp;" kg N/ha available from SOM mineralisation"</f>
        <v>85 kg N/ha available from SOM mineralisation</v>
      </c>
      <c r="R19" s="83">
        <f ca="1"/>
        <v>45217</v>
      </c>
      <c r="S19" s="55">
        <f t="shared" ref="S19:S82" ca="1" si="11">IF(R19&gt;1,R19,"")</f>
        <v>45217</v>
      </c>
      <c r="T19" s="55">
        <f t="shared" ca="1" si="0"/>
        <v>50.458006435245238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1.5770177276008326</v>
      </c>
      <c r="Y19" s="55">
        <f t="shared" ref="Y19:Y82" ca="1" si="14">VLOOKUP(S19,ModelOutputs,4,FALSE)+Y18</f>
        <v>-0.32096885654251955</v>
      </c>
      <c r="Z19">
        <f t="shared" ca="1" si="3"/>
        <v>109.76181818181817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45303</v>
      </c>
      <c r="AE19" s="55">
        <f t="shared" ref="AE19:AE20" ca="1" si="16">IF(AD19&gt;1,AD19,"")</f>
        <v>45303</v>
      </c>
      <c r="AF19" s="55">
        <f t="shared" ca="1" si="6"/>
        <v>35.970935815100184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1.9150015783686194</v>
      </c>
      <c r="AK19" s="55">
        <f t="shared" ref="AK19:AK82" ca="1" si="19">VLOOKUP(AE19,ModelOutputs,4,FALSE)+AK18</f>
        <v>10.544975480158321</v>
      </c>
    </row>
    <row r="20" spans="1:37" s="55" customFormat="1">
      <c r="C20" s="57" t="s">
        <v>228</v>
      </c>
      <c r="D20" s="85" t="str">
        <f>IF(E20="","Sedementary",E20)</f>
        <v>Volcanic</v>
      </c>
      <c r="E20" s="16" t="s">
        <v>229</v>
      </c>
      <c r="F20" s="94"/>
      <c r="R20" s="83">
        <f ca="1"/>
        <v>45218</v>
      </c>
      <c r="S20" s="55">
        <f t="shared" ca="1" si="11"/>
        <v>45218</v>
      </c>
      <c r="T20" s="55">
        <f t="shared" ca="1" si="0"/>
        <v>50.907299322097053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2.3286555701676552</v>
      </c>
      <c r="Y20" s="55">
        <f t="shared" ca="1" si="14"/>
        <v>-0.62331381225752858</v>
      </c>
      <c r="Z20">
        <f t="shared" ca="1" si="3"/>
        <v>108.46950661157025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45304</v>
      </c>
      <c r="AE20" s="55">
        <f t="shared" ca="1" si="16"/>
        <v>45304</v>
      </c>
      <c r="AF20" s="55">
        <f t="shared" ca="1" si="6"/>
        <v>41.457197580277217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2.876311650529296</v>
      </c>
      <c r="AK20" s="55">
        <f t="shared" ca="1" si="19"/>
        <v>15.069927173174676</v>
      </c>
    </row>
    <row r="21" spans="1:37" s="55" customFormat="1" ht="15.75" customHeight="1">
      <c r="B21" s="55">
        <f>VLOOKUP(SampleDepth,depths,2,FALSE)</f>
        <v>2</v>
      </c>
      <c r="C21" s="57" t="s">
        <v>209</v>
      </c>
      <c r="D21" s="85" t="str">
        <f>IF(E21="","0-30cm",E21)</f>
        <v>Top15cm</v>
      </c>
      <c r="E21" s="16" t="s">
        <v>265</v>
      </c>
      <c r="F21" s="94"/>
      <c r="R21" s="83">
        <f ca="1"/>
        <v>45219</v>
      </c>
      <c r="S21" s="55">
        <f t="shared" ca="1" si="11"/>
        <v>45219</v>
      </c>
      <c r="T21" s="55">
        <f t="shared" ca="1" si="0"/>
        <v>51.344068898807407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3.0529028996660665</v>
      </c>
      <c r="Y21" s="55">
        <f t="shared" ca="1" si="14"/>
        <v>-0.91079156504558401</v>
      </c>
      <c r="Z21">
        <f t="shared" ca="1" si="3"/>
        <v>105.97330400826446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45305</v>
      </c>
      <c r="AE21" s="55">
        <f t="shared" ref="AE21:AE84" ca="1" si="20">IF(AD21&gt;1,AD21,"")</f>
        <v>45305</v>
      </c>
      <c r="AF21" s="55">
        <f t="shared" ref="AF21:AF84" ca="1" si="21">VLOOKUP(AE21,ModelOutputs,2,FALSE)</f>
        <v>46.511396580645837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3.8318874153644384</v>
      </c>
      <c r="AK21" s="55">
        <f t="shared" ca="1" si="19"/>
        <v>19.168550408708157</v>
      </c>
    </row>
    <row r="22" spans="1:37" s="55" customFormat="1" ht="15" customHeight="1">
      <c r="C22" s="57" t="s">
        <v>210</v>
      </c>
      <c r="D22" s="85" t="str">
        <f>IF(E22="","loam",E22)</f>
        <v>SiltLoam</v>
      </c>
      <c r="E22" s="16" t="s">
        <v>273</v>
      </c>
      <c r="F22" s="94"/>
      <c r="R22" s="83">
        <f ca="1"/>
        <v>45220</v>
      </c>
      <c r="S22" s="55">
        <f t="shared" ca="1" si="11"/>
        <v>45220</v>
      </c>
      <c r="T22" s="55">
        <f t="shared" ca="1" si="0"/>
        <v>51.818761833002618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3.8119483178296694</v>
      </c>
      <c r="Y22" s="55">
        <f t="shared" ca="1" si="14"/>
        <v>-1.1951440490139724</v>
      </c>
      <c r="Z22">
        <f t="shared" ca="1" si="3"/>
        <v>106.5617659206236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45306</v>
      </c>
      <c r="AE22" s="55">
        <f t="shared" ca="1" si="20"/>
        <v>45306</v>
      </c>
      <c r="AF22" s="55">
        <f t="shared" ca="1" si="21"/>
        <v>51.069226902705282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4.7467533697530548</v>
      </c>
      <c r="AK22" s="55">
        <f t="shared" ca="1" si="19"/>
        <v>22.811514776378981</v>
      </c>
    </row>
    <row r="23" spans="1:37" s="55" customFormat="1">
      <c r="C23" s="57"/>
      <c r="D23" s="85"/>
      <c r="E23" s="113"/>
      <c r="F23" s="94"/>
      <c r="R23" s="83">
        <f ca="1"/>
        <v>45221</v>
      </c>
      <c r="S23" s="55">
        <f t="shared" ca="1" si="11"/>
        <v>45221</v>
      </c>
      <c r="T23" s="55">
        <f t="shared" ca="1" si="0"/>
        <v>52.330756069793587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4.6013444434267745</v>
      </c>
      <c r="Y23" s="55">
        <f t="shared" ca="1" si="14"/>
        <v>-1.4725459378201118</v>
      </c>
      <c r="Z23">
        <f t="shared" ca="1" si="3"/>
        <v>107.95426987775974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45307</v>
      </c>
      <c r="AE23" s="55">
        <f t="shared" ca="1" si="20"/>
        <v>45307</v>
      </c>
      <c r="AF23" s="55">
        <f t="shared" ca="1" si="21"/>
        <v>55.219441538334692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5.6585331579481943</v>
      </c>
      <c r="AK23" s="55">
        <f t="shared" ca="1" si="19"/>
        <v>26.049949623813252</v>
      </c>
    </row>
    <row r="24" spans="1:37" s="55" customFormat="1">
      <c r="C24" s="57" t="s">
        <v>227</v>
      </c>
      <c r="D24" s="85">
        <f>IF(E24="",0,E24)</f>
        <v>0</v>
      </c>
      <c r="E24" s="113">
        <v>0</v>
      </c>
      <c r="F24" s="94"/>
      <c r="R24" s="83">
        <f ca="1"/>
        <v>45222</v>
      </c>
      <c r="S24" s="55">
        <f t="shared" ca="1" si="11"/>
        <v>45222</v>
      </c>
      <c r="T24" s="55">
        <f t="shared" ca="1" si="0"/>
        <v>52.896535927344537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5.4390971362155351</v>
      </c>
      <c r="Y24" s="55">
        <f t="shared" ca="1" si="14"/>
        <v>-1.744518773057923</v>
      </c>
      <c r="Z24">
        <f t="shared" ca="1" si="3"/>
        <v>110.56217029187351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45308</v>
      </c>
      <c r="AE24" s="55">
        <f t="shared" ca="1" si="20"/>
        <v>45308</v>
      </c>
      <c r="AF24" s="55">
        <f t="shared" ca="1" si="21"/>
        <v>58.954944688896333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6.5541179124113675</v>
      </c>
      <c r="AK24" s="55">
        <f t="shared" ca="1" si="19"/>
        <v>28.889868019911724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45223</v>
      </c>
      <c r="S25" s="55">
        <f t="shared" ca="1" si="11"/>
        <v>45223</v>
      </c>
      <c r="T25" s="55">
        <f t="shared" ca="1" si="0"/>
        <v>53.44767673762469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6.2397393872790365</v>
      </c>
      <c r="Y25" s="55">
        <f t="shared" ca="1" si="14"/>
        <v>-1.9940202138412686</v>
      </c>
      <c r="Z25">
        <f t="shared" ca="1" si="3"/>
        <v>111.11925097139611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45309</v>
      </c>
      <c r="AE25" s="55">
        <f t="shared" ca="1" si="20"/>
        <v>45309</v>
      </c>
      <c r="AF25" s="55">
        <f t="shared" ca="1" si="21"/>
        <v>62.375300840161898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7.4368041970042631</v>
      </c>
      <c r="AK25" s="55">
        <f t="shared" ca="1" si="19"/>
        <v>31.427537886584393</v>
      </c>
    </row>
    <row r="26" spans="1:37" s="55" customFormat="1" ht="15" thickBot="1">
      <c r="C26" s="56"/>
      <c r="D26" s="56"/>
      <c r="E26" s="56"/>
      <c r="F26" s="56"/>
      <c r="R26" s="83">
        <f ca="1"/>
        <v>45224</v>
      </c>
      <c r="S26" s="55">
        <f t="shared" ca="1" si="11"/>
        <v>45224</v>
      </c>
      <c r="T26" s="55">
        <f t="shared" ca="1" si="0"/>
        <v>54.013224619563118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7.05127499617846</v>
      </c>
      <c r="Y26" s="55">
        <f t="shared" ca="1" si="14"/>
        <v>-2.2400079408022657</v>
      </c>
      <c r="Z26">
        <f t="shared" ca="1" si="3"/>
        <v>108.68718058029822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45310</v>
      </c>
      <c r="AE26" s="55">
        <f t="shared" ca="1" si="20"/>
        <v>45310</v>
      </c>
      <c r="AF26" s="55">
        <f t="shared" ca="1" si="21"/>
        <v>65.562040871829822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8.3224293154178302</v>
      </c>
      <c r="AK26" s="55">
        <f t="shared" ca="1" si="19"/>
        <v>33.728652799838756</v>
      </c>
    </row>
    <row r="27" spans="1:37" s="55" customFormat="1" ht="15" thickBot="1">
      <c r="C27" s="132" t="s">
        <v>138</v>
      </c>
      <c r="D27" s="133"/>
      <c r="E27" s="60"/>
      <c r="F27" s="134" t="s">
        <v>145</v>
      </c>
      <c r="G27" s="135"/>
      <c r="R27" s="83">
        <f ca="1"/>
        <v>45225</v>
      </c>
      <c r="S27" s="55">
        <f t="shared" ca="1" si="11"/>
        <v>45225</v>
      </c>
      <c r="T27" s="55">
        <f t="shared" ca="1" si="0"/>
        <v>54.571446821430314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7.8489947336118346</v>
      </c>
      <c r="Y27" s="55">
        <f t="shared" ca="1" si="14"/>
        <v>-2.4795054763684492</v>
      </c>
      <c r="Z27">
        <f t="shared" ca="1" si="3"/>
        <v>104.72212069691371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45311</v>
      </c>
      <c r="AE27" s="55">
        <f t="shared" ca="1" si="20"/>
        <v>45311</v>
      </c>
      <c r="AF27" s="55">
        <f t="shared" ca="1" si="21"/>
        <v>68.443814329929637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9.1720369630039205</v>
      </c>
      <c r="AK27" s="55">
        <f t="shared" ca="1" si="19"/>
        <v>35.760818610352487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45226</v>
      </c>
      <c r="S28" s="55">
        <f t="shared" ca="1" si="11"/>
        <v>45226</v>
      </c>
      <c r="T28" s="55">
        <f t="shared" ca="1" si="0"/>
        <v>55.190523300956954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8.7084741823800318</v>
      </c>
      <c r="Y28" s="55">
        <f t="shared" ca="1" si="14"/>
        <v>-2.7199084456100078</v>
      </c>
      <c r="Z28">
        <f t="shared" ca="1" si="3"/>
        <v>105.70419648024985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45312</v>
      </c>
      <c r="AE28" s="55">
        <f t="shared" ca="1" si="20"/>
        <v>45312</v>
      </c>
      <c r="AF28" s="55">
        <f t="shared" ca="1" si="21"/>
        <v>71.242972052912805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10.140964016615392</v>
      </c>
      <c r="AK28" s="55">
        <f t="shared" ca="1" si="19"/>
        <v>37.591049279724189</v>
      </c>
    </row>
    <row r="29" spans="1:37" s="55" customFormat="1">
      <c r="A29" s="83">
        <f t="array" aca="1" ref="A29:A43" ca="1">_xlfn._xlws.FILTER('Model Interface'!X11:X500,'Model Interface'!Y11:Y500&gt;0,"")</f>
        <v>45277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45277</v>
      </c>
      <c r="G29" s="76">
        <f ca="1">IFERROR(VLOOKUP(F29,'Model Interface'!$J$11:$O$500,6,FALSE),"")</f>
        <v>34.903721139082059</v>
      </c>
      <c r="H29" s="55" t="str">
        <f ca="1">IF(B29=1,"Suggested","Applied or Planned")</f>
        <v>Suggested</v>
      </c>
      <c r="R29" s="83">
        <f ca="1"/>
        <v>45227</v>
      </c>
      <c r="S29" s="55">
        <f t="shared" ca="1" si="11"/>
        <v>45227</v>
      </c>
      <c r="T29" s="55">
        <f t="shared" ca="1" si="0"/>
        <v>55.815032243452087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9.5528945029492736</v>
      </c>
      <c r="Y29" s="55">
        <f t="shared" ca="1" si="14"/>
        <v>-2.9398198236841155</v>
      </c>
      <c r="Z29">
        <f t="shared" ca="1" si="3"/>
        <v>108.55919136431143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45313</v>
      </c>
      <c r="AE29" s="55">
        <f t="shared" ca="1" si="20"/>
        <v>45313</v>
      </c>
      <c r="AF29" s="55">
        <f t="shared" ca="1" si="21"/>
        <v>73.863448135116442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11.131985710417561</v>
      </c>
      <c r="AK29" s="55">
        <f t="shared" ca="1" si="19"/>
        <v>39.220503668125666</v>
      </c>
    </row>
    <row r="30" spans="1:37" s="55" customFormat="1">
      <c r="A30" s="83">
        <f ca="1"/>
        <v>45284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45284</v>
      </c>
      <c r="G30" s="76">
        <f ca="1">IFERROR(VLOOKUP(F30,'Model Interface'!$J$11:$O$500,6,FALSE),"")</f>
        <v>36.216130265462652</v>
      </c>
      <c r="H30" s="55" t="str">
        <f t="shared" ref="H30:H43" ca="1" si="26">IF(F30="","",IF(F30&lt;=StartSchedullingDate,"Applied or Planned","Suggested"))</f>
        <v>Suggested</v>
      </c>
      <c r="R30" s="83">
        <f ca="1"/>
        <v>45228</v>
      </c>
      <c r="S30" s="55">
        <f t="shared" ca="1" si="11"/>
        <v>45228</v>
      </c>
      <c r="T30" s="55">
        <f t="shared" ca="1" si="0"/>
        <v>56.444932576007147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10.392484668650187</v>
      </c>
      <c r="Y30" s="55">
        <f t="shared" ca="1" si="14"/>
        <v>-3.1495096568299692</v>
      </c>
      <c r="Z30">
        <f t="shared" ca="1" si="3"/>
        <v>107.85588487130372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45314</v>
      </c>
      <c r="AE30" s="55">
        <f t="shared" ca="1" si="20"/>
        <v>45314</v>
      </c>
      <c r="AF30" s="55">
        <f t="shared" ca="1" si="21"/>
        <v>76.282434792356412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12.108597793136747</v>
      </c>
      <c r="AK30" s="55">
        <f t="shared" ca="1" si="19"/>
        <v>40.662878242646457</v>
      </c>
    </row>
    <row r="31" spans="1:37" s="55" customFormat="1">
      <c r="A31" s="83">
        <f ca="1"/>
        <v>45290</v>
      </c>
      <c r="B31" s="55">
        <f t="shared" ca="1" si="24"/>
        <v>1</v>
      </c>
      <c r="C31" s="78"/>
      <c r="D31" s="81"/>
      <c r="F31" s="74">
        <f t="shared" ca="1" si="25"/>
        <v>45290</v>
      </c>
      <c r="G31" s="76">
        <f ca="1">IFERROR(VLOOKUP(F31,'Model Interface'!$J$11:$O$500,6,FALSE),"")</f>
        <v>34.089891228669714</v>
      </c>
      <c r="H31" s="55" t="str">
        <f t="shared" ca="1" si="26"/>
        <v>Suggested</v>
      </c>
      <c r="R31" s="83">
        <f ca="1"/>
        <v>45229</v>
      </c>
      <c r="S31" s="55">
        <f t="shared" ca="1" si="11"/>
        <v>45229</v>
      </c>
      <c r="T31" s="55">
        <f t="shared" ca="1" si="0"/>
        <v>57.093939930333924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11.246964079678818</v>
      </c>
      <c r="Y31" s="55">
        <f t="shared" ca="1" si="14"/>
        <v>-3.3549817135318238</v>
      </c>
      <c r="Z31">
        <f t="shared" ca="1" si="3"/>
        <v>106.09761424665842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45315</v>
      </c>
      <c r="AE31" s="55">
        <f t="shared" ca="1" si="20"/>
        <v>45315</v>
      </c>
      <c r="AF31" s="55">
        <f t="shared" ca="1" si="21"/>
        <v>78.546901927109161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13.095331418590467</v>
      </c>
      <c r="AK31" s="55">
        <f t="shared" ca="1" si="19"/>
        <v>41.94061175194549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Interface'!$J$11:$O$500,6,FALSE),"")</f>
        <v/>
      </c>
      <c r="H32" s="55" t="str">
        <f t="shared" ca="1" si="26"/>
        <v/>
      </c>
      <c r="R32" s="83">
        <f ca="1"/>
        <v>45230</v>
      </c>
      <c r="S32" s="55">
        <f t="shared" ca="1" si="11"/>
        <v>45230</v>
      </c>
      <c r="T32" s="55">
        <f t="shared" ca="1" si="0"/>
        <v>57.716497488341268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12.062233340204072</v>
      </c>
      <c r="Y32" s="55">
        <f t="shared" ca="1" si="14"/>
        <v>-3.547693416049734</v>
      </c>
      <c r="Z32">
        <f t="shared" ca="1" si="3"/>
        <v>103.18685730734273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45316</v>
      </c>
      <c r="AE32" s="55">
        <f t="shared" ca="1" si="20"/>
        <v>45316</v>
      </c>
      <c r="AF32" s="55">
        <f t="shared" ca="1" si="21"/>
        <v>80.701649183953037</v>
      </c>
      <c r="AG32" s="55">
        <f t="shared" ca="1" si="22"/>
        <v>1.5563471258608441</v>
      </c>
      <c r="AH32" s="55">
        <f t="shared" ca="1" si="23"/>
        <v>0</v>
      </c>
      <c r="AI32" s="55">
        <f t="shared" ca="1" si="17"/>
        <v>0</v>
      </c>
      <c r="AJ32" s="55">
        <f t="shared" ca="1" si="18"/>
        <v>14.104882182767305</v>
      </c>
      <c r="AK32" s="55">
        <f t="shared" ca="1" si="19"/>
        <v>43.085808244612522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45231</v>
      </c>
      <c r="S33" s="55">
        <f t="shared" ca="1" si="11"/>
        <v>45231</v>
      </c>
      <c r="T33" s="55">
        <f t="shared" ca="1" si="0"/>
        <v>58.327259479334643</v>
      </c>
      <c r="U33" s="55">
        <f t="shared" ca="1" si="1"/>
        <v>4.3350007828678008</v>
      </c>
      <c r="V33" s="55">
        <f t="shared" ca="1" si="2"/>
        <v>0</v>
      </c>
      <c r="W33" s="55">
        <f t="shared" ca="1" si="12"/>
        <v>0</v>
      </c>
      <c r="X33" s="55">
        <f t="shared" ca="1" si="13"/>
        <v>12.850156231406851</v>
      </c>
      <c r="Y33" s="55">
        <f t="shared" ca="1" si="14"/>
        <v>-3.7248543162591341</v>
      </c>
      <c r="Z33">
        <f t="shared" ca="1" si="3"/>
        <v>103.88448537456345</v>
      </c>
      <c r="AA33">
        <f t="shared" ca="1" si="15"/>
        <v>0</v>
      </c>
      <c r="AB33">
        <f t="shared" ca="1" si="4"/>
        <v>0</v>
      </c>
      <c r="AC33">
        <f t="shared" ca="1" si="5"/>
        <v>2.4708900187025557E-2</v>
      </c>
      <c r="AD33" s="83">
        <f ca="1"/>
        <v>45317</v>
      </c>
      <c r="AE33" s="55">
        <f t="shared" ca="1" si="20"/>
        <v>45317</v>
      </c>
      <c r="AF33" s="55">
        <f t="shared" ca="1" si="21"/>
        <v>82.606951861540566</v>
      </c>
      <c r="AG33" s="55">
        <f t="shared" ca="1" si="22"/>
        <v>1.6454328416072836</v>
      </c>
      <c r="AH33" s="55">
        <f t="shared" ca="1" si="23"/>
        <v>0</v>
      </c>
      <c r="AI33" s="55">
        <f t="shared" ca="1" si="17"/>
        <v>0</v>
      </c>
      <c r="AJ33" s="55">
        <f t="shared" ca="1" si="18"/>
        <v>15.082497535149956</v>
      </c>
      <c r="AK33" s="55">
        <f t="shared" ca="1" si="19"/>
        <v>44.102581285563822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45232</v>
      </c>
      <c r="S34" s="55">
        <f t="shared" ca="1" si="11"/>
        <v>45232</v>
      </c>
      <c r="T34" s="55">
        <f t="shared" ca="1" si="0"/>
        <v>58.699953168654048</v>
      </c>
      <c r="U34" s="55">
        <f t="shared" ca="1" si="1"/>
        <v>4.5597824125602777</v>
      </c>
      <c r="V34" s="55">
        <f t="shared" ca="1" si="2"/>
        <v>0</v>
      </c>
      <c r="W34" s="55">
        <f t="shared" ca="1" si="12"/>
        <v>0</v>
      </c>
      <c r="X34" s="55">
        <f t="shared" ca="1" si="13"/>
        <v>13.61688385548157</v>
      </c>
      <c r="Y34" s="55">
        <f t="shared" ca="1" si="14"/>
        <v>-3.8941066213219688</v>
      </c>
      <c r="Z34">
        <f t="shared" ca="1" si="3"/>
        <v>100.86179157857957</v>
      </c>
      <c r="AA34">
        <f t="shared" ca="1" si="15"/>
        <v>0</v>
      </c>
      <c r="AB34">
        <f t="shared" ca="1" si="4"/>
        <v>0</v>
      </c>
      <c r="AC34">
        <f t="shared" ca="1" si="5"/>
        <v>2.7980827496568911E-2</v>
      </c>
      <c r="AD34" s="83">
        <f ca="1"/>
        <v>45318</v>
      </c>
      <c r="AE34" s="55">
        <f t="shared" ca="1" si="20"/>
        <v>45318</v>
      </c>
      <c r="AF34" s="55">
        <f t="shared" ca="1" si="21"/>
        <v>84.331603386022678</v>
      </c>
      <c r="AG34" s="55">
        <f t="shared" ca="1" si="22"/>
        <v>1.7379336775156009</v>
      </c>
      <c r="AH34" s="55">
        <f t="shared" ca="1" si="23"/>
        <v>0</v>
      </c>
      <c r="AI34" s="55">
        <f t="shared" ca="1" si="17"/>
        <v>0</v>
      </c>
      <c r="AJ34" s="55">
        <f t="shared" ca="1" si="18"/>
        <v>16.024029410686996</v>
      </c>
      <c r="AK34" s="55">
        <f t="shared" ca="1" si="19"/>
        <v>44.978201770417208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45233</v>
      </c>
      <c r="S35" s="55">
        <f t="shared" ca="1" si="11"/>
        <v>45233</v>
      </c>
      <c r="T35" s="55">
        <f t="shared" ca="1" si="0"/>
        <v>59.08689523168983</v>
      </c>
      <c r="U35" s="55">
        <f t="shared" ca="1" si="1"/>
        <v>4.7931417181915794</v>
      </c>
      <c r="V35" s="55">
        <f t="shared" ca="1" si="2"/>
        <v>0</v>
      </c>
      <c r="W35" s="55">
        <f t="shared" ca="1" si="12"/>
        <v>0</v>
      </c>
      <c r="X35" s="55">
        <f t="shared" ca="1" si="13"/>
        <v>14.396933294210108</v>
      </c>
      <c r="Y35" s="55">
        <f t="shared" ca="1" si="14"/>
        <v>-4.0538546913834201</v>
      </c>
      <c r="Z35">
        <f t="shared" ca="1" si="3"/>
        <v>103.34530971933705</v>
      </c>
      <c r="AA35">
        <f t="shared" ca="1" si="15"/>
        <v>0</v>
      </c>
      <c r="AB35">
        <f t="shared" ca="1" si="4"/>
        <v>0</v>
      </c>
      <c r="AC35">
        <f t="shared" ca="1" si="5"/>
        <v>3.1623892192874641E-2</v>
      </c>
      <c r="AD35" s="83">
        <f ca="1"/>
        <v>45319</v>
      </c>
      <c r="AE35" s="55">
        <f t="shared" ca="1" si="20"/>
        <v>45319</v>
      </c>
      <c r="AF35" s="55">
        <f t="shared" ca="1" si="21"/>
        <v>85.936941417366725</v>
      </c>
      <c r="AG35" s="55">
        <f t="shared" ca="1" si="22"/>
        <v>1.8364319744098785</v>
      </c>
      <c r="AH35" s="55">
        <f t="shared" ca="1" si="23"/>
        <v>0</v>
      </c>
      <c r="AI35" s="55">
        <f t="shared" ca="1" si="17"/>
        <v>0</v>
      </c>
      <c r="AJ35" s="55">
        <f t="shared" ca="1" si="18"/>
        <v>16.947224437987842</v>
      </c>
      <c r="AK35" s="55">
        <f t="shared" ca="1" si="19"/>
        <v>45.758843071354676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139</v>
      </c>
      <c r="D36" s="133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45234</v>
      </c>
      <c r="S36" s="55">
        <f t="shared" ca="1" si="11"/>
        <v>45234</v>
      </c>
      <c r="T36" s="55">
        <f t="shared" ca="1" si="0"/>
        <v>59.515925833585101</v>
      </c>
      <c r="U36" s="55">
        <f t="shared" ca="1" si="1"/>
        <v>5.0441531908104533</v>
      </c>
      <c r="V36" s="55">
        <f t="shared" ca="1" si="2"/>
        <v>0</v>
      </c>
      <c r="W36" s="55">
        <f t="shared" ca="1" si="12"/>
        <v>0</v>
      </c>
      <c r="X36" s="55">
        <f t="shared" ca="1" si="13"/>
        <v>15.231039208507598</v>
      </c>
      <c r="Y36" s="55">
        <f t="shared" ca="1" si="14"/>
        <v>-4.2079185311667668</v>
      </c>
      <c r="Z36">
        <f t="shared" ca="1" si="3"/>
        <v>107.95920016804484</v>
      </c>
      <c r="AA36">
        <f t="shared" ca="1" si="15"/>
        <v>0</v>
      </c>
      <c r="AB36">
        <f t="shared" ca="1" si="4"/>
        <v>0</v>
      </c>
      <c r="AC36">
        <f t="shared" ca="1" si="5"/>
        <v>3.5824511682542103E-2</v>
      </c>
      <c r="AD36" s="83">
        <f ca="1"/>
        <v>45320</v>
      </c>
      <c r="AE36" s="55">
        <f t="shared" ca="1" si="20"/>
        <v>45320</v>
      </c>
      <c r="AF36" s="55">
        <f t="shared" ca="1" si="21"/>
        <v>87.447916271134147</v>
      </c>
      <c r="AG36" s="55">
        <f t="shared" ca="1" si="22"/>
        <v>1.9417962936618305</v>
      </c>
      <c r="AH36" s="55">
        <f t="shared" ca="1" si="23"/>
        <v>0</v>
      </c>
      <c r="AI36" s="55">
        <f t="shared" ca="1" si="17"/>
        <v>0</v>
      </c>
      <c r="AJ36" s="55">
        <f t="shared" ca="1" si="18"/>
        <v>17.864980486981477</v>
      </c>
      <c r="AK36" s="55">
        <f t="shared" ca="1" si="19"/>
        <v>46.457426195380407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45235</v>
      </c>
      <c r="S37" s="55">
        <f t="shared" ca="1" si="11"/>
        <v>45235</v>
      </c>
      <c r="T37" s="55">
        <f t="shared" ca="1" si="0"/>
        <v>59.745050941284006</v>
      </c>
      <c r="U37" s="55">
        <f t="shared" ca="1" si="1"/>
        <v>5.3184282016878637</v>
      </c>
      <c r="V37" s="55">
        <f t="shared" ca="1" si="2"/>
        <v>0</v>
      </c>
      <c r="W37" s="55">
        <f t="shared" ca="1" si="12"/>
        <v>-0.274321317730294</v>
      </c>
      <c r="X37" s="55">
        <f t="shared" ca="1" si="13"/>
        <v>16.158569344478916</v>
      </c>
      <c r="Y37" s="55">
        <f t="shared" ca="1" si="14"/>
        <v>-4.3577272308314789</v>
      </c>
      <c r="Z37">
        <f t="shared" ca="1" si="3"/>
        <v>120</v>
      </c>
      <c r="AA37">
        <f t="shared" ca="1" si="15"/>
        <v>0.79747662358425941</v>
      </c>
      <c r="AB37">
        <f t="shared" ca="1" si="4"/>
        <v>0</v>
      </c>
      <c r="AC37">
        <f t="shared" ca="1" si="5"/>
        <v>4.0749886352777882E-2</v>
      </c>
      <c r="AD37" s="83">
        <f ca="1"/>
        <v>45321</v>
      </c>
      <c r="AE37" s="55">
        <f t="shared" ca="1" si="20"/>
        <v>45321</v>
      </c>
      <c r="AF37" s="55">
        <f t="shared" ca="1" si="21"/>
        <v>88.895503773884869</v>
      </c>
      <c r="AG37" s="55">
        <f t="shared" ca="1" si="22"/>
        <v>2.0545588470269909</v>
      </c>
      <c r="AH37" s="55">
        <f t="shared" ca="1" si="23"/>
        <v>0</v>
      </c>
      <c r="AI37" s="55">
        <f t="shared" ca="1" si="17"/>
        <v>0</v>
      </c>
      <c r="AJ37" s="55">
        <f t="shared" ca="1" si="18"/>
        <v>18.801481777717139</v>
      </c>
      <c r="AK37" s="55">
        <f t="shared" ca="1" si="19"/>
        <v>47.081274960760624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45270</v>
      </c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45236</v>
      </c>
      <c r="S38" s="55">
        <f t="shared" ca="1" si="11"/>
        <v>45236</v>
      </c>
      <c r="T38" s="55">
        <f t="shared" ca="1" si="0"/>
        <v>59.034241522799931</v>
      </c>
      <c r="U38" s="55">
        <f t="shared" ca="1" si="1"/>
        <v>5.5952931119966163</v>
      </c>
      <c r="V38" s="55">
        <f t="shared" ca="1" si="2"/>
        <v>0</v>
      </c>
      <c r="W38" s="55">
        <f t="shared" ca="1" si="12"/>
        <v>-1.467349671413789</v>
      </c>
      <c r="X38" s="55">
        <f t="shared" ca="1" si="13"/>
        <v>17.055978202842837</v>
      </c>
      <c r="Y38" s="55">
        <f t="shared" ca="1" si="14"/>
        <v>-4.496052243687223</v>
      </c>
      <c r="Z38">
        <f t="shared" ca="1" si="3"/>
        <v>120</v>
      </c>
      <c r="AA38">
        <f t="shared" ca="1" si="15"/>
        <v>4.3074766235842645</v>
      </c>
      <c r="AB38">
        <f t="shared" ca="1" si="4"/>
        <v>0</v>
      </c>
      <c r="AC38">
        <f t="shared" ca="1" si="5"/>
        <v>4.6077210604115078E-2</v>
      </c>
      <c r="AD38" s="83">
        <f ca="1"/>
        <v>45322</v>
      </c>
      <c r="AE38" s="55">
        <f t="shared" ca="1" si="20"/>
        <v>45322</v>
      </c>
      <c r="AF38" s="55">
        <f t="shared" ca="1" si="21"/>
        <v>90.253886896396807</v>
      </c>
      <c r="AG38" s="55">
        <f t="shared" ca="1" si="22"/>
        <v>2.173431567373409</v>
      </c>
      <c r="AH38" s="55">
        <f t="shared" ca="1" si="23"/>
        <v>0</v>
      </c>
      <c r="AI38" s="55">
        <f t="shared" ca="1" si="17"/>
        <v>0</v>
      </c>
      <c r="AJ38" s="55">
        <f t="shared" ca="1" si="18"/>
        <v>19.733459193274914</v>
      </c>
      <c r="AK38" s="55">
        <f t="shared" ca="1" si="19"/>
        <v>47.626553388061197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45237</v>
      </c>
      <c r="S39" s="55">
        <f t="shared" ca="1" si="11"/>
        <v>45237</v>
      </c>
      <c r="T39" s="55">
        <f t="shared" ca="1" si="0"/>
        <v>58.250611092203798</v>
      </c>
      <c r="U39" s="55">
        <f t="shared" ca="1" si="1"/>
        <v>5.8964478655378034</v>
      </c>
      <c r="V39" s="55">
        <f t="shared" ca="1" si="2"/>
        <v>0</v>
      </c>
      <c r="W39" s="55">
        <f t="shared" ca="1" si="12"/>
        <v>-2.7371070830218418</v>
      </c>
      <c r="X39" s="55">
        <f t="shared" ca="1" si="13"/>
        <v>17.977280256980976</v>
      </c>
      <c r="Y39" s="55">
        <f t="shared" ca="1" si="14"/>
        <v>-4.6300725632722601</v>
      </c>
      <c r="Z39">
        <f t="shared" ca="1" si="3"/>
        <v>120</v>
      </c>
      <c r="AA39">
        <f t="shared" ca="1" si="15"/>
        <v>8.0934766235842517</v>
      </c>
      <c r="AB39">
        <f t="shared" ca="1" si="4"/>
        <v>0</v>
      </c>
      <c r="AC39">
        <f t="shared" ca="1" si="5"/>
        <v>5.2275925969990804E-2</v>
      </c>
      <c r="AD39" s="83">
        <f ca="1"/>
        <v>45323</v>
      </c>
      <c r="AE39" s="55">
        <f t="shared" ca="1" si="20"/>
        <v>45323</v>
      </c>
      <c r="AF39" s="55">
        <f t="shared" ca="1" si="21"/>
        <v>91.512063171290279</v>
      </c>
      <c r="AG39" s="55">
        <f t="shared" ca="1" si="22"/>
        <v>2.2997664422420034</v>
      </c>
      <c r="AH39" s="55">
        <f t="shared" ca="1" si="23"/>
        <v>0</v>
      </c>
      <c r="AI39" s="55">
        <f t="shared" ca="1" si="17"/>
        <v>0</v>
      </c>
      <c r="AJ39" s="55">
        <f t="shared" ca="1" si="18"/>
        <v>20.635991782116932</v>
      </c>
      <c r="AK39" s="55">
        <f t="shared" ca="1" si="19"/>
        <v>48.108531948981238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45238</v>
      </c>
      <c r="S40" s="55">
        <f t="shared" ca="1" si="11"/>
        <v>45238</v>
      </c>
      <c r="T40" s="55">
        <f t="shared" ca="1" si="0"/>
        <v>57.954226763448446</v>
      </c>
      <c r="U40" s="55">
        <f t="shared" ca="1" si="1"/>
        <v>6.2224773763531998</v>
      </c>
      <c r="V40" s="55">
        <f t="shared" ca="1" si="2"/>
        <v>0</v>
      </c>
      <c r="W40" s="55">
        <f t="shared" ca="1" si="12"/>
        <v>-3.5199106296139444</v>
      </c>
      <c r="X40" s="55">
        <f t="shared" ca="1" si="13"/>
        <v>18.918916854094576</v>
      </c>
      <c r="Y40" s="55">
        <f t="shared" ca="1" si="14"/>
        <v>-4.7592604317337113</v>
      </c>
      <c r="Z40">
        <f t="shared" ca="1" si="3"/>
        <v>120</v>
      </c>
      <c r="AA40">
        <f t="shared" ca="1" si="15"/>
        <v>10.439476623584241</v>
      </c>
      <c r="AB40">
        <f t="shared" ca="1" si="4"/>
        <v>0</v>
      </c>
      <c r="AC40">
        <f t="shared" ca="1" si="5"/>
        <v>5.9457230884261018E-2</v>
      </c>
      <c r="AD40" s="83">
        <f ca="1"/>
        <v>45324</v>
      </c>
      <c r="AE40" s="55">
        <f t="shared" ca="1" si="20"/>
        <v>45324</v>
      </c>
      <c r="AF40" s="55">
        <f t="shared" ca="1" si="21"/>
        <v>92.705417646231666</v>
      </c>
      <c r="AG40" s="55">
        <f t="shared" ca="1" si="22"/>
        <v>2.4318346708975995</v>
      </c>
      <c r="AH40" s="55">
        <f t="shared" ca="1" si="23"/>
        <v>0</v>
      </c>
      <c r="AI40" s="55">
        <f t="shared" ca="1" si="17"/>
        <v>0</v>
      </c>
      <c r="AJ40" s="55">
        <f t="shared" ca="1" si="18"/>
        <v>21.544345814999041</v>
      </c>
      <c r="AK40" s="55">
        <f t="shared" ca="1" si="19"/>
        <v>48.525600619696121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45239</v>
      </c>
      <c r="S41" s="55">
        <f t="shared" ca="1" si="11"/>
        <v>45239</v>
      </c>
      <c r="T41" s="55">
        <f t="shared" ca="1" si="0"/>
        <v>57.615733023991382</v>
      </c>
      <c r="U41" s="55">
        <f t="shared" ca="1" si="1"/>
        <v>6.5531694080792855</v>
      </c>
      <c r="V41" s="55">
        <f t="shared" ca="1" si="2"/>
        <v>0</v>
      </c>
      <c r="W41" s="55">
        <f t="shared" ca="1" si="12"/>
        <v>-4.322026389186127</v>
      </c>
      <c r="X41" s="55">
        <f t="shared" ca="1" si="13"/>
        <v>19.832469649737998</v>
      </c>
      <c r="Y41" s="55">
        <f t="shared" ca="1" si="14"/>
        <v>-4.8784991755359322</v>
      </c>
      <c r="Z41">
        <f t="shared" ca="1" si="3"/>
        <v>120</v>
      </c>
      <c r="AA41">
        <f t="shared" ca="1" si="15"/>
        <v>12.857476623584233</v>
      </c>
      <c r="AB41">
        <f t="shared" ca="1" si="4"/>
        <v>0</v>
      </c>
      <c r="AC41">
        <f t="shared" ca="1" si="5"/>
        <v>6.7234024817951418E-2</v>
      </c>
      <c r="AD41" s="83">
        <f ca="1"/>
        <v>45325</v>
      </c>
      <c r="AE41" s="55">
        <f t="shared" ca="1" si="20"/>
        <v>45325</v>
      </c>
      <c r="AF41" s="55">
        <f t="shared" ca="1" si="21"/>
        <v>93.791601356471077</v>
      </c>
      <c r="AG41" s="55">
        <f t="shared" ca="1" si="22"/>
        <v>2.5697838472973089</v>
      </c>
      <c r="AH41" s="55">
        <f t="shared" ca="1" si="23"/>
        <v>0</v>
      </c>
      <c r="AI41" s="55">
        <f t="shared" ca="1" si="17"/>
        <v>0</v>
      </c>
      <c r="AJ41" s="55">
        <f t="shared" ca="1" si="18"/>
        <v>22.406669158144524</v>
      </c>
      <c r="AK41" s="55">
        <f t="shared" ca="1" si="19"/>
        <v>48.887410163189749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45240</v>
      </c>
      <c r="S42" s="55">
        <f t="shared" ca="1" si="11"/>
        <v>45240</v>
      </c>
      <c r="T42" s="55">
        <f t="shared" ca="1" si="0"/>
        <v>57.734062748861241</v>
      </c>
      <c r="U42" s="55">
        <f t="shared" ca="1" si="1"/>
        <v>6.9144492832551263</v>
      </c>
      <c r="V42" s="55">
        <f t="shared" ca="1" si="2"/>
        <v>0</v>
      </c>
      <c r="W42" s="55">
        <f t="shared" ca="1" si="12"/>
        <v>-4.6677309588580984</v>
      </c>
      <c r="X42" s="55">
        <f t="shared" ca="1" si="13"/>
        <v>20.77331916424388</v>
      </c>
      <c r="Y42" s="55">
        <f t="shared" ca="1" si="14"/>
        <v>-4.9940345203241439</v>
      </c>
      <c r="Z42">
        <f t="shared" ca="1" si="3"/>
        <v>120</v>
      </c>
      <c r="AA42">
        <f t="shared" ca="1" si="15"/>
        <v>13.89747662358424</v>
      </c>
      <c r="AB42">
        <f t="shared" ca="1" si="4"/>
        <v>0</v>
      </c>
      <c r="AC42">
        <f t="shared" ca="1" si="5"/>
        <v>7.6285672236702101E-2</v>
      </c>
      <c r="AD42" s="83">
        <f ca="1"/>
        <v>45326</v>
      </c>
      <c r="AE42" s="55">
        <f t="shared" ca="1" si="20"/>
        <v>45326</v>
      </c>
      <c r="AF42" s="55">
        <f t="shared" ca="1" si="21"/>
        <v>94.823321622771545</v>
      </c>
      <c r="AG42" s="55">
        <f t="shared" ca="1" si="22"/>
        <v>2.7106640173369443</v>
      </c>
      <c r="AH42" s="55">
        <f t="shared" ca="1" si="23"/>
        <v>0</v>
      </c>
      <c r="AI42" s="55">
        <f t="shared" ca="1" si="17"/>
        <v>0</v>
      </c>
      <c r="AJ42" s="55">
        <f t="shared" ca="1" si="18"/>
        <v>23.272677465525845</v>
      </c>
      <c r="AK42" s="55">
        <f t="shared" ca="1" si="19"/>
        <v>49.194002292148532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45241</v>
      </c>
      <c r="S43" s="55">
        <f t="shared" ca="1" si="11"/>
        <v>45241</v>
      </c>
      <c r="T43" s="55">
        <f t="shared" ca="1" si="0"/>
        <v>58.188125626233926</v>
      </c>
      <c r="U43" s="55">
        <f t="shared" ca="1" si="1"/>
        <v>7.2992752600819664</v>
      </c>
      <c r="V43" s="55">
        <f t="shared" ca="1" si="2"/>
        <v>0</v>
      </c>
      <c r="W43" s="55">
        <f t="shared" ca="1" si="12"/>
        <v>-4.6677309588580984</v>
      </c>
      <c r="X43" s="55">
        <f t="shared" ca="1" si="13"/>
        <v>21.722057465090796</v>
      </c>
      <c r="Y43" s="55">
        <f t="shared" ca="1" si="14"/>
        <v>-5.1038839669715284</v>
      </c>
      <c r="Z43">
        <f t="shared" ca="1" si="3"/>
        <v>118.43272727272728</v>
      </c>
      <c r="AA43">
        <f t="shared" ca="1" si="15"/>
        <v>13.89747662358424</v>
      </c>
      <c r="AB43">
        <f t="shared" ca="1" si="4"/>
        <v>0</v>
      </c>
      <c r="AC43">
        <f t="shared" ca="1" si="5"/>
        <v>8.654710700058299E-2</v>
      </c>
      <c r="AD43" s="83">
        <f ca="1"/>
        <v>45327</v>
      </c>
      <c r="AE43" s="55">
        <f t="shared" ca="1" si="20"/>
        <v>45327</v>
      </c>
      <c r="AF43" s="55">
        <f t="shared" ca="1" si="21"/>
        <v>95.840410396317239</v>
      </c>
      <c r="AG43" s="55">
        <f t="shared" ca="1" si="22"/>
        <v>2.8629979255325817</v>
      </c>
      <c r="AH43" s="55">
        <f t="shared" ca="1" si="23"/>
        <v>0</v>
      </c>
      <c r="AI43" s="55">
        <f t="shared" ca="1" si="17"/>
        <v>0</v>
      </c>
      <c r="AJ43" s="55">
        <f t="shared" ca="1" si="18"/>
        <v>24.161469246188748</v>
      </c>
      <c r="AK43" s="55">
        <f t="shared" ca="1" si="19"/>
        <v>49.474633193226971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45231</v>
      </c>
      <c r="C44" s="94" t="s">
        <v>150</v>
      </c>
      <c r="D44" s="96">
        <f ca="1">MAX(CurrentEstablishDate,C38:C43,MAX(C29:C34)+1)</f>
        <v>45270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45242</v>
      </c>
      <c r="S44" s="55">
        <f t="shared" ca="1" si="11"/>
        <v>45242</v>
      </c>
      <c r="T44" s="55">
        <f t="shared" ca="1" si="0"/>
        <v>58.019838100499186</v>
      </c>
      <c r="U44" s="55">
        <f t="shared" ca="1" si="1"/>
        <v>7.703798066842821</v>
      </c>
      <c r="V44" s="55">
        <f t="shared" ca="1" si="2"/>
        <v>0</v>
      </c>
      <c r="W44" s="55">
        <f t="shared" ca="1" si="12"/>
        <v>-5.2744499797092335</v>
      </c>
      <c r="X44" s="55">
        <f t="shared" ca="1" si="13"/>
        <v>22.668424938719589</v>
      </c>
      <c r="Y44" s="55">
        <f t="shared" ca="1" si="14"/>
        <v>-5.2072971387230691</v>
      </c>
      <c r="Z44">
        <f t="shared" ca="1" si="3"/>
        <v>120</v>
      </c>
      <c r="AA44">
        <f t="shared" ca="1" si="15"/>
        <v>15.713709098505987</v>
      </c>
      <c r="AB44">
        <f t="shared" ca="1" si="4"/>
        <v>0</v>
      </c>
      <c r="AC44">
        <f t="shared" ca="1" si="5"/>
        <v>9.7996902607000752E-2</v>
      </c>
      <c r="AD44" s="83">
        <f ca="1"/>
        <v>45328</v>
      </c>
      <c r="AE44" s="55">
        <f t="shared" ca="1" si="20"/>
        <v>45328</v>
      </c>
      <c r="AF44" s="55">
        <f t="shared" ca="1" si="21"/>
        <v>96.761627789473451</v>
      </c>
      <c r="AG44" s="55">
        <f t="shared" ca="1" si="22"/>
        <v>3.0227405094075279</v>
      </c>
      <c r="AH44" s="55">
        <f t="shared" ca="1" si="23"/>
        <v>0</v>
      </c>
      <c r="AI44" s="55">
        <f t="shared" ca="1" si="17"/>
        <v>0</v>
      </c>
      <c r="AJ44" s="55">
        <f t="shared" ca="1" si="18"/>
        <v>24.995978910322933</v>
      </c>
      <c r="AK44" s="55">
        <f t="shared" ca="1" si="19"/>
        <v>49.721083506123946</v>
      </c>
    </row>
    <row r="45" spans="1:37" s="55" customFormat="1">
      <c r="R45" s="83">
        <f ca="1"/>
        <v>45243</v>
      </c>
      <c r="S45" s="55">
        <f t="shared" ca="1" si="11"/>
        <v>45243</v>
      </c>
      <c r="T45" s="55">
        <f t="shared" ca="1" si="0"/>
        <v>57.981315506711923</v>
      </c>
      <c r="U45" s="55">
        <f t="shared" ca="1" si="1"/>
        <v>8.1199653889159027</v>
      </c>
      <c r="V45" s="55">
        <f t="shared" ca="1" si="2"/>
        <v>0</v>
      </c>
      <c r="W45" s="55">
        <f t="shared" ca="1" si="12"/>
        <v>-5.7291289138555062</v>
      </c>
      <c r="X45" s="55">
        <f t="shared" ca="1" si="13"/>
        <v>23.596735377962222</v>
      </c>
      <c r="Y45" s="55">
        <f t="shared" ca="1" si="14"/>
        <v>-5.3032839155336102</v>
      </c>
      <c r="Z45">
        <f t="shared" ca="1" si="3"/>
        <v>120</v>
      </c>
      <c r="AA45">
        <f t="shared" ca="1" si="15"/>
        <v>17.075709098505996</v>
      </c>
      <c r="AB45">
        <f t="shared" ca="1" si="4"/>
        <v>0</v>
      </c>
      <c r="AC45">
        <f t="shared" ca="1" si="5"/>
        <v>0.11045121172244535</v>
      </c>
      <c r="AD45" s="83">
        <f ca="1"/>
        <v>45329</v>
      </c>
      <c r="AE45" s="55">
        <f t="shared" ca="1" si="20"/>
        <v>45329</v>
      </c>
      <c r="AF45" s="55">
        <f t="shared" ca="1" si="21"/>
        <v>97.62232665943192</v>
      </c>
      <c r="AG45" s="55">
        <f t="shared" ca="1" si="22"/>
        <v>3.1922640206427588</v>
      </c>
      <c r="AH45" s="55">
        <f t="shared" ca="1" si="23"/>
        <v>0</v>
      </c>
      <c r="AI45" s="55">
        <f t="shared" ca="1" si="17"/>
        <v>0</v>
      </c>
      <c r="AJ45" s="55">
        <f t="shared" ca="1" si="18"/>
        <v>25.806010769886733</v>
      </c>
      <c r="AK45" s="55">
        <f t="shared" ca="1" si="19"/>
        <v>49.941274027753856</v>
      </c>
    </row>
    <row r="46" spans="1:37" s="55" customFormat="1" ht="15" thickBot="1">
      <c r="C46" s="129" t="s">
        <v>154</v>
      </c>
      <c r="D46" s="129"/>
      <c r="E46" s="129"/>
      <c r="F46" s="129"/>
      <c r="G46" s="129"/>
      <c r="H46" s="129"/>
      <c r="R46" s="83">
        <f ca="1"/>
        <v>45244</v>
      </c>
      <c r="S46" s="55">
        <f t="shared" ca="1" si="11"/>
        <v>45244</v>
      </c>
      <c r="T46" s="55">
        <f t="shared" ca="1" si="0"/>
        <v>57.829386754253868</v>
      </c>
      <c r="U46" s="55">
        <f t="shared" ca="1" si="1"/>
        <v>8.5557405394685073</v>
      </c>
      <c r="V46" s="55">
        <f t="shared" ca="1" si="2"/>
        <v>0</v>
      </c>
      <c r="W46" s="55">
        <f t="shared" ca="1" si="12"/>
        <v>-6.2795069592466755</v>
      </c>
      <c r="X46" s="55">
        <f t="shared" ca="1" si="13"/>
        <v>24.521148285781926</v>
      </c>
      <c r="Y46" s="55">
        <f t="shared" ca="1" si="14"/>
        <v>-5.3934723798675943</v>
      </c>
      <c r="Z46">
        <f t="shared" ca="1" si="3"/>
        <v>120</v>
      </c>
      <c r="AA46">
        <f t="shared" ca="1" si="15"/>
        <v>18.728709098506002</v>
      </c>
      <c r="AB46">
        <f t="shared" ca="1" si="4"/>
        <v>0</v>
      </c>
      <c r="AC46">
        <f t="shared" ca="1" si="5"/>
        <v>0.12418160600814997</v>
      </c>
      <c r="AD46" s="83">
        <f ca="1"/>
        <v>45330</v>
      </c>
      <c r="AE46" s="55">
        <f t="shared" ca="1" si="20"/>
        <v>45330</v>
      </c>
      <c r="AF46" s="55">
        <f t="shared" ca="1" si="21"/>
        <v>98.442047844140049</v>
      </c>
      <c r="AG46" s="55">
        <f t="shared" ca="1" si="22"/>
        <v>3.3709554936967567</v>
      </c>
      <c r="AH46" s="55">
        <f t="shared" ca="1" si="23"/>
        <v>0</v>
      </c>
      <c r="AI46" s="55">
        <f t="shared" ca="1" si="17"/>
        <v>0</v>
      </c>
      <c r="AJ46" s="55">
        <f t="shared" ca="1" si="18"/>
        <v>26.609257523662457</v>
      </c>
      <c r="AK46" s="55">
        <f t="shared" ca="1" si="19"/>
        <v>50.13643993174027</v>
      </c>
    </row>
    <row r="47" spans="1:37" s="55" customFormat="1">
      <c r="C47" s="61" t="s">
        <v>26</v>
      </c>
      <c r="D47" s="88" t="str">
        <f>IF(E47="","Fodder",E47)</f>
        <v>Fodder</v>
      </c>
      <c r="E47" s="87"/>
      <c r="F47" s="61" t="s">
        <v>134</v>
      </c>
      <c r="G47" s="88">
        <f>IF(H47="",VLOOKUP(PriorCropNameFull,CropCoefficients,23,FALSE),H47)</f>
        <v>0</v>
      </c>
      <c r="H47" s="89"/>
      <c r="R47" s="83">
        <f ca="1"/>
        <v>45245</v>
      </c>
      <c r="S47" s="55">
        <f t="shared" ca="1" si="11"/>
        <v>45245</v>
      </c>
      <c r="T47" s="55">
        <f t="shared" ca="1" si="0"/>
        <v>58.21838553743158</v>
      </c>
      <c r="U47" s="55">
        <f t="shared" ca="1" si="1"/>
        <v>9.0316555251239876</v>
      </c>
      <c r="V47" s="55">
        <f t="shared" ca="1" si="2"/>
        <v>0</v>
      </c>
      <c r="W47" s="55">
        <f t="shared" ca="1" si="12"/>
        <v>-6.2795069592466755</v>
      </c>
      <c r="X47" s="55">
        <f t="shared" ca="1" si="13"/>
        <v>25.473053279820824</v>
      </c>
      <c r="Y47" s="55">
        <f t="shared" ca="1" si="14"/>
        <v>-5.480463605073302</v>
      </c>
      <c r="Z47">
        <f t="shared" ca="1" si="3"/>
        <v>119.4527272727273</v>
      </c>
      <c r="AA47">
        <f t="shared" ca="1" si="15"/>
        <v>18.728709098506002</v>
      </c>
      <c r="AB47">
        <f t="shared" ca="1" si="4"/>
        <v>0</v>
      </c>
      <c r="AC47">
        <f t="shared" ca="1" si="5"/>
        <v>0.13992147707698785</v>
      </c>
      <c r="AD47" s="83">
        <f ca="1"/>
        <v>45331</v>
      </c>
      <c r="AE47" s="55">
        <f t="shared" ca="1" si="20"/>
        <v>45331</v>
      </c>
      <c r="AF47" s="55">
        <f t="shared" ca="1" si="21"/>
        <v>99.214939538423465</v>
      </c>
      <c r="AG47" s="55">
        <f t="shared" ca="1" si="22"/>
        <v>3.5607999080579384</v>
      </c>
      <c r="AH47" s="55">
        <f t="shared" ca="1" si="23"/>
        <v>0</v>
      </c>
      <c r="AI47" s="55">
        <f t="shared" ca="1" si="17"/>
        <v>0</v>
      </c>
      <c r="AJ47" s="55">
        <f t="shared" ca="1" si="18"/>
        <v>27.396987629023741</v>
      </c>
      <c r="AK47" s="55">
        <f t="shared" ca="1" si="19"/>
        <v>50.311445935023563</v>
      </c>
    </row>
    <row r="48" spans="1:37" s="55" customFormat="1">
      <c r="C48" s="61" t="s">
        <v>95</v>
      </c>
      <c r="D48" s="84" t="str">
        <f>IF(E48="","Barley",E48)</f>
        <v>Barley</v>
      </c>
      <c r="E48" s="66"/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45246</v>
      </c>
      <c r="S48" s="55">
        <f t="shared" ca="1" si="11"/>
        <v>45246</v>
      </c>
      <c r="T48" s="55">
        <f t="shared" ca="1" si="0"/>
        <v>57.519034089683046</v>
      </c>
      <c r="U48" s="55">
        <f t="shared" ca="1" si="1"/>
        <v>9.5506074754893788</v>
      </c>
      <c r="V48" s="55">
        <f t="shared" ca="1" si="2"/>
        <v>0</v>
      </c>
      <c r="W48" s="55">
        <f t="shared" ca="1" si="12"/>
        <v>-7.3545936124552025</v>
      </c>
      <c r="X48" s="55">
        <f t="shared" ca="1" si="13"/>
        <v>26.451327486200388</v>
      </c>
      <c r="Y48" s="55">
        <f t="shared" ca="1" si="14"/>
        <v>-5.5640506556274802</v>
      </c>
      <c r="Z48">
        <f t="shared" ca="1" si="3"/>
        <v>120</v>
      </c>
      <c r="AA48">
        <f t="shared" ca="1" si="15"/>
        <v>21.975035806961529</v>
      </c>
      <c r="AB48">
        <f t="shared" ca="1" si="4"/>
        <v>0</v>
      </c>
      <c r="AC48">
        <f t="shared" ca="1" si="5"/>
        <v>0.1578860493226944</v>
      </c>
      <c r="AD48" s="83">
        <f ca="1"/>
        <v>45332</v>
      </c>
      <c r="AE48" s="55">
        <f t="shared" ca="1" si="20"/>
        <v>45332</v>
      </c>
      <c r="AF48" s="55">
        <f t="shared" ca="1" si="21"/>
        <v>99.967628557977363</v>
      </c>
      <c r="AG48" s="55">
        <f t="shared" ca="1" si="22"/>
        <v>3.7651015932850931</v>
      </c>
      <c r="AH48" s="55">
        <f t="shared" ca="1" si="23"/>
        <v>0</v>
      </c>
      <c r="AI48" s="55">
        <f t="shared" ca="1" si="17"/>
        <v>0</v>
      </c>
      <c r="AJ48" s="55">
        <f t="shared" ca="1" si="18"/>
        <v>28.194432095536715</v>
      </c>
      <c r="AK48" s="55">
        <f t="shared" ca="1" si="19"/>
        <v>50.470992173291641</v>
      </c>
    </row>
    <row r="49" spans="2:37" s="55" customFormat="1">
      <c r="C49" s="61" t="s">
        <v>96</v>
      </c>
      <c r="D49" s="84" t="str">
        <f>IF(E49="","General",E49)</f>
        <v>General</v>
      </c>
      <c r="E49" s="66"/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45247</v>
      </c>
      <c r="S49" s="55">
        <f t="shared" ca="1" si="11"/>
        <v>45247</v>
      </c>
      <c r="T49" s="55">
        <f t="shared" ca="1" si="0"/>
        <v>57.863621590330069</v>
      </c>
      <c r="U49" s="55">
        <f t="shared" ca="1" si="1"/>
        <v>10.077583721498767</v>
      </c>
      <c r="V49" s="55">
        <f t="shared" ca="1" si="2"/>
        <v>0</v>
      </c>
      <c r="W49" s="55">
        <f t="shared" ca="1" si="12"/>
        <v>-7.3545936124552025</v>
      </c>
      <c r="X49" s="55">
        <f t="shared" ca="1" si="13"/>
        <v>27.399275112051466</v>
      </c>
      <c r="Y49" s="55">
        <f t="shared" ca="1" si="14"/>
        <v>-5.6404345348221483</v>
      </c>
      <c r="Z49">
        <f t="shared" ca="1" si="3"/>
        <v>119.72727272727272</v>
      </c>
      <c r="AA49">
        <f t="shared" ca="1" si="15"/>
        <v>21.975035806961529</v>
      </c>
      <c r="AB49">
        <f t="shared" ca="1" si="4"/>
        <v>0</v>
      </c>
      <c r="AC49">
        <f t="shared" ca="1" si="5"/>
        <v>0.17688120040969907</v>
      </c>
      <c r="AD49" s="83">
        <f ca="1"/>
        <v>45333</v>
      </c>
      <c r="AE49" s="55">
        <f t="shared" ca="1" si="20"/>
        <v>45333</v>
      </c>
      <c r="AF49" s="55">
        <f t="shared" ca="1" si="21"/>
        <v>100.70520653022098</v>
      </c>
      <c r="AG49" s="55">
        <f t="shared" ca="1" si="22"/>
        <v>3.9830544261594447</v>
      </c>
      <c r="AH49" s="55">
        <f t="shared" ca="1" si="23"/>
        <v>0</v>
      </c>
      <c r="AI49" s="55">
        <f t="shared" ca="1" si="17"/>
        <v>0</v>
      </c>
      <c r="AJ49" s="55">
        <f t="shared" ca="1" si="18"/>
        <v>29.00631617020602</v>
      </c>
      <c r="AK49" s="55">
        <f t="shared" ca="1" si="19"/>
        <v>50.614638903740286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151</v>
      </c>
      <c r="D50" s="65" t="str">
        <f>PriorCropName&amp;" "&amp;PriorCropType&amp;" "&amp;PriorCropVariety</f>
        <v>Barley Fodder General</v>
      </c>
      <c r="F50" s="56"/>
      <c r="R50" s="83">
        <f ca="1"/>
        <v>45248</v>
      </c>
      <c r="S50" s="55">
        <f t="shared" ca="1" si="11"/>
        <v>45248</v>
      </c>
      <c r="T50" s="55">
        <f t="shared" ca="1" si="0"/>
        <v>58.178969987261745</v>
      </c>
      <c r="U50" s="55">
        <f t="shared" ca="1" si="1"/>
        <v>10.611322064653445</v>
      </c>
      <c r="V50" s="55">
        <f t="shared" ca="1" si="2"/>
        <v>0</v>
      </c>
      <c r="W50" s="55">
        <f t="shared" ca="1" si="12"/>
        <v>-7.3545936124552025</v>
      </c>
      <c r="X50" s="55">
        <f t="shared" ca="1" si="13"/>
        <v>28.318248208024347</v>
      </c>
      <c r="Y50" s="55">
        <f t="shared" ca="1" si="14"/>
        <v>-5.7103208907086822</v>
      </c>
      <c r="Z50">
        <f t="shared" ca="1" si="3"/>
        <v>119.62200218871793</v>
      </c>
      <c r="AA50">
        <f t="shared" ca="1" si="15"/>
        <v>21.975035806961529</v>
      </c>
      <c r="AB50">
        <f t="shared" ca="1" si="4"/>
        <v>0</v>
      </c>
      <c r="AC50">
        <f t="shared" ca="1" si="5"/>
        <v>0.19677900520832337</v>
      </c>
      <c r="AD50" s="83">
        <f ca="1"/>
        <v>45334</v>
      </c>
      <c r="AE50" s="55">
        <f t="shared" ca="1" si="20"/>
        <v>45334</v>
      </c>
      <c r="AF50" s="55">
        <f t="shared" ca="1" si="21"/>
        <v>101.41811238810293</v>
      </c>
      <c r="AG50" s="55">
        <f t="shared" ca="1" si="22"/>
        <v>4.212543056724753</v>
      </c>
      <c r="AH50" s="55">
        <f t="shared" ca="1" si="23"/>
        <v>0</v>
      </c>
      <c r="AI50" s="55">
        <f t="shared" ca="1" si="17"/>
        <v>0</v>
      </c>
      <c r="AJ50" s="55">
        <f t="shared" ca="1" si="18"/>
        <v>29.821417701693562</v>
      </c>
      <c r="AK50" s="55">
        <f t="shared" ca="1" si="19"/>
        <v>50.741931860700014</v>
      </c>
    </row>
    <row r="51" spans="2:37" s="55" customFormat="1">
      <c r="C51" s="61" t="s">
        <v>4</v>
      </c>
      <c r="D51" s="68">
        <f ca="1">IF(E51="",CurrentEstablishDate-60,E51)</f>
        <v>45171</v>
      </c>
      <c r="E51" s="67"/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45249</v>
      </c>
      <c r="S51" s="55">
        <f t="shared" ca="1" si="11"/>
        <v>45249</v>
      </c>
      <c r="T51" s="55">
        <f t="shared" ca="1" si="0"/>
        <v>58.470855736456087</v>
      </c>
      <c r="U51" s="55">
        <f t="shared" ca="1" si="1"/>
        <v>11.170635752616549</v>
      </c>
      <c r="V51" s="55">
        <f t="shared" ca="1" si="2"/>
        <v>0</v>
      </c>
      <c r="W51" s="55">
        <f t="shared" ca="1" si="12"/>
        <v>-7.3545936124552025</v>
      </c>
      <c r="X51" s="55">
        <f t="shared" ca="1" si="13"/>
        <v>29.234895929582155</v>
      </c>
      <c r="Y51" s="55">
        <f t="shared" ca="1" si="14"/>
        <v>-5.7757691751090414</v>
      </c>
      <c r="Z51">
        <f t="shared" ca="1" si="3"/>
        <v>117.66132733857823</v>
      </c>
      <c r="AA51">
        <f t="shared" ca="1" si="15"/>
        <v>21.975035806961529</v>
      </c>
      <c r="AB51">
        <f t="shared" ca="1" si="4"/>
        <v>0</v>
      </c>
      <c r="AC51">
        <f t="shared" ca="1" si="5"/>
        <v>0.21821230244629108</v>
      </c>
      <c r="AD51" s="83">
        <f ca="1"/>
        <v>45335</v>
      </c>
      <c r="AE51" s="55">
        <f t="shared" ca="1" si="20"/>
        <v>45335</v>
      </c>
      <c r="AF51" s="55">
        <f t="shared" ca="1" si="21"/>
        <v>102.06471834919725</v>
      </c>
      <c r="AG51" s="55">
        <f t="shared" ca="1" si="22"/>
        <v>4.4524615803001772</v>
      </c>
      <c r="AH51" s="55">
        <f t="shared" ca="1" si="23"/>
        <v>0</v>
      </c>
      <c r="AI51" s="55">
        <f t="shared" ca="1" si="17"/>
        <v>0</v>
      </c>
      <c r="AJ51" s="55">
        <f t="shared" ca="1" si="18"/>
        <v>30.595706325502423</v>
      </c>
      <c r="AK51" s="55">
        <f t="shared" ca="1" si="19"/>
        <v>50.854167721560906</v>
      </c>
    </row>
    <row r="52" spans="2:37" s="55" customFormat="1">
      <c r="C52" s="61" t="s">
        <v>5</v>
      </c>
      <c r="D52" s="68">
        <f ca="1">IF(E51="",CurrentEstablishDate-15,E51)</f>
        <v>45216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45250</v>
      </c>
      <c r="S52" s="55">
        <f t="shared" ca="1" si="11"/>
        <v>45250</v>
      </c>
      <c r="T52" s="55">
        <f t="shared" ca="1" si="0"/>
        <v>58.742517684794706</v>
      </c>
      <c r="U52" s="55">
        <f t="shared" ca="1" si="1"/>
        <v>11.785403510415467</v>
      </c>
      <c r="V52" s="55">
        <f t="shared" ca="1" si="2"/>
        <v>0</v>
      </c>
      <c r="W52" s="55">
        <f t="shared" ca="1" si="12"/>
        <v>-7.3545936124552025</v>
      </c>
      <c r="X52" s="55">
        <f t="shared" ca="1" si="13"/>
        <v>30.184425304718239</v>
      </c>
      <c r="Y52" s="55">
        <f t="shared" ca="1" si="14"/>
        <v>-5.8388688441075853</v>
      </c>
      <c r="Z52">
        <f t="shared" ca="1" si="3"/>
        <v>118.4059151844162</v>
      </c>
      <c r="AA52">
        <f t="shared" ca="1" si="15"/>
        <v>21.975035806961529</v>
      </c>
      <c r="AB52">
        <f t="shared" ca="1" si="4"/>
        <v>0</v>
      </c>
      <c r="AC52">
        <f t="shared" ca="1" si="5"/>
        <v>0.24229639852937807</v>
      </c>
      <c r="AD52" s="83">
        <f ca="1"/>
        <v>45336</v>
      </c>
      <c r="AE52" s="55">
        <f t="shared" ca="1" si="20"/>
        <v>45336</v>
      </c>
      <c r="AF52" s="55">
        <f t="shared" ca="1" si="21"/>
        <v>102.67989254461676</v>
      </c>
      <c r="AG52" s="55">
        <f t="shared" ca="1" si="22"/>
        <v>4.70601224688009</v>
      </c>
      <c r="AH52" s="55">
        <f t="shared" ca="1" si="23"/>
        <v>0</v>
      </c>
      <c r="AI52" s="55">
        <f t="shared" ca="1" si="17"/>
        <v>0</v>
      </c>
      <c r="AJ52" s="55">
        <f t="shared" ca="1" si="18"/>
        <v>31.363557926061915</v>
      </c>
      <c r="AK52" s="55">
        <f t="shared" ca="1" si="19"/>
        <v>50.955040983000835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45251</v>
      </c>
      <c r="S53" s="55">
        <f t="shared" ca="1" si="11"/>
        <v>45251</v>
      </c>
      <c r="T53" s="55">
        <f t="shared" ca="1" si="0"/>
        <v>58.838569810945273</v>
      </c>
      <c r="U53" s="55">
        <f t="shared" ca="1" si="1"/>
        <v>12.437580604897594</v>
      </c>
      <c r="V53" s="55">
        <f t="shared" ca="1" si="2"/>
        <v>0</v>
      </c>
      <c r="W53" s="55">
        <f t="shared" ca="1" si="12"/>
        <v>-7.5022153773684579</v>
      </c>
      <c r="X53" s="55">
        <f t="shared" ca="1" si="13"/>
        <v>31.139503382398665</v>
      </c>
      <c r="Y53" s="55">
        <f t="shared" ca="1" si="14"/>
        <v>-5.8980959362420604</v>
      </c>
      <c r="Z53">
        <f t="shared" ca="1" si="3"/>
        <v>120</v>
      </c>
      <c r="AA53">
        <f t="shared" ca="1" si="15"/>
        <v>22.410797073386647</v>
      </c>
      <c r="AB53">
        <f t="shared" ca="1" si="4"/>
        <v>0</v>
      </c>
      <c r="AC53">
        <f t="shared" ca="1" si="5"/>
        <v>0.26825428555453751</v>
      </c>
      <c r="AD53" s="83">
        <f ca="1"/>
        <v>45337</v>
      </c>
      <c r="AE53" s="55">
        <f t="shared" ca="1" si="20"/>
        <v>45337</v>
      </c>
      <c r="AF53" s="55">
        <f t="shared" ca="1" si="21"/>
        <v>103.26628394046259</v>
      </c>
      <c r="AG53" s="55">
        <f t="shared" ca="1" si="22"/>
        <v>4.9704413828315106</v>
      </c>
      <c r="AH53" s="55">
        <f t="shared" ca="1" si="23"/>
        <v>0</v>
      </c>
      <c r="AI53" s="55">
        <f t="shared" ca="1" si="17"/>
        <v>0</v>
      </c>
      <c r="AJ53" s="55">
        <f t="shared" ca="1" si="18"/>
        <v>32.124900810967993</v>
      </c>
      <c r="AK53" s="55">
        <f t="shared" ca="1" si="19"/>
        <v>51.044518629891989</v>
      </c>
    </row>
    <row r="54" spans="2:37" s="54" customFormat="1">
      <c r="B54" s="55"/>
      <c r="C54" s="61" t="s">
        <v>101</v>
      </c>
      <c r="D54" s="70">
        <v>8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45252</v>
      </c>
      <c r="S54" s="55">
        <f t="shared" ca="1" si="11"/>
        <v>45252</v>
      </c>
      <c r="T54" s="55">
        <f t="shared" ca="1" si="0"/>
        <v>57.961328461480569</v>
      </c>
      <c r="U54" s="55">
        <f t="shared" ca="1" si="1"/>
        <v>13.140931188554466</v>
      </c>
      <c r="V54" s="55">
        <f t="shared" ca="1" si="2"/>
        <v>0</v>
      </c>
      <c r="W54" s="55">
        <f t="shared" ca="1" si="12"/>
        <v>-8.5934691159477854</v>
      </c>
      <c r="X54" s="55">
        <f t="shared" ca="1" si="13"/>
        <v>32.112950791864513</v>
      </c>
      <c r="Y54" s="55">
        <f t="shared" ca="1" si="14"/>
        <v>-5.9541803729364133</v>
      </c>
      <c r="Z54">
        <f t="shared" ca="1" si="3"/>
        <v>120</v>
      </c>
      <c r="AA54">
        <f t="shared" ca="1" si="15"/>
        <v>25.680797073386643</v>
      </c>
      <c r="AB54">
        <f t="shared" ca="1" si="4"/>
        <v>0</v>
      </c>
      <c r="AC54">
        <f t="shared" ca="1" si="5"/>
        <v>0.29648954817774226</v>
      </c>
      <c r="AD54" s="83">
        <f ca="1"/>
        <v>45338</v>
      </c>
      <c r="AE54" s="55">
        <f t="shared" ca="1" si="20"/>
        <v>45338</v>
      </c>
      <c r="AF54" s="55">
        <f t="shared" ca="1" si="21"/>
        <v>103.81796983353557</v>
      </c>
      <c r="AG54" s="55">
        <f t="shared" ca="1" si="22"/>
        <v>5.2478872081524592</v>
      </c>
      <c r="AH54" s="55">
        <f t="shared" ca="1" si="23"/>
        <v>0</v>
      </c>
      <c r="AI54" s="55">
        <f t="shared" ca="1" si="17"/>
        <v>0</v>
      </c>
      <c r="AJ54" s="55">
        <f t="shared" ca="1" si="18"/>
        <v>32.873557081156143</v>
      </c>
      <c r="AK54" s="55">
        <f t="shared" ca="1" si="19"/>
        <v>51.124994078097785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45253</v>
      </c>
      <c r="S55" s="55">
        <f t="shared" ca="1" si="11"/>
        <v>45253</v>
      </c>
      <c r="T55" s="55">
        <f t="shared" ca="1" si="0"/>
        <v>57.733309090307593</v>
      </c>
      <c r="U55" s="55">
        <f t="shared" ca="1" si="1"/>
        <v>13.899831378953127</v>
      </c>
      <c r="V55" s="55">
        <f t="shared" ca="1" si="2"/>
        <v>0</v>
      </c>
      <c r="W55" s="55">
        <f t="shared" ca="1" si="12"/>
        <v>-9.0016611061584069</v>
      </c>
      <c r="X55" s="55">
        <f t="shared" ca="1" si="13"/>
        <v>33.10497919286761</v>
      </c>
      <c r="Y55" s="55">
        <f t="shared" ca="1" si="14"/>
        <v>-6.0071359645032025</v>
      </c>
      <c r="Z55">
        <f t="shared" ca="1" si="3"/>
        <v>120</v>
      </c>
      <c r="AA55">
        <f t="shared" ca="1" si="15"/>
        <v>26.908797073386637</v>
      </c>
      <c r="AB55">
        <f t="shared" ca="1" si="4"/>
        <v>0</v>
      </c>
      <c r="AC55">
        <f t="shared" ca="1" si="5"/>
        <v>0.32696723481312573</v>
      </c>
      <c r="AD55" s="83">
        <f ca="1"/>
        <v>45339</v>
      </c>
      <c r="AE55" s="55">
        <f t="shared" ca="1" si="20"/>
        <v>45339</v>
      </c>
      <c r="AF55" s="55">
        <f t="shared" ca="1" si="21"/>
        <v>104.38311857834283</v>
      </c>
      <c r="AG55" s="55">
        <f t="shared" ca="1" si="22"/>
        <v>5.5407327111244244</v>
      </c>
      <c r="AH55" s="55">
        <f t="shared" ca="1" si="23"/>
        <v>0</v>
      </c>
      <c r="AI55" s="55">
        <f t="shared" ca="1" si="17"/>
        <v>0</v>
      </c>
      <c r="AJ55" s="55">
        <f t="shared" ca="1" si="18"/>
        <v>33.658265671533314</v>
      </c>
      <c r="AK55" s="55">
        <f t="shared" ca="1" si="19"/>
        <v>51.198279735499852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Interface'!M9,0)&amp;" kg N/ha to the current crop"</f>
        <v>Previous crop residues are providing -6 kg N/ha to the current crop</v>
      </c>
      <c r="R56" s="83">
        <f ca="1"/>
        <v>45254</v>
      </c>
      <c r="S56" s="55">
        <f t="shared" ca="1" si="11"/>
        <v>45254</v>
      </c>
      <c r="T56" s="55">
        <f t="shared" ca="1" si="0"/>
        <v>57.72632590661123</v>
      </c>
      <c r="U56" s="55">
        <f t="shared" ca="1" si="1"/>
        <v>14.688872663384984</v>
      </c>
      <c r="V56" s="55">
        <f t="shared" ca="1" si="2"/>
        <v>0</v>
      </c>
      <c r="W56" s="55">
        <f t="shared" ca="1" si="12"/>
        <v>-9.1508924050400129</v>
      </c>
      <c r="X56" s="55">
        <f t="shared" ca="1" si="13"/>
        <v>34.084865533423766</v>
      </c>
      <c r="Y56" s="55">
        <f t="shared" ca="1" si="14"/>
        <v>-6.0557329054422571</v>
      </c>
      <c r="Z56">
        <f t="shared" ca="1" si="3"/>
        <v>120</v>
      </c>
      <c r="AA56">
        <f t="shared" ca="1" si="15"/>
        <v>27.357797073386635</v>
      </c>
      <c r="AB56">
        <f t="shared" ca="1" si="4"/>
        <v>0</v>
      </c>
      <c r="AC56">
        <f t="shared" ca="1" si="5"/>
        <v>0.35838685576611323</v>
      </c>
      <c r="AD56" s="83">
        <f ca="1"/>
        <v>45340</v>
      </c>
      <c r="AE56" s="55">
        <f t="shared" ca="1" si="20"/>
        <v>45340</v>
      </c>
      <c r="AF56" s="55">
        <f t="shared" ca="1" si="21"/>
        <v>104.91579395794324</v>
      </c>
      <c r="AG56" s="55">
        <f t="shared" ca="1" si="22"/>
        <v>5.8517766687883048</v>
      </c>
      <c r="AH56" s="55">
        <f t="shared" ca="1" si="23"/>
        <v>0</v>
      </c>
      <c r="AI56" s="55">
        <f t="shared" ca="1" si="17"/>
        <v>0</v>
      </c>
      <c r="AJ56" s="55">
        <f t="shared" ca="1" si="18"/>
        <v>34.434448024352847</v>
      </c>
      <c r="AK56" s="55">
        <f t="shared" ca="1" si="19"/>
        <v>51.265816719944617</v>
      </c>
    </row>
    <row r="57" spans="2:37" s="55" customFormat="1" ht="15" thickBot="1">
      <c r="C57" s="129" t="s">
        <v>155</v>
      </c>
      <c r="D57" s="129"/>
      <c r="E57" s="129"/>
      <c r="F57" s="129"/>
      <c r="G57" s="129"/>
      <c r="H57" s="129"/>
      <c r="R57" s="83">
        <f ca="1"/>
        <v>45255</v>
      </c>
      <c r="S57" s="55">
        <f t="shared" ca="1" si="11"/>
        <v>45255</v>
      </c>
      <c r="T57" s="55">
        <f t="shared" ca="1" si="0"/>
        <v>57.610646637579762</v>
      </c>
      <c r="U57" s="55">
        <f t="shared" ca="1" si="1"/>
        <v>15.5727250453444</v>
      </c>
      <c r="V57" s="55">
        <f t="shared" ca="1" si="2"/>
        <v>0</v>
      </c>
      <c r="W57" s="55">
        <f t="shared" ca="1" si="12"/>
        <v>-9.3664958856382299</v>
      </c>
      <c r="X57" s="55">
        <f t="shared" ca="1" si="13"/>
        <v>35.115523211131709</v>
      </c>
      <c r="Y57" s="55">
        <f t="shared" ca="1" si="14"/>
        <v>-6.1026139896240368</v>
      </c>
      <c r="Z57">
        <f t="shared" ca="1" si="3"/>
        <v>120</v>
      </c>
      <c r="AA57">
        <f t="shared" ca="1" si="15"/>
        <v>28.007797073386641</v>
      </c>
      <c r="AB57">
        <f t="shared" ca="1" si="4"/>
        <v>0</v>
      </c>
      <c r="AC57">
        <f t="shared" ca="1" si="5"/>
        <v>0.39293752084751288</v>
      </c>
      <c r="AD57" s="83">
        <f ca="1"/>
        <v>45341</v>
      </c>
      <c r="AE57" s="55">
        <f t="shared" ca="1" si="20"/>
        <v>45341</v>
      </c>
      <c r="AF57" s="55">
        <f t="shared" ca="1" si="21"/>
        <v>105.41347003353698</v>
      </c>
      <c r="AG57" s="55">
        <f t="shared" ca="1" si="22"/>
        <v>6.1797788050245996</v>
      </c>
      <c r="AH57" s="55">
        <f t="shared" ca="1" si="23"/>
        <v>0</v>
      </c>
      <c r="AI57" s="55">
        <f t="shared" ca="1" si="17"/>
        <v>0</v>
      </c>
      <c r="AJ57" s="55">
        <f t="shared" ca="1" si="18"/>
        <v>35.19824812576951</v>
      </c>
      <c r="AK57" s="55">
        <f t="shared" ca="1" si="19"/>
        <v>51.327694830357991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45256</v>
      </c>
      <c r="S58" s="55">
        <f t="shared" ca="1" si="11"/>
        <v>45256</v>
      </c>
      <c r="T58" s="55">
        <f t="shared" ca="1" si="0"/>
        <v>57.663145060277962</v>
      </c>
      <c r="U58" s="55">
        <f t="shared" ca="1" si="1"/>
        <v>16.511761756251264</v>
      </c>
      <c r="V58" s="55">
        <f t="shared" ca="1" si="2"/>
        <v>0</v>
      </c>
      <c r="W58" s="55">
        <f t="shared" ca="1" si="12"/>
        <v>-9.3664958856382299</v>
      </c>
      <c r="X58" s="55">
        <f t="shared" ca="1" si="13"/>
        <v>36.150342572499774</v>
      </c>
      <c r="Y58" s="55">
        <f t="shared" ca="1" si="14"/>
        <v>-6.1458982173870389</v>
      </c>
      <c r="Z58">
        <f t="shared" ca="1" si="3"/>
        <v>119.59818181818181</v>
      </c>
      <c r="AA58">
        <f t="shared" ca="1" si="15"/>
        <v>28.007797073386641</v>
      </c>
      <c r="AB58">
        <f t="shared" ca="1" si="4"/>
        <v>0</v>
      </c>
      <c r="AC58">
        <f t="shared" ca="1" si="5"/>
        <v>0.42857236712310354</v>
      </c>
      <c r="AD58" s="83">
        <f ca="1"/>
        <v>45342</v>
      </c>
      <c r="AE58" s="55">
        <f t="shared" ca="1" si="20"/>
        <v>45342</v>
      </c>
      <c r="AF58" s="55">
        <f t="shared" ca="1" si="21"/>
        <v>105.91659567194247</v>
      </c>
      <c r="AG58" s="55">
        <f t="shared" ca="1" si="22"/>
        <v>6.5272514259740522</v>
      </c>
      <c r="AH58" s="55">
        <f t="shared" ca="1" si="23"/>
        <v>0</v>
      </c>
      <c r="AI58" s="55">
        <f t="shared" ca="1" si="17"/>
        <v>0</v>
      </c>
      <c r="AJ58" s="55">
        <f t="shared" ca="1" si="18"/>
        <v>35.991554670027988</v>
      </c>
      <c r="AK58" s="55">
        <f t="shared" ca="1" si="19"/>
        <v>51.38498654545446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45257</v>
      </c>
      <c r="S59" s="55">
        <f t="shared" ca="1" si="11"/>
        <v>45257</v>
      </c>
      <c r="T59" s="55">
        <f t="shared" ca="1" si="0"/>
        <v>57.091854054670812</v>
      </c>
      <c r="U59" s="55">
        <f t="shared" ca="1" si="1"/>
        <v>17.470922744943902</v>
      </c>
      <c r="V59" s="55">
        <f t="shared" ca="1" si="2"/>
        <v>0</v>
      </c>
      <c r="W59" s="55">
        <f t="shared" ca="1" si="12"/>
        <v>-9.9449360104770825</v>
      </c>
      <c r="X59" s="55">
        <f t="shared" ca="1" si="13"/>
        <v>37.155421875896614</v>
      </c>
      <c r="Y59" s="55">
        <f t="shared" ca="1" si="14"/>
        <v>-6.1846674128595414</v>
      </c>
      <c r="Z59">
        <f t="shared" ca="1" si="3"/>
        <v>120</v>
      </c>
      <c r="AA59">
        <f t="shared" ca="1" si="15"/>
        <v>29.767521259663269</v>
      </c>
      <c r="AB59">
        <f t="shared" ca="1" si="4"/>
        <v>0</v>
      </c>
      <c r="AC59">
        <f t="shared" ca="1" si="5"/>
        <v>0.46354172970832391</v>
      </c>
      <c r="AD59" s="83">
        <f ca="1"/>
        <v>45343</v>
      </c>
      <c r="AE59" s="55">
        <f t="shared" ca="1" si="20"/>
        <v>45343</v>
      </c>
      <c r="AF59" s="55">
        <f t="shared" ca="1" si="21"/>
        <v>106.40212339970623</v>
      </c>
      <c r="AG59" s="55">
        <f t="shared" ca="1" si="22"/>
        <v>6.8922822169002602</v>
      </c>
      <c r="AH59" s="55">
        <f t="shared" ca="1" si="23"/>
        <v>0</v>
      </c>
      <c r="AI59" s="55">
        <f t="shared" ca="1" si="17"/>
        <v>0</v>
      </c>
      <c r="AJ59" s="55">
        <f t="shared" ca="1" si="18"/>
        <v>36.789411903929732</v>
      </c>
      <c r="AK59" s="55">
        <f t="shared" ca="1" si="19"/>
        <v>51.437687830242673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45258</v>
      </c>
      <c r="S60" s="55">
        <f t="shared" ca="1" si="11"/>
        <v>45258</v>
      </c>
      <c r="T60" s="55">
        <f t="shared" ca="1" si="0"/>
        <v>55.762542928891413</v>
      </c>
      <c r="U60" s="55">
        <f t="shared" ca="1" si="1"/>
        <v>18.475028419651856</v>
      </c>
      <c r="V60" s="55">
        <f t="shared" ca="1" si="2"/>
        <v>0</v>
      </c>
      <c r="W60" s="55">
        <f t="shared" ca="1" si="12"/>
        <v>-11.233338013719257</v>
      </c>
      <c r="X60" s="55">
        <f t="shared" ca="1" si="13"/>
        <v>38.153962900170079</v>
      </c>
      <c r="Y60" s="55">
        <f t="shared" ca="1" si="14"/>
        <v>-6.2200118849622745</v>
      </c>
      <c r="Z60">
        <f t="shared" ca="1" si="3"/>
        <v>120</v>
      </c>
      <c r="AA60">
        <f t="shared" ca="1" si="15"/>
        <v>33.78052125966326</v>
      </c>
      <c r="AB60">
        <f t="shared" ca="1" si="4"/>
        <v>0</v>
      </c>
      <c r="AC60">
        <f t="shared" ca="1" si="5"/>
        <v>0.49836942547914392</v>
      </c>
      <c r="AD60" s="83">
        <f ca="1"/>
        <v>45344</v>
      </c>
      <c r="AE60" s="55">
        <f t="shared" ca="1" si="20"/>
        <v>45344</v>
      </c>
      <c r="AF60" s="55">
        <f t="shared" ca="1" si="21"/>
        <v>106.84110430563872</v>
      </c>
      <c r="AG60" s="55">
        <f t="shared" ca="1" si="22"/>
        <v>7.2727661610068237</v>
      </c>
      <c r="AH60" s="55">
        <f t="shared" ca="1" si="23"/>
        <v>0</v>
      </c>
      <c r="AI60" s="55">
        <f t="shared" ca="1" si="17"/>
        <v>0</v>
      </c>
      <c r="AJ60" s="55">
        <f t="shared" ca="1" si="18"/>
        <v>37.560606366762485</v>
      </c>
      <c r="AK60" s="55">
        <f t="shared" ca="1" si="19"/>
        <v>51.485958217448974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45259</v>
      </c>
      <c r="S61" s="55">
        <f t="shared" ca="1" si="11"/>
        <v>45259</v>
      </c>
      <c r="T61" s="55">
        <f t="shared" ca="1" si="0"/>
        <v>55.488199766545904</v>
      </c>
      <c r="U61" s="55">
        <f t="shared" ca="1" si="1"/>
        <v>19.54514618153615</v>
      </c>
      <c r="V61" s="55">
        <f t="shared" ca="1" si="2"/>
        <v>0</v>
      </c>
      <c r="W61" s="55">
        <f t="shared" ca="1" si="12"/>
        <v>-11.412564898965202</v>
      </c>
      <c r="X61" s="55">
        <f t="shared" ca="1" si="13"/>
        <v>39.161500675061035</v>
      </c>
      <c r="Y61" s="55">
        <f t="shared" ca="1" si="14"/>
        <v>-6.252548175068501</v>
      </c>
      <c r="Z61">
        <f t="shared" ca="1" si="3"/>
        <v>120</v>
      </c>
      <c r="AA61">
        <f t="shared" ca="1" si="15"/>
        <v>34.341521259663267</v>
      </c>
      <c r="AB61">
        <f t="shared" ca="1" si="4"/>
        <v>0</v>
      </c>
      <c r="AC61">
        <f t="shared" ca="1" si="5"/>
        <v>0.53330873244187915</v>
      </c>
      <c r="AD61" s="83">
        <f ca="1"/>
        <v>45345</v>
      </c>
      <c r="AE61" s="55">
        <f t="shared" ca="1" si="20"/>
        <v>45345</v>
      </c>
      <c r="AF61" s="55">
        <f t="shared" ca="1" si="21"/>
        <v>107.26558986399581</v>
      </c>
      <c r="AG61" s="55">
        <f t="shared" ca="1" si="22"/>
        <v>7.6732844047262843</v>
      </c>
      <c r="AH61" s="55">
        <f t="shared" ca="1" si="23"/>
        <v>0</v>
      </c>
      <c r="AI61" s="55">
        <f t="shared" ca="1" si="17"/>
        <v>0</v>
      </c>
      <c r="AJ61" s="55">
        <f t="shared" ca="1" si="18"/>
        <v>38.34054943013718</v>
      </c>
      <c r="AK61" s="55">
        <f t="shared" ca="1" si="19"/>
        <v>51.531018956150824</v>
      </c>
    </row>
    <row r="62" spans="2:37" s="55" customFormat="1">
      <c r="C62" s="61" t="s">
        <v>4</v>
      </c>
      <c r="D62" s="68">
        <f>IF(E62="",CurrentHarvestDate+15,E62)</f>
        <v>45316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45260</v>
      </c>
      <c r="S62" s="55">
        <f t="shared" ca="1" si="11"/>
        <v>45260</v>
      </c>
      <c r="T62" s="55">
        <f t="shared" ca="1" si="0"/>
        <v>55.103218334726478</v>
      </c>
      <c r="U62" s="55">
        <f t="shared" ca="1" si="1"/>
        <v>20.704427364353485</v>
      </c>
      <c r="V62" s="55">
        <f t="shared" ca="1" si="2"/>
        <v>0</v>
      </c>
      <c r="W62" s="55">
        <f t="shared" ca="1" si="12"/>
        <v>-11.638771959201732</v>
      </c>
      <c r="X62" s="55">
        <f t="shared" ca="1" si="13"/>
        <v>40.192158352768978</v>
      </c>
      <c r="Y62" s="55">
        <f t="shared" ca="1" si="14"/>
        <v>-6.2826990415420045</v>
      </c>
      <c r="Z62">
        <f t="shared" ca="1" si="3"/>
        <v>120</v>
      </c>
      <c r="AA62">
        <f t="shared" ca="1" si="15"/>
        <v>35.054521259663275</v>
      </c>
      <c r="AB62">
        <f t="shared" ca="1" si="4"/>
        <v>0</v>
      </c>
      <c r="AC62">
        <f t="shared" ca="1" si="5"/>
        <v>0.56851771692445874</v>
      </c>
      <c r="AD62" s="83">
        <f ca="1"/>
        <v>45346</v>
      </c>
      <c r="AE62" s="55">
        <f t="shared" ca="1" si="20"/>
        <v>45346</v>
      </c>
      <c r="AF62" s="55">
        <f t="shared" ca="1" si="21"/>
        <v>107.63436554752697</v>
      </c>
      <c r="AG62" s="55">
        <f t="shared" ca="1" si="22"/>
        <v>8.0853456235735059</v>
      </c>
      <c r="AH62" s="55">
        <f t="shared" ca="1" si="23"/>
        <v>0</v>
      </c>
      <c r="AI62" s="55">
        <f t="shared" ca="1" si="17"/>
        <v>0</v>
      </c>
      <c r="AJ62" s="55">
        <f t="shared" ca="1" si="18"/>
        <v>39.080306515738407</v>
      </c>
      <c r="AK62" s="55">
        <f t="shared" ca="1" si="19"/>
        <v>51.572098772927973</v>
      </c>
    </row>
    <row r="63" spans="2:37" s="55" customFormat="1">
      <c r="C63" s="61" t="s">
        <v>5</v>
      </c>
      <c r="D63" s="68">
        <f>IF(E63="",FollowingEstablishDate+120,E63)</f>
        <v>45436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45261</v>
      </c>
      <c r="S63" s="55">
        <f t="shared" ca="1" si="11"/>
        <v>45261</v>
      </c>
      <c r="T63" s="55">
        <f t="shared" ca="1" si="0"/>
        <v>54.874241367962014</v>
      </c>
      <c r="U63" s="55">
        <f t="shared" ca="1" si="1"/>
        <v>21.957266293399595</v>
      </c>
      <c r="V63" s="55">
        <f t="shared" ca="1" si="2"/>
        <v>0</v>
      </c>
      <c r="W63" s="55">
        <f t="shared" ca="1" si="12"/>
        <v>-11.638771959201732</v>
      </c>
      <c r="X63" s="55">
        <f t="shared" ca="1" si="13"/>
        <v>41.243724933029689</v>
      </c>
      <c r="Y63" s="55">
        <f t="shared" ca="1" si="14"/>
        <v>-6.3104036595210768</v>
      </c>
      <c r="Z63">
        <f t="shared" ca="1" si="3"/>
        <v>118.10727272727273</v>
      </c>
      <c r="AA63">
        <f t="shared" ca="1" si="15"/>
        <v>35.054521259663275</v>
      </c>
      <c r="AB63">
        <f t="shared" ca="1" si="4"/>
        <v>0</v>
      </c>
      <c r="AC63">
        <f t="shared" ca="1" si="5"/>
        <v>0.60346295227691105</v>
      </c>
      <c r="AD63" s="83">
        <f ca="1"/>
        <v>45347</v>
      </c>
      <c r="AE63" s="55">
        <f t="shared" ca="1" si="20"/>
        <v>45347</v>
      </c>
      <c r="AF63" s="55">
        <f t="shared" ca="1" si="21"/>
        <v>107.94167624175506</v>
      </c>
      <c r="AG63" s="55">
        <f t="shared" ca="1" si="22"/>
        <v>8.5070696490402486</v>
      </c>
      <c r="AH63" s="55">
        <f t="shared" ca="1" si="23"/>
        <v>0</v>
      </c>
      <c r="AI63" s="55">
        <f t="shared" ca="1" si="17"/>
        <v>0</v>
      </c>
      <c r="AJ63" s="55">
        <f t="shared" ca="1" si="18"/>
        <v>39.771819071423316</v>
      </c>
      <c r="AK63" s="55">
        <f t="shared" ca="1" si="19"/>
        <v>51.609620936937908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45262</v>
      </c>
      <c r="S64" s="55">
        <f t="shared" ca="1" si="11"/>
        <v>45262</v>
      </c>
      <c r="T64" s="55">
        <f t="shared" ca="1" si="0"/>
        <v>53.283009917989531</v>
      </c>
      <c r="U64" s="55">
        <f t="shared" ca="1" si="1"/>
        <v>23.331320449101252</v>
      </c>
      <c r="V64" s="55">
        <f t="shared" ca="1" si="2"/>
        <v>0</v>
      </c>
      <c r="W64" s="55">
        <f t="shared" ca="1" si="12"/>
        <v>-12.916813557054871</v>
      </c>
      <c r="X64" s="55">
        <f t="shared" ca="1" si="13"/>
        <v>42.330126461917104</v>
      </c>
      <c r="Y64" s="55">
        <f t="shared" ca="1" si="14"/>
        <v>-6.3359408848261749</v>
      </c>
      <c r="Z64">
        <f t="shared" ca="1" si="3"/>
        <v>120</v>
      </c>
      <c r="AA64">
        <f t="shared" ca="1" si="15"/>
        <v>39.220495484553481</v>
      </c>
      <c r="AB64">
        <f t="shared" ca="1" si="4"/>
        <v>0</v>
      </c>
      <c r="AC64">
        <f t="shared" ca="1" si="5"/>
        <v>0.63817789412554093</v>
      </c>
      <c r="AD64" s="83">
        <f ca="1"/>
        <v>45348</v>
      </c>
      <c r="AE64" s="55">
        <f t="shared" ca="1" si="20"/>
        <v>45348</v>
      </c>
      <c r="AF64" s="55">
        <f t="shared" ca="1" si="21"/>
        <v>108.2173144729052</v>
      </c>
      <c r="AG64" s="55">
        <f t="shared" ca="1" si="22"/>
        <v>8.9525886952389673</v>
      </c>
      <c r="AH64" s="55">
        <f t="shared" ca="1" si="23"/>
        <v>0</v>
      </c>
      <c r="AI64" s="55">
        <f t="shared" ca="1" si="17"/>
        <v>0</v>
      </c>
      <c r="AJ64" s="55">
        <f t="shared" ca="1" si="18"/>
        <v>40.45735621685585</v>
      </c>
      <c r="AK64" s="55">
        <f t="shared" ca="1" si="19"/>
        <v>51.645241068854219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45263</v>
      </c>
      <c r="S65" s="55">
        <f t="shared" ca="1" si="11"/>
        <v>45263</v>
      </c>
      <c r="T65" s="55">
        <f t="shared" ca="1" si="0"/>
        <v>52.87956336838333</v>
      </c>
      <c r="U65" s="55">
        <f t="shared" ca="1" si="1"/>
        <v>24.823094433191333</v>
      </c>
      <c r="V65" s="55">
        <f t="shared" ca="1" si="2"/>
        <v>0</v>
      </c>
      <c r="W65" s="55">
        <f t="shared" ca="1" si="12"/>
        <v>-12.916813557054871</v>
      </c>
      <c r="X65" s="55">
        <f t="shared" ca="1" si="13"/>
        <v>43.441576275806028</v>
      </c>
      <c r="Y65" s="55">
        <f t="shared" ca="1" si="14"/>
        <v>-6.3590632642312208</v>
      </c>
      <c r="Z65">
        <f t="shared" ca="1" si="3"/>
        <v>118.23090909090907</v>
      </c>
      <c r="AA65">
        <f t="shared" ca="1" si="15"/>
        <v>39.220495484553481</v>
      </c>
      <c r="AB65">
        <f t="shared" ca="1" si="4"/>
        <v>0</v>
      </c>
      <c r="AC65">
        <f t="shared" ca="1" si="5"/>
        <v>0.67182538064007458</v>
      </c>
      <c r="AD65" s="83">
        <f ca="1"/>
        <v>45349</v>
      </c>
      <c r="AE65" s="55">
        <f t="shared" ca="1" si="20"/>
        <v>45349</v>
      </c>
      <c r="AF65" s="55">
        <f t="shared" ca="1" si="21"/>
        <v>108.4546852123305</v>
      </c>
      <c r="AG65" s="55">
        <f t="shared" ca="1" si="22"/>
        <v>9.42326478777278</v>
      </c>
      <c r="AH65" s="55">
        <f t="shared" ca="1" si="23"/>
        <v>0</v>
      </c>
      <c r="AI65" s="55">
        <f t="shared" ca="1" si="17"/>
        <v>0</v>
      </c>
      <c r="AJ65" s="55">
        <f t="shared" ca="1" si="18"/>
        <v>41.132416371504775</v>
      </c>
      <c r="AK65" s="55">
        <f t="shared" ca="1" si="19"/>
        <v>51.678227746164403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45264</v>
      </c>
      <c r="S66" s="55">
        <f t="shared" ca="1" si="11"/>
        <v>45264</v>
      </c>
      <c r="T66" s="55">
        <f t="shared" ca="1" si="0"/>
        <v>50.728835767430624</v>
      </c>
      <c r="U66" s="55">
        <f t="shared" ca="1" si="1"/>
        <v>26.40999416434855</v>
      </c>
      <c r="V66" s="55">
        <f t="shared" ca="1" si="2"/>
        <v>0</v>
      </c>
      <c r="W66" s="55">
        <f t="shared" ca="1" si="12"/>
        <v>-14.576055462057957</v>
      </c>
      <c r="X66" s="55">
        <f t="shared" ca="1" si="13"/>
        <v>44.557379039166563</v>
      </c>
      <c r="Y66" s="55">
        <f t="shared" ca="1" si="14"/>
        <v>-6.3794519923841593</v>
      </c>
      <c r="Z66">
        <f t="shared" ca="1" si="3"/>
        <v>120</v>
      </c>
      <c r="AA66">
        <f t="shared" ca="1" si="15"/>
        <v>44.901369409274295</v>
      </c>
      <c r="AB66">
        <f t="shared" ca="1" si="4"/>
        <v>0</v>
      </c>
      <c r="AC66">
        <f t="shared" ca="1" si="5"/>
        <v>0.70337429279962482</v>
      </c>
      <c r="AD66" s="83">
        <f ca="1"/>
        <v>45350</v>
      </c>
      <c r="AE66" s="55">
        <f t="shared" ca="1" si="20"/>
        <v>45350</v>
      </c>
      <c r="AF66" s="55">
        <f t="shared" ca="1" si="21"/>
        <v>108.6742339498138</v>
      </c>
      <c r="AG66" s="55">
        <f t="shared" ca="1" si="22"/>
        <v>9.9101435195614638</v>
      </c>
      <c r="AH66" s="55">
        <f t="shared" ca="1" si="23"/>
        <v>0</v>
      </c>
      <c r="AI66" s="55">
        <f t="shared" ca="1" si="17"/>
        <v>0</v>
      </c>
      <c r="AJ66" s="55">
        <f t="shared" ca="1" si="18"/>
        <v>41.806901929570024</v>
      </c>
      <c r="AK66" s="55">
        <f t="shared" ca="1" si="19"/>
        <v>51.710169657371125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Interface'!L9,0)&amp;" kg N/ha"</f>
        <v>Following crop will take up 160 kg N/ha</v>
      </c>
      <c r="R67" s="83">
        <f ca="1"/>
        <v>45265</v>
      </c>
      <c r="S67" s="55">
        <f t="shared" ca="1" si="11"/>
        <v>45265</v>
      </c>
      <c r="T67" s="55">
        <f t="shared" ca="1" si="0"/>
        <v>48.888101725144956</v>
      </c>
      <c r="U67" s="55">
        <f t="shared" ca="1" si="1"/>
        <v>28.063922737886294</v>
      </c>
      <c r="V67" s="55">
        <f t="shared" ca="1" si="2"/>
        <v>0</v>
      </c>
      <c r="W67" s="55">
        <f t="shared" ca="1" si="12"/>
        <v>-15.845516503520884</v>
      </c>
      <c r="X67" s="55">
        <f t="shared" ca="1" si="13"/>
        <v>45.657558378815075</v>
      </c>
      <c r="Y67" s="55">
        <f t="shared" ca="1" si="14"/>
        <v>-6.3969757593176695</v>
      </c>
      <c r="Z67">
        <f t="shared" ca="1" si="3"/>
        <v>120</v>
      </c>
      <c r="AA67">
        <f t="shared" ca="1" si="15"/>
        <v>49.411369409274286</v>
      </c>
      <c r="AB67">
        <f t="shared" ca="1" si="4"/>
        <v>0</v>
      </c>
      <c r="AC67">
        <f t="shared" ca="1" si="5"/>
        <v>0.7320789310941499</v>
      </c>
      <c r="AD67" s="83">
        <f ca="1"/>
        <v>45351</v>
      </c>
      <c r="AE67" s="55">
        <f t="shared" ca="1" si="20"/>
        <v>45351</v>
      </c>
      <c r="AF67" s="55">
        <f t="shared" ca="1" si="21"/>
        <v>108.89002846831161</v>
      </c>
      <c r="AG67" s="55">
        <f t="shared" ca="1" si="22"/>
        <v>10.422653266784087</v>
      </c>
      <c r="AH67" s="55">
        <f t="shared" ca="1" si="23"/>
        <v>0</v>
      </c>
      <c r="AI67" s="55">
        <f t="shared" ca="1" si="17"/>
        <v>0</v>
      </c>
      <c r="AJ67" s="55">
        <f t="shared" ca="1" si="18"/>
        <v>42.503975402561075</v>
      </c>
      <c r="AK67" s="55">
        <f t="shared" ca="1" si="19"/>
        <v>51.741400450100507</v>
      </c>
    </row>
    <row r="68" spans="2:37" ht="15" thickBot="1">
      <c r="C68" s="131" t="s">
        <v>186</v>
      </c>
      <c r="D68" s="131"/>
      <c r="E68" s="131"/>
      <c r="F68" s="131"/>
      <c r="G68" s="131"/>
      <c r="H68" s="131"/>
      <c r="R68" s="83">
        <f ca="1"/>
        <v>45266</v>
      </c>
      <c r="S68" s="55">
        <f t="shared" ca="1" si="11"/>
        <v>45266</v>
      </c>
      <c r="T68" s="55">
        <f t="shared" ca="1" si="0"/>
        <v>47.575763466139691</v>
      </c>
      <c r="U68" s="55">
        <f t="shared" ca="1" si="1"/>
        <v>29.81720506584838</v>
      </c>
      <c r="V68" s="55">
        <f t="shared" ca="1" si="2"/>
        <v>0</v>
      </c>
      <c r="W68" s="55">
        <f t="shared" ca="1" si="12"/>
        <v>-16.492244131801964</v>
      </c>
      <c r="X68" s="55">
        <f t="shared" ca="1" si="13"/>
        <v>46.760332547686865</v>
      </c>
      <c r="Y68" s="55">
        <f t="shared" ca="1" si="14"/>
        <v>-6.4120782309515594</v>
      </c>
      <c r="Z68">
        <f t="shared" ca="1" si="3"/>
        <v>120</v>
      </c>
      <c r="AA68">
        <f t="shared" ca="1" si="15"/>
        <v>51.77236940927429</v>
      </c>
      <c r="AB68">
        <f t="shared" ca="1" si="4"/>
        <v>0</v>
      </c>
      <c r="AC68">
        <f t="shared" ca="1" si="5"/>
        <v>0.7584174420885631</v>
      </c>
      <c r="AD68" s="83">
        <f ca="1"/>
        <v>45352</v>
      </c>
      <c r="AE68" s="55">
        <f t="shared" ca="1" si="20"/>
        <v>45352</v>
      </c>
      <c r="AF68" s="55">
        <f t="shared" ca="1" si="21"/>
        <v>109.08226194039992</v>
      </c>
      <c r="AG68" s="55">
        <f t="shared" ca="1" si="22"/>
        <v>10.972017807390012</v>
      </c>
      <c r="AH68" s="55">
        <f t="shared" ca="1" si="23"/>
        <v>0</v>
      </c>
      <c r="AI68" s="55">
        <f t="shared" ca="1" si="17"/>
        <v>0</v>
      </c>
      <c r="AJ68" s="55">
        <f t="shared" ca="1" si="18"/>
        <v>43.214713530514338</v>
      </c>
      <c r="AK68" s="55">
        <f t="shared" ca="1" si="19"/>
        <v>51.772260334841462</v>
      </c>
    </row>
    <row r="69" spans="2:37">
      <c r="C69" s="61"/>
      <c r="D69" s="88"/>
      <c r="E69" s="99"/>
      <c r="R69" s="83">
        <f ca="1"/>
        <v>45267</v>
      </c>
      <c r="S69" s="55">
        <f t="shared" ca="1" si="11"/>
        <v>45267</v>
      </c>
      <c r="T69" s="55">
        <f t="shared" ca="1" si="0"/>
        <v>46.123524954683681</v>
      </c>
      <c r="U69" s="55">
        <f t="shared" ca="1" si="1"/>
        <v>31.585363866754882</v>
      </c>
      <c r="V69" s="55">
        <f t="shared" ca="1" si="2"/>
        <v>0</v>
      </c>
      <c r="W69" s="55">
        <f t="shared" ca="1" si="12"/>
        <v>-17.222267717228654</v>
      </c>
      <c r="X69" s="55">
        <f t="shared" ca="1" si="13"/>
        <v>47.818643056747767</v>
      </c>
      <c r="Y69" s="55">
        <f t="shared" ca="1" si="14"/>
        <v>-6.4244448651352712</v>
      </c>
      <c r="Z69">
        <f t="shared" ca="1" si="3"/>
        <v>120</v>
      </c>
      <c r="AA69">
        <f t="shared" ca="1" si="15"/>
        <v>54.521369409274286</v>
      </c>
      <c r="AB69">
        <f t="shared" ca="1" si="4"/>
        <v>0</v>
      </c>
      <c r="AC69">
        <f t="shared" ca="1" si="5"/>
        <v>0.78129016904928206</v>
      </c>
      <c r="AD69" s="83">
        <f ca="1"/>
        <v>45353</v>
      </c>
      <c r="AE69" s="55">
        <f t="shared" ca="1" si="20"/>
        <v>45353</v>
      </c>
      <c r="AF69" s="55">
        <f t="shared" ca="1" si="21"/>
        <v>109.25702106509362</v>
      </c>
      <c r="AG69" s="55">
        <f t="shared" ca="1" si="22"/>
        <v>11.550638918140006</v>
      </c>
      <c r="AH69" s="55">
        <f t="shared" ca="1" si="23"/>
        <v>0</v>
      </c>
      <c r="AI69" s="55">
        <f t="shared" ca="1" si="17"/>
        <v>0</v>
      </c>
      <c r="AJ69" s="55">
        <f t="shared" ca="1" si="18"/>
        <v>43.938218048851887</v>
      </c>
      <c r="AK69" s="55">
        <f t="shared" ca="1" si="19"/>
        <v>51.80213605194762</v>
      </c>
    </row>
    <row r="70" spans="2:37">
      <c r="C70" s="61"/>
      <c r="D70" s="84"/>
      <c r="E70" s="69"/>
      <c r="R70" s="83">
        <f ca="1"/>
        <v>45268</v>
      </c>
      <c r="S70" s="55">
        <f t="shared" ca="1" si="11"/>
        <v>45268</v>
      </c>
      <c r="T70" s="55">
        <f t="shared" ca="1" si="0"/>
        <v>45.297121602980262</v>
      </c>
      <c r="U70" s="55">
        <f t="shared" ca="1" si="1"/>
        <v>33.439657794619492</v>
      </c>
      <c r="V70" s="55">
        <f t="shared" ca="1" si="2"/>
        <v>0</v>
      </c>
      <c r="W70" s="55">
        <f t="shared" ca="1" si="12"/>
        <v>-17.238176615391641</v>
      </c>
      <c r="X70" s="55">
        <f t="shared" ca="1" si="13"/>
        <v>48.872735593046372</v>
      </c>
      <c r="Y70" s="55">
        <f t="shared" ca="1" si="14"/>
        <v>-6.4347379271096932</v>
      </c>
      <c r="Z70">
        <f t="shared" ca="1" si="3"/>
        <v>120</v>
      </c>
      <c r="AA70">
        <f t="shared" ca="1" si="15"/>
        <v>54.582369409274293</v>
      </c>
      <c r="AB70">
        <f t="shared" ca="1" si="4"/>
        <v>0</v>
      </c>
      <c r="AC70">
        <f t="shared" ca="1" si="5"/>
        <v>0.80187732844798809</v>
      </c>
      <c r="AD70" s="83">
        <f ca="1"/>
        <v>45354</v>
      </c>
      <c r="AE70" s="55">
        <f t="shared" ca="1" si="20"/>
        <v>45354</v>
      </c>
      <c r="AF70" s="55">
        <f t="shared" ca="1" si="21"/>
        <v>109.42022479066989</v>
      </c>
      <c r="AG70" s="55">
        <f t="shared" ca="1" si="22"/>
        <v>12.133813170021108</v>
      </c>
      <c r="AH70" s="55">
        <f t="shared" ca="1" si="23"/>
        <v>0</v>
      </c>
      <c r="AI70" s="55">
        <f t="shared" ca="1" si="17"/>
        <v>0</v>
      </c>
      <c r="AJ70" s="55">
        <f t="shared" ca="1" si="18"/>
        <v>44.657117431385672</v>
      </c>
      <c r="AK70" s="55">
        <f t="shared" ca="1" si="19"/>
        <v>51.829614646871192</v>
      </c>
    </row>
    <row r="71" spans="2:37">
      <c r="C71" s="61"/>
      <c r="D71" s="84"/>
      <c r="E71" s="69"/>
      <c r="R71" s="83">
        <f ca="1"/>
        <v>45269</v>
      </c>
      <c r="S71" s="55">
        <f t="shared" ca="1" si="11"/>
        <v>45269</v>
      </c>
      <c r="T71" s="55">
        <f t="shared" ca="1" si="0"/>
        <v>44.346857909404079</v>
      </c>
      <c r="U71" s="55">
        <f t="shared" ca="1" si="1"/>
        <v>35.47458038971299</v>
      </c>
      <c r="V71" s="55">
        <f t="shared" ca="1" si="2"/>
        <v>0</v>
      </c>
      <c r="W71" s="55">
        <f t="shared" ca="1" si="12"/>
        <v>-17.238176615391641</v>
      </c>
      <c r="X71" s="55">
        <f t="shared" ca="1" si="13"/>
        <v>49.966013128439748</v>
      </c>
      <c r="Y71" s="55">
        <f t="shared" ca="1" si="14"/>
        <v>-6.4433565609857535</v>
      </c>
      <c r="Z71">
        <f t="shared" ca="1" si="3"/>
        <v>117.01090909090911</v>
      </c>
      <c r="AA71">
        <f t="shared" ca="1" si="15"/>
        <v>54.582369409274293</v>
      </c>
      <c r="AB71">
        <f t="shared" ca="1" si="4"/>
        <v>0</v>
      </c>
      <c r="AC71">
        <f t="shared" ca="1" si="5"/>
        <v>0.82109114702923114</v>
      </c>
      <c r="AD71" s="83">
        <f ca="1"/>
        <v>45355</v>
      </c>
      <c r="AE71" s="55">
        <f t="shared" ca="1" si="20"/>
        <v>45355</v>
      </c>
      <c r="AF71" s="55">
        <f t="shared" ca="1" si="21"/>
        <v>109.54622583106909</v>
      </c>
      <c r="AG71" s="55">
        <f t="shared" ca="1" si="22"/>
        <v>12.741858061818204</v>
      </c>
      <c r="AH71" s="55">
        <f t="shared" ca="1" si="23"/>
        <v>0</v>
      </c>
      <c r="AI71" s="55">
        <f t="shared" ca="1" si="17"/>
        <v>0</v>
      </c>
      <c r="AJ71" s="55">
        <f t="shared" ca="1" si="18"/>
        <v>45.364637467227119</v>
      </c>
      <c r="AK71" s="55">
        <f t="shared" ca="1" si="19"/>
        <v>51.856140543226054</v>
      </c>
    </row>
    <row r="72" spans="2:37">
      <c r="C72" s="61"/>
      <c r="D72" s="84">
        <v>120</v>
      </c>
      <c r="E72" s="69">
        <v>120</v>
      </c>
      <c r="R72" s="83">
        <f ca="1"/>
        <v>45270</v>
      </c>
      <c r="S72" s="55">
        <f t="shared" ca="1" si="11"/>
        <v>45270</v>
      </c>
      <c r="T72" s="55">
        <f t="shared" ca="1" si="0"/>
        <v>43.297740578882241</v>
      </c>
      <c r="U72" s="55">
        <f t="shared" ca="1" si="1"/>
        <v>37.602582553730976</v>
      </c>
      <c r="V72" s="55">
        <f t="shared" ca="1" si="2"/>
        <v>0</v>
      </c>
      <c r="W72" s="55">
        <f t="shared" ca="1" si="12"/>
        <v>-17.238176615391641</v>
      </c>
      <c r="X72" s="55">
        <f t="shared" ca="1" si="13"/>
        <v>51.051556970008434</v>
      </c>
      <c r="Y72" s="55">
        <f t="shared" ca="1" si="14"/>
        <v>-6.4500155690582925</v>
      </c>
      <c r="Z72">
        <f t="shared" ca="1" si="3"/>
        <v>118.85698052059016</v>
      </c>
      <c r="AA72">
        <f t="shared" ca="1" si="15"/>
        <v>54.582369409274293</v>
      </c>
      <c r="AB72">
        <f t="shared" ca="1" si="4"/>
        <v>0</v>
      </c>
      <c r="AC72">
        <f t="shared" ca="1" si="5"/>
        <v>0.83803537030694863</v>
      </c>
      <c r="AD72" s="83">
        <f ca="1"/>
        <v>45356</v>
      </c>
      <c r="AE72" s="55">
        <f t="shared" ca="1" si="20"/>
        <v>45356</v>
      </c>
      <c r="AF72" s="55">
        <f t="shared" ca="1" si="21"/>
        <v>109.63720745471475</v>
      </c>
      <c r="AG72" s="55">
        <f t="shared" ca="1" si="22"/>
        <v>13.393293779939135</v>
      </c>
      <c r="AH72" s="55">
        <f t="shared" ca="1" si="23"/>
        <v>0</v>
      </c>
      <c r="AI72" s="55">
        <f t="shared" ca="1" si="17"/>
        <v>0</v>
      </c>
      <c r="AJ72" s="55">
        <f t="shared" ca="1" si="18"/>
        <v>46.080515776007964</v>
      </c>
      <c r="AK72" s="55">
        <f t="shared" ca="1" si="19"/>
        <v>51.8826795762118</v>
      </c>
    </row>
    <row r="73" spans="2:37">
      <c r="R73" s="83">
        <f ca="1"/>
        <v>45271</v>
      </c>
      <c r="S73" s="55">
        <f t="shared" ca="1" si="11"/>
        <v>45271</v>
      </c>
      <c r="T73" s="55">
        <f t="shared" ca="1" si="0"/>
        <v>42.070932950773418</v>
      </c>
      <c r="U73" s="55">
        <f t="shared" ca="1" si="1"/>
        <v>39.951509187801157</v>
      </c>
      <c r="V73" s="55">
        <f t="shared" ca="1" si="2"/>
        <v>0</v>
      </c>
      <c r="W73" s="55">
        <f t="shared" ca="1" si="12"/>
        <v>-17.238176615391641</v>
      </c>
      <c r="X73" s="55">
        <f t="shared" ca="1" si="13"/>
        <v>52.178696590439223</v>
      </c>
      <c r="Y73" s="55">
        <f t="shared" ca="1" si="14"/>
        <v>-6.4550361835277243</v>
      </c>
      <c r="Z73">
        <f t="shared" ca="1" si="3"/>
        <v>114.81476991516051</v>
      </c>
      <c r="AA73">
        <f t="shared" ca="1" si="15"/>
        <v>54.582369409274293</v>
      </c>
      <c r="AB73">
        <f t="shared" ca="1" si="4"/>
        <v>0</v>
      </c>
      <c r="AC73">
        <f t="shared" ca="1" si="5"/>
        <v>0.85367439042307525</v>
      </c>
      <c r="AD73" s="83">
        <f ca="1"/>
        <v>45357</v>
      </c>
      <c r="AE73" s="55">
        <f t="shared" ca="1" si="20"/>
        <v>45357</v>
      </c>
      <c r="AF73" s="55">
        <f t="shared" ca="1" si="21"/>
        <v>109.68590614912083</v>
      </c>
      <c r="AG73" s="55">
        <f t="shared" ca="1" si="22"/>
        <v>14.054105681942554</v>
      </c>
      <c r="AH73" s="55">
        <f t="shared" ca="1" si="23"/>
        <v>0</v>
      </c>
      <c r="AI73" s="55">
        <f t="shared" ca="1" si="17"/>
        <v>0</v>
      </c>
      <c r="AJ73" s="55">
        <f t="shared" ca="1" si="18"/>
        <v>46.765166265513763</v>
      </c>
      <c r="AK73" s="55">
        <f t="shared" ca="1" si="19"/>
        <v>51.907539683115488</v>
      </c>
    </row>
    <row r="74" spans="2:37">
      <c r="R74" s="83">
        <f ca="1"/>
        <v>45272</v>
      </c>
      <c r="S74" s="55">
        <f t="shared" ca="1" si="11"/>
        <v>45272</v>
      </c>
      <c r="T74" s="55">
        <f t="shared" ca="1" si="0"/>
        <v>40.647578194705744</v>
      </c>
      <c r="U74" s="55">
        <f t="shared" ca="1" si="1"/>
        <v>42.526141197543829</v>
      </c>
      <c r="V74" s="55">
        <f t="shared" ca="1" si="2"/>
        <v>0</v>
      </c>
      <c r="W74" s="55">
        <f t="shared" ca="1" si="12"/>
        <v>-17.238176615391641</v>
      </c>
      <c r="X74" s="55">
        <f t="shared" ca="1" si="13"/>
        <v>53.333256907451094</v>
      </c>
      <c r="Y74" s="55">
        <f t="shared" ca="1" si="14"/>
        <v>-6.4583192468646002</v>
      </c>
      <c r="Z74">
        <f t="shared" ca="1" si="3"/>
        <v>113.71698082986667</v>
      </c>
      <c r="AA74">
        <f t="shared" ca="1" si="15"/>
        <v>54.582369409274293</v>
      </c>
      <c r="AB74">
        <f t="shared" ca="1" si="4"/>
        <v>0</v>
      </c>
      <c r="AC74">
        <f t="shared" ca="1" si="5"/>
        <v>0.86783101960612674</v>
      </c>
      <c r="AD74" s="83">
        <f ca="1"/>
        <v>45358</v>
      </c>
      <c r="AE74" s="55">
        <f t="shared" ca="1" si="20"/>
        <v>45358</v>
      </c>
      <c r="AF74" s="55">
        <f t="shared" ca="1" si="21"/>
        <v>109.67749396817653</v>
      </c>
      <c r="AG74" s="55">
        <f t="shared" ca="1" si="22"/>
        <v>14.759102651217722</v>
      </c>
      <c r="AH74" s="55">
        <f t="shared" ca="1" si="23"/>
        <v>0</v>
      </c>
      <c r="AI74" s="55">
        <f t="shared" ca="1" si="17"/>
        <v>0</v>
      </c>
      <c r="AJ74" s="55">
        <f t="shared" ca="1" si="18"/>
        <v>47.437071451767693</v>
      </c>
      <c r="AK74" s="55">
        <f t="shared" ca="1" si="19"/>
        <v>51.932219285192424</v>
      </c>
    </row>
    <row r="75" spans="2:37">
      <c r="R75" s="83">
        <f ca="1"/>
        <v>45273</v>
      </c>
      <c r="S75" s="55">
        <f t="shared" ca="1" si="11"/>
        <v>45273</v>
      </c>
      <c r="T75" s="55">
        <f t="shared" ca="1" si="0"/>
        <v>39.090870980667354</v>
      </c>
      <c r="U75" s="55">
        <f t="shared" ca="1" si="1"/>
        <v>45.192878888458637</v>
      </c>
      <c r="V75" s="55">
        <f t="shared" ca="1" si="2"/>
        <v>0</v>
      </c>
      <c r="W75" s="55">
        <f t="shared" ca="1" si="12"/>
        <v>-17.238176615391641</v>
      </c>
      <c r="X75" s="55">
        <f t="shared" ca="1" si="13"/>
        <v>54.444750811016213</v>
      </c>
      <c r="Y75" s="55">
        <f t="shared" ca="1" si="14"/>
        <v>-6.4597826735533035</v>
      </c>
      <c r="Z75">
        <f t="shared" ca="1" si="3"/>
        <v>111.76888980210416</v>
      </c>
      <c r="AA75">
        <f t="shared" ca="1" si="15"/>
        <v>54.582369409274293</v>
      </c>
      <c r="AB75">
        <f t="shared" ca="1" si="4"/>
        <v>0</v>
      </c>
      <c r="AC75">
        <f t="shared" ca="1" si="5"/>
        <v>0.87986782915871165</v>
      </c>
      <c r="AD75" s="83">
        <f ca="1"/>
        <v>45359</v>
      </c>
      <c r="AE75" s="55">
        <f t="shared" ca="1" si="20"/>
        <v>45359</v>
      </c>
      <c r="AF75" s="55">
        <f t="shared" ca="1" si="21"/>
        <v>109.64029701380383</v>
      </c>
      <c r="AG75" s="55">
        <f t="shared" ca="1" si="22"/>
        <v>15.506788474429969</v>
      </c>
      <c r="AH75" s="55">
        <f t="shared" ca="1" si="23"/>
        <v>0</v>
      </c>
      <c r="AI75" s="55">
        <f t="shared" ca="1" si="17"/>
        <v>0</v>
      </c>
      <c r="AJ75" s="55">
        <f t="shared" ca="1" si="18"/>
        <v>48.122930929684145</v>
      </c>
      <c r="AK75" s="55">
        <f t="shared" ca="1" si="19"/>
        <v>51.95684867611552</v>
      </c>
    </row>
    <row r="76" spans="2:37">
      <c r="R76" s="83">
        <f ca="1"/>
        <v>45274</v>
      </c>
      <c r="S76" s="55">
        <f t="shared" ca="1" si="11"/>
        <v>45274</v>
      </c>
      <c r="T76" s="55">
        <f t="shared" ca="1" si="0"/>
        <v>37.445703588424948</v>
      </c>
      <c r="U76" s="55">
        <f t="shared" ca="1" si="1"/>
        <v>47.983890616818918</v>
      </c>
      <c r="V76" s="55">
        <f t="shared" ca="1" si="2"/>
        <v>0</v>
      </c>
      <c r="W76" s="55">
        <f t="shared" ca="1" si="12"/>
        <v>-17.238176615391641</v>
      </c>
      <c r="X76" s="55">
        <f t="shared" ca="1" si="13"/>
        <v>55.590421227458044</v>
      </c>
      <c r="Y76" s="55">
        <f t="shared" ca="1" si="14"/>
        <v>-6.4596087538772604</v>
      </c>
      <c r="Z76">
        <f t="shared" ca="1" si="3"/>
        <v>117.23134774228994</v>
      </c>
      <c r="AA76">
        <f t="shared" ca="1" si="15"/>
        <v>54.582369409274293</v>
      </c>
      <c r="AB76">
        <f t="shared" ca="1" si="4"/>
        <v>0</v>
      </c>
      <c r="AC76">
        <f t="shared" ca="1" si="5"/>
        <v>0.89019978365825958</v>
      </c>
      <c r="AD76" s="83">
        <f ca="1"/>
        <v>45360</v>
      </c>
      <c r="AE76" s="55">
        <f t="shared" ca="1" si="20"/>
        <v>45360</v>
      </c>
      <c r="AF76" s="55">
        <f t="shared" ca="1" si="21"/>
        <v>109.54163501783589</v>
      </c>
      <c r="AG76" s="55">
        <f t="shared" ca="1" si="22"/>
        <v>16.277156109081336</v>
      </c>
      <c r="AH76" s="55">
        <f t="shared" ca="1" si="23"/>
        <v>0</v>
      </c>
      <c r="AI76" s="55">
        <f t="shared" ca="1" si="17"/>
        <v>0</v>
      </c>
      <c r="AJ76" s="55">
        <f t="shared" ca="1" si="18"/>
        <v>48.772207067444775</v>
      </c>
      <c r="AK76" s="55">
        <f t="shared" ca="1" si="19"/>
        <v>51.97927817703831</v>
      </c>
    </row>
    <row r="77" spans="2:37">
      <c r="R77" s="83">
        <f ca="1"/>
        <v>45275</v>
      </c>
      <c r="S77" s="55">
        <f t="shared" ca="1" si="11"/>
        <v>45275</v>
      </c>
      <c r="T77" s="55">
        <f t="shared" ca="1" si="0"/>
        <v>35.681720115591254</v>
      </c>
      <c r="U77" s="55">
        <f t="shared" ca="1" si="1"/>
        <v>50.881099824258158</v>
      </c>
      <c r="V77" s="55">
        <f t="shared" ca="1" si="2"/>
        <v>0</v>
      </c>
      <c r="W77" s="55">
        <f t="shared" ca="1" si="12"/>
        <v>-17.238176615391641</v>
      </c>
      <c r="X77" s="55">
        <f t="shared" ca="1" si="13"/>
        <v>56.7219781422856</v>
      </c>
      <c r="Y77" s="55">
        <f t="shared" ca="1" si="14"/>
        <v>-6.4579399340992705</v>
      </c>
      <c r="Z77">
        <f t="shared" ca="1" si="3"/>
        <v>117.62360522964191</v>
      </c>
      <c r="AA77">
        <f t="shared" ca="1" si="15"/>
        <v>54.582369409274293</v>
      </c>
      <c r="AB77">
        <f t="shared" ca="1" si="4"/>
        <v>0</v>
      </c>
      <c r="AC77">
        <f t="shared" ca="1" si="5"/>
        <v>0.89898923741195802</v>
      </c>
      <c r="AD77" s="83">
        <f ca="1"/>
        <v>45361</v>
      </c>
      <c r="AE77" s="55">
        <f t="shared" ca="1" si="20"/>
        <v>45361</v>
      </c>
      <c r="AF77" s="55">
        <f t="shared" ca="1" si="21"/>
        <v>109.45933427657206</v>
      </c>
      <c r="AG77" s="55">
        <f t="shared" ca="1" si="22"/>
        <v>17.074866370355934</v>
      </c>
      <c r="AH77" s="55">
        <f t="shared" ca="1" si="23"/>
        <v>0</v>
      </c>
      <c r="AI77" s="55">
        <f t="shared" ca="1" si="17"/>
        <v>0</v>
      </c>
      <c r="AJ77" s="55">
        <f t="shared" ca="1" si="18"/>
        <v>49.464597649476268</v>
      </c>
      <c r="AK77" s="55">
        <f t="shared" ca="1" si="19"/>
        <v>52.002297115017591</v>
      </c>
    </row>
    <row r="78" spans="2:37">
      <c r="R78" s="83">
        <f ca="1"/>
        <v>45276</v>
      </c>
      <c r="S78" s="55">
        <f t="shared" ca="1" si="11"/>
        <v>45276</v>
      </c>
      <c r="T78" s="55">
        <f t="shared" ca="1" si="0"/>
        <v>33.030866939234912</v>
      </c>
      <c r="U78" s="55">
        <f t="shared" ca="1" si="1"/>
        <v>53.95037722807745</v>
      </c>
      <c r="V78" s="55">
        <f t="shared" ca="1" si="2"/>
        <v>0</v>
      </c>
      <c r="W78" s="55">
        <f t="shared" ca="1" si="12"/>
        <v>-17.963206488081987</v>
      </c>
      <c r="X78" s="55">
        <f t="shared" ca="1" si="13"/>
        <v>57.862343880432135</v>
      </c>
      <c r="Y78" s="55">
        <f t="shared" ca="1" si="14"/>
        <v>-6.4548515720925117</v>
      </c>
      <c r="Z78">
        <f t="shared" ca="1" si="3"/>
        <v>120</v>
      </c>
      <c r="AA78">
        <f t="shared" ca="1" si="15"/>
        <v>58.394750152349474</v>
      </c>
      <c r="AB78">
        <f t="shared" ca="1" si="4"/>
        <v>0</v>
      </c>
      <c r="AC78">
        <f t="shared" ca="1" si="5"/>
        <v>0.90660810824344962</v>
      </c>
      <c r="AD78" s="83">
        <f ca="1"/>
        <v>45362</v>
      </c>
      <c r="AE78" s="55">
        <f t="shared" ca="1" si="20"/>
        <v>45362</v>
      </c>
      <c r="AF78" s="55">
        <f t="shared" ca="1" si="21"/>
        <v>109.33969412770901</v>
      </c>
      <c r="AG78" s="55">
        <f t="shared" ca="1" si="22"/>
        <v>17.916785795111956</v>
      </c>
      <c r="AH78" s="55">
        <f t="shared" ca="1" si="23"/>
        <v>0</v>
      </c>
      <c r="AI78" s="55">
        <f t="shared" ca="1" si="17"/>
        <v>0</v>
      </c>
      <c r="AJ78" s="55">
        <f t="shared" ca="1" si="18"/>
        <v>50.164004254148445</v>
      </c>
      <c r="AK78" s="55">
        <f t="shared" ca="1" si="19"/>
        <v>52.025169786238386</v>
      </c>
    </row>
    <row r="79" spans="2:37">
      <c r="R79" s="83">
        <f ca="1"/>
        <v>45277</v>
      </c>
      <c r="S79" s="55">
        <f t="shared" ca="1" si="11"/>
        <v>45277</v>
      </c>
      <c r="T79" s="55">
        <f t="shared" ca="1" si="0"/>
        <v>64.402655375204517</v>
      </c>
      <c r="U79" s="55">
        <f t="shared" ca="1" si="1"/>
        <v>57.183063772301445</v>
      </c>
      <c r="V79" s="55">
        <f t="shared" ca="1" si="2"/>
        <v>34.903721139082059</v>
      </c>
      <c r="W79" s="55">
        <f t="shared" ca="1" si="12"/>
        <v>-19.410776952750908</v>
      </c>
      <c r="X79" s="55">
        <f t="shared" ca="1" si="13"/>
        <v>59.006244455183889</v>
      </c>
      <c r="Y79" s="55">
        <f t="shared" ca="1" si="14"/>
        <v>-6.4504278410637905</v>
      </c>
      <c r="Z79">
        <f t="shared" ca="1" si="3"/>
        <v>120</v>
      </c>
      <c r="AA79">
        <f t="shared" ca="1" si="15"/>
        <v>62.340750152349472</v>
      </c>
      <c r="AB79">
        <f t="shared" ca="1" si="4"/>
        <v>0</v>
      </c>
      <c r="AC79">
        <f t="shared" ca="1" si="5"/>
        <v>0.91315561716545079</v>
      </c>
      <c r="AD79" s="83">
        <f ca="1"/>
        <v>45363</v>
      </c>
      <c r="AE79" s="55">
        <f t="shared" ca="1" si="20"/>
        <v>45363</v>
      </c>
      <c r="AF79" s="55">
        <f t="shared" ca="1" si="21"/>
        <v>109.16175948295965</v>
      </c>
      <c r="AG79" s="55">
        <f t="shared" ca="1" si="22"/>
        <v>18.778017231039751</v>
      </c>
      <c r="AH79" s="55">
        <f t="shared" ca="1" si="23"/>
        <v>0</v>
      </c>
      <c r="AI79" s="55">
        <f t="shared" ca="1" si="17"/>
        <v>0</v>
      </c>
      <c r="AJ79" s="55">
        <f t="shared" ca="1" si="18"/>
        <v>50.825401110497211</v>
      </c>
      <c r="AK79" s="55">
        <f t="shared" ca="1" si="19"/>
        <v>52.04706972106807</v>
      </c>
    </row>
    <row r="80" spans="2:37">
      <c r="R80" s="83">
        <f ca="1"/>
        <v>45278</v>
      </c>
      <c r="S80" s="55">
        <f t="shared" ca="1" si="11"/>
        <v>45278</v>
      </c>
      <c r="T80" s="55">
        <f t="shared" ca="1" si="0"/>
        <v>60.945278178817631</v>
      </c>
      <c r="U80" s="55">
        <f t="shared" ca="1" si="1"/>
        <v>60.487311364589353</v>
      </c>
      <c r="V80" s="55">
        <f t="shared" ca="1" si="2"/>
        <v>0</v>
      </c>
      <c r="W80" s="55">
        <f t="shared" ca="1" si="12"/>
        <v>-20.686989546081463</v>
      </c>
      <c r="X80" s="55">
        <f t="shared" ca="1" si="13"/>
        <v>60.123791222609711</v>
      </c>
      <c r="Y80" s="55">
        <f t="shared" ca="1" si="14"/>
        <v>-6.4448916192580352</v>
      </c>
      <c r="Z80">
        <f t="shared" ca="1" si="3"/>
        <v>120</v>
      </c>
      <c r="AA80">
        <f t="shared" ca="1" si="15"/>
        <v>65.977750152349472</v>
      </c>
      <c r="AB80">
        <f t="shared" ca="1" si="4"/>
        <v>0</v>
      </c>
      <c r="AC80">
        <f t="shared" ca="1" si="5"/>
        <v>0.91862152820375409</v>
      </c>
      <c r="AD80" s="83">
        <f ca="1"/>
        <v>45364</v>
      </c>
      <c r="AE80" s="55">
        <f t="shared" ca="1" si="20"/>
        <v>45364</v>
      </c>
      <c r="AF80" s="55">
        <f t="shared" ca="1" si="21"/>
        <v>108.92901713955956</v>
      </c>
      <c r="AG80" s="55">
        <f t="shared" ca="1" si="22"/>
        <v>19.676616206804834</v>
      </c>
      <c r="AH80" s="55">
        <f t="shared" ca="1" si="23"/>
        <v>0</v>
      </c>
      <c r="AI80" s="55">
        <f t="shared" ca="1" si="17"/>
        <v>0</v>
      </c>
      <c r="AJ80" s="55">
        <f t="shared" ca="1" si="18"/>
        <v>51.470243459301678</v>
      </c>
      <c r="AK80" s="55">
        <f t="shared" ca="1" si="19"/>
        <v>52.068084004628595</v>
      </c>
    </row>
    <row r="81" spans="18:37">
      <c r="R81" s="83">
        <f ca="1"/>
        <v>45279</v>
      </c>
      <c r="S81" s="55">
        <f t="shared" ca="1" si="11"/>
        <v>45279</v>
      </c>
      <c r="T81" s="55">
        <f t="shared" ca="1" si="0"/>
        <v>57.518095954439843</v>
      </c>
      <c r="U81" s="55">
        <f t="shared" ca="1" si="1"/>
        <v>63.997800863958538</v>
      </c>
      <c r="V81" s="55">
        <f t="shared" ca="1" si="2"/>
        <v>0</v>
      </c>
      <c r="W81" s="55">
        <f t="shared" ca="1" si="12"/>
        <v>-21.7437364065729</v>
      </c>
      <c r="X81" s="55">
        <f t="shared" ca="1" si="13"/>
        <v>61.257106671856761</v>
      </c>
      <c r="Y81" s="55">
        <f t="shared" ca="1" si="14"/>
        <v>-6.4381529330222511</v>
      </c>
      <c r="Z81">
        <f t="shared" ca="1" si="3"/>
        <v>120</v>
      </c>
      <c r="AA81">
        <f t="shared" ca="1" si="15"/>
        <v>69.168750152349475</v>
      </c>
      <c r="AB81">
        <f t="shared" ca="1" si="4"/>
        <v>0</v>
      </c>
      <c r="AC81">
        <f t="shared" ca="1" si="5"/>
        <v>0.92336584335702088</v>
      </c>
      <c r="AD81" s="83">
        <f ca="1"/>
        <v>45365</v>
      </c>
      <c r="AE81" s="55">
        <f t="shared" ca="1" si="20"/>
        <v>45365</v>
      </c>
      <c r="AF81" s="55">
        <f t="shared" ca="1" si="21"/>
        <v>108.66084428307246</v>
      </c>
      <c r="AG81" s="55">
        <f t="shared" ca="1" si="22"/>
        <v>20.605182912190489</v>
      </c>
      <c r="AH81" s="55">
        <f t="shared" ca="1" si="23"/>
        <v>0</v>
      </c>
      <c r="AI81" s="55">
        <f t="shared" ca="1" si="17"/>
        <v>0</v>
      </c>
      <c r="AJ81" s="55">
        <f t="shared" ca="1" si="18"/>
        <v>52.110040860227151</v>
      </c>
      <c r="AK81" s="55">
        <f t="shared" ca="1" si="19"/>
        <v>52.088680452601686</v>
      </c>
    </row>
    <row r="82" spans="18:37">
      <c r="R82" s="83">
        <f ca="1"/>
        <v>45280</v>
      </c>
      <c r="S82" s="55">
        <f t="shared" ca="1" si="11"/>
        <v>45280</v>
      </c>
      <c r="T82" s="55">
        <f t="shared" ref="T82:T145" ca="1" si="27">VLOOKUP(S82,ModelOutputs,2,FALSE)</f>
        <v>54.926389061571221</v>
      </c>
      <c r="U82" s="55">
        <f t="shared" ref="U82:U145" ca="1" si="28">VLOOKUP(S82,ModelOutputs,7,FALSE)</f>
        <v>67.755577326086211</v>
      </c>
      <c r="V82" s="55">
        <f t="shared" ref="V82:V145" ca="1" si="29">VLOOKUP(S82,ModelOutputs,6,FALSE)</f>
        <v>0</v>
      </c>
      <c r="W82" s="55">
        <f t="shared" ca="1" si="12"/>
        <v>-21.7437364065729</v>
      </c>
      <c r="X82" s="55">
        <f t="shared" ca="1" si="13"/>
        <v>62.4152112256618</v>
      </c>
      <c r="Y82" s="55">
        <f t="shared" ca="1" si="14"/>
        <v>-6.4301879175682402</v>
      </c>
      <c r="Z82">
        <f t="shared" ref="Z82:Z145" ca="1" si="30">VLOOKUP(S82,ModelOutputs,10,FALSE)*AWC</f>
        <v>116.5690909090909</v>
      </c>
      <c r="AA82">
        <f t="shared" ca="1" si="15"/>
        <v>69.168750152349475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0.92749709521295587</v>
      </c>
      <c r="AD82" s="83">
        <f ca="1"/>
        <v>45366</v>
      </c>
      <c r="AE82" s="55">
        <f t="shared" ca="1" si="20"/>
        <v>45366</v>
      </c>
      <c r="AF82" s="55">
        <f t="shared" ca="1" si="21"/>
        <v>108.35256668102899</v>
      </c>
      <c r="AG82" s="55">
        <f t="shared" ca="1" si="22"/>
        <v>21.580717679837427</v>
      </c>
      <c r="AH82" s="55">
        <f t="shared" ca="1" si="23"/>
        <v>0</v>
      </c>
      <c r="AI82" s="55">
        <f t="shared" ca="1" si="17"/>
        <v>0</v>
      </c>
      <c r="AJ82" s="55">
        <f t="shared" ca="1" si="18"/>
        <v>52.756809240220392</v>
      </c>
      <c r="AK82" s="55">
        <f t="shared" ca="1" si="19"/>
        <v>52.109169238211912</v>
      </c>
    </row>
    <row r="83" spans="18:37">
      <c r="R83" s="83">
        <f ca="1"/>
        <v>45281</v>
      </c>
      <c r="S83" s="55">
        <f t="shared" ref="S83:S146" ca="1" si="33">IF(R83&gt;1,R83,"")</f>
        <v>45281</v>
      </c>
      <c r="T83" s="55">
        <f t="shared" ca="1" si="27"/>
        <v>52.036242230268272</v>
      </c>
      <c r="U83" s="55">
        <f t="shared" ca="1" si="28"/>
        <v>71.683179610599282</v>
      </c>
      <c r="V83" s="55">
        <f t="shared" ca="1" si="29"/>
        <v>0</v>
      </c>
      <c r="W83" s="55">
        <f t="shared" ref="W83:W146" ca="1" si="34">-VLOOKUP(S83,ModelOutputs,9,FALSE)+W82</f>
        <v>-21.873378487121574</v>
      </c>
      <c r="X83" s="55">
        <f t="shared" ref="X83:X146" ca="1" si="35">VLOOKUP(S83,ModelOutputs,5,FALSE)+X82</f>
        <v>63.573315779466839</v>
      </c>
      <c r="Y83" s="55">
        <f t="shared" ref="Y83:Y146" ca="1" si="36">VLOOKUP(S83,ModelOutputs,4,FALSE)+Y82</f>
        <v>-6.4211949376144872</v>
      </c>
      <c r="Z83">
        <f t="shared" ca="1" si="30"/>
        <v>120</v>
      </c>
      <c r="AA83">
        <f t="shared" ref="AA83:AA146" ca="1" si="37">VLOOKUP(S83,ModelOutputs,11,FALSE)+AA82</f>
        <v>69.60146361216168</v>
      </c>
      <c r="AB83">
        <f t="shared" ca="1" si="31"/>
        <v>0</v>
      </c>
      <c r="AC83">
        <f t="shared" ca="1" si="32"/>
        <v>0.93100072950255408</v>
      </c>
      <c r="AD83" s="83">
        <f ca="1"/>
        <v>45367</v>
      </c>
      <c r="AE83" s="55">
        <f t="shared" ca="1" si="20"/>
        <v>45367</v>
      </c>
      <c r="AF83" s="55">
        <f t="shared" ca="1" si="21"/>
        <v>107.99521349780224</v>
      </c>
      <c r="AG83" s="55">
        <f t="shared" ca="1" si="22"/>
        <v>22.5960338086063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53.394981763562477</v>
      </c>
      <c r="AK83" s="55">
        <f t="shared" ref="AK83:AK146" ca="1" si="40">VLOOKUP(AE83,ModelOutputs,4,FALSE)+AK82</f>
        <v>52.128959660411958</v>
      </c>
    </row>
    <row r="84" spans="18:37">
      <c r="R84" s="83">
        <f ca="1"/>
        <v>45282</v>
      </c>
      <c r="S84" s="55">
        <f t="shared" ca="1" si="33"/>
        <v>45282</v>
      </c>
      <c r="T84" s="55">
        <f t="shared" ca="1" si="27"/>
        <v>49.065144550048899</v>
      </c>
      <c r="U84" s="55">
        <f t="shared" ca="1" si="28"/>
        <v>75.836752903644424</v>
      </c>
      <c r="V84" s="55">
        <f t="shared" ca="1" si="29"/>
        <v>0</v>
      </c>
      <c r="W84" s="55">
        <f t="shared" ca="1" si="34"/>
        <v>-21.873378487121574</v>
      </c>
      <c r="X84" s="55">
        <f t="shared" ca="1" si="35"/>
        <v>64.745727759986181</v>
      </c>
      <c r="Y84" s="55">
        <f t="shared" ca="1" si="36"/>
        <v>-6.4111313053080519</v>
      </c>
      <c r="Z84">
        <f t="shared" ca="1" si="30"/>
        <v>117.72909090909091</v>
      </c>
      <c r="AA84">
        <f t="shared" ca="1" si="37"/>
        <v>69.60146361216168</v>
      </c>
      <c r="AB84">
        <f t="shared" ca="1" si="31"/>
        <v>0</v>
      </c>
      <c r="AC84">
        <f t="shared" ca="1" si="32"/>
        <v>0.93400369219107271</v>
      </c>
      <c r="AD84" s="83">
        <f ca="1"/>
        <v>45368</v>
      </c>
      <c r="AE84" s="55">
        <f t="shared" ca="1" si="20"/>
        <v>45368</v>
      </c>
      <c r="AF84" s="55">
        <f t="shared" ca="1" si="21"/>
        <v>107.57918961530441</v>
      </c>
      <c r="AG84" s="55">
        <f t="shared" ca="1" si="22"/>
        <v>23.648548452390944</v>
      </c>
      <c r="AH84" s="55">
        <f t="shared" ca="1" si="23"/>
        <v>0</v>
      </c>
      <c r="AI84" s="55">
        <f t="shared" ca="1" si="38"/>
        <v>0</v>
      </c>
      <c r="AJ84" s="55">
        <f t="shared" ca="1" si="39"/>
        <v>54.012871338502222</v>
      </c>
      <c r="AK84" s="55">
        <f t="shared" ca="1" si="40"/>
        <v>52.147560846759028</v>
      </c>
    </row>
    <row r="85" spans="18:37">
      <c r="R85" s="83">
        <f ca="1"/>
        <v>45283</v>
      </c>
      <c r="S85" s="55">
        <f t="shared" ca="1" si="33"/>
        <v>45283</v>
      </c>
      <c r="T85" s="55">
        <f t="shared" ca="1" si="27"/>
        <v>46.018325338947697</v>
      </c>
      <c r="U85" s="55">
        <f t="shared" ca="1" si="28"/>
        <v>80.032844698772948</v>
      </c>
      <c r="V85" s="55">
        <f t="shared" ca="1" si="29"/>
        <v>0</v>
      </c>
      <c r="W85" s="55">
        <f t="shared" ca="1" si="34"/>
        <v>-21.873378487121574</v>
      </c>
      <c r="X85" s="55">
        <f t="shared" ca="1" si="35"/>
        <v>65.884328503019873</v>
      </c>
      <c r="Y85" s="55">
        <f t="shared" ca="1" si="36"/>
        <v>-6.400459464314423</v>
      </c>
      <c r="Z85">
        <f t="shared" ca="1" si="30"/>
        <v>117.07268639137686</v>
      </c>
      <c r="AA85">
        <f t="shared" ca="1" si="37"/>
        <v>69.60146361216168</v>
      </c>
      <c r="AB85">
        <f t="shared" ca="1" si="31"/>
        <v>0</v>
      </c>
      <c r="AC85">
        <f t="shared" ca="1" si="32"/>
        <v>0.93646782025053432</v>
      </c>
      <c r="AD85" s="83">
        <f ca="1"/>
        <v>45369</v>
      </c>
      <c r="AE85" s="55">
        <f t="shared" ref="AE85:AE148" ca="1" si="41">IF(AD85&gt;1,AD85,"")</f>
        <v>45369</v>
      </c>
      <c r="AF85" s="55">
        <f t="shared" ref="AF85:AF148" ca="1" si="42">VLOOKUP(AE85,ModelOutputs,2,FALSE)</f>
        <v>107.10688264108686</v>
      </c>
      <c r="AG85" s="55">
        <f t="shared" ref="AG85:AG148" ca="1" si="43">VLOOKUP(AE85,ModelOutputs,7,FALSE)</f>
        <v>24.715425525039912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54.590612109156297</v>
      </c>
      <c r="AK85" s="55">
        <f t="shared" ca="1" si="40"/>
        <v>52.164390174536351</v>
      </c>
    </row>
    <row r="86" spans="18:37">
      <c r="R86" s="83">
        <f ca="1"/>
        <v>45284</v>
      </c>
      <c r="S86" s="55">
        <f t="shared" ca="1" si="33"/>
        <v>45284</v>
      </c>
      <c r="T86" s="55">
        <f t="shared" ca="1" si="27"/>
        <v>78.982716117133293</v>
      </c>
      <c r="U86" s="55">
        <f t="shared" ca="1" si="28"/>
        <v>84.44715612930284</v>
      </c>
      <c r="V86" s="55">
        <f t="shared" ca="1" si="29"/>
        <v>36.216130265462652</v>
      </c>
      <c r="W86" s="55">
        <f t="shared" ca="1" si="34"/>
        <v>-21.873378487121574</v>
      </c>
      <c r="X86" s="55">
        <f t="shared" ca="1" si="35"/>
        <v>67.035318139246669</v>
      </c>
      <c r="Y86" s="55">
        <f t="shared" ca="1" si="36"/>
        <v>-6.3888771572883885</v>
      </c>
      <c r="Z86">
        <f t="shared" ca="1" si="30"/>
        <v>119.69934753976393</v>
      </c>
      <c r="AA86">
        <f t="shared" ca="1" si="37"/>
        <v>69.60146361216168</v>
      </c>
      <c r="AB86">
        <f t="shared" ca="1" si="31"/>
        <v>0</v>
      </c>
      <c r="AC86">
        <f t="shared" ca="1" si="32"/>
        <v>0.93857923918651687</v>
      </c>
      <c r="AD86" s="83">
        <f ca="1"/>
        <v>45370</v>
      </c>
      <c r="AE86" s="55">
        <f t="shared" ca="1" si="41"/>
        <v>45370</v>
      </c>
      <c r="AF86" s="55">
        <f t="shared" ca="1" si="42"/>
        <v>106.59834927887377</v>
      </c>
      <c r="AG86" s="55">
        <f t="shared" ca="1" si="43"/>
        <v>25.827394609519736</v>
      </c>
      <c r="AH86" s="55">
        <f t="shared" ca="1" si="44"/>
        <v>0</v>
      </c>
      <c r="AI86" s="55">
        <f t="shared" ca="1" si="38"/>
        <v>0</v>
      </c>
      <c r="AJ86" s="55">
        <f t="shared" ca="1" si="39"/>
        <v>55.177034225483119</v>
      </c>
      <c r="AK86" s="55">
        <f t="shared" ca="1" si="40"/>
        <v>52.181403780476259</v>
      </c>
    </row>
    <row r="87" spans="18:37">
      <c r="R87" s="83">
        <f ca="1"/>
        <v>45285</v>
      </c>
      <c r="S87" s="55">
        <f t="shared" ca="1" si="33"/>
        <v>45285</v>
      </c>
      <c r="T87" s="55">
        <f t="shared" ca="1" si="27"/>
        <v>73.949918101638829</v>
      </c>
      <c r="U87" s="55">
        <f t="shared" ca="1" si="28"/>
        <v>89.126986154990433</v>
      </c>
      <c r="V87" s="55">
        <f t="shared" ca="1" si="29"/>
        <v>0</v>
      </c>
      <c r="W87" s="55">
        <f t="shared" ca="1" si="34"/>
        <v>-23.4122095056691</v>
      </c>
      <c r="X87" s="55">
        <f t="shared" ca="1" si="35"/>
        <v>68.208627769746172</v>
      </c>
      <c r="Y87" s="55">
        <f t="shared" ca="1" si="36"/>
        <v>-6.3763237590472315</v>
      </c>
      <c r="Z87">
        <f t="shared" ca="1" si="30"/>
        <v>120</v>
      </c>
      <c r="AA87">
        <f t="shared" ca="1" si="37"/>
        <v>73.2156751954996</v>
      </c>
      <c r="AB87">
        <f t="shared" ca="1" si="31"/>
        <v>0</v>
      </c>
      <c r="AC87">
        <f t="shared" ca="1" si="32"/>
        <v>0.94039805901895424</v>
      </c>
      <c r="AD87" s="83">
        <f ca="1"/>
        <v>45371</v>
      </c>
      <c r="AE87" s="55">
        <f t="shared" ca="1" si="41"/>
        <v>45371</v>
      </c>
      <c r="AF87" s="55">
        <f t="shared" ca="1" si="42"/>
        <v>106.01374407716983</v>
      </c>
      <c r="AG87" s="55">
        <f t="shared" ca="1" si="43"/>
        <v>27.001624406574546</v>
      </c>
      <c r="AH87" s="55">
        <f t="shared" ca="1" si="44"/>
        <v>0</v>
      </c>
      <c r="AI87" s="55">
        <f t="shared" ca="1" si="38"/>
        <v>0</v>
      </c>
      <c r="AJ87" s="55">
        <f t="shared" ca="1" si="39"/>
        <v>55.750815638202369</v>
      </c>
      <c r="AK87" s="55">
        <f t="shared" ca="1" si="40"/>
        <v>52.197246963107894</v>
      </c>
    </row>
    <row r="88" spans="18:37">
      <c r="R88" s="83">
        <f ca="1"/>
        <v>45286</v>
      </c>
      <c r="S88" s="55">
        <f t="shared" ca="1" si="33"/>
        <v>45286</v>
      </c>
      <c r="T88" s="55">
        <f t="shared" ca="1" si="27"/>
        <v>70.369806391495459</v>
      </c>
      <c r="U88" s="55">
        <f t="shared" ca="1" si="28"/>
        <v>93.867537071186547</v>
      </c>
      <c r="V88" s="55">
        <f t="shared" ca="1" si="29"/>
        <v>0</v>
      </c>
      <c r="W88" s="55">
        <f t="shared" ca="1" si="34"/>
        <v>-23.4122095056691</v>
      </c>
      <c r="X88" s="55">
        <f t="shared" ca="1" si="35"/>
        <v>69.35606964359981</v>
      </c>
      <c r="Y88" s="55">
        <f t="shared" ca="1" si="36"/>
        <v>-6.363326426848122</v>
      </c>
      <c r="Z88">
        <f t="shared" ca="1" si="30"/>
        <v>115.56363636363636</v>
      </c>
      <c r="AA88">
        <f t="shared" ca="1" si="37"/>
        <v>73.2156751954996</v>
      </c>
      <c r="AB88">
        <f t="shared" ca="1" si="31"/>
        <v>0</v>
      </c>
      <c r="AC88">
        <f t="shared" ca="1" si="32"/>
        <v>0.94189703270273173</v>
      </c>
      <c r="AD88" s="83">
        <f ca="1"/>
        <v>45372</v>
      </c>
      <c r="AE88" s="55">
        <f t="shared" ca="1" si="41"/>
        <v>45372</v>
      </c>
      <c r="AF88" s="55">
        <f t="shared" ca="1" si="42"/>
        <v>105.38676785553389</v>
      </c>
      <c r="AG88" s="55">
        <f t="shared" ca="1" si="43"/>
        <v>28.21366916200358</v>
      </c>
      <c r="AH88" s="55">
        <f t="shared" ca="1" si="44"/>
        <v>0</v>
      </c>
      <c r="AI88" s="55">
        <f t="shared" ca="1" si="38"/>
        <v>0</v>
      </c>
      <c r="AJ88" s="55">
        <f t="shared" ca="1" si="39"/>
        <v>56.32030815782565</v>
      </c>
      <c r="AK88" s="55">
        <f t="shared" ca="1" si="40"/>
        <v>52.212822977277703</v>
      </c>
    </row>
    <row r="89" spans="18:37">
      <c r="R89" s="83">
        <f ca="1"/>
        <v>45287</v>
      </c>
      <c r="S89" s="55">
        <f t="shared" ca="1" si="33"/>
        <v>45287</v>
      </c>
      <c r="T89" s="55">
        <f t="shared" ca="1" si="27"/>
        <v>66.585141387365141</v>
      </c>
      <c r="U89" s="55">
        <f t="shared" ca="1" si="28"/>
        <v>98.801821428175131</v>
      </c>
      <c r="V89" s="55">
        <f t="shared" ca="1" si="29"/>
        <v>0</v>
      </c>
      <c r="W89" s="55">
        <f t="shared" ca="1" si="34"/>
        <v>-23.4122095056691</v>
      </c>
      <c r="X89" s="55">
        <f t="shared" ca="1" si="35"/>
        <v>70.491991934618014</v>
      </c>
      <c r="Y89" s="55">
        <f t="shared" ca="1" si="36"/>
        <v>-6.3496293650080577</v>
      </c>
      <c r="Z89">
        <f t="shared" ca="1" si="30"/>
        <v>113.77638759743525</v>
      </c>
      <c r="AA89">
        <f t="shared" ca="1" si="37"/>
        <v>73.2156751954996</v>
      </c>
      <c r="AB89">
        <f t="shared" ca="1" si="31"/>
        <v>0</v>
      </c>
      <c r="AC89">
        <f t="shared" ca="1" si="32"/>
        <v>0.94317037459408382</v>
      </c>
      <c r="AD89" s="83">
        <f ca="1"/>
        <v>45373</v>
      </c>
      <c r="AE89" s="55">
        <f t="shared" ca="1" si="41"/>
        <v>45373</v>
      </c>
      <c r="AF89" s="55">
        <f t="shared" ca="1" si="42"/>
        <v>104.72567252637566</v>
      </c>
      <c r="AG89" s="55">
        <f t="shared" ca="1" si="43"/>
        <v>29.446765951452225</v>
      </c>
      <c r="AH89" s="55">
        <f t="shared" ca="1" si="44"/>
        <v>0</v>
      </c>
      <c r="AI89" s="55">
        <f t="shared" ca="1" si="38"/>
        <v>0</v>
      </c>
      <c r="AJ89" s="55">
        <f t="shared" ca="1" si="39"/>
        <v>56.877153260072376</v>
      </c>
      <c r="AK89" s="55">
        <f t="shared" ca="1" si="40"/>
        <v>52.227979335321393</v>
      </c>
    </row>
    <row r="90" spans="18:37">
      <c r="R90" s="83">
        <f ca="1"/>
        <v>45288</v>
      </c>
      <c r="S90" s="55">
        <f t="shared" ca="1" si="33"/>
        <v>45288</v>
      </c>
      <c r="T90" s="55">
        <f t="shared" ca="1" si="27"/>
        <v>62.30660428510491</v>
      </c>
      <c r="U90" s="55">
        <f t="shared" ca="1" si="28"/>
        <v>104.23793664008785</v>
      </c>
      <c r="V90" s="55">
        <f t="shared" ca="1" si="29"/>
        <v>0</v>
      </c>
      <c r="W90" s="55">
        <f t="shared" ca="1" si="34"/>
        <v>-23.4122095056691</v>
      </c>
      <c r="X90" s="55">
        <f t="shared" ca="1" si="35"/>
        <v>71.634456075622111</v>
      </c>
      <c r="Y90" s="55">
        <f t="shared" ca="1" si="36"/>
        <v>-6.3345153963596683</v>
      </c>
      <c r="Z90">
        <f t="shared" ca="1" si="30"/>
        <v>108.52068229215139</v>
      </c>
      <c r="AA90">
        <f t="shared" ca="1" si="37"/>
        <v>73.2156751954996</v>
      </c>
      <c r="AB90">
        <f t="shared" ca="1" si="31"/>
        <v>0</v>
      </c>
      <c r="AC90">
        <f t="shared" ca="1" si="32"/>
        <v>0.94430880168632725</v>
      </c>
      <c r="AD90" s="83">
        <f ca="1"/>
        <v>45374</v>
      </c>
      <c r="AE90" s="55">
        <f t="shared" ca="1" si="41"/>
        <v>45374</v>
      </c>
      <c r="AF90" s="55">
        <f t="shared" ca="1" si="42"/>
        <v>104.01106023715343</v>
      </c>
      <c r="AG90" s="55">
        <f t="shared" ca="1" si="43"/>
        <v>30.719017689086186</v>
      </c>
      <c r="AH90" s="55">
        <f t="shared" ca="1" si="44"/>
        <v>0</v>
      </c>
      <c r="AI90" s="55">
        <f t="shared" ca="1" si="38"/>
        <v>0</v>
      </c>
      <c r="AJ90" s="55">
        <f t="shared" ca="1" si="39"/>
        <v>57.420403468168914</v>
      </c>
      <c r="AK90" s="55">
        <f t="shared" ca="1" si="40"/>
        <v>52.24236857563659</v>
      </c>
    </row>
    <row r="91" spans="18:37">
      <c r="R91" s="83">
        <f ca="1"/>
        <v>45289</v>
      </c>
      <c r="S91" s="55">
        <f t="shared" ca="1" si="33"/>
        <v>45289</v>
      </c>
      <c r="T91" s="55">
        <f t="shared" ca="1" si="27"/>
        <v>57.753045294244011</v>
      </c>
      <c r="U91" s="55">
        <f t="shared" ca="1" si="28"/>
        <v>109.9984750819139</v>
      </c>
      <c r="V91" s="55">
        <f t="shared" ca="1" si="29"/>
        <v>0</v>
      </c>
      <c r="W91" s="55">
        <f t="shared" ca="1" si="34"/>
        <v>-23.4122095056691</v>
      </c>
      <c r="X91" s="55">
        <f t="shared" ca="1" si="35"/>
        <v>72.825355064978126</v>
      </c>
      <c r="Y91" s="55">
        <f t="shared" ca="1" si="36"/>
        <v>-6.3184349347505355</v>
      </c>
      <c r="Z91">
        <f t="shared" ca="1" si="30"/>
        <v>110.11940803981435</v>
      </c>
      <c r="AA91">
        <f t="shared" ca="1" si="37"/>
        <v>73.2156751954996</v>
      </c>
      <c r="AB91">
        <f t="shared" ca="1" si="31"/>
        <v>0</v>
      </c>
      <c r="AC91">
        <f t="shared" ca="1" si="32"/>
        <v>0.94528025076804012</v>
      </c>
      <c r="AD91" s="83">
        <f ca="1"/>
        <v>45375</v>
      </c>
      <c r="AE91" s="55">
        <f t="shared" ca="1" si="41"/>
        <v>45375</v>
      </c>
      <c r="AF91" s="55">
        <f t="shared" ca="1" si="42"/>
        <v>103.23985770075686</v>
      </c>
      <c r="AG91" s="55">
        <f t="shared" ca="1" si="43"/>
        <v>32.03857728549432</v>
      </c>
      <c r="AH91" s="55">
        <f t="shared" ca="1" si="44"/>
        <v>0</v>
      </c>
      <c r="AI91" s="55">
        <f t="shared" ca="1" si="38"/>
        <v>0</v>
      </c>
      <c r="AJ91" s="55">
        <f t="shared" ca="1" si="39"/>
        <v>57.954996305354967</v>
      </c>
      <c r="AK91" s="55">
        <f t="shared" ca="1" si="40"/>
        <v>52.256132798462104</v>
      </c>
    </row>
    <row r="92" spans="18:37">
      <c r="R92" s="83">
        <f ca="1"/>
        <v>45290</v>
      </c>
      <c r="S92" s="55">
        <f t="shared" ca="1" si="33"/>
        <v>45290</v>
      </c>
      <c r="T92" s="55">
        <f t="shared" ca="1" si="27"/>
        <v>87.255501399335856</v>
      </c>
      <c r="U92" s="55">
        <f t="shared" ca="1" si="28"/>
        <v>115.83758755473015</v>
      </c>
      <c r="V92" s="55">
        <f t="shared" ca="1" si="29"/>
        <v>34.089891228669714</v>
      </c>
      <c r="W92" s="55">
        <f t="shared" ca="1" si="34"/>
        <v>-23.4122095056691</v>
      </c>
      <c r="X92" s="55">
        <f t="shared" ca="1" si="35"/>
        <v>74.060653802584696</v>
      </c>
      <c r="Y92" s="55">
        <f t="shared" ca="1" si="36"/>
        <v>-6.3020563231187214</v>
      </c>
      <c r="Z92">
        <f t="shared" ca="1" si="30"/>
        <v>116.90281290311292</v>
      </c>
      <c r="AA92">
        <f t="shared" ca="1" si="37"/>
        <v>73.2156751954996</v>
      </c>
      <c r="AB92">
        <f t="shared" ca="1" si="31"/>
        <v>0</v>
      </c>
      <c r="AC92">
        <f t="shared" ca="1" si="32"/>
        <v>0.9460739485984716</v>
      </c>
      <c r="AD92" s="83">
        <f ca="1"/>
        <v>45376</v>
      </c>
      <c r="AE92" s="55">
        <f t="shared" ca="1" si="41"/>
        <v>45376</v>
      </c>
      <c r="AF92" s="55">
        <f t="shared" ca="1" si="42"/>
        <v>102.42819597641819</v>
      </c>
      <c r="AG92" s="55">
        <f t="shared" ca="1" si="43"/>
        <v>33.41054379886895</v>
      </c>
      <c r="AH92" s="55">
        <f t="shared" ca="1" si="44"/>
        <v>0</v>
      </c>
      <c r="AI92" s="55">
        <f t="shared" ca="1" si="38"/>
        <v>0</v>
      </c>
      <c r="AJ92" s="55">
        <f t="shared" ca="1" si="39"/>
        <v>58.501157301704012</v>
      </c>
      <c r="AK92" s="55">
        <f t="shared" ca="1" si="40"/>
        <v>52.270276591149027</v>
      </c>
    </row>
    <row r="93" spans="18:37">
      <c r="R93" s="83">
        <f ca="1"/>
        <v>45291</v>
      </c>
      <c r="S93" s="55">
        <f t="shared" ca="1" si="33"/>
        <v>45291</v>
      </c>
      <c r="T93" s="55">
        <f t="shared" ca="1" si="27"/>
        <v>78.381500426845676</v>
      </c>
      <c r="U93" s="55">
        <f t="shared" ca="1" si="28"/>
        <v>121.68242406905252</v>
      </c>
      <c r="V93" s="55">
        <f t="shared" ca="1" si="29"/>
        <v>0</v>
      </c>
      <c r="W93" s="55">
        <f t="shared" ca="1" si="34"/>
        <v>-27.660996717862194</v>
      </c>
      <c r="X93" s="55">
        <f t="shared" ca="1" si="35"/>
        <v>75.263812738838638</v>
      </c>
      <c r="Y93" s="55">
        <f t="shared" ca="1" si="36"/>
        <v>-6.2855925053473864</v>
      </c>
      <c r="Z93">
        <f t="shared" ca="1" si="30"/>
        <v>120</v>
      </c>
      <c r="AA93">
        <f t="shared" ca="1" si="37"/>
        <v>82.630489260366829</v>
      </c>
      <c r="AB93">
        <f t="shared" ca="1" si="31"/>
        <v>0</v>
      </c>
      <c r="AC93">
        <f t="shared" ca="1" si="32"/>
        <v>0.94671858826037469</v>
      </c>
      <c r="AD93" s="83">
        <f ca="1"/>
        <v>45377</v>
      </c>
      <c r="AE93" s="55">
        <f t="shared" ca="1" si="41"/>
        <v>45377</v>
      </c>
      <c r="AF93" s="55">
        <f t="shared" ca="1" si="42"/>
        <v>101.54386268496512</v>
      </c>
      <c r="AG93" s="55">
        <f t="shared" ca="1" si="43"/>
        <v>34.843073755617411</v>
      </c>
      <c r="AH93" s="55">
        <f t="shared" ca="1" si="44"/>
        <v>0</v>
      </c>
      <c r="AI93" s="55">
        <f t="shared" ca="1" si="38"/>
        <v>0</v>
      </c>
      <c r="AJ93" s="55">
        <f t="shared" ca="1" si="39"/>
        <v>59.036121525435576</v>
      </c>
      <c r="AK93" s="55">
        <f t="shared" ca="1" si="40"/>
        <v>52.28350903271285</v>
      </c>
    </row>
    <row r="94" spans="18:37">
      <c r="R94" s="83">
        <f ca="1"/>
        <v>45292</v>
      </c>
      <c r="S94" s="55">
        <f t="shared" ca="1" si="33"/>
        <v>45292</v>
      </c>
      <c r="T94" s="55">
        <f t="shared" ca="1" si="27"/>
        <v>73.522393288827061</v>
      </c>
      <c r="U94" s="55">
        <f t="shared" ca="1" si="28"/>
        <v>127.59651859929455</v>
      </c>
      <c r="V94" s="55">
        <f t="shared" ca="1" si="29"/>
        <v>0</v>
      </c>
      <c r="W94" s="55">
        <f t="shared" ca="1" si="34"/>
        <v>-27.810425412343459</v>
      </c>
      <c r="X94" s="55">
        <f t="shared" ca="1" si="35"/>
        <v>76.451539757248625</v>
      </c>
      <c r="Y94" s="55">
        <f t="shared" ca="1" si="36"/>
        <v>-6.2689034370526908</v>
      </c>
      <c r="Z94">
        <f t="shared" ca="1" si="30"/>
        <v>120</v>
      </c>
      <c r="AA94">
        <f t="shared" ca="1" si="37"/>
        <v>82.983489260366838</v>
      </c>
      <c r="AB94">
        <f t="shared" ca="1" si="31"/>
        <v>0</v>
      </c>
      <c r="AC94">
        <f t="shared" ca="1" si="32"/>
        <v>0.94725114676359412</v>
      </c>
      <c r="AD94" s="83">
        <f ca="1"/>
        <v>45378</v>
      </c>
      <c r="AE94" s="55">
        <f t="shared" ca="1" si="41"/>
        <v>45378</v>
      </c>
      <c r="AF94" s="55">
        <f t="shared" ca="1" si="42"/>
        <v>100.61243190020579</v>
      </c>
      <c r="AG94" s="55">
        <f t="shared" ca="1" si="43"/>
        <v>36.318940375991055</v>
      </c>
      <c r="AH94" s="55">
        <f t="shared" ca="1" si="44"/>
        <v>0</v>
      </c>
      <c r="AI94" s="55">
        <f t="shared" ca="1" si="38"/>
        <v>0</v>
      </c>
      <c r="AJ94" s="55">
        <f t="shared" ca="1" si="39"/>
        <v>59.567549709547045</v>
      </c>
      <c r="AK94" s="55">
        <f t="shared" ca="1" si="40"/>
        <v>52.296516684215696</v>
      </c>
    </row>
    <row r="95" spans="18:37">
      <c r="R95" s="83">
        <f ca="1"/>
        <v>45293</v>
      </c>
      <c r="S95" s="55">
        <f t="shared" ca="1" si="33"/>
        <v>45293</v>
      </c>
      <c r="T95" s="55">
        <f t="shared" ca="1" si="27"/>
        <v>68.532313193001926</v>
      </c>
      <c r="U95" s="55">
        <f t="shared" ca="1" si="28"/>
        <v>133.82557290663163</v>
      </c>
      <c r="V95" s="55">
        <f t="shared" ca="1" si="29"/>
        <v>0</v>
      </c>
      <c r="W95" s="55">
        <f t="shared" ca="1" si="34"/>
        <v>-27.810425412343459</v>
      </c>
      <c r="X95" s="55">
        <f t="shared" ca="1" si="35"/>
        <v>77.673003587026287</v>
      </c>
      <c r="Y95" s="55">
        <f t="shared" ca="1" si="36"/>
        <v>-6.2513930553184069</v>
      </c>
      <c r="Z95">
        <f t="shared" ca="1" si="30"/>
        <v>115.9</v>
      </c>
      <c r="AA95">
        <f t="shared" ca="1" si="37"/>
        <v>82.983489260366838</v>
      </c>
      <c r="AB95">
        <f t="shared" ca="1" si="31"/>
        <v>0</v>
      </c>
      <c r="AC95">
        <f t="shared" ca="1" si="32"/>
        <v>0.94770939742621485</v>
      </c>
      <c r="AD95" s="83">
        <f ca="1"/>
        <v>45379</v>
      </c>
      <c r="AE95" s="55">
        <f t="shared" ca="1" si="41"/>
        <v>45379</v>
      </c>
      <c r="AF95" s="55">
        <f t="shared" ca="1" si="42"/>
        <v>99.625043158824639</v>
      </c>
      <c r="AG95" s="55">
        <f t="shared" ca="1" si="43"/>
        <v>37.862642758168249</v>
      </c>
      <c r="AH95" s="55">
        <f t="shared" ca="1" si="44"/>
        <v>0</v>
      </c>
      <c r="AI95" s="55">
        <f t="shared" ca="1" si="38"/>
        <v>0</v>
      </c>
      <c r="AJ95" s="55">
        <f t="shared" ca="1" si="39"/>
        <v>60.11062447732872</v>
      </c>
      <c r="AK95" s="55">
        <f t="shared" ca="1" si="40"/>
        <v>52.309755557230076</v>
      </c>
    </row>
    <row r="96" spans="18:37">
      <c r="R96" s="83">
        <f ca="1"/>
        <v>45294</v>
      </c>
      <c r="S96" s="55">
        <f t="shared" ca="1" si="33"/>
        <v>45294</v>
      </c>
      <c r="T96" s="55">
        <f t="shared" ca="1" si="27"/>
        <v>63.437858496643216</v>
      </c>
      <c r="U96" s="55">
        <f t="shared" ca="1" si="28"/>
        <v>140.09771732454107</v>
      </c>
      <c r="V96" s="55">
        <f t="shared" ca="1" si="29"/>
        <v>0</v>
      </c>
      <c r="W96" s="55">
        <f t="shared" ca="1" si="34"/>
        <v>-27.810425412343459</v>
      </c>
      <c r="X96" s="55">
        <f t="shared" ca="1" si="35"/>
        <v>78.833056005846686</v>
      </c>
      <c r="Y96" s="55">
        <f t="shared" ca="1" si="36"/>
        <v>-6.2337557525880918</v>
      </c>
      <c r="Z96">
        <f t="shared" ca="1" si="30"/>
        <v>111.62184938523778</v>
      </c>
      <c r="AA96">
        <f t="shared" ca="1" si="37"/>
        <v>82.983489260366838</v>
      </c>
      <c r="AB96">
        <f t="shared" ca="1" si="31"/>
        <v>0</v>
      </c>
      <c r="AC96">
        <f t="shared" ca="1" si="32"/>
        <v>0.9480865839794822</v>
      </c>
      <c r="AD96" s="83">
        <f ca="1"/>
        <v>45380</v>
      </c>
      <c r="AE96" s="55">
        <f t="shared" ca="1" si="41"/>
        <v>45380</v>
      </c>
      <c r="AF96" s="55">
        <f t="shared" ca="1" si="42"/>
        <v>98.582008020895728</v>
      </c>
      <c r="AG96" s="55">
        <f t="shared" ca="1" si="43"/>
        <v>39.439170230368184</v>
      </c>
      <c r="AH96" s="55">
        <f t="shared" ca="1" si="44"/>
        <v>0</v>
      </c>
      <c r="AI96" s="55">
        <f t="shared" ca="1" si="38"/>
        <v>0</v>
      </c>
      <c r="AJ96" s="55">
        <f t="shared" ca="1" si="39"/>
        <v>60.631895376936264</v>
      </c>
      <c r="AK96" s="55">
        <f t="shared" ca="1" si="40"/>
        <v>52.321976991893557</v>
      </c>
    </row>
    <row r="97" spans="18:37">
      <c r="R97" s="83">
        <f ca="1"/>
        <v>45295</v>
      </c>
      <c r="S97" s="55">
        <f t="shared" ca="1" si="33"/>
        <v>45295</v>
      </c>
      <c r="T97" s="55">
        <f t="shared" ca="1" si="27"/>
        <v>58.07669677237935</v>
      </c>
      <c r="U97" s="55">
        <f t="shared" ca="1" si="28"/>
        <v>146.60594531346601</v>
      </c>
      <c r="V97" s="55">
        <f t="shared" ca="1" si="29"/>
        <v>0</v>
      </c>
      <c r="W97" s="55">
        <f t="shared" ca="1" si="34"/>
        <v>-27.810425412343459</v>
      </c>
      <c r="X97" s="55">
        <f t="shared" ca="1" si="35"/>
        <v>79.961878690863458</v>
      </c>
      <c r="Y97" s="55">
        <f t="shared" ca="1" si="36"/>
        <v>-6.2155121729437921</v>
      </c>
      <c r="Z97">
        <f t="shared" ca="1" si="30"/>
        <v>107.3139907536427</v>
      </c>
      <c r="AA97">
        <f t="shared" ca="1" si="37"/>
        <v>82.983489260366838</v>
      </c>
      <c r="AB97">
        <f t="shared" ca="1" si="31"/>
        <v>0</v>
      </c>
      <c r="AC97">
        <f t="shared" ca="1" si="32"/>
        <v>0.94840713808635579</v>
      </c>
      <c r="AD97" s="83">
        <f ca="1"/>
        <v>45381</v>
      </c>
      <c r="AE97" s="55">
        <f t="shared" ca="1" si="41"/>
        <v>45381</v>
      </c>
      <c r="AF97" s="55">
        <f t="shared" ca="1" si="42"/>
        <v>97.506199037614195</v>
      </c>
      <c r="AG97" s="55">
        <f t="shared" ca="1" si="43"/>
        <v>41.045330164134405</v>
      </c>
      <c r="AH97" s="55">
        <f t="shared" ca="1" si="44"/>
        <v>0</v>
      </c>
      <c r="AI97" s="55">
        <f t="shared" ca="1" si="38"/>
        <v>0</v>
      </c>
      <c r="AJ97" s="55">
        <f t="shared" ca="1" si="39"/>
        <v>61.150019882353426</v>
      </c>
      <c r="AK97" s="55">
        <f t="shared" ca="1" si="40"/>
        <v>52.33420343696109</v>
      </c>
    </row>
    <row r="98" spans="18:37">
      <c r="R98" s="83">
        <f ca="1"/>
        <v>45296</v>
      </c>
      <c r="S98" s="55">
        <f t="shared" ca="1" si="33"/>
        <v>45296</v>
      </c>
      <c r="T98" s="55">
        <f t="shared" ca="1" si="27"/>
        <v>52.744196204949482</v>
      </c>
      <c r="U98" s="55">
        <f t="shared" ca="1" si="28"/>
        <v>153.01058256764017</v>
      </c>
      <c r="V98" s="55">
        <f t="shared" ca="1" si="29"/>
        <v>0</v>
      </c>
      <c r="W98" s="55">
        <f t="shared" ca="1" si="34"/>
        <v>-27.810425412343459</v>
      </c>
      <c r="X98" s="55">
        <f t="shared" ca="1" si="35"/>
        <v>81.016019179141537</v>
      </c>
      <c r="Y98" s="55">
        <f t="shared" ca="1" si="36"/>
        <v>-6.1975159744775876</v>
      </c>
      <c r="Z98">
        <f t="shared" ca="1" si="30"/>
        <v>103.79358601434596</v>
      </c>
      <c r="AA98">
        <f t="shared" ca="1" si="37"/>
        <v>82.983489260366838</v>
      </c>
      <c r="AB98">
        <f t="shared" ca="1" si="31"/>
        <v>0</v>
      </c>
      <c r="AC98">
        <f t="shared" ca="1" si="32"/>
        <v>0.94866641300673826</v>
      </c>
      <c r="AD98" s="83">
        <f ca="1"/>
        <v>45382</v>
      </c>
      <c r="AE98" s="55">
        <f t="shared" ca="1" si="41"/>
        <v>45382</v>
      </c>
      <c r="AF98" s="55">
        <f t="shared" ca="1" si="42"/>
        <v>96.390652149692698</v>
      </c>
      <c r="AG98" s="55">
        <f t="shared" ca="1" si="43"/>
        <v>42.672626188465955</v>
      </c>
      <c r="AH98" s="55">
        <f t="shared" ca="1" si="44"/>
        <v>0</v>
      </c>
      <c r="AI98" s="55">
        <f t="shared" ca="1" si="38"/>
        <v>0</v>
      </c>
      <c r="AJ98" s="55">
        <f t="shared" ca="1" si="39"/>
        <v>61.650225836544237</v>
      </c>
      <c r="AK98" s="55">
        <f t="shared" ca="1" si="40"/>
        <v>52.345746619180325</v>
      </c>
    </row>
    <row r="99" spans="18:37">
      <c r="R99" s="83">
        <f ca="1"/>
        <v>45297</v>
      </c>
      <c r="S99" s="55">
        <f t="shared" ca="1" si="33"/>
        <v>45297</v>
      </c>
      <c r="T99" s="55">
        <f t="shared" ca="1" si="27"/>
        <v>47.263190828474471</v>
      </c>
      <c r="U99" s="55">
        <f t="shared" ca="1" si="28"/>
        <v>159.54105249705376</v>
      </c>
      <c r="V99" s="55">
        <f t="shared" ca="1" si="29"/>
        <v>0</v>
      </c>
      <c r="W99" s="55">
        <f t="shared" ca="1" si="34"/>
        <v>-27.810425412343459</v>
      </c>
      <c r="X99" s="55">
        <f t="shared" ca="1" si="35"/>
        <v>82.047159009172816</v>
      </c>
      <c r="Y99" s="55">
        <f t="shared" ca="1" si="36"/>
        <v>-6.1791912515702867</v>
      </c>
      <c r="Z99">
        <f t="shared" ca="1" si="30"/>
        <v>101.16730967956335</v>
      </c>
      <c r="AA99">
        <f t="shared" ca="1" si="37"/>
        <v>82.983489260366838</v>
      </c>
      <c r="AB99">
        <f t="shared" ca="1" si="31"/>
        <v>0</v>
      </c>
      <c r="AC99">
        <f t="shared" ca="1" si="32"/>
        <v>0.94888478780532359</v>
      </c>
      <c r="AD99" s="83">
        <f ca="1"/>
        <v>45383</v>
      </c>
      <c r="AE99" s="55">
        <f t="shared" ca="1" si="41"/>
        <v>45383</v>
      </c>
      <c r="AF99" s="55">
        <f t="shared" ca="1" si="42"/>
        <v>95.241457174340482</v>
      </c>
      <c r="AG99" s="55">
        <f t="shared" ca="1" si="43"/>
        <v>44.33925146769964</v>
      </c>
      <c r="AH99" s="55">
        <f t="shared" ca="1" si="44"/>
        <v>0</v>
      </c>
      <c r="AI99" s="55">
        <f t="shared" ca="1" si="38"/>
        <v>0</v>
      </c>
      <c r="AJ99" s="55">
        <f t="shared" ca="1" si="39"/>
        <v>62.15582381880597</v>
      </c>
      <c r="AK99" s="55">
        <f t="shared" ca="1" si="40"/>
        <v>52.35757894080006</v>
      </c>
    </row>
    <row r="100" spans="18:37">
      <c r="R100" s="83">
        <f ca="1"/>
        <v>45298</v>
      </c>
      <c r="S100" s="55">
        <f t="shared" ca="1" si="33"/>
        <v>45298</v>
      </c>
      <c r="T100" s="55">
        <f t="shared" ca="1" si="27"/>
        <v>41.486998293597367</v>
      </c>
      <c r="U100" s="55">
        <f t="shared" ca="1" si="28"/>
        <v>166.37088629987113</v>
      </c>
      <c r="V100" s="55">
        <f t="shared" ca="1" si="29"/>
        <v>0</v>
      </c>
      <c r="W100" s="55">
        <f t="shared" ca="1" si="34"/>
        <v>-27.810425412343459</v>
      </c>
      <c r="X100" s="55">
        <f t="shared" ca="1" si="35"/>
        <v>83.081701614770523</v>
      </c>
      <c r="Y100" s="55">
        <f t="shared" ca="1" si="36"/>
        <v>-6.1600925892277134</v>
      </c>
      <c r="Z100">
        <f t="shared" ca="1" si="30"/>
        <v>98.39583504225017</v>
      </c>
      <c r="AA100">
        <f t="shared" ca="1" si="37"/>
        <v>82.983489260366838</v>
      </c>
      <c r="AB100">
        <f t="shared" ca="1" si="31"/>
        <v>0</v>
      </c>
      <c r="AC100">
        <f t="shared" ca="1" si="32"/>
        <v>0.94907318253985551</v>
      </c>
      <c r="AD100" s="83">
        <f ca="1"/>
        <v>45384</v>
      </c>
      <c r="AE100" s="55">
        <f t="shared" ca="1" si="41"/>
        <v>45384</v>
      </c>
      <c r="AF100" s="55">
        <f t="shared" ca="1" si="42"/>
        <v>94.03786680502634</v>
      </c>
      <c r="AG100" s="55">
        <f t="shared" ca="1" si="43"/>
        <v>46.069837657569856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62.670804165695642</v>
      </c>
      <c r="AK100" s="55">
        <f t="shared" ca="1" si="40"/>
        <v>52.369594414466462</v>
      </c>
    </row>
    <row r="101" spans="18:37">
      <c r="R101" s="83">
        <f ca="1"/>
        <v>45299</v>
      </c>
      <c r="S101" s="55">
        <f t="shared" ca="1" si="33"/>
        <v>45299</v>
      </c>
      <c r="T101" s="55">
        <f t="shared" ca="1" si="27"/>
        <v>35.572171752540903</v>
      </c>
      <c r="U101" s="55">
        <f t="shared" ca="1" si="28"/>
        <v>173.36833371033947</v>
      </c>
      <c r="V101" s="55">
        <f t="shared" ca="1" si="29"/>
        <v>0</v>
      </c>
      <c r="W101" s="55">
        <f t="shared" ca="1" si="34"/>
        <v>-27.810425412343459</v>
      </c>
      <c r="X101" s="55">
        <f t="shared" ca="1" si="35"/>
        <v>84.144762633045332</v>
      </c>
      <c r="Y101" s="55">
        <f t="shared" ca="1" si="36"/>
        <v>-6.1405327380906458</v>
      </c>
      <c r="Z101">
        <f t="shared" ca="1" si="30"/>
        <v>99.462972451870115</v>
      </c>
      <c r="AA101">
        <f t="shared" ca="1" si="37"/>
        <v>82.983489260366838</v>
      </c>
      <c r="AB101">
        <f t="shared" ca="1" si="31"/>
        <v>0</v>
      </c>
      <c r="AC101">
        <f t="shared" ca="1" si="32"/>
        <v>0.94923204538507788</v>
      </c>
      <c r="AD101" s="83">
        <f ca="1"/>
        <v>45385</v>
      </c>
      <c r="AE101" s="55">
        <f t="shared" ca="1" si="41"/>
        <v>45385</v>
      </c>
      <c r="AF101" s="55">
        <f t="shared" ca="1" si="42"/>
        <v>92.801809456148234</v>
      </c>
      <c r="AG101" s="55">
        <f t="shared" ca="1" si="43"/>
        <v>47.806343608818615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63.160159915575413</v>
      </c>
      <c r="AK101" s="55">
        <f t="shared" ca="1" si="40"/>
        <v>52.380687266957345</v>
      </c>
    </row>
    <row r="102" spans="18:37">
      <c r="R102" s="83">
        <f ca="1"/>
        <v>45300</v>
      </c>
      <c r="S102" s="55">
        <f t="shared" ca="1" si="33"/>
        <v>45300</v>
      </c>
      <c r="T102" s="55">
        <f t="shared" ca="1" si="27"/>
        <v>29.540547568532759</v>
      </c>
      <c r="U102" s="55">
        <f t="shared" ca="1" si="28"/>
        <v>180.52171887301796</v>
      </c>
      <c r="V102" s="55">
        <f t="shared" ca="1" si="29"/>
        <v>0</v>
      </c>
      <c r="W102" s="55">
        <f t="shared" ca="1" si="34"/>
        <v>-27.810425412343459</v>
      </c>
      <c r="X102" s="55">
        <f t="shared" ca="1" si="35"/>
        <v>85.246509102083081</v>
      </c>
      <c r="Y102" s="55">
        <f t="shared" ca="1" si="36"/>
        <v>-6.120518228458053</v>
      </c>
      <c r="Z102">
        <f t="shared" ca="1" si="30"/>
        <v>101.26851633070679</v>
      </c>
      <c r="AA102">
        <f t="shared" ca="1" si="37"/>
        <v>82.983489260366838</v>
      </c>
      <c r="AB102">
        <f t="shared" ca="1" si="31"/>
        <v>0</v>
      </c>
      <c r="AC102">
        <f t="shared" ca="1" si="32"/>
        <v>0.94936565944166018</v>
      </c>
      <c r="AD102" s="83">
        <f ca="1"/>
        <v>45386</v>
      </c>
      <c r="AE102" s="55">
        <f t="shared" ca="1" si="41"/>
        <v>45386</v>
      </c>
      <c r="AF102" s="55">
        <f t="shared" ca="1" si="42"/>
        <v>91.512918210293165</v>
      </c>
      <c r="AG102" s="55">
        <f t="shared" ca="1" si="43"/>
        <v>49.588534835432945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63.642798020425381</v>
      </c>
      <c r="AK102" s="55">
        <f t="shared" ca="1" si="40"/>
        <v>52.39134914286663</v>
      </c>
    </row>
    <row r="103" spans="18:37">
      <c r="R103" s="83">
        <f ca="1"/>
        <v>45301</v>
      </c>
      <c r="S103" s="55">
        <f t="shared" ca="1" si="33"/>
        <v>45301</v>
      </c>
      <c r="T103" s="55">
        <f t="shared" ca="1" si="27"/>
        <v>23.510958756573242</v>
      </c>
      <c r="U103" s="55">
        <f t="shared" ca="1" si="28"/>
        <v>187.61142857142875</v>
      </c>
      <c r="V103" s="55">
        <f t="shared" ca="1" si="29"/>
        <v>0</v>
      </c>
      <c r="W103" s="55">
        <f t="shared" ca="1" si="34"/>
        <v>-27.810425412343459</v>
      </c>
      <c r="X103" s="55">
        <f t="shared" ca="1" si="35"/>
        <v>86.286713928372393</v>
      </c>
      <c r="Y103" s="55">
        <f t="shared" ca="1" si="36"/>
        <v>-6.1006021682960947</v>
      </c>
      <c r="Z103">
        <f t="shared" ca="1" si="30"/>
        <v>97.040603860226781</v>
      </c>
      <c r="AA103">
        <f t="shared" ca="1" si="37"/>
        <v>82.983489260366838</v>
      </c>
      <c r="AB103">
        <f t="shared" ca="1" si="31"/>
        <v>0</v>
      </c>
      <c r="AC103">
        <f t="shared" ca="1" si="32"/>
        <v>0.94947486029492256</v>
      </c>
      <c r="AD103" s="83">
        <f ca="1"/>
        <v>45387</v>
      </c>
      <c r="AE103" s="55">
        <f t="shared" ca="1" si="41"/>
        <v>45387</v>
      </c>
      <c r="AF103" s="55">
        <f t="shared" ca="1" si="42"/>
        <v>90.184111091137453</v>
      </c>
      <c r="AG103" s="55">
        <f t="shared" ca="1" si="43"/>
        <v>51.418466137970462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64.132980270287689</v>
      </c>
      <c r="AK103" s="55">
        <f t="shared" ca="1" si="40"/>
        <v>52.402291076386142</v>
      </c>
    </row>
    <row r="104" spans="18:37">
      <c r="R104" s="83" t="e">
        <f ca="1"/>
        <v>#N/A</v>
      </c>
      <c r="S104" s="55" t="e">
        <f t="shared" ca="1" si="33"/>
        <v>#N/A</v>
      </c>
      <c r="T104" s="55" t="e">
        <f t="shared" ca="1" si="27"/>
        <v>#N/A</v>
      </c>
      <c r="U104" s="55" t="e">
        <f t="shared" ca="1" si="28"/>
        <v>#N/A</v>
      </c>
      <c r="V104" s="55" t="e">
        <f t="shared" ca="1" si="29"/>
        <v>#N/A</v>
      </c>
      <c r="W104" s="55" t="e">
        <f t="shared" ca="1" si="34"/>
        <v>#N/A</v>
      </c>
      <c r="X104" s="55" t="e">
        <f t="shared" ca="1" si="35"/>
        <v>#N/A</v>
      </c>
      <c r="Y104" s="55" t="e">
        <f t="shared" ca="1" si="36"/>
        <v>#N/A</v>
      </c>
      <c r="Z104" t="e">
        <f t="shared" ca="1" si="30"/>
        <v>#N/A</v>
      </c>
      <c r="AA104" t="e">
        <f t="shared" ca="1" si="37"/>
        <v>#N/A</v>
      </c>
      <c r="AB104" t="e">
        <f t="shared" ca="1" si="31"/>
        <v>#N/A</v>
      </c>
      <c r="AC104" t="e">
        <f t="shared" ca="1" si="32"/>
        <v>#N/A</v>
      </c>
      <c r="AD104" s="83">
        <f ca="1"/>
        <v>45388</v>
      </c>
      <c r="AE104" s="55">
        <f t="shared" ca="1" si="41"/>
        <v>45388</v>
      </c>
      <c r="AF104" s="55">
        <f t="shared" ca="1" si="42"/>
        <v>88.810999147819899</v>
      </c>
      <c r="AG104" s="55">
        <f t="shared" ca="1" si="43"/>
        <v>53.290145592211097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64.620774990050919</v>
      </c>
      <c r="AK104" s="55">
        <f t="shared" ca="1" si="40"/>
        <v>52.413063867545993</v>
      </c>
    </row>
    <row r="105" spans="18:37">
      <c r="R105" s="83" t="e">
        <f ca="1"/>
        <v>#N/A</v>
      </c>
      <c r="S105" s="55" t="e">
        <f t="shared" ca="1" si="33"/>
        <v>#N/A</v>
      </c>
      <c r="T105" s="55" t="e">
        <f t="shared" ca="1" si="27"/>
        <v>#N/A</v>
      </c>
      <c r="U105" s="55" t="e">
        <f t="shared" ca="1" si="28"/>
        <v>#N/A</v>
      </c>
      <c r="V105" s="55" t="e">
        <f t="shared" ca="1" si="29"/>
        <v>#N/A</v>
      </c>
      <c r="W105" s="55" t="e">
        <f t="shared" ca="1" si="34"/>
        <v>#N/A</v>
      </c>
      <c r="X105" s="55" t="e">
        <f t="shared" ca="1" si="35"/>
        <v>#N/A</v>
      </c>
      <c r="Y105" s="55" t="e">
        <f t="shared" ca="1" si="36"/>
        <v>#N/A</v>
      </c>
      <c r="Z105" t="e">
        <f t="shared" ca="1" si="30"/>
        <v>#N/A</v>
      </c>
      <c r="AA105" t="e">
        <f t="shared" ca="1" si="37"/>
        <v>#N/A</v>
      </c>
      <c r="AB105" t="e">
        <f t="shared" ca="1" si="31"/>
        <v>#N/A</v>
      </c>
      <c r="AC105" t="e">
        <f t="shared" ca="1" si="32"/>
        <v>#N/A</v>
      </c>
      <c r="AD105" s="83">
        <f ca="1"/>
        <v>45389</v>
      </c>
      <c r="AE105" s="55">
        <f t="shared" ca="1" si="41"/>
        <v>45389</v>
      </c>
      <c r="AF105" s="55">
        <f t="shared" ca="1" si="42"/>
        <v>87.418976810877467</v>
      </c>
      <c r="AG105" s="55">
        <f t="shared" ca="1" si="43"/>
        <v>55.176608409386162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65.10443854530871</v>
      </c>
      <c r="AK105" s="55">
        <f t="shared" ca="1" si="40"/>
        <v>52.423840792520835</v>
      </c>
    </row>
    <row r="106" spans="18:37">
      <c r="R106" s="83" t="e">
        <f ca="1"/>
        <v>#N/A</v>
      </c>
      <c r="S106" s="55" t="e">
        <f t="shared" ca="1" si="33"/>
        <v>#N/A</v>
      </c>
      <c r="T106" s="55" t="e">
        <f t="shared" ca="1" si="27"/>
        <v>#N/A</v>
      </c>
      <c r="U106" s="55" t="e">
        <f t="shared" ca="1" si="28"/>
        <v>#N/A</v>
      </c>
      <c r="V106" s="55" t="e">
        <f t="shared" ca="1" si="29"/>
        <v>#N/A</v>
      </c>
      <c r="W106" s="55" t="e">
        <f t="shared" ca="1" si="34"/>
        <v>#N/A</v>
      </c>
      <c r="X106" s="55" t="e">
        <f t="shared" ca="1" si="35"/>
        <v>#N/A</v>
      </c>
      <c r="Y106" s="55" t="e">
        <f t="shared" ca="1" si="36"/>
        <v>#N/A</v>
      </c>
      <c r="Z106" t="e">
        <f t="shared" ca="1" si="30"/>
        <v>#N/A</v>
      </c>
      <c r="AA106" t="e">
        <f t="shared" ca="1" si="37"/>
        <v>#N/A</v>
      </c>
      <c r="AB106" t="e">
        <f t="shared" ca="1" si="31"/>
        <v>#N/A</v>
      </c>
      <c r="AC106" t="e">
        <f t="shared" ca="1" si="32"/>
        <v>#N/A</v>
      </c>
      <c r="AD106" s="83">
        <f ca="1"/>
        <v>45390</v>
      </c>
      <c r="AE106" s="55">
        <f t="shared" ca="1" si="41"/>
        <v>45390</v>
      </c>
      <c r="AF106" s="55">
        <f t="shared" ca="1" si="42"/>
        <v>86.028203041879621</v>
      </c>
      <c r="AG106" s="55">
        <f t="shared" ca="1" si="43"/>
        <v>57.071580989458326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65.5972195538574</v>
      </c>
      <c r="AK106" s="55">
        <f t="shared" ca="1" si="40"/>
        <v>52.435258595046463</v>
      </c>
    </row>
    <row r="107" spans="18:37">
      <c r="R107" s="83" t="e">
        <f ca="1"/>
        <v>#N/A</v>
      </c>
      <c r="S107" s="55" t="e">
        <f t="shared" ca="1" si="33"/>
        <v>#N/A</v>
      </c>
      <c r="T107" s="55" t="e">
        <f t="shared" ca="1" si="27"/>
        <v>#N/A</v>
      </c>
      <c r="U107" s="55" t="e">
        <f t="shared" ca="1" si="28"/>
        <v>#N/A</v>
      </c>
      <c r="V107" s="55" t="e">
        <f t="shared" ca="1" si="29"/>
        <v>#N/A</v>
      </c>
      <c r="W107" s="55" t="e">
        <f t="shared" ca="1" si="34"/>
        <v>#N/A</v>
      </c>
      <c r="X107" s="55" t="e">
        <f t="shared" ca="1" si="35"/>
        <v>#N/A</v>
      </c>
      <c r="Y107" s="55" t="e">
        <f t="shared" ca="1" si="36"/>
        <v>#N/A</v>
      </c>
      <c r="Z107" t="e">
        <f t="shared" ca="1" si="30"/>
        <v>#N/A</v>
      </c>
      <c r="AA107" t="e">
        <f t="shared" ca="1" si="37"/>
        <v>#N/A</v>
      </c>
      <c r="AB107" t="e">
        <f t="shared" ca="1" si="31"/>
        <v>#N/A</v>
      </c>
      <c r="AC107" t="e">
        <f t="shared" ca="1" si="32"/>
        <v>#N/A</v>
      </c>
      <c r="AD107" s="83">
        <f ca="1"/>
        <v>45391</v>
      </c>
      <c r="AE107" s="55">
        <f t="shared" ca="1" si="41"/>
        <v>45391</v>
      </c>
      <c r="AF107" s="55">
        <f t="shared" ca="1" si="42"/>
        <v>84.606147914508426</v>
      </c>
      <c r="AG107" s="55">
        <f t="shared" ca="1" si="43"/>
        <v>58.997117100539569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66.089333197156449</v>
      </c>
      <c r="AK107" s="55">
        <f t="shared" ca="1" si="40"/>
        <v>52.446625935457469</v>
      </c>
    </row>
    <row r="108" spans="18:37">
      <c r="R108" s="83" t="e">
        <f ca="1"/>
        <v>#N/A</v>
      </c>
      <c r="S108" s="55" t="e">
        <f t="shared" ca="1" si="33"/>
        <v>#N/A</v>
      </c>
      <c r="T108" s="55" t="e">
        <f t="shared" ca="1" si="27"/>
        <v>#N/A</v>
      </c>
      <c r="U108" s="55" t="e">
        <f t="shared" ca="1" si="28"/>
        <v>#N/A</v>
      </c>
      <c r="V108" s="55" t="e">
        <f t="shared" ca="1" si="29"/>
        <v>#N/A</v>
      </c>
      <c r="W108" s="55" t="e">
        <f t="shared" ca="1" si="34"/>
        <v>#N/A</v>
      </c>
      <c r="X108" s="55" t="e">
        <f t="shared" ca="1" si="35"/>
        <v>#N/A</v>
      </c>
      <c r="Y108" s="55" t="e">
        <f t="shared" ca="1" si="36"/>
        <v>#N/A</v>
      </c>
      <c r="Z108" t="e">
        <f t="shared" ca="1" si="30"/>
        <v>#N/A</v>
      </c>
      <c r="AA108" t="e">
        <f t="shared" ca="1" si="37"/>
        <v>#N/A</v>
      </c>
      <c r="AB108" t="e">
        <f t="shared" ca="1" si="31"/>
        <v>#N/A</v>
      </c>
      <c r="AC108" t="e">
        <f t="shared" ca="1" si="32"/>
        <v>#N/A</v>
      </c>
      <c r="AD108" s="83">
        <f ca="1"/>
        <v>45392</v>
      </c>
      <c r="AE108" s="55">
        <f t="shared" ca="1" si="41"/>
        <v>45392</v>
      </c>
      <c r="AF108" s="55">
        <f t="shared" ca="1" si="42"/>
        <v>83.169049066367066</v>
      </c>
      <c r="AG108" s="55">
        <f t="shared" ca="1" si="43"/>
        <v>60.928963425531379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66.572935153977184</v>
      </c>
      <c r="AK108" s="55">
        <f t="shared" ca="1" si="40"/>
        <v>52.457771455487176</v>
      </c>
    </row>
    <row r="109" spans="18:37">
      <c r="R109" s="83" t="e">
        <f ca="1"/>
        <v>#N/A</v>
      </c>
      <c r="S109" s="55" t="e">
        <f t="shared" ca="1" si="33"/>
        <v>#N/A</v>
      </c>
      <c r="T109" s="55" t="e">
        <f t="shared" ca="1" si="27"/>
        <v>#N/A</v>
      </c>
      <c r="U109" s="55" t="e">
        <f t="shared" ca="1" si="28"/>
        <v>#N/A</v>
      </c>
      <c r="V109" s="55" t="e">
        <f t="shared" ca="1" si="29"/>
        <v>#N/A</v>
      </c>
      <c r="W109" s="55" t="e">
        <f t="shared" ca="1" si="34"/>
        <v>#N/A</v>
      </c>
      <c r="X109" s="55" t="e">
        <f t="shared" ca="1" si="35"/>
        <v>#N/A</v>
      </c>
      <c r="Y109" s="55" t="e">
        <f t="shared" ca="1" si="36"/>
        <v>#N/A</v>
      </c>
      <c r="Z109" t="e">
        <f t="shared" ca="1" si="30"/>
        <v>#N/A</v>
      </c>
      <c r="AA109" t="e">
        <f t="shared" ca="1" si="37"/>
        <v>#N/A</v>
      </c>
      <c r="AB109" t="e">
        <f t="shared" ca="1" si="31"/>
        <v>#N/A</v>
      </c>
      <c r="AC109" t="e">
        <f t="shared" ca="1" si="32"/>
        <v>#N/A</v>
      </c>
      <c r="AD109" s="83">
        <f ca="1"/>
        <v>45393</v>
      </c>
      <c r="AE109" s="55">
        <f t="shared" ca="1" si="41"/>
        <v>45393</v>
      </c>
      <c r="AF109" s="55">
        <f t="shared" ca="1" si="42"/>
        <v>81.704112943997742</v>
      </c>
      <c r="AG109" s="55">
        <f t="shared" ca="1" si="43"/>
        <v>62.905842088069207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67.073179206095517</v>
      </c>
      <c r="AK109" s="55">
        <f t="shared" ca="1" si="40"/>
        <v>52.469469943537341</v>
      </c>
    </row>
    <row r="110" spans="18:37">
      <c r="R110" s="83" t="e">
        <f ca="1"/>
        <v>#N/A</v>
      </c>
      <c r="S110" s="55" t="e">
        <f t="shared" ca="1" si="33"/>
        <v>#N/A</v>
      </c>
      <c r="T110" s="55" t="e">
        <f t="shared" ca="1" si="27"/>
        <v>#N/A</v>
      </c>
      <c r="U110" s="55" t="e">
        <f t="shared" ca="1" si="28"/>
        <v>#N/A</v>
      </c>
      <c r="V110" s="55" t="e">
        <f t="shared" ca="1" si="29"/>
        <v>#N/A</v>
      </c>
      <c r="W110" s="55" t="e">
        <f t="shared" ca="1" si="34"/>
        <v>#N/A</v>
      </c>
      <c r="X110" s="55" t="e">
        <f t="shared" ca="1" si="35"/>
        <v>#N/A</v>
      </c>
      <c r="Y110" s="55" t="e">
        <f t="shared" ca="1" si="36"/>
        <v>#N/A</v>
      </c>
      <c r="Z110" t="e">
        <f t="shared" ca="1" si="30"/>
        <v>#N/A</v>
      </c>
      <c r="AA110" t="e">
        <f t="shared" ca="1" si="37"/>
        <v>#N/A</v>
      </c>
      <c r="AB110" t="e">
        <f t="shared" ca="1" si="31"/>
        <v>#N/A</v>
      </c>
      <c r="AC110" t="e">
        <f t="shared" ca="1" si="32"/>
        <v>#N/A</v>
      </c>
      <c r="AD110" s="83">
        <f ca="1"/>
        <v>45394</v>
      </c>
      <c r="AE110" s="55">
        <f t="shared" ca="1" si="41"/>
        <v>45394</v>
      </c>
      <c r="AF110" s="55">
        <f t="shared" ca="1" si="42"/>
        <v>80.17689175140687</v>
      </c>
      <c r="AG110" s="55">
        <f t="shared" ca="1" si="43"/>
        <v>64.955047376703675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67.583407233219205</v>
      </c>
      <c r="AK110" s="55">
        <f t="shared" ca="1" si="40"/>
        <v>52.481226012457249</v>
      </c>
    </row>
    <row r="111" spans="18:37">
      <c r="R111" s="83" t="e">
        <f ca="1"/>
        <v>#N/A</v>
      </c>
      <c r="S111" s="55" t="e">
        <f t="shared" ca="1" si="33"/>
        <v>#N/A</v>
      </c>
      <c r="T111" s="55" t="e">
        <f t="shared" ca="1" si="27"/>
        <v>#N/A</v>
      </c>
      <c r="U111" s="55" t="e">
        <f t="shared" ca="1" si="28"/>
        <v>#N/A</v>
      </c>
      <c r="V111" s="55" t="e">
        <f t="shared" ca="1" si="29"/>
        <v>#N/A</v>
      </c>
      <c r="W111" s="55" t="e">
        <f t="shared" ca="1" si="34"/>
        <v>#N/A</v>
      </c>
      <c r="X111" s="55" t="e">
        <f t="shared" ca="1" si="35"/>
        <v>#N/A</v>
      </c>
      <c r="Y111" s="55" t="e">
        <f t="shared" ca="1" si="36"/>
        <v>#N/A</v>
      </c>
      <c r="Z111" t="e">
        <f t="shared" ca="1" si="30"/>
        <v>#N/A</v>
      </c>
      <c r="AA111" t="e">
        <f t="shared" ca="1" si="37"/>
        <v>#N/A</v>
      </c>
      <c r="AB111" t="e">
        <f t="shared" ca="1" si="31"/>
        <v>#N/A</v>
      </c>
      <c r="AC111" t="e">
        <f t="shared" ca="1" si="32"/>
        <v>#N/A</v>
      </c>
      <c r="AD111" s="83">
        <f ca="1"/>
        <v>45395</v>
      </c>
      <c r="AE111" s="55">
        <f t="shared" ca="1" si="41"/>
        <v>45395</v>
      </c>
      <c r="AF111" s="55">
        <f t="shared" ca="1" si="42"/>
        <v>78.650475340537071</v>
      </c>
      <c r="AG111" s="55">
        <f t="shared" ca="1" si="43"/>
        <v>67.000808143038526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68.090960783852111</v>
      </c>
      <c r="AK111" s="55">
        <f t="shared" ca="1" si="40"/>
        <v>52.493016817289394</v>
      </c>
    </row>
    <row r="112" spans="18:37">
      <c r="R112" s="83" t="e">
        <f ca="1"/>
        <v>#N/A</v>
      </c>
      <c r="S112" s="55" t="e">
        <f t="shared" ca="1" si="33"/>
        <v>#N/A</v>
      </c>
      <c r="T112" s="55" t="e">
        <f t="shared" ca="1" si="27"/>
        <v>#N/A</v>
      </c>
      <c r="U112" s="55" t="e">
        <f t="shared" ca="1" si="28"/>
        <v>#N/A</v>
      </c>
      <c r="V112" s="55" t="e">
        <f t="shared" ca="1" si="29"/>
        <v>#N/A</v>
      </c>
      <c r="W112" s="55" t="e">
        <f t="shared" ca="1" si="34"/>
        <v>#N/A</v>
      </c>
      <c r="X112" s="55" t="e">
        <f t="shared" ca="1" si="35"/>
        <v>#N/A</v>
      </c>
      <c r="Y112" s="55" t="e">
        <f t="shared" ca="1" si="36"/>
        <v>#N/A</v>
      </c>
      <c r="Z112" t="e">
        <f t="shared" ca="1" si="30"/>
        <v>#N/A</v>
      </c>
      <c r="AA112" t="e">
        <f t="shared" ca="1" si="37"/>
        <v>#N/A</v>
      </c>
      <c r="AB112" t="e">
        <f t="shared" ca="1" si="31"/>
        <v>#N/A</v>
      </c>
      <c r="AC112" t="e">
        <f t="shared" ca="1" si="32"/>
        <v>#N/A</v>
      </c>
      <c r="AD112" s="83">
        <f ca="1"/>
        <v>45396</v>
      </c>
      <c r="AE112" s="55">
        <f t="shared" ca="1" si="41"/>
        <v>45396</v>
      </c>
      <c r="AF112" s="55">
        <f t="shared" ca="1" si="42"/>
        <v>77.110403838315264</v>
      </c>
      <c r="AG112" s="55">
        <f t="shared" ca="1" si="43"/>
        <v>69.057668567353673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68.596035784084265</v>
      </c>
      <c r="AK112" s="55">
        <f t="shared" ca="1" si="40"/>
        <v>52.504730739150581</v>
      </c>
    </row>
    <row r="113" spans="18:37">
      <c r="R113" s="83" t="e">
        <f ca="1"/>
        <v>#N/A</v>
      </c>
      <c r="S113" s="55" t="e">
        <f t="shared" ca="1" si="33"/>
        <v>#N/A</v>
      </c>
      <c r="T113" s="55" t="e">
        <f t="shared" ca="1" si="27"/>
        <v>#N/A</v>
      </c>
      <c r="U113" s="55" t="e">
        <f t="shared" ca="1" si="28"/>
        <v>#N/A</v>
      </c>
      <c r="V113" s="55" t="e">
        <f t="shared" ca="1" si="29"/>
        <v>#N/A</v>
      </c>
      <c r="W113" s="55" t="e">
        <f t="shared" ca="1" si="34"/>
        <v>#N/A</v>
      </c>
      <c r="X113" s="55" t="e">
        <f t="shared" ca="1" si="35"/>
        <v>#N/A</v>
      </c>
      <c r="Y113" s="55" t="e">
        <f t="shared" ca="1" si="36"/>
        <v>#N/A</v>
      </c>
      <c r="Z113" t="e">
        <f t="shared" ca="1" si="30"/>
        <v>#N/A</v>
      </c>
      <c r="AA113" t="e">
        <f t="shared" ca="1" si="37"/>
        <v>#N/A</v>
      </c>
      <c r="AB113" t="e">
        <f t="shared" ca="1" si="31"/>
        <v>#N/A</v>
      </c>
      <c r="AC113" t="e">
        <f t="shared" ca="1" si="32"/>
        <v>#N/A</v>
      </c>
      <c r="AD113" s="83">
        <f ca="1"/>
        <v>45397</v>
      </c>
      <c r="AE113" s="55">
        <f t="shared" ca="1" si="41"/>
        <v>45397</v>
      </c>
      <c r="AF113" s="55">
        <f t="shared" ca="1" si="42"/>
        <v>75.504053315036131</v>
      </c>
      <c r="AG113" s="55">
        <f t="shared" ca="1" si="43"/>
        <v>71.217827540880535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69.137285769955199</v>
      </c>
      <c r="AK113" s="55">
        <f t="shared" ca="1" si="40"/>
        <v>52.517289203527369</v>
      </c>
    </row>
    <row r="114" spans="18:37">
      <c r="R114" s="83" t="e">
        <f ca="1"/>
        <v>#N/A</v>
      </c>
      <c r="S114" s="55" t="e">
        <f t="shared" ca="1" si="33"/>
        <v>#N/A</v>
      </c>
      <c r="T114" s="55" t="e">
        <f t="shared" ca="1" si="27"/>
        <v>#N/A</v>
      </c>
      <c r="U114" s="55" t="e">
        <f t="shared" ca="1" si="28"/>
        <v>#N/A</v>
      </c>
      <c r="V114" s="55" t="e">
        <f t="shared" ca="1" si="29"/>
        <v>#N/A</v>
      </c>
      <c r="W114" s="55" t="e">
        <f t="shared" ca="1" si="34"/>
        <v>#N/A</v>
      </c>
      <c r="X114" s="55" t="e">
        <f t="shared" ca="1" si="35"/>
        <v>#N/A</v>
      </c>
      <c r="Y114" s="55" t="e">
        <f t="shared" ca="1" si="36"/>
        <v>#N/A</v>
      </c>
      <c r="Z114" t="e">
        <f t="shared" ca="1" si="30"/>
        <v>#N/A</v>
      </c>
      <c r="AA114" t="e">
        <f t="shared" ca="1" si="37"/>
        <v>#N/A</v>
      </c>
      <c r="AB114" t="e">
        <f t="shared" ca="1" si="31"/>
        <v>#N/A</v>
      </c>
      <c r="AC114" t="e">
        <f t="shared" ca="1" si="32"/>
        <v>#N/A</v>
      </c>
      <c r="AD114" s="83">
        <f ca="1"/>
        <v>45398</v>
      </c>
      <c r="AE114" s="55">
        <f t="shared" ca="1" si="41"/>
        <v>45398</v>
      </c>
      <c r="AF114" s="55">
        <f t="shared" ca="1" si="42"/>
        <v>73.893640654183159</v>
      </c>
      <c r="AG114" s="55">
        <f t="shared" ca="1" si="43"/>
        <v>73.37739304019162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69.67401096076523</v>
      </c>
      <c r="AK114" s="55">
        <f t="shared" ca="1" si="40"/>
        <v>52.529716851175451</v>
      </c>
    </row>
    <row r="115" spans="18:37">
      <c r="R115" s="83" t="e">
        <f ca="1"/>
        <v>#N/A</v>
      </c>
      <c r="S115" s="55" t="e">
        <f t="shared" ca="1" si="33"/>
        <v>#N/A</v>
      </c>
      <c r="T115" s="55" t="e">
        <f t="shared" ca="1" si="27"/>
        <v>#N/A</v>
      </c>
      <c r="U115" s="55" t="e">
        <f t="shared" ca="1" si="28"/>
        <v>#N/A</v>
      </c>
      <c r="V115" s="55" t="e">
        <f t="shared" ca="1" si="29"/>
        <v>#N/A</v>
      </c>
      <c r="W115" s="55" t="e">
        <f t="shared" ca="1" si="34"/>
        <v>#N/A</v>
      </c>
      <c r="X115" s="55" t="e">
        <f t="shared" ca="1" si="35"/>
        <v>#N/A</v>
      </c>
      <c r="Y115" s="55" t="e">
        <f t="shared" ca="1" si="36"/>
        <v>#N/A</v>
      </c>
      <c r="Z115" t="e">
        <f t="shared" ca="1" si="30"/>
        <v>#N/A</v>
      </c>
      <c r="AA115" t="e">
        <f t="shared" ca="1" si="37"/>
        <v>#N/A</v>
      </c>
      <c r="AB115" t="e">
        <f t="shared" ca="1" si="31"/>
        <v>#N/A</v>
      </c>
      <c r="AC115" t="e">
        <f t="shared" ca="1" si="32"/>
        <v>#N/A</v>
      </c>
      <c r="AD115" s="83">
        <f ca="1"/>
        <v>45399</v>
      </c>
      <c r="AE115" s="55">
        <f t="shared" ca="1" si="41"/>
        <v>45399</v>
      </c>
      <c r="AF115" s="55">
        <f t="shared" ca="1" si="42"/>
        <v>72.257470134960784</v>
      </c>
      <c r="AG115" s="55">
        <f t="shared" ca="1" si="43"/>
        <v>75.57061953501379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70.218521896812064</v>
      </c>
      <c r="AK115" s="55">
        <f t="shared" ca="1" si="40"/>
        <v>52.542261890728412</v>
      </c>
    </row>
    <row r="116" spans="18:37">
      <c r="R116" s="83" t="e">
        <f ca="1"/>
        <v>#N/A</v>
      </c>
      <c r="S116" s="55" t="e">
        <f t="shared" ca="1" si="33"/>
        <v>#N/A</v>
      </c>
      <c r="T116" s="55" t="e">
        <f t="shared" ca="1" si="27"/>
        <v>#N/A</v>
      </c>
      <c r="U116" s="55" t="e">
        <f t="shared" ca="1" si="28"/>
        <v>#N/A</v>
      </c>
      <c r="V116" s="55" t="e">
        <f t="shared" ca="1" si="29"/>
        <v>#N/A</v>
      </c>
      <c r="W116" s="55" t="e">
        <f t="shared" ca="1" si="34"/>
        <v>#N/A</v>
      </c>
      <c r="X116" s="55" t="e">
        <f t="shared" ca="1" si="35"/>
        <v>#N/A</v>
      </c>
      <c r="Y116" s="55" t="e">
        <f t="shared" ca="1" si="36"/>
        <v>#N/A</v>
      </c>
      <c r="Z116" t="e">
        <f t="shared" ca="1" si="30"/>
        <v>#N/A</v>
      </c>
      <c r="AA116" t="e">
        <f t="shared" ca="1" si="37"/>
        <v>#N/A</v>
      </c>
      <c r="AB116" t="e">
        <f t="shared" ca="1" si="31"/>
        <v>#N/A</v>
      </c>
      <c r="AC116" t="e">
        <f t="shared" ca="1" si="32"/>
        <v>#N/A</v>
      </c>
      <c r="AD116" s="83">
        <f ca="1"/>
        <v>45400</v>
      </c>
      <c r="AE116" s="55">
        <f t="shared" ca="1" si="41"/>
        <v>45400</v>
      </c>
      <c r="AF116" s="55">
        <f t="shared" ca="1" si="42"/>
        <v>70.614843716516319</v>
      </c>
      <c r="AG116" s="55">
        <f t="shared" ca="1" si="43"/>
        <v>77.761232580796346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70.754270066108646</v>
      </c>
      <c r="AK116" s="55">
        <f t="shared" ca="1" si="40"/>
        <v>52.55450034876992</v>
      </c>
    </row>
    <row r="117" spans="18:37">
      <c r="R117" s="83" t="e">
        <f ca="1"/>
        <v>#N/A</v>
      </c>
      <c r="S117" s="55" t="e">
        <f t="shared" ca="1" si="33"/>
        <v>#N/A</v>
      </c>
      <c r="T117" s="55" t="e">
        <f t="shared" ca="1" si="27"/>
        <v>#N/A</v>
      </c>
      <c r="U117" s="55" t="e">
        <f t="shared" ca="1" si="28"/>
        <v>#N/A</v>
      </c>
      <c r="V117" s="55" t="e">
        <f t="shared" ca="1" si="29"/>
        <v>#N/A</v>
      </c>
      <c r="W117" s="55" t="e">
        <f t="shared" ca="1" si="34"/>
        <v>#N/A</v>
      </c>
      <c r="X117" s="55" t="e">
        <f t="shared" ca="1" si="35"/>
        <v>#N/A</v>
      </c>
      <c r="Y117" s="55" t="e">
        <f t="shared" ca="1" si="36"/>
        <v>#N/A</v>
      </c>
      <c r="Z117" t="e">
        <f t="shared" ca="1" si="30"/>
        <v>#N/A</v>
      </c>
      <c r="AA117" t="e">
        <f t="shared" ca="1" si="37"/>
        <v>#N/A</v>
      </c>
      <c r="AB117" t="e">
        <f t="shared" ca="1" si="31"/>
        <v>#N/A</v>
      </c>
      <c r="AC117" t="e">
        <f t="shared" ca="1" si="32"/>
        <v>#N/A</v>
      </c>
      <c r="AD117" s="83">
        <f ca="1"/>
        <v>45401</v>
      </c>
      <c r="AE117" s="55">
        <f t="shared" ca="1" si="41"/>
        <v>45401</v>
      </c>
      <c r="AF117" s="55">
        <f t="shared" ca="1" si="42"/>
        <v>68.914779462444045</v>
      </c>
      <c r="AG117" s="55">
        <f t="shared" ca="1" si="43"/>
        <v>80.012524433912731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71.293438005754567</v>
      </c>
      <c r="AK117" s="55">
        <f t="shared" ca="1" si="40"/>
        <v>52.566560008168118</v>
      </c>
    </row>
    <row r="118" spans="18:37">
      <c r="R118" s="83" t="e">
        <f ca="1"/>
        <v>#N/A</v>
      </c>
      <c r="S118" s="55" t="e">
        <f t="shared" ca="1" si="33"/>
        <v>#N/A</v>
      </c>
      <c r="T118" s="55" t="e">
        <f t="shared" ca="1" si="27"/>
        <v>#N/A</v>
      </c>
      <c r="U118" s="55" t="e">
        <f t="shared" ca="1" si="28"/>
        <v>#N/A</v>
      </c>
      <c r="V118" s="55" t="e">
        <f t="shared" ca="1" si="29"/>
        <v>#N/A</v>
      </c>
      <c r="W118" s="55" t="e">
        <f t="shared" ca="1" si="34"/>
        <v>#N/A</v>
      </c>
      <c r="X118" s="55" t="e">
        <f t="shared" ca="1" si="35"/>
        <v>#N/A</v>
      </c>
      <c r="Y118" s="55" t="e">
        <f t="shared" ca="1" si="36"/>
        <v>#N/A</v>
      </c>
      <c r="Z118" t="e">
        <f t="shared" ca="1" si="30"/>
        <v>#N/A</v>
      </c>
      <c r="AA118" t="e">
        <f t="shared" ca="1" si="37"/>
        <v>#N/A</v>
      </c>
      <c r="AB118" t="e">
        <f t="shared" ca="1" si="31"/>
        <v>#N/A</v>
      </c>
      <c r="AC118" t="e">
        <f t="shared" ca="1" si="32"/>
        <v>#N/A</v>
      </c>
      <c r="AD118" s="83">
        <f ca="1"/>
        <v>45402</v>
      </c>
      <c r="AE118" s="55">
        <f t="shared" ca="1" si="41"/>
        <v>45402</v>
      </c>
      <c r="AF118" s="55">
        <f t="shared" ca="1" si="42"/>
        <v>67.221179275100042</v>
      </c>
      <c r="AG118" s="55">
        <f t="shared" ca="1" si="43"/>
        <v>82.268983016244746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71.844301477976643</v>
      </c>
      <c r="AK118" s="55">
        <f t="shared" ca="1" si="40"/>
        <v>52.578554930934047</v>
      </c>
    </row>
    <row r="119" spans="18:37">
      <c r="R119" s="83" t="e">
        <f ca="1"/>
        <v>#N/A</v>
      </c>
      <c r="S119" s="55" t="e">
        <f t="shared" ca="1" si="33"/>
        <v>#N/A</v>
      </c>
      <c r="T119" s="55" t="e">
        <f t="shared" ca="1" si="27"/>
        <v>#N/A</v>
      </c>
      <c r="U119" s="55" t="e">
        <f t="shared" ca="1" si="28"/>
        <v>#N/A</v>
      </c>
      <c r="V119" s="55" t="e">
        <f t="shared" ca="1" si="29"/>
        <v>#N/A</v>
      </c>
      <c r="W119" s="55" t="e">
        <f t="shared" ca="1" si="34"/>
        <v>#N/A</v>
      </c>
      <c r="X119" s="55" t="e">
        <f t="shared" ca="1" si="35"/>
        <v>#N/A</v>
      </c>
      <c r="Y119" s="55" t="e">
        <f t="shared" ca="1" si="36"/>
        <v>#N/A</v>
      </c>
      <c r="Z119" t="e">
        <f t="shared" ca="1" si="30"/>
        <v>#N/A</v>
      </c>
      <c r="AA119" t="e">
        <f t="shared" ca="1" si="37"/>
        <v>#N/A</v>
      </c>
      <c r="AB119" t="e">
        <f t="shared" ca="1" si="31"/>
        <v>#N/A</v>
      </c>
      <c r="AC119" t="e">
        <f t="shared" ca="1" si="32"/>
        <v>#N/A</v>
      </c>
      <c r="AD119" s="83">
        <f ca="1"/>
        <v>45403</v>
      </c>
      <c r="AE119" s="55">
        <f t="shared" ca="1" si="41"/>
        <v>45403</v>
      </c>
      <c r="AF119" s="55">
        <f t="shared" ca="1" si="42"/>
        <v>65.592708839957524</v>
      </c>
      <c r="AG119" s="55">
        <f t="shared" ca="1" si="43"/>
        <v>84.440950904872523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72.376535780963479</v>
      </c>
      <c r="AK119" s="55">
        <f t="shared" ca="1" si="40"/>
        <v>52.589818081432462</v>
      </c>
    </row>
    <row r="120" spans="18:37">
      <c r="R120" s="83" t="e">
        <f ca="1"/>
        <v>#N/A</v>
      </c>
      <c r="S120" s="55" t="e">
        <f t="shared" ca="1" si="33"/>
        <v>#N/A</v>
      </c>
      <c r="T120" s="55" t="e">
        <f t="shared" ca="1" si="27"/>
        <v>#N/A</v>
      </c>
      <c r="U120" s="55" t="e">
        <f t="shared" ca="1" si="28"/>
        <v>#N/A</v>
      </c>
      <c r="V120" s="55" t="e">
        <f t="shared" ca="1" si="29"/>
        <v>#N/A</v>
      </c>
      <c r="W120" s="55" t="e">
        <f t="shared" ca="1" si="34"/>
        <v>#N/A</v>
      </c>
      <c r="X120" s="55" t="e">
        <f t="shared" ca="1" si="35"/>
        <v>#N/A</v>
      </c>
      <c r="Y120" s="55" t="e">
        <f t="shared" ca="1" si="36"/>
        <v>#N/A</v>
      </c>
      <c r="Z120" t="e">
        <f t="shared" ca="1" si="30"/>
        <v>#N/A</v>
      </c>
      <c r="AA120" t="e">
        <f t="shared" ca="1" si="37"/>
        <v>#N/A</v>
      </c>
      <c r="AB120" t="e">
        <f t="shared" ca="1" si="31"/>
        <v>#N/A</v>
      </c>
      <c r="AC120" t="e">
        <f t="shared" ca="1" si="32"/>
        <v>#N/A</v>
      </c>
      <c r="AD120" s="83">
        <f ca="1"/>
        <v>45404</v>
      </c>
      <c r="AE120" s="55">
        <f t="shared" ca="1" si="41"/>
        <v>45404</v>
      </c>
      <c r="AF120" s="55">
        <f t="shared" ca="1" si="42"/>
        <v>63.927389218011839</v>
      </c>
      <c r="AG120" s="55">
        <f t="shared" ca="1" si="43"/>
        <v>86.6569443318634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72.915966426523426</v>
      </c>
      <c r="AK120" s="55">
        <f t="shared" ca="1" si="40"/>
        <v>52.601061240917709</v>
      </c>
    </row>
    <row r="121" spans="18:37">
      <c r="R121" s="83" t="e">
        <f ca="1"/>
        <v>#N/A</v>
      </c>
      <c r="S121" s="55" t="e">
        <f t="shared" ca="1" si="33"/>
        <v>#N/A</v>
      </c>
      <c r="T121" s="55" t="e">
        <f t="shared" ca="1" si="27"/>
        <v>#N/A</v>
      </c>
      <c r="U121" s="55" t="e">
        <f t="shared" ca="1" si="28"/>
        <v>#N/A</v>
      </c>
      <c r="V121" s="55" t="e">
        <f t="shared" ca="1" si="29"/>
        <v>#N/A</v>
      </c>
      <c r="W121" s="55" t="e">
        <f t="shared" ca="1" si="34"/>
        <v>#N/A</v>
      </c>
      <c r="X121" s="55" t="e">
        <f t="shared" ca="1" si="35"/>
        <v>#N/A</v>
      </c>
      <c r="Y121" s="55" t="e">
        <f t="shared" ca="1" si="36"/>
        <v>#N/A</v>
      </c>
      <c r="Z121" t="e">
        <f t="shared" ca="1" si="30"/>
        <v>#N/A</v>
      </c>
      <c r="AA121" t="e">
        <f t="shared" ca="1" si="37"/>
        <v>#N/A</v>
      </c>
      <c r="AB121" t="e">
        <f t="shared" ca="1" si="31"/>
        <v>#N/A</v>
      </c>
      <c r="AC121" t="e">
        <f t="shared" ca="1" si="32"/>
        <v>#N/A</v>
      </c>
      <c r="AD121" s="83">
        <f ca="1"/>
        <v>45405</v>
      </c>
      <c r="AE121" s="55">
        <f t="shared" ca="1" si="41"/>
        <v>45405</v>
      </c>
      <c r="AF121" s="55">
        <f t="shared" ca="1" si="42"/>
        <v>62.285226435852991</v>
      </c>
      <c r="AG121" s="55">
        <f t="shared" ca="1" si="43"/>
        <v>88.863902124343781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73.469800272574332</v>
      </c>
      <c r="AK121" s="55">
        <f t="shared" ca="1" si="40"/>
        <v>52.612022405188341</v>
      </c>
    </row>
    <row r="122" spans="18:37">
      <c r="R122" s="83" t="e">
        <f ca="1"/>
        <v>#N/A</v>
      </c>
      <c r="S122" s="55" t="e">
        <f t="shared" ca="1" si="33"/>
        <v>#N/A</v>
      </c>
      <c r="T122" s="55" t="e">
        <f t="shared" ca="1" si="27"/>
        <v>#N/A</v>
      </c>
      <c r="U122" s="55" t="e">
        <f t="shared" ca="1" si="28"/>
        <v>#N/A</v>
      </c>
      <c r="V122" s="55" t="e">
        <f t="shared" ca="1" si="29"/>
        <v>#N/A</v>
      </c>
      <c r="W122" s="55" t="e">
        <f t="shared" ca="1" si="34"/>
        <v>#N/A</v>
      </c>
      <c r="X122" s="55" t="e">
        <f t="shared" ca="1" si="35"/>
        <v>#N/A</v>
      </c>
      <c r="Y122" s="55" t="e">
        <f t="shared" ca="1" si="36"/>
        <v>#N/A</v>
      </c>
      <c r="Z122" t="e">
        <f t="shared" ca="1" si="30"/>
        <v>#N/A</v>
      </c>
      <c r="AA122" t="e">
        <f t="shared" ca="1" si="37"/>
        <v>#N/A</v>
      </c>
      <c r="AB122" t="e">
        <f t="shared" ca="1" si="31"/>
        <v>#N/A</v>
      </c>
      <c r="AC122" t="e">
        <f t="shared" ca="1" si="32"/>
        <v>#N/A</v>
      </c>
      <c r="AD122" s="83">
        <f ca="1"/>
        <v>45406</v>
      </c>
      <c r="AE122" s="55">
        <f t="shared" ca="1" si="41"/>
        <v>45406</v>
      </c>
      <c r="AF122" s="55">
        <f t="shared" ca="1" si="42"/>
        <v>60.648692109412224</v>
      </c>
      <c r="AG122" s="55">
        <f t="shared" ca="1" si="43"/>
        <v>91.131831231648121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74.090156183470029</v>
      </c>
      <c r="AK122" s="55">
        <f t="shared" ca="1" si="40"/>
        <v>52.623061275156218</v>
      </c>
    </row>
    <row r="123" spans="18:37">
      <c r="R123" s="83" t="e">
        <f ca="1"/>
        <v>#N/A</v>
      </c>
      <c r="S123" s="55" t="e">
        <f t="shared" ca="1" si="33"/>
        <v>#N/A</v>
      </c>
      <c r="T123" s="55" t="e">
        <f t="shared" ca="1" si="27"/>
        <v>#N/A</v>
      </c>
      <c r="U123" s="55" t="e">
        <f t="shared" ca="1" si="28"/>
        <v>#N/A</v>
      </c>
      <c r="V123" s="55" t="e">
        <f t="shared" ca="1" si="29"/>
        <v>#N/A</v>
      </c>
      <c r="W123" s="55" t="e">
        <f t="shared" ca="1" si="34"/>
        <v>#N/A</v>
      </c>
      <c r="X123" s="55" t="e">
        <f t="shared" ca="1" si="35"/>
        <v>#N/A</v>
      </c>
      <c r="Y123" s="55" t="e">
        <f t="shared" ca="1" si="36"/>
        <v>#N/A</v>
      </c>
      <c r="Z123" t="e">
        <f t="shared" ca="1" si="30"/>
        <v>#N/A</v>
      </c>
      <c r="AA123" t="e">
        <f t="shared" ca="1" si="37"/>
        <v>#N/A</v>
      </c>
      <c r="AB123" t="e">
        <f t="shared" ca="1" si="31"/>
        <v>#N/A</v>
      </c>
      <c r="AC123" t="e">
        <f t="shared" ca="1" si="32"/>
        <v>#N/A</v>
      </c>
      <c r="AD123" s="83">
        <f ca="1"/>
        <v>45407</v>
      </c>
      <c r="AE123" s="55">
        <f t="shared" ca="1" si="41"/>
        <v>45407</v>
      </c>
      <c r="AF123" s="55">
        <f t="shared" ca="1" si="42"/>
        <v>58.985525801276204</v>
      </c>
      <c r="AG123" s="55">
        <f t="shared" ca="1" si="43"/>
        <v>93.452112559315424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74.736195808567956</v>
      </c>
      <c r="AK123" s="55">
        <f t="shared" ca="1" si="40"/>
        <v>52.634136669589573</v>
      </c>
    </row>
    <row r="124" spans="18:37">
      <c r="R124" s="83" t="e">
        <f ca="1"/>
        <v>#N/A</v>
      </c>
      <c r="S124" s="55" t="e">
        <f t="shared" ca="1" si="33"/>
        <v>#N/A</v>
      </c>
      <c r="T124" s="55" t="e">
        <f t="shared" ca="1" si="27"/>
        <v>#N/A</v>
      </c>
      <c r="U124" s="55" t="e">
        <f t="shared" ca="1" si="28"/>
        <v>#N/A</v>
      </c>
      <c r="V124" s="55" t="e">
        <f t="shared" ca="1" si="29"/>
        <v>#N/A</v>
      </c>
      <c r="W124" s="55" t="e">
        <f t="shared" ca="1" si="34"/>
        <v>#N/A</v>
      </c>
      <c r="X124" s="55" t="e">
        <f t="shared" ca="1" si="35"/>
        <v>#N/A</v>
      </c>
      <c r="Y124" s="55" t="e">
        <f t="shared" ca="1" si="36"/>
        <v>#N/A</v>
      </c>
      <c r="Z124" t="e">
        <f t="shared" ca="1" si="30"/>
        <v>#N/A</v>
      </c>
      <c r="AA124" t="e">
        <f t="shared" ca="1" si="37"/>
        <v>#N/A</v>
      </c>
      <c r="AB124" t="e">
        <f t="shared" ca="1" si="31"/>
        <v>#N/A</v>
      </c>
      <c r="AC124" t="e">
        <f t="shared" ca="1" si="32"/>
        <v>#N/A</v>
      </c>
      <c r="AD124" s="83">
        <f ca="1"/>
        <v>45408</v>
      </c>
      <c r="AE124" s="55">
        <f t="shared" ca="1" si="41"/>
        <v>45408</v>
      </c>
      <c r="AF124" s="55">
        <f t="shared" ca="1" si="42"/>
        <v>57.276301445425453</v>
      </c>
      <c r="AG124" s="55">
        <f t="shared" ca="1" si="43"/>
        <v>95.850032948012355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75.413652103183438</v>
      </c>
      <c r="AK124" s="55">
        <f t="shared" ca="1" si="40"/>
        <v>52.645376407820272</v>
      </c>
    </row>
    <row r="125" spans="18:37">
      <c r="R125" s="83" t="e">
        <f ca="1"/>
        <v>#N/A</v>
      </c>
      <c r="S125" s="55" t="e">
        <f t="shared" ca="1" si="33"/>
        <v>#N/A</v>
      </c>
      <c r="T125" s="55" t="e">
        <f t="shared" ca="1" si="27"/>
        <v>#N/A</v>
      </c>
      <c r="U125" s="55" t="e">
        <f t="shared" ca="1" si="28"/>
        <v>#N/A</v>
      </c>
      <c r="V125" s="55" t="e">
        <f t="shared" ca="1" si="29"/>
        <v>#N/A</v>
      </c>
      <c r="W125" s="55" t="e">
        <f t="shared" ca="1" si="34"/>
        <v>#N/A</v>
      </c>
      <c r="X125" s="55" t="e">
        <f t="shared" ca="1" si="35"/>
        <v>#N/A</v>
      </c>
      <c r="Y125" s="55" t="e">
        <f t="shared" ca="1" si="36"/>
        <v>#N/A</v>
      </c>
      <c r="Z125" t="e">
        <f t="shared" ca="1" si="30"/>
        <v>#N/A</v>
      </c>
      <c r="AA125" t="e">
        <f t="shared" ca="1" si="37"/>
        <v>#N/A</v>
      </c>
      <c r="AB125" t="e">
        <f t="shared" ca="1" si="31"/>
        <v>#N/A</v>
      </c>
      <c r="AC125" t="e">
        <f t="shared" ca="1" si="32"/>
        <v>#N/A</v>
      </c>
      <c r="AD125" s="83">
        <f ca="1"/>
        <v>45409</v>
      </c>
      <c r="AE125" s="55">
        <f t="shared" ca="1" si="41"/>
        <v>45409</v>
      </c>
      <c r="AF125" s="55">
        <f t="shared" ca="1" si="42"/>
        <v>55.553144482522896</v>
      </c>
      <c r="AG125" s="55">
        <f t="shared" ca="1" si="43"/>
        <v>98.299395283068492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76.128580936244916</v>
      </c>
      <c r="AK125" s="55">
        <f t="shared" ca="1" si="40"/>
        <v>52.656652946912381</v>
      </c>
    </row>
    <row r="126" spans="18:37">
      <c r="R126" s="83" t="e">
        <f ca="1"/>
        <v>#N/A</v>
      </c>
      <c r="S126" s="55" t="e">
        <f t="shared" ca="1" si="33"/>
        <v>#N/A</v>
      </c>
      <c r="T126" s="55" t="e">
        <f t="shared" ca="1" si="27"/>
        <v>#N/A</v>
      </c>
      <c r="U126" s="55" t="e">
        <f t="shared" ca="1" si="28"/>
        <v>#N/A</v>
      </c>
      <c r="V126" s="55" t="e">
        <f t="shared" ca="1" si="29"/>
        <v>#N/A</v>
      </c>
      <c r="W126" s="55" t="e">
        <f t="shared" ca="1" si="34"/>
        <v>#N/A</v>
      </c>
      <c r="X126" s="55" t="e">
        <f t="shared" ca="1" si="35"/>
        <v>#N/A</v>
      </c>
      <c r="Y126" s="55" t="e">
        <f t="shared" ca="1" si="36"/>
        <v>#N/A</v>
      </c>
      <c r="Z126" t="e">
        <f t="shared" ca="1" si="30"/>
        <v>#N/A</v>
      </c>
      <c r="AA126" t="e">
        <f t="shared" ca="1" si="37"/>
        <v>#N/A</v>
      </c>
      <c r="AB126" t="e">
        <f t="shared" ca="1" si="31"/>
        <v>#N/A</v>
      </c>
      <c r="AC126" t="e">
        <f t="shared" ca="1" si="32"/>
        <v>#N/A</v>
      </c>
      <c r="AD126" s="83">
        <f ca="1"/>
        <v>45410</v>
      </c>
      <c r="AE126" s="55">
        <f t="shared" ca="1" si="41"/>
        <v>45410</v>
      </c>
      <c r="AF126" s="55">
        <f t="shared" ca="1" si="42"/>
        <v>53.925282898259177</v>
      </c>
      <c r="AG126" s="55">
        <f t="shared" ca="1" si="43"/>
        <v>100.61707677273519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76.807951857719573</v>
      </c>
      <c r="AK126" s="55">
        <f t="shared" ca="1" si="40"/>
        <v>52.667101930840694</v>
      </c>
    </row>
    <row r="127" spans="18:37">
      <c r="R127" s="83" t="e">
        <f ca="1"/>
        <v>#N/A</v>
      </c>
      <c r="S127" s="55" t="e">
        <f t="shared" ca="1" si="33"/>
        <v>#N/A</v>
      </c>
      <c r="T127" s="55" t="e">
        <f t="shared" ca="1" si="27"/>
        <v>#N/A</v>
      </c>
      <c r="U127" s="55" t="e">
        <f t="shared" ca="1" si="28"/>
        <v>#N/A</v>
      </c>
      <c r="V127" s="55" t="e">
        <f t="shared" ca="1" si="29"/>
        <v>#N/A</v>
      </c>
      <c r="W127" s="55" t="e">
        <f t="shared" ca="1" si="34"/>
        <v>#N/A</v>
      </c>
      <c r="X127" s="55" t="e">
        <f t="shared" ca="1" si="35"/>
        <v>#N/A</v>
      </c>
      <c r="Y127" s="55" t="e">
        <f t="shared" ca="1" si="36"/>
        <v>#N/A</v>
      </c>
      <c r="Z127" t="e">
        <f t="shared" ca="1" si="30"/>
        <v>#N/A</v>
      </c>
      <c r="AA127" t="e">
        <f t="shared" ca="1" si="37"/>
        <v>#N/A</v>
      </c>
      <c r="AB127" t="e">
        <f t="shared" ca="1" si="31"/>
        <v>#N/A</v>
      </c>
      <c r="AC127" t="e">
        <f t="shared" ca="1" si="32"/>
        <v>#N/A</v>
      </c>
      <c r="AD127" s="83">
        <f ca="1"/>
        <v>45411</v>
      </c>
      <c r="AE127" s="55">
        <f t="shared" ca="1" si="41"/>
        <v>45411</v>
      </c>
      <c r="AF127" s="55">
        <f t="shared" ca="1" si="42"/>
        <v>52.365851505714922</v>
      </c>
      <c r="AG127" s="55">
        <f t="shared" ca="1" si="43"/>
        <v>102.87992806439064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77.50133599699771</v>
      </c>
      <c r="AK127" s="55">
        <f t="shared" ca="1" si="40"/>
        <v>52.677137690673753</v>
      </c>
    </row>
    <row r="128" spans="18:37">
      <c r="R128" s="83" t="e">
        <f ca="1"/>
        <v>#N/A</v>
      </c>
      <c r="S128" s="55" t="e">
        <f t="shared" ca="1" si="33"/>
        <v>#N/A</v>
      </c>
      <c r="T128" s="55" t="e">
        <f t="shared" ca="1" si="27"/>
        <v>#N/A</v>
      </c>
      <c r="U128" s="55" t="e">
        <f t="shared" ca="1" si="28"/>
        <v>#N/A</v>
      </c>
      <c r="V128" s="55" t="e">
        <f t="shared" ca="1" si="29"/>
        <v>#N/A</v>
      </c>
      <c r="W128" s="55" t="e">
        <f t="shared" ca="1" si="34"/>
        <v>#N/A</v>
      </c>
      <c r="X128" s="55" t="e">
        <f t="shared" ca="1" si="35"/>
        <v>#N/A</v>
      </c>
      <c r="Y128" s="55" t="e">
        <f t="shared" ca="1" si="36"/>
        <v>#N/A</v>
      </c>
      <c r="Z128" t="e">
        <f t="shared" ca="1" si="30"/>
        <v>#N/A</v>
      </c>
      <c r="AA128" t="e">
        <f t="shared" ca="1" si="37"/>
        <v>#N/A</v>
      </c>
      <c r="AB128" t="e">
        <f t="shared" ca="1" si="31"/>
        <v>#N/A</v>
      </c>
      <c r="AC128" t="e">
        <f t="shared" ca="1" si="32"/>
        <v>#N/A</v>
      </c>
      <c r="AD128" s="83">
        <f ca="1"/>
        <v>45412</v>
      </c>
      <c r="AE128" s="55">
        <f t="shared" ca="1" si="41"/>
        <v>45412</v>
      </c>
      <c r="AF128" s="55">
        <f t="shared" ca="1" si="42"/>
        <v>50.810744474374808</v>
      </c>
      <c r="AG128" s="55">
        <f t="shared" ca="1" si="43"/>
        <v>105.15994962268735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78.216291671617341</v>
      </c>
      <c r="AK128" s="55">
        <f t="shared" ca="1" si="40"/>
        <v>52.687096543010718</v>
      </c>
    </row>
    <row r="129" spans="18:37">
      <c r="R129" s="83" t="e">
        <f ca="1"/>
        <v>#N/A</v>
      </c>
      <c r="S129" s="55" t="e">
        <f t="shared" ca="1" si="33"/>
        <v>#N/A</v>
      </c>
      <c r="T129" s="55" t="e">
        <f t="shared" ca="1" si="27"/>
        <v>#N/A</v>
      </c>
      <c r="U129" s="55" t="e">
        <f t="shared" ca="1" si="28"/>
        <v>#N/A</v>
      </c>
      <c r="V129" s="55" t="e">
        <f t="shared" ca="1" si="29"/>
        <v>#N/A</v>
      </c>
      <c r="W129" s="55" t="e">
        <f t="shared" ca="1" si="34"/>
        <v>#N/A</v>
      </c>
      <c r="X129" s="55" t="e">
        <f t="shared" ca="1" si="35"/>
        <v>#N/A</v>
      </c>
      <c r="Y129" s="55" t="e">
        <f t="shared" ca="1" si="36"/>
        <v>#N/A</v>
      </c>
      <c r="Z129" t="e">
        <f t="shared" ca="1" si="30"/>
        <v>#N/A</v>
      </c>
      <c r="AA129" t="e">
        <f t="shared" ca="1" si="37"/>
        <v>#N/A</v>
      </c>
      <c r="AB129" t="e">
        <f t="shared" ca="1" si="31"/>
        <v>#N/A</v>
      </c>
      <c r="AC129" t="e">
        <f t="shared" ca="1" si="32"/>
        <v>#N/A</v>
      </c>
      <c r="AD129" s="83">
        <f ca="1"/>
        <v>45413</v>
      </c>
      <c r="AE129" s="55">
        <f t="shared" ca="1" si="41"/>
        <v>45413</v>
      </c>
      <c r="AF129" s="55">
        <f t="shared" ca="1" si="42"/>
        <v>49.328786344399653</v>
      </c>
      <c r="AG129" s="55">
        <f t="shared" ca="1" si="43"/>
        <v>107.42828104803985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78.992898700123177</v>
      </c>
      <c r="AK129" s="55">
        <f t="shared" ca="1" si="40"/>
        <v>52.696862809882226</v>
      </c>
    </row>
    <row r="130" spans="18:37">
      <c r="R130" s="83" t="e">
        <f ca="1"/>
        <v>#N/A</v>
      </c>
      <c r="S130" s="55" t="e">
        <f t="shared" ca="1" si="33"/>
        <v>#N/A</v>
      </c>
      <c r="T130" s="55" t="e">
        <f t="shared" ca="1" si="27"/>
        <v>#N/A</v>
      </c>
      <c r="U130" s="55" t="e">
        <f t="shared" ca="1" si="28"/>
        <v>#N/A</v>
      </c>
      <c r="V130" s="55" t="e">
        <f t="shared" ca="1" si="29"/>
        <v>#N/A</v>
      </c>
      <c r="W130" s="55" t="e">
        <f t="shared" ca="1" si="34"/>
        <v>#N/A</v>
      </c>
      <c r="X130" s="55" t="e">
        <f t="shared" ca="1" si="35"/>
        <v>#N/A</v>
      </c>
      <c r="Y130" s="55" t="e">
        <f t="shared" ca="1" si="36"/>
        <v>#N/A</v>
      </c>
      <c r="Z130" t="e">
        <f t="shared" ca="1" si="30"/>
        <v>#N/A</v>
      </c>
      <c r="AA130" t="e">
        <f t="shared" ca="1" si="37"/>
        <v>#N/A</v>
      </c>
      <c r="AB130" t="e">
        <f t="shared" ca="1" si="31"/>
        <v>#N/A</v>
      </c>
      <c r="AC130" t="e">
        <f t="shared" ca="1" si="32"/>
        <v>#N/A</v>
      </c>
      <c r="AD130" s="83">
        <f ca="1"/>
        <v>45414</v>
      </c>
      <c r="AE130" s="55">
        <f t="shared" ca="1" si="41"/>
        <v>45414</v>
      </c>
      <c r="AF130" s="55">
        <f t="shared" ca="1" si="42"/>
        <v>47.86558357625514</v>
      </c>
      <c r="AG130" s="55">
        <f t="shared" ca="1" si="43"/>
        <v>109.68134183608188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79.773185672233879</v>
      </c>
      <c r="AK130" s="55">
        <f t="shared" ca="1" si="40"/>
        <v>52.706433857669047</v>
      </c>
    </row>
    <row r="131" spans="18:37">
      <c r="R131" s="83" t="e">
        <f ca="1"/>
        <v>#N/A</v>
      </c>
      <c r="S131" s="55" t="e">
        <f t="shared" ca="1" si="33"/>
        <v>#N/A</v>
      </c>
      <c r="T131" s="55" t="e">
        <f t="shared" ca="1" si="27"/>
        <v>#N/A</v>
      </c>
      <c r="U131" s="55" t="e">
        <f t="shared" ca="1" si="28"/>
        <v>#N/A</v>
      </c>
      <c r="V131" s="55" t="e">
        <f t="shared" ca="1" si="29"/>
        <v>#N/A</v>
      </c>
      <c r="W131" s="55" t="e">
        <f t="shared" ca="1" si="34"/>
        <v>#N/A</v>
      </c>
      <c r="X131" s="55" t="e">
        <f t="shared" ca="1" si="35"/>
        <v>#N/A</v>
      </c>
      <c r="Y131" s="55" t="e">
        <f t="shared" ca="1" si="36"/>
        <v>#N/A</v>
      </c>
      <c r="Z131" t="e">
        <f t="shared" ca="1" si="30"/>
        <v>#N/A</v>
      </c>
      <c r="AA131" t="e">
        <f t="shared" ca="1" si="37"/>
        <v>#N/A</v>
      </c>
      <c r="AB131" t="e">
        <f t="shared" ca="1" si="31"/>
        <v>#N/A</v>
      </c>
      <c r="AC131" t="e">
        <f t="shared" ca="1" si="32"/>
        <v>#N/A</v>
      </c>
      <c r="AD131" s="83">
        <f ca="1"/>
        <v>45415</v>
      </c>
      <c r="AE131" s="55">
        <f t="shared" ca="1" si="41"/>
        <v>45415</v>
      </c>
      <c r="AF131" s="55">
        <f t="shared" ca="1" si="42"/>
        <v>46.433615231269428</v>
      </c>
      <c r="AG131" s="55">
        <f t="shared" ca="1" si="43"/>
        <v>111.89022433951594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80.540828971591139</v>
      </c>
      <c r="AK131" s="55">
        <f t="shared" ca="1" si="40"/>
        <v>52.715704716760129</v>
      </c>
    </row>
    <row r="132" spans="18:37">
      <c r="R132" s="83" t="e">
        <f ca="1"/>
        <v>#N/A</v>
      </c>
      <c r="S132" s="55" t="e">
        <f t="shared" ca="1" si="33"/>
        <v>#N/A</v>
      </c>
      <c r="T132" s="55" t="e">
        <f t="shared" ca="1" si="27"/>
        <v>#N/A</v>
      </c>
      <c r="U132" s="55" t="e">
        <f t="shared" ca="1" si="28"/>
        <v>#N/A</v>
      </c>
      <c r="V132" s="55" t="e">
        <f t="shared" ca="1" si="29"/>
        <v>#N/A</v>
      </c>
      <c r="W132" s="55" t="e">
        <f t="shared" ca="1" si="34"/>
        <v>#N/A</v>
      </c>
      <c r="X132" s="55" t="e">
        <f t="shared" ca="1" si="35"/>
        <v>#N/A</v>
      </c>
      <c r="Y132" s="55" t="e">
        <f t="shared" ca="1" si="36"/>
        <v>#N/A</v>
      </c>
      <c r="Z132" t="e">
        <f t="shared" ca="1" si="30"/>
        <v>#N/A</v>
      </c>
      <c r="AA132" t="e">
        <f t="shared" ca="1" si="37"/>
        <v>#N/A</v>
      </c>
      <c r="AB132" t="e">
        <f t="shared" ca="1" si="31"/>
        <v>#N/A</v>
      </c>
      <c r="AC132" t="e">
        <f t="shared" ca="1" si="32"/>
        <v>#N/A</v>
      </c>
      <c r="AD132" s="83">
        <f ca="1"/>
        <v>45416</v>
      </c>
      <c r="AE132" s="55">
        <f t="shared" ca="1" si="41"/>
        <v>45416</v>
      </c>
      <c r="AF132" s="55">
        <f t="shared" ca="1" si="42"/>
        <v>45.014110405207802</v>
      </c>
      <c r="AG132" s="55">
        <f t="shared" ca="1" si="43"/>
        <v>114.11186444753731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81.333750652370014</v>
      </c>
      <c r="AK132" s="55">
        <f t="shared" ca="1" si="40"/>
        <v>52.724918317941004</v>
      </c>
    </row>
    <row r="133" spans="18:37">
      <c r="R133" s="83" t="e">
        <f ca="1"/>
        <v>#N/A</v>
      </c>
      <c r="S133" s="55" t="e">
        <f t="shared" ca="1" si="33"/>
        <v>#N/A</v>
      </c>
      <c r="T133" s="55" t="e">
        <f t="shared" ca="1" si="27"/>
        <v>#N/A</v>
      </c>
      <c r="U133" s="55" t="e">
        <f t="shared" ca="1" si="28"/>
        <v>#N/A</v>
      </c>
      <c r="V133" s="55" t="e">
        <f t="shared" ca="1" si="29"/>
        <v>#N/A</v>
      </c>
      <c r="W133" s="55" t="e">
        <f t="shared" ca="1" si="34"/>
        <v>#N/A</v>
      </c>
      <c r="X133" s="55" t="e">
        <f t="shared" ca="1" si="35"/>
        <v>#N/A</v>
      </c>
      <c r="Y133" s="55" t="e">
        <f t="shared" ca="1" si="36"/>
        <v>#N/A</v>
      </c>
      <c r="Z133" t="e">
        <f t="shared" ca="1" si="30"/>
        <v>#N/A</v>
      </c>
      <c r="AA133" t="e">
        <f t="shared" ca="1" si="37"/>
        <v>#N/A</v>
      </c>
      <c r="AB133" t="e">
        <f t="shared" ca="1" si="31"/>
        <v>#N/A</v>
      </c>
      <c r="AC133" t="e">
        <f t="shared" ca="1" si="32"/>
        <v>#N/A</v>
      </c>
      <c r="AD133" s="83">
        <f ca="1"/>
        <v>45417</v>
      </c>
      <c r="AE133" s="55">
        <f t="shared" ca="1" si="41"/>
        <v>45417</v>
      </c>
      <c r="AF133" s="55">
        <f t="shared" ca="1" si="42"/>
        <v>43.609706061510167</v>
      </c>
      <c r="AG133" s="55">
        <f t="shared" ca="1" si="43"/>
        <v>116.35548465342899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82.163766802079877</v>
      </c>
      <c r="AK133" s="55">
        <f t="shared" ca="1" si="40"/>
        <v>52.734118030425179</v>
      </c>
    </row>
    <row r="134" spans="18:37">
      <c r="R134" s="83" t="e">
        <f ca="1"/>
        <v>#N/A</v>
      </c>
      <c r="S134" s="55" t="e">
        <f t="shared" ca="1" si="33"/>
        <v>#N/A</v>
      </c>
      <c r="T134" s="55" t="e">
        <f t="shared" ca="1" si="27"/>
        <v>#N/A</v>
      </c>
      <c r="U134" s="55" t="e">
        <f t="shared" ca="1" si="28"/>
        <v>#N/A</v>
      </c>
      <c r="V134" s="55" t="e">
        <f t="shared" ca="1" si="29"/>
        <v>#N/A</v>
      </c>
      <c r="W134" s="55" t="e">
        <f t="shared" ca="1" si="34"/>
        <v>#N/A</v>
      </c>
      <c r="X134" s="55" t="e">
        <f t="shared" ca="1" si="35"/>
        <v>#N/A</v>
      </c>
      <c r="Y134" s="55" t="e">
        <f t="shared" ca="1" si="36"/>
        <v>#N/A</v>
      </c>
      <c r="Z134" t="e">
        <f t="shared" ca="1" si="30"/>
        <v>#N/A</v>
      </c>
      <c r="AA134" t="e">
        <f t="shared" ca="1" si="37"/>
        <v>#N/A</v>
      </c>
      <c r="AB134" t="e">
        <f t="shared" ca="1" si="31"/>
        <v>#N/A</v>
      </c>
      <c r="AC134" t="e">
        <f t="shared" ca="1" si="32"/>
        <v>#N/A</v>
      </c>
      <c r="AD134" s="83">
        <f ca="1"/>
        <v>45418</v>
      </c>
      <c r="AE134" s="55">
        <f t="shared" ca="1" si="41"/>
        <v>45418</v>
      </c>
      <c r="AF134" s="55">
        <f t="shared" ca="1" si="42"/>
        <v>42.237722004811268</v>
      </c>
      <c r="AG134" s="55">
        <f t="shared" ca="1" si="43"/>
        <v>118.54330877935674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82.970721504700862</v>
      </c>
      <c r="AK134" s="55">
        <f t="shared" ca="1" si="40"/>
        <v>52.743003397033043</v>
      </c>
    </row>
    <row r="135" spans="18:37">
      <c r="R135" s="83" t="e">
        <f ca="1"/>
        <v>#N/A</v>
      </c>
      <c r="S135" s="55" t="e">
        <f t="shared" ca="1" si="33"/>
        <v>#N/A</v>
      </c>
      <c r="T135" s="55" t="e">
        <f t="shared" ca="1" si="27"/>
        <v>#N/A</v>
      </c>
      <c r="U135" s="55" t="e">
        <f t="shared" ca="1" si="28"/>
        <v>#N/A</v>
      </c>
      <c r="V135" s="55" t="e">
        <f t="shared" ca="1" si="29"/>
        <v>#N/A</v>
      </c>
      <c r="W135" s="55" t="e">
        <f t="shared" ca="1" si="34"/>
        <v>#N/A</v>
      </c>
      <c r="X135" s="55" t="e">
        <f t="shared" ca="1" si="35"/>
        <v>#N/A</v>
      </c>
      <c r="Y135" s="55" t="e">
        <f t="shared" ca="1" si="36"/>
        <v>#N/A</v>
      </c>
      <c r="Z135" t="e">
        <f t="shared" ca="1" si="30"/>
        <v>#N/A</v>
      </c>
      <c r="AA135" t="e">
        <f t="shared" ca="1" si="37"/>
        <v>#N/A</v>
      </c>
      <c r="AB135" t="e">
        <f t="shared" ca="1" si="31"/>
        <v>#N/A</v>
      </c>
      <c r="AC135" t="e">
        <f t="shared" ca="1" si="32"/>
        <v>#N/A</v>
      </c>
      <c r="AD135" s="83">
        <f ca="1"/>
        <v>45419</v>
      </c>
      <c r="AE135" s="55">
        <f t="shared" ca="1" si="41"/>
        <v>45419</v>
      </c>
      <c r="AF135" s="55">
        <f t="shared" ca="1" si="42"/>
        <v>40.919153592476945</v>
      </c>
      <c r="AG135" s="55">
        <f t="shared" ca="1" si="43"/>
        <v>120.68346206546934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83.783687146249662</v>
      </c>
      <c r="AK135" s="55">
        <f t="shared" ca="1" si="40"/>
        <v>52.751622629262535</v>
      </c>
    </row>
    <row r="136" spans="18:37">
      <c r="R136" s="83" t="e">
        <f ca="1"/>
        <v>#N/A</v>
      </c>
      <c r="S136" s="55" t="e">
        <f t="shared" ca="1" si="33"/>
        <v>#N/A</v>
      </c>
      <c r="T136" s="55" t="e">
        <f t="shared" ca="1" si="27"/>
        <v>#N/A</v>
      </c>
      <c r="U136" s="55" t="e">
        <f t="shared" ca="1" si="28"/>
        <v>#N/A</v>
      </c>
      <c r="V136" s="55" t="e">
        <f t="shared" ca="1" si="29"/>
        <v>#N/A</v>
      </c>
      <c r="W136" s="55" t="e">
        <f t="shared" ca="1" si="34"/>
        <v>#N/A</v>
      </c>
      <c r="X136" s="55" t="e">
        <f t="shared" ca="1" si="35"/>
        <v>#N/A</v>
      </c>
      <c r="Y136" s="55" t="e">
        <f t="shared" ca="1" si="36"/>
        <v>#N/A</v>
      </c>
      <c r="Z136" t="e">
        <f t="shared" ca="1" si="30"/>
        <v>#N/A</v>
      </c>
      <c r="AA136" t="e">
        <f t="shared" ca="1" si="37"/>
        <v>#N/A</v>
      </c>
      <c r="AB136" t="e">
        <f t="shared" ca="1" si="31"/>
        <v>#N/A</v>
      </c>
      <c r="AC136" t="e">
        <f t="shared" ca="1" si="32"/>
        <v>#N/A</v>
      </c>
      <c r="AD136" s="83">
        <f ca="1"/>
        <v>45420</v>
      </c>
      <c r="AE136" s="55">
        <f t="shared" ca="1" si="41"/>
        <v>45420</v>
      </c>
      <c r="AF136" s="55">
        <f t="shared" ca="1" si="42"/>
        <v>39.653855872430647</v>
      </c>
      <c r="AG136" s="55">
        <f t="shared" ca="1" si="43"/>
        <v>122.74968869910995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84.576345236239689</v>
      </c>
      <c r="AK136" s="55">
        <f t="shared" ca="1" si="40"/>
        <v>52.759893452866812</v>
      </c>
    </row>
    <row r="137" spans="18:37">
      <c r="R137" s="83" t="e">
        <f ca="1"/>
        <v>#N/A</v>
      </c>
      <c r="S137" s="55" t="e">
        <f t="shared" ca="1" si="33"/>
        <v>#N/A</v>
      </c>
      <c r="T137" s="55" t="e">
        <f t="shared" ca="1" si="27"/>
        <v>#N/A</v>
      </c>
      <c r="U137" s="55" t="e">
        <f t="shared" ca="1" si="28"/>
        <v>#N/A</v>
      </c>
      <c r="V137" s="55" t="e">
        <f t="shared" ca="1" si="29"/>
        <v>#N/A</v>
      </c>
      <c r="W137" s="55" t="e">
        <f t="shared" ca="1" si="34"/>
        <v>#N/A</v>
      </c>
      <c r="X137" s="55" t="e">
        <f t="shared" ca="1" si="35"/>
        <v>#N/A</v>
      </c>
      <c r="Y137" s="55" t="e">
        <f t="shared" ca="1" si="36"/>
        <v>#N/A</v>
      </c>
      <c r="Z137" t="e">
        <f t="shared" ca="1" si="30"/>
        <v>#N/A</v>
      </c>
      <c r="AA137" t="e">
        <f t="shared" ca="1" si="37"/>
        <v>#N/A</v>
      </c>
      <c r="AB137" t="e">
        <f t="shared" ca="1" si="31"/>
        <v>#N/A</v>
      </c>
      <c r="AC137" t="e">
        <f t="shared" ca="1" si="32"/>
        <v>#N/A</v>
      </c>
      <c r="AD137" s="83">
        <f ca="1"/>
        <v>45421</v>
      </c>
      <c r="AE137" s="55">
        <f t="shared" ca="1" si="41"/>
        <v>45421</v>
      </c>
      <c r="AF137" s="55">
        <f t="shared" ca="1" si="42"/>
        <v>38.409595674572898</v>
      </c>
      <c r="AG137" s="55">
        <f t="shared" ca="1" si="43"/>
        <v>124.82711609185031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85.401266903033189</v>
      </c>
      <c r="AK137" s="55">
        <f t="shared" ca="1" si="40"/>
        <v>52.768138980955932</v>
      </c>
    </row>
    <row r="138" spans="18:37">
      <c r="R138" s="83" t="e">
        <f ca="1"/>
        <v>#N/A</v>
      </c>
      <c r="S138" s="55" t="e">
        <f t="shared" ca="1" si="33"/>
        <v>#N/A</v>
      </c>
      <c r="T138" s="55" t="e">
        <f t="shared" ca="1" si="27"/>
        <v>#N/A</v>
      </c>
      <c r="U138" s="55" t="e">
        <f t="shared" ca="1" si="28"/>
        <v>#N/A</v>
      </c>
      <c r="V138" s="55" t="e">
        <f t="shared" ca="1" si="29"/>
        <v>#N/A</v>
      </c>
      <c r="W138" s="55" t="e">
        <f t="shared" ca="1" si="34"/>
        <v>#N/A</v>
      </c>
      <c r="X138" s="55" t="e">
        <f t="shared" ca="1" si="35"/>
        <v>#N/A</v>
      </c>
      <c r="Y138" s="55" t="e">
        <f t="shared" ca="1" si="36"/>
        <v>#N/A</v>
      </c>
      <c r="Z138" t="e">
        <f t="shared" ca="1" si="30"/>
        <v>#N/A</v>
      </c>
      <c r="AA138" t="e">
        <f t="shared" ca="1" si="37"/>
        <v>#N/A</v>
      </c>
      <c r="AB138" t="e">
        <f t="shared" ca="1" si="31"/>
        <v>#N/A</v>
      </c>
      <c r="AC138" t="e">
        <f t="shared" ca="1" si="32"/>
        <v>#N/A</v>
      </c>
      <c r="AD138" s="83">
        <f ca="1"/>
        <v>45422</v>
      </c>
      <c r="AE138" s="55">
        <f t="shared" ca="1" si="41"/>
        <v>45422</v>
      </c>
      <c r="AF138" s="55">
        <f t="shared" ca="1" si="42"/>
        <v>37.159948636938765</v>
      </c>
      <c r="AG138" s="55">
        <f t="shared" ca="1" si="43"/>
        <v>126.93880340441238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86.254997060344522</v>
      </c>
      <c r="AK138" s="55">
        <f t="shared" ca="1" si="40"/>
        <v>52.776449098572535</v>
      </c>
    </row>
    <row r="139" spans="18:37">
      <c r="R139" s="83" t="e">
        <f ca="1"/>
        <v>#N/A</v>
      </c>
      <c r="S139" s="55" t="e">
        <f t="shared" ca="1" si="33"/>
        <v>#N/A</v>
      </c>
      <c r="T139" s="55" t="e">
        <f t="shared" ca="1" si="27"/>
        <v>#N/A</v>
      </c>
      <c r="U139" s="55" t="e">
        <f t="shared" ca="1" si="28"/>
        <v>#N/A</v>
      </c>
      <c r="V139" s="55" t="e">
        <f t="shared" ca="1" si="29"/>
        <v>#N/A</v>
      </c>
      <c r="W139" s="55" t="e">
        <f t="shared" ca="1" si="34"/>
        <v>#N/A</v>
      </c>
      <c r="X139" s="55" t="e">
        <f t="shared" ca="1" si="35"/>
        <v>#N/A</v>
      </c>
      <c r="Y139" s="55" t="e">
        <f t="shared" ca="1" si="36"/>
        <v>#N/A</v>
      </c>
      <c r="Z139" t="e">
        <f t="shared" ca="1" si="30"/>
        <v>#N/A</v>
      </c>
      <c r="AA139" t="e">
        <f t="shared" ca="1" si="37"/>
        <v>#N/A</v>
      </c>
      <c r="AB139" t="e">
        <f t="shared" ca="1" si="31"/>
        <v>#N/A</v>
      </c>
      <c r="AC139" t="e">
        <f t="shared" ca="1" si="32"/>
        <v>#N/A</v>
      </c>
      <c r="AD139" s="83">
        <f ca="1"/>
        <v>45423</v>
      </c>
      <c r="AE139" s="55">
        <f t="shared" ca="1" si="41"/>
        <v>45423</v>
      </c>
      <c r="AF139" s="55">
        <f t="shared" ca="1" si="42"/>
        <v>35.897721100323466</v>
      </c>
      <c r="AG139" s="55">
        <f t="shared" ca="1" si="43"/>
        <v>129.08708483407898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87.1326609147591</v>
      </c>
      <c r="AK139" s="55">
        <f t="shared" ca="1" si="40"/>
        <v>52.784839137209254</v>
      </c>
    </row>
    <row r="140" spans="18:37">
      <c r="R140" s="83" t="e">
        <f ca="1"/>
        <v>#N/A</v>
      </c>
      <c r="S140" s="55" t="e">
        <f t="shared" ca="1" si="33"/>
        <v>#N/A</v>
      </c>
      <c r="T140" s="55" t="e">
        <f t="shared" ca="1" si="27"/>
        <v>#N/A</v>
      </c>
      <c r="U140" s="55" t="e">
        <f t="shared" ca="1" si="28"/>
        <v>#N/A</v>
      </c>
      <c r="V140" s="55" t="e">
        <f t="shared" ca="1" si="29"/>
        <v>#N/A</v>
      </c>
      <c r="W140" s="55" t="e">
        <f t="shared" ca="1" si="34"/>
        <v>#N/A</v>
      </c>
      <c r="X140" s="55" t="e">
        <f t="shared" ca="1" si="35"/>
        <v>#N/A</v>
      </c>
      <c r="Y140" s="55" t="e">
        <f t="shared" ca="1" si="36"/>
        <v>#N/A</v>
      </c>
      <c r="Z140" t="e">
        <f t="shared" ca="1" si="30"/>
        <v>#N/A</v>
      </c>
      <c r="AA140" t="e">
        <f t="shared" ca="1" si="37"/>
        <v>#N/A</v>
      </c>
      <c r="AB140" t="e">
        <f t="shared" ca="1" si="31"/>
        <v>#N/A</v>
      </c>
      <c r="AC140" t="e">
        <f t="shared" ca="1" si="32"/>
        <v>#N/A</v>
      </c>
      <c r="AD140" s="83">
        <f ca="1"/>
        <v>45424</v>
      </c>
      <c r="AE140" s="55">
        <f t="shared" ca="1" si="41"/>
        <v>45424</v>
      </c>
      <c r="AF140" s="55">
        <f t="shared" ca="1" si="42"/>
        <v>34.432564120874197</v>
      </c>
      <c r="AG140" s="55">
        <f t="shared" ca="1" si="43"/>
        <v>131.20823620527702</v>
      </c>
      <c r="AH140" s="55">
        <f t="shared" ca="1" si="44"/>
        <v>0</v>
      </c>
      <c r="AI140" s="55">
        <f t="shared" ca="1" si="38"/>
        <v>-0.22388585881121398</v>
      </c>
      <c r="AJ140" s="55">
        <f t="shared" ca="1" si="39"/>
        <v>88.004303329151341</v>
      </c>
      <c r="AK140" s="55">
        <f t="shared" ca="1" si="40"/>
        <v>52.793076973376991</v>
      </c>
    </row>
    <row r="141" spans="18:37">
      <c r="R141" s="83" t="e">
        <f ca="1"/>
        <v>#N/A</v>
      </c>
      <c r="S141" s="55" t="e">
        <f t="shared" ca="1" si="33"/>
        <v>#N/A</v>
      </c>
      <c r="T141" s="55" t="e">
        <f t="shared" ca="1" si="27"/>
        <v>#N/A</v>
      </c>
      <c r="U141" s="55" t="e">
        <f t="shared" ca="1" si="28"/>
        <v>#N/A</v>
      </c>
      <c r="V141" s="55" t="e">
        <f t="shared" ca="1" si="29"/>
        <v>#N/A</v>
      </c>
      <c r="W141" s="55" t="e">
        <f t="shared" ca="1" si="34"/>
        <v>#N/A</v>
      </c>
      <c r="X141" s="55" t="e">
        <f t="shared" ca="1" si="35"/>
        <v>#N/A</v>
      </c>
      <c r="Y141" s="55" t="e">
        <f t="shared" ca="1" si="36"/>
        <v>#N/A</v>
      </c>
      <c r="Z141" t="e">
        <f t="shared" ca="1" si="30"/>
        <v>#N/A</v>
      </c>
      <c r="AA141" t="e">
        <f t="shared" ca="1" si="37"/>
        <v>#N/A</v>
      </c>
      <c r="AB141" t="e">
        <f t="shared" ca="1" si="31"/>
        <v>#N/A</v>
      </c>
      <c r="AC141" t="e">
        <f t="shared" ca="1" si="32"/>
        <v>#N/A</v>
      </c>
      <c r="AD141" s="83">
        <f ca="1"/>
        <v>45425</v>
      </c>
      <c r="AE141" s="55">
        <f t="shared" ca="1" si="41"/>
        <v>45425</v>
      </c>
      <c r="AF141" s="55">
        <f t="shared" ca="1" si="42"/>
        <v>33.002821128935686</v>
      </c>
      <c r="AG141" s="55">
        <f t="shared" ca="1" si="43"/>
        <v>133.26308183528403</v>
      </c>
      <c r="AH141" s="55">
        <f t="shared" ca="1" si="44"/>
        <v>0</v>
      </c>
      <c r="AI141" s="55">
        <f t="shared" ca="1" si="38"/>
        <v>-0.45380551267613145</v>
      </c>
      <c r="AJ141" s="55">
        <f t="shared" ca="1" si="39"/>
        <v>88.851375123643123</v>
      </c>
      <c r="AK141" s="55">
        <f t="shared" ca="1" si="40"/>
        <v>52.801027470818624</v>
      </c>
    </row>
    <row r="142" spans="18:37">
      <c r="R142" s="83" t="e">
        <f ca="1"/>
        <v>#N/A</v>
      </c>
      <c r="S142" s="55" t="e">
        <f t="shared" ca="1" si="33"/>
        <v>#N/A</v>
      </c>
      <c r="T142" s="55" t="e">
        <f t="shared" ca="1" si="27"/>
        <v>#N/A</v>
      </c>
      <c r="U142" s="55" t="e">
        <f t="shared" ca="1" si="28"/>
        <v>#N/A</v>
      </c>
      <c r="V142" s="55" t="e">
        <f t="shared" ca="1" si="29"/>
        <v>#N/A</v>
      </c>
      <c r="W142" s="55" t="e">
        <f t="shared" ca="1" si="34"/>
        <v>#N/A</v>
      </c>
      <c r="X142" s="55" t="e">
        <f t="shared" ca="1" si="35"/>
        <v>#N/A</v>
      </c>
      <c r="Y142" s="55" t="e">
        <f t="shared" ca="1" si="36"/>
        <v>#N/A</v>
      </c>
      <c r="Z142" t="e">
        <f t="shared" ca="1" si="30"/>
        <v>#N/A</v>
      </c>
      <c r="AA142" t="e">
        <f t="shared" ca="1" si="37"/>
        <v>#N/A</v>
      </c>
      <c r="AB142" t="e">
        <f t="shared" ca="1" si="31"/>
        <v>#N/A</v>
      </c>
      <c r="AC142" t="e">
        <f t="shared" ca="1" si="32"/>
        <v>#N/A</v>
      </c>
      <c r="AD142" s="83">
        <f ca="1"/>
        <v>45426</v>
      </c>
      <c r="AE142" s="55">
        <f t="shared" ca="1" si="41"/>
        <v>45426</v>
      </c>
      <c r="AF142" s="55">
        <f t="shared" ca="1" si="42"/>
        <v>31.404546482991318</v>
      </c>
      <c r="AG142" s="55">
        <f t="shared" ca="1" si="43"/>
        <v>135.28904820383664</v>
      </c>
      <c r="AH142" s="55">
        <f t="shared" ca="1" si="44"/>
        <v>0</v>
      </c>
      <c r="AI142" s="55">
        <f t="shared" ca="1" si="38"/>
        <v>-0.87510226201008101</v>
      </c>
      <c r="AJ142" s="55">
        <f t="shared" ca="1" si="39"/>
        <v>89.692555234451433</v>
      </c>
      <c r="AK142" s="55">
        <f t="shared" ca="1" si="40"/>
        <v>52.808835831952521</v>
      </c>
    </row>
    <row r="143" spans="18:37">
      <c r="R143" s="83" t="e">
        <f ca="1"/>
        <v>#N/A</v>
      </c>
      <c r="S143" s="55" t="e">
        <f t="shared" ca="1" si="33"/>
        <v>#N/A</v>
      </c>
      <c r="T143" s="55" t="e">
        <f t="shared" ca="1" si="27"/>
        <v>#N/A</v>
      </c>
      <c r="U143" s="55" t="e">
        <f t="shared" ca="1" si="28"/>
        <v>#N/A</v>
      </c>
      <c r="V143" s="55" t="e">
        <f t="shared" ca="1" si="29"/>
        <v>#N/A</v>
      </c>
      <c r="W143" s="55" t="e">
        <f t="shared" ca="1" si="34"/>
        <v>#N/A</v>
      </c>
      <c r="X143" s="55" t="e">
        <f t="shared" ca="1" si="35"/>
        <v>#N/A</v>
      </c>
      <c r="Y143" s="55" t="e">
        <f t="shared" ca="1" si="36"/>
        <v>#N/A</v>
      </c>
      <c r="Z143" t="e">
        <f t="shared" ca="1" si="30"/>
        <v>#N/A</v>
      </c>
      <c r="AA143" t="e">
        <f t="shared" ca="1" si="37"/>
        <v>#N/A</v>
      </c>
      <c r="AB143" t="e">
        <f t="shared" ca="1" si="31"/>
        <v>#N/A</v>
      </c>
      <c r="AC143" t="e">
        <f t="shared" ca="1" si="32"/>
        <v>#N/A</v>
      </c>
      <c r="AD143" s="83">
        <f ca="1"/>
        <v>45427</v>
      </c>
      <c r="AE143" s="55">
        <f t="shared" ca="1" si="41"/>
        <v>45427</v>
      </c>
      <c r="AF143" s="55">
        <f t="shared" ca="1" si="42"/>
        <v>29.842603172050911</v>
      </c>
      <c r="AG143" s="55">
        <f t="shared" ca="1" si="43"/>
        <v>137.29856211202897</v>
      </c>
      <c r="AH143" s="55">
        <f t="shared" ca="1" si="44"/>
        <v>0</v>
      </c>
      <c r="AI143" s="55">
        <f t="shared" ca="1" si="38"/>
        <v>-1.2771635156553494</v>
      </c>
      <c r="AJ143" s="55">
        <f t="shared" ca="1" si="39"/>
        <v>90.534470423858622</v>
      </c>
      <c r="AK143" s="55">
        <f t="shared" ca="1" si="40"/>
        <v>52.816552493442522</v>
      </c>
    </row>
    <row r="144" spans="18:37">
      <c r="R144" s="83" t="e">
        <f ca="1"/>
        <v>#N/A</v>
      </c>
      <c r="S144" s="55" t="e">
        <f t="shared" ca="1" si="33"/>
        <v>#N/A</v>
      </c>
      <c r="T144" s="55" t="e">
        <f t="shared" ca="1" si="27"/>
        <v>#N/A</v>
      </c>
      <c r="U144" s="55" t="e">
        <f t="shared" ca="1" si="28"/>
        <v>#N/A</v>
      </c>
      <c r="V144" s="55" t="e">
        <f t="shared" ca="1" si="29"/>
        <v>#N/A</v>
      </c>
      <c r="W144" s="55" t="e">
        <f t="shared" ca="1" si="34"/>
        <v>#N/A</v>
      </c>
      <c r="X144" s="55" t="e">
        <f t="shared" ca="1" si="35"/>
        <v>#N/A</v>
      </c>
      <c r="Y144" s="55" t="e">
        <f t="shared" ca="1" si="36"/>
        <v>#N/A</v>
      </c>
      <c r="Z144" t="e">
        <f t="shared" ca="1" si="30"/>
        <v>#N/A</v>
      </c>
      <c r="AA144" t="e">
        <f t="shared" ca="1" si="37"/>
        <v>#N/A</v>
      </c>
      <c r="AB144" t="e">
        <f t="shared" ca="1" si="31"/>
        <v>#N/A</v>
      </c>
      <c r="AC144" t="e">
        <f t="shared" ca="1" si="32"/>
        <v>#N/A</v>
      </c>
      <c r="AD144" s="83">
        <f ca="1"/>
        <v>45428</v>
      </c>
      <c r="AE144" s="55">
        <f t="shared" ca="1" si="41"/>
        <v>45428</v>
      </c>
      <c r="AF144" s="55">
        <f t="shared" ca="1" si="42"/>
        <v>28.375420796833968</v>
      </c>
      <c r="AG144" s="55">
        <f t="shared" ca="1" si="43"/>
        <v>139.22982279689785</v>
      </c>
      <c r="AH144" s="55">
        <f t="shared" ca="1" si="44"/>
        <v>0</v>
      </c>
      <c r="AI144" s="55">
        <f t="shared" ca="1" si="38"/>
        <v>-1.6333180397174301</v>
      </c>
      <c r="AJ144" s="55">
        <f t="shared" ca="1" si="39"/>
        <v>91.347289961504814</v>
      </c>
      <c r="AK144" s="55">
        <f t="shared" ca="1" si="40"/>
        <v>52.823965789510346</v>
      </c>
    </row>
    <row r="145" spans="18:37">
      <c r="R145" s="83" t="e">
        <f ca="1"/>
        <v>#N/A</v>
      </c>
      <c r="S145" s="55" t="e">
        <f t="shared" ca="1" si="33"/>
        <v>#N/A</v>
      </c>
      <c r="T145" s="55" t="e">
        <f t="shared" ca="1" si="27"/>
        <v>#N/A</v>
      </c>
      <c r="U145" s="55" t="e">
        <f t="shared" ca="1" si="28"/>
        <v>#N/A</v>
      </c>
      <c r="V145" s="55" t="e">
        <f t="shared" ca="1" si="29"/>
        <v>#N/A</v>
      </c>
      <c r="W145" s="55" t="e">
        <f t="shared" ca="1" si="34"/>
        <v>#N/A</v>
      </c>
      <c r="X145" s="55" t="e">
        <f t="shared" ca="1" si="35"/>
        <v>#N/A</v>
      </c>
      <c r="Y145" s="55" t="e">
        <f t="shared" ca="1" si="36"/>
        <v>#N/A</v>
      </c>
      <c r="Z145" t="e">
        <f t="shared" ca="1" si="30"/>
        <v>#N/A</v>
      </c>
      <c r="AA145" t="e">
        <f t="shared" ca="1" si="37"/>
        <v>#N/A</v>
      </c>
      <c r="AB145" t="e">
        <f t="shared" ca="1" si="31"/>
        <v>#N/A</v>
      </c>
      <c r="AC145" t="e">
        <f t="shared" ca="1" si="32"/>
        <v>#N/A</v>
      </c>
      <c r="AD145" s="83">
        <f ca="1"/>
        <v>45429</v>
      </c>
      <c r="AE145" s="55">
        <f t="shared" ca="1" si="41"/>
        <v>45429</v>
      </c>
      <c r="AF145" s="55">
        <f t="shared" ca="1" si="42"/>
        <v>26.976980204378936</v>
      </c>
      <c r="AG145" s="55">
        <f t="shared" ca="1" si="43"/>
        <v>141.1214440706494</v>
      </c>
      <c r="AH145" s="55">
        <f t="shared" ca="1" si="44"/>
        <v>0</v>
      </c>
      <c r="AI145" s="55">
        <f t="shared" ca="1" si="38"/>
        <v>-1.9501749344815886</v>
      </c>
      <c r="AJ145" s="55">
        <f t="shared" ca="1" si="39"/>
        <v>92.150074774699377</v>
      </c>
      <c r="AK145" s="55">
        <f t="shared" ca="1" si="40"/>
        <v>52.831218552376455</v>
      </c>
    </row>
    <row r="146" spans="18:37">
      <c r="R146" s="83" t="e">
        <f ca="1"/>
        <v>#N/A</v>
      </c>
      <c r="S146" s="55" t="e">
        <f t="shared" ca="1" si="33"/>
        <v>#N/A</v>
      </c>
      <c r="T146" s="55" t="e">
        <f t="shared" ref="T146:T209" ca="1" si="45">VLOOKUP(S146,ModelOutputs,2,FALSE)</f>
        <v>#N/A</v>
      </c>
      <c r="U146" s="55" t="e">
        <f t="shared" ref="U146:U209" ca="1" si="46">VLOOKUP(S146,ModelOutputs,7,FALSE)</f>
        <v>#N/A</v>
      </c>
      <c r="V146" s="55" t="e">
        <f t="shared" ref="V146:V209" ca="1" si="47">VLOOKUP(S146,ModelOutputs,6,FALSE)</f>
        <v>#N/A</v>
      </c>
      <c r="W146" s="55" t="e">
        <f t="shared" ca="1" si="34"/>
        <v>#N/A</v>
      </c>
      <c r="X146" s="55" t="e">
        <f t="shared" ca="1" si="35"/>
        <v>#N/A</v>
      </c>
      <c r="Y146" s="55" t="e">
        <f t="shared" ca="1" si="36"/>
        <v>#N/A</v>
      </c>
      <c r="Z146" t="e">
        <f t="shared" ref="Z146:Z209" ca="1" si="48">VLOOKUP(S146,ModelOutputs,10,FALSE)*AWC</f>
        <v>#N/A</v>
      </c>
      <c r="AA146" t="e">
        <f t="shared" ca="1" si="37"/>
        <v>#N/A</v>
      </c>
      <c r="AB146" t="e">
        <f t="shared" ref="AB146:AB209" ca="1" si="49">VLOOKUP(S146,ModelOutputs,12,FALSE)</f>
        <v>#N/A</v>
      </c>
      <c r="AC146" t="e">
        <f t="shared" ref="AC146:AC209" ca="1" si="50">VLOOKUP(S146,ModelOutputs,13,FALSE)</f>
        <v>#N/A</v>
      </c>
      <c r="AD146" s="83">
        <f ca="1"/>
        <v>45430</v>
      </c>
      <c r="AE146" s="55">
        <f t="shared" ca="1" si="41"/>
        <v>45430</v>
      </c>
      <c r="AF146" s="55">
        <f t="shared" ca="1" si="42"/>
        <v>25.880700622902864</v>
      </c>
      <c r="AG146" s="55">
        <f t="shared" ca="1" si="43"/>
        <v>143.06264022126015</v>
      </c>
      <c r="AH146" s="55">
        <f t="shared" ca="1" si="44"/>
        <v>0</v>
      </c>
      <c r="AI146" s="55">
        <f t="shared" ca="1" si="38"/>
        <v>-1.9501749344815886</v>
      </c>
      <c r="AJ146" s="55">
        <f t="shared" ca="1" si="39"/>
        <v>92.987585412340806</v>
      </c>
      <c r="AK146" s="55">
        <f t="shared" ca="1" si="40"/>
        <v>52.838624483869708</v>
      </c>
    </row>
    <row r="147" spans="18:37">
      <c r="R147" s="83" t="e">
        <f ca="1"/>
        <v>#N/A</v>
      </c>
      <c r="S147" s="55" t="e">
        <f t="shared" ref="S147:S210" ca="1" si="51">IF(R147&gt;1,R147,"")</f>
        <v>#N/A</v>
      </c>
      <c r="T147" s="55" t="e">
        <f t="shared" ca="1" si="45"/>
        <v>#N/A</v>
      </c>
      <c r="U147" s="55" t="e">
        <f t="shared" ca="1" si="46"/>
        <v>#N/A</v>
      </c>
      <c r="V147" s="55" t="e">
        <f t="shared" ca="1" si="47"/>
        <v>#N/A</v>
      </c>
      <c r="W147" s="55" t="e">
        <f t="shared" ref="W147:W210" ca="1" si="52">-VLOOKUP(S147,ModelOutputs,9,FALSE)+W146</f>
        <v>#N/A</v>
      </c>
      <c r="X147" s="55" t="e">
        <f t="shared" ref="X147:X210" ca="1" si="53">VLOOKUP(S147,ModelOutputs,5,FALSE)+X146</f>
        <v>#N/A</v>
      </c>
      <c r="Y147" s="55" t="e">
        <f t="shared" ref="Y147:Y210" ca="1" si="54">VLOOKUP(S147,ModelOutputs,4,FALSE)+Y146</f>
        <v>#N/A</v>
      </c>
      <c r="Z147" t="e">
        <f t="shared" ca="1" si="48"/>
        <v>#N/A</v>
      </c>
      <c r="AA147" t="e">
        <f t="shared" ref="AA147:AA210" ca="1" si="55">VLOOKUP(S147,ModelOutputs,11,FALSE)+AA146</f>
        <v>#N/A</v>
      </c>
      <c r="AB147" t="e">
        <f t="shared" ca="1" si="49"/>
        <v>#N/A</v>
      </c>
      <c r="AC147" t="e">
        <f t="shared" ca="1" si="50"/>
        <v>#N/A</v>
      </c>
      <c r="AD147" s="83">
        <f ca="1"/>
        <v>45431</v>
      </c>
      <c r="AE147" s="55">
        <f t="shared" ca="1" si="41"/>
        <v>45431</v>
      </c>
      <c r="AF147" s="55">
        <f t="shared" ca="1" si="42"/>
        <v>24.335168410761256</v>
      </c>
      <c r="AG147" s="55">
        <f t="shared" ca="1" si="43"/>
        <v>144.97433303345784</v>
      </c>
      <c r="AH147" s="55">
        <f t="shared" ca="1" si="44"/>
        <v>0</v>
      </c>
      <c r="AI147" s="55">
        <f t="shared" ref="AI147:AI210" ca="1" si="56">-VLOOKUP(AE147,ModelOutputs,9,FALSE)+AI146</f>
        <v>-2.4251532983664208</v>
      </c>
      <c r="AJ147" s="55">
        <f t="shared" ref="AJ147:AJ210" ca="1" si="57">VLOOKUP(AE147,ModelOutputs,5,FALSE)+AJ146</f>
        <v>93.821436439729112</v>
      </c>
      <c r="AK147" s="55">
        <f t="shared" ref="AK147:AK210" ca="1" si="58">VLOOKUP(AE147,ModelOutputs,4,FALSE)+AK146</f>
        <v>52.845912420422309</v>
      </c>
    </row>
    <row r="148" spans="18:37">
      <c r="R148" s="83" t="e">
        <f ca="1"/>
        <v>#N/A</v>
      </c>
      <c r="S148" s="55" t="e">
        <f t="shared" ca="1" si="51"/>
        <v>#N/A</v>
      </c>
      <c r="T148" s="55" t="e">
        <f t="shared" ca="1" si="45"/>
        <v>#N/A</v>
      </c>
      <c r="U148" s="55" t="e">
        <f t="shared" ca="1" si="46"/>
        <v>#N/A</v>
      </c>
      <c r="V148" s="55" t="e">
        <f t="shared" ca="1" si="47"/>
        <v>#N/A</v>
      </c>
      <c r="W148" s="55" t="e">
        <f t="shared" ca="1" si="52"/>
        <v>#N/A</v>
      </c>
      <c r="X148" s="55" t="e">
        <f t="shared" ca="1" si="53"/>
        <v>#N/A</v>
      </c>
      <c r="Y148" s="55" t="e">
        <f t="shared" ca="1" si="54"/>
        <v>#N/A</v>
      </c>
      <c r="Z148" t="e">
        <f t="shared" ca="1" si="48"/>
        <v>#N/A</v>
      </c>
      <c r="AA148" t="e">
        <f t="shared" ca="1" si="55"/>
        <v>#N/A</v>
      </c>
      <c r="AB148" t="e">
        <f t="shared" ca="1" si="49"/>
        <v>#N/A</v>
      </c>
      <c r="AC148" t="e">
        <f t="shared" ca="1" si="50"/>
        <v>#N/A</v>
      </c>
      <c r="AD148" s="83">
        <f ca="1"/>
        <v>45432</v>
      </c>
      <c r="AE148" s="55">
        <f t="shared" ca="1" si="41"/>
        <v>45432</v>
      </c>
      <c r="AF148" s="55">
        <f t="shared" ca="1" si="42"/>
        <v>22.788146676706109</v>
      </c>
      <c r="AG148" s="55">
        <f t="shared" ca="1" si="43"/>
        <v>146.90370229999959</v>
      </c>
      <c r="AH148" s="55">
        <f t="shared" ca="1" si="44"/>
        <v>0</v>
      </c>
      <c r="AI148" s="55">
        <f t="shared" ca="1" si="56"/>
        <v>-2.9053616983355544</v>
      </c>
      <c r="AJ148" s="55">
        <f t="shared" ca="1" si="57"/>
        <v>94.676650580952582</v>
      </c>
      <c r="AK148" s="55">
        <f t="shared" ca="1" si="58"/>
        <v>52.85325421165458</v>
      </c>
    </row>
    <row r="149" spans="18:37">
      <c r="R149" s="83" t="e">
        <f ca="1"/>
        <v>#N/A</v>
      </c>
      <c r="S149" s="55" t="e">
        <f t="shared" ca="1" si="51"/>
        <v>#N/A</v>
      </c>
      <c r="T149" s="55" t="e">
        <f t="shared" ca="1" si="45"/>
        <v>#N/A</v>
      </c>
      <c r="U149" s="55" t="e">
        <f t="shared" ca="1" si="46"/>
        <v>#N/A</v>
      </c>
      <c r="V149" s="55" t="e">
        <f t="shared" ca="1" si="47"/>
        <v>#N/A</v>
      </c>
      <c r="W149" s="55" t="e">
        <f t="shared" ca="1" si="52"/>
        <v>#N/A</v>
      </c>
      <c r="X149" s="55" t="e">
        <f t="shared" ca="1" si="53"/>
        <v>#N/A</v>
      </c>
      <c r="Y149" s="55" t="e">
        <f t="shared" ca="1" si="54"/>
        <v>#N/A</v>
      </c>
      <c r="Z149" t="e">
        <f t="shared" ca="1" si="48"/>
        <v>#N/A</v>
      </c>
      <c r="AA149" t="e">
        <f t="shared" ca="1" si="55"/>
        <v>#N/A</v>
      </c>
      <c r="AB149" t="e">
        <f t="shared" ca="1" si="49"/>
        <v>#N/A</v>
      </c>
      <c r="AC149" t="e">
        <f t="shared" ca="1" si="50"/>
        <v>#N/A</v>
      </c>
      <c r="AD149" s="83">
        <f ca="1"/>
        <v>45433</v>
      </c>
      <c r="AE149" s="55">
        <f t="shared" ref="AE149:AE212" ca="1" si="59">IF(AD149&gt;1,AD149,"")</f>
        <v>45433</v>
      </c>
      <c r="AF149" s="55">
        <f t="shared" ref="AF149:AF212" ca="1" si="60">VLOOKUP(AE149,ModelOutputs,2,FALSE)</f>
        <v>21.371397852932379</v>
      </c>
      <c r="AG149" s="55">
        <f t="shared" ref="AG149:AG212" ca="1" si="61">VLOOKUP(AE149,ModelOutputs,7,FALSE)</f>
        <v>148.73411303366117</v>
      </c>
      <c r="AH149" s="55">
        <f t="shared" ref="AH149:AH212" ca="1" si="62">VLOOKUP(AE149,ModelOutputs,6,FALSE)</f>
        <v>0</v>
      </c>
      <c r="AI149" s="55">
        <f t="shared" ca="1" si="56"/>
        <v>-3.3151096808067759</v>
      </c>
      <c r="AJ149" s="55">
        <f t="shared" ca="1" si="57"/>
        <v>95.493072619284035</v>
      </c>
      <c r="AK149" s="55">
        <f t="shared" ca="1" si="58"/>
        <v>52.860242065682201</v>
      </c>
    </row>
    <row r="150" spans="18:37">
      <c r="R150" s="83" t="e">
        <f ca="1"/>
        <v>#N/A</v>
      </c>
      <c r="S150" s="55" t="e">
        <f t="shared" ca="1" si="51"/>
        <v>#N/A</v>
      </c>
      <c r="T150" s="55" t="e">
        <f t="shared" ca="1" si="45"/>
        <v>#N/A</v>
      </c>
      <c r="U150" s="55" t="e">
        <f t="shared" ca="1" si="46"/>
        <v>#N/A</v>
      </c>
      <c r="V150" s="55" t="e">
        <f t="shared" ca="1" si="47"/>
        <v>#N/A</v>
      </c>
      <c r="W150" s="55" t="e">
        <f t="shared" ca="1" si="52"/>
        <v>#N/A</v>
      </c>
      <c r="X150" s="55" t="e">
        <f t="shared" ca="1" si="53"/>
        <v>#N/A</v>
      </c>
      <c r="Y150" s="55" t="e">
        <f t="shared" ca="1" si="54"/>
        <v>#N/A</v>
      </c>
      <c r="Z150" t="e">
        <f t="shared" ca="1" si="48"/>
        <v>#N/A</v>
      </c>
      <c r="AA150" t="e">
        <f t="shared" ca="1" si="55"/>
        <v>#N/A</v>
      </c>
      <c r="AB150" t="e">
        <f t="shared" ca="1" si="49"/>
        <v>#N/A</v>
      </c>
      <c r="AC150" t="e">
        <f t="shared" ca="1" si="50"/>
        <v>#N/A</v>
      </c>
      <c r="AD150" s="83">
        <f ca="1"/>
        <v>45434</v>
      </c>
      <c r="AE150" s="55">
        <f t="shared" ca="1" si="59"/>
        <v>45434</v>
      </c>
      <c r="AF150" s="55">
        <f t="shared" ca="1" si="60"/>
        <v>19.683323351170479</v>
      </c>
      <c r="AG150" s="55">
        <f t="shared" ca="1" si="61"/>
        <v>150.50742772744752</v>
      </c>
      <c r="AH150" s="55">
        <f t="shared" ca="1" si="62"/>
        <v>0</v>
      </c>
      <c r="AI150" s="55">
        <f t="shared" ca="1" si="56"/>
        <v>-4.0358771940660008</v>
      </c>
      <c r="AJ150" s="55">
        <f t="shared" ca="1" si="57"/>
        <v>96.292292257301469</v>
      </c>
      <c r="AK150" s="55">
        <f t="shared" ca="1" si="58"/>
        <v>52.867030132948443</v>
      </c>
    </row>
    <row r="151" spans="18:37">
      <c r="R151" s="83" t="e">
        <f ca="1"/>
        <v>#N/A</v>
      </c>
      <c r="S151" s="55" t="e">
        <f t="shared" ca="1" si="51"/>
        <v>#N/A</v>
      </c>
      <c r="T151" s="55" t="e">
        <f t="shared" ca="1" si="45"/>
        <v>#N/A</v>
      </c>
      <c r="U151" s="55" t="e">
        <f t="shared" ca="1" si="46"/>
        <v>#N/A</v>
      </c>
      <c r="V151" s="55" t="e">
        <f t="shared" ca="1" si="47"/>
        <v>#N/A</v>
      </c>
      <c r="W151" s="55" t="e">
        <f t="shared" ca="1" si="52"/>
        <v>#N/A</v>
      </c>
      <c r="X151" s="55" t="e">
        <f t="shared" ca="1" si="53"/>
        <v>#N/A</v>
      </c>
      <c r="Y151" s="55" t="e">
        <f t="shared" ca="1" si="54"/>
        <v>#N/A</v>
      </c>
      <c r="Z151" t="e">
        <f t="shared" ca="1" si="48"/>
        <v>#N/A</v>
      </c>
      <c r="AA151" t="e">
        <f t="shared" ca="1" si="55"/>
        <v>#N/A</v>
      </c>
      <c r="AB151" t="e">
        <f t="shared" ca="1" si="49"/>
        <v>#N/A</v>
      </c>
      <c r="AC151" t="e">
        <f t="shared" ca="1" si="50"/>
        <v>#N/A</v>
      </c>
      <c r="AD151" s="83">
        <f ca="1"/>
        <v>45435</v>
      </c>
      <c r="AE151" s="55">
        <f t="shared" ca="1" si="59"/>
        <v>45435</v>
      </c>
      <c r="AF151" s="55">
        <f t="shared" ca="1" si="60"/>
        <v>18.339994770230827</v>
      </c>
      <c r="AG151" s="55">
        <f t="shared" ca="1" si="61"/>
        <v>152.24724932626367</v>
      </c>
      <c r="AH151" s="55">
        <f t="shared" ca="1" si="62"/>
        <v>0</v>
      </c>
      <c r="AI151" s="55">
        <f t="shared" ca="1" si="56"/>
        <v>-4.4403018666204543</v>
      </c>
      <c r="AJ151" s="55">
        <f t="shared" ca="1" si="57"/>
        <v>97.086537129912287</v>
      </c>
      <c r="AK151" s="55">
        <f t="shared" ca="1" si="58"/>
        <v>52.873702950768582</v>
      </c>
    </row>
    <row r="152" spans="18:37">
      <c r="R152" s="83" t="e">
        <f ca="1"/>
        <v>#N/A</v>
      </c>
      <c r="S152" s="55" t="e">
        <f t="shared" ca="1" si="51"/>
        <v>#N/A</v>
      </c>
      <c r="T152" s="55" t="e">
        <f t="shared" ca="1" si="45"/>
        <v>#N/A</v>
      </c>
      <c r="U152" s="55" t="e">
        <f t="shared" ca="1" si="46"/>
        <v>#N/A</v>
      </c>
      <c r="V152" s="55" t="e">
        <f t="shared" ca="1" si="47"/>
        <v>#N/A</v>
      </c>
      <c r="W152" s="55" t="e">
        <f t="shared" ca="1" si="52"/>
        <v>#N/A</v>
      </c>
      <c r="X152" s="55" t="e">
        <f t="shared" ca="1" si="53"/>
        <v>#N/A</v>
      </c>
      <c r="Y152" s="55" t="e">
        <f t="shared" ca="1" si="54"/>
        <v>#N/A</v>
      </c>
      <c r="Z152" t="e">
        <f t="shared" ca="1" si="48"/>
        <v>#N/A</v>
      </c>
      <c r="AA152" t="e">
        <f t="shared" ca="1" si="55"/>
        <v>#N/A</v>
      </c>
      <c r="AB152" t="e">
        <f t="shared" ca="1" si="49"/>
        <v>#N/A</v>
      </c>
      <c r="AC152" t="e">
        <f t="shared" ca="1" si="50"/>
        <v>#N/A</v>
      </c>
      <c r="AD152" s="83">
        <f ca="1"/>
        <v>45436</v>
      </c>
      <c r="AE152" s="55">
        <f t="shared" ca="1" si="59"/>
        <v>45436</v>
      </c>
      <c r="AF152" s="55">
        <f t="shared" ca="1" si="60"/>
        <v>16.97144008474114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-4.8770850200741105</v>
      </c>
      <c r="AJ152" s="55">
        <f t="shared" ca="1" si="57"/>
        <v>97.900796487993432</v>
      </c>
      <c r="AK152" s="55">
        <f t="shared" ca="1" si="58"/>
        <v>52.880422734387743</v>
      </c>
    </row>
    <row r="153" spans="18:37">
      <c r="R153" s="83" t="e">
        <f ca="1"/>
        <v>#N/A</v>
      </c>
      <c r="S153" s="55" t="e">
        <f t="shared" ca="1" si="51"/>
        <v>#N/A</v>
      </c>
      <c r="T153" s="55" t="e">
        <f t="shared" ca="1" si="45"/>
        <v>#N/A</v>
      </c>
      <c r="U153" s="55" t="e">
        <f t="shared" ca="1" si="46"/>
        <v>#N/A</v>
      </c>
      <c r="V153" s="55" t="e">
        <f t="shared" ca="1" si="47"/>
        <v>#N/A</v>
      </c>
      <c r="W153" s="55" t="e">
        <f t="shared" ca="1" si="52"/>
        <v>#N/A</v>
      </c>
      <c r="X153" s="55" t="e">
        <f t="shared" ca="1" si="53"/>
        <v>#N/A</v>
      </c>
      <c r="Y153" s="55" t="e">
        <f t="shared" ca="1" si="54"/>
        <v>#N/A</v>
      </c>
      <c r="Z153" t="e">
        <f t="shared" ca="1" si="48"/>
        <v>#N/A</v>
      </c>
      <c r="AA153" t="e">
        <f t="shared" ca="1" si="55"/>
        <v>#N/A</v>
      </c>
      <c r="AB153" t="e">
        <f t="shared" ca="1" si="49"/>
        <v>#N/A</v>
      </c>
      <c r="AC153" t="e">
        <f t="shared" ca="1" si="50"/>
        <v>#N/A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 t="e">
        <f ca="1"/>
        <v>#N/A</v>
      </c>
      <c r="S154" s="55" t="e">
        <f t="shared" ca="1" si="51"/>
        <v>#N/A</v>
      </c>
      <c r="T154" s="55" t="e">
        <f t="shared" ca="1" si="45"/>
        <v>#N/A</v>
      </c>
      <c r="U154" s="55" t="e">
        <f t="shared" ca="1" si="46"/>
        <v>#N/A</v>
      </c>
      <c r="V154" s="55" t="e">
        <f t="shared" ca="1" si="47"/>
        <v>#N/A</v>
      </c>
      <c r="W154" s="55" t="e">
        <f t="shared" ca="1" si="52"/>
        <v>#N/A</v>
      </c>
      <c r="X154" s="55" t="e">
        <f t="shared" ca="1" si="53"/>
        <v>#N/A</v>
      </c>
      <c r="Y154" s="55" t="e">
        <f t="shared" ca="1" si="54"/>
        <v>#N/A</v>
      </c>
      <c r="Z154" t="e">
        <f t="shared" ca="1" si="48"/>
        <v>#N/A</v>
      </c>
      <c r="AA154" t="e">
        <f t="shared" ca="1" si="55"/>
        <v>#N/A</v>
      </c>
      <c r="AB154" t="e">
        <f t="shared" ca="1" si="49"/>
        <v>#N/A</v>
      </c>
      <c r="AC154" t="e">
        <f t="shared" ca="1" si="50"/>
        <v>#N/A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 t="e">
        <f ca="1"/>
        <v>#N/A</v>
      </c>
      <c r="S155" s="55" t="e">
        <f t="shared" ca="1" si="51"/>
        <v>#N/A</v>
      </c>
      <c r="T155" s="55" t="e">
        <f t="shared" ca="1" si="45"/>
        <v>#N/A</v>
      </c>
      <c r="U155" s="55" t="e">
        <f t="shared" ca="1" si="46"/>
        <v>#N/A</v>
      </c>
      <c r="V155" s="55" t="e">
        <f t="shared" ca="1" si="47"/>
        <v>#N/A</v>
      </c>
      <c r="W155" s="55" t="e">
        <f t="shared" ca="1" si="52"/>
        <v>#N/A</v>
      </c>
      <c r="X155" s="55" t="e">
        <f t="shared" ca="1" si="53"/>
        <v>#N/A</v>
      </c>
      <c r="Y155" s="55" t="e">
        <f t="shared" ca="1" si="54"/>
        <v>#N/A</v>
      </c>
      <c r="Z155" t="e">
        <f t="shared" ca="1" si="48"/>
        <v>#N/A</v>
      </c>
      <c r="AA155" t="e">
        <f t="shared" ca="1" si="55"/>
        <v>#N/A</v>
      </c>
      <c r="AB155" t="e">
        <f t="shared" ca="1" si="49"/>
        <v>#N/A</v>
      </c>
      <c r="AC155" t="e">
        <f t="shared" ca="1" si="50"/>
        <v>#N/A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 t="e">
        <f ca="1"/>
        <v>#N/A</v>
      </c>
      <c r="S156" s="55" t="e">
        <f t="shared" ca="1" si="51"/>
        <v>#N/A</v>
      </c>
      <c r="T156" s="55" t="e">
        <f t="shared" ca="1" si="45"/>
        <v>#N/A</v>
      </c>
      <c r="U156" s="55" t="e">
        <f t="shared" ca="1" si="46"/>
        <v>#N/A</v>
      </c>
      <c r="V156" s="55" t="e">
        <f t="shared" ca="1" si="47"/>
        <v>#N/A</v>
      </c>
      <c r="W156" s="55" t="e">
        <f t="shared" ca="1" si="52"/>
        <v>#N/A</v>
      </c>
      <c r="X156" s="55" t="e">
        <f t="shared" ca="1" si="53"/>
        <v>#N/A</v>
      </c>
      <c r="Y156" s="55" t="e">
        <f t="shared" ca="1" si="54"/>
        <v>#N/A</v>
      </c>
      <c r="Z156" t="e">
        <f t="shared" ca="1" si="48"/>
        <v>#N/A</v>
      </c>
      <c r="AA156" t="e">
        <f t="shared" ca="1" si="55"/>
        <v>#N/A</v>
      </c>
      <c r="AB156" t="e">
        <f t="shared" ca="1" si="49"/>
        <v>#N/A</v>
      </c>
      <c r="AC156" t="e">
        <f t="shared" ca="1" si="50"/>
        <v>#N/A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 t="e">
        <f ca="1"/>
        <v>#N/A</v>
      </c>
      <c r="S157" s="55" t="e">
        <f t="shared" ca="1" si="51"/>
        <v>#N/A</v>
      </c>
      <c r="T157" s="55" t="e">
        <f t="shared" ca="1" si="45"/>
        <v>#N/A</v>
      </c>
      <c r="U157" s="55" t="e">
        <f t="shared" ca="1" si="46"/>
        <v>#N/A</v>
      </c>
      <c r="V157" s="55" t="e">
        <f t="shared" ca="1" si="47"/>
        <v>#N/A</v>
      </c>
      <c r="W157" s="55" t="e">
        <f t="shared" ca="1" si="52"/>
        <v>#N/A</v>
      </c>
      <c r="X157" s="55" t="e">
        <f t="shared" ca="1" si="53"/>
        <v>#N/A</v>
      </c>
      <c r="Y157" s="55" t="e">
        <f t="shared" ca="1" si="54"/>
        <v>#N/A</v>
      </c>
      <c r="Z157" t="e">
        <f t="shared" ca="1" si="48"/>
        <v>#N/A</v>
      </c>
      <c r="AA157" t="e">
        <f t="shared" ca="1" si="55"/>
        <v>#N/A</v>
      </c>
      <c r="AB157" t="e">
        <f t="shared" ca="1" si="49"/>
        <v>#N/A</v>
      </c>
      <c r="AC157" t="e">
        <f t="shared" ca="1" si="50"/>
        <v>#N/A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 t="e">
        <f ca="1"/>
        <v>#N/A</v>
      </c>
      <c r="S158" s="55" t="e">
        <f t="shared" ca="1" si="51"/>
        <v>#N/A</v>
      </c>
      <c r="T158" s="55" t="e">
        <f t="shared" ca="1" si="45"/>
        <v>#N/A</v>
      </c>
      <c r="U158" s="55" t="e">
        <f t="shared" ca="1" si="46"/>
        <v>#N/A</v>
      </c>
      <c r="V158" s="55" t="e">
        <f t="shared" ca="1" si="47"/>
        <v>#N/A</v>
      </c>
      <c r="W158" s="55" t="e">
        <f t="shared" ca="1" si="52"/>
        <v>#N/A</v>
      </c>
      <c r="X158" s="55" t="e">
        <f t="shared" ca="1" si="53"/>
        <v>#N/A</v>
      </c>
      <c r="Y158" s="55" t="e">
        <f t="shared" ca="1" si="54"/>
        <v>#N/A</v>
      </c>
      <c r="Z158" t="e">
        <f t="shared" ca="1" si="48"/>
        <v>#N/A</v>
      </c>
      <c r="AA158" t="e">
        <f t="shared" ca="1" si="55"/>
        <v>#N/A</v>
      </c>
      <c r="AB158" t="e">
        <f t="shared" ca="1" si="49"/>
        <v>#N/A</v>
      </c>
      <c r="AC158" t="e">
        <f t="shared" ca="1" si="50"/>
        <v>#N/A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68:H71 C64:E67 F65:H66 F8:H15 C57:H63 C53:H53 C52:D52 F52:H52 C46:H51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51 E62:E63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I1" zoomScale="105" workbookViewId="0">
      <selection activeCell="M1" sqref="M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284</v>
      </c>
    </row>
    <row r="2" spans="1:43">
      <c r="H2" t="s">
        <v>282</v>
      </c>
      <c r="I2">
        <f ca="1"/>
        <v>50</v>
      </c>
      <c r="J2">
        <f ca="1"/>
        <v>0</v>
      </c>
      <c r="K2">
        <f ca="1"/>
        <v>4</v>
      </c>
      <c r="L2">
        <f ca="1"/>
        <v>85</v>
      </c>
      <c r="M2">
        <f ca="1"/>
        <v>0</v>
      </c>
      <c r="N2">
        <f ca="1"/>
        <v>105</v>
      </c>
      <c r="O2">
        <f ca="1"/>
        <v>0</v>
      </c>
      <c r="P2">
        <f ca="1"/>
        <v>239</v>
      </c>
      <c r="Q2">
        <f ca="1">SUM(I2:O2)</f>
        <v>244</v>
      </c>
      <c r="R2">
        <f ca="1">Q2-P2</f>
        <v>5</v>
      </c>
    </row>
    <row r="3" spans="1:43">
      <c r="H3" t="s">
        <v>283</v>
      </c>
      <c r="I3">
        <f ca="1"/>
        <v>24</v>
      </c>
      <c r="J3">
        <f ca="1"/>
        <v>76</v>
      </c>
      <c r="K3">
        <f ca="1"/>
        <v>112</v>
      </c>
      <c r="L3">
        <f ca="1"/>
        <v>0</v>
      </c>
      <c r="M3">
        <f ca="1"/>
        <v>6</v>
      </c>
      <c r="N3">
        <f ca="1"/>
        <v>0</v>
      </c>
      <c r="O3">
        <f ca="1"/>
        <v>28</v>
      </c>
      <c r="P3">
        <f ca="1"/>
        <v>239</v>
      </c>
      <c r="Q3">
        <f ca="1">SUM(I3:O3)</f>
        <v>246</v>
      </c>
    </row>
    <row r="4" spans="1:43" ht="15" thickBot="1"/>
    <row r="5" spans="1:43" ht="26.4" thickBot="1">
      <c r="A5" s="138" t="s">
        <v>111</v>
      </c>
      <c r="B5" s="139"/>
      <c r="I5" s="30" t="s">
        <v>110</v>
      </c>
      <c r="J5" s="22"/>
      <c r="K5" s="21" t="s">
        <v>180</v>
      </c>
      <c r="L5" s="22"/>
      <c r="M5" s="21" t="s">
        <v>177</v>
      </c>
      <c r="N5" s="21" t="s">
        <v>178</v>
      </c>
      <c r="O5" s="21" t="s">
        <v>13</v>
      </c>
      <c r="P5" s="21" t="s">
        <v>177</v>
      </c>
      <c r="Q5" s="21" t="s">
        <v>179</v>
      </c>
      <c r="R5" s="23" t="s">
        <v>174</v>
      </c>
      <c r="S5" s="97"/>
      <c r="T5" s="97"/>
      <c r="U5" s="97"/>
      <c r="V5" s="97"/>
      <c r="W5" s="97" t="s">
        <v>176</v>
      </c>
      <c r="X5" s="97" t="s">
        <v>175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" thickBot="1">
      <c r="A6" s="12" t="s">
        <v>247</v>
      </c>
      <c r="B6" s="13" t="str">
        <f>Location</f>
        <v>pukekohe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4</v>
      </c>
      <c r="AJ6">
        <f ca="1"/>
        <v>85</v>
      </c>
      <c r="AK6">
        <f ca="1"/>
        <v>0</v>
      </c>
      <c r="AL6">
        <f ca="1"/>
        <v>105</v>
      </c>
      <c r="AM6">
        <f ca="1"/>
        <v>0</v>
      </c>
      <c r="AN6">
        <f ca="1"/>
        <v>239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226</v>
      </c>
      <c r="B7" s="13" t="str">
        <f>SoilOrder</f>
        <v>SiltLoam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45217</v>
      </c>
      <c r="K7" s="3">
        <v>50</v>
      </c>
      <c r="L7" s="3"/>
      <c r="M7" s="3">
        <f ca="1">SUMIF($I$12:$I$1005,TRUE,M12:M1005)</f>
        <v>-6.1006021682960947</v>
      </c>
      <c r="N7" s="3">
        <f ca="1">SUMIF($I$12:$I$1005,TRUE,N12:N1005)</f>
        <v>85.48867149255932</v>
      </c>
      <c r="O7" s="3">
        <f ca="1">SUMIF($I$12:$I$1005,TRUE,O12:O1005)</f>
        <v>105.20974263321442</v>
      </c>
      <c r="P7" s="3">
        <f ca="1">VLOOKUP(B36,ModelOutputs,P9,FALSE)-Q7</f>
        <v>2.5881665858240326</v>
      </c>
      <c r="Q7">
        <f ca="1">VLOOKUP(B36,ModelOutputs,Q9,FALSE)</f>
        <v>1.7468341970437682</v>
      </c>
      <c r="R7" s="13"/>
      <c r="W7" s="3">
        <f ca="1">MAX(0,X8-X7)</f>
        <v>0</v>
      </c>
      <c r="X7" s="3">
        <f ca="1">SUM(K7:R7)</f>
        <v>238.93281274034544</v>
      </c>
      <c r="AA7" s="3"/>
      <c r="AG7">
        <f ca="1"/>
        <v>24</v>
      </c>
      <c r="AH7">
        <f ca="1"/>
        <v>76</v>
      </c>
      <c r="AI7">
        <f ca="1"/>
        <v>112</v>
      </c>
      <c r="AJ7">
        <f ca="1"/>
        <v>0</v>
      </c>
      <c r="AK7">
        <f ca="1"/>
        <v>6</v>
      </c>
      <c r="AL7">
        <f ca="1"/>
        <v>0</v>
      </c>
      <c r="AM7">
        <f ca="1"/>
        <v>28</v>
      </c>
      <c r="AN7">
        <f ca="1"/>
        <v>239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" thickBot="1">
      <c r="A8" s="12" t="s">
        <v>208</v>
      </c>
      <c r="B8" s="13" t="str">
        <f>SampleDepth</f>
        <v>Top15cm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45301</v>
      </c>
      <c r="K8" s="24">
        <f ca="1">VLOOKUP(J8,ModelOutputs,2,FALSE)</f>
        <v>23.510958756573242</v>
      </c>
      <c r="L8" s="27"/>
      <c r="M8" s="25"/>
      <c r="N8" s="25"/>
      <c r="O8" s="25"/>
      <c r="P8" s="24">
        <f ca="1">(VLOOKUP($J$8,ModelOutputs,P9,FALSE)-VLOOKUP($J$7+1,ModelOutputs,P9,FALSE))-Q8</f>
        <v>112.01142857142868</v>
      </c>
      <c r="Q8" s="26">
        <f ca="1">VLOOKUP($J$8,ModelOutputs,Q9,FALSE)-VLOOKUP($J$7+1,ModelOutputs,Q9,FALSE)</f>
        <v>75.600000000000065</v>
      </c>
      <c r="R8" s="27">
        <f ca="1">SUMIF($I$12:$I$1005,TRUE,R12:R1005)</f>
        <v>27.810425412343459</v>
      </c>
      <c r="S8" s="3"/>
      <c r="T8" s="3"/>
      <c r="U8" s="3"/>
      <c r="V8" s="3"/>
      <c r="W8" s="3">
        <f ca="1">MAX(0,X7-X8)</f>
        <v>0</v>
      </c>
      <c r="X8" s="3">
        <f ca="1">SUM(K8:R8)</f>
        <v>238.93281274034544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236</v>
      </c>
      <c r="B9" s="13" t="str">
        <f>SoilCategory</f>
        <v>Volcanic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159.53336257254998</v>
      </c>
      <c r="M9">
        <f ca="1">SUMIF(H11:H1004,TRUE,M11:M1004)</f>
        <v>-6.120518228458053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2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207</v>
      </c>
      <c r="B10" s="13">
        <f>HWEON</f>
        <v>100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173</v>
      </c>
      <c r="I10" t="s">
        <v>109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143</v>
      </c>
      <c r="Y10" t="s">
        <v>144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3">
        <f t="array" aca="1" ref="AI10" ca="1">_xll.GetDailyNBalanceSummary(C11:D59,F22:G28,F13:G19)</f>
        <v>#VALUE!</v>
      </c>
      <c r="AJ10" t="e" cm="1" vm="1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45216</v>
      </c>
      <c r="K11">
        <f ca="1"/>
        <v>0</v>
      </c>
      <c r="L11">
        <f ca="1"/>
        <v>4.6176314766571664</v>
      </c>
      <c r="M11">
        <f ca="1"/>
        <v>0</v>
      </c>
      <c r="N11" s="4">
        <f ca="1"/>
        <v>0.79804243581307455</v>
      </c>
      <c r="O11">
        <f ca="1"/>
        <v>0</v>
      </c>
      <c r="P11">
        <f ca="1"/>
        <v>108.00000000000001</v>
      </c>
      <c r="Q11">
        <f ca="1"/>
        <v>98.800000000000011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0.99993345063478134</v>
      </c>
      <c r="X11" s="2">
        <f t="shared" ref="X11:X74" ca="1" si="1">IFERROR(J11,$X$9)</f>
        <v>45216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4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227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45217</v>
      </c>
      <c r="K12">
        <f ca="1"/>
        <v>50.458006435245238</v>
      </c>
      <c r="L12">
        <f ca="1"/>
        <v>0</v>
      </c>
      <c r="M12">
        <f ca="1"/>
        <v>-0.32096885654251955</v>
      </c>
      <c r="N12" s="4">
        <f ca="1"/>
        <v>0.77897529178775815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0.91468181818181815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45217</v>
      </c>
      <c r="Y12">
        <f t="shared" ca="1" si="2"/>
        <v>0</v>
      </c>
      <c r="Z12" s="3"/>
      <c r="AA12" s="63">
        <f ca="1">K11+M12+N12+O12</f>
        <v>0.4580064352452386</v>
      </c>
      <c r="AB12" s="63">
        <f ca="1">K12+L12+R12</f>
        <v>50.458006435245238</v>
      </c>
      <c r="AC12" s="3">
        <f ca="1">AB12-AA12</f>
        <v>50</v>
      </c>
      <c r="AE12" s="3"/>
    </row>
    <row r="13" spans="1:43">
      <c r="A13" s="12" t="s">
        <v>200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45218</v>
      </c>
      <c r="K13">
        <f ca="1"/>
        <v>50.907299322097053</v>
      </c>
      <c r="L13">
        <f ca="1"/>
        <v>0</v>
      </c>
      <c r="M13">
        <f ca="1"/>
        <v>-0.30234495571500902</v>
      </c>
      <c r="N13" s="4">
        <f ca="1"/>
        <v>0.75163784256682276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0.90391255509641877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45218</v>
      </c>
      <c r="Y13">
        <f t="shared" ca="1" si="2"/>
        <v>0</v>
      </c>
      <c r="AA13" s="63">
        <f t="shared" ref="AA13:AA76" ca="1" si="4">K12+M13+N13+O13</f>
        <v>50.907299322097053</v>
      </c>
      <c r="AB13" s="63">
        <f t="shared" ref="AB13:AB76" ca="1" si="5">K13+L13+R13</f>
        <v>50.907299322097053</v>
      </c>
      <c r="AC13" s="3">
        <f t="shared" ref="AC13:AC76" ca="1" si="6">AB13-AA13</f>
        <v>0</v>
      </c>
    </row>
    <row r="14" spans="1:43" ht="15" thickBot="1">
      <c r="A14" s="12" t="s">
        <v>201</v>
      </c>
      <c r="B14" s="13" t="str">
        <f>InCropRain</f>
        <v>Very Wet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45219</v>
      </c>
      <c r="K14">
        <f ca="1"/>
        <v>51.344068898807407</v>
      </c>
      <c r="L14">
        <f ca="1"/>
        <v>0</v>
      </c>
      <c r="M14">
        <f ca="1"/>
        <v>-0.28747775278805543</v>
      </c>
      <c r="N14" s="4">
        <f ca="1"/>
        <v>0.72424732949841109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0.88311086673553718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45219</v>
      </c>
      <c r="Y14">
        <f t="shared" ca="1" si="2"/>
        <v>0</v>
      </c>
      <c r="AA14" s="63">
        <f t="shared" ca="1" si="4"/>
        <v>51.344068898807407</v>
      </c>
      <c r="AB14" s="63">
        <f t="shared" ca="1" si="5"/>
        <v>51.344068898807407</v>
      </c>
      <c r="AC14" s="3">
        <f t="shared" ca="1" si="6"/>
        <v>0</v>
      </c>
    </row>
    <row r="15" spans="1:43" ht="15" thickBot="1">
      <c r="A15" s="12" t="s">
        <v>188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45220</v>
      </c>
      <c r="K15">
        <f ca="1"/>
        <v>51.818761833002618</v>
      </c>
      <c r="L15">
        <f ca="1"/>
        <v>0</v>
      </c>
      <c r="M15">
        <f ca="1"/>
        <v>-0.28435248396838841</v>
      </c>
      <c r="N15" s="4">
        <f ca="1"/>
        <v>0.75904541816360294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0.88801471600519666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45220</v>
      </c>
      <c r="Y15">
        <f t="shared" ca="1" si="2"/>
        <v>0</v>
      </c>
      <c r="AA15" s="63">
        <f t="shared" ca="1" si="4"/>
        <v>51.818761833002618</v>
      </c>
      <c r="AB15" s="63">
        <f t="shared" ca="1" si="5"/>
        <v>51.818761833002618</v>
      </c>
      <c r="AC15" s="3">
        <f t="shared" ca="1" si="6"/>
        <v>0</v>
      </c>
    </row>
    <row r="16" spans="1:43">
      <c r="A16" s="5" t="s">
        <v>140</v>
      </c>
      <c r="B16" s="31" t="str">
        <f>PriorCropNameFull</f>
        <v>Barley Fodder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45221</v>
      </c>
      <c r="K16">
        <f ca="1"/>
        <v>52.330756069793587</v>
      </c>
      <c r="L16">
        <f ca="1"/>
        <v>0</v>
      </c>
      <c r="M16">
        <f ca="1"/>
        <v>-0.27740188880613936</v>
      </c>
      <c r="N16" s="4">
        <f ca="1"/>
        <v>0.78939612559710493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0.8996189156479979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45221</v>
      </c>
      <c r="Y16">
        <f t="shared" ca="1" si="2"/>
        <v>0</v>
      </c>
      <c r="AA16" s="63">
        <f t="shared" ca="1" si="4"/>
        <v>52.330756069793587</v>
      </c>
      <c r="AB16" s="63">
        <f t="shared" ca="1" si="5"/>
        <v>52.330756069793587</v>
      </c>
      <c r="AC16" s="3">
        <f t="shared" ca="1" si="6"/>
        <v>0</v>
      </c>
    </row>
    <row r="17" spans="1:29" ht="15" thickBot="1">
      <c r="A17" s="6" t="s">
        <v>237</v>
      </c>
      <c r="B17" s="32">
        <f>PriorYield</f>
        <v>8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45222</v>
      </c>
      <c r="K17">
        <f ca="1"/>
        <v>52.896535927344537</v>
      </c>
      <c r="L17">
        <f ca="1"/>
        <v>0</v>
      </c>
      <c r="M17">
        <f ca="1"/>
        <v>-0.27197283523781124</v>
      </c>
      <c r="N17" s="4">
        <f ca="1"/>
        <v>0.83775269278876041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0.92135141909894591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45222</v>
      </c>
      <c r="Y17">
        <f t="shared" ca="1" si="2"/>
        <v>0</v>
      </c>
      <c r="AA17" s="63">
        <f t="shared" ca="1" si="4"/>
        <v>52.896535927344537</v>
      </c>
      <c r="AB17" s="63">
        <f t="shared" ca="1" si="5"/>
        <v>52.896535927344537</v>
      </c>
      <c r="AC17" s="3">
        <f t="shared" ca="1" si="6"/>
        <v>0</v>
      </c>
    </row>
    <row r="18" spans="1:29">
      <c r="A18" s="6" t="s">
        <v>230</v>
      </c>
      <c r="B18" s="32">
        <f>PriorPopulation</f>
        <v>1</v>
      </c>
      <c r="D18" s="18">
        <f>IF(ConceptDemo!C38="","",ConceptDemo!C38)</f>
        <v>45270</v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45223</v>
      </c>
      <c r="K18">
        <f ca="1"/>
        <v>53.44767673762469</v>
      </c>
      <c r="L18">
        <f ca="1"/>
        <v>0</v>
      </c>
      <c r="M18">
        <f ca="1"/>
        <v>-0.24950144078334557</v>
      </c>
      <c r="N18" s="4">
        <f ca="1"/>
        <v>0.80064225106350118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0.92599375809496765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45223</v>
      </c>
      <c r="Y18">
        <f t="shared" ca="1" si="2"/>
        <v>0</v>
      </c>
      <c r="AA18" s="63">
        <f t="shared" ca="1" si="4"/>
        <v>53.44767673762469</v>
      </c>
      <c r="AB18" s="63">
        <f t="shared" ca="1" si="5"/>
        <v>53.44767673762469</v>
      </c>
      <c r="AC18" s="3">
        <f t="shared" ca="1" si="6"/>
        <v>0</v>
      </c>
    </row>
    <row r="19" spans="1:29">
      <c r="A19" s="6" t="s">
        <v>231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45224</v>
      </c>
      <c r="K19">
        <f ca="1"/>
        <v>54.013224619563118</v>
      </c>
      <c r="L19">
        <f ca="1"/>
        <v>0</v>
      </c>
      <c r="M19">
        <f ca="1"/>
        <v>-0.24598772696099713</v>
      </c>
      <c r="N19" s="4">
        <f ca="1"/>
        <v>0.81153560889942389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0.90572650483581851</v>
      </c>
      <c r="T19">
        <f ca="1"/>
        <v>0</v>
      </c>
      <c r="U19">
        <f ca="1"/>
        <v>0</v>
      </c>
      <c r="V19">
        <f ca="1"/>
        <v>0</v>
      </c>
      <c r="X19" s="2">
        <f t="shared" ca="1" si="1"/>
        <v>45224</v>
      </c>
      <c r="Y19">
        <f t="shared" ca="1" si="2"/>
        <v>0</v>
      </c>
      <c r="AA19" s="63">
        <f t="shared" ca="1" si="4"/>
        <v>54.013224619563118</v>
      </c>
      <c r="AB19" s="63">
        <f t="shared" ca="1" si="5"/>
        <v>54.013224619563118</v>
      </c>
      <c r="AC19" s="3">
        <f t="shared" ca="1" si="6"/>
        <v>0</v>
      </c>
    </row>
    <row r="20" spans="1:29">
      <c r="A20" s="6" t="s">
        <v>113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45225</v>
      </c>
      <c r="K20">
        <f ca="1"/>
        <v>54.571446821430314</v>
      </c>
      <c r="L20">
        <f ca="1"/>
        <v>0</v>
      </c>
      <c r="M20">
        <f ca="1"/>
        <v>-0.23949753556618347</v>
      </c>
      <c r="N20" s="4">
        <f ca="1"/>
        <v>0.79771973743337432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0.87268433914094756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45225</v>
      </c>
      <c r="Y20">
        <f t="shared" ca="1" si="2"/>
        <v>0</v>
      </c>
      <c r="AA20" s="63">
        <f t="shared" ca="1" si="4"/>
        <v>54.571446821430307</v>
      </c>
      <c r="AB20" s="63">
        <f t="shared" ca="1" si="5"/>
        <v>54.571446821430314</v>
      </c>
      <c r="AC20" s="3">
        <f t="shared" ca="1" si="6"/>
        <v>0</v>
      </c>
    </row>
    <row r="21" spans="1:29">
      <c r="A21" s="6" t="s">
        <v>114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45226</v>
      </c>
      <c r="K21">
        <f ca="1"/>
        <v>55.190523300956954</v>
      </c>
      <c r="L21">
        <f ca="1"/>
        <v>0</v>
      </c>
      <c r="M21">
        <f ca="1"/>
        <v>-0.24040296924155857</v>
      </c>
      <c r="N21" s="4">
        <f ca="1"/>
        <v>0.85947944876819737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0.88086830400208205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45226</v>
      </c>
      <c r="Y21">
        <f t="shared" ca="1" si="2"/>
        <v>0</v>
      </c>
      <c r="AA21" s="63">
        <f t="shared" ca="1" si="4"/>
        <v>55.190523300956954</v>
      </c>
      <c r="AB21" s="63">
        <f t="shared" ca="1" si="5"/>
        <v>55.190523300956954</v>
      </c>
      <c r="AC21" s="3">
        <f t="shared" ca="1" si="6"/>
        <v>0</v>
      </c>
    </row>
    <row r="22" spans="1:29">
      <c r="A22" s="6" t="s">
        <v>115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45227</v>
      </c>
      <c r="K22">
        <f ca="1"/>
        <v>55.815032243452087</v>
      </c>
      <c r="L22">
        <f ca="1"/>
        <v>0</v>
      </c>
      <c r="M22">
        <f ca="1"/>
        <v>-0.21991137807410777</v>
      </c>
      <c r="N22" s="4">
        <f ca="1"/>
        <v>0.84442032056924199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0.90465992803592865</v>
      </c>
      <c r="T22">
        <f ca="1"/>
        <v>0</v>
      </c>
      <c r="U22">
        <f ca="1"/>
        <v>0</v>
      </c>
      <c r="V22">
        <f ca="1"/>
        <v>0</v>
      </c>
      <c r="X22" s="2">
        <f t="shared" ca="1" si="1"/>
        <v>45227</v>
      </c>
      <c r="Y22">
        <f t="shared" ca="1" si="2"/>
        <v>0</v>
      </c>
      <c r="AA22" s="63">
        <f t="shared" ca="1" si="4"/>
        <v>55.815032243452087</v>
      </c>
      <c r="AB22" s="63">
        <f t="shared" ca="1" si="5"/>
        <v>55.815032243452087</v>
      </c>
      <c r="AC22" s="3">
        <f t="shared" ca="1" si="6"/>
        <v>0</v>
      </c>
    </row>
    <row r="23" spans="1:29" ht="15" thickBot="1">
      <c r="A23" s="6" t="s">
        <v>116</v>
      </c>
      <c r="B23" s="34">
        <f ca="1">PriorEstablishDate</f>
        <v>45171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45228</v>
      </c>
      <c r="K23">
        <f ca="1"/>
        <v>56.444932576007147</v>
      </c>
      <c r="L23">
        <f ca="1"/>
        <v>0</v>
      </c>
      <c r="M23">
        <f ca="1"/>
        <v>-0.20968983314585365</v>
      </c>
      <c r="N23" s="4">
        <f ca="1"/>
        <v>0.83959016570091405</v>
      </c>
      <c r="O23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0.89879904059419757</v>
      </c>
      <c r="T23">
        <f ca="1"/>
        <v>0</v>
      </c>
      <c r="U23">
        <f ca="1"/>
        <v>0</v>
      </c>
      <c r="V23">
        <f ca="1"/>
        <v>0</v>
      </c>
      <c r="X23" s="2">
        <f t="shared" ca="1" si="1"/>
        <v>45228</v>
      </c>
      <c r="Y23">
        <f t="shared" ca="1" si="2"/>
        <v>0</v>
      </c>
      <c r="AA23" s="63">
        <f t="shared" ca="1" si="4"/>
        <v>56.444932576007147</v>
      </c>
      <c r="AB23" s="63">
        <f t="shared" ca="1" si="5"/>
        <v>56.444932576007147</v>
      </c>
      <c r="AC23" s="3">
        <f t="shared" ca="1" si="6"/>
        <v>0</v>
      </c>
    </row>
    <row r="24" spans="1:29">
      <c r="A24" s="6" t="s">
        <v>117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45229</v>
      </c>
      <c r="K24">
        <f ca="1"/>
        <v>57.093939930333924</v>
      </c>
      <c r="L24">
        <f ca="1"/>
        <v>0</v>
      </c>
      <c r="M24">
        <f ca="1"/>
        <v>-0.20547205670185464</v>
      </c>
      <c r="N24" s="4">
        <f ca="1"/>
        <v>0.85447941102863167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0.88414678538882019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45229</v>
      </c>
      <c r="Y24">
        <f t="shared" ca="1" si="2"/>
        <v>0</v>
      </c>
      <c r="AA24" s="63">
        <f t="shared" ca="1" si="4"/>
        <v>57.093939930333924</v>
      </c>
      <c r="AB24" s="63">
        <f t="shared" ca="1" si="5"/>
        <v>57.093939930333924</v>
      </c>
      <c r="AC24" s="3">
        <f t="shared" ca="1" si="6"/>
        <v>0</v>
      </c>
    </row>
    <row r="25" spans="1:29">
      <c r="A25" s="6" t="s">
        <v>118</v>
      </c>
      <c r="B25" s="34">
        <f ca="1">PriorHarvestDate</f>
        <v>45216</v>
      </c>
      <c r="H25" t="b">
        <f t="shared" ca="1" si="3"/>
        <v>1</v>
      </c>
      <c r="I25" t="b">
        <f t="shared" ca="1" si="0"/>
        <v>1</v>
      </c>
      <c r="J25" s="2">
        <f ca="1"/>
        <v>45230</v>
      </c>
      <c r="K25">
        <f ca="1"/>
        <v>57.716497488341268</v>
      </c>
      <c r="L25">
        <f ca="1"/>
        <v>0</v>
      </c>
      <c r="M25">
        <f ca="1"/>
        <v>-0.19271170251791014</v>
      </c>
      <c r="N25" s="4">
        <f ca="1"/>
        <v>0.81526926052525328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0.85989047756118941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45230</v>
      </c>
      <c r="Y25">
        <f t="shared" ca="1" si="2"/>
        <v>0</v>
      </c>
      <c r="AA25" s="63">
        <f t="shared" ca="1" si="4"/>
        <v>57.716497488341268</v>
      </c>
      <c r="AB25" s="63">
        <f t="shared" ca="1" si="5"/>
        <v>57.716497488341268</v>
      </c>
      <c r="AC25" s="3">
        <f t="shared" ca="1" si="6"/>
        <v>0</v>
      </c>
    </row>
    <row r="26" spans="1:29">
      <c r="A26" s="6" t="s">
        <v>119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45231</v>
      </c>
      <c r="K26">
        <f ca="1"/>
        <v>58.327259479334643</v>
      </c>
      <c r="L26">
        <f ca="1"/>
        <v>0</v>
      </c>
      <c r="M26">
        <f ca="1"/>
        <v>-0.17716090020940012</v>
      </c>
      <c r="N26" s="4">
        <f ca="1"/>
        <v>0.78792289120277892</v>
      </c>
      <c r="O26">
        <f ca="1"/>
        <v>0</v>
      </c>
      <c r="P26">
        <f ca="1"/>
        <v>4.3350007828678008</v>
      </c>
      <c r="Q26">
        <f ca="1"/>
        <v>1.7468341970437682</v>
      </c>
      <c r="R26">
        <f ca="1"/>
        <v>0</v>
      </c>
      <c r="S26">
        <f ca="1"/>
        <v>0.86570404478802876</v>
      </c>
      <c r="T26">
        <f ca="1"/>
        <v>0</v>
      </c>
      <c r="U26">
        <f ca="1"/>
        <v>0</v>
      </c>
      <c r="V26">
        <f ca="1"/>
        <v>2.4708900187025557E-2</v>
      </c>
      <c r="X26" s="2">
        <f t="shared" ca="1" si="1"/>
        <v>45231</v>
      </c>
      <c r="Y26">
        <f t="shared" ca="1" si="2"/>
        <v>0</v>
      </c>
      <c r="AA26" s="63">
        <f t="shared" ca="1" si="4"/>
        <v>58.327259479334643</v>
      </c>
      <c r="AB26" s="63">
        <f t="shared" ca="1" si="5"/>
        <v>58.327259479334643</v>
      </c>
      <c r="AC26" s="3">
        <f t="shared" ca="1" si="6"/>
        <v>0</v>
      </c>
    </row>
    <row r="27" spans="1:29">
      <c r="A27" s="6" t="s">
        <v>163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45232</v>
      </c>
      <c r="K27">
        <f ca="1"/>
        <v>58.699953168654048</v>
      </c>
      <c r="L27">
        <f ca="1"/>
        <v>0.22478162969247695</v>
      </c>
      <c r="M27">
        <f ca="1"/>
        <v>-0.16925230506283473</v>
      </c>
      <c r="N27" s="4">
        <f ca="1"/>
        <v>0.76672762407471895</v>
      </c>
      <c r="O27">
        <f ca="1"/>
        <v>0</v>
      </c>
      <c r="P27">
        <f ca="1"/>
        <v>4.5597824125602777</v>
      </c>
      <c r="Q27">
        <f ca="1"/>
        <v>1.8374123208507698</v>
      </c>
      <c r="R27">
        <f ca="1"/>
        <v>0</v>
      </c>
      <c r="S27">
        <f ca="1"/>
        <v>0.84051492982149645</v>
      </c>
      <c r="T27">
        <f ca="1"/>
        <v>0</v>
      </c>
      <c r="U27">
        <f ca="1"/>
        <v>0</v>
      </c>
      <c r="V27">
        <f ca="1"/>
        <v>2.7980827496568911E-2</v>
      </c>
      <c r="X27" s="2">
        <f t="shared" ca="1" si="1"/>
        <v>45232</v>
      </c>
      <c r="Y27">
        <f t="shared" ca="1" si="2"/>
        <v>0</v>
      </c>
      <c r="AA27" s="63">
        <f t="shared" ca="1" si="4"/>
        <v>58.924734798346527</v>
      </c>
      <c r="AB27" s="63">
        <f t="shared" ca="1" si="5"/>
        <v>58.924734798346527</v>
      </c>
      <c r="AC27" s="3">
        <f t="shared" ca="1" si="6"/>
        <v>0</v>
      </c>
    </row>
    <row r="28" spans="1:29" ht="15" thickBot="1">
      <c r="A28" s="6" t="s">
        <v>166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45233</v>
      </c>
      <c r="K28">
        <f ca="1"/>
        <v>59.08689523168983</v>
      </c>
      <c r="L28">
        <f ca="1"/>
        <v>0.23335930563130169</v>
      </c>
      <c r="M28">
        <f ca="1"/>
        <v>-0.15974807006145131</v>
      </c>
      <c r="N28" s="4">
        <f ca="1"/>
        <v>0.78004943872853871</v>
      </c>
      <c r="O28">
        <f ca="1"/>
        <v>0</v>
      </c>
      <c r="P28">
        <f ca="1"/>
        <v>4.7931417181915794</v>
      </c>
      <c r="Q28">
        <f ca="1"/>
        <v>1.9314469094686459</v>
      </c>
      <c r="R28">
        <f ca="1"/>
        <v>0</v>
      </c>
      <c r="S28">
        <f ca="1"/>
        <v>0.86121091432780872</v>
      </c>
      <c r="T28">
        <f ca="1"/>
        <v>0</v>
      </c>
      <c r="U28">
        <f ca="1"/>
        <v>0</v>
      </c>
      <c r="V28">
        <f ca="1"/>
        <v>3.1623892192874641E-2</v>
      </c>
      <c r="X28" s="2">
        <f t="shared" ca="1" si="1"/>
        <v>45233</v>
      </c>
      <c r="Y28">
        <f t="shared" ca="1" si="2"/>
        <v>0</v>
      </c>
      <c r="AA28" s="63">
        <f t="shared" ca="1" si="4"/>
        <v>59.320254537321134</v>
      </c>
      <c r="AB28" s="63">
        <f t="shared" ca="1" si="5"/>
        <v>59.320254537321134</v>
      </c>
      <c r="AC28" s="3">
        <f t="shared" ca="1" si="6"/>
        <v>0</v>
      </c>
    </row>
    <row r="29" spans="1:29" ht="15" thickBot="1">
      <c r="A29" s="8" t="s">
        <v>141</v>
      </c>
      <c r="B29" s="11" t="str">
        <f>CurrentCropNameFull</f>
        <v>Lettuce Vegetable Ice berg</v>
      </c>
      <c r="H29" t="b">
        <f t="shared" ca="1" si="3"/>
        <v>1</v>
      </c>
      <c r="I29" t="b">
        <f t="shared" ca="1" si="0"/>
        <v>1</v>
      </c>
      <c r="J29" s="2">
        <f ca="1"/>
        <v>45234</v>
      </c>
      <c r="K29">
        <f ca="1"/>
        <v>59.515925833585101</v>
      </c>
      <c r="L29">
        <f ca="1"/>
        <v>0.25101147261887391</v>
      </c>
      <c r="M29">
        <f ca="1"/>
        <v>-0.1540638397833467</v>
      </c>
      <c r="N29" s="4">
        <f ca="1"/>
        <v>0.83410591429748948</v>
      </c>
      <c r="O29">
        <f ca="1"/>
        <v>0</v>
      </c>
      <c r="P29">
        <f ca="1"/>
        <v>5.0441531908104533</v>
      </c>
      <c r="Q29">
        <f ca="1"/>
        <v>2.0325946245864488</v>
      </c>
      <c r="R29">
        <f ca="1"/>
        <v>0</v>
      </c>
      <c r="S29">
        <f ca="1"/>
        <v>0.89966000140037372</v>
      </c>
      <c r="T29">
        <f ca="1"/>
        <v>0</v>
      </c>
      <c r="U29">
        <f ca="1"/>
        <v>0</v>
      </c>
      <c r="V29">
        <f ca="1"/>
        <v>3.5824511682542103E-2</v>
      </c>
      <c r="X29" s="2">
        <f t="shared" ca="1" si="1"/>
        <v>45234</v>
      </c>
      <c r="Y29">
        <f t="shared" ca="1" si="2"/>
        <v>0</v>
      </c>
      <c r="AA29" s="63">
        <f t="shared" ca="1" si="4"/>
        <v>59.766937306203971</v>
      </c>
      <c r="AB29" s="63">
        <f t="shared" ca="1" si="5"/>
        <v>59.766937306203971</v>
      </c>
      <c r="AC29" s="3">
        <f t="shared" ca="1" si="6"/>
        <v>0</v>
      </c>
    </row>
    <row r="30" spans="1:29">
      <c r="A30" s="9" t="s">
        <v>238</v>
      </c>
      <c r="B30" s="11">
        <f>CurrentYield</f>
        <v>0.9</v>
      </c>
      <c r="H30" t="b">
        <f t="shared" ca="1" si="3"/>
        <v>1</v>
      </c>
      <c r="I30" t="b">
        <f t="shared" ca="1" si="0"/>
        <v>1</v>
      </c>
      <c r="J30" s="2">
        <f ca="1"/>
        <v>45235</v>
      </c>
      <c r="K30">
        <f ca="1"/>
        <v>59.745050941284006</v>
      </c>
      <c r="L30">
        <f ca="1"/>
        <v>0.27427501087741035</v>
      </c>
      <c r="M30">
        <f ca="1"/>
        <v>-0.14980869966471211</v>
      </c>
      <c r="N30" s="4">
        <f ca="1"/>
        <v>0.92753013597131895</v>
      </c>
      <c r="O30">
        <f ca="1"/>
        <v>0</v>
      </c>
      <c r="P30">
        <f ca="1"/>
        <v>5.3184282016878637</v>
      </c>
      <c r="Q30">
        <f ca="1"/>
        <v>2.1431166273248792</v>
      </c>
      <c r="R30">
        <f ca="1"/>
        <v>0.274321317730294</v>
      </c>
      <c r="S30">
        <f ca="1"/>
        <v>1</v>
      </c>
      <c r="T30">
        <f ca="1"/>
        <v>0.79747662358425941</v>
      </c>
      <c r="U30">
        <f ca="1"/>
        <v>0</v>
      </c>
      <c r="V30">
        <f ca="1"/>
        <v>4.0749886352777882E-2</v>
      </c>
      <c r="X30" s="2">
        <f t="shared" ca="1" si="1"/>
        <v>45235</v>
      </c>
      <c r="Y30">
        <f t="shared" ca="1" si="2"/>
        <v>0</v>
      </c>
      <c r="AA30" s="63">
        <f t="shared" ca="1" si="4"/>
        <v>60.293647269891707</v>
      </c>
      <c r="AB30" s="63">
        <f t="shared" ca="1" si="5"/>
        <v>60.293647269891707</v>
      </c>
      <c r="AC30" s="3">
        <f t="shared" ca="1" si="6"/>
        <v>0</v>
      </c>
    </row>
    <row r="31" spans="1:29">
      <c r="A31" s="9" t="s">
        <v>232</v>
      </c>
      <c r="B31" s="13">
        <f>CurrentPopulation</f>
        <v>60000</v>
      </c>
      <c r="H31" t="b">
        <f t="shared" ca="1" si="3"/>
        <v>1</v>
      </c>
      <c r="I31" t="b">
        <f t="shared" ca="1" si="0"/>
        <v>1</v>
      </c>
      <c r="J31" s="2">
        <f ca="1"/>
        <v>45236</v>
      </c>
      <c r="K31">
        <f ca="1"/>
        <v>59.034241522799931</v>
      </c>
      <c r="L31">
        <f ca="1"/>
        <v>0.2768649103087526</v>
      </c>
      <c r="M31">
        <f ca="1"/>
        <v>-0.13832501285574406</v>
      </c>
      <c r="N31" s="4">
        <f ca="1"/>
        <v>0.89740885836392048</v>
      </c>
      <c r="O31">
        <f ca="1"/>
        <v>0</v>
      </c>
      <c r="P31">
        <f ca="1"/>
        <v>5.5952931119966163</v>
      </c>
      <c r="Q31">
        <f ca="1"/>
        <v>2.2546822573012677</v>
      </c>
      <c r="R31">
        <f ca="1"/>
        <v>1.1930283536834951</v>
      </c>
      <c r="S31">
        <f ca="1"/>
        <v>1</v>
      </c>
      <c r="T31">
        <f ca="1"/>
        <v>3.5100000000000051</v>
      </c>
      <c r="U31">
        <f ca="1"/>
        <v>0</v>
      </c>
      <c r="V31">
        <f ca="1"/>
        <v>4.6077210604115078E-2</v>
      </c>
      <c r="X31" s="2">
        <f t="shared" ca="1" si="1"/>
        <v>45236</v>
      </c>
      <c r="Y31">
        <f t="shared" ca="1" si="2"/>
        <v>0</v>
      </c>
      <c r="AA31" s="63">
        <f t="shared" ca="1" si="4"/>
        <v>60.504134786792179</v>
      </c>
      <c r="AB31" s="63">
        <f t="shared" ca="1" si="5"/>
        <v>60.504134786792179</v>
      </c>
      <c r="AC31" s="3">
        <f t="shared" ca="1" si="6"/>
        <v>0</v>
      </c>
    </row>
    <row r="32" spans="1:29">
      <c r="A32" s="9" t="s">
        <v>233</v>
      </c>
      <c r="B32" s="13" t="str">
        <f>CurrentUnits</f>
        <v>kg/head</v>
      </c>
      <c r="H32" t="b">
        <f t="shared" ca="1" si="3"/>
        <v>1</v>
      </c>
      <c r="I32" t="b">
        <f t="shared" ca="1" si="0"/>
        <v>1</v>
      </c>
      <c r="J32" s="2">
        <f ca="1"/>
        <v>45237</v>
      </c>
      <c r="K32">
        <f ca="1"/>
        <v>58.250611092203798</v>
      </c>
      <c r="L32">
        <f ca="1"/>
        <v>0.30115475354118715</v>
      </c>
      <c r="M32">
        <f ca="1"/>
        <v>-0.13402031958503713</v>
      </c>
      <c r="N32" s="4">
        <f ca="1"/>
        <v>0.92130205413813671</v>
      </c>
      <c r="O32">
        <f ca="1"/>
        <v>0</v>
      </c>
      <c r="P32">
        <f ca="1"/>
        <v>5.8964478655378034</v>
      </c>
      <c r="Q32">
        <f ca="1"/>
        <v>2.3760357352907264</v>
      </c>
      <c r="R32">
        <f ca="1"/>
        <v>1.2697574116080526</v>
      </c>
      <c r="S32">
        <f ca="1"/>
        <v>1</v>
      </c>
      <c r="T32">
        <f ca="1"/>
        <v>3.7859999999999872</v>
      </c>
      <c r="U32">
        <f ca="1"/>
        <v>0</v>
      </c>
      <c r="V32">
        <f ca="1"/>
        <v>5.2275925969990804E-2</v>
      </c>
      <c r="X32" s="2">
        <f t="shared" ca="1" si="1"/>
        <v>45237</v>
      </c>
      <c r="Y32">
        <f t="shared" ca="1" si="2"/>
        <v>0</v>
      </c>
      <c r="AA32" s="63">
        <f t="shared" ca="1" si="4"/>
        <v>59.821523257353036</v>
      </c>
      <c r="AB32" s="63">
        <f t="shared" ca="1" si="5"/>
        <v>59.821523257353036</v>
      </c>
      <c r="AC32" s="3">
        <f t="shared" ca="1" si="6"/>
        <v>0</v>
      </c>
    </row>
    <row r="33" spans="1:29">
      <c r="A33" s="9" t="s">
        <v>120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45238</v>
      </c>
      <c r="K33">
        <f ca="1"/>
        <v>57.954226763448446</v>
      </c>
      <c r="L33">
        <f ca="1"/>
        <v>0.32602951081539633</v>
      </c>
      <c r="M33">
        <f ca="1"/>
        <v>-0.12918786846145114</v>
      </c>
      <c r="N33" s="4">
        <f ca="1"/>
        <v>0.94163659711360104</v>
      </c>
      <c r="O33">
        <f ca="1"/>
        <v>0</v>
      </c>
      <c r="P33">
        <f ca="1"/>
        <v>6.2224773763531998</v>
      </c>
      <c r="Q33">
        <f ca="1"/>
        <v>2.5074127585633779</v>
      </c>
      <c r="R33">
        <f ca="1"/>
        <v>0.78280354659210283</v>
      </c>
      <c r="S33">
        <f ca="1"/>
        <v>1</v>
      </c>
      <c r="T33">
        <f ca="1"/>
        <v>2.3459999999999894</v>
      </c>
      <c r="U33">
        <f ca="1"/>
        <v>0</v>
      </c>
      <c r="V33">
        <f ca="1"/>
        <v>5.9457230884261018E-2</v>
      </c>
      <c r="X33" s="2">
        <f t="shared" ca="1" si="1"/>
        <v>45238</v>
      </c>
      <c r="Y33">
        <f t="shared" ca="1" si="2"/>
        <v>0</v>
      </c>
      <c r="AA33" s="63">
        <f t="shared" ca="1" si="4"/>
        <v>59.063059820855948</v>
      </c>
      <c r="AB33" s="63">
        <f t="shared" ca="1" si="5"/>
        <v>59.063059820855948</v>
      </c>
      <c r="AC33" s="3">
        <f t="shared" ca="1" si="6"/>
        <v>0</v>
      </c>
    </row>
    <row r="34" spans="1:29">
      <c r="A34" s="9" t="s">
        <v>121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45239</v>
      </c>
      <c r="K34">
        <f ca="1"/>
        <v>57.615733023991382</v>
      </c>
      <c r="L34">
        <f ca="1"/>
        <v>0.33069203172608574</v>
      </c>
      <c r="M34">
        <f ca="1"/>
        <v>-0.11923874380222088</v>
      </c>
      <c r="N34" s="4">
        <f ca="1"/>
        <v>0.91355279564342406</v>
      </c>
      <c r="O34">
        <f ca="1"/>
        <v>0</v>
      </c>
      <c r="P34">
        <f ca="1"/>
        <v>6.5531694080792855</v>
      </c>
      <c r="Q34">
        <f ca="1"/>
        <v>2.6406685937161591</v>
      </c>
      <c r="R34">
        <f ca="1"/>
        <v>0.80211575957218284</v>
      </c>
      <c r="S34">
        <f ca="1"/>
        <v>1</v>
      </c>
      <c r="T34">
        <f ca="1"/>
        <v>2.4179999999999922</v>
      </c>
      <c r="U34">
        <f ca="1"/>
        <v>0</v>
      </c>
      <c r="V34">
        <f ca="1"/>
        <v>6.7234024817951418E-2</v>
      </c>
      <c r="X34" s="2">
        <f t="shared" ca="1" si="1"/>
        <v>45239</v>
      </c>
      <c r="Y34">
        <f t="shared" ca="1" si="2"/>
        <v>0</v>
      </c>
      <c r="AA34" s="63">
        <f t="shared" ca="1" si="4"/>
        <v>58.748540815289651</v>
      </c>
      <c r="AB34" s="63">
        <f t="shared" ca="1" si="5"/>
        <v>58.748540815289651</v>
      </c>
      <c r="AC34" s="3">
        <f t="shared" ca="1" si="6"/>
        <v>0</v>
      </c>
    </row>
    <row r="35" spans="1:29">
      <c r="A35" s="9" t="s">
        <v>122</v>
      </c>
      <c r="B35" s="10">
        <f>CurrentMoistureContent</f>
        <v>96</v>
      </c>
      <c r="H35" t="b">
        <f t="shared" ca="1" si="3"/>
        <v>1</v>
      </c>
      <c r="I35" t="b">
        <f t="shared" ca="1" si="0"/>
        <v>1</v>
      </c>
      <c r="J35" s="2">
        <f ca="1"/>
        <v>45240</v>
      </c>
      <c r="K35">
        <f ca="1"/>
        <v>57.734062748861241</v>
      </c>
      <c r="L35">
        <f ca="1"/>
        <v>0.36127987517584081</v>
      </c>
      <c r="M35">
        <f ca="1"/>
        <v>-0.1155353447882117</v>
      </c>
      <c r="N35" s="4">
        <f ca="1"/>
        <v>0.94084951450588261</v>
      </c>
      <c r="O35">
        <f ca="1"/>
        <v>0</v>
      </c>
      <c r="P35">
        <f ca="1"/>
        <v>6.9144492832551263</v>
      </c>
      <c r="Q35">
        <f ca="1"/>
        <v>2.786250122364319</v>
      </c>
      <c r="R35">
        <f ca="1"/>
        <v>0.34570456967197122</v>
      </c>
      <c r="S35">
        <f ca="1"/>
        <v>1</v>
      </c>
      <c r="T35">
        <f ca="1"/>
        <v>1.0400000000000063</v>
      </c>
      <c r="U35">
        <f ca="1"/>
        <v>0</v>
      </c>
      <c r="V35">
        <f ca="1"/>
        <v>7.6285672236702101E-2</v>
      </c>
      <c r="X35" s="2">
        <f t="shared" ca="1" si="1"/>
        <v>45240</v>
      </c>
      <c r="Y35">
        <f t="shared" ca="1" si="2"/>
        <v>0</v>
      </c>
      <c r="AA35" s="63">
        <f t="shared" ca="1" si="4"/>
        <v>58.441047193709053</v>
      </c>
      <c r="AB35" s="63">
        <f t="shared" ca="1" si="5"/>
        <v>58.441047193709053</v>
      </c>
      <c r="AC35" s="3">
        <f t="shared" ca="1" si="6"/>
        <v>0</v>
      </c>
    </row>
    <row r="36" spans="1:29">
      <c r="A36" s="9" t="s">
        <v>123</v>
      </c>
      <c r="B36" s="36">
        <f ca="1">CurrentEstablishDate</f>
        <v>45231</v>
      </c>
      <c r="H36" t="b">
        <f t="shared" ca="1" si="3"/>
        <v>1</v>
      </c>
      <c r="I36" t="b">
        <f t="shared" ca="1" si="0"/>
        <v>1</v>
      </c>
      <c r="J36" s="2">
        <f ca="1"/>
        <v>45241</v>
      </c>
      <c r="K36">
        <f ca="1"/>
        <v>58.188125626233926</v>
      </c>
      <c r="L36">
        <f ca="1"/>
        <v>0.38482597682684005</v>
      </c>
      <c r="M36">
        <f ca="1"/>
        <v>-0.1098494466473845</v>
      </c>
      <c r="N36" s="4">
        <f ca="1"/>
        <v>0.94873830084691579</v>
      </c>
      <c r="O36">
        <f ca="1"/>
        <v>0</v>
      </c>
      <c r="P36">
        <f ca="1"/>
        <v>7.2992752600819664</v>
      </c>
      <c r="Q36">
        <f ca="1"/>
        <v>2.94131980052645</v>
      </c>
      <c r="R36">
        <f ca="1"/>
        <v>0</v>
      </c>
      <c r="S36">
        <f ca="1"/>
        <v>0.98693939393939401</v>
      </c>
      <c r="T36">
        <f ca="1"/>
        <v>0</v>
      </c>
      <c r="U36">
        <f ca="1"/>
        <v>0</v>
      </c>
      <c r="V36">
        <f ca="1"/>
        <v>8.654710700058299E-2</v>
      </c>
      <c r="X36" s="2">
        <f t="shared" ca="1" si="1"/>
        <v>45241</v>
      </c>
      <c r="Y36">
        <f t="shared" ca="1" si="2"/>
        <v>0</v>
      </c>
      <c r="AA36" s="63">
        <f t="shared" ca="1" si="4"/>
        <v>58.572951603060773</v>
      </c>
      <c r="AB36" s="63">
        <f t="shared" ca="1" si="5"/>
        <v>58.572951603060766</v>
      </c>
      <c r="AC36" s="3">
        <f t="shared" ca="1" si="6"/>
        <v>0</v>
      </c>
    </row>
    <row r="37" spans="1:29">
      <c r="A37" s="9" t="s">
        <v>124</v>
      </c>
      <c r="B37" s="10" t="str">
        <f>CurrentEstablishStage</f>
        <v>Seedling</v>
      </c>
      <c r="H37" t="b">
        <f t="shared" ca="1" si="3"/>
        <v>1</v>
      </c>
      <c r="I37" t="b">
        <f t="shared" ca="1" si="0"/>
        <v>1</v>
      </c>
      <c r="J37" s="2">
        <f ca="1"/>
        <v>45242</v>
      </c>
      <c r="K37">
        <f ca="1"/>
        <v>58.019838100499186</v>
      </c>
      <c r="L37">
        <f ca="1"/>
        <v>0.40452280676085461</v>
      </c>
      <c r="M37">
        <f ca="1"/>
        <v>-0.10341317175154074</v>
      </c>
      <c r="N37" s="4">
        <f ca="1"/>
        <v>0.9463674736287917</v>
      </c>
      <c r="O37">
        <f ca="1"/>
        <v>0</v>
      </c>
      <c r="P37">
        <f ca="1"/>
        <v>7.703798066842821</v>
      </c>
      <c r="Q37">
        <f ca="1"/>
        <v>3.1043265236455442</v>
      </c>
      <c r="R37">
        <f ca="1"/>
        <v>0.60671902085113516</v>
      </c>
      <c r="S37">
        <f ca="1"/>
        <v>1</v>
      </c>
      <c r="T37">
        <f ca="1"/>
        <v>1.8162324749217476</v>
      </c>
      <c r="U37">
        <f ca="1"/>
        <v>0</v>
      </c>
      <c r="V37">
        <f ca="1"/>
        <v>9.7996902607000752E-2</v>
      </c>
      <c r="X37" s="2">
        <f t="shared" ca="1" si="1"/>
        <v>45242</v>
      </c>
      <c r="Y37">
        <f t="shared" ca="1" si="2"/>
        <v>0</v>
      </c>
      <c r="AA37" s="63">
        <f t="shared" ca="1" si="4"/>
        <v>59.031079928111176</v>
      </c>
      <c r="AB37" s="63">
        <f t="shared" ca="1" si="5"/>
        <v>59.031079928111176</v>
      </c>
      <c r="AC37" s="3">
        <f t="shared" ca="1" si="6"/>
        <v>0</v>
      </c>
    </row>
    <row r="38" spans="1:29">
      <c r="A38" s="9" t="s">
        <v>125</v>
      </c>
      <c r="B38" s="36">
        <f>CurrentHarvestDate</f>
        <v>45301</v>
      </c>
      <c r="H38" t="b">
        <f t="shared" ca="1" si="3"/>
        <v>1</v>
      </c>
      <c r="I38" t="b">
        <f t="shared" ca="1" si="0"/>
        <v>1</v>
      </c>
      <c r="J38" s="2">
        <f ca="1"/>
        <v>45243</v>
      </c>
      <c r="K38">
        <f ca="1"/>
        <v>57.981315506711923</v>
      </c>
      <c r="L38">
        <f ca="1"/>
        <v>0.41616732207308171</v>
      </c>
      <c r="M38">
        <f ca="1"/>
        <v>-9.598677681054113E-2</v>
      </c>
      <c r="N38" s="4">
        <f ca="1"/>
        <v>0.92831043924263279</v>
      </c>
      <c r="O38">
        <f ca="1"/>
        <v>0</v>
      </c>
      <c r="P38">
        <f ca="1"/>
        <v>8.1199653889159027</v>
      </c>
      <c r="Q38">
        <f ca="1"/>
        <v>3.2720255267835463</v>
      </c>
      <c r="R38">
        <f ca="1"/>
        <v>0.45467893414627297</v>
      </c>
      <c r="S38">
        <f ca="1"/>
        <v>1</v>
      </c>
      <c r="T38">
        <f ca="1"/>
        <v>1.362000000000009</v>
      </c>
      <c r="U38">
        <f ca="1"/>
        <v>0</v>
      </c>
      <c r="V38">
        <f ca="1"/>
        <v>0.11045121172244535</v>
      </c>
      <c r="X38" s="2">
        <f t="shared" ca="1" si="1"/>
        <v>45243</v>
      </c>
      <c r="Y38">
        <f t="shared" ca="1" si="2"/>
        <v>0</v>
      </c>
      <c r="AA38" s="63">
        <f t="shared" ca="1" si="4"/>
        <v>58.852161762931274</v>
      </c>
      <c r="AB38" s="63">
        <f t="shared" ca="1" si="5"/>
        <v>58.852161762931274</v>
      </c>
      <c r="AC38" s="3">
        <f t="shared" ca="1" si="6"/>
        <v>0</v>
      </c>
    </row>
    <row r="39" spans="1:29">
      <c r="A39" s="9" t="s">
        <v>126</v>
      </c>
      <c r="B39" s="10" t="str">
        <f>CurrentHarvestStage</f>
        <v>Vegetative</v>
      </c>
      <c r="H39" t="b">
        <f t="shared" ca="1" si="3"/>
        <v>1</v>
      </c>
      <c r="I39" t="b">
        <f t="shared" ca="1" si="0"/>
        <v>1</v>
      </c>
      <c r="J39" s="2">
        <f ca="1"/>
        <v>45244</v>
      </c>
      <c r="K39">
        <f ca="1"/>
        <v>57.829386754253868</v>
      </c>
      <c r="L39">
        <f ca="1"/>
        <v>0.43577515055260463</v>
      </c>
      <c r="M39">
        <f ca="1"/>
        <v>-9.0188464333984086E-2</v>
      </c>
      <c r="N39" s="4">
        <f ca="1"/>
        <v>0.92441290781970253</v>
      </c>
      <c r="O39">
        <f ca="1"/>
        <v>0</v>
      </c>
      <c r="P39">
        <f ca="1"/>
        <v>8.5557405394685073</v>
      </c>
      <c r="Q39">
        <f ca="1"/>
        <v>3.4476257108055659</v>
      </c>
      <c r="R39">
        <f ca="1"/>
        <v>0.55037804539116897</v>
      </c>
      <c r="S39">
        <f ca="1"/>
        <v>1</v>
      </c>
      <c r="T39">
        <f ca="1"/>
        <v>1.6530000000000058</v>
      </c>
      <c r="U39">
        <f ca="1"/>
        <v>0</v>
      </c>
      <c r="V39">
        <f ca="1"/>
        <v>0.12418160600814997</v>
      </c>
      <c r="X39" s="2">
        <f t="shared" ca="1" si="1"/>
        <v>45244</v>
      </c>
      <c r="Y39">
        <f t="shared" ca="1" si="2"/>
        <v>0</v>
      </c>
      <c r="AA39" s="63">
        <f t="shared" ca="1" si="4"/>
        <v>58.815539950197639</v>
      </c>
      <c r="AB39" s="63">
        <f t="shared" ca="1" si="5"/>
        <v>58.815539950197646</v>
      </c>
      <c r="AC39" s="3">
        <f t="shared" ca="1" si="6"/>
        <v>0</v>
      </c>
    </row>
    <row r="40" spans="1:29">
      <c r="A40" s="9" t="s">
        <v>164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45245</v>
      </c>
      <c r="K40">
        <f ca="1"/>
        <v>58.21838553743158</v>
      </c>
      <c r="L40">
        <f ca="1"/>
        <v>0.47591498565548029</v>
      </c>
      <c r="M40">
        <f ca="1"/>
        <v>-8.6991225205707678E-2</v>
      </c>
      <c r="N40" s="4">
        <f ca="1"/>
        <v>0.95190499403889639</v>
      </c>
      <c r="O40">
        <f ca="1"/>
        <v>0</v>
      </c>
      <c r="P40">
        <f ca="1"/>
        <v>9.0316555251239876</v>
      </c>
      <c r="Q40">
        <f ca="1"/>
        <v>3.6394006639068697</v>
      </c>
      <c r="R40">
        <f ca="1"/>
        <v>0</v>
      </c>
      <c r="S40">
        <f ca="1"/>
        <v>0.99543939393939418</v>
      </c>
      <c r="T40">
        <f ca="1"/>
        <v>0</v>
      </c>
      <c r="U40">
        <f ca="1"/>
        <v>0</v>
      </c>
      <c r="V40">
        <f ca="1"/>
        <v>0.13992147707698785</v>
      </c>
      <c r="X40" s="2">
        <f t="shared" ca="1" si="1"/>
        <v>45245</v>
      </c>
      <c r="Y40">
        <f t="shared" ca="1" si="2"/>
        <v>0</v>
      </c>
      <c r="AA40" s="63">
        <f t="shared" ca="1" si="4"/>
        <v>58.694300523087058</v>
      </c>
      <c r="AB40" s="63">
        <f t="shared" ca="1" si="5"/>
        <v>58.694300523087058</v>
      </c>
      <c r="AC40" s="3">
        <f t="shared" ca="1" si="6"/>
        <v>0</v>
      </c>
    </row>
    <row r="41" spans="1:29" ht="15" thickBot="1">
      <c r="A41" s="9" t="s">
        <v>167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45246</v>
      </c>
      <c r="K41">
        <f ca="1"/>
        <v>57.519034089683046</v>
      </c>
      <c r="L41">
        <f ca="1"/>
        <v>0.51895195036539121</v>
      </c>
      <c r="M41">
        <f ca="1"/>
        <v>-8.3587050554178255E-2</v>
      </c>
      <c r="N41">
        <f ca="1"/>
        <v>0.9782742063795633</v>
      </c>
      <c r="O41">
        <f ca="1"/>
        <v>0</v>
      </c>
      <c r="P41">
        <f ca="1"/>
        <v>9.5506074754893788</v>
      </c>
      <c r="Q41">
        <f ca="1"/>
        <v>3.8485178149587136</v>
      </c>
      <c r="R41">
        <f ca="1"/>
        <v>1.0750866532085268</v>
      </c>
      <c r="S41">
        <f ca="1"/>
        <v>1</v>
      </c>
      <c r="T41">
        <f ca="1"/>
        <v>3.246326708455527</v>
      </c>
      <c r="U41">
        <f ca="1"/>
        <v>0</v>
      </c>
      <c r="V41">
        <f ca="1"/>
        <v>0.1578860493226944</v>
      </c>
      <c r="X41" s="2">
        <f t="shared" ca="1" si="1"/>
        <v>45246</v>
      </c>
      <c r="Y41">
        <f t="shared" ca="1" si="2"/>
        <v>0</v>
      </c>
      <c r="AA41" s="63">
        <f t="shared" ca="1" si="4"/>
        <v>59.113072693256967</v>
      </c>
      <c r="AB41" s="63">
        <f t="shared" ca="1" si="5"/>
        <v>59.113072693256967</v>
      </c>
      <c r="AC41" s="3">
        <f t="shared" ca="1" si="6"/>
        <v>0</v>
      </c>
    </row>
    <row r="42" spans="1:29">
      <c r="A42" s="5" t="s">
        <v>142</v>
      </c>
      <c r="B42" s="31" t="str">
        <f>FollowingCropFullName</f>
        <v>Oat Fodder General</v>
      </c>
      <c r="H42" t="b">
        <f t="shared" ca="1" si="3"/>
        <v>1</v>
      </c>
      <c r="I42" t="b">
        <f t="shared" ca="1" si="0"/>
        <v>1</v>
      </c>
      <c r="J42" s="2">
        <f ca="1"/>
        <v>45247</v>
      </c>
      <c r="K42">
        <f ca="1"/>
        <v>57.863621590330069</v>
      </c>
      <c r="L42">
        <f ca="1"/>
        <v>0.5269762460093883</v>
      </c>
      <c r="M42">
        <f ca="1"/>
        <v>-7.6383879194668047E-2</v>
      </c>
      <c r="N42">
        <f ca="1"/>
        <v>0.94794762585107972</v>
      </c>
      <c r="O42">
        <f ca="1"/>
        <v>0</v>
      </c>
      <c r="P42">
        <f ca="1"/>
        <v>10.077583721498767</v>
      </c>
      <c r="Q42">
        <f ca="1"/>
        <v>4.0608684404065754</v>
      </c>
      <c r="R42">
        <f ca="1"/>
        <v>0</v>
      </c>
      <c r="S42">
        <f ca="1"/>
        <v>0.99772727272727268</v>
      </c>
      <c r="T42">
        <f ca="1"/>
        <v>0</v>
      </c>
      <c r="U42">
        <f ca="1"/>
        <v>0</v>
      </c>
      <c r="V42">
        <f ca="1"/>
        <v>0.17688120040969907</v>
      </c>
      <c r="X42" s="2">
        <f t="shared" ca="1" si="1"/>
        <v>45247</v>
      </c>
      <c r="Y42">
        <f t="shared" ca="1" si="2"/>
        <v>0</v>
      </c>
      <c r="AA42" s="63">
        <f t="shared" ca="1" si="4"/>
        <v>58.39059783633946</v>
      </c>
      <c r="AB42" s="63">
        <f t="shared" ca="1" si="5"/>
        <v>58.39059783633946</v>
      </c>
      <c r="AC42" s="3">
        <f t="shared" ca="1" si="6"/>
        <v>0</v>
      </c>
    </row>
    <row r="43" spans="1:29">
      <c r="A43" s="6" t="s">
        <v>239</v>
      </c>
      <c r="B43" s="32">
        <f>FollowingYIeld</f>
        <v>10</v>
      </c>
      <c r="H43" t="b">
        <f t="shared" ca="1" si="3"/>
        <v>1</v>
      </c>
      <c r="I43" t="b">
        <f t="shared" ca="1" si="0"/>
        <v>1</v>
      </c>
      <c r="J43" s="2">
        <f ca="1"/>
        <v>45248</v>
      </c>
      <c r="K43">
        <f ca="1"/>
        <v>58.178969987261745</v>
      </c>
      <c r="L43">
        <f ca="1"/>
        <v>0.53373834315467761</v>
      </c>
      <c r="M43">
        <f ca="1"/>
        <v>-6.9886355886533913E-2</v>
      </c>
      <c r="N43">
        <f ca="1"/>
        <v>0.91897309597287913</v>
      </c>
      <c r="O43">
        <f ca="1"/>
        <v>0</v>
      </c>
      <c r="P43">
        <f ca="1"/>
        <v>10.611322064653445</v>
      </c>
      <c r="Q43">
        <f ca="1"/>
        <v>4.2759439240791011</v>
      </c>
      <c r="R43">
        <f ca="1"/>
        <v>0</v>
      </c>
      <c r="S43">
        <f ca="1"/>
        <v>0.99685001823931607</v>
      </c>
      <c r="T43">
        <f ca="1"/>
        <v>0</v>
      </c>
      <c r="U43">
        <f ca="1"/>
        <v>0</v>
      </c>
      <c r="V43">
        <f ca="1"/>
        <v>0.19677900520832337</v>
      </c>
      <c r="X43" s="2">
        <f t="shared" ca="1" si="1"/>
        <v>45248</v>
      </c>
      <c r="Y43">
        <f t="shared" ca="1" si="2"/>
        <v>0</v>
      </c>
      <c r="AA43" s="63">
        <f t="shared" ca="1" si="4"/>
        <v>58.712708330416419</v>
      </c>
      <c r="AB43" s="63">
        <f t="shared" ca="1" si="5"/>
        <v>58.712708330416419</v>
      </c>
      <c r="AC43" s="3">
        <f t="shared" ca="1" si="6"/>
        <v>0</v>
      </c>
    </row>
    <row r="44" spans="1:29">
      <c r="A44" s="6" t="s">
        <v>234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45249</v>
      </c>
      <c r="K44">
        <f ca="1"/>
        <v>58.470855736456087</v>
      </c>
      <c r="L44">
        <f ca="1"/>
        <v>0.55931368796310466</v>
      </c>
      <c r="M44">
        <f ca="1"/>
        <v>-6.5448284400359213E-2</v>
      </c>
      <c r="N44">
        <f ca="1"/>
        <v>0.91664772155781005</v>
      </c>
      <c r="O44">
        <f ca="1"/>
        <v>0</v>
      </c>
      <c r="P44">
        <f ca="1"/>
        <v>11.170635752616549</v>
      </c>
      <c r="Q44">
        <f ca="1"/>
        <v>4.5013252621563398</v>
      </c>
      <c r="R44">
        <f ca="1"/>
        <v>0</v>
      </c>
      <c r="S44">
        <f ca="1"/>
        <v>0.98051106115481856</v>
      </c>
      <c r="T44">
        <f ca="1"/>
        <v>0</v>
      </c>
      <c r="U44">
        <f ca="1"/>
        <v>0</v>
      </c>
      <c r="V44">
        <f ca="1"/>
        <v>0.21821230244629108</v>
      </c>
      <c r="X44" s="2">
        <f t="shared" ca="1" si="1"/>
        <v>45249</v>
      </c>
      <c r="Y44">
        <f t="shared" ca="1" si="2"/>
        <v>0</v>
      </c>
      <c r="AA44" s="63">
        <f t="shared" ca="1" si="4"/>
        <v>59.030169424419192</v>
      </c>
      <c r="AB44" s="63">
        <f t="shared" ca="1" si="5"/>
        <v>59.030169424419192</v>
      </c>
      <c r="AC44" s="3">
        <f t="shared" ca="1" si="6"/>
        <v>0</v>
      </c>
    </row>
    <row r="45" spans="1:29">
      <c r="A45" s="6" t="s">
        <v>235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45250</v>
      </c>
      <c r="K45">
        <f ca="1"/>
        <v>58.742517684794706</v>
      </c>
      <c r="L45">
        <f ca="1"/>
        <v>0.61476775779891746</v>
      </c>
      <c r="M45">
        <f ca="1"/>
        <v>-6.3099668998543912E-2</v>
      </c>
      <c r="N45">
        <f ca="1"/>
        <v>0.94952937513608349</v>
      </c>
      <c r="O45">
        <f ca="1"/>
        <v>0</v>
      </c>
      <c r="P45">
        <f ca="1"/>
        <v>11.785403510415467</v>
      </c>
      <c r="Q45">
        <f ca="1"/>
        <v>4.7490524014009692</v>
      </c>
      <c r="R45">
        <f ca="1"/>
        <v>0</v>
      </c>
      <c r="S45">
        <f ca="1"/>
        <v>0.98671595987013505</v>
      </c>
      <c r="T45">
        <f ca="1"/>
        <v>0</v>
      </c>
      <c r="U45">
        <f ca="1"/>
        <v>0</v>
      </c>
      <c r="V45">
        <f ca="1"/>
        <v>0.24229639852937807</v>
      </c>
      <c r="X45" s="2">
        <f t="shared" ca="1" si="1"/>
        <v>45250</v>
      </c>
      <c r="Y45">
        <f t="shared" ca="1" si="2"/>
        <v>0</v>
      </c>
      <c r="AA45" s="63">
        <f t="shared" ca="1" si="4"/>
        <v>59.357285442593621</v>
      </c>
      <c r="AB45" s="63">
        <f t="shared" ca="1" si="5"/>
        <v>59.357285442593621</v>
      </c>
      <c r="AC45" s="3">
        <f t="shared" ca="1" si="6"/>
        <v>0</v>
      </c>
    </row>
    <row r="46" spans="1:29">
      <c r="A46" s="6" t="s">
        <v>127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45251</v>
      </c>
      <c r="K46">
        <f ca="1"/>
        <v>58.838569810945273</v>
      </c>
      <c r="L46">
        <f ca="1"/>
        <v>0.65217709448212702</v>
      </c>
      <c r="M46">
        <f ca="1"/>
        <v>-5.9227092134475079E-2</v>
      </c>
      <c r="N46">
        <f ca="1"/>
        <v>0.95507807768042485</v>
      </c>
      <c r="O46">
        <f ca="1"/>
        <v>0</v>
      </c>
      <c r="P46">
        <f ca="1"/>
        <v>12.437580604897594</v>
      </c>
      <c r="Q46">
        <f ca="1"/>
        <v>5.0118540266445892</v>
      </c>
      <c r="R46">
        <f ca="1"/>
        <v>0.14762176491325579</v>
      </c>
      <c r="S46">
        <f ca="1"/>
        <v>1</v>
      </c>
      <c r="T46">
        <f ca="1"/>
        <v>0.43576126642511781</v>
      </c>
      <c r="U46">
        <f ca="1"/>
        <v>0</v>
      </c>
      <c r="V46">
        <f ca="1"/>
        <v>0.26825428555453751</v>
      </c>
      <c r="X46" s="2">
        <f t="shared" ca="1" si="1"/>
        <v>45251</v>
      </c>
      <c r="Y46">
        <f t="shared" ca="1" si="2"/>
        <v>0</v>
      </c>
      <c r="AA46" s="63">
        <f t="shared" ca="1" si="4"/>
        <v>59.638368670340654</v>
      </c>
      <c r="AB46" s="63">
        <f t="shared" ca="1" si="5"/>
        <v>59.638368670340654</v>
      </c>
      <c r="AC46" s="3">
        <f t="shared" ca="1" si="6"/>
        <v>0</v>
      </c>
    </row>
    <row r="47" spans="1:29">
      <c r="A47" s="6" t="s">
        <v>128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45252</v>
      </c>
      <c r="K47">
        <f ca="1"/>
        <v>57.961328461480569</v>
      </c>
      <c r="L47">
        <f ca="1"/>
        <v>0.70335058365687253</v>
      </c>
      <c r="M47">
        <f ca="1"/>
        <v>-5.6084436694352924E-2</v>
      </c>
      <c r="N47">
        <f ca="1"/>
        <v>0.97344740946584696</v>
      </c>
      <c r="O47">
        <f ca="1"/>
        <v>0</v>
      </c>
      <c r="P47">
        <f ca="1"/>
        <v>13.140931188554466</v>
      </c>
      <c r="Q47">
        <f ca="1"/>
        <v>5.2952765480194808</v>
      </c>
      <c r="R47">
        <f ca="1"/>
        <v>1.0912537385793282</v>
      </c>
      <c r="S47">
        <f ca="1"/>
        <v>1</v>
      </c>
      <c r="T47">
        <f ca="1"/>
        <v>3.269999999999996</v>
      </c>
      <c r="U47">
        <f ca="1"/>
        <v>0</v>
      </c>
      <c r="V47">
        <f ca="1"/>
        <v>0.29648954817774226</v>
      </c>
      <c r="X47" s="2">
        <f t="shared" ca="1" si="1"/>
        <v>45252</v>
      </c>
      <c r="Y47">
        <f t="shared" ca="1" si="2"/>
        <v>0</v>
      </c>
      <c r="AA47" s="63">
        <f t="shared" ca="1" si="4"/>
        <v>59.755932783716766</v>
      </c>
      <c r="AB47" s="63">
        <f t="shared" ca="1" si="5"/>
        <v>59.755932783716766</v>
      </c>
      <c r="AC47" s="3">
        <f t="shared" ca="1" si="6"/>
        <v>0</v>
      </c>
    </row>
    <row r="48" spans="1:29">
      <c r="A48" s="6" t="s">
        <v>129</v>
      </c>
      <c r="B48" s="32">
        <f>FollowingMoistureLoss</f>
        <v>0</v>
      </c>
      <c r="H48" t="b">
        <f t="shared" ca="1" si="3"/>
        <v>1</v>
      </c>
      <c r="I48" t="b">
        <f t="shared" ca="1" si="0"/>
        <v>1</v>
      </c>
      <c r="J48" s="2">
        <f ca="1"/>
        <v>45253</v>
      </c>
      <c r="K48">
        <f ca="1"/>
        <v>57.733309090307593</v>
      </c>
      <c r="L48">
        <f ca="1"/>
        <v>0.75890019039866097</v>
      </c>
      <c r="M48">
        <f ca="1"/>
        <v>-5.2955591566789195E-2</v>
      </c>
      <c r="N48">
        <f ca="1"/>
        <v>0.99202840100309964</v>
      </c>
      <c r="O48">
        <f ca="1"/>
        <v>0</v>
      </c>
      <c r="P48">
        <f ca="1"/>
        <v>13.899831378953127</v>
      </c>
      <c r="Q48">
        <f ca="1"/>
        <v>5.6010833681636774</v>
      </c>
      <c r="R48">
        <f ca="1"/>
        <v>0.40819199021062136</v>
      </c>
      <c r="S48">
        <f ca="1"/>
        <v>1</v>
      </c>
      <c r="T48">
        <f ca="1"/>
        <v>1.2279999999999944</v>
      </c>
      <c r="U48">
        <f ca="1"/>
        <v>0</v>
      </c>
      <c r="V48">
        <f ca="1"/>
        <v>0.32696723481312573</v>
      </c>
      <c r="X48" s="2">
        <f t="shared" ca="1" si="1"/>
        <v>45253</v>
      </c>
      <c r="Y48">
        <f t="shared" ca="1" si="2"/>
        <v>0</v>
      </c>
      <c r="AA48" s="63">
        <f t="shared" ca="1" si="4"/>
        <v>58.900401270916873</v>
      </c>
      <c r="AB48" s="63">
        <f t="shared" ca="1" si="5"/>
        <v>58.900401270916873</v>
      </c>
      <c r="AC48" s="3">
        <f t="shared" ca="1" si="6"/>
        <v>0</v>
      </c>
    </row>
    <row r="49" spans="1:29">
      <c r="A49" s="6" t="s">
        <v>130</v>
      </c>
      <c r="B49" s="34">
        <f>FollowingEstablishDate</f>
        <v>45316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45254</v>
      </c>
      <c r="K49">
        <f ca="1"/>
        <v>57.72632590661123</v>
      </c>
      <c r="L49">
        <f ca="1"/>
        <v>0.78904128443185684</v>
      </c>
      <c r="M49">
        <f ca="1"/>
        <v>-4.8596940939054534E-2</v>
      </c>
      <c r="N49">
        <f ca="1"/>
        <v>0.97988634055615909</v>
      </c>
      <c r="O49">
        <f ca="1"/>
        <v>0</v>
      </c>
      <c r="P49">
        <f ca="1"/>
        <v>14.688872663384984</v>
      </c>
      <c r="Q49">
        <f ca="1"/>
        <v>5.9190358594232251</v>
      </c>
      <c r="R49">
        <f ca="1"/>
        <v>0.1492312988816055</v>
      </c>
      <c r="S49">
        <f ca="1"/>
        <v>1</v>
      </c>
      <c r="T49">
        <f ca="1"/>
        <v>0.44899999999999807</v>
      </c>
      <c r="U49">
        <f ca="1"/>
        <v>0</v>
      </c>
      <c r="V49">
        <f ca="1"/>
        <v>0.35838685576611323</v>
      </c>
      <c r="X49" s="2">
        <f t="shared" ca="1" si="1"/>
        <v>45254</v>
      </c>
      <c r="Y49">
        <f t="shared" ca="1" si="2"/>
        <v>0</v>
      </c>
      <c r="AA49" s="63">
        <f t="shared" ca="1" si="4"/>
        <v>58.664598489924693</v>
      </c>
      <c r="AB49" s="63">
        <f t="shared" ca="1" si="5"/>
        <v>58.664598489924686</v>
      </c>
      <c r="AC49" s="3">
        <f t="shared" ca="1" si="6"/>
        <v>0</v>
      </c>
    </row>
    <row r="50" spans="1:29">
      <c r="A50" s="6" t="s">
        <v>131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45255</v>
      </c>
      <c r="K50">
        <f ca="1"/>
        <v>57.610646637579762</v>
      </c>
      <c r="L50">
        <f ca="1"/>
        <v>0.88385238195941618</v>
      </c>
      <c r="M50">
        <f ca="1"/>
        <v>-4.688108418177972E-2</v>
      </c>
      <c r="N50">
        <f ca="1"/>
        <v>1.030657677707941</v>
      </c>
      <c r="O50">
        <f ca="1"/>
        <v>0</v>
      </c>
      <c r="P50">
        <f ca="1"/>
        <v>15.5727250453444</v>
      </c>
      <c r="Q50">
        <f ca="1"/>
        <v>6.2751934804430558</v>
      </c>
      <c r="R50">
        <f ca="1"/>
        <v>0.21560348059821707</v>
      </c>
      <c r="S50">
        <f ca="1"/>
        <v>1</v>
      </c>
      <c r="T50">
        <f ca="1"/>
        <v>0.65000000000000568</v>
      </c>
      <c r="U50">
        <f ca="1"/>
        <v>0</v>
      </c>
      <c r="V50">
        <f ca="1"/>
        <v>0.39293752084751288</v>
      </c>
      <c r="X50" s="2">
        <f t="shared" ca="1" si="1"/>
        <v>45255</v>
      </c>
      <c r="Y50">
        <f t="shared" ca="1" si="2"/>
        <v>0</v>
      </c>
      <c r="AA50" s="63">
        <f t="shared" ca="1" si="4"/>
        <v>58.710102500137396</v>
      </c>
      <c r="AB50" s="63">
        <f t="shared" ca="1" si="5"/>
        <v>58.710102500137396</v>
      </c>
      <c r="AC50" s="3">
        <f t="shared" ca="1" si="6"/>
        <v>0</v>
      </c>
    </row>
    <row r="51" spans="1:29">
      <c r="A51" s="6" t="s">
        <v>132</v>
      </c>
      <c r="B51" s="34">
        <f>FollowingHarvestDate</f>
        <v>45436</v>
      </c>
      <c r="H51" t="b">
        <f t="shared" ca="1" si="3"/>
        <v>1</v>
      </c>
      <c r="I51" t="b">
        <f t="shared" ca="1" si="0"/>
        <v>1</v>
      </c>
      <c r="J51" s="2">
        <f ca="1"/>
        <v>45256</v>
      </c>
      <c r="K51">
        <f ca="1"/>
        <v>57.663145060277962</v>
      </c>
      <c r="L51">
        <f ca="1"/>
        <v>0.9390367109068638</v>
      </c>
      <c r="M51">
        <f ca="1"/>
        <v>-4.3284227763002114E-2</v>
      </c>
      <c r="N51">
        <f ca="1"/>
        <v>1.0348193613680681</v>
      </c>
      <c r="O51">
        <f ca="1"/>
        <v>0</v>
      </c>
      <c r="P51">
        <f ca="1"/>
        <v>16.511761756251264</v>
      </c>
      <c r="Q51">
        <f ca="1"/>
        <v>6.6535882076999329</v>
      </c>
      <c r="R51">
        <f ca="1"/>
        <v>0</v>
      </c>
      <c r="S51">
        <f ca="1"/>
        <v>0.99665151515151507</v>
      </c>
      <c r="T51">
        <f ca="1"/>
        <v>0</v>
      </c>
      <c r="U51">
        <f ca="1"/>
        <v>0</v>
      </c>
      <c r="V51">
        <f ca="1"/>
        <v>0.42857236712310354</v>
      </c>
      <c r="X51" s="2">
        <f t="shared" ca="1" si="1"/>
        <v>45256</v>
      </c>
      <c r="Y51">
        <f t="shared" ca="1" si="2"/>
        <v>0</v>
      </c>
      <c r="AA51" s="63">
        <f t="shared" ca="1" si="4"/>
        <v>58.602181771184824</v>
      </c>
      <c r="AB51" s="63">
        <f t="shared" ca="1" si="5"/>
        <v>58.602181771184824</v>
      </c>
      <c r="AC51" s="3">
        <f t="shared" ca="1" si="6"/>
        <v>0</v>
      </c>
    </row>
    <row r="52" spans="1:29">
      <c r="A52" s="6" t="s">
        <v>133</v>
      </c>
      <c r="B52" s="32" t="str">
        <f>FollowingHarvestStage</f>
        <v>EarlyReproductive</v>
      </c>
      <c r="H52" t="b">
        <f t="shared" ca="1" si="3"/>
        <v>1</v>
      </c>
      <c r="I52" t="b">
        <f t="shared" ca="1" si="0"/>
        <v>1</v>
      </c>
      <c r="J52" s="2">
        <f ca="1"/>
        <v>45257</v>
      </c>
      <c r="K52">
        <f ca="1"/>
        <v>57.091854054670812</v>
      </c>
      <c r="L52">
        <f ca="1"/>
        <v>0.95916098869263777</v>
      </c>
      <c r="M52">
        <f ca="1"/>
        <v>-3.876919547250246E-2</v>
      </c>
      <c r="N52">
        <f ca="1"/>
        <v>1.0050793033968433</v>
      </c>
      <c r="O52">
        <f ca="1"/>
        <v>0</v>
      </c>
      <c r="P52">
        <f ca="1"/>
        <v>17.470922744943902</v>
      </c>
      <c r="Q52">
        <f ca="1"/>
        <v>7.0400922245250923</v>
      </c>
      <c r="R52">
        <f ca="1"/>
        <v>0.57844012483885221</v>
      </c>
      <c r="S52">
        <f ca="1"/>
        <v>1</v>
      </c>
      <c r="T52">
        <f ca="1"/>
        <v>1.7597241862766282</v>
      </c>
      <c r="U52">
        <f ca="1"/>
        <v>0</v>
      </c>
      <c r="V52">
        <f ca="1"/>
        <v>0.46354172970832391</v>
      </c>
      <c r="X52" s="2">
        <f t="shared" ca="1" si="1"/>
        <v>45257</v>
      </c>
      <c r="Y52">
        <f t="shared" ca="1" si="2"/>
        <v>0</v>
      </c>
      <c r="AA52" s="63">
        <f t="shared" ca="1" si="4"/>
        <v>58.629455168202298</v>
      </c>
      <c r="AB52" s="63">
        <f t="shared" ca="1" si="5"/>
        <v>58.629455168202298</v>
      </c>
      <c r="AC52" s="3">
        <f t="shared" ca="1" si="6"/>
        <v>0</v>
      </c>
    </row>
    <row r="53" spans="1:29" ht="15" thickBot="1">
      <c r="A53" s="7" t="s">
        <v>165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45258</v>
      </c>
      <c r="K53">
        <f ca="1"/>
        <v>55.762542928891413</v>
      </c>
      <c r="L53">
        <f ca="1"/>
        <v>1.0041056747079544</v>
      </c>
      <c r="M53">
        <f ca="1"/>
        <v>-3.5344472102733171E-2</v>
      </c>
      <c r="N53">
        <f ca="1"/>
        <v>0.99854102427346747</v>
      </c>
      <c r="O53">
        <f ca="1"/>
        <v>0</v>
      </c>
      <c r="P53">
        <f ca="1"/>
        <v>18.475028419651856</v>
      </c>
      <c r="Q53">
        <f ca="1"/>
        <v>7.4447071756820797</v>
      </c>
      <c r="R53">
        <f ca="1"/>
        <v>1.2884020032421741</v>
      </c>
      <c r="S53">
        <f ca="1"/>
        <v>1</v>
      </c>
      <c r="T53">
        <f ca="1"/>
        <v>4.012999999999991</v>
      </c>
      <c r="U53">
        <f ca="1"/>
        <v>0</v>
      </c>
      <c r="V53">
        <f ca="1"/>
        <v>0.49836942547914392</v>
      </c>
      <c r="X53" s="2">
        <f t="shared" ca="1" si="1"/>
        <v>45258</v>
      </c>
      <c r="Y53">
        <f t="shared" ca="1" si="2"/>
        <v>0</v>
      </c>
      <c r="AA53" s="63">
        <f t="shared" ca="1" si="4"/>
        <v>58.05505060684154</v>
      </c>
      <c r="AB53" s="63">
        <f t="shared" ca="1" si="5"/>
        <v>58.05505060684154</v>
      </c>
      <c r="AC53" s="3">
        <f t="shared" ca="1" si="6"/>
        <v>0</v>
      </c>
    </row>
    <row r="54" spans="1:29">
      <c r="A54" s="6" t="s">
        <v>168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45259</v>
      </c>
      <c r="K54">
        <f ca="1"/>
        <v>55.488199766545904</v>
      </c>
      <c r="L54">
        <f ca="1"/>
        <v>1.0701177618842941</v>
      </c>
      <c r="M54">
        <f ca="1"/>
        <v>-3.2536290106226495E-2</v>
      </c>
      <c r="N54">
        <f ca="1"/>
        <v>1.0075377748909546</v>
      </c>
      <c r="O54">
        <f ca="1"/>
        <v>0</v>
      </c>
      <c r="P54">
        <f ca="1"/>
        <v>19.54514618153615</v>
      </c>
      <c r="Q54">
        <f ca="1"/>
        <v>7.8759223922308497</v>
      </c>
      <c r="R54">
        <f ca="1"/>
        <v>0.17922688524594552</v>
      </c>
      <c r="S54">
        <f ca="1"/>
        <v>1</v>
      </c>
      <c r="T54">
        <f ca="1"/>
        <v>0.56100000000000705</v>
      </c>
      <c r="U54">
        <f ca="1"/>
        <v>0</v>
      </c>
      <c r="V54">
        <f ca="1"/>
        <v>0.53330873244187915</v>
      </c>
      <c r="X54" s="2">
        <f t="shared" ca="1" si="1"/>
        <v>45259</v>
      </c>
      <c r="Y54">
        <f t="shared" ca="1" si="2"/>
        <v>0</v>
      </c>
      <c r="AA54" s="63">
        <f t="shared" ca="1" si="4"/>
        <v>56.73754441367614</v>
      </c>
      <c r="AB54" s="63">
        <f t="shared" ca="1" si="5"/>
        <v>56.73754441367614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45260</v>
      </c>
      <c r="K55">
        <f ca="1"/>
        <v>55.103218334726478</v>
      </c>
      <c r="L55">
        <f ca="1"/>
        <v>1.1592811828173346</v>
      </c>
      <c r="M55">
        <f ca="1"/>
        <v>-3.0150866473503513E-2</v>
      </c>
      <c r="N55">
        <f ca="1"/>
        <v>1.030657677707941</v>
      </c>
      <c r="O55">
        <f ca="1"/>
        <v>0</v>
      </c>
      <c r="P55">
        <f ca="1"/>
        <v>20.704427364353485</v>
      </c>
      <c r="Q55">
        <f ca="1"/>
        <v>8.3430669478069142</v>
      </c>
      <c r="R55">
        <f ca="1"/>
        <v>0.22620706023652973</v>
      </c>
      <c r="S55">
        <f ca="1"/>
        <v>1</v>
      </c>
      <c r="T55">
        <f ca="1"/>
        <v>0.71300000000000807</v>
      </c>
      <c r="U55">
        <f ca="1"/>
        <v>0</v>
      </c>
      <c r="V55">
        <f ca="1"/>
        <v>0.56851771692445874</v>
      </c>
      <c r="X55" s="2">
        <f t="shared" ca="1" si="1"/>
        <v>45260</v>
      </c>
      <c r="Y55">
        <f t="shared" ca="1" si="2"/>
        <v>0</v>
      </c>
      <c r="AA55" s="63">
        <f t="shared" ca="1" si="4"/>
        <v>56.488706577780341</v>
      </c>
      <c r="AB55" s="63">
        <f t="shared" ca="1" si="5"/>
        <v>56.488706577780349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45261</v>
      </c>
      <c r="K56">
        <f ca="1"/>
        <v>54.874241367962014</v>
      </c>
      <c r="L56">
        <f ca="1"/>
        <v>1.2528389290461099</v>
      </c>
      <c r="M56">
        <f ca="1"/>
        <v>-2.770461797907231E-2</v>
      </c>
      <c r="N56">
        <f ca="1"/>
        <v>1.051566580260713</v>
      </c>
      <c r="O56">
        <f ca="1"/>
        <v>0</v>
      </c>
      <c r="P56">
        <f ca="1"/>
        <v>21.957266293399595</v>
      </c>
      <c r="Q56">
        <f ca="1"/>
        <v>8.8479115820442438</v>
      </c>
      <c r="R56">
        <f ca="1"/>
        <v>0</v>
      </c>
      <c r="S56">
        <f ca="1"/>
        <v>0.98422727272727273</v>
      </c>
      <c r="T56">
        <f ca="1"/>
        <v>0</v>
      </c>
      <c r="U56">
        <f ca="1"/>
        <v>0</v>
      </c>
      <c r="V56">
        <f ca="1"/>
        <v>0.60346295227691105</v>
      </c>
      <c r="X56" s="2">
        <f t="shared" ca="1" si="1"/>
        <v>45261</v>
      </c>
      <c r="Y56">
        <f t="shared" ca="1" si="2"/>
        <v>0</v>
      </c>
      <c r="AA56" s="63">
        <f t="shared" ca="1" si="4"/>
        <v>56.127080297008121</v>
      </c>
      <c r="AB56" s="63">
        <f t="shared" ca="1" si="5"/>
        <v>56.127080297008121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45262</v>
      </c>
      <c r="K57">
        <f ca="1"/>
        <v>53.283009917989531</v>
      </c>
      <c r="L57">
        <f ca="1"/>
        <v>1.374054155701657</v>
      </c>
      <c r="M57">
        <f ca="1"/>
        <v>-2.5537225305098055E-2</v>
      </c>
      <c r="N57">
        <f ca="1"/>
        <v>1.0864015288874114</v>
      </c>
      <c r="O57">
        <f ca="1"/>
        <v>0</v>
      </c>
      <c r="P57">
        <f ca="1"/>
        <v>23.331320449101252</v>
      </c>
      <c r="Q57">
        <f ca="1"/>
        <v>9.4016011678121814</v>
      </c>
      <c r="R57">
        <f ca="1"/>
        <v>1.278041597853139</v>
      </c>
      <c r="S57">
        <f ca="1"/>
        <v>1</v>
      </c>
      <c r="T57">
        <f ca="1"/>
        <v>4.1659742248902063</v>
      </c>
      <c r="U57">
        <f ca="1"/>
        <v>0</v>
      </c>
      <c r="V57">
        <f ca="1"/>
        <v>0.63817789412554093</v>
      </c>
      <c r="X57" s="2">
        <f t="shared" ca="1" si="1"/>
        <v>45262</v>
      </c>
      <c r="Y57">
        <f t="shared" ca="1" si="2"/>
        <v>0</v>
      </c>
      <c r="AA57" s="63">
        <f t="shared" ca="1" si="4"/>
        <v>55.935105671544328</v>
      </c>
      <c r="AB57" s="63">
        <f t="shared" ca="1" si="5"/>
        <v>55.935105671544328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45263</v>
      </c>
      <c r="K58">
        <f ca="1"/>
        <v>52.87956336838333</v>
      </c>
      <c r="L58">
        <f ca="1"/>
        <v>1.4917739840900808</v>
      </c>
      <c r="M58">
        <f ca="1"/>
        <v>-2.3122379405045912E-2</v>
      </c>
      <c r="N58">
        <f ca="1"/>
        <v>1.1114498138889228</v>
      </c>
      <c r="O58">
        <f ca="1"/>
        <v>0</v>
      </c>
      <c r="P58">
        <f ca="1"/>
        <v>24.823094433191333</v>
      </c>
      <c r="Q58">
        <f ca="1"/>
        <v>10.002727197585322</v>
      </c>
      <c r="R58">
        <f ca="1"/>
        <v>0</v>
      </c>
      <c r="S58">
        <f ca="1"/>
        <v>0.98525757575757555</v>
      </c>
      <c r="T58">
        <f ca="1"/>
        <v>0</v>
      </c>
      <c r="U58">
        <f ca="1"/>
        <v>0</v>
      </c>
      <c r="V58">
        <f ca="1"/>
        <v>0.67182538064007458</v>
      </c>
      <c r="X58" s="2">
        <f t="shared" ca="1" si="1"/>
        <v>45263</v>
      </c>
      <c r="Y58">
        <f t="shared" ca="1" si="2"/>
        <v>0</v>
      </c>
      <c r="AA58" s="63">
        <f t="shared" ca="1" si="4"/>
        <v>54.371337352473411</v>
      </c>
      <c r="AB58" s="63">
        <f t="shared" ca="1" si="5"/>
        <v>54.371337352473411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45264</v>
      </c>
      <c r="K59">
        <f ca="1"/>
        <v>50.728835767430624</v>
      </c>
      <c r="L59">
        <f ca="1"/>
        <v>1.5868997311572173</v>
      </c>
      <c r="M59">
        <f ca="1"/>
        <v>-2.0388728152938462E-2</v>
      </c>
      <c r="N59">
        <f ca="1"/>
        <v>1.1158027633605379</v>
      </c>
      <c r="O59">
        <f ca="1"/>
        <v>0</v>
      </c>
      <c r="P59">
        <f ca="1"/>
        <v>26.40999416434855</v>
      </c>
      <c r="Q59">
        <f ca="1"/>
        <v>10.64218514846282</v>
      </c>
      <c r="R59">
        <f ca="1"/>
        <v>1.6592419050030855</v>
      </c>
      <c r="S59">
        <f ca="1"/>
        <v>1</v>
      </c>
      <c r="T59">
        <f ca="1"/>
        <v>5.6808739247208138</v>
      </c>
      <c r="U59">
        <f ca="1"/>
        <v>0</v>
      </c>
      <c r="V59">
        <f ca="1"/>
        <v>0.70337429279962482</v>
      </c>
      <c r="X59" s="2">
        <f t="shared" ca="1" si="1"/>
        <v>45264</v>
      </c>
      <c r="Y59">
        <f t="shared" ca="1" si="2"/>
        <v>0</v>
      </c>
      <c r="AA59" s="63">
        <f t="shared" ca="1" si="4"/>
        <v>53.974977403590927</v>
      </c>
      <c r="AB59" s="63">
        <f t="shared" ca="1" si="5"/>
        <v>53.974977403590927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45265</v>
      </c>
      <c r="K60">
        <f ca="1"/>
        <v>48.888101725144956</v>
      </c>
      <c r="L60">
        <f ca="1"/>
        <v>1.653928573537744</v>
      </c>
      <c r="M60">
        <f ca="1"/>
        <v>-1.752376693351021E-2</v>
      </c>
      <c r="N60">
        <f ca="1"/>
        <v>1.1001793396485142</v>
      </c>
      <c r="O60">
        <f ca="1"/>
        <v>0</v>
      </c>
      <c r="P60">
        <f ca="1"/>
        <v>28.063922737886294</v>
      </c>
      <c r="Q60">
        <f ca="1"/>
        <v>11.308653076944312</v>
      </c>
      <c r="R60">
        <f ca="1"/>
        <v>1.2694610414629279</v>
      </c>
      <c r="S60">
        <f ca="1"/>
        <v>1</v>
      </c>
      <c r="T60">
        <f ca="1"/>
        <v>4.5099999999999909</v>
      </c>
      <c r="U60">
        <f ca="1"/>
        <v>0</v>
      </c>
      <c r="V60">
        <f ca="1"/>
        <v>0.7320789310941499</v>
      </c>
      <c r="X60" s="2">
        <f t="shared" ca="1" si="1"/>
        <v>45265</v>
      </c>
      <c r="Y60">
        <f t="shared" ca="1" si="2"/>
        <v>0</v>
      </c>
      <c r="AA60" s="63">
        <f t="shared" ca="1" si="4"/>
        <v>51.811491340145629</v>
      </c>
      <c r="AB60" s="63">
        <f t="shared" ca="1" si="5"/>
        <v>51.811491340145629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45266</v>
      </c>
      <c r="K61">
        <f ca="1"/>
        <v>47.575763466139691</v>
      </c>
      <c r="L61">
        <f ca="1"/>
        <v>1.7532823279620864</v>
      </c>
      <c r="M61">
        <f ca="1"/>
        <v>-1.5102471633889891E-2</v>
      </c>
      <c r="N61">
        <f ca="1"/>
        <v>1.1027741688717914</v>
      </c>
      <c r="O61">
        <f ca="1"/>
        <v>0</v>
      </c>
      <c r="P61">
        <f ca="1"/>
        <v>29.81720506584838</v>
      </c>
      <c r="Q61">
        <f ca="1"/>
        <v>12.015156646600087</v>
      </c>
      <c r="R61">
        <f ca="1"/>
        <v>0.6467276282810801</v>
      </c>
      <c r="S61">
        <f ca="1"/>
        <v>1</v>
      </c>
      <c r="T61">
        <f ca="1"/>
        <v>2.3610000000000042</v>
      </c>
      <c r="U61">
        <f ca="1"/>
        <v>0</v>
      </c>
      <c r="V61">
        <f ca="1"/>
        <v>0.7584174420885631</v>
      </c>
      <c r="X61" s="2">
        <f t="shared" ca="1" si="1"/>
        <v>45266</v>
      </c>
      <c r="Y61">
        <f t="shared" ca="1" si="2"/>
        <v>0</v>
      </c>
      <c r="AA61" s="63">
        <f t="shared" ca="1" si="4"/>
        <v>49.975773422382858</v>
      </c>
      <c r="AB61" s="63">
        <f t="shared" ca="1" si="5"/>
        <v>49.975773422382851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45267</v>
      </c>
      <c r="K62">
        <f ca="1"/>
        <v>46.123524954683681</v>
      </c>
      <c r="L62">
        <f ca="1"/>
        <v>1.7681588009065017</v>
      </c>
      <c r="M62">
        <f ca="1"/>
        <v>-1.2366634183711867E-2</v>
      </c>
      <c r="N62">
        <f ca="1"/>
        <v>1.0583105090609051</v>
      </c>
      <c r="O62">
        <f ca="1"/>
        <v>0</v>
      </c>
      <c r="P62">
        <f ca="1"/>
        <v>31.585363866754882</v>
      </c>
      <c r="Q62">
        <f ca="1"/>
        <v>12.727654847623265</v>
      </c>
      <c r="R62">
        <f ca="1"/>
        <v>0.73002358542669077</v>
      </c>
      <c r="S62">
        <f ca="1"/>
        <v>1</v>
      </c>
      <c r="T62">
        <f ca="1"/>
        <v>2.7489999999999952</v>
      </c>
      <c r="U62">
        <f ca="1"/>
        <v>0</v>
      </c>
      <c r="V62">
        <f ca="1"/>
        <v>0.78129016904928206</v>
      </c>
      <c r="X62" s="2">
        <f t="shared" ca="1" si="1"/>
        <v>45267</v>
      </c>
      <c r="Y62">
        <f t="shared" ca="1" si="2"/>
        <v>0</v>
      </c>
      <c r="AA62" s="63">
        <f t="shared" ca="1" si="4"/>
        <v>48.621707341016879</v>
      </c>
      <c r="AB62" s="63">
        <f t="shared" ca="1" si="5"/>
        <v>48.621707341016872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45268</v>
      </c>
      <c r="K63">
        <f ca="1"/>
        <v>45.297121602980262</v>
      </c>
      <c r="L63">
        <f ca="1"/>
        <v>1.8542939278646102</v>
      </c>
      <c r="M63">
        <f ca="1"/>
        <v>-1.0293061974421924E-2</v>
      </c>
      <c r="N63">
        <f ca="1"/>
        <v>1.054092536298604</v>
      </c>
      <c r="O63">
        <f ca="1"/>
        <v>0</v>
      </c>
      <c r="P63">
        <f ca="1"/>
        <v>33.439657794619492</v>
      </c>
      <c r="Q63">
        <f ca="1"/>
        <v>13.474862104739762</v>
      </c>
      <c r="R63">
        <f ca="1"/>
        <v>1.5908898162987937E-2</v>
      </c>
      <c r="S63">
        <f ca="1"/>
        <v>1</v>
      </c>
      <c r="T63">
        <f ca="1"/>
        <v>6.1000000000007049E-2</v>
      </c>
      <c r="U63">
        <f ca="1"/>
        <v>0</v>
      </c>
      <c r="V63">
        <f ca="1"/>
        <v>0.80187732844798809</v>
      </c>
      <c r="X63" s="2">
        <f t="shared" ca="1" si="1"/>
        <v>45268</v>
      </c>
      <c r="Y63">
        <f t="shared" ca="1" si="2"/>
        <v>0</v>
      </c>
      <c r="AA63" s="63">
        <f t="shared" ca="1" si="4"/>
        <v>47.167324429007863</v>
      </c>
      <c r="AB63" s="63">
        <f t="shared" ca="1" si="5"/>
        <v>47.167324429007863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45269</v>
      </c>
      <c r="K64">
        <f ca="1"/>
        <v>44.346857909404079</v>
      </c>
      <c r="L64">
        <f ca="1"/>
        <v>2.0349225950934979</v>
      </c>
      <c r="M64">
        <f ca="1"/>
        <v>-8.6186338760603221E-3</v>
      </c>
      <c r="N64">
        <f ca="1"/>
        <v>1.0932775353933739</v>
      </c>
      <c r="O64">
        <f ca="1"/>
        <v>0</v>
      </c>
      <c r="P64">
        <f ca="1"/>
        <v>35.47458038971299</v>
      </c>
      <c r="Q64">
        <f ca="1"/>
        <v>14.294855584670531</v>
      </c>
      <c r="R64">
        <f ca="1"/>
        <v>0</v>
      </c>
      <c r="S64">
        <f ca="1"/>
        <v>0.97509090909090923</v>
      </c>
      <c r="T64">
        <f ca="1"/>
        <v>0</v>
      </c>
      <c r="U64">
        <f ca="1"/>
        <v>0</v>
      </c>
      <c r="V64">
        <f ca="1"/>
        <v>0.82109114702923114</v>
      </c>
      <c r="X64" s="2">
        <f t="shared" ca="1" si="1"/>
        <v>45269</v>
      </c>
      <c r="Y64">
        <f t="shared" ca="1" si="2"/>
        <v>0</v>
      </c>
      <c r="AA64" s="63">
        <f t="shared" ca="1" si="4"/>
        <v>46.381780504497577</v>
      </c>
      <c r="AB64" s="63">
        <f t="shared" ca="1" si="5"/>
        <v>46.381780504497577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45270</v>
      </c>
      <c r="K65">
        <f ca="1"/>
        <v>43.297740578882241</v>
      </c>
      <c r="L65">
        <f ca="1"/>
        <v>2.1280021640179854</v>
      </c>
      <c r="M65">
        <f ca="1"/>
        <v>-6.6590080725390521E-3</v>
      </c>
      <c r="N65">
        <f ca="1"/>
        <v>1.0855438415686833</v>
      </c>
      <c r="O65">
        <f ca="1"/>
        <v>0</v>
      </c>
      <c r="P65">
        <f ca="1"/>
        <v>37.602582553730976</v>
      </c>
      <c r="Q65">
        <f ca="1"/>
        <v>15.152356456684357</v>
      </c>
      <c r="R65">
        <f ca="1"/>
        <v>0</v>
      </c>
      <c r="S65">
        <f ca="1"/>
        <v>0.99047483767158462</v>
      </c>
      <c r="T65">
        <f ca="1"/>
        <v>0</v>
      </c>
      <c r="U65">
        <f ca="1"/>
        <v>0</v>
      </c>
      <c r="V65">
        <f ca="1"/>
        <v>0.83803537030694863</v>
      </c>
      <c r="X65" s="2">
        <f t="shared" ca="1" si="1"/>
        <v>45270</v>
      </c>
      <c r="Y65">
        <f t="shared" ca="1" si="2"/>
        <v>0</v>
      </c>
      <c r="AA65" s="63">
        <f t="shared" ca="1" si="4"/>
        <v>45.425742742900226</v>
      </c>
      <c r="AB65" s="63">
        <f t="shared" ca="1" si="5"/>
        <v>45.425742742900226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45271</v>
      </c>
      <c r="K66">
        <f ca="1"/>
        <v>42.070932950773418</v>
      </c>
      <c r="L66">
        <f ca="1"/>
        <v>2.3489266340701818</v>
      </c>
      <c r="M66">
        <f ca="1"/>
        <v>-5.0206144694318056E-3</v>
      </c>
      <c r="N66">
        <f ca="1"/>
        <v>1.1271396204307895</v>
      </c>
      <c r="O66">
        <f ca="1"/>
        <v>0</v>
      </c>
      <c r="P66">
        <f ca="1"/>
        <v>39.951509187801157</v>
      </c>
      <c r="Q66">
        <f ca="1"/>
        <v>16.098881169426452</v>
      </c>
      <c r="R66">
        <f ca="1"/>
        <v>0</v>
      </c>
      <c r="S66">
        <f ca="1"/>
        <v>0.95678974929300431</v>
      </c>
      <c r="T66">
        <f ca="1"/>
        <v>0</v>
      </c>
      <c r="U66">
        <f ca="1"/>
        <v>0</v>
      </c>
      <c r="V66">
        <f ca="1"/>
        <v>0.85367439042307525</v>
      </c>
      <c r="X66" s="2">
        <f t="shared" ca="1" si="1"/>
        <v>45271</v>
      </c>
      <c r="Y66">
        <f t="shared" ca="1" si="2"/>
        <v>0</v>
      </c>
      <c r="AA66" s="63">
        <f t="shared" ca="1" si="4"/>
        <v>44.4198595848436</v>
      </c>
      <c r="AB66" s="63">
        <f t="shared" ca="1" si="5"/>
        <v>44.4198595848436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45272</v>
      </c>
      <c r="K67">
        <f ca="1"/>
        <v>40.647578194705744</v>
      </c>
      <c r="L67">
        <f ca="1"/>
        <v>2.5746320097426718</v>
      </c>
      <c r="M67">
        <f ca="1"/>
        <v>-3.283063336875891E-3</v>
      </c>
      <c r="N67">
        <f ca="1"/>
        <v>1.1545603170118743</v>
      </c>
      <c r="O67">
        <f ca="1"/>
        <v>0</v>
      </c>
      <c r="P67">
        <f ca="1"/>
        <v>42.526141197543829</v>
      </c>
      <c r="Q67">
        <f ca="1"/>
        <v>17.136356239141836</v>
      </c>
      <c r="R67">
        <f ca="1"/>
        <v>0</v>
      </c>
      <c r="S67">
        <f ca="1"/>
        <v>0.9476415069155556</v>
      </c>
      <c r="T67">
        <f ca="1"/>
        <v>0</v>
      </c>
      <c r="U67">
        <f ca="1"/>
        <v>0</v>
      </c>
      <c r="V67">
        <f ca="1"/>
        <v>0.86783101960612674</v>
      </c>
      <c r="X67" s="2">
        <f t="shared" ca="1" si="1"/>
        <v>45272</v>
      </c>
      <c r="Y67">
        <f t="shared" ca="1" si="2"/>
        <v>0</v>
      </c>
      <c r="AA67" s="63">
        <f t="shared" ca="1" si="4"/>
        <v>43.222210204448416</v>
      </c>
      <c r="AB67" s="63">
        <f t="shared" ca="1" si="5"/>
        <v>43.222210204448416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45273</v>
      </c>
      <c r="K68">
        <f ca="1"/>
        <v>39.090870980667354</v>
      </c>
      <c r="L68">
        <f ca="1"/>
        <v>2.6667376909148075</v>
      </c>
      <c r="M68">
        <f ca="1"/>
        <v>-1.463426688703251E-3</v>
      </c>
      <c r="N68">
        <f ca="1"/>
        <v>1.1114939035651192</v>
      </c>
      <c r="O68">
        <f ca="1"/>
        <v>0</v>
      </c>
      <c r="P68">
        <f ca="1"/>
        <v>45.192878888458637</v>
      </c>
      <c r="Q68">
        <f ca="1"/>
        <v>18.210946262619021</v>
      </c>
      <c r="R68">
        <f ca="1"/>
        <v>0</v>
      </c>
      <c r="S68">
        <f ca="1"/>
        <v>0.93140741501753466</v>
      </c>
      <c r="T68">
        <f ca="1"/>
        <v>0</v>
      </c>
      <c r="U68">
        <f ca="1"/>
        <v>0</v>
      </c>
      <c r="V68">
        <f ca="1"/>
        <v>0.87986782915871165</v>
      </c>
      <c r="X68" s="2">
        <f t="shared" ca="1" si="1"/>
        <v>45273</v>
      </c>
      <c r="Y68">
        <f t="shared" ca="1" si="2"/>
        <v>0</v>
      </c>
      <c r="AA68" s="63">
        <f t="shared" ca="1" si="4"/>
        <v>41.757608671582162</v>
      </c>
      <c r="AB68" s="63">
        <f t="shared" ca="1" si="5"/>
        <v>41.757608671582162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45274</v>
      </c>
      <c r="K69">
        <f ca="1"/>
        <v>37.445703588424948</v>
      </c>
      <c r="L69">
        <f ca="1"/>
        <v>2.7910117283602816</v>
      </c>
      <c r="M69">
        <f ca="1"/>
        <v>1.7391967604307723E-4</v>
      </c>
      <c r="N69">
        <f ca="1"/>
        <v>1.145670416441829</v>
      </c>
      <c r="O69">
        <f ca="1"/>
        <v>0</v>
      </c>
      <c r="P69">
        <f ca="1"/>
        <v>47.983890616818918</v>
      </c>
      <c r="Q69">
        <f ca="1"/>
        <v>19.335613817632623</v>
      </c>
      <c r="R69">
        <f ca="1"/>
        <v>0</v>
      </c>
      <c r="S69">
        <f ca="1"/>
        <v>0.97692789785241618</v>
      </c>
      <c r="T69">
        <f ca="1"/>
        <v>0</v>
      </c>
      <c r="U69">
        <f ca="1"/>
        <v>0</v>
      </c>
      <c r="V69">
        <f ca="1"/>
        <v>0.89019978365825958</v>
      </c>
      <c r="X69" s="2">
        <f t="shared" ca="1" si="1"/>
        <v>45274</v>
      </c>
      <c r="Y69">
        <f t="shared" ca="1" si="2"/>
        <v>0</v>
      </c>
      <c r="AA69" s="63">
        <f t="shared" ca="1" si="4"/>
        <v>40.236715316785229</v>
      </c>
      <c r="AB69" s="63">
        <f t="shared" ca="1" si="5"/>
        <v>40.236715316785229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45275</v>
      </c>
      <c r="K70">
        <f ca="1"/>
        <v>35.681720115591254</v>
      </c>
      <c r="L70">
        <f ca="1"/>
        <v>2.8972092074392393</v>
      </c>
      <c r="M70">
        <f ca="1"/>
        <v>1.6688197779899383E-3</v>
      </c>
      <c r="N70">
        <f ca="1"/>
        <v>1.1315569148275584</v>
      </c>
      <c r="O70">
        <f ca="1"/>
        <v>0</v>
      </c>
      <c r="P70">
        <f ca="1"/>
        <v>50.881099824258158</v>
      </c>
      <c r="Q70">
        <f ca="1"/>
        <v>20.503074764709289</v>
      </c>
      <c r="R70">
        <f ca="1"/>
        <v>0</v>
      </c>
      <c r="S70">
        <f ca="1"/>
        <v>0.98019671024701593</v>
      </c>
      <c r="T70">
        <f ca="1"/>
        <v>0</v>
      </c>
      <c r="U70">
        <f ca="1"/>
        <v>0</v>
      </c>
      <c r="V70">
        <f ca="1"/>
        <v>0.89898923741195802</v>
      </c>
      <c r="X70" s="2">
        <f t="shared" ca="1" si="1"/>
        <v>45275</v>
      </c>
      <c r="Y70">
        <f t="shared" ca="1" si="2"/>
        <v>0</v>
      </c>
      <c r="AA70" s="63">
        <f t="shared" ca="1" si="4"/>
        <v>38.578929323030493</v>
      </c>
      <c r="AB70" s="63">
        <f t="shared" ca="1" si="5"/>
        <v>38.578929323030493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45276</v>
      </c>
      <c r="K71">
        <f ca="1"/>
        <v>33.030866939234912</v>
      </c>
      <c r="L71">
        <f ca="1"/>
        <v>3.0692774038192923</v>
      </c>
      <c r="M71">
        <f ca="1"/>
        <v>3.0883620067587714E-3</v>
      </c>
      <c r="N71">
        <f ca="1"/>
        <v>1.1403657381465326</v>
      </c>
      <c r="O71">
        <f ca="1"/>
        <v>0</v>
      </c>
      <c r="P71">
        <f ca="1"/>
        <v>53.95037722807745</v>
      </c>
      <c r="Q71">
        <f ca="1"/>
        <v>21.73987240276147</v>
      </c>
      <c r="R71">
        <f ca="1"/>
        <v>0.72502987269034502</v>
      </c>
      <c r="S71">
        <f ca="1"/>
        <v>1</v>
      </c>
      <c r="T71">
        <f ca="1"/>
        <v>3.812380743075181</v>
      </c>
      <c r="U71">
        <f ca="1"/>
        <v>0</v>
      </c>
      <c r="V71">
        <f ca="1"/>
        <v>0.90660810824344962</v>
      </c>
      <c r="X71" s="2">
        <f t="shared" ca="1" si="1"/>
        <v>45276</v>
      </c>
      <c r="Y71">
        <f t="shared" ca="1" si="2"/>
        <v>0</v>
      </c>
      <c r="AA71" s="63">
        <f t="shared" ca="1" si="4"/>
        <v>36.825174215744546</v>
      </c>
      <c r="AB71" s="63">
        <f t="shared" ca="1" si="5"/>
        <v>36.825174215744546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45277</v>
      </c>
      <c r="K72">
        <f ca="1"/>
        <v>64.402655375204517</v>
      </c>
      <c r="L72">
        <f ca="1"/>
        <v>3.2326865442239949</v>
      </c>
      <c r="M72">
        <f ca="1"/>
        <v>4.4237310287211784E-3</v>
      </c>
      <c r="N72">
        <f ca="1"/>
        <v>1.143900574751757</v>
      </c>
      <c r="O72">
        <f ca="1"/>
        <v>34.903721139082059</v>
      </c>
      <c r="P72">
        <f ca="1"/>
        <v>57.183063772301445</v>
      </c>
      <c r="Q72">
        <f ca="1"/>
        <v>23.042517474035943</v>
      </c>
      <c r="R72">
        <f ca="1"/>
        <v>1.4475704646689194</v>
      </c>
      <c r="S72">
        <f ca="1"/>
        <v>1</v>
      </c>
      <c r="T72">
        <f ca="1"/>
        <v>3.945999999999998</v>
      </c>
      <c r="U72">
        <f ca="1"/>
        <v>0</v>
      </c>
      <c r="V72">
        <f ca="1"/>
        <v>0.91315561716545079</v>
      </c>
      <c r="X72" s="2">
        <f t="shared" ca="1" si="1"/>
        <v>45277</v>
      </c>
      <c r="Y72">
        <f t="shared" ca="1" si="2"/>
        <v>34.903721139082059</v>
      </c>
      <c r="AA72" s="63">
        <f t="shared" ca="1" si="4"/>
        <v>69.082912384097455</v>
      </c>
      <c r="AB72" s="63">
        <f t="shared" ca="1" si="5"/>
        <v>69.082912384097426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45278</v>
      </c>
      <c r="K73">
        <f ca="1"/>
        <v>60.945278178817631</v>
      </c>
      <c r="L73">
        <f ca="1"/>
        <v>3.3042475922879078</v>
      </c>
      <c r="M73">
        <f ca="1"/>
        <v>5.5362218057553036E-3</v>
      </c>
      <c r="N73">
        <f ca="1"/>
        <v>1.1175467674258188</v>
      </c>
      <c r="O73">
        <f ca="1"/>
        <v>0</v>
      </c>
      <c r="P73">
        <f ca="1"/>
        <v>60.487311364589353</v>
      </c>
      <c r="Q73">
        <f ca="1"/>
        <v>24.373998822901957</v>
      </c>
      <c r="R73">
        <f ca="1"/>
        <v>1.2762125933305559</v>
      </c>
      <c r="S73">
        <f ca="1"/>
        <v>1</v>
      </c>
      <c r="T73">
        <f ca="1"/>
        <v>3.6370000000000005</v>
      </c>
      <c r="U73">
        <f ca="1"/>
        <v>0</v>
      </c>
      <c r="V73">
        <f ca="1"/>
        <v>0.91862152820375409</v>
      </c>
      <c r="X73" s="2">
        <f t="shared" ca="1" si="1"/>
        <v>45278</v>
      </c>
      <c r="Y73">
        <f t="shared" ca="1" si="2"/>
        <v>0</v>
      </c>
      <c r="AA73" s="63">
        <f t="shared" ca="1" si="4"/>
        <v>65.525738364436094</v>
      </c>
      <c r="AB73" s="63">
        <f t="shared" ca="1" si="5"/>
        <v>65.525738364436094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45279</v>
      </c>
      <c r="K74">
        <f ca="1"/>
        <v>57.518095954439843</v>
      </c>
      <c r="L74">
        <f ca="1"/>
        <v>3.5104894993691858</v>
      </c>
      <c r="M74">
        <f ca="1"/>
        <v>6.7386862357841082E-3</v>
      </c>
      <c r="N74">
        <f ca="1"/>
        <v>1.1333154492470474</v>
      </c>
      <c r="O74">
        <f ca="1"/>
        <v>0</v>
      </c>
      <c r="P74">
        <f ca="1"/>
        <v>63.997800863958538</v>
      </c>
      <c r="Q74">
        <f ca="1"/>
        <v>25.788587519193818</v>
      </c>
      <c r="R74">
        <f ca="1"/>
        <v>1.056746860491435</v>
      </c>
      <c r="S74">
        <f ca="1"/>
        <v>1</v>
      </c>
      <c r="T74">
        <f ca="1"/>
        <v>3.1910000000000025</v>
      </c>
      <c r="U74">
        <f ca="1"/>
        <v>0</v>
      </c>
      <c r="V74">
        <f ca="1"/>
        <v>0.92336584335702088</v>
      </c>
      <c r="X74" s="2">
        <f t="shared" ca="1" si="1"/>
        <v>45279</v>
      </c>
      <c r="Y74">
        <f t="shared" ca="1" si="2"/>
        <v>0</v>
      </c>
      <c r="AA74" s="63">
        <f t="shared" ca="1" si="4"/>
        <v>62.085332314300466</v>
      </c>
      <c r="AB74" s="63">
        <f t="shared" ca="1" si="5"/>
        <v>62.085332314300466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45280</v>
      </c>
      <c r="K75">
        <f ca="1"/>
        <v>54.926389061571221</v>
      </c>
      <c r="L75">
        <f ca="1"/>
        <v>3.7577764621276728</v>
      </c>
      <c r="M75">
        <f ca="1"/>
        <v>7.9650154540109597E-3</v>
      </c>
      <c r="N75">
        <f ca="1"/>
        <v>1.1581045538050401</v>
      </c>
      <c r="O75">
        <f ca="1"/>
        <v>0</v>
      </c>
      <c r="P75">
        <f ca="1"/>
        <v>67.755577326086211</v>
      </c>
      <c r="Q75">
        <f ca="1"/>
        <v>27.302823100149869</v>
      </c>
      <c r="R75">
        <f ca="1"/>
        <v>0</v>
      </c>
      <c r="S75">
        <f ca="1"/>
        <v>0.97140909090909089</v>
      </c>
      <c r="T75">
        <f ca="1"/>
        <v>0</v>
      </c>
      <c r="U75">
        <f ca="1"/>
        <v>0</v>
      </c>
      <c r="V75">
        <f ca="1"/>
        <v>0.92749709521295587</v>
      </c>
      <c r="X75" s="2">
        <f t="shared" ref="X75:X138" ca="1" si="8">IFERROR(J75,$X$9)</f>
        <v>45280</v>
      </c>
      <c r="Y75">
        <f t="shared" ref="Y75:Y138" ca="1" si="9">IFERROR(O75,0)</f>
        <v>0</v>
      </c>
      <c r="AA75" s="63">
        <f t="shared" ca="1" si="4"/>
        <v>58.684165523698894</v>
      </c>
      <c r="AB75" s="63">
        <f t="shared" ca="1" si="5"/>
        <v>58.684165523698894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45281</v>
      </c>
      <c r="K76">
        <f ca="1"/>
        <v>52.036242230268272</v>
      </c>
      <c r="L76">
        <f ca="1"/>
        <v>3.9276022845130711</v>
      </c>
      <c r="M76">
        <f ca="1"/>
        <v>8.992979953752922E-3</v>
      </c>
      <c r="N76">
        <f ca="1"/>
        <v>1.1581045538050401</v>
      </c>
      <c r="O76">
        <f ca="1"/>
        <v>0</v>
      </c>
      <c r="P76">
        <f ca="1"/>
        <v>71.683179610599282</v>
      </c>
      <c r="Q76">
        <f ca="1"/>
        <v>28.885491783876351</v>
      </c>
      <c r="R76">
        <f ca="1"/>
        <v>0.12964208054867346</v>
      </c>
      <c r="S76">
        <f ca="1"/>
        <v>1</v>
      </c>
      <c r="T76">
        <f ca="1"/>
        <v>0.43271345981220577</v>
      </c>
      <c r="U76">
        <f ca="1"/>
        <v>0</v>
      </c>
      <c r="V76">
        <f ca="1"/>
        <v>0.93100072950255408</v>
      </c>
      <c r="X76" s="2">
        <f t="shared" ca="1" si="8"/>
        <v>45281</v>
      </c>
      <c r="Y76">
        <f t="shared" ca="1" si="9"/>
        <v>0</v>
      </c>
      <c r="AA76" s="63">
        <f t="shared" ca="1" si="4"/>
        <v>56.093486595330013</v>
      </c>
      <c r="AB76" s="63">
        <f t="shared" ca="1" si="5"/>
        <v>56.093486595330013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45282</v>
      </c>
      <c r="K77">
        <f ca="1"/>
        <v>49.065144550048899</v>
      </c>
      <c r="L77">
        <f ca="1"/>
        <v>4.1535732930451417</v>
      </c>
      <c r="M77">
        <f ca="1"/>
        <v>1.0063632306435366E-2</v>
      </c>
      <c r="N77">
        <f ca="1"/>
        <v>1.1724119805193354</v>
      </c>
      <c r="O77">
        <f ca="1"/>
        <v>0</v>
      </c>
      <c r="P77">
        <f ca="1"/>
        <v>75.836752903644424</v>
      </c>
      <c r="Q77">
        <f ca="1"/>
        <v>30.559217864133029</v>
      </c>
      <c r="R77">
        <f ca="1"/>
        <v>0</v>
      </c>
      <c r="S77">
        <f ca="1"/>
        <v>0.9810757575757576</v>
      </c>
      <c r="T77">
        <f ca="1"/>
        <v>0</v>
      </c>
      <c r="U77">
        <f ca="1"/>
        <v>0</v>
      </c>
      <c r="V77">
        <f ca="1"/>
        <v>0.93400369219107271</v>
      </c>
      <c r="X77" s="2">
        <f t="shared" ca="1" si="8"/>
        <v>45282</v>
      </c>
      <c r="Y77">
        <f t="shared" ca="1" si="9"/>
        <v>0</v>
      </c>
      <c r="AA77" s="63">
        <f t="shared" ref="AA77:AA140" ca="1" si="11">K76+M77+N77+O77</f>
        <v>53.218717843094041</v>
      </c>
      <c r="AB77" s="63">
        <f t="shared" ref="AB77:AB140" ca="1" si="12">K77+L77+R77</f>
        <v>53.218717843094041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45283</v>
      </c>
      <c r="K78">
        <f ca="1"/>
        <v>46.018325338947697</v>
      </c>
      <c r="L78">
        <f ca="1"/>
        <v>4.1960917951285239</v>
      </c>
      <c r="M78">
        <f ca="1"/>
        <v>1.0671840993628834E-2</v>
      </c>
      <c r="N78">
        <f ca="1"/>
        <v>1.138600743033692</v>
      </c>
      <c r="O78">
        <f ca="1"/>
        <v>0</v>
      </c>
      <c r="P78">
        <f ca="1"/>
        <v>80.032844698772948</v>
      </c>
      <c r="Q78">
        <f ca="1"/>
        <v>32.250077222367388</v>
      </c>
      <c r="R78">
        <f ca="1"/>
        <v>0</v>
      </c>
      <c r="S78">
        <f ca="1"/>
        <v>0.97560571992814049</v>
      </c>
      <c r="T78">
        <f ca="1"/>
        <v>0</v>
      </c>
      <c r="U78">
        <f ca="1"/>
        <v>0</v>
      </c>
      <c r="V78">
        <f ca="1"/>
        <v>0.93646782025053432</v>
      </c>
      <c r="X78" s="2">
        <f t="shared" ca="1" si="8"/>
        <v>45283</v>
      </c>
      <c r="Y78">
        <f t="shared" ca="1" si="9"/>
        <v>0</v>
      </c>
      <c r="AA78" s="63">
        <f t="shared" ca="1" si="11"/>
        <v>50.214417134076221</v>
      </c>
      <c r="AB78" s="63">
        <f t="shared" ca="1" si="12"/>
        <v>50.214417134076221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45284</v>
      </c>
      <c r="K79">
        <f ca="1"/>
        <v>78.982716117133293</v>
      </c>
      <c r="L79">
        <f ca="1"/>
        <v>4.4143114305298923</v>
      </c>
      <c r="M79">
        <f ca="1"/>
        <v>1.1582307026034577E-2</v>
      </c>
      <c r="N79">
        <f ca="1"/>
        <v>1.1509896362267957</v>
      </c>
      <c r="O79">
        <f ca="1"/>
        <v>36.216130265462652</v>
      </c>
      <c r="P79">
        <f ca="1"/>
        <v>84.44715612930284</v>
      </c>
      <c r="Q79">
        <f ca="1"/>
        <v>34.028870479735517</v>
      </c>
      <c r="R79">
        <f ca="1"/>
        <v>0</v>
      </c>
      <c r="S79">
        <f ca="1"/>
        <v>0.99749456283136617</v>
      </c>
      <c r="T79">
        <f ca="1"/>
        <v>0</v>
      </c>
      <c r="U79">
        <f ca="1"/>
        <v>0</v>
      </c>
      <c r="V79">
        <f ca="1"/>
        <v>0.93857923918651687</v>
      </c>
      <c r="X79" s="2">
        <f t="shared" ca="1" si="8"/>
        <v>45284</v>
      </c>
      <c r="Y79">
        <f t="shared" ca="1" si="9"/>
        <v>36.216130265462652</v>
      </c>
      <c r="AA79" s="63">
        <f t="shared" ca="1" si="11"/>
        <v>83.397027547663185</v>
      </c>
      <c r="AB79" s="63">
        <f t="shared" ca="1" si="12"/>
        <v>83.397027547663185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45285</v>
      </c>
      <c r="K80">
        <f ca="1"/>
        <v>73.949918101638829</v>
      </c>
      <c r="L80">
        <f ca="1"/>
        <v>4.6798300256875933</v>
      </c>
      <c r="M80">
        <f ca="1"/>
        <v>1.2553398241156977E-2</v>
      </c>
      <c r="N80">
        <f ca="1"/>
        <v>1.1733096304995099</v>
      </c>
      <c r="O80">
        <f ca="1"/>
        <v>0</v>
      </c>
      <c r="P80">
        <f ca="1"/>
        <v>89.126986154990433</v>
      </c>
      <c r="Q80">
        <f ca="1"/>
        <v>35.91465724995502</v>
      </c>
      <c r="R80">
        <f ca="1"/>
        <v>1.5388310185475265</v>
      </c>
      <c r="S80">
        <f ca="1"/>
        <v>1</v>
      </c>
      <c r="T80">
        <f ca="1"/>
        <v>3.6142115833379194</v>
      </c>
      <c r="U80">
        <f ca="1"/>
        <v>0</v>
      </c>
      <c r="V80">
        <f ca="1"/>
        <v>0.94039805901895424</v>
      </c>
      <c r="X80" s="2">
        <f t="shared" ca="1" si="8"/>
        <v>45285</v>
      </c>
      <c r="Y80">
        <f t="shared" ca="1" si="9"/>
        <v>0</v>
      </c>
      <c r="AA80" s="63">
        <f t="shared" ca="1" si="11"/>
        <v>80.168579145873949</v>
      </c>
      <c r="AB80" s="63">
        <f t="shared" ca="1" si="12"/>
        <v>80.168579145873949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45286</v>
      </c>
      <c r="K81">
        <f ca="1"/>
        <v>70.369806391495459</v>
      </c>
      <c r="L81">
        <f ca="1"/>
        <v>4.7405509161961135</v>
      </c>
      <c r="M81">
        <f ca="1"/>
        <v>1.2997332199109479E-2</v>
      </c>
      <c r="N81">
        <f ca="1"/>
        <v>1.1474418738536416</v>
      </c>
      <c r="O81">
        <f ca="1"/>
        <v>0</v>
      </c>
      <c r="P81">
        <f ca="1"/>
        <v>93.867537071186547</v>
      </c>
      <c r="Q81">
        <f ca="1"/>
        <v>37.824912142172209</v>
      </c>
      <c r="R81">
        <f ca="1"/>
        <v>0</v>
      </c>
      <c r="S81">
        <f ca="1"/>
        <v>0.96303030303030301</v>
      </c>
      <c r="T81">
        <f ca="1"/>
        <v>0</v>
      </c>
      <c r="U81">
        <f ca="1"/>
        <v>0</v>
      </c>
      <c r="V81">
        <f ca="1"/>
        <v>0.94189703270273173</v>
      </c>
      <c r="X81" s="2">
        <f t="shared" ca="1" si="8"/>
        <v>45286</v>
      </c>
      <c r="Y81">
        <f t="shared" ca="1" si="9"/>
        <v>0</v>
      </c>
      <c r="AA81" s="63">
        <f t="shared" ca="1" si="11"/>
        <v>75.110357307691572</v>
      </c>
      <c r="AB81" s="63">
        <f t="shared" ca="1" si="12"/>
        <v>75.110357307691572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45287</v>
      </c>
      <c r="K82">
        <f ca="1"/>
        <v>66.585141387365141</v>
      </c>
      <c r="L82">
        <f ca="1"/>
        <v>4.9342843569885844</v>
      </c>
      <c r="M82">
        <f ca="1"/>
        <v>1.3697061840064251E-2</v>
      </c>
      <c r="N82">
        <f ca="1"/>
        <v>1.1359222910182099</v>
      </c>
      <c r="O82">
        <f ca="1"/>
        <v>0</v>
      </c>
      <c r="P82">
        <f ca="1"/>
        <v>98.801821428175131</v>
      </c>
      <c r="Q82">
        <f ca="1"/>
        <v>39.813233963656096</v>
      </c>
      <c r="R82">
        <f ca="1"/>
        <v>0</v>
      </c>
      <c r="S82">
        <f ca="1"/>
        <v>0.94813656331196039</v>
      </c>
      <c r="T82">
        <f ca="1"/>
        <v>0</v>
      </c>
      <c r="U82">
        <f ca="1"/>
        <v>0</v>
      </c>
      <c r="V82">
        <f ca="1"/>
        <v>0.94317037459408382</v>
      </c>
      <c r="X82" s="2">
        <f t="shared" ca="1" si="8"/>
        <v>45287</v>
      </c>
      <c r="Y82">
        <f t="shared" ca="1" si="9"/>
        <v>0</v>
      </c>
      <c r="AA82" s="63">
        <f t="shared" ca="1" si="11"/>
        <v>71.519425744353725</v>
      </c>
      <c r="AB82" s="63">
        <f t="shared" ca="1" si="12"/>
        <v>71.519425744353725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45288</v>
      </c>
      <c r="K83">
        <f ca="1"/>
        <v>62.30660428510491</v>
      </c>
      <c r="L83">
        <f ca="1"/>
        <v>5.4361152119127212</v>
      </c>
      <c r="M83">
        <f ca="1"/>
        <v>1.5113968648389431E-2</v>
      </c>
      <c r="N83">
        <f ca="1"/>
        <v>1.1424641410040917</v>
      </c>
      <c r="O83">
        <f ca="1"/>
        <v>0</v>
      </c>
      <c r="P83">
        <f ca="1"/>
        <v>104.23793664008785</v>
      </c>
      <c r="Q83">
        <f ca="1"/>
        <v>42.003773810561711</v>
      </c>
      <c r="R83">
        <f ca="1"/>
        <v>0</v>
      </c>
      <c r="S83">
        <f ca="1"/>
        <v>0.90433901910126158</v>
      </c>
      <c r="T83">
        <f ca="1"/>
        <v>0</v>
      </c>
      <c r="U83">
        <f ca="1"/>
        <v>0</v>
      </c>
      <c r="V83">
        <f ca="1"/>
        <v>0.94430880168632725</v>
      </c>
      <c r="X83" s="2">
        <f t="shared" ca="1" si="8"/>
        <v>45288</v>
      </c>
      <c r="Y83">
        <f t="shared" ca="1" si="9"/>
        <v>0</v>
      </c>
      <c r="AA83" s="63">
        <f t="shared" ca="1" si="11"/>
        <v>67.742719497017632</v>
      </c>
      <c r="AB83" s="63">
        <f t="shared" ca="1" si="12"/>
        <v>67.742719497017632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45289</v>
      </c>
      <c r="K84">
        <f ca="1"/>
        <v>57.753045294244011</v>
      </c>
      <c r="L84">
        <f ca="1"/>
        <v>5.7605384418260428</v>
      </c>
      <c r="M84">
        <f ca="1"/>
        <v>1.608046160913279E-2</v>
      </c>
      <c r="N84">
        <f ca="1"/>
        <v>1.1908989893560078</v>
      </c>
      <c r="O84">
        <f ca="1"/>
        <v>0</v>
      </c>
      <c r="P84">
        <f ca="1"/>
        <v>109.9984750819139</v>
      </c>
      <c r="Q84">
        <f ca="1"/>
        <v>44.325043412942279</v>
      </c>
      <c r="R84">
        <f ca="1"/>
        <v>0</v>
      </c>
      <c r="S84">
        <f ca="1"/>
        <v>0.91766173366511961</v>
      </c>
      <c r="T84">
        <f ca="1"/>
        <v>0</v>
      </c>
      <c r="U84">
        <f ca="1"/>
        <v>0</v>
      </c>
      <c r="V84">
        <f ca="1"/>
        <v>0.94528025076804012</v>
      </c>
      <c r="X84" s="2">
        <f t="shared" ca="1" si="8"/>
        <v>45289</v>
      </c>
      <c r="Y84">
        <f t="shared" ca="1" si="9"/>
        <v>0</v>
      </c>
      <c r="AA84" s="63">
        <f t="shared" ca="1" si="11"/>
        <v>63.513583736070053</v>
      </c>
      <c r="AB84" s="63">
        <f t="shared" ca="1" si="12"/>
        <v>63.513583736070053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45290</v>
      </c>
      <c r="K85">
        <f ca="1"/>
        <v>87.255501399335856</v>
      </c>
      <c r="L85">
        <f ca="1"/>
        <v>5.8391124728162538</v>
      </c>
      <c r="M85">
        <f ca="1"/>
        <v>1.6378611631814088E-2</v>
      </c>
      <c r="N85">
        <f ca="1"/>
        <v>1.235298737606574</v>
      </c>
      <c r="O85">
        <f ca="1"/>
        <v>34.089891228669714</v>
      </c>
      <c r="P85">
        <f ca="1"/>
        <v>115.83758755473015</v>
      </c>
      <c r="Q85">
        <f ca="1"/>
        <v>46.677975248205399</v>
      </c>
      <c r="R85">
        <f ca="1"/>
        <v>0</v>
      </c>
      <c r="S85">
        <f ca="1"/>
        <v>0.97419010752594093</v>
      </c>
      <c r="T85">
        <f ca="1"/>
        <v>0</v>
      </c>
      <c r="U85">
        <f ca="1"/>
        <v>0</v>
      </c>
      <c r="V85">
        <f ca="1"/>
        <v>0.9460739485984716</v>
      </c>
      <c r="X85" s="2">
        <f t="shared" ca="1" si="8"/>
        <v>45290</v>
      </c>
      <c r="Y85">
        <f t="shared" ca="1" si="9"/>
        <v>34.089891228669714</v>
      </c>
      <c r="AA85" s="63">
        <f t="shared" ca="1" si="11"/>
        <v>93.094613872152109</v>
      </c>
      <c r="AB85" s="63">
        <f t="shared" ca="1" si="12"/>
        <v>93.094613872152109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45291</v>
      </c>
      <c r="K86">
        <f ca="1"/>
        <v>78.381500426845676</v>
      </c>
      <c r="L86">
        <f ca="1"/>
        <v>5.8448365143223668</v>
      </c>
      <c r="M86">
        <f ca="1"/>
        <v>1.6463817771334988E-2</v>
      </c>
      <c r="N86">
        <f ca="1"/>
        <v>1.2031589362539352</v>
      </c>
      <c r="O86">
        <f ca="1"/>
        <v>0</v>
      </c>
      <c r="P86">
        <f ca="1"/>
        <v>121.68242406905252</v>
      </c>
      <c r="Q86">
        <f ca="1"/>
        <v>49.033213646246487</v>
      </c>
      <c r="R86">
        <f ca="1"/>
        <v>4.2487872121930925</v>
      </c>
      <c r="S86">
        <f ca="1"/>
        <v>1</v>
      </c>
      <c r="T86">
        <f ca="1"/>
        <v>9.4148140648672296</v>
      </c>
      <c r="U86">
        <f ca="1"/>
        <v>0</v>
      </c>
      <c r="V86">
        <f ca="1"/>
        <v>0.94671858826037469</v>
      </c>
      <c r="X86" s="2">
        <f t="shared" ca="1" si="8"/>
        <v>45291</v>
      </c>
      <c r="Y86">
        <f t="shared" ca="1" si="9"/>
        <v>0</v>
      </c>
      <c r="AA86" s="63">
        <f t="shared" ca="1" si="11"/>
        <v>88.475124153361136</v>
      </c>
      <c r="AB86" s="63">
        <f t="shared" ca="1" si="12"/>
        <v>88.475124153361136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45292</v>
      </c>
      <c r="K87">
        <f ca="1"/>
        <v>73.522393288827061</v>
      </c>
      <c r="L87">
        <f ca="1"/>
        <v>5.9140945302420391</v>
      </c>
      <c r="M87">
        <f ca="1"/>
        <v>1.668906829469563E-2</v>
      </c>
      <c r="N87">
        <f ca="1"/>
        <v>1.1877270184099868</v>
      </c>
      <c r="O87">
        <f ca="1"/>
        <v>0</v>
      </c>
      <c r="P87">
        <f ca="1"/>
        <v>127.59651859929455</v>
      </c>
      <c r="Q87">
        <f ca="1"/>
        <v>51.416360290834149</v>
      </c>
      <c r="R87">
        <f ca="1"/>
        <v>0.1494286944812652</v>
      </c>
      <c r="S87">
        <f ca="1"/>
        <v>1</v>
      </c>
      <c r="T87">
        <f ca="1"/>
        <v>0.35300000000000864</v>
      </c>
      <c r="U87">
        <f ca="1"/>
        <v>0</v>
      </c>
      <c r="V87">
        <f ca="1"/>
        <v>0.94725114676359412</v>
      </c>
      <c r="X87" s="2">
        <f t="shared" ca="1" si="8"/>
        <v>45292</v>
      </c>
      <c r="Y87">
        <f t="shared" ca="1" si="9"/>
        <v>0</v>
      </c>
      <c r="AA87" s="63">
        <f t="shared" ca="1" si="11"/>
        <v>79.585916513550359</v>
      </c>
      <c r="AB87" s="63">
        <f t="shared" ca="1" si="12"/>
        <v>79.585916513550359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45293</v>
      </c>
      <c r="K88">
        <f ca="1"/>
        <v>68.532313193001926</v>
      </c>
      <c r="L88">
        <f ca="1"/>
        <v>6.2290543073370799</v>
      </c>
      <c r="M88">
        <f ca="1"/>
        <v>1.7510381734283875E-2</v>
      </c>
      <c r="N88">
        <f ca="1"/>
        <v>1.2214638297776674</v>
      </c>
      <c r="O88">
        <f ca="1"/>
        <v>0</v>
      </c>
      <c r="P88">
        <f ca="1"/>
        <v>133.82557290663163</v>
      </c>
      <c r="Q88">
        <f ca="1"/>
        <v>53.926423292968337</v>
      </c>
      <c r="R88">
        <f ca="1"/>
        <v>0</v>
      </c>
      <c r="S88">
        <f ca="1"/>
        <v>0.96583333333333343</v>
      </c>
      <c r="T88">
        <f ca="1"/>
        <v>0</v>
      </c>
      <c r="U88">
        <f ca="1"/>
        <v>0</v>
      </c>
      <c r="V88">
        <f ca="1"/>
        <v>0.94770939742621485</v>
      </c>
      <c r="X88" s="2">
        <f t="shared" ca="1" si="8"/>
        <v>45293</v>
      </c>
      <c r="Y88">
        <f t="shared" ca="1" si="9"/>
        <v>0</v>
      </c>
      <c r="AA88" s="63">
        <f t="shared" ca="1" si="11"/>
        <v>74.761367500339006</v>
      </c>
      <c r="AB88" s="63">
        <f t="shared" ca="1" si="12"/>
        <v>74.761367500339006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45294</v>
      </c>
      <c r="K89">
        <f ca="1"/>
        <v>63.437858496643216</v>
      </c>
      <c r="L89">
        <f ca="1"/>
        <v>6.2721444179094306</v>
      </c>
      <c r="M89">
        <f ca="1"/>
        <v>1.7637302730315163E-2</v>
      </c>
      <c r="N89">
        <f ca="1"/>
        <v>1.1600524188203978</v>
      </c>
      <c r="O89">
        <f ca="1"/>
        <v>0</v>
      </c>
      <c r="P89">
        <f ca="1"/>
        <v>140.09771732454107</v>
      </c>
      <c r="Q89">
        <f ca="1"/>
        <v>56.453849908737766</v>
      </c>
      <c r="R89">
        <f ca="1"/>
        <v>0</v>
      </c>
      <c r="S89">
        <f ca="1"/>
        <v>0.93018207821031484</v>
      </c>
      <c r="T89">
        <f ca="1"/>
        <v>0</v>
      </c>
      <c r="U89">
        <f ca="1"/>
        <v>0</v>
      </c>
      <c r="V89">
        <f ca="1"/>
        <v>0.9480865839794822</v>
      </c>
      <c r="X89" s="2">
        <f t="shared" ca="1" si="8"/>
        <v>45294</v>
      </c>
      <c r="Y89">
        <f t="shared" ca="1" si="9"/>
        <v>0</v>
      </c>
      <c r="AA89" s="63">
        <f t="shared" ca="1" si="11"/>
        <v>69.710002914552646</v>
      </c>
      <c r="AB89" s="63">
        <f t="shared" ca="1" si="12"/>
        <v>69.710002914552646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45295</v>
      </c>
      <c r="K90">
        <f ca="1"/>
        <v>58.07669677237935</v>
      </c>
      <c r="L90">
        <f ca="1"/>
        <v>6.5082279889249435</v>
      </c>
      <c r="M90">
        <f ca="1"/>
        <v>1.8243579644299679E-2</v>
      </c>
      <c r="N90">
        <f ca="1"/>
        <v>1.1288226850167684</v>
      </c>
      <c r="O90">
        <f ca="1"/>
        <v>0</v>
      </c>
      <c r="P90">
        <f ca="1"/>
        <v>146.60594531346601</v>
      </c>
      <c r="Q90">
        <f ca="1"/>
        <v>59.076408884538104</v>
      </c>
      <c r="R90">
        <f ca="1"/>
        <v>0</v>
      </c>
      <c r="S90">
        <f ca="1"/>
        <v>0.89428325628035588</v>
      </c>
      <c r="T90">
        <f ca="1"/>
        <v>0</v>
      </c>
      <c r="U90">
        <f ca="1"/>
        <v>0</v>
      </c>
      <c r="V90">
        <f ca="1"/>
        <v>0.94840713808635579</v>
      </c>
      <c r="X90" s="2">
        <f t="shared" ca="1" si="8"/>
        <v>45295</v>
      </c>
      <c r="Y90">
        <f t="shared" ca="1" si="9"/>
        <v>0</v>
      </c>
      <c r="AA90" s="63">
        <f t="shared" ca="1" si="11"/>
        <v>64.584924761304279</v>
      </c>
      <c r="AB90" s="63">
        <f t="shared" ca="1" si="12"/>
        <v>64.584924761304293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45296</v>
      </c>
      <c r="K91">
        <f ca="1"/>
        <v>52.744196204949482</v>
      </c>
      <c r="L91">
        <f ca="1"/>
        <v>6.4046372541741619</v>
      </c>
      <c r="M91">
        <f ca="1"/>
        <v>1.7996198466204483E-2</v>
      </c>
      <c r="N91">
        <f ca="1"/>
        <v>1.0541404882780836</v>
      </c>
      <c r="O91">
        <f ca="1"/>
        <v>0</v>
      </c>
      <c r="P91">
        <f ca="1"/>
        <v>153.01058256764017</v>
      </c>
      <c r="Q91">
        <f ca="1"/>
        <v>61.65722488334184</v>
      </c>
      <c r="R91">
        <f ca="1"/>
        <v>0</v>
      </c>
      <c r="S91">
        <f ca="1"/>
        <v>0.86494655011954968</v>
      </c>
      <c r="T91">
        <f ca="1"/>
        <v>0</v>
      </c>
      <c r="U91">
        <f ca="1"/>
        <v>0</v>
      </c>
      <c r="V91">
        <f ca="1"/>
        <v>0.94866641300673826</v>
      </c>
      <c r="X91" s="2">
        <f t="shared" ca="1" si="8"/>
        <v>45296</v>
      </c>
      <c r="Y91">
        <f t="shared" ca="1" si="9"/>
        <v>0</v>
      </c>
      <c r="AA91" s="63">
        <f t="shared" ca="1" si="11"/>
        <v>59.148833459123644</v>
      </c>
      <c r="AB91" s="63">
        <f t="shared" ca="1" si="12"/>
        <v>59.148833459123644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45297</v>
      </c>
      <c r="K92">
        <f ca="1"/>
        <v>47.263190828474471</v>
      </c>
      <c r="L92">
        <f ca="1"/>
        <v>6.5304699294135844</v>
      </c>
      <c r="M92">
        <f ca="1"/>
        <v>1.8324722907300917E-2</v>
      </c>
      <c r="N92">
        <f ca="1"/>
        <v>1.0311398300312751</v>
      </c>
      <c r="O92">
        <f ca="1"/>
        <v>0</v>
      </c>
      <c r="P92">
        <f ca="1"/>
        <v>159.54105249705376</v>
      </c>
      <c r="Q92">
        <f ca="1"/>
        <v>64.288746483187779</v>
      </c>
      <c r="R92">
        <f ca="1"/>
        <v>0</v>
      </c>
      <c r="S92">
        <f ca="1"/>
        <v>0.84306091399636118</v>
      </c>
      <c r="T92">
        <f ca="1"/>
        <v>0</v>
      </c>
      <c r="U92">
        <f ca="1"/>
        <v>0</v>
      </c>
      <c r="V92">
        <f ca="1"/>
        <v>0.94888478780532359</v>
      </c>
      <c r="X92" s="2">
        <f t="shared" ca="1" si="8"/>
        <v>45297</v>
      </c>
      <c r="Y92">
        <f t="shared" ca="1" si="9"/>
        <v>0</v>
      </c>
      <c r="AA92" s="63">
        <f t="shared" ca="1" si="11"/>
        <v>53.793660757888055</v>
      </c>
      <c r="AB92" s="63">
        <f t="shared" ca="1" si="12"/>
        <v>53.793660757888055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45298</v>
      </c>
      <c r="K93">
        <f ca="1"/>
        <v>41.486998293597367</v>
      </c>
      <c r="L93">
        <f ca="1"/>
        <v>6.829833802817376</v>
      </c>
      <c r="M93">
        <f ca="1"/>
        <v>1.9098662342573292E-2</v>
      </c>
      <c r="N93">
        <f ca="1"/>
        <v>1.0345426055977023</v>
      </c>
      <c r="O93">
        <f ca="1"/>
        <v>0</v>
      </c>
      <c r="P93">
        <f ca="1"/>
        <v>166.37088629987113</v>
      </c>
      <c r="Q93">
        <f ca="1"/>
        <v>67.040899907020432</v>
      </c>
      <c r="R93">
        <f ca="1"/>
        <v>0</v>
      </c>
      <c r="S93">
        <f ca="1"/>
        <v>0.81996529201875146</v>
      </c>
      <c r="T93">
        <f ca="1"/>
        <v>0</v>
      </c>
      <c r="U93">
        <f ca="1"/>
        <v>0</v>
      </c>
      <c r="V93">
        <f ca="1"/>
        <v>0.94907318253985551</v>
      </c>
      <c r="X93" s="2">
        <f t="shared" ca="1" si="8"/>
        <v>45298</v>
      </c>
      <c r="Y93">
        <f t="shared" ca="1" si="9"/>
        <v>0</v>
      </c>
      <c r="AA93" s="63">
        <f t="shared" ca="1" si="11"/>
        <v>48.316832096414743</v>
      </c>
      <c r="AB93" s="63">
        <f t="shared" ca="1" si="12"/>
        <v>48.316832096414743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45299</v>
      </c>
      <c r="K94">
        <f ca="1"/>
        <v>35.572171752540903</v>
      </c>
      <c r="L94">
        <f ca="1"/>
        <v>6.9974474104683395</v>
      </c>
      <c r="M94">
        <f ca="1"/>
        <v>1.9559851137067596E-2</v>
      </c>
      <c r="N94">
        <f ca="1"/>
        <v>1.0630610182748117</v>
      </c>
      <c r="O94">
        <f ca="1"/>
        <v>0</v>
      </c>
      <c r="P94">
        <f ca="1"/>
        <v>173.36833371033947</v>
      </c>
      <c r="Q94">
        <f ca="1"/>
        <v>69.860594998409809</v>
      </c>
      <c r="R94">
        <f ca="1"/>
        <v>0</v>
      </c>
      <c r="S94">
        <f ca="1"/>
        <v>0.82885810376558433</v>
      </c>
      <c r="T94">
        <f ca="1"/>
        <v>0</v>
      </c>
      <c r="U94">
        <f ca="1"/>
        <v>0</v>
      </c>
      <c r="V94">
        <f ca="1"/>
        <v>0.94923204538507788</v>
      </c>
      <c r="X94" s="2">
        <f t="shared" ca="1" si="8"/>
        <v>45299</v>
      </c>
      <c r="Y94">
        <f t="shared" ca="1" si="9"/>
        <v>0</v>
      </c>
      <c r="AA94" s="63">
        <f t="shared" ca="1" si="11"/>
        <v>42.569619163009243</v>
      </c>
      <c r="AB94" s="63">
        <f t="shared" ca="1" si="12"/>
        <v>42.569619163009243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45300</v>
      </c>
      <c r="K95">
        <f ca="1"/>
        <v>29.540547568532759</v>
      </c>
      <c r="L95">
        <f ca="1"/>
        <v>7.1533851626784895</v>
      </c>
      <c r="M95">
        <f ca="1"/>
        <v>2.001450963259277E-2</v>
      </c>
      <c r="N95">
        <f ca="1"/>
        <v>1.1017464690377494</v>
      </c>
      <c r="O95">
        <f ca="1"/>
        <v>0</v>
      </c>
      <c r="P95">
        <f ca="1"/>
        <v>180.52171887301796</v>
      </c>
      <c r="Q95">
        <f ca="1"/>
        <v>72.7431268485023</v>
      </c>
      <c r="R95">
        <f ca="1"/>
        <v>0</v>
      </c>
      <c r="S95">
        <f ca="1"/>
        <v>0.8439043027558899</v>
      </c>
      <c r="T95">
        <f ca="1"/>
        <v>0</v>
      </c>
      <c r="U95">
        <f ca="1"/>
        <v>0</v>
      </c>
      <c r="V95">
        <f ca="1"/>
        <v>0.94936565944166018</v>
      </c>
      <c r="X95" s="2">
        <f t="shared" ca="1" si="8"/>
        <v>45300</v>
      </c>
      <c r="Y95">
        <f t="shared" ca="1" si="9"/>
        <v>0</v>
      </c>
      <c r="AA95" s="63">
        <f t="shared" ca="1" si="11"/>
        <v>36.693932731211248</v>
      </c>
      <c r="AB95" s="63">
        <f t="shared" ca="1" si="12"/>
        <v>36.693932731211248</v>
      </c>
      <c r="AC95" s="3">
        <f t="shared" ca="1" si="13"/>
        <v>0</v>
      </c>
    </row>
    <row r="96" spans="8:29">
      <c r="H96" t="b">
        <f t="shared" ca="1" si="10"/>
        <v>0</v>
      </c>
      <c r="I96" t="b">
        <f t="shared" ca="1" si="7"/>
        <v>1</v>
      </c>
      <c r="J96" s="2">
        <f ca="1"/>
        <v>45301</v>
      </c>
      <c r="K96">
        <f ca="1"/>
        <v>23.510958756573242</v>
      </c>
      <c r="L96">
        <f ca="1"/>
        <v>7.0897096984107861</v>
      </c>
      <c r="M96">
        <f ca="1"/>
        <v>1.9916060161958349E-2</v>
      </c>
      <c r="N96">
        <f ca="1"/>
        <v>1.0402048262893104</v>
      </c>
      <c r="O96">
        <f ca="1"/>
        <v>0</v>
      </c>
      <c r="P96">
        <f ca="1"/>
        <v>187.61142857142875</v>
      </c>
      <c r="Q96">
        <f ca="1"/>
        <v>75.600000000000065</v>
      </c>
      <c r="R96">
        <f ca="1"/>
        <v>0</v>
      </c>
      <c r="S96">
        <f ca="1"/>
        <v>0.80867169883522316</v>
      </c>
      <c r="T96">
        <f ca="1"/>
        <v>0</v>
      </c>
      <c r="U96">
        <f ca="1"/>
        <v>0</v>
      </c>
      <c r="V96">
        <f ca="1"/>
        <v>0.94947486029492256</v>
      </c>
      <c r="X96" s="2">
        <f t="shared" ca="1" si="8"/>
        <v>45301</v>
      </c>
      <c r="Y96">
        <f t="shared" ca="1" si="9"/>
        <v>0</v>
      </c>
      <c r="AA96" s="63">
        <f t="shared" ca="1" si="11"/>
        <v>30.600668454984028</v>
      </c>
      <c r="AB96" s="63">
        <f t="shared" ca="1" si="12"/>
        <v>30.600668454984028</v>
      </c>
      <c r="AC96" s="3">
        <f t="shared" ca="1" si="13"/>
        <v>0</v>
      </c>
    </row>
    <row r="97" spans="8:29">
      <c r="H97" t="b">
        <f t="shared" ca="1" si="10"/>
        <v>0</v>
      </c>
      <c r="I97" t="b">
        <f t="shared" ca="1" si="7"/>
        <v>0</v>
      </c>
      <c r="J97" s="2">
        <f ca="1"/>
        <v>45302</v>
      </c>
      <c r="K97">
        <f ca="1"/>
        <v>30.025515679064629</v>
      </c>
      <c r="L97">
        <f ca="1"/>
        <v>0</v>
      </c>
      <c r="M97">
        <f ca="1"/>
        <v>5.5401574345802764</v>
      </c>
      <c r="N97">
        <f ca="1"/>
        <v>0.97439948791111064</v>
      </c>
      <c r="O97">
        <f ca="1"/>
        <v>0</v>
      </c>
      <c r="P97">
        <f ca="1"/>
        <v>0</v>
      </c>
      <c r="Q97">
        <f ca="1"/>
        <v>0</v>
      </c>
      <c r="R97">
        <f ca="1"/>
        <v>0</v>
      </c>
      <c r="S97">
        <f ca="1"/>
        <v>0.77347044435456325</v>
      </c>
      <c r="T97">
        <f ca="1"/>
        <v>0</v>
      </c>
      <c r="U97">
        <f ca="1"/>
        <v>0</v>
      </c>
      <c r="V97">
        <f ca="1"/>
        <v>0</v>
      </c>
      <c r="X97" s="2">
        <f t="shared" ca="1" si="8"/>
        <v>45302</v>
      </c>
      <c r="Y97">
        <f t="shared" ca="1" si="9"/>
        <v>0</v>
      </c>
      <c r="AA97" s="63">
        <f t="shared" ca="1" si="11"/>
        <v>30.025515679064629</v>
      </c>
      <c r="AB97" s="63">
        <f t="shared" ca="1" si="12"/>
        <v>30.025515679064629</v>
      </c>
      <c r="AC97" s="3">
        <f t="shared" ca="1" si="13"/>
        <v>0</v>
      </c>
    </row>
    <row r="98" spans="8:29">
      <c r="H98" t="b">
        <f t="shared" ca="1" si="10"/>
        <v>0</v>
      </c>
      <c r="I98" t="b">
        <f t="shared" ca="1" si="7"/>
        <v>0</v>
      </c>
      <c r="J98" s="2">
        <f ca="1"/>
        <v>45303</v>
      </c>
      <c r="K98">
        <f ca="1"/>
        <v>35.970935815100184</v>
      </c>
      <c r="L98">
        <f ca="1"/>
        <v>0</v>
      </c>
      <c r="M98">
        <f ca="1"/>
        <v>5.0048180455780447</v>
      </c>
      <c r="N98">
        <f ca="1"/>
        <v>0.94060209045750864</v>
      </c>
      <c r="O98">
        <f ca="1"/>
        <v>0</v>
      </c>
      <c r="P98">
        <f ca="1"/>
        <v>0</v>
      </c>
      <c r="Q98">
        <f ca="1"/>
        <v>0</v>
      </c>
      <c r="R98">
        <f ca="1"/>
        <v>0</v>
      </c>
      <c r="S98">
        <f ca="1"/>
        <v>0.73981546220526462</v>
      </c>
      <c r="T98">
        <f ca="1"/>
        <v>0</v>
      </c>
      <c r="U98">
        <f ca="1"/>
        <v>0</v>
      </c>
      <c r="V98">
        <f ca="1"/>
        <v>0</v>
      </c>
      <c r="X98" s="2">
        <f t="shared" ca="1" si="8"/>
        <v>45303</v>
      </c>
      <c r="Y98">
        <f t="shared" ca="1" si="9"/>
        <v>0</v>
      </c>
      <c r="AA98" s="63">
        <f t="shared" ca="1" si="11"/>
        <v>35.970935815100184</v>
      </c>
      <c r="AB98" s="63">
        <f t="shared" ca="1" si="12"/>
        <v>35.970935815100184</v>
      </c>
      <c r="AC98" s="3">
        <f t="shared" ca="1" si="13"/>
        <v>0</v>
      </c>
    </row>
    <row r="99" spans="8:29">
      <c r="H99" t="b">
        <f t="shared" ca="1" si="10"/>
        <v>0</v>
      </c>
      <c r="I99" t="b">
        <f t="shared" ca="1" si="7"/>
        <v>0</v>
      </c>
      <c r="J99" s="2">
        <f ca="1"/>
        <v>45304</v>
      </c>
      <c r="K99">
        <f ca="1"/>
        <v>41.457197580277217</v>
      </c>
      <c r="L99">
        <f ca="1"/>
        <v>0</v>
      </c>
      <c r="M99">
        <f ca="1"/>
        <v>4.5249516930163542</v>
      </c>
      <c r="N99">
        <f ca="1"/>
        <v>0.96131007216067665</v>
      </c>
      <c r="O99">
        <f ca="1"/>
        <v>0</v>
      </c>
      <c r="P99">
        <f ca="1"/>
        <v>0</v>
      </c>
      <c r="Q99">
        <f ca="1"/>
        <v>0</v>
      </c>
      <c r="R99">
        <f ca="1"/>
        <v>0</v>
      </c>
      <c r="S99">
        <f ca="1"/>
        <v>0.74730644076261377</v>
      </c>
      <c r="T99">
        <f ca="1"/>
        <v>0</v>
      </c>
      <c r="U99">
        <f ca="1"/>
        <v>0</v>
      </c>
      <c r="V99">
        <f ca="1"/>
        <v>0</v>
      </c>
      <c r="X99" s="2">
        <f t="shared" ca="1" si="8"/>
        <v>45304</v>
      </c>
      <c r="Y99">
        <f t="shared" ca="1" si="9"/>
        <v>0</v>
      </c>
      <c r="AA99" s="63">
        <f t="shared" ca="1" si="11"/>
        <v>41.457197580277217</v>
      </c>
      <c r="AB99" s="63">
        <f t="shared" ca="1" si="12"/>
        <v>41.457197580277217</v>
      </c>
      <c r="AC99" s="3">
        <f t="shared" ca="1" si="13"/>
        <v>0</v>
      </c>
    </row>
    <row r="100" spans="8:29">
      <c r="H100" t="b">
        <f t="shared" ca="1" si="10"/>
        <v>0</v>
      </c>
      <c r="I100" t="b">
        <f t="shared" ca="1" si="7"/>
        <v>0</v>
      </c>
      <c r="J100" s="2">
        <f ca="1"/>
        <v>45305</v>
      </c>
      <c r="K100">
        <f ca="1"/>
        <v>46.511396580645837</v>
      </c>
      <c r="L100">
        <f ca="1"/>
        <v>0</v>
      </c>
      <c r="M100">
        <f ca="1"/>
        <v>4.0986232355334806</v>
      </c>
      <c r="N100">
        <f ca="1"/>
        <v>0.95557576483514239</v>
      </c>
      <c r="O100">
        <f ca="1"/>
        <v>0</v>
      </c>
      <c r="P100">
        <f ca="1"/>
        <v>0</v>
      </c>
      <c r="Q100">
        <f ca="1"/>
        <v>0</v>
      </c>
      <c r="R100">
        <f ca="1"/>
        <v>0</v>
      </c>
      <c r="S100">
        <f ca="1"/>
        <v>0.73044463798334469</v>
      </c>
      <c r="T100">
        <f ca="1"/>
        <v>0</v>
      </c>
      <c r="U100">
        <f ca="1"/>
        <v>0</v>
      </c>
      <c r="V100">
        <f ca="1"/>
        <v>0</v>
      </c>
      <c r="X100" s="2">
        <f t="shared" ca="1" si="8"/>
        <v>45305</v>
      </c>
      <c r="Y100">
        <f t="shared" ca="1" si="9"/>
        <v>0</v>
      </c>
      <c r="AA100" s="63">
        <f t="shared" ca="1" si="11"/>
        <v>46.511396580645837</v>
      </c>
      <c r="AB100" s="63">
        <f t="shared" ca="1" si="12"/>
        <v>46.511396580645837</v>
      </c>
      <c r="AC100" s="3">
        <f t="shared" ca="1" si="13"/>
        <v>0</v>
      </c>
    </row>
    <row r="101" spans="8:29">
      <c r="H101" t="b">
        <f t="shared" ca="1" si="10"/>
        <v>0</v>
      </c>
      <c r="I101" t="b">
        <f t="shared" ca="1" si="7"/>
        <v>0</v>
      </c>
      <c r="J101" s="2">
        <f ca="1"/>
        <v>45306</v>
      </c>
      <c r="K101">
        <f ca="1"/>
        <v>51.069226902705282</v>
      </c>
      <c r="L101">
        <f ca="1"/>
        <v>0</v>
      </c>
      <c r="M101">
        <f ca="1"/>
        <v>3.6429643676708245</v>
      </c>
      <c r="N101">
        <f ca="1"/>
        <v>0.91486595438861629</v>
      </c>
      <c r="O101">
        <f ca="1"/>
        <v>0</v>
      </c>
      <c r="P101">
        <f ca="1"/>
        <v>0</v>
      </c>
      <c r="Q101">
        <f ca="1"/>
        <v>0</v>
      </c>
      <c r="R101">
        <f ca="1"/>
        <v>0</v>
      </c>
      <c r="S101">
        <f ca="1"/>
        <v>0.69924368161603068</v>
      </c>
      <c r="T101">
        <f ca="1"/>
        <v>0</v>
      </c>
      <c r="U101">
        <f ca="1"/>
        <v>0</v>
      </c>
      <c r="V101">
        <f ca="1"/>
        <v>0</v>
      </c>
      <c r="X101" s="2">
        <f t="shared" ca="1" si="8"/>
        <v>45306</v>
      </c>
      <c r="Y101">
        <f t="shared" ca="1" si="9"/>
        <v>0</v>
      </c>
      <c r="AA101" s="63">
        <f t="shared" ca="1" si="11"/>
        <v>51.069226902705282</v>
      </c>
      <c r="AB101" s="63">
        <f t="shared" ca="1" si="12"/>
        <v>51.069226902705282</v>
      </c>
      <c r="AC101" s="3">
        <f t="shared" ca="1" si="13"/>
        <v>0</v>
      </c>
    </row>
    <row r="102" spans="8:29">
      <c r="H102" t="b">
        <f t="shared" ca="1" si="10"/>
        <v>0</v>
      </c>
      <c r="I102" t="b">
        <f t="shared" ca="1" si="7"/>
        <v>0</v>
      </c>
      <c r="J102" s="2">
        <f ca="1"/>
        <v>45307</v>
      </c>
      <c r="K102">
        <f ca="1"/>
        <v>55.219441538334692</v>
      </c>
      <c r="L102">
        <f ca="1"/>
        <v>0</v>
      </c>
      <c r="M102">
        <f ca="1"/>
        <v>3.2384348474342701</v>
      </c>
      <c r="N102">
        <f ca="1"/>
        <v>0.91177978819513961</v>
      </c>
      <c r="O102">
        <f ca="1"/>
        <v>0</v>
      </c>
      <c r="P102">
        <f ca="1"/>
        <v>0</v>
      </c>
      <c r="Q102">
        <f ca="1"/>
        <v>0</v>
      </c>
      <c r="R102">
        <f ca="1"/>
        <v>0</v>
      </c>
      <c r="S102">
        <f ca="1"/>
        <v>0.69780971273155834</v>
      </c>
      <c r="T102">
        <f ca="1"/>
        <v>0</v>
      </c>
      <c r="U102">
        <f ca="1"/>
        <v>0</v>
      </c>
      <c r="V102">
        <f ca="1"/>
        <v>0</v>
      </c>
      <c r="X102" s="2">
        <f t="shared" ca="1" si="8"/>
        <v>45307</v>
      </c>
      <c r="Y102">
        <f t="shared" ca="1" si="9"/>
        <v>0</v>
      </c>
      <c r="AA102" s="63">
        <f t="shared" ca="1" si="11"/>
        <v>55.219441538334692</v>
      </c>
      <c r="AB102" s="63">
        <f t="shared" ca="1" si="12"/>
        <v>55.219441538334692</v>
      </c>
      <c r="AC102" s="3">
        <f t="shared" ca="1" si="13"/>
        <v>0</v>
      </c>
    </row>
    <row r="103" spans="8:29">
      <c r="H103" t="b">
        <f t="shared" ca="1" si="10"/>
        <v>0</v>
      </c>
      <c r="I103" t="b">
        <f t="shared" ca="1" si="7"/>
        <v>0</v>
      </c>
      <c r="J103" s="2">
        <f ca="1"/>
        <v>45308</v>
      </c>
      <c r="K103">
        <f ca="1"/>
        <v>58.954944688896333</v>
      </c>
      <c r="L103">
        <f ca="1"/>
        <v>0</v>
      </c>
      <c r="M103">
        <f ca="1"/>
        <v>2.8399183960984722</v>
      </c>
      <c r="N103">
        <f ca="1"/>
        <v>0.8955847544631732</v>
      </c>
      <c r="O103">
        <f ca="1"/>
        <v>0</v>
      </c>
      <c r="P103">
        <f ca="1"/>
        <v>0</v>
      </c>
      <c r="Q103">
        <f ca="1"/>
        <v>0</v>
      </c>
      <c r="R103">
        <f ca="1"/>
        <v>0</v>
      </c>
      <c r="S103">
        <f ca="1"/>
        <v>0.69658213966793125</v>
      </c>
      <c r="T103">
        <f ca="1"/>
        <v>0</v>
      </c>
      <c r="U103">
        <f ca="1"/>
        <v>0</v>
      </c>
      <c r="V103">
        <f ca="1"/>
        <v>0</v>
      </c>
      <c r="X103" s="2">
        <f t="shared" ca="1" si="8"/>
        <v>45308</v>
      </c>
      <c r="Y103">
        <f t="shared" ca="1" si="9"/>
        <v>0</v>
      </c>
      <c r="AA103" s="63">
        <f t="shared" ca="1" si="11"/>
        <v>58.954944688896333</v>
      </c>
      <c r="AB103" s="63">
        <f t="shared" ca="1" si="12"/>
        <v>58.954944688896333</v>
      </c>
      <c r="AC103" s="3">
        <f t="shared" ca="1" si="13"/>
        <v>0</v>
      </c>
    </row>
    <row r="104" spans="8:29">
      <c r="H104" t="b">
        <f t="shared" ca="1" si="10"/>
        <v>0</v>
      </c>
      <c r="I104" t="b">
        <f t="shared" ca="1" si="7"/>
        <v>0</v>
      </c>
      <c r="J104" s="2">
        <f ca="1"/>
        <v>45309</v>
      </c>
      <c r="K104">
        <f ca="1"/>
        <v>62.375300840161898</v>
      </c>
      <c r="L104">
        <f ca="1"/>
        <v>0</v>
      </c>
      <c r="M104">
        <f ca="1"/>
        <v>2.5376698666726689</v>
      </c>
      <c r="N104">
        <f ca="1"/>
        <v>0.88268628459289566</v>
      </c>
      <c r="O104">
        <f ca="1"/>
        <v>0</v>
      </c>
      <c r="P104">
        <f ca="1"/>
        <v>0</v>
      </c>
      <c r="Q104">
        <f ca="1"/>
        <v>0</v>
      </c>
      <c r="R104">
        <f ca="1"/>
        <v>0</v>
      </c>
      <c r="S104">
        <f ca="1"/>
        <v>0.68287060308400849</v>
      </c>
      <c r="T104">
        <f ca="1"/>
        <v>0</v>
      </c>
      <c r="U104">
        <f ca="1"/>
        <v>0</v>
      </c>
      <c r="V104">
        <f ca="1"/>
        <v>0</v>
      </c>
      <c r="X104" s="2">
        <f t="shared" ca="1" si="8"/>
        <v>45309</v>
      </c>
      <c r="Y104">
        <f t="shared" ca="1" si="9"/>
        <v>0</v>
      </c>
      <c r="AA104" s="63">
        <f t="shared" ca="1" si="11"/>
        <v>62.375300840161898</v>
      </c>
      <c r="AB104" s="63">
        <f t="shared" ca="1" si="12"/>
        <v>62.375300840161898</v>
      </c>
      <c r="AC104" s="3">
        <f t="shared" ca="1" si="13"/>
        <v>0</v>
      </c>
    </row>
    <row r="105" spans="8:29">
      <c r="H105" t="b">
        <f t="shared" ca="1" si="10"/>
        <v>0</v>
      </c>
      <c r="I105" t="b">
        <f t="shared" ca="1" si="7"/>
        <v>0</v>
      </c>
      <c r="J105" s="2">
        <f ca="1"/>
        <v>45310</v>
      </c>
      <c r="K105">
        <f ca="1"/>
        <v>65.562040871829822</v>
      </c>
      <c r="L105">
        <f ca="1"/>
        <v>0</v>
      </c>
      <c r="M105">
        <f ca="1"/>
        <v>2.3011149132543629</v>
      </c>
      <c r="N105">
        <f ca="1"/>
        <v>0.88562511841356661</v>
      </c>
      <c r="O105">
        <f ca="1"/>
        <v>0</v>
      </c>
      <c r="P105">
        <f ca="1"/>
        <v>0</v>
      </c>
      <c r="Q105">
        <f ca="1"/>
        <v>0</v>
      </c>
      <c r="R105">
        <f ca="1"/>
        <v>0</v>
      </c>
      <c r="S105">
        <f ca="1"/>
        <v>0.66927140062757273</v>
      </c>
      <c r="T105">
        <f ca="1"/>
        <v>0</v>
      </c>
      <c r="U105">
        <f ca="1"/>
        <v>0</v>
      </c>
      <c r="V105">
        <f ca="1"/>
        <v>0</v>
      </c>
      <c r="X105" s="2">
        <f t="shared" ca="1" si="8"/>
        <v>45310</v>
      </c>
      <c r="Y105">
        <f t="shared" ca="1" si="9"/>
        <v>0</v>
      </c>
      <c r="AA105" s="63">
        <f t="shared" ca="1" si="11"/>
        <v>65.562040871829836</v>
      </c>
      <c r="AB105" s="63">
        <f t="shared" ca="1" si="12"/>
        <v>65.562040871829822</v>
      </c>
      <c r="AC105" s="3">
        <f t="shared" ca="1" si="13"/>
        <v>0</v>
      </c>
    </row>
    <row r="106" spans="8:29">
      <c r="H106" t="b">
        <f t="shared" ca="1" si="10"/>
        <v>0</v>
      </c>
      <c r="I106" t="b">
        <f t="shared" ca="1" si="7"/>
        <v>0</v>
      </c>
      <c r="J106" s="2">
        <f ca="1"/>
        <v>45311</v>
      </c>
      <c r="K106">
        <f ca="1"/>
        <v>68.443814329929637</v>
      </c>
      <c r="L106">
        <f ca="1"/>
        <v>0</v>
      </c>
      <c r="M106">
        <f ca="1"/>
        <v>2.0321658105137281</v>
      </c>
      <c r="N106">
        <f ca="1"/>
        <v>0.84960764758608964</v>
      </c>
      <c r="O106">
        <f ca="1"/>
        <v>0</v>
      </c>
      <c r="P106">
        <f ca="1"/>
        <v>0</v>
      </c>
      <c r="Q106">
        <f ca="1"/>
        <v>0</v>
      </c>
      <c r="R106">
        <f ca="1"/>
        <v>0</v>
      </c>
      <c r="S106">
        <f ca="1"/>
        <v>0.64198324873886614</v>
      </c>
      <c r="T106">
        <f ca="1"/>
        <v>0</v>
      </c>
      <c r="U106">
        <f ca="1"/>
        <v>0</v>
      </c>
      <c r="V106">
        <f ca="1"/>
        <v>0</v>
      </c>
      <c r="X106" s="2">
        <f t="shared" ca="1" si="8"/>
        <v>45311</v>
      </c>
      <c r="Y106">
        <f t="shared" ca="1" si="9"/>
        <v>0</v>
      </c>
      <c r="AA106" s="63">
        <f t="shared" ca="1" si="11"/>
        <v>68.443814329929637</v>
      </c>
      <c r="AB106" s="63">
        <f t="shared" ca="1" si="12"/>
        <v>68.443814329929637</v>
      </c>
      <c r="AC106" s="3">
        <f t="shared" ca="1" si="13"/>
        <v>0</v>
      </c>
    </row>
    <row r="107" spans="8:29">
      <c r="H107" t="b">
        <f t="shared" ca="1" si="10"/>
        <v>0</v>
      </c>
      <c r="I107" t="b">
        <f t="shared" ca="1" si="7"/>
        <v>0</v>
      </c>
      <c r="J107" s="2">
        <f ca="1"/>
        <v>45312</v>
      </c>
      <c r="K107">
        <f ca="1"/>
        <v>71.242972052912805</v>
      </c>
      <c r="L107">
        <f ca="1"/>
        <v>0</v>
      </c>
      <c r="M107">
        <f ca="1"/>
        <v>1.8302306693717014</v>
      </c>
      <c r="N107">
        <f ca="1"/>
        <v>0.96892705361147247</v>
      </c>
      <c r="O107">
        <f ca="1"/>
        <v>0</v>
      </c>
      <c r="P107">
        <f ca="1"/>
        <v>0</v>
      </c>
      <c r="Q107">
        <f ca="1"/>
        <v>0</v>
      </c>
      <c r="R107">
        <f ca="1"/>
        <v>0</v>
      </c>
      <c r="S107">
        <f ca="1"/>
        <v>0.72816493094109647</v>
      </c>
      <c r="T107">
        <f ca="1"/>
        <v>0</v>
      </c>
      <c r="U107">
        <f ca="1"/>
        <v>0</v>
      </c>
      <c r="V107">
        <f ca="1"/>
        <v>0</v>
      </c>
      <c r="X107" s="2">
        <f t="shared" ca="1" si="8"/>
        <v>45312</v>
      </c>
      <c r="Y107">
        <f t="shared" ca="1" si="9"/>
        <v>0</v>
      </c>
      <c r="AA107" s="63">
        <f t="shared" ca="1" si="11"/>
        <v>71.242972052912805</v>
      </c>
      <c r="AB107" s="63">
        <f t="shared" ca="1" si="12"/>
        <v>71.242972052912805</v>
      </c>
      <c r="AC107" s="3">
        <f t="shared" ca="1" si="13"/>
        <v>0</v>
      </c>
    </row>
    <row r="108" spans="8:29">
      <c r="H108" t="b">
        <f t="shared" ca="1" si="10"/>
        <v>0</v>
      </c>
      <c r="I108" t="b">
        <f t="shared" ca="1" si="7"/>
        <v>0</v>
      </c>
      <c r="J108" s="2">
        <f ca="1"/>
        <v>45313</v>
      </c>
      <c r="K108">
        <f ca="1"/>
        <v>73.863448135116442</v>
      </c>
      <c r="L108">
        <f ca="1"/>
        <v>0</v>
      </c>
      <c r="M108">
        <f ca="1"/>
        <v>1.6294543884014772</v>
      </c>
      <c r="N108">
        <f ca="1"/>
        <v>0.99102169380216876</v>
      </c>
      <c r="O108">
        <f ca="1"/>
        <v>0</v>
      </c>
      <c r="P108">
        <f ca="1"/>
        <v>0</v>
      </c>
      <c r="Q108">
        <f ca="1"/>
        <v>0</v>
      </c>
      <c r="R108">
        <f ca="1"/>
        <v>0</v>
      </c>
      <c r="S108">
        <f ca="1"/>
        <v>0.74025907759258103</v>
      </c>
      <c r="T108">
        <f ca="1"/>
        <v>0</v>
      </c>
      <c r="U108">
        <f ca="1"/>
        <v>0</v>
      </c>
      <c r="V108">
        <f ca="1"/>
        <v>0</v>
      </c>
      <c r="X108" s="2">
        <f t="shared" ca="1" si="8"/>
        <v>45313</v>
      </c>
      <c r="Y108">
        <f t="shared" ca="1" si="9"/>
        <v>0</v>
      </c>
      <c r="AA108" s="63">
        <f t="shared" ca="1" si="11"/>
        <v>73.863448135116442</v>
      </c>
      <c r="AB108" s="63">
        <f t="shared" ca="1" si="12"/>
        <v>73.863448135116442</v>
      </c>
      <c r="AC108" s="3">
        <f t="shared" ca="1" si="13"/>
        <v>0</v>
      </c>
    </row>
    <row r="109" spans="8:29">
      <c r="H109" t="b">
        <f t="shared" ca="1" si="10"/>
        <v>0</v>
      </c>
      <c r="I109" t="b">
        <f t="shared" ca="1" si="7"/>
        <v>0</v>
      </c>
      <c r="J109" s="2">
        <f ca="1"/>
        <v>45314</v>
      </c>
      <c r="K109">
        <f ca="1"/>
        <v>76.282434792356412</v>
      </c>
      <c r="L109">
        <f ca="1"/>
        <v>0</v>
      </c>
      <c r="M109">
        <f ca="1"/>
        <v>1.442374574520791</v>
      </c>
      <c r="N109">
        <f ca="1"/>
        <v>0.97661208271918587</v>
      </c>
      <c r="O109">
        <f ca="1"/>
        <v>0</v>
      </c>
      <c r="P109">
        <f ca="1"/>
        <v>0</v>
      </c>
      <c r="Q109">
        <f ca="1"/>
        <v>0</v>
      </c>
      <c r="R109">
        <f ca="1"/>
        <v>0</v>
      </c>
      <c r="S109">
        <f ca="1"/>
        <v>0.72806313563682978</v>
      </c>
      <c r="T109">
        <f ca="1"/>
        <v>0</v>
      </c>
      <c r="U109">
        <f ca="1"/>
        <v>0</v>
      </c>
      <c r="V109">
        <f ca="1"/>
        <v>0</v>
      </c>
      <c r="X109" s="2">
        <f t="shared" ca="1" si="8"/>
        <v>45314</v>
      </c>
      <c r="Y109">
        <f t="shared" ca="1" si="9"/>
        <v>0</v>
      </c>
      <c r="AA109" s="63">
        <f t="shared" ca="1" si="11"/>
        <v>76.282434792356412</v>
      </c>
      <c r="AB109" s="63">
        <f t="shared" ca="1" si="12"/>
        <v>76.282434792356412</v>
      </c>
      <c r="AC109" s="3">
        <f t="shared" ca="1" si="13"/>
        <v>0</v>
      </c>
    </row>
    <row r="110" spans="8:29">
      <c r="H110" t="b">
        <f t="shared" ca="1" si="10"/>
        <v>0</v>
      </c>
      <c r="I110" t="b">
        <f t="shared" ca="1" si="7"/>
        <v>0</v>
      </c>
      <c r="J110" s="2">
        <f ca="1"/>
        <v>45315</v>
      </c>
      <c r="K110">
        <f ca="1"/>
        <v>78.546901927109161</v>
      </c>
      <c r="L110">
        <f ca="1"/>
        <v>0</v>
      </c>
      <c r="M110">
        <f ca="1"/>
        <v>1.2777335092990327</v>
      </c>
      <c r="N110">
        <f ca="1"/>
        <v>0.98673362545371934</v>
      </c>
      <c r="O110">
        <f ca="1"/>
        <v>0</v>
      </c>
      <c r="P110">
        <f ca="1"/>
        <v>0</v>
      </c>
      <c r="Q110">
        <f ca="1"/>
        <v>0</v>
      </c>
      <c r="R110">
        <f ca="1"/>
        <v>0</v>
      </c>
      <c r="S110">
        <f ca="1"/>
        <v>0.73366033960170374</v>
      </c>
      <c r="T110">
        <f ca="1"/>
        <v>0</v>
      </c>
      <c r="U110">
        <f ca="1"/>
        <v>0</v>
      </c>
      <c r="V110">
        <f ca="1"/>
        <v>0</v>
      </c>
      <c r="X110" s="2">
        <f t="shared" ca="1" si="8"/>
        <v>45315</v>
      </c>
      <c r="Y110">
        <f t="shared" ca="1" si="9"/>
        <v>0</v>
      </c>
      <c r="AA110" s="63">
        <f t="shared" ca="1" si="11"/>
        <v>78.546901927109161</v>
      </c>
      <c r="AB110" s="63">
        <f t="shared" ca="1" si="12"/>
        <v>78.546901927109161</v>
      </c>
      <c r="AC110" s="3">
        <f t="shared" ca="1" si="13"/>
        <v>0</v>
      </c>
    </row>
    <row r="111" spans="8:29">
      <c r="H111" t="b">
        <f t="shared" ca="1" si="10"/>
        <v>0</v>
      </c>
      <c r="I111" t="b">
        <f t="shared" ca="1" si="7"/>
        <v>0</v>
      </c>
      <c r="J111" s="2">
        <f ca="1"/>
        <v>45316</v>
      </c>
      <c r="K111">
        <f ca="1"/>
        <v>80.701649183953037</v>
      </c>
      <c r="L111">
        <f ca="1"/>
        <v>0</v>
      </c>
      <c r="M111">
        <f ca="1"/>
        <v>1.1451964926670328</v>
      </c>
      <c r="N111">
        <f ca="1"/>
        <v>1.0095507641768378</v>
      </c>
      <c r="O111">
        <f ca="1"/>
        <v>0</v>
      </c>
      <c r="P111">
        <f ca="1"/>
        <v>1.5563471258608441</v>
      </c>
      <c r="Q111">
        <f ca="1"/>
        <v>1.4401263989296773</v>
      </c>
      <c r="R111">
        <f ca="1"/>
        <v>0</v>
      </c>
      <c r="S111">
        <f ca="1"/>
        <v>0.73833290408840935</v>
      </c>
      <c r="T111">
        <f ca="1"/>
        <v>0</v>
      </c>
      <c r="U111">
        <f ca="1"/>
        <v>0</v>
      </c>
      <c r="V111">
        <f ca="1"/>
        <v>7.6856000655110826E-3</v>
      </c>
      <c r="X111" s="2">
        <f t="shared" ca="1" si="8"/>
        <v>45316</v>
      </c>
      <c r="Y111">
        <f t="shared" ca="1" si="9"/>
        <v>0</v>
      </c>
      <c r="AA111" s="63">
        <f t="shared" ca="1" si="11"/>
        <v>80.701649183953023</v>
      </c>
      <c r="AB111" s="63">
        <f t="shared" ca="1" si="12"/>
        <v>80.701649183953037</v>
      </c>
      <c r="AC111" s="3">
        <f t="shared" ca="1" si="13"/>
        <v>0</v>
      </c>
    </row>
    <row r="112" spans="8:29">
      <c r="H112" t="b">
        <f t="shared" ca="1" si="10"/>
        <v>0</v>
      </c>
      <c r="I112" t="b">
        <f t="shared" ca="1" si="7"/>
        <v>0</v>
      </c>
      <c r="J112" s="2">
        <f ca="1"/>
        <v>45317</v>
      </c>
      <c r="K112">
        <f ca="1"/>
        <v>82.606951861540566</v>
      </c>
      <c r="L112">
        <f ca="1"/>
        <v>8.9085715746439531E-2</v>
      </c>
      <c r="M112">
        <f ca="1"/>
        <v>1.0167730409512998</v>
      </c>
      <c r="N112">
        <f ca="1"/>
        <v>0.97761535238265185</v>
      </c>
      <c r="O112">
        <f ca="1"/>
        <v>0</v>
      </c>
      <c r="P112">
        <f ca="1"/>
        <v>1.6454328416072836</v>
      </c>
      <c r="Q112">
        <f ca="1"/>
        <v>1.5225596099288179</v>
      </c>
      <c r="R112">
        <f ca="1"/>
        <v>0</v>
      </c>
      <c r="S112">
        <f ca="1"/>
        <v>0.70748645830353574</v>
      </c>
      <c r="T112">
        <f ca="1"/>
        <v>0</v>
      </c>
      <c r="U112">
        <f ca="1"/>
        <v>0</v>
      </c>
      <c r="V112">
        <f ca="1"/>
        <v>8.8318743904248764E-3</v>
      </c>
      <c r="X112" s="2">
        <f t="shared" ca="1" si="8"/>
        <v>45317</v>
      </c>
      <c r="Y112">
        <f t="shared" ca="1" si="9"/>
        <v>0</v>
      </c>
      <c r="AA112" s="63">
        <f t="shared" ca="1" si="11"/>
        <v>82.696037577287001</v>
      </c>
      <c r="AB112" s="63">
        <f t="shared" ca="1" si="12"/>
        <v>82.696037577287001</v>
      </c>
      <c r="AC112" s="3">
        <f t="shared" ca="1" si="13"/>
        <v>0</v>
      </c>
    </row>
    <row r="113" spans="8:29">
      <c r="H113" t="b">
        <f t="shared" ca="1" si="10"/>
        <v>0</v>
      </c>
      <c r="I113" t="b">
        <f t="shared" ca="1" si="7"/>
        <v>0</v>
      </c>
      <c r="J113" s="2">
        <f ca="1"/>
        <v>45318</v>
      </c>
      <c r="K113">
        <f ca="1"/>
        <v>84.331603386022678</v>
      </c>
      <c r="L113">
        <f ca="1"/>
        <v>9.2500835908317258E-2</v>
      </c>
      <c r="M113">
        <f ca="1"/>
        <v>0.87562048485338551</v>
      </c>
      <c r="N113">
        <f ca="1"/>
        <v>0.94153187553703932</v>
      </c>
      <c r="O113">
        <f ca="1"/>
        <v>0</v>
      </c>
      <c r="P113">
        <f ca="1"/>
        <v>1.7379336775156009</v>
      </c>
      <c r="Q113">
        <f ca="1"/>
        <v>1.6081529158829424</v>
      </c>
      <c r="R113">
        <f ca="1"/>
        <v>0</v>
      </c>
      <c r="S113">
        <f ca="1"/>
        <v>0.69715312868711621</v>
      </c>
      <c r="T113">
        <f ca="1"/>
        <v>0</v>
      </c>
      <c r="U113">
        <f ca="1"/>
        <v>0</v>
      </c>
      <c r="V113">
        <f ca="1"/>
        <v>1.0123464941384011E-2</v>
      </c>
      <c r="X113" s="2">
        <f t="shared" ca="1" si="8"/>
        <v>45318</v>
      </c>
      <c r="Y113">
        <f t="shared" ca="1" si="9"/>
        <v>0</v>
      </c>
      <c r="AA113" s="63">
        <f t="shared" ca="1" si="11"/>
        <v>84.424104221930989</v>
      </c>
      <c r="AB113" s="63">
        <f t="shared" ca="1" si="12"/>
        <v>84.424104221930989</v>
      </c>
      <c r="AC113" s="3">
        <f t="shared" ca="1" si="13"/>
        <v>0</v>
      </c>
    </row>
    <row r="114" spans="8:29">
      <c r="H114" t="b">
        <f t="shared" ca="1" si="10"/>
        <v>0</v>
      </c>
      <c r="I114" t="b">
        <f t="shared" ca="1" si="7"/>
        <v>0</v>
      </c>
      <c r="J114" s="2">
        <f ca="1"/>
        <v>45319</v>
      </c>
      <c r="K114">
        <f ca="1"/>
        <v>85.936941417366725</v>
      </c>
      <c r="L114">
        <f ca="1"/>
        <v>9.8498296894277582E-2</v>
      </c>
      <c r="M114">
        <f ca="1"/>
        <v>0.78064130093746797</v>
      </c>
      <c r="N114">
        <f ca="1"/>
        <v>0.92319502730084513</v>
      </c>
      <c r="O114">
        <f ca="1"/>
        <v>0</v>
      </c>
      <c r="P114">
        <f ca="1"/>
        <v>1.8364319744098785</v>
      </c>
      <c r="Q114">
        <f ca="1"/>
        <v>1.6992958204766733</v>
      </c>
      <c r="R114">
        <f ca="1"/>
        <v>0</v>
      </c>
      <c r="S114">
        <f ca="1"/>
        <v>0.67361950281680905</v>
      </c>
      <c r="T114">
        <f ca="1"/>
        <v>0</v>
      </c>
      <c r="U114">
        <f ca="1"/>
        <v>0</v>
      </c>
      <c r="V114">
        <f ca="1"/>
        <v>1.1614980031632017E-2</v>
      </c>
      <c r="X114" s="2">
        <f t="shared" ca="1" si="8"/>
        <v>45319</v>
      </c>
      <c r="Y114">
        <f t="shared" ca="1" si="9"/>
        <v>0</v>
      </c>
      <c r="AA114" s="63">
        <f t="shared" ca="1" si="11"/>
        <v>86.035439714260988</v>
      </c>
      <c r="AB114" s="63">
        <f t="shared" ca="1" si="12"/>
        <v>86.035439714261003</v>
      </c>
      <c r="AC114" s="3">
        <f t="shared" ca="1" si="13"/>
        <v>0</v>
      </c>
    </row>
    <row r="115" spans="8:29">
      <c r="H115" t="b">
        <f t="shared" ca="1" si="10"/>
        <v>0</v>
      </c>
      <c r="I115" t="b">
        <f t="shared" ca="1" si="7"/>
        <v>0</v>
      </c>
      <c r="J115" s="2">
        <f ca="1"/>
        <v>45320</v>
      </c>
      <c r="K115">
        <f ca="1"/>
        <v>87.447916271134147</v>
      </c>
      <c r="L115">
        <f ca="1"/>
        <v>0.105364319251952</v>
      </c>
      <c r="M115">
        <f ca="1"/>
        <v>0.69858312402573119</v>
      </c>
      <c r="N115">
        <f ca="1"/>
        <v>0.91775604899363616</v>
      </c>
      <c r="O115">
        <f ca="1"/>
        <v>0</v>
      </c>
      <c r="P115">
        <f ca="1"/>
        <v>1.9417962936618305</v>
      </c>
      <c r="Q115">
        <f ca="1"/>
        <v>1.7967920249792915</v>
      </c>
      <c r="R115">
        <f ca="1"/>
        <v>0</v>
      </c>
      <c r="S115">
        <f ca="1"/>
        <v>0.65617917424673644</v>
      </c>
      <c r="T115">
        <f ca="1"/>
        <v>0</v>
      </c>
      <c r="U115">
        <f ca="1"/>
        <v>0</v>
      </c>
      <c r="V115">
        <f ca="1"/>
        <v>1.3346078082422649E-2</v>
      </c>
      <c r="X115" s="2">
        <f t="shared" ca="1" si="8"/>
        <v>45320</v>
      </c>
      <c r="Y115">
        <f t="shared" ca="1" si="9"/>
        <v>0</v>
      </c>
      <c r="AA115" s="63">
        <f t="shared" ca="1" si="11"/>
        <v>87.553280590386095</v>
      </c>
      <c r="AB115" s="63">
        <f t="shared" ca="1" si="12"/>
        <v>87.553280590386095</v>
      </c>
      <c r="AC115" s="3">
        <f t="shared" ca="1" si="13"/>
        <v>0</v>
      </c>
    </row>
    <row r="116" spans="8:29">
      <c r="H116" t="b">
        <f t="shared" ca="1" si="10"/>
        <v>0</v>
      </c>
      <c r="I116" t="b">
        <f t="shared" ca="1" si="7"/>
        <v>0</v>
      </c>
      <c r="J116" s="2">
        <f ca="1"/>
        <v>45321</v>
      </c>
      <c r="K116">
        <f ca="1"/>
        <v>88.895503773884869</v>
      </c>
      <c r="L116">
        <f ca="1"/>
        <v>0.11276255336516039</v>
      </c>
      <c r="M116">
        <f ca="1"/>
        <v>0.62384876538021672</v>
      </c>
      <c r="N116">
        <f ca="1"/>
        <v>0.93650129073566368</v>
      </c>
      <c r="O116">
        <f ca="1"/>
        <v>0</v>
      </c>
      <c r="P116">
        <f ca="1"/>
        <v>2.0545588470269909</v>
      </c>
      <c r="Q116">
        <f ca="1"/>
        <v>1.9011339980606896</v>
      </c>
      <c r="R116">
        <f ca="1"/>
        <v>0</v>
      </c>
      <c r="S116">
        <f ca="1"/>
        <v>0.65845025444981953</v>
      </c>
      <c r="T116">
        <f ca="1"/>
        <v>0</v>
      </c>
      <c r="U116">
        <f ca="1"/>
        <v>0</v>
      </c>
      <c r="V116">
        <f ca="1"/>
        <v>1.5357350726274137E-2</v>
      </c>
      <c r="X116" s="2">
        <f t="shared" ca="1" si="8"/>
        <v>45321</v>
      </c>
      <c r="Y116">
        <f t="shared" ca="1" si="9"/>
        <v>0</v>
      </c>
      <c r="AA116" s="63">
        <f t="shared" ca="1" si="11"/>
        <v>89.008266327250027</v>
      </c>
      <c r="AB116" s="63">
        <f t="shared" ca="1" si="12"/>
        <v>89.008266327250027</v>
      </c>
      <c r="AC116" s="3">
        <f t="shared" ca="1" si="13"/>
        <v>0</v>
      </c>
    </row>
    <row r="117" spans="8:29">
      <c r="H117" t="b">
        <f t="shared" ca="1" si="10"/>
        <v>0</v>
      </c>
      <c r="I117" t="b">
        <f t="shared" ca="1" si="7"/>
        <v>0</v>
      </c>
      <c r="J117" s="2">
        <f ca="1"/>
        <v>45322</v>
      </c>
      <c r="K117">
        <f ca="1"/>
        <v>90.253886896396807</v>
      </c>
      <c r="L117">
        <f ca="1"/>
        <v>0.11887272034641816</v>
      </c>
      <c r="M117">
        <f ca="1"/>
        <v>0.5452784273005733</v>
      </c>
      <c r="N117">
        <f ca="1"/>
        <v>0.93197741555777514</v>
      </c>
      <c r="O117">
        <f ca="1"/>
        <v>0</v>
      </c>
      <c r="P117">
        <f ca="1"/>
        <v>2.173431567373409</v>
      </c>
      <c r="Q117">
        <f ca="1"/>
        <v>2.0111298594201998</v>
      </c>
      <c r="R117">
        <f ca="1"/>
        <v>0</v>
      </c>
      <c r="S117">
        <f ca="1"/>
        <v>0.65803308597482901</v>
      </c>
      <c r="T117">
        <f ca="1"/>
        <v>0</v>
      </c>
      <c r="U117">
        <f ca="1"/>
        <v>0</v>
      </c>
      <c r="V117">
        <f ca="1"/>
        <v>1.765878361383123E-2</v>
      </c>
      <c r="X117" s="2">
        <f t="shared" ca="1" si="8"/>
        <v>45322</v>
      </c>
      <c r="Y117">
        <f t="shared" ca="1" si="9"/>
        <v>0</v>
      </c>
      <c r="AA117" s="63">
        <f t="shared" ca="1" si="11"/>
        <v>90.372759616743224</v>
      </c>
      <c r="AB117" s="63">
        <f t="shared" ca="1" si="12"/>
        <v>90.372759616743224</v>
      </c>
      <c r="AC117" s="3">
        <f t="shared" ca="1" si="13"/>
        <v>0</v>
      </c>
    </row>
    <row r="118" spans="8:29">
      <c r="H118" t="b">
        <f t="shared" ca="1" si="10"/>
        <v>0</v>
      </c>
      <c r="I118" t="b">
        <f t="shared" ca="1" si="7"/>
        <v>0</v>
      </c>
      <c r="J118" s="2">
        <f ca="1"/>
        <v>45323</v>
      </c>
      <c r="K118">
        <f ca="1"/>
        <v>91.512063171290279</v>
      </c>
      <c r="L118">
        <f ca="1"/>
        <v>0.1263348748685944</v>
      </c>
      <c r="M118">
        <f ca="1"/>
        <v>0.48197856092004088</v>
      </c>
      <c r="N118">
        <f ca="1"/>
        <v>0.90253258884201759</v>
      </c>
      <c r="O118">
        <f ca="1"/>
        <v>0</v>
      </c>
      <c r="P118">
        <f ca="1"/>
        <v>2.2997664422420034</v>
      </c>
      <c r="Q118">
        <f ca="1"/>
        <v>2.1280306364901658</v>
      </c>
      <c r="R118">
        <f ca="1"/>
        <v>0</v>
      </c>
      <c r="S118">
        <f ca="1"/>
        <v>0.62860498432306533</v>
      </c>
      <c r="T118">
        <f ca="1"/>
        <v>0</v>
      </c>
      <c r="U118">
        <f ca="1"/>
        <v>0</v>
      </c>
      <c r="V118">
        <f ca="1"/>
        <v>2.0312355311027739E-2</v>
      </c>
      <c r="X118" s="2">
        <f t="shared" ca="1" si="8"/>
        <v>45323</v>
      </c>
      <c r="Y118">
        <f t="shared" ca="1" si="9"/>
        <v>0</v>
      </c>
      <c r="AA118" s="63">
        <f t="shared" ca="1" si="11"/>
        <v>91.638398046158869</v>
      </c>
      <c r="AB118" s="63">
        <f t="shared" ca="1" si="12"/>
        <v>91.638398046158869</v>
      </c>
      <c r="AC118" s="3">
        <f t="shared" ca="1" si="13"/>
        <v>0</v>
      </c>
    </row>
    <row r="119" spans="8:29">
      <c r="H119" t="b">
        <f t="shared" ca="1" si="10"/>
        <v>0</v>
      </c>
      <c r="I119" t="b">
        <f t="shared" ca="1" si="7"/>
        <v>0</v>
      </c>
      <c r="J119" s="2">
        <f ca="1"/>
        <v>45324</v>
      </c>
      <c r="K119">
        <f ca="1"/>
        <v>92.705417646231666</v>
      </c>
      <c r="L119">
        <f ca="1"/>
        <v>0.13206822865559609</v>
      </c>
      <c r="M119">
        <f ca="1"/>
        <v>0.41706867071488318</v>
      </c>
      <c r="N119">
        <f ca="1"/>
        <v>0.90835403288210836</v>
      </c>
      <c r="O119">
        <f ca="1"/>
        <v>0</v>
      </c>
      <c r="P119">
        <f ca="1"/>
        <v>2.4318346708975995</v>
      </c>
      <c r="Q119">
        <f ca="1"/>
        <v>2.2502366272916094</v>
      </c>
      <c r="R119">
        <f ca="1"/>
        <v>0</v>
      </c>
      <c r="S119">
        <f ca="1"/>
        <v>0.64522188147313575</v>
      </c>
      <c r="T119">
        <f ca="1"/>
        <v>0</v>
      </c>
      <c r="U119">
        <f ca="1"/>
        <v>0</v>
      </c>
      <c r="V119">
        <f ca="1"/>
        <v>2.3319003051522038E-2</v>
      </c>
      <c r="X119" s="2">
        <f t="shared" ca="1" si="8"/>
        <v>45324</v>
      </c>
      <c r="Y119">
        <f t="shared" ca="1" si="9"/>
        <v>0</v>
      </c>
      <c r="AA119" s="63">
        <f t="shared" ca="1" si="11"/>
        <v>92.837485874887264</v>
      </c>
      <c r="AB119" s="63">
        <f t="shared" ca="1" si="12"/>
        <v>92.837485874887264</v>
      </c>
      <c r="AC119" s="3">
        <f t="shared" ca="1" si="13"/>
        <v>0</v>
      </c>
    </row>
    <row r="120" spans="8:29">
      <c r="H120" t="b">
        <f t="shared" ca="1" si="10"/>
        <v>0</v>
      </c>
      <c r="I120" t="b">
        <f t="shared" ca="1" si="7"/>
        <v>0</v>
      </c>
      <c r="J120" s="2">
        <f ca="1"/>
        <v>45325</v>
      </c>
      <c r="K120">
        <f ca="1"/>
        <v>93.791601356471077</v>
      </c>
      <c r="L120">
        <f ca="1"/>
        <v>0.13794917639970938</v>
      </c>
      <c r="M120">
        <f ca="1"/>
        <v>0.36180954349362793</v>
      </c>
      <c r="N120">
        <f ca="1"/>
        <v>0.86232334314548398</v>
      </c>
      <c r="O120">
        <f ca="1"/>
        <v>0</v>
      </c>
      <c r="P120">
        <f ca="1"/>
        <v>2.5697838472973089</v>
      </c>
      <c r="Q120">
        <f ca="1"/>
        <v>2.3778844041549769</v>
      </c>
      <c r="R120">
        <f ca="1"/>
        <v>0</v>
      </c>
      <c r="S120">
        <f ca="1"/>
        <v>0.61811545103001941</v>
      </c>
      <c r="T120">
        <f ca="1"/>
        <v>0</v>
      </c>
      <c r="U120">
        <f ca="1"/>
        <v>0</v>
      </c>
      <c r="V120">
        <f ca="1"/>
        <v>2.6717217276116829E-2</v>
      </c>
      <c r="X120" s="2">
        <f t="shared" ca="1" si="8"/>
        <v>45325</v>
      </c>
      <c r="Y120">
        <f t="shared" ca="1" si="9"/>
        <v>0</v>
      </c>
      <c r="AA120" s="63">
        <f t="shared" ca="1" si="11"/>
        <v>93.929550532870778</v>
      </c>
      <c r="AB120" s="63">
        <f t="shared" ca="1" si="12"/>
        <v>93.929550532870792</v>
      </c>
      <c r="AC120" s="3">
        <f t="shared" ca="1" si="13"/>
        <v>0</v>
      </c>
    </row>
    <row r="121" spans="8:29">
      <c r="H121" t="b">
        <f t="shared" ca="1" si="10"/>
        <v>0</v>
      </c>
      <c r="I121" t="b">
        <f t="shared" ca="1" si="7"/>
        <v>0</v>
      </c>
      <c r="J121" s="2">
        <f ca="1"/>
        <v>45326</v>
      </c>
      <c r="K121">
        <f ca="1"/>
        <v>94.823321622771545</v>
      </c>
      <c r="L121">
        <f ca="1"/>
        <v>0.14088017003963538</v>
      </c>
      <c r="M121">
        <f ca="1"/>
        <v>0.30659212895878341</v>
      </c>
      <c r="N121">
        <f ca="1"/>
        <v>0.86600830738132051</v>
      </c>
      <c r="O121">
        <f ca="1"/>
        <v>0</v>
      </c>
      <c r="P121">
        <f ca="1"/>
        <v>2.7106640173369443</v>
      </c>
      <c r="Q121">
        <f ca="1"/>
        <v>2.5082443017565881</v>
      </c>
      <c r="R121">
        <f ca="1"/>
        <v>0</v>
      </c>
      <c r="S121">
        <f ca="1"/>
        <v>0.65521882001615916</v>
      </c>
      <c r="T121">
        <f ca="1"/>
        <v>0</v>
      </c>
      <c r="U121">
        <f ca="1"/>
        <v>0</v>
      </c>
      <c r="V121">
        <f ca="1"/>
        <v>3.0462679453284233E-2</v>
      </c>
      <c r="X121" s="2">
        <f t="shared" ca="1" si="8"/>
        <v>45326</v>
      </c>
      <c r="Y121">
        <f t="shared" ca="1" si="9"/>
        <v>0</v>
      </c>
      <c r="AA121" s="63">
        <f t="shared" ca="1" si="11"/>
        <v>94.964201792811181</v>
      </c>
      <c r="AB121" s="63">
        <f t="shared" ca="1" si="12"/>
        <v>94.964201792811181</v>
      </c>
      <c r="AC121" s="3">
        <f t="shared" ca="1" si="13"/>
        <v>0</v>
      </c>
    </row>
    <row r="122" spans="8:29">
      <c r="H122" t="b">
        <f t="shared" ca="1" si="10"/>
        <v>0</v>
      </c>
      <c r="I122" t="b">
        <f t="shared" ca="1" si="7"/>
        <v>0</v>
      </c>
      <c r="J122" s="2">
        <f ca="1"/>
        <v>45327</v>
      </c>
      <c r="K122">
        <f ca="1"/>
        <v>95.840410396317239</v>
      </c>
      <c r="L122">
        <f ca="1"/>
        <v>0.15233390819563741</v>
      </c>
      <c r="M122">
        <f ca="1"/>
        <v>0.28063090107843891</v>
      </c>
      <c r="N122">
        <f ca="1"/>
        <v>0.88879178066290176</v>
      </c>
      <c r="O122">
        <f ca="1"/>
        <v>0</v>
      </c>
      <c r="P122">
        <f ca="1"/>
        <v>2.8629979255325817</v>
      </c>
      <c r="Q122">
        <f ca="1"/>
        <v>2.649202625898655</v>
      </c>
      <c r="R122">
        <f ca="1"/>
        <v>0</v>
      </c>
      <c r="S122">
        <f ca="1"/>
        <v>0.64892189588698745</v>
      </c>
      <c r="T122">
        <f ca="1"/>
        <v>0</v>
      </c>
      <c r="U122">
        <f ca="1"/>
        <v>0</v>
      </c>
      <c r="V122">
        <f ca="1"/>
        <v>3.4828346292736442E-2</v>
      </c>
      <c r="X122" s="2">
        <f t="shared" ca="1" si="8"/>
        <v>45327</v>
      </c>
      <c r="Y122">
        <f t="shared" ca="1" si="9"/>
        <v>0</v>
      </c>
      <c r="AA122" s="63">
        <f t="shared" ca="1" si="11"/>
        <v>95.992744304512883</v>
      </c>
      <c r="AB122" s="63">
        <f t="shared" ca="1" si="12"/>
        <v>95.992744304512883</v>
      </c>
      <c r="AC122" s="3">
        <f t="shared" ca="1" si="13"/>
        <v>0</v>
      </c>
    </row>
    <row r="123" spans="8:29">
      <c r="H123" t="b">
        <f t="shared" ca="1" si="10"/>
        <v>0</v>
      </c>
      <c r="I123" t="b">
        <f t="shared" ca="1" si="7"/>
        <v>0</v>
      </c>
      <c r="J123" s="2">
        <f ca="1"/>
        <v>45328</v>
      </c>
      <c r="K123">
        <f ca="1"/>
        <v>96.761627789473451</v>
      </c>
      <c r="L123">
        <f ca="1"/>
        <v>0.15974258387494622</v>
      </c>
      <c r="M123">
        <f ca="1"/>
        <v>0.24645031289697528</v>
      </c>
      <c r="N123">
        <f ca="1"/>
        <v>0.83450966413418459</v>
      </c>
      <c r="O123">
        <f ca="1"/>
        <v>0</v>
      </c>
      <c r="P123">
        <f ca="1"/>
        <v>3.0227405094075279</v>
      </c>
      <c r="Q123">
        <f ca="1"/>
        <v>2.7970163804582651</v>
      </c>
      <c r="R123">
        <f ca="1"/>
        <v>0</v>
      </c>
      <c r="S123">
        <f ca="1"/>
        <v>0.60822499682448883</v>
      </c>
      <c r="T123">
        <f ca="1"/>
        <v>0</v>
      </c>
      <c r="U123">
        <f ca="1"/>
        <v>0</v>
      </c>
      <c r="V123">
        <f ca="1"/>
        <v>3.9760902610243232E-2</v>
      </c>
      <c r="X123" s="2">
        <f t="shared" ca="1" si="8"/>
        <v>45328</v>
      </c>
      <c r="Y123">
        <f t="shared" ca="1" si="9"/>
        <v>0</v>
      </c>
      <c r="AA123" s="63">
        <f t="shared" ca="1" si="11"/>
        <v>96.92137037334841</v>
      </c>
      <c r="AB123" s="63">
        <f t="shared" ca="1" si="12"/>
        <v>96.921370373348395</v>
      </c>
      <c r="AC123" s="3">
        <f t="shared" ca="1" si="13"/>
        <v>0</v>
      </c>
    </row>
    <row r="124" spans="8:29">
      <c r="H124" t="b">
        <f t="shared" ca="1" si="10"/>
        <v>0</v>
      </c>
      <c r="I124" t="b">
        <f t="shared" ca="1" si="7"/>
        <v>0</v>
      </c>
      <c r="J124" s="2">
        <f ca="1"/>
        <v>45329</v>
      </c>
      <c r="K124">
        <f ca="1"/>
        <v>97.62232665943192</v>
      </c>
      <c r="L124">
        <f ca="1"/>
        <v>0.16952351123523091</v>
      </c>
      <c r="M124">
        <f ca="1"/>
        <v>0.2201905216299096</v>
      </c>
      <c r="N124">
        <f ca="1"/>
        <v>0.81003185956379986</v>
      </c>
      <c r="O124">
        <f ca="1"/>
        <v>0</v>
      </c>
      <c r="P124">
        <f ca="1"/>
        <v>3.1922640206427588</v>
      </c>
      <c r="Q124">
        <f ca="1"/>
        <v>2.9538806684519039</v>
      </c>
      <c r="R124">
        <f ca="1"/>
        <v>0</v>
      </c>
      <c r="S124">
        <f ca="1"/>
        <v>0.57990198425086736</v>
      </c>
      <c r="T124">
        <f ca="1"/>
        <v>0</v>
      </c>
      <c r="U124">
        <f ca="1"/>
        <v>0</v>
      </c>
      <c r="V124">
        <f ca="1"/>
        <v>4.5393594354746471E-2</v>
      </c>
      <c r="X124" s="2">
        <f t="shared" ca="1" si="8"/>
        <v>45329</v>
      </c>
      <c r="Y124">
        <f t="shared" ca="1" si="9"/>
        <v>0</v>
      </c>
      <c r="AA124" s="63">
        <f t="shared" ca="1" si="11"/>
        <v>97.791850170667146</v>
      </c>
      <c r="AB124" s="63">
        <f t="shared" ca="1" si="12"/>
        <v>97.791850170667146</v>
      </c>
      <c r="AC124" s="3">
        <f t="shared" ca="1" si="13"/>
        <v>0</v>
      </c>
    </row>
    <row r="125" spans="8:29">
      <c r="H125" t="b">
        <f t="shared" ca="1" si="10"/>
        <v>0</v>
      </c>
      <c r="I125" t="b">
        <f t="shared" ca="1" si="7"/>
        <v>0</v>
      </c>
      <c r="J125" s="2">
        <f ca="1"/>
        <v>45330</v>
      </c>
      <c r="K125">
        <f ca="1"/>
        <v>98.442047844140049</v>
      </c>
      <c r="L125">
        <f ca="1"/>
        <v>0.17869147305399791</v>
      </c>
      <c r="M125">
        <f ca="1"/>
        <v>0.19516590398641398</v>
      </c>
      <c r="N125">
        <f ca="1"/>
        <v>0.80324675377572308</v>
      </c>
      <c r="O125">
        <f ca="1"/>
        <v>0</v>
      </c>
      <c r="P125">
        <f ca="1"/>
        <v>3.3709554936967567</v>
      </c>
      <c r="Q125">
        <f ca="1"/>
        <v>3.1192282977388821</v>
      </c>
      <c r="R125">
        <f ca="1"/>
        <v>0</v>
      </c>
      <c r="S125">
        <f ca="1"/>
        <v>0.57467863681982856</v>
      </c>
      <c r="T125">
        <f ca="1"/>
        <v>0</v>
      </c>
      <c r="U125">
        <f ca="1"/>
        <v>0</v>
      </c>
      <c r="V125">
        <f ca="1"/>
        <v>5.1774118822671508E-2</v>
      </c>
      <c r="X125" s="2">
        <f t="shared" ca="1" si="8"/>
        <v>45330</v>
      </c>
      <c r="Y125">
        <f t="shared" ca="1" si="9"/>
        <v>0</v>
      </c>
      <c r="AA125" s="63">
        <f t="shared" ca="1" si="11"/>
        <v>98.620739317194065</v>
      </c>
      <c r="AB125" s="63">
        <f t="shared" ca="1" si="12"/>
        <v>98.620739317194051</v>
      </c>
      <c r="AC125" s="3">
        <f t="shared" ca="1" si="13"/>
        <v>0</v>
      </c>
    </row>
    <row r="126" spans="8:29">
      <c r="H126" t="b">
        <f t="shared" ca="1" si="10"/>
        <v>0</v>
      </c>
      <c r="I126" t="b">
        <f t="shared" ca="1" si="7"/>
        <v>0</v>
      </c>
      <c r="J126" s="2">
        <f ca="1"/>
        <v>45331</v>
      </c>
      <c r="K126">
        <f ca="1"/>
        <v>99.214939538423465</v>
      </c>
      <c r="L126">
        <f ca="1"/>
        <v>0.18984441436118171</v>
      </c>
      <c r="M126">
        <f ca="1"/>
        <v>0.17500600328329341</v>
      </c>
      <c r="N126">
        <f ca="1"/>
        <v>0.78773010536128407</v>
      </c>
      <c r="O126">
        <f ca="1"/>
        <v>0</v>
      </c>
      <c r="P126">
        <f ca="1"/>
        <v>3.5607999080579384</v>
      </c>
      <c r="Q126">
        <f ca="1"/>
        <v>3.2948960188198453</v>
      </c>
      <c r="R126">
        <f ca="1"/>
        <v>0</v>
      </c>
      <c r="S126">
        <f ca="1"/>
        <v>0.55293441626947093</v>
      </c>
      <c r="T126">
        <f ca="1"/>
        <v>0</v>
      </c>
      <c r="U126">
        <f ca="1"/>
        <v>0</v>
      </c>
      <c r="V126">
        <f ca="1"/>
        <v>5.9048177903086342E-2</v>
      </c>
      <c r="X126" s="2">
        <f t="shared" ca="1" si="8"/>
        <v>45331</v>
      </c>
      <c r="Y126">
        <f t="shared" ca="1" si="9"/>
        <v>0</v>
      </c>
      <c r="AA126" s="63">
        <f t="shared" ca="1" si="11"/>
        <v>99.404783952784626</v>
      </c>
      <c r="AB126" s="63">
        <f t="shared" ca="1" si="12"/>
        <v>99.404783952784641</v>
      </c>
      <c r="AC126" s="3">
        <f t="shared" ca="1" si="13"/>
        <v>0</v>
      </c>
    </row>
    <row r="127" spans="8:29">
      <c r="H127" t="b">
        <f t="shared" ca="1" si="10"/>
        <v>0</v>
      </c>
      <c r="I127" t="b">
        <f t="shared" ca="1" si="7"/>
        <v>0</v>
      </c>
      <c r="J127" s="2">
        <f ca="1"/>
        <v>45332</v>
      </c>
      <c r="K127">
        <f ca="1"/>
        <v>99.967628557977363</v>
      </c>
      <c r="L127">
        <f ca="1"/>
        <v>0.20430168522715464</v>
      </c>
      <c r="M127">
        <f ca="1"/>
        <v>0.1595462382680779</v>
      </c>
      <c r="N127">
        <f ca="1"/>
        <v>0.79744446651297451</v>
      </c>
      <c r="O127">
        <f ca="1"/>
        <v>0</v>
      </c>
      <c r="P127">
        <f ca="1"/>
        <v>3.7651015932850931</v>
      </c>
      <c r="Q127">
        <f ca="1"/>
        <v>3.4839414093709467</v>
      </c>
      <c r="R127">
        <f ca="1"/>
        <v>0</v>
      </c>
      <c r="S127">
        <f ca="1"/>
        <v>0.54211534655077753</v>
      </c>
      <c r="T127">
        <f ca="1"/>
        <v>0</v>
      </c>
      <c r="U127">
        <f ca="1"/>
        <v>0</v>
      </c>
      <c r="V127">
        <f ca="1"/>
        <v>6.7439478504547221E-2</v>
      </c>
      <c r="X127" s="2">
        <f t="shared" ca="1" si="8"/>
        <v>45332</v>
      </c>
      <c r="Y127">
        <f t="shared" ca="1" si="9"/>
        <v>0</v>
      </c>
      <c r="AA127" s="63">
        <f t="shared" ca="1" si="11"/>
        <v>100.17193024320451</v>
      </c>
      <c r="AB127" s="63">
        <f t="shared" ca="1" si="12"/>
        <v>100.17193024320451</v>
      </c>
      <c r="AC127" s="3">
        <f t="shared" ca="1" si="13"/>
        <v>0</v>
      </c>
    </row>
    <row r="128" spans="8:29">
      <c r="H128" t="b">
        <f t="shared" ca="1" si="10"/>
        <v>0</v>
      </c>
      <c r="I128" t="b">
        <f t="shared" ca="1" si="7"/>
        <v>0</v>
      </c>
      <c r="J128" s="2">
        <f ca="1"/>
        <v>45333</v>
      </c>
      <c r="K128">
        <f ca="1"/>
        <v>100.70520653022098</v>
      </c>
      <c r="L128">
        <f ca="1"/>
        <v>0.21795283287435163</v>
      </c>
      <c r="M128">
        <f ca="1"/>
        <v>0.14364673044864418</v>
      </c>
      <c r="N128">
        <f ca="1"/>
        <v>0.81188407466930279</v>
      </c>
      <c r="O128">
        <f ca="1"/>
        <v>0</v>
      </c>
      <c r="P128">
        <f ca="1"/>
        <v>3.9830544261594447</v>
      </c>
      <c r="Q128">
        <f ca="1"/>
        <v>3.6856185436864992</v>
      </c>
      <c r="R128">
        <f ca="1"/>
        <v>0</v>
      </c>
      <c r="S128">
        <f ca="1"/>
        <v>0.54542330928867211</v>
      </c>
      <c r="T128">
        <f ca="1"/>
        <v>0</v>
      </c>
      <c r="U128">
        <f ca="1"/>
        <v>0</v>
      </c>
      <c r="V128">
        <f ca="1"/>
        <v>7.7023211845059517E-2</v>
      </c>
      <c r="X128" s="2">
        <f t="shared" ca="1" si="8"/>
        <v>45333</v>
      </c>
      <c r="Y128">
        <f t="shared" ca="1" si="9"/>
        <v>0</v>
      </c>
      <c r="AA128" s="63">
        <f t="shared" ca="1" si="11"/>
        <v>100.92315936309532</v>
      </c>
      <c r="AB128" s="63">
        <f t="shared" ca="1" si="12"/>
        <v>100.92315936309532</v>
      </c>
      <c r="AC128" s="3">
        <f t="shared" ca="1" si="13"/>
        <v>0</v>
      </c>
    </row>
    <row r="129" spans="8:29">
      <c r="H129" t="b">
        <f t="shared" ca="1" si="10"/>
        <v>0</v>
      </c>
      <c r="I129" t="b">
        <f t="shared" ca="1" si="7"/>
        <v>0</v>
      </c>
      <c r="J129" s="2">
        <f ca="1"/>
        <v>45334</v>
      </c>
      <c r="K129">
        <f ca="1"/>
        <v>101.41811238810293</v>
      </c>
      <c r="L129">
        <f ca="1"/>
        <v>0.22948863056530833</v>
      </c>
      <c r="M129">
        <f ca="1"/>
        <v>0.12729295695972809</v>
      </c>
      <c r="N129">
        <f ca="1"/>
        <v>0.81510153148754172</v>
      </c>
      <c r="O129">
        <f ca="1"/>
        <v>0</v>
      </c>
      <c r="P129">
        <f ca="1"/>
        <v>4.212543056724753</v>
      </c>
      <c r="Q129">
        <f ca="1"/>
        <v>3.8979700362550473</v>
      </c>
      <c r="R129">
        <f ca="1"/>
        <v>0</v>
      </c>
      <c r="S129">
        <f ca="1"/>
        <v>0.55215451801069804</v>
      </c>
      <c r="T129">
        <f ca="1"/>
        <v>0</v>
      </c>
      <c r="U129">
        <f ca="1"/>
        <v>0</v>
      </c>
      <c r="V129">
        <f ca="1"/>
        <v>8.7800116671487682E-2</v>
      </c>
      <c r="X129" s="2">
        <f t="shared" ca="1" si="8"/>
        <v>45334</v>
      </c>
      <c r="Y129">
        <f t="shared" ca="1" si="9"/>
        <v>0</v>
      </c>
      <c r="AA129" s="63">
        <f t="shared" ca="1" si="11"/>
        <v>101.64760101866825</v>
      </c>
      <c r="AB129" s="63">
        <f t="shared" ca="1" si="12"/>
        <v>101.64760101866824</v>
      </c>
      <c r="AC129" s="3">
        <f t="shared" ca="1" si="13"/>
        <v>0</v>
      </c>
    </row>
    <row r="130" spans="8:29">
      <c r="H130" t="b">
        <f t="shared" ca="1" si="10"/>
        <v>0</v>
      </c>
      <c r="I130" t="b">
        <f t="shared" ca="1" si="7"/>
        <v>0</v>
      </c>
      <c r="J130" s="2">
        <f ca="1"/>
        <v>45335</v>
      </c>
      <c r="K130">
        <f ca="1"/>
        <v>102.06471834919725</v>
      </c>
      <c r="L130">
        <f ca="1"/>
        <v>0.2399185235754242</v>
      </c>
      <c r="M130">
        <f ca="1"/>
        <v>0.11223586086089199</v>
      </c>
      <c r="N130">
        <f ca="1"/>
        <v>0.7742886238088621</v>
      </c>
      <c r="O130">
        <f ca="1"/>
        <v>0</v>
      </c>
      <c r="P130">
        <f ca="1"/>
        <v>4.4524615803001772</v>
      </c>
      <c r="Q130">
        <f ca="1"/>
        <v>4.1199725661868527</v>
      </c>
      <c r="R130">
        <f ca="1"/>
        <v>0</v>
      </c>
      <c r="S130">
        <f ca="1"/>
        <v>0.52419798553442831</v>
      </c>
      <c r="T130">
        <f ca="1"/>
        <v>0</v>
      </c>
      <c r="U130">
        <f ca="1"/>
        <v>0</v>
      </c>
      <c r="V130">
        <f ca="1"/>
        <v>9.9791897597056464E-2</v>
      </c>
      <c r="X130" s="2">
        <f t="shared" ca="1" si="8"/>
        <v>45335</v>
      </c>
      <c r="Y130">
        <f t="shared" ca="1" si="9"/>
        <v>0</v>
      </c>
      <c r="AA130" s="63">
        <f t="shared" ca="1" si="11"/>
        <v>102.30463687277268</v>
      </c>
      <c r="AB130" s="63">
        <f t="shared" ca="1" si="12"/>
        <v>102.30463687277268</v>
      </c>
      <c r="AC130" s="3">
        <f t="shared" ca="1" si="13"/>
        <v>0</v>
      </c>
    </row>
    <row r="131" spans="8:29">
      <c r="H131" t="b">
        <f t="shared" ca="1" si="10"/>
        <v>0</v>
      </c>
      <c r="I131" t="b">
        <f t="shared" ca="1" si="7"/>
        <v>0</v>
      </c>
      <c r="J131" s="2">
        <f ca="1"/>
        <v>45336</v>
      </c>
      <c r="K131">
        <f ca="1"/>
        <v>102.67989254461676</v>
      </c>
      <c r="L131">
        <f ca="1"/>
        <v>0.25355066657991276</v>
      </c>
      <c r="M131">
        <f ca="1"/>
        <v>0.10087326143992925</v>
      </c>
      <c r="N131">
        <f ca="1"/>
        <v>0.76785160055949175</v>
      </c>
      <c r="O131">
        <f ca="1"/>
        <v>0</v>
      </c>
      <c r="P131">
        <f ca="1"/>
        <v>4.70601224688009</v>
      </c>
      <c r="Q131">
        <f ca="1"/>
        <v>4.3545892544182649</v>
      </c>
      <c r="R131">
        <f ca="1"/>
        <v>0</v>
      </c>
      <c r="S131">
        <f ca="1"/>
        <v>0.5167958136796843</v>
      </c>
      <c r="T131">
        <f ca="1"/>
        <v>0</v>
      </c>
      <c r="U131">
        <f ca="1"/>
        <v>0</v>
      </c>
      <c r="V131">
        <f ca="1"/>
        <v>0.11323273432700204</v>
      </c>
      <c r="X131" s="2">
        <f t="shared" ca="1" si="8"/>
        <v>45336</v>
      </c>
      <c r="Y131">
        <f t="shared" ca="1" si="9"/>
        <v>0</v>
      </c>
      <c r="AA131" s="63">
        <f t="shared" ca="1" si="11"/>
        <v>102.93344321119667</v>
      </c>
      <c r="AB131" s="63">
        <f t="shared" ca="1" si="12"/>
        <v>102.93344321119667</v>
      </c>
      <c r="AC131" s="3">
        <f t="shared" ca="1" si="13"/>
        <v>0</v>
      </c>
    </row>
    <row r="132" spans="8:29">
      <c r="H132" t="b">
        <f t="shared" ca="1" si="10"/>
        <v>0</v>
      </c>
      <c r="I132" t="b">
        <f t="shared" ca="1" si="7"/>
        <v>0</v>
      </c>
      <c r="J132" s="2">
        <f ca="1"/>
        <v>45337</v>
      </c>
      <c r="K132">
        <f ca="1"/>
        <v>103.26628394046259</v>
      </c>
      <c r="L132">
        <f ca="1"/>
        <v>0.26442913595142059</v>
      </c>
      <c r="M132">
        <f ca="1"/>
        <v>8.947764689115445E-2</v>
      </c>
      <c r="N132">
        <f ca="1"/>
        <v>0.76134288490608049</v>
      </c>
      <c r="O132">
        <f ca="1"/>
        <v>0</v>
      </c>
      <c r="P132">
        <f ca="1"/>
        <v>4.9704413828315106</v>
      </c>
      <c r="Q132">
        <f ca="1"/>
        <v>4.5992720587888973</v>
      </c>
      <c r="R132">
        <f ca="1"/>
        <v>0</v>
      </c>
      <c r="S132">
        <f ca="1"/>
        <v>0.52287426800666559</v>
      </c>
      <c r="T132">
        <f ca="1"/>
        <v>0</v>
      </c>
      <c r="U132">
        <f ca="1"/>
        <v>0</v>
      </c>
      <c r="V132">
        <f ca="1"/>
        <v>0.12804057117194481</v>
      </c>
      <c r="X132" s="2">
        <f t="shared" ca="1" si="8"/>
        <v>45337</v>
      </c>
      <c r="Y132">
        <f t="shared" ca="1" si="9"/>
        <v>0</v>
      </c>
      <c r="AA132" s="63">
        <f t="shared" ca="1" si="11"/>
        <v>103.530713076414</v>
      </c>
      <c r="AB132" s="63">
        <f t="shared" ca="1" si="12"/>
        <v>103.530713076414</v>
      </c>
      <c r="AC132" s="3">
        <f t="shared" ca="1" si="13"/>
        <v>0</v>
      </c>
    </row>
    <row r="133" spans="8:29">
      <c r="H133" t="b">
        <f t="shared" ca="1" si="10"/>
        <v>0</v>
      </c>
      <c r="I133" t="b">
        <f t="shared" ca="1" si="7"/>
        <v>0</v>
      </c>
      <c r="J133" s="2">
        <f ca="1"/>
        <v>45338</v>
      </c>
      <c r="K133">
        <f ca="1"/>
        <v>103.81796983353557</v>
      </c>
      <c r="L133">
        <f ca="1"/>
        <v>0.27744582532094864</v>
      </c>
      <c r="M133">
        <f ca="1"/>
        <v>8.0475448205795885E-2</v>
      </c>
      <c r="N133">
        <f ca="1"/>
        <v>0.74865627018814807</v>
      </c>
      <c r="O133">
        <f ca="1"/>
        <v>0</v>
      </c>
      <c r="P133">
        <f ca="1"/>
        <v>5.2478872081524592</v>
      </c>
      <c r="Q133">
        <f ca="1"/>
        <v>4.8559995270241911</v>
      </c>
      <c r="R133">
        <f ca="1"/>
        <v>0</v>
      </c>
      <c r="S133">
        <f ca="1"/>
        <v>0.51562755816456129</v>
      </c>
      <c r="T133">
        <f ca="1"/>
        <v>0</v>
      </c>
      <c r="U133">
        <f ca="1"/>
        <v>0</v>
      </c>
      <c r="V133">
        <f ca="1"/>
        <v>0.14438020522795056</v>
      </c>
      <c r="X133" s="2">
        <f t="shared" ca="1" si="8"/>
        <v>45338</v>
      </c>
      <c r="Y133">
        <f t="shared" ca="1" si="9"/>
        <v>0</v>
      </c>
      <c r="AA133" s="63">
        <f t="shared" ca="1" si="11"/>
        <v>104.09541565885652</v>
      </c>
      <c r="AB133" s="63">
        <f t="shared" ca="1" si="12"/>
        <v>104.09541565885652</v>
      </c>
      <c r="AC133" s="3">
        <f t="shared" ca="1" si="13"/>
        <v>0</v>
      </c>
    </row>
    <row r="134" spans="8:29">
      <c r="H134" t="b">
        <f t="shared" ca="1" si="10"/>
        <v>0</v>
      </c>
      <c r="I134" t="b">
        <f t="shared" ca="1" si="7"/>
        <v>0</v>
      </c>
      <c r="J134" s="2">
        <f ca="1"/>
        <v>45339</v>
      </c>
      <c r="K134">
        <f ca="1"/>
        <v>104.38311857834283</v>
      </c>
      <c r="L134">
        <f ca="1"/>
        <v>0.29284550297196521</v>
      </c>
      <c r="M134">
        <f ca="1"/>
        <v>7.3285657402067272E-2</v>
      </c>
      <c r="N134">
        <f ca="1"/>
        <v>0.78470859037716967</v>
      </c>
      <c r="O134">
        <f ca="1"/>
        <v>0</v>
      </c>
      <c r="P134">
        <f ca="1"/>
        <v>5.5407327111244244</v>
      </c>
      <c r="Q134">
        <f ca="1"/>
        <v>5.1269766969820161</v>
      </c>
      <c r="R134">
        <f ca="1"/>
        <v>0</v>
      </c>
      <c r="S134">
        <f ca="1"/>
        <v>0.55004192215168324</v>
      </c>
      <c r="T134">
        <f ca="1"/>
        <v>0</v>
      </c>
      <c r="U134">
        <f ca="1"/>
        <v>0</v>
      </c>
      <c r="V134">
        <f ca="1"/>
        <v>0.16243623473695545</v>
      </c>
      <c r="X134" s="2">
        <f t="shared" ca="1" si="8"/>
        <v>45339</v>
      </c>
      <c r="Y134">
        <f t="shared" ca="1" si="9"/>
        <v>0</v>
      </c>
      <c r="AA134" s="63">
        <f t="shared" ca="1" si="11"/>
        <v>104.6759640813148</v>
      </c>
      <c r="AB134" s="63">
        <f t="shared" ca="1" si="12"/>
        <v>104.6759640813148</v>
      </c>
      <c r="AC134" s="3">
        <f t="shared" ca="1" si="13"/>
        <v>0</v>
      </c>
    </row>
    <row r="135" spans="8:29">
      <c r="H135" t="b">
        <f t="shared" ca="1" si="10"/>
        <v>0</v>
      </c>
      <c r="I135" t="b">
        <f t="shared" ca="1" si="7"/>
        <v>0</v>
      </c>
      <c r="J135" s="2">
        <f ca="1"/>
        <v>45340</v>
      </c>
      <c r="K135">
        <f ca="1"/>
        <v>104.91579395794324</v>
      </c>
      <c r="L135">
        <f ca="1"/>
        <v>0.31104395766388038</v>
      </c>
      <c r="M135">
        <f ca="1"/>
        <v>6.7536984444764414E-2</v>
      </c>
      <c r="N135">
        <f ca="1"/>
        <v>0.77618235281952996</v>
      </c>
      <c r="O135">
        <f ca="1"/>
        <v>0</v>
      </c>
      <c r="P135">
        <f ca="1"/>
        <v>5.8517766687883048</v>
      </c>
      <c r="Q135">
        <f ca="1"/>
        <v>5.4147933461190485</v>
      </c>
      <c r="R135">
        <f ca="1"/>
        <v>0</v>
      </c>
      <c r="S135">
        <f ca="1"/>
        <v>0.53418863398306948</v>
      </c>
      <c r="T135">
        <f ca="1"/>
        <v>0</v>
      </c>
      <c r="U135">
        <f ca="1"/>
        <v>0</v>
      </c>
      <c r="V135">
        <f ca="1"/>
        <v>0.1824199689836577</v>
      </c>
      <c r="X135" s="2">
        <f t="shared" ca="1" si="8"/>
        <v>45340</v>
      </c>
      <c r="Y135">
        <f t="shared" ca="1" si="9"/>
        <v>0</v>
      </c>
      <c r="AA135" s="63">
        <f t="shared" ca="1" si="11"/>
        <v>105.22683791560713</v>
      </c>
      <c r="AB135" s="63">
        <f t="shared" ca="1" si="12"/>
        <v>105.22683791560712</v>
      </c>
      <c r="AC135" s="3">
        <f t="shared" ca="1" si="13"/>
        <v>0</v>
      </c>
    </row>
    <row r="136" spans="8:29">
      <c r="H136" t="b">
        <f t="shared" ca="1" si="10"/>
        <v>0</v>
      </c>
      <c r="I136" t="b">
        <f t="shared" ca="1" si="7"/>
        <v>0</v>
      </c>
      <c r="J136" s="2">
        <f ca="1"/>
        <v>45341</v>
      </c>
      <c r="K136">
        <f ca="1"/>
        <v>105.41347003353698</v>
      </c>
      <c r="L136">
        <f ca="1"/>
        <v>0.32800213623629482</v>
      </c>
      <c r="M136">
        <f ca="1"/>
        <v>6.1878110413374543E-2</v>
      </c>
      <c r="N136">
        <f ca="1"/>
        <v>0.7638001014166641</v>
      </c>
      <c r="O136">
        <f ca="1"/>
        <v>0</v>
      </c>
      <c r="P136">
        <f ca="1"/>
        <v>6.1797788050245996</v>
      </c>
      <c r="Q136">
        <f ca="1"/>
        <v>5.7183018163376973</v>
      </c>
      <c r="R136">
        <f ca="1"/>
        <v>0</v>
      </c>
      <c r="S136">
        <f ca="1"/>
        <v>0.52203856235237756</v>
      </c>
      <c r="T136">
        <f ca="1"/>
        <v>0</v>
      </c>
      <c r="U136">
        <f ca="1"/>
        <v>0</v>
      </c>
      <c r="V136">
        <f ca="1"/>
        <v>0.20426263205537828</v>
      </c>
      <c r="X136" s="2">
        <f t="shared" ca="1" si="8"/>
        <v>45341</v>
      </c>
      <c r="Y136">
        <f t="shared" ca="1" si="9"/>
        <v>0</v>
      </c>
      <c r="AA136" s="63">
        <f t="shared" ca="1" si="11"/>
        <v>105.74147216977327</v>
      </c>
      <c r="AB136" s="63">
        <f t="shared" ca="1" si="12"/>
        <v>105.74147216977327</v>
      </c>
      <c r="AC136" s="3">
        <f t="shared" ca="1" si="13"/>
        <v>0</v>
      </c>
    </row>
    <row r="137" spans="8:29">
      <c r="H137" t="b">
        <f t="shared" ca="1" si="10"/>
        <v>0</v>
      </c>
      <c r="I137" t="b">
        <f t="shared" ca="1" si="7"/>
        <v>0</v>
      </c>
      <c r="J137" s="2">
        <f ca="1"/>
        <v>45342</v>
      </c>
      <c r="K137">
        <f ca="1"/>
        <v>105.91659567194247</v>
      </c>
      <c r="L137">
        <f ca="1"/>
        <v>0.34747262094945253</v>
      </c>
      <c r="M137">
        <f ca="1"/>
        <v>5.7291715096468465E-2</v>
      </c>
      <c r="N137">
        <f ca="1"/>
        <v>0.79330654425847702</v>
      </c>
      <c r="O137">
        <f ca="1"/>
        <v>0</v>
      </c>
      <c r="P137">
        <f ca="1"/>
        <v>6.5272514259740522</v>
      </c>
      <c r="Q137">
        <f ca="1"/>
        <v>6.0398268065019627</v>
      </c>
      <c r="R137">
        <f ca="1"/>
        <v>0</v>
      </c>
      <c r="S137">
        <f ca="1"/>
        <v>0.5457589748201751</v>
      </c>
      <c r="T137">
        <f ca="1"/>
        <v>0</v>
      </c>
      <c r="U137">
        <f ca="1"/>
        <v>0</v>
      </c>
      <c r="V137">
        <f ca="1"/>
        <v>0.22810572597136444</v>
      </c>
      <c r="X137" s="2">
        <f t="shared" ca="1" si="8"/>
        <v>45342</v>
      </c>
      <c r="Y137">
        <f t="shared" ca="1" si="9"/>
        <v>0</v>
      </c>
      <c r="AA137" s="63">
        <f t="shared" ca="1" si="11"/>
        <v>106.26406829289192</v>
      </c>
      <c r="AB137" s="63">
        <f t="shared" ca="1" si="12"/>
        <v>106.26406829289192</v>
      </c>
      <c r="AC137" s="3">
        <f t="shared" ca="1" si="13"/>
        <v>0</v>
      </c>
    </row>
    <row r="138" spans="8:29">
      <c r="H138" t="b">
        <f t="shared" ca="1" si="10"/>
        <v>0</v>
      </c>
      <c r="I138" t="b">
        <f t="shared" ca="1" si="7"/>
        <v>0</v>
      </c>
      <c r="J138" s="2">
        <f ca="1"/>
        <v>45343</v>
      </c>
      <c r="K138">
        <f ca="1"/>
        <v>106.40212339970623</v>
      </c>
      <c r="L138">
        <f ca="1"/>
        <v>0.36503079092620805</v>
      </c>
      <c r="M138">
        <f ca="1"/>
        <v>5.2701284788213343E-2</v>
      </c>
      <c r="N138">
        <f ca="1"/>
        <v>0.79785723390174645</v>
      </c>
      <c r="O138">
        <f ca="1"/>
        <v>0</v>
      </c>
      <c r="P138">
        <f ca="1"/>
        <v>6.8922822169002602</v>
      </c>
      <c r="Q138">
        <f ca="1"/>
        <v>6.377598804599268</v>
      </c>
      <c r="R138">
        <f ca="1"/>
        <v>0</v>
      </c>
      <c r="S138">
        <f ca="1"/>
        <v>0.55385576592127661</v>
      </c>
      <c r="T138">
        <f ca="1"/>
        <v>0</v>
      </c>
      <c r="U138">
        <f ca="1"/>
        <v>0</v>
      </c>
      <c r="V138">
        <f ca="1"/>
        <v>0.25374844121926943</v>
      </c>
      <c r="X138" s="2">
        <f t="shared" ca="1" si="8"/>
        <v>45343</v>
      </c>
      <c r="Y138">
        <f t="shared" ca="1" si="9"/>
        <v>0</v>
      </c>
      <c r="AA138" s="63">
        <f t="shared" ca="1" si="11"/>
        <v>106.76715419063244</v>
      </c>
      <c r="AB138" s="63">
        <f t="shared" ca="1" si="12"/>
        <v>106.76715419063244</v>
      </c>
      <c r="AC138" s="3">
        <f t="shared" ca="1" si="13"/>
        <v>0</v>
      </c>
    </row>
    <row r="139" spans="8:29">
      <c r="H139" t="b">
        <f t="shared" ca="1" si="10"/>
        <v>0</v>
      </c>
      <c r="I139" t="b">
        <f t="shared" ref="I139:I202" ca="1" si="14">AND(IF(J139&gt;($J$7-1),TRUE,FALSE),IF(J139&lt;($J$8+1),TRUE,FALSE))</f>
        <v>0</v>
      </c>
      <c r="J139" s="2">
        <f ca="1"/>
        <v>45344</v>
      </c>
      <c r="K139">
        <f ca="1"/>
        <v>106.84110430563872</v>
      </c>
      <c r="L139">
        <f ca="1"/>
        <v>0.3804839441065635</v>
      </c>
      <c r="M139">
        <f ca="1"/>
        <v>4.827038720630128E-2</v>
      </c>
      <c r="N139">
        <f ca="1"/>
        <v>0.7711944628327505</v>
      </c>
      <c r="O139">
        <f ca="1"/>
        <v>0</v>
      </c>
      <c r="P139">
        <f ca="1"/>
        <v>7.2727661610068237</v>
      </c>
      <c r="Q139">
        <f ca="1"/>
        <v>6.7296699866459244</v>
      </c>
      <c r="R139">
        <f ca="1"/>
        <v>0</v>
      </c>
      <c r="S139">
        <f ca="1"/>
        <v>0.53968238769123045</v>
      </c>
      <c r="T139">
        <f ca="1"/>
        <v>0</v>
      </c>
      <c r="U139">
        <f ca="1"/>
        <v>0</v>
      </c>
      <c r="V139">
        <f ca="1"/>
        <v>0.28091727699709496</v>
      </c>
      <c r="X139" s="2">
        <f t="shared" ref="X139:X202" ca="1" si="15">IFERROR(J139,$X$9)</f>
        <v>45344</v>
      </c>
      <c r="Y139">
        <f t="shared" ref="Y139:Y202" ca="1" si="16">IFERROR(O139,0)</f>
        <v>0</v>
      </c>
      <c r="AA139" s="63">
        <f t="shared" ca="1" si="11"/>
        <v>107.22158824974528</v>
      </c>
      <c r="AB139" s="63">
        <f t="shared" ca="1" si="12"/>
        <v>107.22158824974528</v>
      </c>
      <c r="AC139" s="3">
        <f t="shared" ca="1" si="13"/>
        <v>0</v>
      </c>
    </row>
    <row r="140" spans="8:29">
      <c r="H140" t="b">
        <f t="shared" ref="H140:H203" ca="1" si="17">IF(J140&lt;$J$8,TRUE,FALSE)</f>
        <v>0</v>
      </c>
      <c r="I140" t="b">
        <f t="shared" ca="1" si="14"/>
        <v>0</v>
      </c>
      <c r="J140" s="2">
        <f ca="1"/>
        <v>45345</v>
      </c>
      <c r="K140">
        <f ca="1"/>
        <v>107.26558986399581</v>
      </c>
      <c r="L140">
        <f ca="1"/>
        <v>0.40051824371946054</v>
      </c>
      <c r="M140">
        <f ca="1"/>
        <v>4.5060738701849345E-2</v>
      </c>
      <c r="N140">
        <f ca="1"/>
        <v>0.77994306337469665</v>
      </c>
      <c r="O140">
        <f ca="1"/>
        <v>0</v>
      </c>
      <c r="P140">
        <f ca="1"/>
        <v>7.6732844047262843</v>
      </c>
      <c r="Q140">
        <f ca="1"/>
        <v>7.1002794004772438</v>
      </c>
      <c r="R140">
        <f ca="1"/>
        <v>0</v>
      </c>
      <c r="S140">
        <f ca="1"/>
        <v>0.54872759854218778</v>
      </c>
      <c r="T140">
        <f ca="1"/>
        <v>0</v>
      </c>
      <c r="U140">
        <f ca="1"/>
        <v>0</v>
      </c>
      <c r="V140">
        <f ca="1"/>
        <v>0.30977206171642885</v>
      </c>
      <c r="X140" s="2">
        <f t="shared" ca="1" si="15"/>
        <v>45345</v>
      </c>
      <c r="Y140">
        <f t="shared" ca="1" si="16"/>
        <v>0</v>
      </c>
      <c r="AA140" s="63">
        <f t="shared" ca="1" si="11"/>
        <v>107.66610810771527</v>
      </c>
      <c r="AB140" s="63">
        <f t="shared" ca="1" si="12"/>
        <v>107.66610810771527</v>
      </c>
      <c r="AC140" s="3">
        <f t="shared" ca="1" si="13"/>
        <v>0</v>
      </c>
    </row>
    <row r="141" spans="8:29">
      <c r="H141" t="b">
        <f t="shared" ca="1" si="17"/>
        <v>0</v>
      </c>
      <c r="I141" t="b">
        <f t="shared" ca="1" si="14"/>
        <v>0</v>
      </c>
      <c r="J141" s="2">
        <f ca="1"/>
        <v>45346</v>
      </c>
      <c r="K141">
        <f ca="1"/>
        <v>107.63436554752697</v>
      </c>
      <c r="L141">
        <f ca="1"/>
        <v>0.41206121884722169</v>
      </c>
      <c r="M141">
        <f ca="1"/>
        <v>4.1079816777148892E-2</v>
      </c>
      <c r="N141">
        <f ca="1"/>
        <v>0.73975708560122688</v>
      </c>
      <c r="O141">
        <f ca="1"/>
        <v>0</v>
      </c>
      <c r="P141">
        <f ca="1"/>
        <v>8.0853456235735059</v>
      </c>
      <c r="Q141">
        <f ca="1"/>
        <v>7.4815698140209399</v>
      </c>
      <c r="R141">
        <f ca="1"/>
        <v>0</v>
      </c>
      <c r="S141">
        <f ca="1"/>
        <v>0.53250479621148605</v>
      </c>
      <c r="T141">
        <f ca="1"/>
        <v>0</v>
      </c>
      <c r="U141">
        <f ca="1"/>
        <v>0</v>
      </c>
      <c r="V141">
        <f ca="1"/>
        <v>0.33949221597593476</v>
      </c>
      <c r="X141" s="2">
        <f t="shared" ca="1" si="15"/>
        <v>45346</v>
      </c>
      <c r="Y141">
        <f t="shared" ca="1" si="16"/>
        <v>0</v>
      </c>
      <c r="AA141" s="63">
        <f t="shared" ref="AA141:AA204" ca="1" si="18">K140+M141+N141+O141</f>
        <v>108.04642676637418</v>
      </c>
      <c r="AB141" s="63">
        <f t="shared" ref="AB141:AB204" ca="1" si="19">K141+L141+R141</f>
        <v>108.0464267663742</v>
      </c>
      <c r="AC141" s="3">
        <f t="shared" ref="AC141:AC204" ca="1" si="20">AB141-AA141</f>
        <v>0</v>
      </c>
    </row>
    <row r="142" spans="8:29">
      <c r="H142" t="b">
        <f t="shared" ca="1" si="17"/>
        <v>0</v>
      </c>
      <c r="I142" t="b">
        <f t="shared" ca="1" si="14"/>
        <v>0</v>
      </c>
      <c r="J142" s="2">
        <f ca="1"/>
        <v>45347</v>
      </c>
      <c r="K142">
        <f ca="1"/>
        <v>107.94167624175506</v>
      </c>
      <c r="L142">
        <f ca="1"/>
        <v>0.4217240254667427</v>
      </c>
      <c r="M142">
        <f ca="1"/>
        <v>3.7522164009935466E-2</v>
      </c>
      <c r="N142">
        <f ca="1"/>
        <v>0.69151255568490744</v>
      </c>
      <c r="O142">
        <f ca="1"/>
        <v>0</v>
      </c>
      <c r="P142">
        <f ca="1"/>
        <v>8.5070696490402486</v>
      </c>
      <c r="Q142">
        <f ca="1"/>
        <v>7.8718014609625664</v>
      </c>
      <c r="R142">
        <f ca="1"/>
        <v>0</v>
      </c>
      <c r="S142">
        <f ca="1"/>
        <v>0.50891803851401596</v>
      </c>
      <c r="T142">
        <f ca="1"/>
        <v>0</v>
      </c>
      <c r="U142">
        <f ca="1"/>
        <v>0</v>
      </c>
      <c r="V142">
        <f ca="1"/>
        <v>0.36970851686938266</v>
      </c>
      <c r="X142" s="2">
        <f t="shared" ca="1" si="15"/>
        <v>45347</v>
      </c>
      <c r="Y142">
        <f t="shared" ca="1" si="16"/>
        <v>0</v>
      </c>
      <c r="AA142" s="63">
        <f t="shared" ca="1" si="18"/>
        <v>108.36340026722181</v>
      </c>
      <c r="AB142" s="63">
        <f t="shared" ca="1" si="19"/>
        <v>108.36340026722181</v>
      </c>
      <c r="AC142" s="3">
        <f t="shared" ca="1" si="20"/>
        <v>0</v>
      </c>
    </row>
    <row r="143" spans="8:29">
      <c r="H143" t="b">
        <f t="shared" ca="1" si="17"/>
        <v>0</v>
      </c>
      <c r="I143" t="b">
        <f t="shared" ca="1" si="14"/>
        <v>0</v>
      </c>
      <c r="J143" s="2">
        <f ca="1"/>
        <v>45348</v>
      </c>
      <c r="K143">
        <f ca="1"/>
        <v>108.2173144729052</v>
      </c>
      <c r="L143">
        <f ca="1"/>
        <v>0.44551904619871863</v>
      </c>
      <c r="M143">
        <f ca="1"/>
        <v>3.5620131916310527E-2</v>
      </c>
      <c r="N143">
        <f ca="1"/>
        <v>0.68553714543253286</v>
      </c>
      <c r="O143">
        <f ca="1"/>
        <v>0</v>
      </c>
      <c r="P143">
        <f ca="1"/>
        <v>8.9525886952389673</v>
      </c>
      <c r="Q143">
        <f ca="1"/>
        <v>8.2840512277373559</v>
      </c>
      <c r="R143">
        <f ca="1"/>
        <v>0</v>
      </c>
      <c r="S143">
        <f ca="1"/>
        <v>0.49609892372775</v>
      </c>
      <c r="T143">
        <f ca="1"/>
        <v>0</v>
      </c>
      <c r="U143">
        <f ca="1"/>
        <v>0</v>
      </c>
      <c r="V143">
        <f ca="1"/>
        <v>0.40117225526947742</v>
      </c>
      <c r="X143" s="2">
        <f t="shared" ca="1" si="15"/>
        <v>45348</v>
      </c>
      <c r="Y143">
        <f t="shared" ca="1" si="16"/>
        <v>0</v>
      </c>
      <c r="AA143" s="63">
        <f t="shared" ca="1" si="18"/>
        <v>108.66283351910391</v>
      </c>
      <c r="AB143" s="63">
        <f t="shared" ca="1" si="19"/>
        <v>108.66283351910391</v>
      </c>
      <c r="AC143" s="3">
        <f t="shared" ca="1" si="20"/>
        <v>0</v>
      </c>
    </row>
    <row r="144" spans="8:29">
      <c r="H144" t="b">
        <f t="shared" ca="1" si="17"/>
        <v>0</v>
      </c>
      <c r="I144" t="b">
        <f t="shared" ca="1" si="14"/>
        <v>0</v>
      </c>
      <c r="J144" s="2">
        <f ca="1"/>
        <v>45349</v>
      </c>
      <c r="K144">
        <f ca="1"/>
        <v>108.4546852123305</v>
      </c>
      <c r="L144">
        <f ca="1"/>
        <v>0.47067609253381271</v>
      </c>
      <c r="M144">
        <f ca="1"/>
        <v>3.298667731018412E-2</v>
      </c>
      <c r="N144">
        <f ca="1"/>
        <v>0.67506015464892444</v>
      </c>
      <c r="O144">
        <f ca="1"/>
        <v>0</v>
      </c>
      <c r="P144">
        <f ca="1"/>
        <v>9.42326478777278</v>
      </c>
      <c r="Q144">
        <f ca="1"/>
        <v>8.7195794302442948</v>
      </c>
      <c r="R144">
        <f ca="1"/>
        <v>0</v>
      </c>
      <c r="S144">
        <f ca="1"/>
        <v>0.47811390963833617</v>
      </c>
      <c r="T144">
        <f ca="1"/>
        <v>0</v>
      </c>
      <c r="U144">
        <f ca="1"/>
        <v>0</v>
      </c>
      <c r="V144">
        <f ca="1"/>
        <v>0.43366714270716705</v>
      </c>
      <c r="X144" s="2">
        <f t="shared" ca="1" si="15"/>
        <v>45349</v>
      </c>
      <c r="Y144">
        <f t="shared" ca="1" si="16"/>
        <v>0</v>
      </c>
      <c r="AA144" s="63">
        <f t="shared" ca="1" si="18"/>
        <v>108.92536130486431</v>
      </c>
      <c r="AB144" s="63">
        <f t="shared" ca="1" si="19"/>
        <v>108.92536130486431</v>
      </c>
      <c r="AC144" s="3">
        <f t="shared" ca="1" si="20"/>
        <v>0</v>
      </c>
    </row>
    <row r="145" spans="8:29">
      <c r="H145" t="b">
        <f t="shared" ca="1" si="17"/>
        <v>0</v>
      </c>
      <c r="I145" t="b">
        <f t="shared" ca="1" si="14"/>
        <v>0</v>
      </c>
      <c r="J145" s="2">
        <f ca="1"/>
        <v>45350</v>
      </c>
      <c r="K145">
        <f ca="1"/>
        <v>108.6742339498138</v>
      </c>
      <c r="L145">
        <f ca="1"/>
        <v>0.48687873178868379</v>
      </c>
      <c r="M145">
        <f ca="1"/>
        <v>3.1941911206722295E-2</v>
      </c>
      <c r="N145">
        <f ca="1"/>
        <v>0.67448555806524635</v>
      </c>
      <c r="O145">
        <f ca="1"/>
        <v>0</v>
      </c>
      <c r="P145">
        <f ca="1"/>
        <v>9.9101435195614638</v>
      </c>
      <c r="Q145">
        <f ca="1"/>
        <v>9.1701003346591463</v>
      </c>
      <c r="R145">
        <f ca="1"/>
        <v>0</v>
      </c>
      <c r="S145">
        <f ca="1"/>
        <v>0.49280123662097258</v>
      </c>
      <c r="T145">
        <f ca="1"/>
        <v>0</v>
      </c>
      <c r="U145">
        <f ca="1"/>
        <v>0</v>
      </c>
      <c r="V145">
        <f ca="1"/>
        <v>0.46625756412490033</v>
      </c>
      <c r="X145" s="2">
        <f t="shared" ca="1" si="15"/>
        <v>45350</v>
      </c>
      <c r="Y145">
        <f t="shared" ca="1" si="16"/>
        <v>0</v>
      </c>
      <c r="AA145" s="63">
        <f t="shared" ca="1" si="18"/>
        <v>109.16111268160248</v>
      </c>
      <c r="AB145" s="63">
        <f t="shared" ca="1" si="19"/>
        <v>109.16111268160248</v>
      </c>
      <c r="AC145" s="3">
        <f t="shared" ca="1" si="20"/>
        <v>0</v>
      </c>
    </row>
    <row r="146" spans="8:29">
      <c r="H146" t="b">
        <f t="shared" ca="1" si="17"/>
        <v>0</v>
      </c>
      <c r="I146" t="b">
        <f t="shared" ca="1" si="14"/>
        <v>0</v>
      </c>
      <c r="J146" s="2">
        <f ca="1"/>
        <v>45351</v>
      </c>
      <c r="K146">
        <f ca="1"/>
        <v>108.89002846831161</v>
      </c>
      <c r="L146">
        <f ca="1"/>
        <v>0.51250974722262299</v>
      </c>
      <c r="M146">
        <f ca="1"/>
        <v>3.1230792729381562E-2</v>
      </c>
      <c r="N146">
        <f ca="1"/>
        <v>0.69707347299105327</v>
      </c>
      <c r="O146">
        <f ca="1"/>
        <v>0</v>
      </c>
      <c r="P146">
        <f ca="1"/>
        <v>10.422653266784087</v>
      </c>
      <c r="Q146">
        <f ca="1"/>
        <v>9.6443382501086514</v>
      </c>
      <c r="R146">
        <f ca="1"/>
        <v>0</v>
      </c>
      <c r="S146">
        <f ca="1"/>
        <v>0.51442534706965592</v>
      </c>
      <c r="T146">
        <f ca="1"/>
        <v>0</v>
      </c>
      <c r="U146">
        <f ca="1"/>
        <v>0</v>
      </c>
      <c r="V146">
        <f ca="1"/>
        <v>0.49924684830285299</v>
      </c>
      <c r="X146" s="2">
        <f t="shared" ca="1" si="15"/>
        <v>45351</v>
      </c>
      <c r="Y146">
        <f t="shared" ca="1" si="16"/>
        <v>0</v>
      </c>
      <c r="AA146" s="63">
        <f t="shared" ca="1" si="18"/>
        <v>109.40253821553422</v>
      </c>
      <c r="AB146" s="63">
        <f t="shared" ca="1" si="19"/>
        <v>109.40253821553424</v>
      </c>
      <c r="AC146" s="3">
        <f t="shared" ca="1" si="20"/>
        <v>0</v>
      </c>
    </row>
    <row r="147" spans="8:29">
      <c r="H147" t="b">
        <f t="shared" ca="1" si="17"/>
        <v>0</v>
      </c>
      <c r="I147" t="b">
        <f t="shared" ca="1" si="14"/>
        <v>0</v>
      </c>
      <c r="J147" s="2">
        <f ca="1"/>
        <v>45352</v>
      </c>
      <c r="K147">
        <f ca="1"/>
        <v>109.08226194039992</v>
      </c>
      <c r="L147">
        <f ca="1"/>
        <v>0.5493645406059251</v>
      </c>
      <c r="M147">
        <f ca="1"/>
        <v>3.0859884740955579E-2</v>
      </c>
      <c r="N147">
        <f ca="1"/>
        <v>0.71073812795326452</v>
      </c>
      <c r="O147">
        <f ca="1"/>
        <v>0</v>
      </c>
      <c r="P147">
        <f ca="1"/>
        <v>10.972017807390012</v>
      </c>
      <c r="Q147">
        <f ca="1"/>
        <v>10.152678815279719</v>
      </c>
      <c r="R147">
        <f ca="1"/>
        <v>0</v>
      </c>
      <c r="S147">
        <f ca="1"/>
        <v>0.50722839827828325</v>
      </c>
      <c r="T147">
        <f ca="1"/>
        <v>0</v>
      </c>
      <c r="U147">
        <f ca="1"/>
        <v>0</v>
      </c>
      <c r="V147">
        <f ca="1"/>
        <v>0.53294346081220656</v>
      </c>
      <c r="X147" s="2">
        <f t="shared" ca="1" si="15"/>
        <v>45352</v>
      </c>
      <c r="Y147">
        <f t="shared" ca="1" si="16"/>
        <v>0</v>
      </c>
      <c r="AA147" s="63">
        <f t="shared" ca="1" si="18"/>
        <v>109.63162648100582</v>
      </c>
      <c r="AB147" s="63">
        <f t="shared" ca="1" si="19"/>
        <v>109.63162648100584</v>
      </c>
      <c r="AC147" s="3">
        <f t="shared" ca="1" si="20"/>
        <v>0</v>
      </c>
    </row>
    <row r="148" spans="8:29">
      <c r="H148" t="b">
        <f t="shared" ca="1" si="17"/>
        <v>0</v>
      </c>
      <c r="I148" t="b">
        <f t="shared" ca="1" si="14"/>
        <v>0</v>
      </c>
      <c r="J148" s="2">
        <f ca="1"/>
        <v>45353</v>
      </c>
      <c r="K148">
        <f ca="1"/>
        <v>109.25702106509362</v>
      </c>
      <c r="L148">
        <f ca="1"/>
        <v>0.57862111074999412</v>
      </c>
      <c r="M148">
        <f ca="1"/>
        <v>2.9875717106158106E-2</v>
      </c>
      <c r="N148">
        <f ca="1"/>
        <v>0.72350451833754603</v>
      </c>
      <c r="O148">
        <f ca="1"/>
        <v>0</v>
      </c>
      <c r="P148">
        <f ca="1"/>
        <v>11.550638918140006</v>
      </c>
      <c r="Q148">
        <f ca="1"/>
        <v>10.688091206720461</v>
      </c>
      <c r="R148">
        <f ca="1"/>
        <v>0</v>
      </c>
      <c r="S148">
        <f ca="1"/>
        <v>0.51737677319847475</v>
      </c>
      <c r="T148">
        <f ca="1"/>
        <v>0</v>
      </c>
      <c r="U148">
        <f ca="1"/>
        <v>0</v>
      </c>
      <c r="V148">
        <f ca="1"/>
        <v>0.56644853898742564</v>
      </c>
      <c r="X148" s="2">
        <f t="shared" ca="1" si="15"/>
        <v>45353</v>
      </c>
      <c r="Y148">
        <f t="shared" ca="1" si="16"/>
        <v>0</v>
      </c>
      <c r="AA148" s="63">
        <f t="shared" ca="1" si="18"/>
        <v>109.83564217584363</v>
      </c>
      <c r="AB148" s="63">
        <f t="shared" ca="1" si="19"/>
        <v>109.83564217584362</v>
      </c>
      <c r="AC148" s="3">
        <f t="shared" ca="1" si="20"/>
        <v>0</v>
      </c>
    </row>
    <row r="149" spans="8:29">
      <c r="H149" t="b">
        <f t="shared" ca="1" si="17"/>
        <v>0</v>
      </c>
      <c r="I149" t="b">
        <f t="shared" ca="1" si="14"/>
        <v>0</v>
      </c>
      <c r="J149" s="2">
        <f ca="1"/>
        <v>45354</v>
      </c>
      <c r="K149">
        <f ca="1"/>
        <v>109.42022479066989</v>
      </c>
      <c r="L149">
        <f ca="1"/>
        <v>0.58317425188110228</v>
      </c>
      <c r="M149">
        <f ca="1"/>
        <v>2.7478594923572075E-2</v>
      </c>
      <c r="N149">
        <f ca="1"/>
        <v>0.71889938253378483</v>
      </c>
      <c r="O149">
        <f ca="1"/>
        <v>0</v>
      </c>
      <c r="P149">
        <f ca="1"/>
        <v>12.133813170021108</v>
      </c>
      <c r="Q149">
        <f ca="1"/>
        <v>11.227716732000051</v>
      </c>
      <c r="R149">
        <f ca="1"/>
        <v>0</v>
      </c>
      <c r="S149">
        <f ca="1"/>
        <v>0.55352452412460096</v>
      </c>
      <c r="T149">
        <f ca="1"/>
        <v>0</v>
      </c>
      <c r="U149">
        <f ca="1"/>
        <v>0</v>
      </c>
      <c r="V149">
        <f ca="1"/>
        <v>0.59809101178922397</v>
      </c>
      <c r="X149" s="2">
        <f t="shared" ca="1" si="15"/>
        <v>45354</v>
      </c>
      <c r="Y149">
        <f t="shared" ca="1" si="16"/>
        <v>0</v>
      </c>
      <c r="AA149" s="63">
        <f t="shared" ca="1" si="18"/>
        <v>110.00339904255098</v>
      </c>
      <c r="AB149" s="63">
        <f t="shared" ca="1" si="19"/>
        <v>110.003399042551</v>
      </c>
      <c r="AC149" s="3">
        <f t="shared" ca="1" si="20"/>
        <v>0</v>
      </c>
    </row>
    <row r="150" spans="8:29">
      <c r="H150" t="b">
        <f t="shared" ca="1" si="17"/>
        <v>0</v>
      </c>
      <c r="I150" t="b">
        <f t="shared" ca="1" si="14"/>
        <v>0</v>
      </c>
      <c r="J150" s="2">
        <f ca="1"/>
        <v>45355</v>
      </c>
      <c r="K150">
        <f ca="1"/>
        <v>109.54622583106909</v>
      </c>
      <c r="L150">
        <f ca="1"/>
        <v>0.6080448917970962</v>
      </c>
      <c r="M150">
        <f ca="1"/>
        <v>2.65258963548618E-2</v>
      </c>
      <c r="N150">
        <f ca="1"/>
        <v>0.70752003584144496</v>
      </c>
      <c r="O150">
        <f ca="1"/>
        <v>0</v>
      </c>
      <c r="P150">
        <f ca="1"/>
        <v>12.741858061818204</v>
      </c>
      <c r="Q150">
        <f ca="1"/>
        <v>11.790355674085026</v>
      </c>
      <c r="R150">
        <f ca="1"/>
        <v>0</v>
      </c>
      <c r="S150">
        <f ca="1"/>
        <v>0.54604838065802641</v>
      </c>
      <c r="T150">
        <f ca="1"/>
        <v>0</v>
      </c>
      <c r="U150">
        <f ca="1"/>
        <v>0</v>
      </c>
      <c r="V150">
        <f ca="1"/>
        <v>0.62880212870321173</v>
      </c>
      <c r="X150" s="2">
        <f t="shared" ca="1" si="15"/>
        <v>45355</v>
      </c>
      <c r="Y150">
        <f t="shared" ca="1" si="16"/>
        <v>0</v>
      </c>
      <c r="AA150" s="63">
        <f t="shared" ca="1" si="18"/>
        <v>110.15427072286619</v>
      </c>
      <c r="AB150" s="63">
        <f t="shared" ca="1" si="19"/>
        <v>110.15427072286619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0</v>
      </c>
      <c r="J151" s="2">
        <f ca="1"/>
        <v>45356</v>
      </c>
      <c r="K151">
        <f ca="1"/>
        <v>109.63720745471475</v>
      </c>
      <c r="L151">
        <f ca="1"/>
        <v>0.65143571812093093</v>
      </c>
      <c r="M151">
        <f ca="1"/>
        <v>2.6539032985745337E-2</v>
      </c>
      <c r="N151">
        <f ca="1"/>
        <v>0.71587830878084557</v>
      </c>
      <c r="O151">
        <f ca="1"/>
        <v>0</v>
      </c>
      <c r="P151">
        <f ca="1"/>
        <v>13.393293779939135</v>
      </c>
      <c r="Q151">
        <f ca="1"/>
        <v>12.393145218450174</v>
      </c>
      <c r="R151">
        <f ca="1"/>
        <v>0</v>
      </c>
      <c r="S151">
        <f ca="1"/>
        <v>0.53174035707469192</v>
      </c>
      <c r="T151">
        <f ca="1"/>
        <v>0</v>
      </c>
      <c r="U151">
        <f ca="1"/>
        <v>0</v>
      </c>
      <c r="V151">
        <f ca="1"/>
        <v>0.65917161846775862</v>
      </c>
      <c r="X151" s="2">
        <f t="shared" ca="1" si="15"/>
        <v>45356</v>
      </c>
      <c r="Y151">
        <f t="shared" ca="1" si="16"/>
        <v>0</v>
      </c>
      <c r="AA151" s="63">
        <f t="shared" ca="1" si="18"/>
        <v>110.28864317283569</v>
      </c>
      <c r="AB151" s="63">
        <f t="shared" ca="1" si="19"/>
        <v>110.28864317283569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45357</v>
      </c>
      <c r="K152">
        <f ca="1"/>
        <v>109.68590614912083</v>
      </c>
      <c r="L152">
        <f ca="1"/>
        <v>0.66081190200341844</v>
      </c>
      <c r="M152">
        <f ca="1"/>
        <v>2.4860106903688006E-2</v>
      </c>
      <c r="N152">
        <f ca="1"/>
        <v>0.68465048950579799</v>
      </c>
      <c r="O152">
        <f ca="1"/>
        <v>0</v>
      </c>
      <c r="P152">
        <f ca="1"/>
        <v>14.054105681942554</v>
      </c>
      <c r="Q152">
        <f ca="1"/>
        <v>13.004610777122169</v>
      </c>
      <c r="R152">
        <f ca="1"/>
        <v>0</v>
      </c>
      <c r="S152">
        <f ca="1"/>
        <v>0.53038961968865828</v>
      </c>
      <c r="T152">
        <f ca="1"/>
        <v>0</v>
      </c>
      <c r="U152">
        <f ca="1"/>
        <v>0</v>
      </c>
      <c r="V152">
        <f ca="1"/>
        <v>0.68740475035783644</v>
      </c>
      <c r="X152" s="2">
        <f t="shared" ca="1" si="15"/>
        <v>45357</v>
      </c>
      <c r="Y152">
        <f t="shared" ca="1" si="16"/>
        <v>0</v>
      </c>
      <c r="AA152" s="63">
        <f t="shared" ca="1" si="18"/>
        <v>110.34671805112424</v>
      </c>
      <c r="AB152" s="63">
        <f t="shared" ca="1" si="19"/>
        <v>110.34671805112424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45358</v>
      </c>
      <c r="K153">
        <f ca="1"/>
        <v>109.67749396817653</v>
      </c>
      <c r="L153">
        <f ca="1"/>
        <v>0.70499696927516808</v>
      </c>
      <c r="M153">
        <f ca="1"/>
        <v>2.4679602076936646E-2</v>
      </c>
      <c r="N153">
        <f ca="1"/>
        <v>0.67190518625393081</v>
      </c>
      <c r="O153">
        <f ca="1"/>
        <v>0</v>
      </c>
      <c r="P153">
        <f ca="1"/>
        <v>14.759102651217722</v>
      </c>
      <c r="Q153">
        <f ca="1"/>
        <v>13.656961868821595</v>
      </c>
      <c r="R153">
        <f ca="1"/>
        <v>0</v>
      </c>
      <c r="S153">
        <f ca="1"/>
        <v>0.49615074287762395</v>
      </c>
      <c r="T153">
        <f ca="1"/>
        <v>0</v>
      </c>
      <c r="U153">
        <f ca="1"/>
        <v>0</v>
      </c>
      <c r="V153">
        <f ca="1"/>
        <v>0.71482802574522852</v>
      </c>
      <c r="X153" s="2">
        <f t="shared" ca="1" si="15"/>
        <v>45358</v>
      </c>
      <c r="Y153">
        <f t="shared" ca="1" si="16"/>
        <v>0</v>
      </c>
      <c r="AA153" s="63">
        <f t="shared" ca="1" si="18"/>
        <v>110.38249093745169</v>
      </c>
      <c r="AB153" s="63">
        <f t="shared" ca="1" si="19"/>
        <v>110.38249093745171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45359</v>
      </c>
      <c r="K154">
        <f ca="1"/>
        <v>109.64029701380383</v>
      </c>
      <c r="L154">
        <f ca="1"/>
        <v>0.74768582321224741</v>
      </c>
      <c r="M154">
        <f ca="1"/>
        <v>2.4629390923095684E-2</v>
      </c>
      <c r="N154">
        <f ca="1"/>
        <v>0.68585947791645319</v>
      </c>
      <c r="O154">
        <f ca="1"/>
        <v>0</v>
      </c>
      <c r="P154">
        <f ca="1"/>
        <v>15.506788474429969</v>
      </c>
      <c r="Q154">
        <f ca="1"/>
        <v>14.348814010430329</v>
      </c>
      <c r="R154">
        <f ca="1"/>
        <v>0</v>
      </c>
      <c r="S154">
        <f ca="1"/>
        <v>0.49815442893505157</v>
      </c>
      <c r="T154">
        <f ca="1"/>
        <v>0</v>
      </c>
      <c r="U154">
        <f ca="1"/>
        <v>0</v>
      </c>
      <c r="V154">
        <f ca="1"/>
        <v>0.74108536859121121</v>
      </c>
      <c r="X154" s="2">
        <f t="shared" ca="1" si="15"/>
        <v>45359</v>
      </c>
      <c r="Y154">
        <f t="shared" ca="1" si="16"/>
        <v>0</v>
      </c>
      <c r="AA154" s="63">
        <f t="shared" ca="1" si="18"/>
        <v>110.38798283701608</v>
      </c>
      <c r="AB154" s="63">
        <f t="shared" ca="1" si="19"/>
        <v>110.38798283701608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45360</v>
      </c>
      <c r="K155">
        <f ca="1"/>
        <v>109.54163501783589</v>
      </c>
      <c r="L155">
        <f ca="1"/>
        <v>0.77036763465136637</v>
      </c>
      <c r="M155">
        <f ca="1"/>
        <v>2.2429500922790169E-2</v>
      </c>
      <c r="N155">
        <f ca="1"/>
        <v>0.64927613776063064</v>
      </c>
      <c r="O155">
        <f ca="1"/>
        <v>0</v>
      </c>
      <c r="P155">
        <f ca="1"/>
        <v>16.277156109081336</v>
      </c>
      <c r="Q155">
        <f ca="1"/>
        <v>15.061654191844744</v>
      </c>
      <c r="R155">
        <f ca="1"/>
        <v>0</v>
      </c>
      <c r="S155">
        <f ca="1"/>
        <v>0.47226961703622616</v>
      </c>
      <c r="T155">
        <f ca="1"/>
        <v>0</v>
      </c>
      <c r="U155">
        <f ca="1"/>
        <v>0</v>
      </c>
      <c r="V155">
        <f ca="1"/>
        <v>0.76535467319140615</v>
      </c>
      <c r="X155" s="2">
        <f t="shared" ca="1" si="15"/>
        <v>45360</v>
      </c>
      <c r="Y155">
        <f t="shared" ca="1" si="16"/>
        <v>0</v>
      </c>
      <c r="AA155" s="63">
        <f t="shared" ca="1" si="18"/>
        <v>110.31200265248725</v>
      </c>
      <c r="AB155" s="63">
        <f t="shared" ca="1" si="19"/>
        <v>110.31200265248725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45361</v>
      </c>
      <c r="K156">
        <f ca="1"/>
        <v>109.45933427657206</v>
      </c>
      <c r="L156">
        <f ca="1"/>
        <v>0.79771026127459876</v>
      </c>
      <c r="M156">
        <f ca="1"/>
        <v>2.3018937979280452E-2</v>
      </c>
      <c r="N156">
        <f ca="1"/>
        <v>0.69239058203149229</v>
      </c>
      <c r="O156">
        <f ca="1"/>
        <v>0</v>
      </c>
      <c r="P156">
        <f ca="1"/>
        <v>17.074866370355934</v>
      </c>
      <c r="Q156">
        <f ca="1"/>
        <v>15.799795180361823</v>
      </c>
      <c r="R156">
        <f ca="1"/>
        <v>0</v>
      </c>
      <c r="S156">
        <f ca="1"/>
        <v>0.53088469787733661</v>
      </c>
      <c r="T156">
        <f ca="1"/>
        <v>0</v>
      </c>
      <c r="U156">
        <f ca="1"/>
        <v>0</v>
      </c>
      <c r="V156">
        <f ca="1"/>
        <v>0.78779480582287542</v>
      </c>
      <c r="X156" s="2">
        <f t="shared" ca="1" si="15"/>
        <v>45361</v>
      </c>
      <c r="Y156">
        <f t="shared" ca="1" si="16"/>
        <v>0</v>
      </c>
      <c r="AA156" s="63">
        <f t="shared" ca="1" si="18"/>
        <v>110.25704453784667</v>
      </c>
      <c r="AB156" s="63">
        <f t="shared" ca="1" si="19"/>
        <v>110.25704453784667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45362</v>
      </c>
      <c r="K157">
        <f ca="1"/>
        <v>109.33969412770901</v>
      </c>
      <c r="L157">
        <f ca="1"/>
        <v>0.84191942475602133</v>
      </c>
      <c r="M157">
        <f ca="1"/>
        <v>2.2872671220795837E-2</v>
      </c>
      <c r="N157">
        <f ca="1"/>
        <v>0.69940660467217497</v>
      </c>
      <c r="O157">
        <f ca="1"/>
        <v>0</v>
      </c>
      <c r="P157">
        <f ca="1"/>
        <v>17.916785795111956</v>
      </c>
      <c r="Q157">
        <f ca="1"/>
        <v>16.578843998723723</v>
      </c>
      <c r="R157">
        <f ca="1"/>
        <v>0</v>
      </c>
      <c r="S157">
        <f ca="1"/>
        <v>0.52827069444944108</v>
      </c>
      <c r="T157">
        <f ca="1"/>
        <v>0</v>
      </c>
      <c r="U157">
        <f ca="1"/>
        <v>0</v>
      </c>
      <c r="V157">
        <f ca="1"/>
        <v>0.80882648346794106</v>
      </c>
      <c r="X157" s="2">
        <f t="shared" ca="1" si="15"/>
        <v>45362</v>
      </c>
      <c r="Y157">
        <f t="shared" ca="1" si="16"/>
        <v>0</v>
      </c>
      <c r="AA157" s="63">
        <f t="shared" ca="1" si="18"/>
        <v>110.18161355246504</v>
      </c>
      <c r="AB157" s="63">
        <f t="shared" ca="1" si="19"/>
        <v>110.18161355246502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45363</v>
      </c>
      <c r="K158">
        <f ca="1"/>
        <v>109.16175948295965</v>
      </c>
      <c r="L158">
        <f ca="1"/>
        <v>0.86123143592779527</v>
      </c>
      <c r="M158">
        <f ca="1"/>
        <v>2.1899934829683332E-2</v>
      </c>
      <c r="N158">
        <f ca="1"/>
        <v>0.66139685634876433</v>
      </c>
      <c r="O158">
        <f ca="1"/>
        <v>0</v>
      </c>
      <c r="P158">
        <f ca="1"/>
        <v>18.778017231039751</v>
      </c>
      <c r="Q158">
        <f ca="1"/>
        <v>17.375762697553014</v>
      </c>
      <c r="R158">
        <f ca="1"/>
        <v>0</v>
      </c>
      <c r="S158">
        <f ca="1"/>
        <v>0.50710194960727617</v>
      </c>
      <c r="T158">
        <f ca="1"/>
        <v>0</v>
      </c>
      <c r="U158">
        <f ca="1"/>
        <v>0</v>
      </c>
      <c r="V158">
        <f ca="1"/>
        <v>0.82784792519770978</v>
      </c>
      <c r="X158" s="2">
        <f t="shared" ca="1" si="15"/>
        <v>45363</v>
      </c>
      <c r="Y158">
        <f t="shared" ca="1" si="16"/>
        <v>0</v>
      </c>
      <c r="AA158" s="63">
        <f t="shared" ca="1" si="18"/>
        <v>110.02299091888746</v>
      </c>
      <c r="AB158" s="63">
        <f t="shared" ca="1" si="19"/>
        <v>110.02299091888744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45364</v>
      </c>
      <c r="K159">
        <f ca="1"/>
        <v>108.92901713955956</v>
      </c>
      <c r="L159">
        <f ca="1"/>
        <v>0.89859897576508274</v>
      </c>
      <c r="M159">
        <f ca="1"/>
        <v>2.1014283560525371E-2</v>
      </c>
      <c r="N159">
        <f ca="1"/>
        <v>0.644842348804469</v>
      </c>
      <c r="O159">
        <f ca="1"/>
        <v>0</v>
      </c>
      <c r="P159">
        <f ca="1"/>
        <v>19.676616206804834</v>
      </c>
      <c r="Q159">
        <f ca="1"/>
        <v>18.207258503049925</v>
      </c>
      <c r="R159">
        <f ca="1"/>
        <v>0</v>
      </c>
      <c r="S159">
        <f ca="1"/>
        <v>0.48781259740635774</v>
      </c>
      <c r="T159">
        <f ca="1"/>
        <v>0</v>
      </c>
      <c r="U159">
        <f ca="1"/>
        <v>0</v>
      </c>
      <c r="V159">
        <f ca="1"/>
        <v>0.84533866308604988</v>
      </c>
      <c r="X159" s="2">
        <f t="shared" ca="1" si="15"/>
        <v>45364</v>
      </c>
      <c r="Y159">
        <f t="shared" ca="1" si="16"/>
        <v>0</v>
      </c>
      <c r="AA159" s="63">
        <f t="shared" ca="1" si="18"/>
        <v>109.82761611532464</v>
      </c>
      <c r="AB159" s="63">
        <f t="shared" ca="1" si="19"/>
        <v>109.82761611532464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45365</v>
      </c>
      <c r="K160">
        <f ca="1"/>
        <v>108.66084428307246</v>
      </c>
      <c r="L160">
        <f ca="1"/>
        <v>0.92856670538565567</v>
      </c>
      <c r="M160">
        <f ca="1"/>
        <v>2.0596447973090903E-2</v>
      </c>
      <c r="N160">
        <f ca="1"/>
        <v>0.63979740092547133</v>
      </c>
      <c r="O160">
        <f ca="1"/>
        <v>0</v>
      </c>
      <c r="P160">
        <f ca="1"/>
        <v>20.605182912190489</v>
      </c>
      <c r="Q160">
        <f ca="1"/>
        <v>19.066484188228213</v>
      </c>
      <c r="R160">
        <f ca="1"/>
        <v>0</v>
      </c>
      <c r="S160">
        <f ca="1"/>
        <v>0.49110765077865592</v>
      </c>
      <c r="T160">
        <f ca="1"/>
        <v>0</v>
      </c>
      <c r="U160">
        <f ca="1"/>
        <v>0</v>
      </c>
      <c r="V160">
        <f ca="1"/>
        <v>0.86121197935817517</v>
      </c>
      <c r="X160" s="2">
        <f t="shared" ca="1" si="15"/>
        <v>45365</v>
      </c>
      <c r="Y160">
        <f t="shared" ca="1" si="16"/>
        <v>0</v>
      </c>
      <c r="AA160" s="63">
        <f t="shared" ca="1" si="18"/>
        <v>109.58941098845813</v>
      </c>
      <c r="AB160" s="63">
        <f t="shared" ca="1" si="19"/>
        <v>109.58941098845813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45366</v>
      </c>
      <c r="K161">
        <f ca="1"/>
        <v>108.35256668102899</v>
      </c>
      <c r="L161">
        <f ca="1"/>
        <v>0.97553476764693769</v>
      </c>
      <c r="M161">
        <f ca="1"/>
        <v>2.0488785610226046E-2</v>
      </c>
      <c r="N161">
        <f ca="1"/>
        <v>0.646768379993238</v>
      </c>
      <c r="O161">
        <f ca="1"/>
        <v>0</v>
      </c>
      <c r="P161">
        <f ca="1"/>
        <v>21.580717679837427</v>
      </c>
      <c r="Q161">
        <f ca="1"/>
        <v>19.969170580369045</v>
      </c>
      <c r="R161">
        <f ca="1"/>
        <v>0</v>
      </c>
      <c r="S161">
        <f ca="1"/>
        <v>0.49124529981439641</v>
      </c>
      <c r="T161">
        <f ca="1"/>
        <v>0</v>
      </c>
      <c r="U161">
        <f ca="1"/>
        <v>0</v>
      </c>
      <c r="V161">
        <f ca="1"/>
        <v>0.87580568768870581</v>
      </c>
      <c r="X161" s="2">
        <f t="shared" ca="1" si="15"/>
        <v>45366</v>
      </c>
      <c r="Y161">
        <f t="shared" ca="1" si="16"/>
        <v>0</v>
      </c>
      <c r="AA161" s="63">
        <f t="shared" ca="1" si="18"/>
        <v>109.32810144867592</v>
      </c>
      <c r="AB161" s="63">
        <f t="shared" ca="1" si="19"/>
        <v>109.32810144867592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45367</v>
      </c>
      <c r="K162">
        <f ca="1"/>
        <v>107.99521349780224</v>
      </c>
      <c r="L162">
        <f ca="1"/>
        <v>1.0153161287688732</v>
      </c>
      <c r="M162">
        <f ca="1"/>
        <v>1.9790422200046009E-2</v>
      </c>
      <c r="N162">
        <f ca="1"/>
        <v>0.63817252334208496</v>
      </c>
      <c r="O162">
        <f ca="1"/>
        <v>0</v>
      </c>
      <c r="P162">
        <f ca="1"/>
        <v>22.5960338086063</v>
      </c>
      <c r="Q162">
        <f ca="1"/>
        <v>20.908667647574013</v>
      </c>
      <c r="R162">
        <f ca="1"/>
        <v>0</v>
      </c>
      <c r="S162">
        <f ca="1"/>
        <v>0.48219204182257613</v>
      </c>
      <c r="T162">
        <f ca="1"/>
        <v>0</v>
      </c>
      <c r="U162">
        <f ca="1"/>
        <v>0</v>
      </c>
      <c r="V162">
        <f ca="1"/>
        <v>0.88904828593656526</v>
      </c>
      <c r="X162" s="2">
        <f t="shared" ca="1" si="15"/>
        <v>45367</v>
      </c>
      <c r="Y162">
        <f t="shared" ca="1" si="16"/>
        <v>0</v>
      </c>
      <c r="AA162" s="63">
        <f t="shared" ca="1" si="18"/>
        <v>109.01052962657111</v>
      </c>
      <c r="AB162" s="63">
        <f t="shared" ca="1" si="19"/>
        <v>109.01052962657111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45368</v>
      </c>
      <c r="K163">
        <f ca="1"/>
        <v>107.57918961530441</v>
      </c>
      <c r="L163">
        <f ca="1"/>
        <v>1.0525146437846438</v>
      </c>
      <c r="M163">
        <f ca="1"/>
        <v>1.8601186347069643E-2</v>
      </c>
      <c r="N163">
        <f ca="1"/>
        <v>0.61788957493974839</v>
      </c>
      <c r="O163">
        <f ca="1"/>
        <v>0</v>
      </c>
      <c r="P163">
        <f ca="1"/>
        <v>23.648548452390944</v>
      </c>
      <c r="Q163">
        <f ca="1"/>
        <v>21.8825854186085</v>
      </c>
      <c r="R163">
        <f ca="1"/>
        <v>0</v>
      </c>
      <c r="S163">
        <f ca="1"/>
        <v>0.46208655497435974</v>
      </c>
      <c r="T163">
        <f ca="1"/>
        <v>0</v>
      </c>
      <c r="U163">
        <f ca="1"/>
        <v>0</v>
      </c>
      <c r="V163">
        <f ca="1"/>
        <v>0.9009869025625844</v>
      </c>
      <c r="X163" s="2">
        <f t="shared" ca="1" si="15"/>
        <v>45368</v>
      </c>
      <c r="Y163">
        <f t="shared" ca="1" si="16"/>
        <v>0</v>
      </c>
      <c r="AA163" s="63">
        <f t="shared" ca="1" si="18"/>
        <v>108.63170425908906</v>
      </c>
      <c r="AB163" s="63">
        <f t="shared" ca="1" si="19"/>
        <v>108.63170425908906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45369</v>
      </c>
      <c r="K164">
        <f ca="1"/>
        <v>107.10688264108686</v>
      </c>
      <c r="L164">
        <f ca="1"/>
        <v>1.0668770726489676</v>
      </c>
      <c r="M164">
        <f ca="1"/>
        <v>1.6829327777323044E-2</v>
      </c>
      <c r="N164">
        <f ca="1"/>
        <v>0.57774077065407725</v>
      </c>
      <c r="O164">
        <f ca="1"/>
        <v>0</v>
      </c>
      <c r="P164">
        <f ca="1"/>
        <v>24.715425525039912</v>
      </c>
      <c r="Q164">
        <f ca="1"/>
        <v>22.869793099468751</v>
      </c>
      <c r="R164">
        <f ca="1"/>
        <v>0</v>
      </c>
      <c r="S164">
        <f ca="1"/>
        <v>0.4368140596982335</v>
      </c>
      <c r="T164">
        <f ca="1"/>
        <v>0</v>
      </c>
      <c r="U164">
        <f ca="1"/>
        <v>0</v>
      </c>
      <c r="V164">
        <f ca="1"/>
        <v>0.91150673930191839</v>
      </c>
      <c r="X164" s="2">
        <f t="shared" ca="1" si="15"/>
        <v>45369</v>
      </c>
      <c r="Y164">
        <f t="shared" ca="1" si="16"/>
        <v>0</v>
      </c>
      <c r="AA164" s="63">
        <f t="shared" ca="1" si="18"/>
        <v>108.17375971373581</v>
      </c>
      <c r="AB164" s="63">
        <f t="shared" ca="1" si="19"/>
        <v>108.17375971373582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45370</v>
      </c>
      <c r="K165">
        <f ca="1"/>
        <v>106.59834927887377</v>
      </c>
      <c r="L165">
        <f ca="1"/>
        <v>1.1119690844798242</v>
      </c>
      <c r="M165">
        <f ca="1"/>
        <v>1.7013605939908416E-2</v>
      </c>
      <c r="N165">
        <f ca="1"/>
        <v>0.58642211632682584</v>
      </c>
      <c r="O165">
        <f ca="1"/>
        <v>0</v>
      </c>
      <c r="P165">
        <f ca="1"/>
        <v>25.827394609519736</v>
      </c>
      <c r="Q165">
        <f ca="1"/>
        <v>23.898725531536119</v>
      </c>
      <c r="R165">
        <f ca="1"/>
        <v>0</v>
      </c>
      <c r="S165">
        <f ca="1"/>
        <v>0.44539961893514346</v>
      </c>
      <c r="T165">
        <f ca="1"/>
        <v>0</v>
      </c>
      <c r="U165">
        <f ca="1"/>
        <v>0</v>
      </c>
      <c r="V165">
        <f ca="1"/>
        <v>0.92103312188496167</v>
      </c>
      <c r="X165" s="2">
        <f t="shared" ca="1" si="15"/>
        <v>45370</v>
      </c>
      <c r="Y165">
        <f t="shared" ca="1" si="16"/>
        <v>0</v>
      </c>
      <c r="AA165" s="63">
        <f t="shared" ca="1" si="18"/>
        <v>107.71031836335359</v>
      </c>
      <c r="AB165" s="63">
        <f t="shared" ca="1" si="19"/>
        <v>107.71031836335359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45371</v>
      </c>
      <c r="K166">
        <f ca="1"/>
        <v>106.01374407716983</v>
      </c>
      <c r="L166">
        <f ca="1"/>
        <v>1.1742297970548101</v>
      </c>
      <c r="M166">
        <f ca="1"/>
        <v>1.5843182631634534E-2</v>
      </c>
      <c r="N166">
        <f ca="1"/>
        <v>0.57378141271924921</v>
      </c>
      <c r="O166">
        <f ca="1"/>
        <v>0</v>
      </c>
      <c r="P166">
        <f ca="1"/>
        <v>27.001624406574546</v>
      </c>
      <c r="Q166">
        <f ca="1"/>
        <v>24.985269337252419</v>
      </c>
      <c r="R166">
        <f ca="1"/>
        <v>0</v>
      </c>
      <c r="S166">
        <f ca="1"/>
        <v>0.41155833122989977</v>
      </c>
      <c r="T166">
        <f ca="1"/>
        <v>0</v>
      </c>
      <c r="U166">
        <f ca="1"/>
        <v>0</v>
      </c>
      <c r="V166">
        <f ca="1"/>
        <v>0.92974529970634257</v>
      </c>
      <c r="X166" s="2">
        <f t="shared" ca="1" si="15"/>
        <v>45371</v>
      </c>
      <c r="Y166">
        <f t="shared" ca="1" si="16"/>
        <v>0</v>
      </c>
      <c r="AA166" s="63">
        <f t="shared" ca="1" si="18"/>
        <v>107.18797387422465</v>
      </c>
      <c r="AB166" s="63">
        <f t="shared" ca="1" si="19"/>
        <v>107.18797387422464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45372</v>
      </c>
      <c r="K167">
        <f ca="1"/>
        <v>105.38676785553389</v>
      </c>
      <c r="L167">
        <f ca="1"/>
        <v>1.2120447554290337</v>
      </c>
      <c r="M167">
        <f ca="1"/>
        <v>1.5576014169809582E-2</v>
      </c>
      <c r="N167">
        <f ca="1"/>
        <v>0.56949251962328029</v>
      </c>
      <c r="O167">
        <f ca="1"/>
        <v>0</v>
      </c>
      <c r="P167">
        <f ca="1"/>
        <v>28.21366916200358</v>
      </c>
      <c r="Q167">
        <f ca="1"/>
        <v>26.106804257048772</v>
      </c>
      <c r="R167">
        <f ca="1"/>
        <v>0</v>
      </c>
      <c r="S167">
        <f ca="1"/>
        <v>0.41228681502228692</v>
      </c>
      <c r="T167">
        <f ca="1"/>
        <v>0</v>
      </c>
      <c r="U167">
        <f ca="1"/>
        <v>0</v>
      </c>
      <c r="V167">
        <f ca="1"/>
        <v>0.9375149538584242</v>
      </c>
      <c r="X167" s="2">
        <f t="shared" ca="1" si="15"/>
        <v>45372</v>
      </c>
      <c r="Y167">
        <f t="shared" ca="1" si="16"/>
        <v>0</v>
      </c>
      <c r="AA167" s="63">
        <f t="shared" ca="1" si="18"/>
        <v>106.59881261096292</v>
      </c>
      <c r="AB167" s="63">
        <f t="shared" ca="1" si="19"/>
        <v>106.59881261096292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45373</v>
      </c>
      <c r="K168">
        <f ca="1"/>
        <v>104.72567252637566</v>
      </c>
      <c r="L168">
        <f ca="1"/>
        <v>1.2330967894486449</v>
      </c>
      <c r="M168">
        <f ca="1"/>
        <v>1.5156358043689977E-2</v>
      </c>
      <c r="N168">
        <f ca="1"/>
        <v>0.55684510224672923</v>
      </c>
      <c r="O168">
        <f ca="1"/>
        <v>0</v>
      </c>
      <c r="P168">
        <f ca="1"/>
        <v>29.446765951452225</v>
      </c>
      <c r="Q168">
        <f ca="1"/>
        <v>27.247819143389236</v>
      </c>
      <c r="R168">
        <f ca="1"/>
        <v>0</v>
      </c>
      <c r="S168">
        <f ca="1"/>
        <v>0.41525912482849797</v>
      </c>
      <c r="T168">
        <f ca="1"/>
        <v>0</v>
      </c>
      <c r="U168">
        <f ca="1"/>
        <v>0</v>
      </c>
      <c r="V168">
        <f ca="1"/>
        <v>0.94434781899596243</v>
      </c>
      <c r="X168" s="2">
        <f t="shared" ca="1" si="15"/>
        <v>45373</v>
      </c>
      <c r="Y168">
        <f t="shared" ca="1" si="16"/>
        <v>0</v>
      </c>
      <c r="AA168" s="63">
        <f t="shared" ca="1" si="18"/>
        <v>105.95876931582431</v>
      </c>
      <c r="AB168" s="63">
        <f t="shared" ca="1" si="19"/>
        <v>105.9587693158243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45374</v>
      </c>
      <c r="K169">
        <f ca="1"/>
        <v>104.01106023715343</v>
      </c>
      <c r="L169">
        <f ca="1"/>
        <v>1.2722517376339617</v>
      </c>
      <c r="M169">
        <f ca="1"/>
        <v>1.4389240315196616E-2</v>
      </c>
      <c r="N169">
        <f ca="1"/>
        <v>0.54325020809653679</v>
      </c>
      <c r="O169">
        <f ca="1"/>
        <v>0</v>
      </c>
      <c r="P169">
        <f ca="1"/>
        <v>30.719017689086186</v>
      </c>
      <c r="Q169">
        <f ca="1"/>
        <v>28.425065069446632</v>
      </c>
      <c r="R169">
        <f ca="1"/>
        <v>0</v>
      </c>
      <c r="S169">
        <f ca="1"/>
        <v>0.40063611164148633</v>
      </c>
      <c r="T169">
        <f ca="1"/>
        <v>0</v>
      </c>
      <c r="U169">
        <f ca="1"/>
        <v>0</v>
      </c>
      <c r="V169">
        <f ca="1"/>
        <v>0.95044577928858343</v>
      </c>
      <c r="X169" s="2">
        <f t="shared" ca="1" si="15"/>
        <v>45374</v>
      </c>
      <c r="Y169">
        <f t="shared" ca="1" si="16"/>
        <v>0</v>
      </c>
      <c r="AA169" s="63">
        <f t="shared" ca="1" si="18"/>
        <v>105.2833119747874</v>
      </c>
      <c r="AB169" s="63">
        <f t="shared" ca="1" si="19"/>
        <v>105.2833119747874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45375</v>
      </c>
      <c r="K170">
        <f ca="1"/>
        <v>103.23985770075686</v>
      </c>
      <c r="L170">
        <f ca="1"/>
        <v>1.3195595964081335</v>
      </c>
      <c r="M170">
        <f ca="1"/>
        <v>1.3764222825514594E-2</v>
      </c>
      <c r="N170">
        <f ca="1"/>
        <v>0.5345928371860541</v>
      </c>
      <c r="O170">
        <f ca="1"/>
        <v>0</v>
      </c>
      <c r="P170">
        <f ca="1"/>
        <v>32.03857728549432</v>
      </c>
      <c r="Q170">
        <f ca="1"/>
        <v>29.646086124564548</v>
      </c>
      <c r="R170">
        <f ca="1"/>
        <v>0</v>
      </c>
      <c r="S170">
        <f ca="1"/>
        <v>0.38658782304039901</v>
      </c>
      <c r="T170">
        <f ca="1"/>
        <v>0</v>
      </c>
      <c r="U170">
        <f ca="1"/>
        <v>0</v>
      </c>
      <c r="V170">
        <f ca="1"/>
        <v>0.95591285183883712</v>
      </c>
      <c r="X170" s="2">
        <f t="shared" ca="1" si="15"/>
        <v>45375</v>
      </c>
      <c r="Y170">
        <f t="shared" ca="1" si="16"/>
        <v>0</v>
      </c>
      <c r="AA170" s="63">
        <f t="shared" ca="1" si="18"/>
        <v>104.559417297165</v>
      </c>
      <c r="AB170" s="63">
        <f t="shared" ca="1" si="19"/>
        <v>104.559417297165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45376</v>
      </c>
      <c r="K171">
        <f ca="1"/>
        <v>102.42819597641819</v>
      </c>
      <c r="L171">
        <f ca="1"/>
        <v>1.3719665133746304</v>
      </c>
      <c r="M171">
        <f ca="1"/>
        <v>1.4143792686923007E-2</v>
      </c>
      <c r="N171">
        <f ca="1"/>
        <v>0.54616099634904747</v>
      </c>
      <c r="O171">
        <f ca="1"/>
        <v>0</v>
      </c>
      <c r="P171">
        <f ca="1"/>
        <v>33.41054379886895</v>
      </c>
      <c r="Q171">
        <f ca="1"/>
        <v>30.915600593109257</v>
      </c>
      <c r="R171">
        <f ca="1"/>
        <v>0</v>
      </c>
      <c r="S171">
        <f ca="1"/>
        <v>0.39932965843774476</v>
      </c>
      <c r="T171">
        <f ca="1"/>
        <v>0</v>
      </c>
      <c r="U171">
        <f ca="1"/>
        <v>0</v>
      </c>
      <c r="V171">
        <f ca="1"/>
        <v>0.96082066936987598</v>
      </c>
      <c r="X171" s="2">
        <f t="shared" ca="1" si="15"/>
        <v>45376</v>
      </c>
      <c r="Y171">
        <f t="shared" ca="1" si="16"/>
        <v>0</v>
      </c>
      <c r="AA171" s="63">
        <f t="shared" ca="1" si="18"/>
        <v>103.80016248979283</v>
      </c>
      <c r="AB171" s="63">
        <f t="shared" ca="1" si="19"/>
        <v>103.80016248979283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45377</v>
      </c>
      <c r="K172">
        <f ca="1"/>
        <v>101.54386268496512</v>
      </c>
      <c r="L172">
        <f ca="1"/>
        <v>1.4325299567484606</v>
      </c>
      <c r="M172">
        <f ca="1"/>
        <v>1.3232441563822306E-2</v>
      </c>
      <c r="N172">
        <f ca="1"/>
        <v>0.53496422373156294</v>
      </c>
      <c r="O172">
        <f ca="1"/>
        <v>0</v>
      </c>
      <c r="P172">
        <f ca="1"/>
        <v>34.843073755617411</v>
      </c>
      <c r="Q172">
        <f ca="1"/>
        <v>32.241155910230404</v>
      </c>
      <c r="R172">
        <f ca="1"/>
        <v>0</v>
      </c>
      <c r="S172">
        <f ca="1"/>
        <v>0.37343534997555594</v>
      </c>
      <c r="T172">
        <f ca="1"/>
        <v>0</v>
      </c>
      <c r="U172">
        <f ca="1"/>
        <v>0</v>
      </c>
      <c r="V172">
        <f ca="1"/>
        <v>0.96523837973442805</v>
      </c>
      <c r="X172" s="2">
        <f t="shared" ca="1" si="15"/>
        <v>45377</v>
      </c>
      <c r="Y172">
        <f t="shared" ca="1" si="16"/>
        <v>0</v>
      </c>
      <c r="AA172" s="63">
        <f t="shared" ca="1" si="18"/>
        <v>102.97639264171359</v>
      </c>
      <c r="AB172" s="63">
        <f t="shared" ca="1" si="19"/>
        <v>102.97639264171357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45378</v>
      </c>
      <c r="K173">
        <f ca="1"/>
        <v>100.61243190020579</v>
      </c>
      <c r="L173">
        <f ca="1"/>
        <v>1.4758666203736439</v>
      </c>
      <c r="M173">
        <f ca="1"/>
        <v>1.3007651502846329E-2</v>
      </c>
      <c r="N173">
        <f ca="1"/>
        <v>0.53142818411146608</v>
      </c>
      <c r="O173">
        <f ca="1"/>
        <v>0</v>
      </c>
      <c r="P173">
        <f ca="1"/>
        <v>36.318940375991055</v>
      </c>
      <c r="Q173">
        <f ca="1"/>
        <v>33.606811711550165</v>
      </c>
      <c r="R173">
        <f ca="1"/>
        <v>0</v>
      </c>
      <c r="S173">
        <f ca="1"/>
        <v>0.37244581969748003</v>
      </c>
      <c r="T173">
        <f ca="1"/>
        <v>0</v>
      </c>
      <c r="U173">
        <f ca="1"/>
        <v>0</v>
      </c>
      <c r="V173">
        <f ca="1"/>
        <v>0.96915884868970159</v>
      </c>
      <c r="X173" s="2">
        <f t="shared" ca="1" si="15"/>
        <v>45378</v>
      </c>
      <c r="Y173">
        <f t="shared" ca="1" si="16"/>
        <v>0</v>
      </c>
      <c r="AA173" s="63">
        <f t="shared" ca="1" si="18"/>
        <v>102.08829852057943</v>
      </c>
      <c r="AB173" s="63">
        <f t="shared" ca="1" si="19"/>
        <v>102.08829852057943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45379</v>
      </c>
      <c r="K174">
        <f ca="1"/>
        <v>99.625043158824639</v>
      </c>
      <c r="L174">
        <f ca="1"/>
        <v>1.5437023821771945</v>
      </c>
      <c r="M174">
        <f ca="1"/>
        <v>1.3238873014380204E-2</v>
      </c>
      <c r="N174">
        <f ca="1"/>
        <v>0.54307476778167585</v>
      </c>
      <c r="O174">
        <f ca="1"/>
        <v>0</v>
      </c>
      <c r="P174">
        <f ca="1"/>
        <v>37.862642758168249</v>
      </c>
      <c r="Q174">
        <f ca="1"/>
        <v>35.035237617136197</v>
      </c>
      <c r="R174">
        <f ca="1"/>
        <v>0</v>
      </c>
      <c r="S174">
        <f ca="1"/>
        <v>0.37750004441620955</v>
      </c>
      <c r="T174">
        <f ca="1"/>
        <v>0</v>
      </c>
      <c r="U174">
        <f ca="1"/>
        <v>0</v>
      </c>
      <c r="V174">
        <f ca="1"/>
        <v>0.9726880669038257</v>
      </c>
      <c r="X174" s="2">
        <f t="shared" ca="1" si="15"/>
        <v>45379</v>
      </c>
      <c r="Y174">
        <f t="shared" ca="1" si="16"/>
        <v>0</v>
      </c>
      <c r="AA174" s="63">
        <f t="shared" ca="1" si="18"/>
        <v>101.16874554100185</v>
      </c>
      <c r="AB174" s="63">
        <f t="shared" ca="1" si="19"/>
        <v>101.16874554100184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45380</v>
      </c>
      <c r="K175">
        <f ca="1"/>
        <v>98.582008020895728</v>
      </c>
      <c r="L175">
        <f ca="1"/>
        <v>1.5765274721999347</v>
      </c>
      <c r="M175">
        <f ca="1"/>
        <v>1.2221434663480579E-2</v>
      </c>
      <c r="N175">
        <f ca="1"/>
        <v>0.52127089960754225</v>
      </c>
      <c r="O175">
        <f ca="1"/>
        <v>0</v>
      </c>
      <c r="P175">
        <f ca="1"/>
        <v>39.439170230368184</v>
      </c>
      <c r="Q175">
        <f ca="1"/>
        <v>36.494037388490042</v>
      </c>
      <c r="R175">
        <f ca="1"/>
        <v>0</v>
      </c>
      <c r="S175">
        <f ca="1"/>
        <v>0.35673530973169598</v>
      </c>
      <c r="T175">
        <f ca="1"/>
        <v>0</v>
      </c>
      <c r="U175">
        <f ca="1"/>
        <v>0</v>
      </c>
      <c r="V175">
        <f ca="1"/>
        <v>0.97578942267359792</v>
      </c>
      <c r="X175" s="2">
        <f t="shared" ca="1" si="15"/>
        <v>45380</v>
      </c>
      <c r="Y175">
        <f t="shared" ca="1" si="16"/>
        <v>0</v>
      </c>
      <c r="AA175" s="63">
        <f t="shared" ca="1" si="18"/>
        <v>100.15853549309566</v>
      </c>
      <c r="AB175" s="63">
        <f t="shared" ca="1" si="19"/>
        <v>100.15853549309566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45381</v>
      </c>
      <c r="K176">
        <f ca="1"/>
        <v>97.506199037614195</v>
      </c>
      <c r="L176">
        <f ca="1"/>
        <v>1.6061599337662216</v>
      </c>
      <c r="M176">
        <f ca="1"/>
        <v>1.222644506753312E-2</v>
      </c>
      <c r="N176">
        <f ca="1"/>
        <v>0.51812450541716126</v>
      </c>
      <c r="O176">
        <f ca="1"/>
        <v>0</v>
      </c>
      <c r="P176">
        <f ca="1"/>
        <v>41.045330164134405</v>
      </c>
      <c r="Q176">
        <f ca="1"/>
        <v>37.980256807721773</v>
      </c>
      <c r="R176">
        <f ca="1"/>
        <v>0</v>
      </c>
      <c r="S176">
        <f ca="1"/>
        <v>0.36573194433159628</v>
      </c>
      <c r="T176">
        <f ca="1"/>
        <v>0</v>
      </c>
      <c r="U176">
        <f ca="1"/>
        <v>0</v>
      </c>
      <c r="V176">
        <f ca="1"/>
        <v>0.97851301497065524</v>
      </c>
      <c r="X176" s="2">
        <f t="shared" ca="1" si="15"/>
        <v>45381</v>
      </c>
      <c r="Y176">
        <f t="shared" ca="1" si="16"/>
        <v>0</v>
      </c>
      <c r="AA176" s="63">
        <f t="shared" ca="1" si="18"/>
        <v>99.112358971380431</v>
      </c>
      <c r="AB176" s="63">
        <f t="shared" ca="1" si="19"/>
        <v>99.112358971380417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45382</v>
      </c>
      <c r="K177">
        <f ca="1"/>
        <v>96.390652149692698</v>
      </c>
      <c r="L177">
        <f ca="1"/>
        <v>1.6272960243315495</v>
      </c>
      <c r="M177">
        <f ca="1"/>
        <v>1.1543182219234893E-2</v>
      </c>
      <c r="N177">
        <f ca="1"/>
        <v>0.50020595419080893</v>
      </c>
      <c r="O177">
        <f ca="1"/>
        <v>0</v>
      </c>
      <c r="P177">
        <f ca="1"/>
        <v>42.672626188465955</v>
      </c>
      <c r="Q177">
        <f ca="1"/>
        <v>39.486033973093498</v>
      </c>
      <c r="R177">
        <f ca="1"/>
        <v>0</v>
      </c>
      <c r="S177">
        <f ca="1"/>
        <v>0.35552160656819703</v>
      </c>
      <c r="T177">
        <f ca="1"/>
        <v>0</v>
      </c>
      <c r="U177">
        <f ca="1"/>
        <v>0</v>
      </c>
      <c r="V177">
        <f ca="1"/>
        <v>0.98089701633748405</v>
      </c>
      <c r="X177" s="2">
        <f t="shared" ca="1" si="15"/>
        <v>45382</v>
      </c>
      <c r="Y177">
        <f t="shared" ca="1" si="16"/>
        <v>0</v>
      </c>
      <c r="AA177" s="63">
        <f t="shared" ca="1" si="18"/>
        <v>98.017948174024227</v>
      </c>
      <c r="AB177" s="63">
        <f t="shared" ca="1" si="19"/>
        <v>98.017948174024241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45383</v>
      </c>
      <c r="K178">
        <f ca="1"/>
        <v>95.241457174340482</v>
      </c>
      <c r="L178">
        <f ca="1"/>
        <v>1.6666252792336849</v>
      </c>
      <c r="M178">
        <f ca="1"/>
        <v>1.1832321619735353E-2</v>
      </c>
      <c r="N178">
        <f ca="1"/>
        <v>0.50559798226172992</v>
      </c>
      <c r="O178">
        <f ca="1"/>
        <v>0</v>
      </c>
      <c r="P178">
        <f ca="1"/>
        <v>44.33925146769964</v>
      </c>
      <c r="Q178">
        <f ca="1"/>
        <v>41.0282034684883</v>
      </c>
      <c r="R178">
        <f ca="1"/>
        <v>0</v>
      </c>
      <c r="S178">
        <f ca="1"/>
        <v>0.37003910401023338</v>
      </c>
      <c r="T178">
        <f ca="1"/>
        <v>0</v>
      </c>
      <c r="U178">
        <f ca="1"/>
        <v>0</v>
      </c>
      <c r="V178">
        <f ca="1"/>
        <v>0.98301025410690535</v>
      </c>
      <c r="X178" s="2">
        <f t="shared" ca="1" si="15"/>
        <v>45383</v>
      </c>
      <c r="Y178">
        <f t="shared" ca="1" si="16"/>
        <v>0</v>
      </c>
      <c r="AA178" s="63">
        <f t="shared" ca="1" si="18"/>
        <v>96.908082453574167</v>
      </c>
      <c r="AB178" s="63">
        <f t="shared" ca="1" si="19"/>
        <v>96.908082453574167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45384</v>
      </c>
      <c r="K179">
        <f ca="1"/>
        <v>94.03786680502634</v>
      </c>
      <c r="L179">
        <f ca="1"/>
        <v>1.7305861898702162</v>
      </c>
      <c r="M179">
        <f ca="1"/>
        <v>1.2015473666401988E-2</v>
      </c>
      <c r="N179">
        <f ca="1"/>
        <v>0.51498034688967542</v>
      </c>
      <c r="O179">
        <f ca="1"/>
        <v>0</v>
      </c>
      <c r="P179">
        <f ca="1"/>
        <v>46.069837657569856</v>
      </c>
      <c r="Q179">
        <f ca="1"/>
        <v>42.629557572751324</v>
      </c>
      <c r="R179">
        <f ca="1"/>
        <v>0</v>
      </c>
      <c r="S179">
        <f ca="1"/>
        <v>0.37536981937747294</v>
      </c>
      <c r="T179">
        <f ca="1"/>
        <v>0</v>
      </c>
      <c r="U179">
        <f ca="1"/>
        <v>0</v>
      </c>
      <c r="V179">
        <f ca="1"/>
        <v>0.98490941915287167</v>
      </c>
      <c r="X179" s="2">
        <f t="shared" ca="1" si="15"/>
        <v>45384</v>
      </c>
      <c r="Y179">
        <f t="shared" ca="1" si="16"/>
        <v>0</v>
      </c>
      <c r="AA179" s="63">
        <f t="shared" ca="1" si="18"/>
        <v>95.768452994896563</v>
      </c>
      <c r="AB179" s="63">
        <f t="shared" ca="1" si="19"/>
        <v>95.768452994896563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45385</v>
      </c>
      <c r="K180">
        <f ca="1"/>
        <v>92.801809456148234</v>
      </c>
      <c r="L180">
        <f ca="1"/>
        <v>1.7365059512487591</v>
      </c>
      <c r="M180">
        <f ca="1"/>
        <v>1.1092852490882876E-2</v>
      </c>
      <c r="N180">
        <f ca="1"/>
        <v>0.48935574987976943</v>
      </c>
      <c r="O180">
        <f ca="1"/>
        <v>0</v>
      </c>
      <c r="P180">
        <f ca="1"/>
        <v>47.806343608818615</v>
      </c>
      <c r="Q180">
        <f ca="1"/>
        <v>44.236389378289957</v>
      </c>
      <c r="R180">
        <f ca="1"/>
        <v>0</v>
      </c>
      <c r="S180">
        <f ca="1"/>
        <v>0.35956941223770711</v>
      </c>
      <c r="T180">
        <f ca="1"/>
        <v>0</v>
      </c>
      <c r="U180">
        <f ca="1"/>
        <v>0</v>
      </c>
      <c r="V180">
        <f ca="1"/>
        <v>0.98656095757167583</v>
      </c>
      <c r="X180" s="2">
        <f t="shared" ca="1" si="15"/>
        <v>45385</v>
      </c>
      <c r="Y180">
        <f t="shared" ca="1" si="16"/>
        <v>0</v>
      </c>
      <c r="AA180" s="63">
        <f t="shared" ca="1" si="18"/>
        <v>94.538315407396993</v>
      </c>
      <c r="AB180" s="63">
        <f t="shared" ca="1" si="19"/>
        <v>94.538315407396993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45386</v>
      </c>
      <c r="K181">
        <f ca="1"/>
        <v>91.512918210293165</v>
      </c>
      <c r="L181">
        <f ca="1"/>
        <v>1.78219122661433</v>
      </c>
      <c r="M181">
        <f ca="1"/>
        <v>1.0661875909285357E-2</v>
      </c>
      <c r="N181">
        <f ca="1"/>
        <v>0.4826381048499675</v>
      </c>
      <c r="O181">
        <f ca="1"/>
        <v>0</v>
      </c>
      <c r="P181">
        <f ca="1"/>
        <v>49.588534835432945</v>
      </c>
      <c r="Q181">
        <f ca="1"/>
        <v>45.885494896423339</v>
      </c>
      <c r="R181">
        <f ca="1"/>
        <v>0</v>
      </c>
      <c r="S181">
        <f ca="1"/>
        <v>0.34887403638541897</v>
      </c>
      <c r="T181">
        <f ca="1"/>
        <v>0</v>
      </c>
      <c r="U181">
        <f ca="1"/>
        <v>0</v>
      </c>
      <c r="V181">
        <f ca="1"/>
        <v>0.98803309141972961</v>
      </c>
      <c r="X181" s="2">
        <f t="shared" ca="1" si="15"/>
        <v>45386</v>
      </c>
      <c r="Y181">
        <f t="shared" ca="1" si="16"/>
        <v>0</v>
      </c>
      <c r="AA181" s="63">
        <f t="shared" ca="1" si="18"/>
        <v>93.295109436907495</v>
      </c>
      <c r="AB181" s="63">
        <f t="shared" ca="1" si="19"/>
        <v>93.295109436907495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45387</v>
      </c>
      <c r="K182">
        <f ca="1"/>
        <v>90.184111091137453</v>
      </c>
      <c r="L182">
        <f ca="1"/>
        <v>1.829931302537517</v>
      </c>
      <c r="M182">
        <f ca="1"/>
        <v>1.0941933519511338E-2</v>
      </c>
      <c r="N182">
        <f ca="1"/>
        <v>0.49018224986230191</v>
      </c>
      <c r="O182">
        <f ca="1"/>
        <v>0</v>
      </c>
      <c r="P182">
        <f ca="1"/>
        <v>51.418466137970462</v>
      </c>
      <c r="Q182">
        <f ca="1"/>
        <v>47.578775484810322</v>
      </c>
      <c r="R182">
        <f ca="1"/>
        <v>0</v>
      </c>
      <c r="S182">
        <f ca="1"/>
        <v>0.36094791238507501</v>
      </c>
      <c r="T182">
        <f ca="1"/>
        <v>0</v>
      </c>
      <c r="U182">
        <f ca="1"/>
        <v>0</v>
      </c>
      <c r="V182">
        <f ca="1"/>
        <v>0.98934646773674828</v>
      </c>
      <c r="X182" s="2">
        <f t="shared" ca="1" si="15"/>
        <v>45387</v>
      </c>
      <c r="Y182">
        <f t="shared" ca="1" si="16"/>
        <v>0</v>
      </c>
      <c r="AA182" s="63">
        <f t="shared" ca="1" si="18"/>
        <v>92.01404239367497</v>
      </c>
      <c r="AB182" s="63">
        <f t="shared" ca="1" si="19"/>
        <v>92.01404239367497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45388</v>
      </c>
      <c r="K183">
        <f ca="1"/>
        <v>88.810999147819899</v>
      </c>
      <c r="L183">
        <f ca="1"/>
        <v>1.8716794542406348</v>
      </c>
      <c r="M183">
        <f ca="1"/>
        <v>1.0772791159851636E-2</v>
      </c>
      <c r="N183">
        <f ca="1"/>
        <v>0.48779471976323213</v>
      </c>
      <c r="O183">
        <f ca="1"/>
        <v>0</v>
      </c>
      <c r="P183">
        <f ca="1"/>
        <v>53.290145592211097</v>
      </c>
      <c r="Q183">
        <f ca="1"/>
        <v>49.310686668117413</v>
      </c>
      <c r="R183">
        <f ca="1"/>
        <v>0</v>
      </c>
      <c r="S183">
        <f ca="1"/>
        <v>0.35955790939515025</v>
      </c>
      <c r="T183">
        <f ca="1"/>
        <v>0</v>
      </c>
      <c r="U183">
        <f ca="1"/>
        <v>0</v>
      </c>
      <c r="V183">
        <f ca="1"/>
        <v>0.9905143712255291</v>
      </c>
      <c r="X183" s="2">
        <f t="shared" ca="1" si="15"/>
        <v>45388</v>
      </c>
      <c r="Y183">
        <f t="shared" ca="1" si="16"/>
        <v>0</v>
      </c>
      <c r="AA183" s="63">
        <f t="shared" ca="1" si="18"/>
        <v>90.682678602060534</v>
      </c>
      <c r="AB183" s="63">
        <f t="shared" ca="1" si="19"/>
        <v>90.682678602060534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45389</v>
      </c>
      <c r="K184">
        <f ca="1"/>
        <v>87.418976810877467</v>
      </c>
      <c r="L184">
        <f ca="1"/>
        <v>1.8864628171750653</v>
      </c>
      <c r="M184">
        <f ca="1"/>
        <v>1.0776924974841506E-2</v>
      </c>
      <c r="N184">
        <f ca="1"/>
        <v>0.48366355525779475</v>
      </c>
      <c r="O184">
        <f ca="1"/>
        <v>0</v>
      </c>
      <c r="P184">
        <f ca="1"/>
        <v>55.176608409386162</v>
      </c>
      <c r="Q184">
        <f ca="1"/>
        <v>51.056277261932003</v>
      </c>
      <c r="R184">
        <f ca="1"/>
        <v>0</v>
      </c>
      <c r="S184">
        <f ca="1"/>
        <v>0.36954795809712232</v>
      </c>
      <c r="T184">
        <f ca="1"/>
        <v>0</v>
      </c>
      <c r="U184">
        <f ca="1"/>
        <v>0</v>
      </c>
      <c r="V184">
        <f ca="1"/>
        <v>0.99153960630225291</v>
      </c>
      <c r="X184" s="2">
        <f t="shared" ca="1" si="15"/>
        <v>45389</v>
      </c>
      <c r="Y184">
        <f t="shared" ca="1" si="16"/>
        <v>0</v>
      </c>
      <c r="AA184" s="63">
        <f t="shared" ca="1" si="18"/>
        <v>89.305439628052525</v>
      </c>
      <c r="AB184" s="63">
        <f t="shared" ca="1" si="19"/>
        <v>89.30543962805254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45390</v>
      </c>
      <c r="K185">
        <f ca="1"/>
        <v>86.028203041879621</v>
      </c>
      <c r="L185">
        <f ca="1"/>
        <v>1.8949725800721637</v>
      </c>
      <c r="M185">
        <f ca="1"/>
        <v>1.1417802525627962E-2</v>
      </c>
      <c r="N185">
        <f ca="1"/>
        <v>0.49278100854868523</v>
      </c>
      <c r="O185">
        <f ca="1"/>
        <v>0</v>
      </c>
      <c r="P185">
        <f ca="1"/>
        <v>57.071580989458326</v>
      </c>
      <c r="Q185">
        <f ca="1"/>
        <v>52.809742149336437</v>
      </c>
      <c r="R185">
        <f ca="1"/>
        <v>0</v>
      </c>
      <c r="S185">
        <f ca="1"/>
        <v>0.40324659491348408</v>
      </c>
      <c r="T185">
        <f ca="1"/>
        <v>0</v>
      </c>
      <c r="U185">
        <f ca="1"/>
        <v>0</v>
      </c>
      <c r="V185">
        <f ca="1"/>
        <v>0.99243918426640532</v>
      </c>
      <c r="X185" s="2">
        <f t="shared" ca="1" si="15"/>
        <v>45390</v>
      </c>
      <c r="Y185">
        <f t="shared" ca="1" si="16"/>
        <v>0</v>
      </c>
      <c r="AA185" s="63">
        <f t="shared" ca="1" si="18"/>
        <v>87.923175621951785</v>
      </c>
      <c r="AB185" s="63">
        <f t="shared" ca="1" si="19"/>
        <v>87.923175621951785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45391</v>
      </c>
      <c r="K186">
        <f ca="1"/>
        <v>84.606147914508426</v>
      </c>
      <c r="L186">
        <f ca="1"/>
        <v>1.925536111081243</v>
      </c>
      <c r="M186">
        <f ca="1"/>
        <v>1.1367340411005955E-2</v>
      </c>
      <c r="N186">
        <f ca="1"/>
        <v>0.49211364329905505</v>
      </c>
      <c r="O186">
        <f ca="1"/>
        <v>0</v>
      </c>
      <c r="P186">
        <f ca="1"/>
        <v>58.997117100539569</v>
      </c>
      <c r="Q186">
        <f ca="1"/>
        <v>54.591488226148627</v>
      </c>
      <c r="R186">
        <f ca="1"/>
        <v>0</v>
      </c>
      <c r="S186">
        <f ca="1"/>
        <v>0.40795159201335796</v>
      </c>
      <c r="T186">
        <f ca="1"/>
        <v>0</v>
      </c>
      <c r="U186">
        <f ca="1"/>
        <v>0</v>
      </c>
      <c r="V186">
        <f ca="1"/>
        <v>0.99323940276216283</v>
      </c>
      <c r="X186" s="2">
        <f t="shared" ca="1" si="15"/>
        <v>45391</v>
      </c>
      <c r="Y186">
        <f t="shared" ca="1" si="16"/>
        <v>0</v>
      </c>
      <c r="AA186" s="63">
        <f t="shared" ca="1" si="18"/>
        <v>86.531684025589684</v>
      </c>
      <c r="AB186" s="63">
        <f t="shared" ca="1" si="19"/>
        <v>86.531684025589669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45392</v>
      </c>
      <c r="K187">
        <f ca="1"/>
        <v>83.169049066367066</v>
      </c>
      <c r="L187">
        <f ca="1"/>
        <v>1.9318463249918096</v>
      </c>
      <c r="M187">
        <f ca="1"/>
        <v>1.1145520029707257E-2</v>
      </c>
      <c r="N187">
        <f ca="1"/>
        <v>0.48360195682073664</v>
      </c>
      <c r="O187">
        <f ca="1"/>
        <v>0</v>
      </c>
      <c r="P187">
        <f ca="1"/>
        <v>60.928963425531379</v>
      </c>
      <c r="Q187">
        <f ca="1"/>
        <v>56.379073299598829</v>
      </c>
      <c r="R187">
        <f ca="1"/>
        <v>0</v>
      </c>
      <c r="S187">
        <f ca="1"/>
        <v>0.41156954264003864</v>
      </c>
      <c r="T187">
        <f ca="1"/>
        <v>0</v>
      </c>
      <c r="U187">
        <f ca="1"/>
        <v>0</v>
      </c>
      <c r="V187">
        <f ca="1"/>
        <v>0.99394372373884587</v>
      </c>
      <c r="X187" s="2">
        <f t="shared" ca="1" si="15"/>
        <v>45392</v>
      </c>
      <c r="Y187">
        <f t="shared" ca="1" si="16"/>
        <v>0</v>
      </c>
      <c r="AA187" s="63">
        <f t="shared" ca="1" si="18"/>
        <v>85.100895391358875</v>
      </c>
      <c r="AB187" s="63">
        <f t="shared" ca="1" si="19"/>
        <v>85.100895391358875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45393</v>
      </c>
      <c r="K188">
        <f ca="1"/>
        <v>81.704112943997742</v>
      </c>
      <c r="L188">
        <f ca="1"/>
        <v>1.9768786625378283</v>
      </c>
      <c r="M188">
        <f ca="1"/>
        <v>1.1698488050164713E-2</v>
      </c>
      <c r="N188">
        <f ca="1"/>
        <v>0.50024405211833101</v>
      </c>
      <c r="O188">
        <f ca="1"/>
        <v>0</v>
      </c>
      <c r="P188">
        <f ca="1"/>
        <v>62.905842088069207</v>
      </c>
      <c r="Q188">
        <f ca="1"/>
        <v>58.208327906167931</v>
      </c>
      <c r="R188">
        <f ca="1"/>
        <v>0</v>
      </c>
      <c r="S188">
        <f ca="1"/>
        <v>0.43487416785679711</v>
      </c>
      <c r="T188">
        <f ca="1"/>
        <v>0</v>
      </c>
      <c r="U188">
        <f ca="1"/>
        <v>0</v>
      </c>
      <c r="V188">
        <f ca="1"/>
        <v>0.99457701602716087</v>
      </c>
      <c r="X188" s="2">
        <f t="shared" ca="1" si="15"/>
        <v>45393</v>
      </c>
      <c r="Y188">
        <f t="shared" ca="1" si="16"/>
        <v>0</v>
      </c>
      <c r="AA188" s="63">
        <f t="shared" ca="1" si="18"/>
        <v>83.680991606535557</v>
      </c>
      <c r="AB188" s="63">
        <f t="shared" ca="1" si="19"/>
        <v>83.680991606535571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45394</v>
      </c>
      <c r="K189">
        <f ca="1"/>
        <v>80.17689175140687</v>
      </c>
      <c r="L189">
        <f ca="1"/>
        <v>2.049205288634468</v>
      </c>
      <c r="M189">
        <f ca="1"/>
        <v>1.1756068919908103E-2</v>
      </c>
      <c r="N189">
        <f ca="1"/>
        <v>0.51022802712368487</v>
      </c>
      <c r="O189">
        <f ca="1"/>
        <v>0</v>
      </c>
      <c r="P189">
        <f ca="1"/>
        <v>64.955047376703675</v>
      </c>
      <c r="Q189">
        <f ca="1"/>
        <v>60.104508124547237</v>
      </c>
      <c r="R189">
        <f ca="1"/>
        <v>0</v>
      </c>
      <c r="S189">
        <f ca="1"/>
        <v>0.43376620782471953</v>
      </c>
      <c r="T189">
        <f ca="1"/>
        <v>0</v>
      </c>
      <c r="U189">
        <f ca="1"/>
        <v>0</v>
      </c>
      <c r="V189">
        <f ca="1"/>
        <v>0.99515346954757844</v>
      </c>
      <c r="X189" s="2">
        <f t="shared" ca="1" si="15"/>
        <v>45394</v>
      </c>
      <c r="Y189">
        <f t="shared" ca="1" si="16"/>
        <v>0</v>
      </c>
      <c r="AA189" s="63">
        <f t="shared" ca="1" si="18"/>
        <v>82.226097040041338</v>
      </c>
      <c r="AB189" s="63">
        <f t="shared" ca="1" si="19"/>
        <v>82.226097040041338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45395</v>
      </c>
      <c r="K190">
        <f ca="1"/>
        <v>78.650475340537071</v>
      </c>
      <c r="L190">
        <f ca="1"/>
        <v>2.0457607663348512</v>
      </c>
      <c r="M190">
        <f ca="1"/>
        <v>1.1790804832145341E-2</v>
      </c>
      <c r="N190">
        <f ca="1"/>
        <v>0.50755355063290741</v>
      </c>
      <c r="O190">
        <f ca="1"/>
        <v>0</v>
      </c>
      <c r="P190">
        <f ca="1"/>
        <v>67.000808143038526</v>
      </c>
      <c r="Q190">
        <f ca="1"/>
        <v>61.997501041447983</v>
      </c>
      <c r="R190">
        <f ca="1"/>
        <v>0</v>
      </c>
      <c r="S190">
        <f ca="1"/>
        <v>0.44931497190100506</v>
      </c>
      <c r="T190">
        <f ca="1"/>
        <v>0</v>
      </c>
      <c r="U190">
        <f ca="1"/>
        <v>0</v>
      </c>
      <c r="V190">
        <f ca="1"/>
        <v>0.99565925396393529</v>
      </c>
      <c r="X190" s="2">
        <f t="shared" ca="1" si="15"/>
        <v>45395</v>
      </c>
      <c r="Y190">
        <f t="shared" ca="1" si="16"/>
        <v>0</v>
      </c>
      <c r="AA190" s="63">
        <f t="shared" ca="1" si="18"/>
        <v>80.696236106871922</v>
      </c>
      <c r="AB190" s="63">
        <f t="shared" ca="1" si="19"/>
        <v>80.696236106871922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45396</v>
      </c>
      <c r="K191">
        <f ca="1"/>
        <v>77.110403838315264</v>
      </c>
      <c r="L191">
        <f ca="1"/>
        <v>2.0568604243151469</v>
      </c>
      <c r="M191">
        <f ca="1"/>
        <v>1.1713921861186805E-2</v>
      </c>
      <c r="N191">
        <f ca="1"/>
        <v>0.50507500023214769</v>
      </c>
      <c r="O191">
        <f ca="1"/>
        <v>0</v>
      </c>
      <c r="P191">
        <f ca="1"/>
        <v>69.057668567353673</v>
      </c>
      <c r="Q191">
        <f ca="1"/>
        <v>63.900764745765578</v>
      </c>
      <c r="R191">
        <f ca="1"/>
        <v>0</v>
      </c>
      <c r="S191">
        <f ca="1"/>
        <v>0.45696380613647841</v>
      </c>
      <c r="T191">
        <f ca="1"/>
        <v>0</v>
      </c>
      <c r="U191">
        <f ca="1"/>
        <v>0</v>
      </c>
      <c r="V191">
        <f ca="1"/>
        <v>0.99610742637088046</v>
      </c>
      <c r="X191" s="2">
        <f t="shared" ca="1" si="15"/>
        <v>45396</v>
      </c>
      <c r="Y191">
        <f t="shared" ca="1" si="16"/>
        <v>0</v>
      </c>
      <c r="AA191" s="63">
        <f t="shared" ca="1" si="18"/>
        <v>79.167264262630411</v>
      </c>
      <c r="AB191" s="63">
        <f t="shared" ca="1" si="19"/>
        <v>79.167264262630411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45397</v>
      </c>
      <c r="K192">
        <f ca="1"/>
        <v>75.504053315036131</v>
      </c>
      <c r="L192">
        <f ca="1"/>
        <v>2.1601589735268618</v>
      </c>
      <c r="M192">
        <f ca="1"/>
        <v>1.2558464376787981E-2</v>
      </c>
      <c r="N192">
        <f ca="1"/>
        <v>0.54124998587094086</v>
      </c>
      <c r="O192">
        <f ca="1"/>
        <v>0</v>
      </c>
      <c r="P192">
        <f ca="1"/>
        <v>71.217827540880535</v>
      </c>
      <c r="Q192">
        <f ca="1"/>
        <v>65.899613146593992</v>
      </c>
      <c r="R192">
        <f ca="1"/>
        <v>0</v>
      </c>
      <c r="S192">
        <f ca="1"/>
        <v>0.47869743472206244</v>
      </c>
      <c r="T192">
        <f ca="1"/>
        <v>0</v>
      </c>
      <c r="U192">
        <f ca="1"/>
        <v>0</v>
      </c>
      <c r="V192">
        <f ca="1"/>
        <v>0.99652201910430849</v>
      </c>
      <c r="X192" s="2">
        <f t="shared" ca="1" si="15"/>
        <v>45397</v>
      </c>
      <c r="Y192">
        <f t="shared" ca="1" si="16"/>
        <v>0</v>
      </c>
      <c r="AA192" s="63">
        <f t="shared" ca="1" si="18"/>
        <v>77.664212288562993</v>
      </c>
      <c r="AB192" s="63">
        <f t="shared" ca="1" si="19"/>
        <v>77.664212288562993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45398</v>
      </c>
      <c r="K193">
        <f ca="1"/>
        <v>73.893640654183159</v>
      </c>
      <c r="L193">
        <f ca="1"/>
        <v>2.1595654993110855</v>
      </c>
      <c r="M193">
        <f ca="1"/>
        <v>1.2427647648081575E-2</v>
      </c>
      <c r="N193">
        <f ca="1"/>
        <v>0.53672519081003311</v>
      </c>
      <c r="O193">
        <f ca="1"/>
        <v>0</v>
      </c>
      <c r="P193">
        <f ca="1"/>
        <v>73.37739304019162</v>
      </c>
      <c r="Q193">
        <f ca="1"/>
        <v>67.897912391086393</v>
      </c>
      <c r="R193">
        <f ca="1"/>
        <v>0</v>
      </c>
      <c r="S193">
        <f ca="1"/>
        <v>0.48783973300171335</v>
      </c>
      <c r="T193">
        <f ca="1"/>
        <v>0</v>
      </c>
      <c r="U193">
        <f ca="1"/>
        <v>0</v>
      </c>
      <c r="V193">
        <f ca="1"/>
        <v>0.99688699692908678</v>
      </c>
      <c r="X193" s="2">
        <f t="shared" ca="1" si="15"/>
        <v>45398</v>
      </c>
      <c r="Y193">
        <f t="shared" ca="1" si="16"/>
        <v>0</v>
      </c>
      <c r="AA193" s="63">
        <f t="shared" ca="1" si="18"/>
        <v>76.053206153494244</v>
      </c>
      <c r="AB193" s="63">
        <f t="shared" ca="1" si="19"/>
        <v>76.053206153494244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45399</v>
      </c>
      <c r="K194">
        <f ca="1"/>
        <v>72.257470134960784</v>
      </c>
      <c r="L194">
        <f ca="1"/>
        <v>2.19322649482217</v>
      </c>
      <c r="M194">
        <f ca="1"/>
        <v>1.2545039552961157E-2</v>
      </c>
      <c r="N194">
        <f ca="1"/>
        <v>0.54451093604682965</v>
      </c>
      <c r="O194">
        <f ca="1"/>
        <v>0</v>
      </c>
      <c r="P194">
        <f ca="1"/>
        <v>75.57061953501379</v>
      </c>
      <c r="Q194">
        <f ca="1"/>
        <v>69.927358985321206</v>
      </c>
      <c r="R194">
        <f ca="1"/>
        <v>0</v>
      </c>
      <c r="S194">
        <f ca="1"/>
        <v>0.49818967764743094</v>
      </c>
      <c r="T194">
        <f ca="1"/>
        <v>0</v>
      </c>
      <c r="U194">
        <f ca="1"/>
        <v>0</v>
      </c>
      <c r="V194">
        <f ca="1"/>
        <v>0.99721398176694898</v>
      </c>
      <c r="X194" s="2">
        <f t="shared" ca="1" si="15"/>
        <v>45399</v>
      </c>
      <c r="Y194">
        <f t="shared" ca="1" si="16"/>
        <v>0</v>
      </c>
      <c r="AA194" s="63">
        <f t="shared" ca="1" si="18"/>
        <v>74.450696629782954</v>
      </c>
      <c r="AB194" s="63">
        <f t="shared" ca="1" si="19"/>
        <v>74.450696629782954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45400</v>
      </c>
      <c r="K195">
        <f ca="1"/>
        <v>70.614843716516319</v>
      </c>
      <c r="L195">
        <f ca="1"/>
        <v>2.1906130457825554</v>
      </c>
      <c r="M195">
        <f ca="1"/>
        <v>1.2238458041508693E-2</v>
      </c>
      <c r="N195">
        <f ca="1"/>
        <v>0.53574816929658486</v>
      </c>
      <c r="O195">
        <f ca="1"/>
        <v>0</v>
      </c>
      <c r="P195">
        <f ca="1"/>
        <v>77.761232580796346</v>
      </c>
      <c r="Q195">
        <f ca="1"/>
        <v>71.954387290671946</v>
      </c>
      <c r="R195">
        <f ca="1"/>
        <v>0</v>
      </c>
      <c r="S195">
        <f ca="1"/>
        <v>0.50020304792468584</v>
      </c>
      <c r="T195">
        <f ca="1"/>
        <v>0</v>
      </c>
      <c r="U195">
        <f ca="1"/>
        <v>0</v>
      </c>
      <c r="V195">
        <f ca="1"/>
        <v>0.997502574205544</v>
      </c>
      <c r="X195" s="2">
        <f t="shared" ca="1" si="15"/>
        <v>45400</v>
      </c>
      <c r="Y195">
        <f t="shared" ca="1" si="16"/>
        <v>0</v>
      </c>
      <c r="AA195" s="63">
        <f t="shared" ca="1" si="18"/>
        <v>72.805456762298874</v>
      </c>
      <c r="AB195" s="63">
        <f t="shared" ca="1" si="19"/>
        <v>72.805456762298874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45401</v>
      </c>
      <c r="K196">
        <f ca="1"/>
        <v>68.914779462444045</v>
      </c>
      <c r="L196">
        <f ca="1"/>
        <v>2.2512918531163848</v>
      </c>
      <c r="M196">
        <f ca="1"/>
        <v>1.2059659398197198E-2</v>
      </c>
      <c r="N196">
        <f ca="1"/>
        <v>0.53916793964592047</v>
      </c>
      <c r="O196">
        <f ca="1"/>
        <v>0</v>
      </c>
      <c r="P196">
        <f ca="1"/>
        <v>80.012524433912731</v>
      </c>
      <c r="Q196">
        <f ca="1"/>
        <v>74.037563193717943</v>
      </c>
      <c r="R196">
        <f ca="1"/>
        <v>0</v>
      </c>
      <c r="S196">
        <f ca="1"/>
        <v>0.4913029218929012</v>
      </c>
      <c r="T196">
        <f ca="1"/>
        <v>0</v>
      </c>
      <c r="U196">
        <f ca="1"/>
        <v>0</v>
      </c>
      <c r="V196">
        <f ca="1"/>
        <v>0.99776488379218631</v>
      </c>
      <c r="X196" s="2">
        <f t="shared" ca="1" si="15"/>
        <v>45401</v>
      </c>
      <c r="Y196">
        <f t="shared" ca="1" si="16"/>
        <v>0</v>
      </c>
      <c r="AA196" s="63">
        <f t="shared" ca="1" si="18"/>
        <v>71.16607131556043</v>
      </c>
      <c r="AB196" s="63">
        <f t="shared" ca="1" si="19"/>
        <v>71.16607131556043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45402</v>
      </c>
      <c r="K197">
        <f ca="1"/>
        <v>67.221179275100042</v>
      </c>
      <c r="L197">
        <f ca="1"/>
        <v>2.2564585823320158</v>
      </c>
      <c r="M197">
        <f ca="1"/>
        <v>1.1994922765929061E-2</v>
      </c>
      <c r="N197">
        <f ca="1"/>
        <v>0.55086347222208154</v>
      </c>
      <c r="O197">
        <f ca="1"/>
        <v>0</v>
      </c>
      <c r="P197">
        <f ca="1"/>
        <v>82.268983016244746</v>
      </c>
      <c r="Q197">
        <f ca="1"/>
        <v>76.125519998797898</v>
      </c>
      <c r="R197">
        <f ca="1"/>
        <v>0</v>
      </c>
      <c r="S197">
        <f ca="1"/>
        <v>0.51694494386076162</v>
      </c>
      <c r="T197">
        <f ca="1"/>
        <v>0</v>
      </c>
      <c r="U197">
        <f ca="1"/>
        <v>0</v>
      </c>
      <c r="V197">
        <f ca="1"/>
        <v>0.99799753515306766</v>
      </c>
      <c r="X197" s="2">
        <f t="shared" ca="1" si="15"/>
        <v>45402</v>
      </c>
      <c r="Y197">
        <f t="shared" ca="1" si="16"/>
        <v>0</v>
      </c>
      <c r="AA197" s="63">
        <f t="shared" ca="1" si="18"/>
        <v>69.477637857432043</v>
      </c>
      <c r="AB197" s="63">
        <f t="shared" ca="1" si="19"/>
        <v>69.477637857432057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45403</v>
      </c>
      <c r="K198">
        <f ca="1"/>
        <v>65.592708839957524</v>
      </c>
      <c r="L198">
        <f ca="1"/>
        <v>2.1719678886277762</v>
      </c>
      <c r="M198">
        <f ca="1"/>
        <v>1.1263150498415087E-2</v>
      </c>
      <c r="N198">
        <f ca="1"/>
        <v>0.53223430298684271</v>
      </c>
      <c r="O198">
        <f ca="1"/>
        <v>0</v>
      </c>
      <c r="P198">
        <f ca="1"/>
        <v>84.440950904872523</v>
      </c>
      <c r="Q198">
        <f ca="1"/>
        <v>78.135295480158021</v>
      </c>
      <c r="R198">
        <f ca="1"/>
        <v>0</v>
      </c>
      <c r="S198">
        <f ca="1"/>
        <v>0.53682273150677118</v>
      </c>
      <c r="T198">
        <f ca="1"/>
        <v>0</v>
      </c>
      <c r="U198">
        <f ca="1"/>
        <v>0</v>
      </c>
      <c r="V198">
        <f ca="1"/>
        <v>0.99819655287806053</v>
      </c>
      <c r="X198" s="2">
        <f t="shared" ca="1" si="15"/>
        <v>45403</v>
      </c>
      <c r="Y198">
        <f t="shared" ca="1" si="16"/>
        <v>0</v>
      </c>
      <c r="AA198" s="63">
        <f t="shared" ca="1" si="18"/>
        <v>67.7646767285853</v>
      </c>
      <c r="AB198" s="63">
        <f t="shared" ca="1" si="19"/>
        <v>67.7646767285853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45404</v>
      </c>
      <c r="K199">
        <f ca="1"/>
        <v>63.927389218011839</v>
      </c>
      <c r="L199">
        <f ca="1"/>
        <v>2.2159934269908774</v>
      </c>
      <c r="M199">
        <f ca="1"/>
        <v>1.1243159485246679E-2</v>
      </c>
      <c r="N199">
        <f ca="1"/>
        <v>0.53943064555994535</v>
      </c>
      <c r="O199">
        <f ca="1"/>
        <v>0</v>
      </c>
      <c r="P199">
        <f ca="1"/>
        <v>86.6569443318634</v>
      </c>
      <c r="Q199">
        <f ca="1"/>
        <v>80.18580887850996</v>
      </c>
      <c r="R199">
        <f ca="1"/>
        <v>0</v>
      </c>
      <c r="S199">
        <f ca="1"/>
        <v>0.53745441037624564</v>
      </c>
      <c r="T199">
        <f ca="1"/>
        <v>0</v>
      </c>
      <c r="U199">
        <f ca="1"/>
        <v>0</v>
      </c>
      <c r="V199">
        <f ca="1"/>
        <v>0.99837757784922043</v>
      </c>
      <c r="X199" s="2">
        <f t="shared" ca="1" si="15"/>
        <v>45404</v>
      </c>
      <c r="Y199">
        <f t="shared" ca="1" si="16"/>
        <v>0</v>
      </c>
      <c r="AA199" s="63">
        <f t="shared" ca="1" si="18"/>
        <v>66.143382645002717</v>
      </c>
      <c r="AB199" s="63">
        <f t="shared" ca="1" si="19"/>
        <v>66.143382645002717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45405</v>
      </c>
      <c r="K200">
        <f ca="1"/>
        <v>62.285226435852991</v>
      </c>
      <c r="L200">
        <f ca="1"/>
        <v>2.2069577924803809</v>
      </c>
      <c r="M200">
        <f ca="1"/>
        <v>1.0961164270632651E-2</v>
      </c>
      <c r="N200">
        <f ca="1"/>
        <v>0.55383384605090558</v>
      </c>
      <c r="O200">
        <f ca="1"/>
        <v>0</v>
      </c>
      <c r="P200">
        <f ca="1"/>
        <v>88.863902124343781</v>
      </c>
      <c r="Q200">
        <f ca="1"/>
        <v>82.227961381292147</v>
      </c>
      <c r="R200">
        <f ca="1"/>
        <v>0</v>
      </c>
      <c r="S200">
        <f ca="1"/>
        <v>0.56929553622841378</v>
      </c>
      <c r="T200">
        <f ca="1"/>
        <v>0</v>
      </c>
      <c r="U200">
        <f ca="1"/>
        <v>0</v>
      </c>
      <c r="V200">
        <f ca="1"/>
        <v>0.99853845850447087</v>
      </c>
      <c r="X200" s="2">
        <f t="shared" ca="1" si="15"/>
        <v>45405</v>
      </c>
      <c r="Y200">
        <f t="shared" ca="1" si="16"/>
        <v>0</v>
      </c>
      <c r="AA200" s="63">
        <f t="shared" ca="1" si="18"/>
        <v>64.492184228333372</v>
      </c>
      <c r="AB200" s="63">
        <f t="shared" ca="1" si="19"/>
        <v>64.492184228333372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45406</v>
      </c>
      <c r="K201">
        <f ca="1"/>
        <v>60.648692109412224</v>
      </c>
      <c r="L201">
        <f ca="1"/>
        <v>2.2679291073043402</v>
      </c>
      <c r="M201">
        <f ca="1"/>
        <v>1.1038869967876508E-2</v>
      </c>
      <c r="N201">
        <f ca="1"/>
        <v>0.62035591089569708</v>
      </c>
      <c r="O201">
        <f ca="1"/>
        <v>0</v>
      </c>
      <c r="P201">
        <f ca="1"/>
        <v>91.131831231648121</v>
      </c>
      <c r="Q201">
        <f ca="1"/>
        <v>84.326532146167906</v>
      </c>
      <c r="R201">
        <f ca="1"/>
        <v>0</v>
      </c>
      <c r="S201">
        <f ca="1"/>
        <v>0.63673701345906997</v>
      </c>
      <c r="T201">
        <f ca="1"/>
        <v>0</v>
      </c>
      <c r="U201">
        <f ca="1"/>
        <v>0</v>
      </c>
      <c r="V201">
        <f ca="1"/>
        <v>0.99868606187264775</v>
      </c>
      <c r="X201" s="2">
        <f t="shared" ca="1" si="15"/>
        <v>45406</v>
      </c>
      <c r="Y201">
        <f t="shared" ca="1" si="16"/>
        <v>0</v>
      </c>
      <c r="AA201" s="63">
        <f t="shared" ca="1" si="18"/>
        <v>62.916621216716564</v>
      </c>
      <c r="AB201" s="63">
        <f t="shared" ca="1" si="19"/>
        <v>62.916621216716564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45407</v>
      </c>
      <c r="K202">
        <f ca="1"/>
        <v>58.985525801276204</v>
      </c>
      <c r="L202">
        <f ca="1"/>
        <v>2.3202813276673027</v>
      </c>
      <c r="M202">
        <f ca="1"/>
        <v>1.1075394433355257E-2</v>
      </c>
      <c r="N202">
        <f ca="1"/>
        <v>0.64603962509792712</v>
      </c>
      <c r="O202">
        <f ca="1"/>
        <v>0</v>
      </c>
      <c r="P202">
        <f ca="1"/>
        <v>93.452112559315424</v>
      </c>
      <c r="Q202">
        <f ca="1"/>
        <v>86.473545712353555</v>
      </c>
      <c r="R202">
        <f ca="1"/>
        <v>0</v>
      </c>
      <c r="S202">
        <f ca="1"/>
        <v>0.65281144463839436</v>
      </c>
      <c r="T202">
        <f ca="1"/>
        <v>0</v>
      </c>
      <c r="U202">
        <f ca="1"/>
        <v>0</v>
      </c>
      <c r="V202">
        <f ca="1"/>
        <v>0.99882073325342857</v>
      </c>
      <c r="X202" s="2">
        <f t="shared" ca="1" si="15"/>
        <v>45407</v>
      </c>
      <c r="Y202">
        <f t="shared" ca="1" si="16"/>
        <v>0</v>
      </c>
      <c r="AA202" s="63">
        <f t="shared" ca="1" si="18"/>
        <v>61.305807128943506</v>
      </c>
      <c r="AB202" s="63">
        <f t="shared" ca="1" si="19"/>
        <v>61.305807128943506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45408</v>
      </c>
      <c r="K203">
        <f ca="1"/>
        <v>57.276301445425453</v>
      </c>
      <c r="L203">
        <f ca="1"/>
        <v>2.3979203886969316</v>
      </c>
      <c r="M203">
        <f ca="1"/>
        <v>1.1239738230699459E-2</v>
      </c>
      <c r="N203">
        <f ca="1"/>
        <v>0.67745629461548063</v>
      </c>
      <c r="O203">
        <f ca="1"/>
        <v>0</v>
      </c>
      <c r="P203">
        <f ca="1"/>
        <v>95.850032948012355</v>
      </c>
      <c r="Q203">
        <f ca="1"/>
        <v>88.692400617478967</v>
      </c>
      <c r="R203">
        <f ca="1"/>
        <v>0</v>
      </c>
      <c r="S203">
        <f ca="1"/>
        <v>0.66373236028955673</v>
      </c>
      <c r="T203">
        <f ca="1"/>
        <v>0</v>
      </c>
      <c r="U203">
        <f ca="1"/>
        <v>0</v>
      </c>
      <c r="V203">
        <f ca="1"/>
        <v>0.99894466435344009</v>
      </c>
      <c r="X203" s="2">
        <f t="shared" ref="X203:X266" ca="1" si="22">IFERROR(J203,$X$9)</f>
        <v>45408</v>
      </c>
      <c r="Y203">
        <f t="shared" ref="Y203:Y266" ca="1" si="23">IFERROR(O203,0)</f>
        <v>0</v>
      </c>
      <c r="AA203" s="63">
        <f t="shared" ca="1" si="18"/>
        <v>59.674221834122385</v>
      </c>
      <c r="AB203" s="63">
        <f t="shared" ca="1" si="19"/>
        <v>59.674221834122385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45409</v>
      </c>
      <c r="K204">
        <f ca="1"/>
        <v>55.553144482522896</v>
      </c>
      <c r="L204">
        <f ca="1"/>
        <v>2.4493623350561364</v>
      </c>
      <c r="M204">
        <f ca="1"/>
        <v>1.1276539092108351E-2</v>
      </c>
      <c r="N204">
        <f ca="1"/>
        <v>0.71492883306147192</v>
      </c>
      <c r="O204">
        <f ca="1"/>
        <v>0</v>
      </c>
      <c r="P204">
        <f ca="1"/>
        <v>98.299395283068492</v>
      </c>
      <c r="Q204">
        <f ca="1"/>
        <v>90.958856024917282</v>
      </c>
      <c r="R204">
        <f ca="1"/>
        <v>0</v>
      </c>
      <c r="S204">
        <f ca="1"/>
        <v>0.68949973507910822</v>
      </c>
      <c r="T204">
        <f ca="1"/>
        <v>0</v>
      </c>
      <c r="U204">
        <f ca="1"/>
        <v>0</v>
      </c>
      <c r="V204">
        <f ca="1"/>
        <v>0.99905721672961401</v>
      </c>
      <c r="X204" s="2">
        <f t="shared" ca="1" si="22"/>
        <v>45409</v>
      </c>
      <c r="Y204">
        <f t="shared" ca="1" si="23"/>
        <v>0</v>
      </c>
      <c r="AA204" s="63">
        <f t="shared" ca="1" si="18"/>
        <v>58.002506817579032</v>
      </c>
      <c r="AB204" s="63">
        <f t="shared" ca="1" si="19"/>
        <v>58.002506817579032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45410</v>
      </c>
      <c r="K205">
        <f ca="1"/>
        <v>53.925282898259177</v>
      </c>
      <c r="L205">
        <f ca="1"/>
        <v>2.3176814896666968</v>
      </c>
      <c r="M205">
        <f ca="1"/>
        <v>1.0448983928313282E-2</v>
      </c>
      <c r="N205">
        <f ca="1"/>
        <v>0.67937092147466227</v>
      </c>
      <c r="O205">
        <f ca="1"/>
        <v>0</v>
      </c>
      <c r="P205">
        <f ca="1"/>
        <v>100.61707677273519</v>
      </c>
      <c r="Q205">
        <f ca="1"/>
        <v>93.103463896849121</v>
      </c>
      <c r="R205">
        <f ca="1"/>
        <v>0</v>
      </c>
      <c r="S205">
        <f ca="1"/>
        <v>0.70753849346801456</v>
      </c>
      <c r="T205">
        <f ca="1"/>
        <v>0</v>
      </c>
      <c r="U205">
        <f ca="1"/>
        <v>0</v>
      </c>
      <c r="V205">
        <f ca="1"/>
        <v>0.99915222983063223</v>
      </c>
      <c r="X205" s="2">
        <f t="shared" ca="1" si="22"/>
        <v>45410</v>
      </c>
      <c r="Y205">
        <f t="shared" ca="1" si="23"/>
        <v>0</v>
      </c>
      <c r="AA205" s="63">
        <f ca="1">K204+M205+N205+O205</f>
        <v>56.242964387925873</v>
      </c>
      <c r="AB205" s="63">
        <f ca="1">K205+L205+R205</f>
        <v>56.242964387925873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45411</v>
      </c>
      <c r="K206">
        <f ca="1"/>
        <v>52.365851505714922</v>
      </c>
      <c r="L206">
        <f ca="1"/>
        <v>2.2628512916554513</v>
      </c>
      <c r="M206">
        <f ca="1"/>
        <v>1.0035759833058933E-2</v>
      </c>
      <c r="N206">
        <f ca="1"/>
        <v>0.69338413927813547</v>
      </c>
      <c r="O206">
        <f ca="1"/>
        <v>0</v>
      </c>
      <c r="P206">
        <f ca="1"/>
        <v>102.87992806439064</v>
      </c>
      <c r="Q206">
        <f ca="1"/>
        <v>95.197336033608238</v>
      </c>
      <c r="R206">
        <f ca="1"/>
        <v>0</v>
      </c>
      <c r="S206">
        <f ca="1"/>
        <v>0.74845344527370894</v>
      </c>
      <c r="T206">
        <f ca="1"/>
        <v>0</v>
      </c>
      <c r="U206">
        <f ca="1"/>
        <v>0</v>
      </c>
      <c r="V206">
        <f ca="1"/>
        <v>0.9992354723807203</v>
      </c>
      <c r="X206" s="2">
        <f t="shared" ca="1" si="22"/>
        <v>45411</v>
      </c>
      <c r="Y206">
        <f t="shared" ca="1" si="23"/>
        <v>0</v>
      </c>
      <c r="AA206" s="63">
        <f ca="1">K205+M206+N206+O206</f>
        <v>54.628702797370373</v>
      </c>
      <c r="AB206" s="63">
        <f ca="1">K206+L206+R206</f>
        <v>54.628702797370373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45412</v>
      </c>
      <c r="K207">
        <f ca="1"/>
        <v>50.810744474374808</v>
      </c>
      <c r="L207">
        <f ca="1"/>
        <v>2.2800215582967098</v>
      </c>
      <c r="M207">
        <f ca="1"/>
        <v>9.9588523369646964E-3</v>
      </c>
      <c r="N207">
        <f ca="1"/>
        <v>0.71495567461963416</v>
      </c>
      <c r="O207">
        <f ca="1"/>
        <v>0</v>
      </c>
      <c r="P207">
        <f ca="1"/>
        <v>105.15994962268735</v>
      </c>
      <c r="Q207">
        <f ca="1"/>
        <v>97.307096241772399</v>
      </c>
      <c r="R207">
        <f ca="1"/>
        <v>0</v>
      </c>
      <c r="S207">
        <f ca="1"/>
        <v>0.7672464192653996</v>
      </c>
      <c r="T207">
        <f ca="1"/>
        <v>0</v>
      </c>
      <c r="U207">
        <f ca="1"/>
        <v>0</v>
      </c>
      <c r="V207">
        <f ca="1"/>
        <v>0.99931089501288661</v>
      </c>
      <c r="X207" s="2">
        <f t="shared" ca="1" si="22"/>
        <v>45412</v>
      </c>
      <c r="Y207">
        <f t="shared" ca="1" si="23"/>
        <v>0</v>
      </c>
      <c r="AA207" s="63">
        <f ca="1">K206+M207+N207+O207</f>
        <v>53.090766032671517</v>
      </c>
      <c r="AB207" s="63">
        <f ca="1">K207+L207+R207</f>
        <v>53.090766032671517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45413</v>
      </c>
      <c r="K208">
        <f ca="1"/>
        <v>49.328786344399653</v>
      </c>
      <c r="L208">
        <f ca="1"/>
        <v>2.2683314253524998</v>
      </c>
      <c r="M208">
        <f ca="1"/>
        <v>9.766266871508833E-3</v>
      </c>
      <c r="N208">
        <f ca="1"/>
        <v>0.77660702850583629</v>
      </c>
      <c r="O208">
        <f ca="1"/>
        <v>0</v>
      </c>
      <c r="P208">
        <f ca="1"/>
        <v>107.42828104803985</v>
      </c>
      <c r="Q208">
        <f ca="1"/>
        <v>99.406039281465439</v>
      </c>
      <c r="R208">
        <f ca="1"/>
        <v>0</v>
      </c>
      <c r="S208">
        <f ca="1"/>
        <v>0.83725047446110168</v>
      </c>
      <c r="T208">
        <f ca="1"/>
        <v>0</v>
      </c>
      <c r="U208">
        <f ca="1"/>
        <v>0</v>
      </c>
      <c r="V208">
        <f ca="1"/>
        <v>0.99937843342212285</v>
      </c>
      <c r="X208" s="2">
        <f t="shared" ca="1" si="22"/>
        <v>45413</v>
      </c>
      <c r="Y208">
        <f t="shared" ca="1" si="23"/>
        <v>0</v>
      </c>
      <c r="AA208" s="63">
        <f t="shared" ref="AA208:AA271" ca="1" si="25">K207+M208+N208+O208</f>
        <v>51.597117769752153</v>
      </c>
      <c r="AB208" s="63">
        <f t="shared" ref="AB208:AB271" ca="1" si="26">K208+L208+R208</f>
        <v>51.597117769752153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45414</v>
      </c>
      <c r="K209">
        <f ca="1"/>
        <v>47.86558357625514</v>
      </c>
      <c r="L209">
        <f ca="1"/>
        <v>2.2530607880420348</v>
      </c>
      <c r="M209">
        <f ca="1"/>
        <v>9.5710477868209409E-3</v>
      </c>
      <c r="N209">
        <f ca="1"/>
        <v>0.78028697211069942</v>
      </c>
      <c r="O209">
        <f ca="1"/>
        <v>0</v>
      </c>
      <c r="P209">
        <f ca="1"/>
        <v>109.68134183608188</v>
      </c>
      <c r="Q209">
        <f ca="1"/>
        <v>101.49085202364719</v>
      </c>
      <c r="R209">
        <f ca="1"/>
        <v>0</v>
      </c>
      <c r="S209">
        <f ca="1"/>
        <v>0.84816215268379014</v>
      </c>
      <c r="T209">
        <f ca="1"/>
        <v>0</v>
      </c>
      <c r="U209">
        <f ca="1"/>
        <v>0</v>
      </c>
      <c r="V209">
        <f ca="1"/>
        <v>0.99943891111077421</v>
      </c>
      <c r="X209" s="2">
        <f t="shared" ca="1" si="22"/>
        <v>45414</v>
      </c>
      <c r="Y209">
        <f t="shared" ca="1" si="23"/>
        <v>0</v>
      </c>
      <c r="AA209" s="63">
        <f t="shared" ca="1" si="25"/>
        <v>50.118644364297175</v>
      </c>
      <c r="AB209" s="63">
        <f t="shared" ca="1" si="26"/>
        <v>50.118644364297175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45415</v>
      </c>
      <c r="K210">
        <f ca="1"/>
        <v>46.433615231269428</v>
      </c>
      <c r="L210">
        <f ca="1"/>
        <v>2.2088825034340545</v>
      </c>
      <c r="M210">
        <f ca="1"/>
        <v>9.2708590910817179E-3</v>
      </c>
      <c r="N210">
        <f ca="1"/>
        <v>0.76764329935726283</v>
      </c>
      <c r="O210">
        <f ca="1"/>
        <v>0</v>
      </c>
      <c r="P210">
        <f ca="1"/>
        <v>111.89022433951594</v>
      </c>
      <c r="Q210">
        <f ca="1"/>
        <v>103.53478550896769</v>
      </c>
      <c r="R210">
        <f ca="1"/>
        <v>0</v>
      </c>
      <c r="S210">
        <f ca="1"/>
        <v>0.85407343864262331</v>
      </c>
      <c r="T210">
        <f ca="1"/>
        <v>0</v>
      </c>
      <c r="U210">
        <f ca="1"/>
        <v>0</v>
      </c>
      <c r="V210">
        <f ca="1"/>
        <v>0.99949248320976858</v>
      </c>
      <c r="X210" s="2">
        <f t="shared" ca="1" si="22"/>
        <v>45415</v>
      </c>
      <c r="Y210">
        <f t="shared" ca="1" si="23"/>
        <v>0</v>
      </c>
      <c r="AA210" s="63">
        <f t="shared" ca="1" si="25"/>
        <v>48.642497734703483</v>
      </c>
      <c r="AB210" s="63">
        <f t="shared" ca="1" si="26"/>
        <v>48.642497734703483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45416</v>
      </c>
      <c r="K211">
        <f ca="1"/>
        <v>45.014110405207802</v>
      </c>
      <c r="L211">
        <f ca="1"/>
        <v>2.2216401080213757</v>
      </c>
      <c r="M211">
        <f ca="1"/>
        <v>9.2136011808747753E-3</v>
      </c>
      <c r="N211">
        <f ca="1"/>
        <v>0.79292168077887315</v>
      </c>
      <c r="O211">
        <f ca="1"/>
        <v>0</v>
      </c>
      <c r="P211">
        <f ca="1"/>
        <v>114.11186444753731</v>
      </c>
      <c r="Q211">
        <f ca="1"/>
        <v>105.59052392061082</v>
      </c>
      <c r="R211">
        <f ca="1"/>
        <v>0</v>
      </c>
      <c r="S211">
        <f ca="1"/>
        <v>0.87331787124032678</v>
      </c>
      <c r="T211">
        <f ca="1"/>
        <v>0</v>
      </c>
      <c r="U211">
        <f ca="1"/>
        <v>0</v>
      </c>
      <c r="V211">
        <f ca="1"/>
        <v>0.99954124063944261</v>
      </c>
      <c r="X211" s="2">
        <f t="shared" ca="1" si="22"/>
        <v>45416</v>
      </c>
      <c r="Y211">
        <f t="shared" ca="1" si="23"/>
        <v>0</v>
      </c>
      <c r="AA211" s="63">
        <f t="shared" ca="1" si="25"/>
        <v>47.235750513229178</v>
      </c>
      <c r="AB211" s="63">
        <f t="shared" ca="1" si="26"/>
        <v>47.235750513229178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45417</v>
      </c>
      <c r="K212">
        <f ca="1"/>
        <v>43.609706061510167</v>
      </c>
      <c r="L212">
        <f ca="1"/>
        <v>2.2436202058916734</v>
      </c>
      <c r="M212">
        <f ca="1"/>
        <v>9.199712484175393E-3</v>
      </c>
      <c r="N212">
        <f ca="1"/>
        <v>0.8300161497098606</v>
      </c>
      <c r="O212">
        <f ca="1"/>
        <v>0</v>
      </c>
      <c r="P212">
        <f ca="1"/>
        <v>116.35548465342899</v>
      </c>
      <c r="Q212">
        <f ca="1"/>
        <v>107.66660105917943</v>
      </c>
      <c r="R212">
        <f ca="1"/>
        <v>0</v>
      </c>
      <c r="S212">
        <f ca="1"/>
        <v>0.89847080950856339</v>
      </c>
      <c r="T212">
        <f ca="1"/>
        <v>0</v>
      </c>
      <c r="U212">
        <f ca="1"/>
        <v>0</v>
      </c>
      <c r="V212">
        <f ca="1"/>
        <v>0.9995857942976466</v>
      </c>
      <c r="X212" s="2">
        <f t="shared" ca="1" si="22"/>
        <v>45417</v>
      </c>
      <c r="Y212">
        <f t="shared" ca="1" si="23"/>
        <v>0</v>
      </c>
      <c r="AA212" s="63">
        <f t="shared" ca="1" si="25"/>
        <v>45.85332626740184</v>
      </c>
      <c r="AB212" s="63">
        <f t="shared" ca="1" si="26"/>
        <v>45.85332626740184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45418</v>
      </c>
      <c r="K213">
        <f ca="1"/>
        <v>42.237722004811268</v>
      </c>
      <c r="L213">
        <f ca="1"/>
        <v>2.1878241259277473</v>
      </c>
      <c r="M213">
        <f ca="1"/>
        <v>8.8853666078634319E-3</v>
      </c>
      <c r="N213">
        <f ca="1"/>
        <v>0.80695470262098457</v>
      </c>
      <c r="O213">
        <f ca="1"/>
        <v>0</v>
      </c>
      <c r="P213">
        <f ca="1"/>
        <v>118.54330877935674</v>
      </c>
      <c r="Q213">
        <f ca="1"/>
        <v>109.69104870817098</v>
      </c>
      <c r="R213">
        <f ca="1"/>
        <v>0</v>
      </c>
      <c r="S213">
        <f ca="1"/>
        <v>0.89786583296148836</v>
      </c>
      <c r="T213">
        <f ca="1"/>
        <v>0</v>
      </c>
      <c r="U213">
        <f ca="1"/>
        <v>0</v>
      </c>
      <c r="V213">
        <f ca="1"/>
        <v>0.99962515814676878</v>
      </c>
      <c r="X213" s="2">
        <f t="shared" ca="1" si="22"/>
        <v>45418</v>
      </c>
      <c r="Y213">
        <f t="shared" ca="1" si="23"/>
        <v>0</v>
      </c>
      <c r="AA213" s="63">
        <f t="shared" ca="1" si="25"/>
        <v>44.425546130739015</v>
      </c>
      <c r="AB213" s="63">
        <f t="shared" ca="1" si="26"/>
        <v>44.425546130739015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45419</v>
      </c>
      <c r="K214">
        <f ca="1"/>
        <v>40.919153592476945</v>
      </c>
      <c r="L214">
        <f ca="1"/>
        <v>2.1401532861126071</v>
      </c>
      <c r="M214">
        <f ca="1"/>
        <v>8.6192322294920132E-3</v>
      </c>
      <c r="N214">
        <f ca="1"/>
        <v>0.81296564154879603</v>
      </c>
      <c r="O214">
        <f ca="1"/>
        <v>0</v>
      </c>
      <c r="P214">
        <f ca="1"/>
        <v>120.68346206546934</v>
      </c>
      <c r="Q214">
        <f ca="1"/>
        <v>111.67138535278819</v>
      </c>
      <c r="R214">
        <f ca="1"/>
        <v>0</v>
      </c>
      <c r="S214">
        <f ca="1"/>
        <v>0.9215031695512953</v>
      </c>
      <c r="T214">
        <f ca="1"/>
        <v>0</v>
      </c>
      <c r="U214">
        <f ca="1"/>
        <v>0</v>
      </c>
      <c r="V214">
        <f ca="1"/>
        <v>0.99966014535100434</v>
      </c>
      <c r="X214" s="2">
        <f t="shared" ca="1" si="22"/>
        <v>45419</v>
      </c>
      <c r="Y214">
        <f t="shared" ca="1" si="23"/>
        <v>0</v>
      </c>
      <c r="AA214" s="63">
        <f t="shared" ca="1" si="25"/>
        <v>43.059306878589553</v>
      </c>
      <c r="AB214" s="63">
        <f t="shared" ca="1" si="26"/>
        <v>43.059306878589553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45420</v>
      </c>
      <c r="K215">
        <f ca="1"/>
        <v>39.653855872430647</v>
      </c>
      <c r="L215">
        <f ca="1"/>
        <v>2.0662266336406105</v>
      </c>
      <c r="M215">
        <f ca="1"/>
        <v>8.2708236042776662E-3</v>
      </c>
      <c r="N215">
        <f ca="1"/>
        <v>0.79265808999003107</v>
      </c>
      <c r="O215">
        <f ca="1"/>
        <v>0</v>
      </c>
      <c r="P215">
        <f ca="1"/>
        <v>122.74968869910995</v>
      </c>
      <c r="Q215">
        <f ca="1"/>
        <v>113.5833158417089</v>
      </c>
      <c r="R215">
        <f ca="1"/>
        <v>0</v>
      </c>
      <c r="S215">
        <f ca="1"/>
        <v>0.93059471456942833</v>
      </c>
      <c r="T215">
        <f ca="1"/>
        <v>0</v>
      </c>
      <c r="U215">
        <f ca="1"/>
        <v>0</v>
      </c>
      <c r="V215">
        <f ca="1"/>
        <v>0.99969093264980724</v>
      </c>
      <c r="X215" s="2">
        <f t="shared" ca="1" si="22"/>
        <v>45420</v>
      </c>
      <c r="Y215">
        <f t="shared" ca="1" si="23"/>
        <v>0</v>
      </c>
      <c r="AA215" s="63">
        <f t="shared" ca="1" si="25"/>
        <v>41.720082506071257</v>
      </c>
      <c r="AB215" s="63">
        <f t="shared" ca="1" si="26"/>
        <v>41.720082506071257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45421</v>
      </c>
      <c r="K216">
        <f ca="1"/>
        <v>38.409595674572898</v>
      </c>
      <c r="L216">
        <f ca="1"/>
        <v>2.0774273927403613</v>
      </c>
      <c r="M216">
        <f ca="1"/>
        <v>8.2455280891196026E-3</v>
      </c>
      <c r="N216">
        <f ca="1"/>
        <v>0.82492166679349399</v>
      </c>
      <c r="O216">
        <f ca="1"/>
        <v>0</v>
      </c>
      <c r="P216">
        <f ca="1"/>
        <v>124.82711609185031</v>
      </c>
      <c r="Q216">
        <f ca="1"/>
        <v>115.50561066940696</v>
      </c>
      <c r="R216">
        <f ca="1"/>
        <v>0</v>
      </c>
      <c r="S216">
        <f ca="1"/>
        <v>0.95332248043587831</v>
      </c>
      <c r="T216">
        <f ca="1"/>
        <v>0</v>
      </c>
      <c r="U216">
        <f ca="1"/>
        <v>0</v>
      </c>
      <c r="V216">
        <f ca="1"/>
        <v>0.99971919526540109</v>
      </c>
      <c r="X216" s="2">
        <f t="shared" ca="1" si="22"/>
        <v>45421</v>
      </c>
      <c r="Y216">
        <f t="shared" ca="1" si="23"/>
        <v>0</v>
      </c>
      <c r="AA216" s="63">
        <f t="shared" ca="1" si="25"/>
        <v>40.48702306731326</v>
      </c>
      <c r="AB216" s="63">
        <f t="shared" ca="1" si="26"/>
        <v>40.48702306731326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45422</v>
      </c>
      <c r="K217">
        <f ca="1"/>
        <v>37.159948636938765</v>
      </c>
      <c r="L217">
        <f ca="1"/>
        <v>2.1116873125620685</v>
      </c>
      <c r="M217">
        <f ca="1"/>
        <v>8.310117616602497E-3</v>
      </c>
      <c r="N217">
        <f ca="1"/>
        <v>0.85373015731133328</v>
      </c>
      <c r="O217">
        <f ca="1"/>
        <v>0</v>
      </c>
      <c r="P217">
        <f ca="1"/>
        <v>126.93880340441238</v>
      </c>
      <c r="Q217">
        <f ca="1"/>
        <v>117.45960704629067</v>
      </c>
      <c r="R217">
        <f ca="1"/>
        <v>0</v>
      </c>
      <c r="S217">
        <f ca="1"/>
        <v>0.9624137172302073</v>
      </c>
      <c r="T217">
        <f ca="1"/>
        <v>0</v>
      </c>
      <c r="U217">
        <f ca="1"/>
        <v>0</v>
      </c>
      <c r="V217">
        <f ca="1"/>
        <v>0.99974540741450635</v>
      </c>
      <c r="X217" s="2">
        <f t="shared" ca="1" si="22"/>
        <v>45422</v>
      </c>
      <c r="Y217">
        <f t="shared" ca="1" si="23"/>
        <v>0</v>
      </c>
      <c r="AA217" s="63">
        <f t="shared" ca="1" si="25"/>
        <v>39.271635949500833</v>
      </c>
      <c r="AB217" s="63">
        <f t="shared" ca="1" si="26"/>
        <v>39.271635949500833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45423</v>
      </c>
      <c r="K218">
        <f ca="1"/>
        <v>35.897721100323466</v>
      </c>
      <c r="L218">
        <f ca="1"/>
        <v>2.1482814296665964</v>
      </c>
      <c r="M218">
        <f ca="1"/>
        <v>8.3900386367190549E-3</v>
      </c>
      <c r="N218">
        <f ca="1"/>
        <v>0.87766385441458106</v>
      </c>
      <c r="O218">
        <f ca="1"/>
        <v>0</v>
      </c>
      <c r="P218">
        <f ca="1"/>
        <v>129.08708483407898</v>
      </c>
      <c r="Q218">
        <f ca="1"/>
        <v>119.44746486270294</v>
      </c>
      <c r="R218">
        <f ca="1"/>
        <v>0</v>
      </c>
      <c r="S218">
        <f ca="1"/>
        <v>0.99241392444733512</v>
      </c>
      <c r="T218">
        <f ca="1"/>
        <v>0</v>
      </c>
      <c r="U218">
        <f ca="1"/>
        <v>0</v>
      </c>
      <c r="V218">
        <f ca="1"/>
        <v>0.99976970573566493</v>
      </c>
      <c r="X218" s="2">
        <f t="shared" ca="1" si="22"/>
        <v>45423</v>
      </c>
      <c r="Y218">
        <f t="shared" ca="1" si="23"/>
        <v>0</v>
      </c>
      <c r="AA218" s="63">
        <f t="shared" ca="1" si="25"/>
        <v>38.046002529990062</v>
      </c>
      <c r="AB218" s="63">
        <f t="shared" ca="1" si="26"/>
        <v>38.046002529990062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45424</v>
      </c>
      <c r="K219">
        <f ca="1"/>
        <v>34.432564120874197</v>
      </c>
      <c r="L219">
        <f ca="1"/>
        <v>2.1211513711980388</v>
      </c>
      <c r="M219">
        <f ca="1"/>
        <v>8.2378361677371004E-3</v>
      </c>
      <c r="N219">
        <f ca="1"/>
        <v>0.87164241439224688</v>
      </c>
      <c r="O219">
        <f ca="1"/>
        <v>0</v>
      </c>
      <c r="P219">
        <f ca="1"/>
        <v>131.20823620527702</v>
      </c>
      <c r="Q219">
        <f ca="1"/>
        <v>121.41021856657126</v>
      </c>
      <c r="R219">
        <f ca="1"/>
        <v>0.22388585881121398</v>
      </c>
      <c r="S219">
        <f ca="1"/>
        <v>1</v>
      </c>
      <c r="T219">
        <f ca="1"/>
        <v>1.1293216066955125</v>
      </c>
      <c r="U219">
        <f ca="1"/>
        <v>0</v>
      </c>
      <c r="V219">
        <f ca="1"/>
        <v>0.99979156520810863</v>
      </c>
      <c r="X219" s="2">
        <f t="shared" ca="1" si="22"/>
        <v>45424</v>
      </c>
      <c r="Y219">
        <f t="shared" ca="1" si="23"/>
        <v>0</v>
      </c>
      <c r="AA219" s="63">
        <f t="shared" ca="1" si="25"/>
        <v>36.777601350883451</v>
      </c>
      <c r="AB219" s="63">
        <f t="shared" ca="1" si="26"/>
        <v>36.777601350883451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45425</v>
      </c>
      <c r="K220">
        <f ca="1"/>
        <v>33.002821128935686</v>
      </c>
      <c r="L220">
        <f ca="1"/>
        <v>2.0548456300070086</v>
      </c>
      <c r="M220">
        <f ca="1"/>
        <v>7.9504974416337859E-3</v>
      </c>
      <c r="N220">
        <f ca="1"/>
        <v>0.84707179449178571</v>
      </c>
      <c r="O220">
        <f ca="1"/>
        <v>0</v>
      </c>
      <c r="P220">
        <f ca="1"/>
        <v>133.26308183528403</v>
      </c>
      <c r="Q220">
        <f ca="1"/>
        <v>123.31161793199983</v>
      </c>
      <c r="R220">
        <f ca="1"/>
        <v>0.22991965386491747</v>
      </c>
      <c r="S220">
        <f ca="1"/>
        <v>1</v>
      </c>
      <c r="T220">
        <f ca="1"/>
        <v>1.2099999999999937</v>
      </c>
      <c r="U220">
        <f ca="1"/>
        <v>0</v>
      </c>
      <c r="V220">
        <f ca="1"/>
        <v>0.99981090037004172</v>
      </c>
      <c r="X220" s="2">
        <f t="shared" ca="1" si="22"/>
        <v>45425</v>
      </c>
      <c r="Y220">
        <f t="shared" ca="1" si="23"/>
        <v>0</v>
      </c>
      <c r="AA220" s="63">
        <f t="shared" ca="1" si="25"/>
        <v>35.287586412807613</v>
      </c>
      <c r="AB220" s="63">
        <f t="shared" ca="1" si="26"/>
        <v>35.287586412807613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45426</v>
      </c>
      <c r="K221">
        <f ca="1"/>
        <v>31.404546482991318</v>
      </c>
      <c r="L221">
        <f ca="1"/>
        <v>2.0259663685526164</v>
      </c>
      <c r="M221">
        <f ca="1"/>
        <v>7.808361133896824E-3</v>
      </c>
      <c r="N221">
        <f ca="1"/>
        <v>0.84118011080830468</v>
      </c>
      <c r="O221">
        <f ca="1"/>
        <v>0</v>
      </c>
      <c r="P221">
        <f ca="1"/>
        <v>135.28904820383664</v>
      </c>
      <c r="Q221">
        <f ca="1"/>
        <v>125.1862946041995</v>
      </c>
      <c r="R221">
        <f ca="1"/>
        <v>0.42129674933394956</v>
      </c>
      <c r="S221">
        <f ca="1"/>
        <v>1</v>
      </c>
      <c r="T221">
        <f ca="1"/>
        <v>2.3300000000000125</v>
      </c>
      <c r="U221">
        <f ca="1"/>
        <v>0</v>
      </c>
      <c r="V221">
        <f ca="1"/>
        <v>0.99982834316382496</v>
      </c>
      <c r="X221" s="2">
        <f t="shared" ca="1" si="22"/>
        <v>45426</v>
      </c>
      <c r="Y221">
        <f t="shared" ca="1" si="23"/>
        <v>0</v>
      </c>
      <c r="AA221" s="63">
        <f t="shared" ca="1" si="25"/>
        <v>33.851809600877885</v>
      </c>
      <c r="AB221" s="63">
        <f t="shared" ca="1" si="26"/>
        <v>33.851809600877885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45427</v>
      </c>
      <c r="K222">
        <f ca="1"/>
        <v>29.842603172050911</v>
      </c>
      <c r="L222">
        <f ca="1"/>
        <v>2.0095139081923321</v>
      </c>
      <c r="M222">
        <f ca="1"/>
        <v>7.7166614900008312E-3</v>
      </c>
      <c r="N222">
        <f ca="1"/>
        <v>0.84191518940718968</v>
      </c>
      <c r="O222">
        <f ca="1"/>
        <v>0</v>
      </c>
      <c r="P222">
        <f ca="1"/>
        <v>137.29856211202897</v>
      </c>
      <c r="Q222">
        <f ca="1"/>
        <v>127.04574740885798</v>
      </c>
      <c r="R222">
        <f ca="1"/>
        <v>0.40206125364526835</v>
      </c>
      <c r="S222">
        <f ca="1"/>
        <v>1</v>
      </c>
      <c r="T222">
        <f ca="1"/>
        <v>2.3400000000000034</v>
      </c>
      <c r="U222">
        <f ca="1"/>
        <v>0</v>
      </c>
      <c r="V222">
        <f ca="1"/>
        <v>0.9998441885077809</v>
      </c>
      <c r="X222" s="2">
        <f t="shared" ca="1" si="22"/>
        <v>45427</v>
      </c>
      <c r="Y222">
        <f t="shared" ca="1" si="23"/>
        <v>0</v>
      </c>
      <c r="AA222" s="63">
        <f t="shared" ca="1" si="25"/>
        <v>32.254178333888511</v>
      </c>
      <c r="AB222" s="63">
        <f t="shared" ca="1" si="26"/>
        <v>32.254178333888511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45428</v>
      </c>
      <c r="K223">
        <f ca="1"/>
        <v>28.375420796833968</v>
      </c>
      <c r="L223">
        <f ca="1"/>
        <v>1.9312606848688745</v>
      </c>
      <c r="M223">
        <f ca="1"/>
        <v>7.4132960678241488E-3</v>
      </c>
      <c r="N223">
        <f ca="1"/>
        <v>0.81281953764618786</v>
      </c>
      <c r="O223">
        <f ca="1"/>
        <v>0</v>
      </c>
      <c r="P223">
        <f ca="1"/>
        <v>139.22982279689785</v>
      </c>
      <c r="Q223">
        <f ca="1"/>
        <v>128.83279057505158</v>
      </c>
      <c r="R223">
        <f ca="1"/>
        <v>0.35615452406208076</v>
      </c>
      <c r="S223">
        <f ca="1"/>
        <v>1</v>
      </c>
      <c r="T223">
        <f ca="1"/>
        <v>2.1800000000000068</v>
      </c>
      <c r="U223">
        <f ca="1"/>
        <v>0</v>
      </c>
      <c r="V223">
        <f ca="1"/>
        <v>0.99985816253468518</v>
      </c>
      <c r="X223" s="2">
        <f t="shared" ca="1" si="22"/>
        <v>45428</v>
      </c>
      <c r="Y223">
        <f t="shared" ca="1" si="23"/>
        <v>0</v>
      </c>
      <c r="AA223" s="63">
        <f t="shared" ca="1" si="25"/>
        <v>30.662836005764923</v>
      </c>
      <c r="AB223" s="63">
        <f t="shared" ca="1" si="26"/>
        <v>30.662836005764923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45429</v>
      </c>
      <c r="K224">
        <f ca="1"/>
        <v>26.976980204378936</v>
      </c>
      <c r="L224">
        <f ca="1"/>
        <v>1.8916212737515536</v>
      </c>
      <c r="M224">
        <f ca="1"/>
        <v>7.2527628661092081E-3</v>
      </c>
      <c r="N224">
        <f ca="1"/>
        <v>0.80278481319456918</v>
      </c>
      <c r="O224">
        <f ca="1"/>
        <v>0</v>
      </c>
      <c r="P224">
        <f ca="1"/>
        <v>141.1214440706494</v>
      </c>
      <c r="Q224">
        <f ca="1"/>
        <v>130.58315441602298</v>
      </c>
      <c r="R224">
        <f ca="1"/>
        <v>0.31685689476415863</v>
      </c>
      <c r="S224">
        <f ca="1"/>
        <v>1</v>
      </c>
      <c r="T224">
        <f ca="1"/>
        <v>2.039999999999992</v>
      </c>
      <c r="U224">
        <f ca="1"/>
        <v>0</v>
      </c>
      <c r="V224">
        <f ca="1"/>
        <v>0.99987075293134087</v>
      </c>
      <c r="X224" s="2">
        <f t="shared" ca="1" si="22"/>
        <v>45429</v>
      </c>
      <c r="Y224">
        <f t="shared" ca="1" si="23"/>
        <v>0</v>
      </c>
      <c r="AA224" s="63">
        <f t="shared" ca="1" si="25"/>
        <v>29.185458372894647</v>
      </c>
      <c r="AB224" s="63">
        <f t="shared" ca="1" si="26"/>
        <v>29.185458372894647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45430</v>
      </c>
      <c r="K225">
        <f ca="1"/>
        <v>25.880700622902864</v>
      </c>
      <c r="L225">
        <f ca="1"/>
        <v>1.9411961506107502</v>
      </c>
      <c r="M225">
        <f ca="1"/>
        <v>7.4059314932526377E-3</v>
      </c>
      <c r="N225">
        <f ca="1"/>
        <v>0.83751063764142664</v>
      </c>
      <c r="O225">
        <f ca="1"/>
        <v>0</v>
      </c>
      <c r="P225">
        <f ca="1"/>
        <v>143.06264022126015</v>
      </c>
      <c r="Q225">
        <f ca="1"/>
        <v>132.37939111382838</v>
      </c>
      <c r="R225">
        <f ca="1"/>
        <v>0</v>
      </c>
      <c r="S225">
        <f ca="1"/>
        <v>0.99439393939393927</v>
      </c>
      <c r="T225">
        <f ca="1"/>
        <v>0</v>
      </c>
      <c r="U225">
        <f ca="1"/>
        <v>0</v>
      </c>
      <c r="V225">
        <f ca="1"/>
        <v>0.99988263315011572</v>
      </c>
      <c r="X225" s="2">
        <f t="shared" ca="1" si="22"/>
        <v>45430</v>
      </c>
      <c r="Y225">
        <f t="shared" ca="1" si="23"/>
        <v>0</v>
      </c>
      <c r="AA225" s="63">
        <f t="shared" ca="1" si="25"/>
        <v>27.821896773513615</v>
      </c>
      <c r="AB225" s="63">
        <f t="shared" ca="1" si="26"/>
        <v>27.821896773513615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45431</v>
      </c>
      <c r="K226">
        <f ca="1"/>
        <v>24.335168410761256</v>
      </c>
      <c r="L226">
        <f ca="1"/>
        <v>1.9116928121976855</v>
      </c>
      <c r="M226">
        <f ca="1"/>
        <v>7.2879365526006268E-3</v>
      </c>
      <c r="N226">
        <f ca="1"/>
        <v>0.83385102738830996</v>
      </c>
      <c r="O226">
        <f ca="1"/>
        <v>0</v>
      </c>
      <c r="P226">
        <f ca="1"/>
        <v>144.97433303345784</v>
      </c>
      <c r="Q226">
        <f ca="1"/>
        <v>134.14832764459572</v>
      </c>
      <c r="R226">
        <f ca="1"/>
        <v>0.47497836388483211</v>
      </c>
      <c r="S226">
        <f ca="1"/>
        <v>1</v>
      </c>
      <c r="T226">
        <f ca="1"/>
        <v>3.3900008726439523</v>
      </c>
      <c r="U226">
        <f ca="1"/>
        <v>0</v>
      </c>
      <c r="V226">
        <f ca="1"/>
        <v>0.99989338300404562</v>
      </c>
      <c r="X226" s="2">
        <f t="shared" ca="1" si="22"/>
        <v>45431</v>
      </c>
      <c r="Y226">
        <f t="shared" ca="1" si="23"/>
        <v>0</v>
      </c>
      <c r="AA226" s="63">
        <f t="shared" ca="1" si="25"/>
        <v>26.721839586843775</v>
      </c>
      <c r="AB226" s="63">
        <f t="shared" ca="1" si="26"/>
        <v>26.721839586843775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45432</v>
      </c>
      <c r="K227">
        <f ca="1"/>
        <v>22.788146676706109</v>
      </c>
      <c r="L227">
        <f ca="1"/>
        <v>1.9293692665417552</v>
      </c>
      <c r="M227">
        <f ca="1"/>
        <v>7.3417912322710777E-3</v>
      </c>
      <c r="N227">
        <f ca="1"/>
        <v>0.85521414122347095</v>
      </c>
      <c r="O227">
        <f ca="1"/>
        <v>0</v>
      </c>
      <c r="P227">
        <f ca="1"/>
        <v>146.90370229999959</v>
      </c>
      <c r="Q227">
        <f ca="1"/>
        <v>135.9336206347399</v>
      </c>
      <c r="R227">
        <f ca="1"/>
        <v>0.48020839996913367</v>
      </c>
      <c r="S227">
        <f ca="1"/>
        <v>1</v>
      </c>
      <c r="T227">
        <f ca="1"/>
        <v>3.6599999999999966</v>
      </c>
      <c r="U227">
        <f ca="1"/>
        <v>0</v>
      </c>
      <c r="V227">
        <f ca="1"/>
        <v>0.9999033508554368</v>
      </c>
      <c r="X227" s="2">
        <f t="shared" ca="1" si="22"/>
        <v>45432</v>
      </c>
      <c r="Y227">
        <f t="shared" ca="1" si="23"/>
        <v>0</v>
      </c>
      <c r="AA227" s="63">
        <f t="shared" ca="1" si="25"/>
        <v>25.197724343216997</v>
      </c>
      <c r="AB227" s="63">
        <f t="shared" ca="1" si="26"/>
        <v>25.197724343216997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45433</v>
      </c>
      <c r="K228">
        <f ca="1"/>
        <v>21.371397852932379</v>
      </c>
      <c r="L228">
        <f ca="1"/>
        <v>1.83041073366158</v>
      </c>
      <c r="M228">
        <f ca="1"/>
        <v>6.9878540276206991E-3</v>
      </c>
      <c r="N228">
        <f ca="1"/>
        <v>0.81642203833145066</v>
      </c>
      <c r="O228">
        <f ca="1"/>
        <v>0</v>
      </c>
      <c r="P228">
        <f ca="1"/>
        <v>148.73411303366117</v>
      </c>
      <c r="Q228">
        <f ca="1"/>
        <v>137.62734485257607</v>
      </c>
      <c r="R228">
        <f ca="1"/>
        <v>0.40974798247122135</v>
      </c>
      <c r="S228">
        <f ca="1"/>
        <v>1</v>
      </c>
      <c r="T228">
        <f ca="1"/>
        <v>3.3299999999999983</v>
      </c>
      <c r="U228">
        <f ca="1"/>
        <v>0</v>
      </c>
      <c r="V228">
        <f ca="1"/>
        <v>0.99991205109022563</v>
      </c>
      <c r="X228" s="2">
        <f t="shared" ca="1" si="22"/>
        <v>45433</v>
      </c>
      <c r="Y228">
        <f t="shared" ca="1" si="23"/>
        <v>0</v>
      </c>
      <c r="AA228" s="63">
        <f t="shared" ca="1" si="25"/>
        <v>23.611556569065179</v>
      </c>
      <c r="AB228" s="63">
        <f t="shared" ca="1" si="26"/>
        <v>23.611556569065179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45434</v>
      </c>
      <c r="K229">
        <f ca="1"/>
        <v>19.683323351170479</v>
      </c>
      <c r="L229">
        <f ca="1"/>
        <v>1.7733146937863467</v>
      </c>
      <c r="M229">
        <f ca="1"/>
        <v>6.7880672662425923E-3</v>
      </c>
      <c r="N229">
        <f ca="1"/>
        <v>0.79921963801742824</v>
      </c>
      <c r="O229">
        <f ca="1"/>
        <v>0</v>
      </c>
      <c r="P229">
        <f ca="1"/>
        <v>150.50742772744752</v>
      </c>
      <c r="Q229">
        <f ca="1"/>
        <v>139.26823669585241</v>
      </c>
      <c r="R229">
        <f ca="1"/>
        <v>0.7207675132592245</v>
      </c>
      <c r="S229">
        <f ca="1"/>
        <v>1</v>
      </c>
      <c r="T229">
        <f ca="1"/>
        <v>6.3599999999999994</v>
      </c>
      <c r="U229">
        <f ca="1"/>
        <v>0</v>
      </c>
      <c r="V229">
        <f ca="1"/>
        <v>0.99991982945270241</v>
      </c>
      <c r="X229" s="2">
        <f t="shared" ca="1" si="22"/>
        <v>45434</v>
      </c>
      <c r="Y229">
        <f t="shared" ca="1" si="23"/>
        <v>0</v>
      </c>
      <c r="AA229" s="63">
        <f t="shared" ca="1" si="25"/>
        <v>22.177405558216051</v>
      </c>
      <c r="AB229" s="63">
        <f t="shared" ca="1" si="26"/>
        <v>22.177405558216051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45435</v>
      </c>
      <c r="K230">
        <f ca="1"/>
        <v>18.339994770230827</v>
      </c>
      <c r="L230">
        <f ca="1"/>
        <v>1.7398215988161496</v>
      </c>
      <c r="M230">
        <f ca="1"/>
        <v>6.6728178201387323E-3</v>
      </c>
      <c r="N230">
        <f ca="1"/>
        <v>0.79424487261081123</v>
      </c>
      <c r="O230">
        <f ca="1"/>
        <v>0</v>
      </c>
      <c r="P230">
        <f ca="1"/>
        <v>152.24724932626367</v>
      </c>
      <c r="Q230">
        <f ca="1"/>
        <v>140.87813655189981</v>
      </c>
      <c r="R230">
        <f ca="1"/>
        <v>0.40442467255445352</v>
      </c>
      <c r="S230">
        <f ca="1"/>
        <v>1</v>
      </c>
      <c r="T230">
        <f ca="1"/>
        <v>3.8299999999999983</v>
      </c>
      <c r="U230">
        <f ca="1"/>
        <v>0</v>
      </c>
      <c r="V230">
        <f ca="1"/>
        <v>0.99992688300150445</v>
      </c>
      <c r="X230" s="2">
        <f t="shared" ca="1" si="22"/>
        <v>45435</v>
      </c>
      <c r="Y230">
        <f t="shared" ca="1" si="23"/>
        <v>0</v>
      </c>
      <c r="AA230" s="63">
        <f t="shared" ca="1" si="25"/>
        <v>20.484241041601429</v>
      </c>
      <c r="AB230" s="63">
        <f t="shared" ca="1" si="26"/>
        <v>20.484241041601429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45436</v>
      </c>
      <c r="K231">
        <f ca="1"/>
        <v>16.97144008474114</v>
      </c>
      <c r="L231">
        <f ca="1"/>
        <v>1.7527506737363296</v>
      </c>
      <c r="M231">
        <f ca="1"/>
        <v>6.7197836191610349E-3</v>
      </c>
      <c r="N231">
        <f ca="1"/>
        <v>0.81425935808113803</v>
      </c>
      <c r="O231">
        <f ca="1"/>
        <v>0</v>
      </c>
      <c r="P231">
        <f ca="1"/>
        <v>154</v>
      </c>
      <c r="Q231">
        <f ca="1"/>
        <v>142.50000000000003</v>
      </c>
      <c r="R231">
        <f ca="1"/>
        <v>0.43678315345365593</v>
      </c>
      <c r="S231">
        <f ca="1"/>
        <v>1</v>
      </c>
      <c r="T231">
        <f ca="1"/>
        <v>4.4699999999999989</v>
      </c>
      <c r="U231">
        <f ca="1"/>
        <v>0</v>
      </c>
      <c r="V231">
        <f ca="1"/>
        <v>0.99993345063478134</v>
      </c>
      <c r="X231" s="2">
        <f t="shared" ca="1" si="22"/>
        <v>45436</v>
      </c>
      <c r="Y231">
        <f t="shared" ca="1" si="23"/>
        <v>0</v>
      </c>
      <c r="AA231" s="63">
        <f t="shared" ca="1" si="25"/>
        <v>19.160973911931126</v>
      </c>
      <c r="AB231" s="63">
        <f t="shared" ca="1" si="26"/>
        <v>19.160973911931126</v>
      </c>
      <c r="AC231" s="3">
        <f t="shared" ca="1" si="27"/>
        <v>0</v>
      </c>
    </row>
    <row r="232" spans="8:29">
      <c r="H232" t="e">
        <f t="shared" ca="1" si="24"/>
        <v>#N/A</v>
      </c>
      <c r="I232" t="e">
        <f t="shared" ca="1" si="21"/>
        <v>#N/A</v>
      </c>
      <c r="J232" s="2" t="e">
        <f ca="1"/>
        <v>#N/A</v>
      </c>
      <c r="K232" t="e">
        <f ca="1"/>
        <v>#N/A</v>
      </c>
      <c r="L232" t="e">
        <f ca="1"/>
        <v>#N/A</v>
      </c>
      <c r="M232" t="e">
        <f ca="1"/>
        <v>#N/A</v>
      </c>
      <c r="N232" t="e">
        <f ca="1"/>
        <v>#N/A</v>
      </c>
      <c r="O232" t="e">
        <f ca="1"/>
        <v>#N/A</v>
      </c>
      <c r="P232" t="e">
        <f ca="1"/>
        <v>#N/A</v>
      </c>
      <c r="Q232" t="e">
        <f ca="1"/>
        <v>#N/A</v>
      </c>
      <c r="R232" t="e">
        <f ca="1"/>
        <v>#N/A</v>
      </c>
      <c r="S232" t="e">
        <f ca="1"/>
        <v>#N/A</v>
      </c>
      <c r="T232" t="e">
        <f ca="1"/>
        <v>#N/A</v>
      </c>
      <c r="U232" t="e">
        <f ca="1"/>
        <v>#N/A</v>
      </c>
      <c r="V232" t="e">
        <f ca="1"/>
        <v>#N/A</v>
      </c>
      <c r="X232" s="2">
        <f t="shared" ca="1" si="22"/>
        <v>0</v>
      </c>
      <c r="Y232">
        <f t="shared" ca="1" si="23"/>
        <v>0</v>
      </c>
      <c r="AA232" s="63" t="e">
        <f t="shared" ca="1" si="25"/>
        <v>#N/A</v>
      </c>
      <c r="AB232" s="63" t="e">
        <f t="shared" ca="1" si="26"/>
        <v>#N/A</v>
      </c>
      <c r="AC232" s="3" t="e">
        <f t="shared" ca="1" si="27"/>
        <v>#N/A</v>
      </c>
    </row>
    <row r="233" spans="8:29">
      <c r="H233" t="e">
        <f t="shared" ca="1" si="24"/>
        <v>#N/A</v>
      </c>
      <c r="I233" t="e">
        <f t="shared" ca="1" si="21"/>
        <v>#N/A</v>
      </c>
      <c r="J233" s="2" t="e">
        <f ca="1"/>
        <v>#N/A</v>
      </c>
      <c r="K233" t="e">
        <f ca="1"/>
        <v>#N/A</v>
      </c>
      <c r="L233" t="e">
        <f ca="1"/>
        <v>#N/A</v>
      </c>
      <c r="M233" t="e">
        <f ca="1"/>
        <v>#N/A</v>
      </c>
      <c r="N233" t="e">
        <f ca="1"/>
        <v>#N/A</v>
      </c>
      <c r="O233" t="e">
        <f ca="1"/>
        <v>#N/A</v>
      </c>
      <c r="P233" t="e">
        <f ca="1"/>
        <v>#N/A</v>
      </c>
      <c r="Q233" t="e">
        <f ca="1"/>
        <v>#N/A</v>
      </c>
      <c r="R233" t="e">
        <f ca="1"/>
        <v>#N/A</v>
      </c>
      <c r="S233" t="e">
        <f ca="1"/>
        <v>#N/A</v>
      </c>
      <c r="T233" t="e">
        <f ca="1"/>
        <v>#N/A</v>
      </c>
      <c r="U233" t="e">
        <f ca="1"/>
        <v>#N/A</v>
      </c>
      <c r="V233" t="e">
        <f ca="1"/>
        <v>#N/A</v>
      </c>
      <c r="X233" s="2">
        <f t="shared" ca="1" si="22"/>
        <v>0</v>
      </c>
      <c r="Y233">
        <f t="shared" ca="1" si="23"/>
        <v>0</v>
      </c>
      <c r="AA233" s="63" t="e">
        <f t="shared" ca="1" si="25"/>
        <v>#N/A</v>
      </c>
      <c r="AB233" s="63" t="e">
        <f t="shared" ca="1" si="26"/>
        <v>#N/A</v>
      </c>
      <c r="AC233" s="3" t="e">
        <f t="shared" ca="1" si="27"/>
        <v>#N/A</v>
      </c>
    </row>
    <row r="234" spans="8:29">
      <c r="H234" t="e">
        <f t="shared" ca="1" si="24"/>
        <v>#N/A</v>
      </c>
      <c r="I234" t="e">
        <f t="shared" ca="1" si="21"/>
        <v>#N/A</v>
      </c>
      <c r="J234" s="2" t="e">
        <f ca="1"/>
        <v>#N/A</v>
      </c>
      <c r="K234" t="e">
        <f ca="1"/>
        <v>#N/A</v>
      </c>
      <c r="L234" t="e">
        <f ca="1"/>
        <v>#N/A</v>
      </c>
      <c r="M234" t="e">
        <f ca="1"/>
        <v>#N/A</v>
      </c>
      <c r="N234" t="e">
        <f ca="1"/>
        <v>#N/A</v>
      </c>
      <c r="O234" t="e">
        <f ca="1"/>
        <v>#N/A</v>
      </c>
      <c r="P234" t="e">
        <f ca="1"/>
        <v>#N/A</v>
      </c>
      <c r="Q234" t="e">
        <f ca="1"/>
        <v>#N/A</v>
      </c>
      <c r="R234" t="e">
        <f ca="1"/>
        <v>#N/A</v>
      </c>
      <c r="S234" t="e">
        <f ca="1"/>
        <v>#N/A</v>
      </c>
      <c r="T234" t="e">
        <f ca="1"/>
        <v>#N/A</v>
      </c>
      <c r="U234" t="e">
        <f ca="1"/>
        <v>#N/A</v>
      </c>
      <c r="V234" t="e">
        <f ca="1"/>
        <v>#N/A</v>
      </c>
      <c r="X234" s="2">
        <f t="shared" ca="1" si="22"/>
        <v>0</v>
      </c>
      <c r="Y234">
        <f t="shared" ca="1" si="23"/>
        <v>0</v>
      </c>
      <c r="AA234" s="63" t="e">
        <f t="shared" ca="1" si="25"/>
        <v>#N/A</v>
      </c>
      <c r="AB234" s="63" t="e">
        <f t="shared" ca="1" si="26"/>
        <v>#N/A</v>
      </c>
      <c r="AC234" s="3" t="e">
        <f t="shared" ca="1" si="27"/>
        <v>#N/A</v>
      </c>
    </row>
    <row r="235" spans="8:29">
      <c r="H235" t="e">
        <f t="shared" ca="1" si="24"/>
        <v>#N/A</v>
      </c>
      <c r="I235" t="e">
        <f t="shared" ca="1" si="21"/>
        <v>#N/A</v>
      </c>
      <c r="J235" s="2" t="e">
        <f ca="1"/>
        <v>#N/A</v>
      </c>
      <c r="K235" t="e">
        <f ca="1"/>
        <v>#N/A</v>
      </c>
      <c r="L235" t="e">
        <f ca="1"/>
        <v>#N/A</v>
      </c>
      <c r="M235" t="e">
        <f ca="1"/>
        <v>#N/A</v>
      </c>
      <c r="N235" t="e">
        <f ca="1"/>
        <v>#N/A</v>
      </c>
      <c r="O235" t="e">
        <f ca="1"/>
        <v>#N/A</v>
      </c>
      <c r="P235" t="e">
        <f ca="1"/>
        <v>#N/A</v>
      </c>
      <c r="Q235" t="e">
        <f ca="1"/>
        <v>#N/A</v>
      </c>
      <c r="R235" t="e">
        <f ca="1"/>
        <v>#N/A</v>
      </c>
      <c r="S235" t="e">
        <f ca="1"/>
        <v>#N/A</v>
      </c>
      <c r="T235" t="e">
        <f ca="1"/>
        <v>#N/A</v>
      </c>
      <c r="U235" t="e">
        <f ca="1"/>
        <v>#N/A</v>
      </c>
      <c r="V235" t="e">
        <f ca="1"/>
        <v>#N/A</v>
      </c>
      <c r="X235" s="2">
        <f t="shared" ca="1" si="22"/>
        <v>0</v>
      </c>
      <c r="Y235">
        <f t="shared" ca="1" si="23"/>
        <v>0</v>
      </c>
      <c r="AA235" s="63" t="e">
        <f t="shared" ca="1" si="25"/>
        <v>#N/A</v>
      </c>
      <c r="AB235" s="63" t="e">
        <f t="shared" ca="1" si="26"/>
        <v>#N/A</v>
      </c>
      <c r="AC235" s="3" t="e">
        <f t="shared" ca="1" si="27"/>
        <v>#N/A</v>
      </c>
    </row>
    <row r="236" spans="8:29">
      <c r="H236" t="e">
        <f t="shared" ca="1" si="24"/>
        <v>#N/A</v>
      </c>
      <c r="I236" t="e">
        <f t="shared" ca="1" si="21"/>
        <v>#N/A</v>
      </c>
      <c r="J236" s="2" t="e">
        <f ca="1"/>
        <v>#N/A</v>
      </c>
      <c r="K236" t="e">
        <f ca="1"/>
        <v>#N/A</v>
      </c>
      <c r="L236" t="e">
        <f ca="1"/>
        <v>#N/A</v>
      </c>
      <c r="M236" t="e">
        <f ca="1"/>
        <v>#N/A</v>
      </c>
      <c r="N236" t="e">
        <f ca="1"/>
        <v>#N/A</v>
      </c>
      <c r="O236" t="e">
        <f ca="1"/>
        <v>#N/A</v>
      </c>
      <c r="P236" t="e">
        <f ca="1"/>
        <v>#N/A</v>
      </c>
      <c r="Q236" t="e">
        <f ca="1"/>
        <v>#N/A</v>
      </c>
      <c r="R236" t="e">
        <f ca="1"/>
        <v>#N/A</v>
      </c>
      <c r="S236" t="e">
        <f ca="1"/>
        <v>#N/A</v>
      </c>
      <c r="T236" t="e">
        <f ca="1"/>
        <v>#N/A</v>
      </c>
      <c r="U236" t="e">
        <f ca="1"/>
        <v>#N/A</v>
      </c>
      <c r="V236" t="e">
        <f ca="1"/>
        <v>#N/A</v>
      </c>
      <c r="X236" s="2">
        <f t="shared" ca="1" si="22"/>
        <v>0</v>
      </c>
      <c r="Y236">
        <f t="shared" ca="1" si="23"/>
        <v>0</v>
      </c>
      <c r="AA236" s="63" t="e">
        <f t="shared" ca="1" si="25"/>
        <v>#N/A</v>
      </c>
      <c r="AB236" s="63" t="e">
        <f t="shared" ca="1" si="26"/>
        <v>#N/A</v>
      </c>
      <c r="AC236" s="3" t="e">
        <f t="shared" ca="1" si="27"/>
        <v>#N/A</v>
      </c>
    </row>
    <row r="237" spans="8:29">
      <c r="H237" t="e">
        <f t="shared" ca="1" si="24"/>
        <v>#N/A</v>
      </c>
      <c r="I237" t="e">
        <f t="shared" ca="1" si="21"/>
        <v>#N/A</v>
      </c>
      <c r="J237" s="2" t="e">
        <f ca="1"/>
        <v>#N/A</v>
      </c>
      <c r="K237" t="e">
        <f ca="1"/>
        <v>#N/A</v>
      </c>
      <c r="L237" t="e">
        <f ca="1"/>
        <v>#N/A</v>
      </c>
      <c r="M237" t="e">
        <f ca="1"/>
        <v>#N/A</v>
      </c>
      <c r="N237" t="e">
        <f ca="1"/>
        <v>#N/A</v>
      </c>
      <c r="O237" t="e">
        <f ca="1"/>
        <v>#N/A</v>
      </c>
      <c r="P237" t="e">
        <f ca="1"/>
        <v>#N/A</v>
      </c>
      <c r="Q237" t="e">
        <f ca="1"/>
        <v>#N/A</v>
      </c>
      <c r="R237" t="e">
        <f ca="1"/>
        <v>#N/A</v>
      </c>
      <c r="S237" t="e">
        <f ca="1"/>
        <v>#N/A</v>
      </c>
      <c r="T237" t="e">
        <f ca="1"/>
        <v>#N/A</v>
      </c>
      <c r="U237" t="e">
        <f ca="1"/>
        <v>#N/A</v>
      </c>
      <c r="V237" t="e">
        <f ca="1"/>
        <v>#N/A</v>
      </c>
      <c r="X237" s="2">
        <f t="shared" ca="1" si="22"/>
        <v>0</v>
      </c>
      <c r="Y237">
        <f t="shared" ca="1" si="23"/>
        <v>0</v>
      </c>
      <c r="AA237" s="63" t="e">
        <f t="shared" ca="1" si="25"/>
        <v>#N/A</v>
      </c>
      <c r="AB237" s="63" t="e">
        <f t="shared" ca="1" si="26"/>
        <v>#N/A</v>
      </c>
      <c r="AC237" s="3" t="e">
        <f t="shared" ca="1" si="27"/>
        <v>#N/A</v>
      </c>
    </row>
    <row r="238" spans="8:29">
      <c r="H238" t="e">
        <f t="shared" ca="1" si="24"/>
        <v>#N/A</v>
      </c>
      <c r="I238" t="e">
        <f t="shared" ca="1" si="21"/>
        <v>#N/A</v>
      </c>
      <c r="J238" s="2" t="e">
        <f ca="1"/>
        <v>#N/A</v>
      </c>
      <c r="K238" t="e">
        <f ca="1"/>
        <v>#N/A</v>
      </c>
      <c r="L238" t="e">
        <f ca="1"/>
        <v>#N/A</v>
      </c>
      <c r="M238" t="e">
        <f ca="1"/>
        <v>#N/A</v>
      </c>
      <c r="N238" t="e">
        <f ca="1"/>
        <v>#N/A</v>
      </c>
      <c r="O238" t="e">
        <f ca="1"/>
        <v>#N/A</v>
      </c>
      <c r="P238" t="e">
        <f ca="1"/>
        <v>#N/A</v>
      </c>
      <c r="Q238" t="e">
        <f ca="1"/>
        <v>#N/A</v>
      </c>
      <c r="R238" t="e">
        <f ca="1"/>
        <v>#N/A</v>
      </c>
      <c r="S238" t="e">
        <f ca="1"/>
        <v>#N/A</v>
      </c>
      <c r="T238" t="e">
        <f ca="1"/>
        <v>#N/A</v>
      </c>
      <c r="U238" t="e">
        <f ca="1"/>
        <v>#N/A</v>
      </c>
      <c r="V238" t="e">
        <f ca="1"/>
        <v>#N/A</v>
      </c>
      <c r="X238" s="2">
        <f t="shared" ca="1" si="22"/>
        <v>0</v>
      </c>
      <c r="Y238">
        <f t="shared" ca="1" si="23"/>
        <v>0</v>
      </c>
      <c r="AA238" s="63" t="e">
        <f t="shared" ca="1" si="25"/>
        <v>#N/A</v>
      </c>
      <c r="AB238" s="63" t="e">
        <f t="shared" ca="1" si="26"/>
        <v>#N/A</v>
      </c>
      <c r="AC238" s="3" t="e">
        <f t="shared" ca="1" si="27"/>
        <v>#N/A</v>
      </c>
    </row>
    <row r="239" spans="8:29">
      <c r="H239" t="e">
        <f t="shared" ca="1" si="24"/>
        <v>#N/A</v>
      </c>
      <c r="I239" t="e">
        <f t="shared" ca="1" si="21"/>
        <v>#N/A</v>
      </c>
      <c r="J239" s="2" t="e">
        <f ca="1"/>
        <v>#N/A</v>
      </c>
      <c r="K239" t="e">
        <f ca="1"/>
        <v>#N/A</v>
      </c>
      <c r="L239" t="e">
        <f ca="1"/>
        <v>#N/A</v>
      </c>
      <c r="M239" t="e">
        <f ca="1"/>
        <v>#N/A</v>
      </c>
      <c r="N239" t="e">
        <f ca="1"/>
        <v>#N/A</v>
      </c>
      <c r="O239" t="e">
        <f ca="1"/>
        <v>#N/A</v>
      </c>
      <c r="P239" t="e">
        <f ca="1"/>
        <v>#N/A</v>
      </c>
      <c r="Q239" t="e">
        <f ca="1"/>
        <v>#N/A</v>
      </c>
      <c r="R239" t="e">
        <f ca="1"/>
        <v>#N/A</v>
      </c>
      <c r="S239" t="e">
        <f ca="1"/>
        <v>#N/A</v>
      </c>
      <c r="T239" t="e">
        <f ca="1"/>
        <v>#N/A</v>
      </c>
      <c r="U239" t="e">
        <f ca="1"/>
        <v>#N/A</v>
      </c>
      <c r="V239" t="e">
        <f ca="1"/>
        <v>#N/A</v>
      </c>
      <c r="X239" s="2">
        <f t="shared" ca="1" si="22"/>
        <v>0</v>
      </c>
      <c r="Y239">
        <f t="shared" ca="1" si="23"/>
        <v>0</v>
      </c>
      <c r="AA239" s="63" t="e">
        <f t="shared" ca="1" si="25"/>
        <v>#N/A</v>
      </c>
      <c r="AB239" s="63" t="e">
        <f t="shared" ca="1" si="26"/>
        <v>#N/A</v>
      </c>
      <c r="AC239" s="3" t="e">
        <f t="shared" ca="1" si="27"/>
        <v>#N/A</v>
      </c>
    </row>
    <row r="240" spans="8:29">
      <c r="H240" t="e">
        <f t="shared" ca="1" si="24"/>
        <v>#N/A</v>
      </c>
      <c r="I240" t="e">
        <f t="shared" ca="1" si="21"/>
        <v>#N/A</v>
      </c>
      <c r="J240" s="2" t="e">
        <f ca="1"/>
        <v>#N/A</v>
      </c>
      <c r="K240" t="e">
        <f ca="1"/>
        <v>#N/A</v>
      </c>
      <c r="L240" t="e">
        <f ca="1"/>
        <v>#N/A</v>
      </c>
      <c r="M240" t="e">
        <f ca="1"/>
        <v>#N/A</v>
      </c>
      <c r="N240" t="e">
        <f ca="1"/>
        <v>#N/A</v>
      </c>
      <c r="O240" t="e">
        <f ca="1"/>
        <v>#N/A</v>
      </c>
      <c r="P240" t="e">
        <f ca="1"/>
        <v>#N/A</v>
      </c>
      <c r="Q240" t="e">
        <f ca="1"/>
        <v>#N/A</v>
      </c>
      <c r="R240" t="e">
        <f ca="1"/>
        <v>#N/A</v>
      </c>
      <c r="S240" t="e">
        <f ca="1"/>
        <v>#N/A</v>
      </c>
      <c r="T240" t="e">
        <f ca="1"/>
        <v>#N/A</v>
      </c>
      <c r="U240" t="e">
        <f ca="1"/>
        <v>#N/A</v>
      </c>
      <c r="V240" t="e">
        <f ca="1"/>
        <v>#N/A</v>
      </c>
      <c r="X240" s="2">
        <f t="shared" ca="1" si="22"/>
        <v>0</v>
      </c>
      <c r="Y240">
        <f t="shared" ca="1" si="23"/>
        <v>0</v>
      </c>
      <c r="AA240" s="63" t="e">
        <f t="shared" ca="1" si="25"/>
        <v>#N/A</v>
      </c>
      <c r="AB240" s="63" t="e">
        <f t="shared" ca="1" si="26"/>
        <v>#N/A</v>
      </c>
      <c r="AC240" s="3" t="e">
        <f t="shared" ca="1" si="27"/>
        <v>#N/A</v>
      </c>
    </row>
    <row r="241" spans="8:29">
      <c r="H241" t="e">
        <f t="shared" ca="1" si="24"/>
        <v>#N/A</v>
      </c>
      <c r="I241" t="e">
        <f t="shared" ca="1" si="21"/>
        <v>#N/A</v>
      </c>
      <c r="J241" s="2" t="e">
        <f ca="1"/>
        <v>#N/A</v>
      </c>
      <c r="K241" t="e">
        <f ca="1"/>
        <v>#N/A</v>
      </c>
      <c r="L241" t="e">
        <f ca="1"/>
        <v>#N/A</v>
      </c>
      <c r="M241" t="e">
        <f ca="1"/>
        <v>#N/A</v>
      </c>
      <c r="N241" t="e">
        <f ca="1"/>
        <v>#N/A</v>
      </c>
      <c r="O241" t="e">
        <f ca="1"/>
        <v>#N/A</v>
      </c>
      <c r="P241" t="e">
        <f ca="1"/>
        <v>#N/A</v>
      </c>
      <c r="Q241" t="e">
        <f ca="1"/>
        <v>#N/A</v>
      </c>
      <c r="R241" t="e">
        <f ca="1"/>
        <v>#N/A</v>
      </c>
      <c r="S241" t="e">
        <f ca="1"/>
        <v>#N/A</v>
      </c>
      <c r="T241" t="e">
        <f ca="1"/>
        <v>#N/A</v>
      </c>
      <c r="U241" t="e">
        <f ca="1"/>
        <v>#N/A</v>
      </c>
      <c r="V241" t="e">
        <f ca="1"/>
        <v>#N/A</v>
      </c>
      <c r="X241" s="2">
        <f t="shared" ca="1" si="22"/>
        <v>0</v>
      </c>
      <c r="Y241">
        <f t="shared" ca="1" si="23"/>
        <v>0</v>
      </c>
      <c r="AA241" s="63" t="e">
        <f t="shared" ca="1" si="25"/>
        <v>#N/A</v>
      </c>
      <c r="AB241" s="63" t="e">
        <f t="shared" ca="1" si="26"/>
        <v>#N/A</v>
      </c>
      <c r="AC241" s="3" t="e">
        <f t="shared" ca="1" si="27"/>
        <v>#N/A</v>
      </c>
    </row>
    <row r="242" spans="8:29">
      <c r="H242" t="e">
        <f t="shared" ca="1" si="24"/>
        <v>#N/A</v>
      </c>
      <c r="I242" t="e">
        <f t="shared" ca="1" si="21"/>
        <v>#N/A</v>
      </c>
      <c r="J242" s="2" t="e">
        <f ca="1"/>
        <v>#N/A</v>
      </c>
      <c r="K242" t="e">
        <f ca="1"/>
        <v>#N/A</v>
      </c>
      <c r="L242" t="e">
        <f ca="1"/>
        <v>#N/A</v>
      </c>
      <c r="M242" t="e">
        <f ca="1"/>
        <v>#N/A</v>
      </c>
      <c r="N242" t="e">
        <f ca="1"/>
        <v>#N/A</v>
      </c>
      <c r="O242" t="e">
        <f ca="1"/>
        <v>#N/A</v>
      </c>
      <c r="P242" t="e">
        <f ca="1"/>
        <v>#N/A</v>
      </c>
      <c r="Q242" t="e">
        <f ca="1"/>
        <v>#N/A</v>
      </c>
      <c r="R242" t="e">
        <f ca="1"/>
        <v>#N/A</v>
      </c>
      <c r="S242" t="e">
        <f ca="1"/>
        <v>#N/A</v>
      </c>
      <c r="T242" t="e">
        <f ca="1"/>
        <v>#N/A</v>
      </c>
      <c r="U242" t="e">
        <f ca="1"/>
        <v>#N/A</v>
      </c>
      <c r="V242" t="e">
        <f ca="1"/>
        <v>#N/A</v>
      </c>
      <c r="X242" s="2">
        <f t="shared" ca="1" si="22"/>
        <v>0</v>
      </c>
      <c r="Y242">
        <f t="shared" ca="1" si="23"/>
        <v>0</v>
      </c>
      <c r="AA242" s="63" t="e">
        <f t="shared" ca="1" si="25"/>
        <v>#N/A</v>
      </c>
      <c r="AB242" s="63" t="e">
        <f t="shared" ca="1" si="26"/>
        <v>#N/A</v>
      </c>
      <c r="AC242" s="3" t="e">
        <f t="shared" ca="1" si="27"/>
        <v>#N/A</v>
      </c>
    </row>
    <row r="243" spans="8:29">
      <c r="H243" t="e">
        <f t="shared" ca="1" si="24"/>
        <v>#N/A</v>
      </c>
      <c r="I243" t="e">
        <f t="shared" ca="1" si="21"/>
        <v>#N/A</v>
      </c>
      <c r="J243" s="2" t="e">
        <f ca="1"/>
        <v>#N/A</v>
      </c>
      <c r="K243" t="e">
        <f ca="1"/>
        <v>#N/A</v>
      </c>
      <c r="L243" t="e">
        <f ca="1"/>
        <v>#N/A</v>
      </c>
      <c r="M243" t="e">
        <f ca="1"/>
        <v>#N/A</v>
      </c>
      <c r="N243" t="e">
        <f ca="1"/>
        <v>#N/A</v>
      </c>
      <c r="O243" t="e">
        <f ca="1"/>
        <v>#N/A</v>
      </c>
      <c r="P243" t="e">
        <f ca="1"/>
        <v>#N/A</v>
      </c>
      <c r="Q243" t="e">
        <f ca="1"/>
        <v>#N/A</v>
      </c>
      <c r="R243" t="e">
        <f ca="1"/>
        <v>#N/A</v>
      </c>
      <c r="S243" t="e">
        <f ca="1"/>
        <v>#N/A</v>
      </c>
      <c r="T243" t="e">
        <f ca="1"/>
        <v>#N/A</v>
      </c>
      <c r="U243" t="e">
        <f ca="1"/>
        <v>#N/A</v>
      </c>
      <c r="V243" t="e">
        <f ca="1"/>
        <v>#N/A</v>
      </c>
      <c r="X243" s="2">
        <f t="shared" ca="1" si="22"/>
        <v>0</v>
      </c>
      <c r="Y243">
        <f t="shared" ca="1" si="23"/>
        <v>0</v>
      </c>
      <c r="AA243" s="63" t="e">
        <f t="shared" ca="1" si="25"/>
        <v>#N/A</v>
      </c>
      <c r="AB243" s="63" t="e">
        <f t="shared" ca="1" si="26"/>
        <v>#N/A</v>
      </c>
      <c r="AC243" s="3" t="e">
        <f t="shared" ca="1" si="27"/>
        <v>#N/A</v>
      </c>
    </row>
    <row r="244" spans="8:29">
      <c r="H244" t="e">
        <f t="shared" ca="1" si="24"/>
        <v>#N/A</v>
      </c>
      <c r="I244" t="e">
        <f t="shared" ca="1" si="21"/>
        <v>#N/A</v>
      </c>
      <c r="J244" s="2" t="e">
        <f ca="1"/>
        <v>#N/A</v>
      </c>
      <c r="K244" t="e">
        <f ca="1"/>
        <v>#N/A</v>
      </c>
      <c r="L244" t="e">
        <f ca="1"/>
        <v>#N/A</v>
      </c>
      <c r="M244" t="e">
        <f ca="1"/>
        <v>#N/A</v>
      </c>
      <c r="N244" t="e">
        <f ca="1"/>
        <v>#N/A</v>
      </c>
      <c r="O244" t="e">
        <f ca="1"/>
        <v>#N/A</v>
      </c>
      <c r="P244" t="e">
        <f ca="1"/>
        <v>#N/A</v>
      </c>
      <c r="Q244" t="e">
        <f ca="1"/>
        <v>#N/A</v>
      </c>
      <c r="R244" t="e">
        <f ca="1"/>
        <v>#N/A</v>
      </c>
      <c r="S244" t="e">
        <f ca="1"/>
        <v>#N/A</v>
      </c>
      <c r="T244" t="e">
        <f ca="1"/>
        <v>#N/A</v>
      </c>
      <c r="U244" t="e">
        <f ca="1"/>
        <v>#N/A</v>
      </c>
      <c r="V244" t="e">
        <f ca="1"/>
        <v>#N/A</v>
      </c>
      <c r="X244" s="2">
        <f t="shared" ca="1" si="22"/>
        <v>0</v>
      </c>
      <c r="Y244">
        <f t="shared" ca="1" si="23"/>
        <v>0</v>
      </c>
      <c r="AA244" s="63" t="e">
        <f t="shared" ca="1" si="25"/>
        <v>#N/A</v>
      </c>
      <c r="AB244" s="63" t="e">
        <f t="shared" ca="1" si="26"/>
        <v>#N/A</v>
      </c>
      <c r="AC244" s="3" t="e">
        <f t="shared" ca="1" si="27"/>
        <v>#N/A</v>
      </c>
    </row>
    <row r="245" spans="8:29">
      <c r="H245" t="e">
        <f t="shared" ca="1" si="24"/>
        <v>#N/A</v>
      </c>
      <c r="I245" t="e">
        <f t="shared" ca="1" si="21"/>
        <v>#N/A</v>
      </c>
      <c r="J245" s="2" t="e">
        <f ca="1"/>
        <v>#N/A</v>
      </c>
      <c r="K245" t="e">
        <f ca="1"/>
        <v>#N/A</v>
      </c>
      <c r="L245" t="e">
        <f ca="1"/>
        <v>#N/A</v>
      </c>
      <c r="M245" t="e">
        <f ca="1"/>
        <v>#N/A</v>
      </c>
      <c r="N245" t="e">
        <f ca="1"/>
        <v>#N/A</v>
      </c>
      <c r="O245" t="e">
        <f ca="1"/>
        <v>#N/A</v>
      </c>
      <c r="P245" t="e">
        <f ca="1"/>
        <v>#N/A</v>
      </c>
      <c r="Q245" t="e">
        <f ca="1"/>
        <v>#N/A</v>
      </c>
      <c r="R245" t="e">
        <f ca="1"/>
        <v>#N/A</v>
      </c>
      <c r="S245" t="e">
        <f ca="1"/>
        <v>#N/A</v>
      </c>
      <c r="T245" t="e">
        <f ca="1"/>
        <v>#N/A</v>
      </c>
      <c r="U245" t="e">
        <f ca="1"/>
        <v>#N/A</v>
      </c>
      <c r="V245" t="e">
        <f ca="1"/>
        <v>#N/A</v>
      </c>
      <c r="X245" s="2">
        <f t="shared" ca="1" si="22"/>
        <v>0</v>
      </c>
      <c r="Y245">
        <f t="shared" ca="1" si="23"/>
        <v>0</v>
      </c>
      <c r="AA245" s="63" t="e">
        <f t="shared" ca="1" si="25"/>
        <v>#N/A</v>
      </c>
      <c r="AB245" s="63" t="e">
        <f t="shared" ca="1" si="26"/>
        <v>#N/A</v>
      </c>
      <c r="AC245" s="3" t="e">
        <f t="shared" ca="1" si="27"/>
        <v>#N/A</v>
      </c>
    </row>
    <row r="246" spans="8:29">
      <c r="H246" t="e">
        <f t="shared" ca="1" si="24"/>
        <v>#N/A</v>
      </c>
      <c r="I246" t="e">
        <f t="shared" ca="1" si="21"/>
        <v>#N/A</v>
      </c>
      <c r="J246" s="2" t="e">
        <f ca="1"/>
        <v>#N/A</v>
      </c>
      <c r="K246" t="e">
        <f ca="1"/>
        <v>#N/A</v>
      </c>
      <c r="L246" t="e">
        <f ca="1"/>
        <v>#N/A</v>
      </c>
      <c r="M246" t="e">
        <f ca="1"/>
        <v>#N/A</v>
      </c>
      <c r="N246" t="e">
        <f ca="1"/>
        <v>#N/A</v>
      </c>
      <c r="O246" t="e">
        <f ca="1"/>
        <v>#N/A</v>
      </c>
      <c r="P246" t="e">
        <f ca="1"/>
        <v>#N/A</v>
      </c>
      <c r="Q246" t="e">
        <f ca="1"/>
        <v>#N/A</v>
      </c>
      <c r="R246" t="e">
        <f ca="1"/>
        <v>#N/A</v>
      </c>
      <c r="S246" t="e">
        <f ca="1"/>
        <v>#N/A</v>
      </c>
      <c r="T246" t="e">
        <f ca="1"/>
        <v>#N/A</v>
      </c>
      <c r="U246" t="e">
        <f ca="1"/>
        <v>#N/A</v>
      </c>
      <c r="V246" t="e">
        <f ca="1"/>
        <v>#N/A</v>
      </c>
      <c r="X246" s="2">
        <f t="shared" ca="1" si="22"/>
        <v>0</v>
      </c>
      <c r="Y246">
        <f t="shared" ca="1" si="23"/>
        <v>0</v>
      </c>
      <c r="AA246" s="63" t="e">
        <f t="shared" ca="1" si="25"/>
        <v>#N/A</v>
      </c>
      <c r="AB246" s="63" t="e">
        <f t="shared" ca="1" si="26"/>
        <v>#N/A</v>
      </c>
      <c r="AC246" s="3" t="e">
        <f t="shared" ca="1" si="27"/>
        <v>#N/A</v>
      </c>
    </row>
    <row r="247" spans="8:29">
      <c r="H247" t="e">
        <f t="shared" ca="1" si="24"/>
        <v>#N/A</v>
      </c>
      <c r="I247" t="e">
        <f t="shared" ca="1" si="21"/>
        <v>#N/A</v>
      </c>
      <c r="J247" s="2" t="e">
        <f ca="1"/>
        <v>#N/A</v>
      </c>
      <c r="K247" t="e">
        <f ca="1"/>
        <v>#N/A</v>
      </c>
      <c r="L247" t="e">
        <f ca="1"/>
        <v>#N/A</v>
      </c>
      <c r="M247" t="e">
        <f ca="1"/>
        <v>#N/A</v>
      </c>
      <c r="N247" t="e">
        <f ca="1"/>
        <v>#N/A</v>
      </c>
      <c r="O247" t="e">
        <f ca="1"/>
        <v>#N/A</v>
      </c>
      <c r="P247" t="e">
        <f ca="1"/>
        <v>#N/A</v>
      </c>
      <c r="Q247" t="e">
        <f ca="1"/>
        <v>#N/A</v>
      </c>
      <c r="R247" t="e">
        <f ca="1"/>
        <v>#N/A</v>
      </c>
      <c r="S247" t="e">
        <f ca="1"/>
        <v>#N/A</v>
      </c>
      <c r="T247" t="e">
        <f ca="1"/>
        <v>#N/A</v>
      </c>
      <c r="U247" t="e">
        <f ca="1"/>
        <v>#N/A</v>
      </c>
      <c r="V247" t="e">
        <f ca="1"/>
        <v>#N/A</v>
      </c>
      <c r="X247" s="2">
        <f t="shared" ca="1" si="22"/>
        <v>0</v>
      </c>
      <c r="Y247">
        <f t="shared" ca="1" si="23"/>
        <v>0</v>
      </c>
      <c r="AA247" s="63" t="e">
        <f t="shared" ca="1" si="25"/>
        <v>#N/A</v>
      </c>
      <c r="AB247" s="63" t="e">
        <f t="shared" ca="1" si="26"/>
        <v>#N/A</v>
      </c>
      <c r="AC247" s="3" t="e">
        <f t="shared" ca="1" si="27"/>
        <v>#N/A</v>
      </c>
    </row>
    <row r="248" spans="8:29">
      <c r="H248" t="e">
        <f t="shared" ca="1" si="24"/>
        <v>#N/A</v>
      </c>
      <c r="I248" t="e">
        <f t="shared" ca="1" si="21"/>
        <v>#N/A</v>
      </c>
      <c r="J248" s="2" t="e">
        <f ca="1"/>
        <v>#N/A</v>
      </c>
      <c r="K248" t="e">
        <f ca="1"/>
        <v>#N/A</v>
      </c>
      <c r="L248" t="e">
        <f ca="1"/>
        <v>#N/A</v>
      </c>
      <c r="M248" t="e">
        <f ca="1"/>
        <v>#N/A</v>
      </c>
      <c r="N248" t="e">
        <f ca="1"/>
        <v>#N/A</v>
      </c>
      <c r="O248" t="e">
        <f ca="1"/>
        <v>#N/A</v>
      </c>
      <c r="P248" t="e">
        <f ca="1"/>
        <v>#N/A</v>
      </c>
      <c r="Q248" t="e">
        <f ca="1"/>
        <v>#N/A</v>
      </c>
      <c r="R248" t="e">
        <f ca="1"/>
        <v>#N/A</v>
      </c>
      <c r="S248" t="e">
        <f ca="1"/>
        <v>#N/A</v>
      </c>
      <c r="T248" t="e">
        <f ca="1"/>
        <v>#N/A</v>
      </c>
      <c r="U248" t="e">
        <f ca="1"/>
        <v>#N/A</v>
      </c>
      <c r="V248" t="e">
        <f ca="1"/>
        <v>#N/A</v>
      </c>
      <c r="X248" s="2">
        <f t="shared" ca="1" si="22"/>
        <v>0</v>
      </c>
      <c r="Y248">
        <f t="shared" ca="1" si="23"/>
        <v>0</v>
      </c>
      <c r="AA248" s="63" t="e">
        <f t="shared" ca="1" si="25"/>
        <v>#N/A</v>
      </c>
      <c r="AB248" s="63" t="e">
        <f t="shared" ca="1" si="26"/>
        <v>#N/A</v>
      </c>
      <c r="AC248" s="3" t="e">
        <f t="shared" ca="1" si="27"/>
        <v>#N/A</v>
      </c>
    </row>
    <row r="249" spans="8:29">
      <c r="H249" t="e">
        <f t="shared" ca="1" si="24"/>
        <v>#N/A</v>
      </c>
      <c r="I249" t="e">
        <f t="shared" ca="1" si="21"/>
        <v>#N/A</v>
      </c>
      <c r="J249" s="2" t="e">
        <f ca="1"/>
        <v>#N/A</v>
      </c>
      <c r="K249" t="e">
        <f ca="1"/>
        <v>#N/A</v>
      </c>
      <c r="L249" t="e">
        <f ca="1"/>
        <v>#N/A</v>
      </c>
      <c r="M249" t="e">
        <f ca="1"/>
        <v>#N/A</v>
      </c>
      <c r="N249" t="e">
        <f ca="1"/>
        <v>#N/A</v>
      </c>
      <c r="O249" t="e">
        <f ca="1"/>
        <v>#N/A</v>
      </c>
      <c r="P249" t="e">
        <f ca="1"/>
        <v>#N/A</v>
      </c>
      <c r="Q249" t="e">
        <f ca="1"/>
        <v>#N/A</v>
      </c>
      <c r="R249" t="e">
        <f ca="1"/>
        <v>#N/A</v>
      </c>
      <c r="S249" t="e">
        <f ca="1"/>
        <v>#N/A</v>
      </c>
      <c r="T249" t="e">
        <f ca="1"/>
        <v>#N/A</v>
      </c>
      <c r="U249" t="e">
        <f ca="1"/>
        <v>#N/A</v>
      </c>
      <c r="V249" t="e">
        <f ca="1"/>
        <v>#N/A</v>
      </c>
      <c r="X249" s="2">
        <f t="shared" ca="1" si="22"/>
        <v>0</v>
      </c>
      <c r="Y249">
        <f t="shared" ca="1" si="23"/>
        <v>0</v>
      </c>
      <c r="AA249" s="63" t="e">
        <f t="shared" ca="1" si="25"/>
        <v>#N/A</v>
      </c>
      <c r="AB249" s="63" t="e">
        <f t="shared" ca="1" si="26"/>
        <v>#N/A</v>
      </c>
      <c r="AC249" s="3" t="e">
        <f t="shared" ca="1" si="27"/>
        <v>#N/A</v>
      </c>
    </row>
    <row r="250" spans="8:29">
      <c r="H250" t="e">
        <f t="shared" ca="1" si="24"/>
        <v>#N/A</v>
      </c>
      <c r="I250" t="e">
        <f t="shared" ca="1" si="21"/>
        <v>#N/A</v>
      </c>
      <c r="J250" s="2" t="e">
        <f ca="1"/>
        <v>#N/A</v>
      </c>
      <c r="K250" t="e">
        <f ca="1"/>
        <v>#N/A</v>
      </c>
      <c r="L250" t="e">
        <f ca="1"/>
        <v>#N/A</v>
      </c>
      <c r="M250" t="e">
        <f ca="1"/>
        <v>#N/A</v>
      </c>
      <c r="N250" t="e">
        <f ca="1"/>
        <v>#N/A</v>
      </c>
      <c r="O250" t="e">
        <f ca="1"/>
        <v>#N/A</v>
      </c>
      <c r="P250" t="e">
        <f ca="1"/>
        <v>#N/A</v>
      </c>
      <c r="Q250" t="e">
        <f ca="1"/>
        <v>#N/A</v>
      </c>
      <c r="R250" t="e">
        <f ca="1"/>
        <v>#N/A</v>
      </c>
      <c r="S250" t="e">
        <f ca="1"/>
        <v>#N/A</v>
      </c>
      <c r="T250" t="e">
        <f ca="1"/>
        <v>#N/A</v>
      </c>
      <c r="U250" t="e">
        <f ca="1"/>
        <v>#N/A</v>
      </c>
      <c r="V250" t="e">
        <f ca="1"/>
        <v>#N/A</v>
      </c>
      <c r="X250" s="2">
        <f t="shared" ca="1" si="22"/>
        <v>0</v>
      </c>
      <c r="Y250">
        <f t="shared" ca="1" si="23"/>
        <v>0</v>
      </c>
      <c r="AA250" s="63" t="e">
        <f t="shared" ca="1" si="25"/>
        <v>#N/A</v>
      </c>
      <c r="AB250" s="63" t="e">
        <f t="shared" ca="1" si="26"/>
        <v>#N/A</v>
      </c>
      <c r="AC250" s="3" t="e">
        <f t="shared" ca="1" si="27"/>
        <v>#N/A</v>
      </c>
    </row>
    <row r="251" spans="8:29">
      <c r="H251" t="e">
        <f t="shared" ca="1" si="24"/>
        <v>#N/A</v>
      </c>
      <c r="I251" t="e">
        <f t="shared" ca="1" si="21"/>
        <v>#N/A</v>
      </c>
      <c r="J251" s="2" t="e">
        <f ca="1"/>
        <v>#N/A</v>
      </c>
      <c r="K251" t="e">
        <f ca="1"/>
        <v>#N/A</v>
      </c>
      <c r="L251" t="e">
        <f ca="1"/>
        <v>#N/A</v>
      </c>
      <c r="M251" t="e">
        <f ca="1"/>
        <v>#N/A</v>
      </c>
      <c r="N251" t="e">
        <f ca="1"/>
        <v>#N/A</v>
      </c>
      <c r="O251" t="e">
        <f ca="1"/>
        <v>#N/A</v>
      </c>
      <c r="P251" t="e">
        <f ca="1"/>
        <v>#N/A</v>
      </c>
      <c r="Q251" t="e">
        <f ca="1"/>
        <v>#N/A</v>
      </c>
      <c r="R251" t="e">
        <f ca="1"/>
        <v>#N/A</v>
      </c>
      <c r="S251" t="e">
        <f ca="1"/>
        <v>#N/A</v>
      </c>
      <c r="T251" t="e">
        <f ca="1"/>
        <v>#N/A</v>
      </c>
      <c r="U251" t="e">
        <f ca="1"/>
        <v>#N/A</v>
      </c>
      <c r="V251" t="e">
        <f ca="1"/>
        <v>#N/A</v>
      </c>
      <c r="X251" s="2">
        <f t="shared" ca="1" si="22"/>
        <v>0</v>
      </c>
      <c r="Y251">
        <f t="shared" ca="1" si="23"/>
        <v>0</v>
      </c>
      <c r="AA251" s="63" t="e">
        <f t="shared" ca="1" si="25"/>
        <v>#N/A</v>
      </c>
      <c r="AB251" s="63" t="e">
        <f t="shared" ca="1" si="26"/>
        <v>#N/A</v>
      </c>
      <c r="AC251" s="3" t="e">
        <f t="shared" ca="1" si="27"/>
        <v>#N/A</v>
      </c>
    </row>
    <row r="252" spans="8:29">
      <c r="H252" t="e">
        <f t="shared" ca="1" si="24"/>
        <v>#N/A</v>
      </c>
      <c r="I252" t="e">
        <f t="shared" ca="1" si="21"/>
        <v>#N/A</v>
      </c>
      <c r="J252" s="2" t="e">
        <f ca="1"/>
        <v>#N/A</v>
      </c>
      <c r="K252" t="e">
        <f ca="1"/>
        <v>#N/A</v>
      </c>
      <c r="L252" t="e">
        <f ca="1"/>
        <v>#N/A</v>
      </c>
      <c r="M252" t="e">
        <f ca="1"/>
        <v>#N/A</v>
      </c>
      <c r="N252" t="e">
        <f ca="1"/>
        <v>#N/A</v>
      </c>
      <c r="O252" t="e">
        <f ca="1"/>
        <v>#N/A</v>
      </c>
      <c r="P252" t="e">
        <f ca="1"/>
        <v>#N/A</v>
      </c>
      <c r="Q252" t="e">
        <f ca="1"/>
        <v>#N/A</v>
      </c>
      <c r="R252" t="e">
        <f ca="1"/>
        <v>#N/A</v>
      </c>
      <c r="S252" t="e">
        <f ca="1"/>
        <v>#N/A</v>
      </c>
      <c r="T252" t="e">
        <f ca="1"/>
        <v>#N/A</v>
      </c>
      <c r="U252" t="e">
        <f ca="1"/>
        <v>#N/A</v>
      </c>
      <c r="V252" t="e">
        <f ca="1"/>
        <v>#N/A</v>
      </c>
      <c r="X252" s="2">
        <f t="shared" ca="1" si="22"/>
        <v>0</v>
      </c>
      <c r="Y252">
        <f t="shared" ca="1" si="23"/>
        <v>0</v>
      </c>
      <c r="AA252" s="63" t="e">
        <f t="shared" ca="1" si="25"/>
        <v>#N/A</v>
      </c>
      <c r="AB252" s="63" t="e">
        <f t="shared" ca="1" si="26"/>
        <v>#N/A</v>
      </c>
      <c r="AC252" s="3" t="e">
        <f t="shared" ca="1" si="27"/>
        <v>#N/A</v>
      </c>
    </row>
    <row r="253" spans="8:29">
      <c r="H253" t="e">
        <f t="shared" ca="1" si="24"/>
        <v>#N/A</v>
      </c>
      <c r="I253" t="e">
        <f t="shared" ca="1" si="21"/>
        <v>#N/A</v>
      </c>
      <c r="J253" s="2" t="e">
        <f ca="1"/>
        <v>#N/A</v>
      </c>
      <c r="K253" t="e">
        <f ca="1"/>
        <v>#N/A</v>
      </c>
      <c r="L253" t="e">
        <f ca="1"/>
        <v>#N/A</v>
      </c>
      <c r="M253" t="e">
        <f ca="1"/>
        <v>#N/A</v>
      </c>
      <c r="N253" t="e">
        <f ca="1"/>
        <v>#N/A</v>
      </c>
      <c r="O253" t="e">
        <f ca="1"/>
        <v>#N/A</v>
      </c>
      <c r="P253" t="e">
        <f ca="1"/>
        <v>#N/A</v>
      </c>
      <c r="Q253" t="e">
        <f ca="1"/>
        <v>#N/A</v>
      </c>
      <c r="R253" t="e">
        <f ca="1"/>
        <v>#N/A</v>
      </c>
      <c r="S253" t="e">
        <f ca="1"/>
        <v>#N/A</v>
      </c>
      <c r="T253" t="e">
        <f ca="1"/>
        <v>#N/A</v>
      </c>
      <c r="U253" t="e">
        <f ca="1"/>
        <v>#N/A</v>
      </c>
      <c r="V253" t="e">
        <f ca="1"/>
        <v>#N/A</v>
      </c>
      <c r="X253" s="2">
        <f t="shared" ca="1" si="22"/>
        <v>0</v>
      </c>
      <c r="Y253">
        <f t="shared" ca="1" si="23"/>
        <v>0</v>
      </c>
      <c r="AA253" s="63" t="e">
        <f t="shared" ca="1" si="25"/>
        <v>#N/A</v>
      </c>
      <c r="AB253" s="63" t="e">
        <f t="shared" ca="1" si="26"/>
        <v>#N/A</v>
      </c>
      <c r="AC253" s="3" t="e">
        <f t="shared" ca="1" si="27"/>
        <v>#N/A</v>
      </c>
    </row>
    <row r="254" spans="8:29">
      <c r="H254" t="e">
        <f t="shared" ca="1" si="24"/>
        <v>#N/A</v>
      </c>
      <c r="I254" t="e">
        <f t="shared" ca="1" si="21"/>
        <v>#N/A</v>
      </c>
      <c r="J254" s="2" t="e">
        <f ca="1"/>
        <v>#N/A</v>
      </c>
      <c r="K254" t="e">
        <f ca="1"/>
        <v>#N/A</v>
      </c>
      <c r="L254" t="e">
        <f ca="1"/>
        <v>#N/A</v>
      </c>
      <c r="M254" t="e">
        <f ca="1"/>
        <v>#N/A</v>
      </c>
      <c r="N254" t="e">
        <f ca="1"/>
        <v>#N/A</v>
      </c>
      <c r="O254" t="e">
        <f ca="1"/>
        <v>#N/A</v>
      </c>
      <c r="P254" t="e">
        <f ca="1"/>
        <v>#N/A</v>
      </c>
      <c r="Q254" t="e">
        <f ca="1"/>
        <v>#N/A</v>
      </c>
      <c r="R254" t="e">
        <f ca="1"/>
        <v>#N/A</v>
      </c>
      <c r="S254" t="e">
        <f ca="1"/>
        <v>#N/A</v>
      </c>
      <c r="T254" t="e">
        <f ca="1"/>
        <v>#N/A</v>
      </c>
      <c r="U254" t="e">
        <f ca="1"/>
        <v>#N/A</v>
      </c>
      <c r="V254" t="e">
        <f ca="1"/>
        <v>#N/A</v>
      </c>
      <c r="X254" s="2">
        <f t="shared" ca="1" si="22"/>
        <v>0</v>
      </c>
      <c r="Y254">
        <f t="shared" ca="1" si="23"/>
        <v>0</v>
      </c>
      <c r="AA254" s="63" t="e">
        <f t="shared" ca="1" si="25"/>
        <v>#N/A</v>
      </c>
      <c r="AB254" s="63" t="e">
        <f t="shared" ca="1" si="26"/>
        <v>#N/A</v>
      </c>
      <c r="AC254" s="3" t="e">
        <f t="shared" ca="1" si="27"/>
        <v>#N/A</v>
      </c>
    </row>
    <row r="255" spans="8:29">
      <c r="H255" t="e">
        <f t="shared" ca="1" si="24"/>
        <v>#N/A</v>
      </c>
      <c r="I255" t="e">
        <f t="shared" ca="1" si="21"/>
        <v>#N/A</v>
      </c>
      <c r="J255" s="2" t="e">
        <f ca="1"/>
        <v>#N/A</v>
      </c>
      <c r="K255" t="e">
        <f ca="1"/>
        <v>#N/A</v>
      </c>
      <c r="L255" t="e">
        <f ca="1"/>
        <v>#N/A</v>
      </c>
      <c r="M255" t="e">
        <f ca="1"/>
        <v>#N/A</v>
      </c>
      <c r="N255" t="e">
        <f ca="1"/>
        <v>#N/A</v>
      </c>
      <c r="O255" t="e">
        <f ca="1"/>
        <v>#N/A</v>
      </c>
      <c r="P255" t="e">
        <f ca="1"/>
        <v>#N/A</v>
      </c>
      <c r="Q255" t="e">
        <f ca="1"/>
        <v>#N/A</v>
      </c>
      <c r="R255" t="e">
        <f ca="1"/>
        <v>#N/A</v>
      </c>
      <c r="S255" t="e">
        <f ca="1"/>
        <v>#N/A</v>
      </c>
      <c r="T255" t="e">
        <f ca="1"/>
        <v>#N/A</v>
      </c>
      <c r="U255" t="e">
        <f ca="1"/>
        <v>#N/A</v>
      </c>
      <c r="V255" t="e">
        <f ca="1"/>
        <v>#N/A</v>
      </c>
      <c r="X255" s="2">
        <f t="shared" ca="1" si="22"/>
        <v>0</v>
      </c>
      <c r="Y255">
        <f t="shared" ca="1" si="23"/>
        <v>0</v>
      </c>
      <c r="AA255" s="63" t="e">
        <f t="shared" ca="1" si="25"/>
        <v>#N/A</v>
      </c>
      <c r="AB255" s="63" t="e">
        <f t="shared" ca="1" si="26"/>
        <v>#N/A</v>
      </c>
      <c r="AC255" s="3" t="e">
        <f t="shared" ca="1" si="27"/>
        <v>#N/A</v>
      </c>
    </row>
    <row r="256" spans="8:29">
      <c r="H256" t="e">
        <f t="shared" ca="1" si="24"/>
        <v>#N/A</v>
      </c>
      <c r="I256" t="e">
        <f t="shared" ca="1" si="21"/>
        <v>#N/A</v>
      </c>
      <c r="J256" s="2" t="e">
        <f ca="1"/>
        <v>#N/A</v>
      </c>
      <c r="K256" t="e">
        <f ca="1"/>
        <v>#N/A</v>
      </c>
      <c r="L256" t="e">
        <f ca="1"/>
        <v>#N/A</v>
      </c>
      <c r="M256" t="e">
        <f ca="1"/>
        <v>#N/A</v>
      </c>
      <c r="N256" t="e">
        <f ca="1"/>
        <v>#N/A</v>
      </c>
      <c r="O256" t="e">
        <f ca="1"/>
        <v>#N/A</v>
      </c>
      <c r="P256" t="e">
        <f ca="1"/>
        <v>#N/A</v>
      </c>
      <c r="Q256" t="e">
        <f ca="1"/>
        <v>#N/A</v>
      </c>
      <c r="R256" t="e">
        <f ca="1"/>
        <v>#N/A</v>
      </c>
      <c r="S256" t="e">
        <f ca="1"/>
        <v>#N/A</v>
      </c>
      <c r="T256" t="e">
        <f ca="1"/>
        <v>#N/A</v>
      </c>
      <c r="U256" t="e">
        <f ca="1"/>
        <v>#N/A</v>
      </c>
      <c r="V256" t="e">
        <f ca="1"/>
        <v>#N/A</v>
      </c>
      <c r="X256" s="2">
        <f t="shared" ca="1" si="22"/>
        <v>0</v>
      </c>
      <c r="Y256">
        <f t="shared" ca="1" si="23"/>
        <v>0</v>
      </c>
      <c r="AA256" s="63" t="e">
        <f t="shared" ca="1" si="25"/>
        <v>#N/A</v>
      </c>
      <c r="AB256" s="63" t="e">
        <f t="shared" ca="1" si="26"/>
        <v>#N/A</v>
      </c>
      <c r="AC256" s="3" t="e">
        <f t="shared" ca="1" si="27"/>
        <v>#N/A</v>
      </c>
    </row>
    <row r="257" spans="8:29">
      <c r="H257" t="e">
        <f t="shared" ca="1" si="24"/>
        <v>#N/A</v>
      </c>
      <c r="I257" t="e">
        <f t="shared" ca="1" si="21"/>
        <v>#N/A</v>
      </c>
      <c r="J257" s="2" t="e">
        <f ca="1"/>
        <v>#N/A</v>
      </c>
      <c r="K257" t="e">
        <f ca="1"/>
        <v>#N/A</v>
      </c>
      <c r="L257" t="e">
        <f ca="1"/>
        <v>#N/A</v>
      </c>
      <c r="M257" t="e">
        <f ca="1"/>
        <v>#N/A</v>
      </c>
      <c r="N257" t="e">
        <f ca="1"/>
        <v>#N/A</v>
      </c>
      <c r="O257" t="e">
        <f ca="1"/>
        <v>#N/A</v>
      </c>
      <c r="P257" t="e">
        <f ca="1"/>
        <v>#N/A</v>
      </c>
      <c r="Q257" t="e">
        <f ca="1"/>
        <v>#N/A</v>
      </c>
      <c r="R257" t="e">
        <f ca="1"/>
        <v>#N/A</v>
      </c>
      <c r="S257" t="e">
        <f ca="1"/>
        <v>#N/A</v>
      </c>
      <c r="T257" t="e">
        <f ca="1"/>
        <v>#N/A</v>
      </c>
      <c r="U257" t="e">
        <f ca="1"/>
        <v>#N/A</v>
      </c>
      <c r="V257" t="e">
        <f ca="1"/>
        <v>#N/A</v>
      </c>
      <c r="X257" s="2">
        <f t="shared" ca="1" si="22"/>
        <v>0</v>
      </c>
      <c r="Y257">
        <f t="shared" ca="1" si="23"/>
        <v>0</v>
      </c>
      <c r="AA257" s="63" t="e">
        <f t="shared" ca="1" si="25"/>
        <v>#N/A</v>
      </c>
      <c r="AB257" s="63" t="e">
        <f t="shared" ca="1" si="26"/>
        <v>#N/A</v>
      </c>
      <c r="AC257" s="3" t="e">
        <f t="shared" ca="1" si="27"/>
        <v>#N/A</v>
      </c>
    </row>
    <row r="258" spans="8:29">
      <c r="H258" t="e">
        <f t="shared" ca="1" si="24"/>
        <v>#N/A</v>
      </c>
      <c r="I258" t="e">
        <f t="shared" ca="1" si="21"/>
        <v>#N/A</v>
      </c>
      <c r="J258" s="2" t="e">
        <f ca="1"/>
        <v>#N/A</v>
      </c>
      <c r="K258" t="e">
        <f ca="1"/>
        <v>#N/A</v>
      </c>
      <c r="L258" t="e">
        <f ca="1"/>
        <v>#N/A</v>
      </c>
      <c r="M258" t="e">
        <f ca="1"/>
        <v>#N/A</v>
      </c>
      <c r="N258" t="e">
        <f ca="1"/>
        <v>#N/A</v>
      </c>
      <c r="O258" t="e">
        <f ca="1"/>
        <v>#N/A</v>
      </c>
      <c r="P258" t="e">
        <f ca="1"/>
        <v>#N/A</v>
      </c>
      <c r="Q258" t="e">
        <f ca="1"/>
        <v>#N/A</v>
      </c>
      <c r="R258" t="e">
        <f ca="1"/>
        <v>#N/A</v>
      </c>
      <c r="S258" t="e">
        <f ca="1"/>
        <v>#N/A</v>
      </c>
      <c r="T258" t="e">
        <f ca="1"/>
        <v>#N/A</v>
      </c>
      <c r="U258" t="e">
        <f ca="1"/>
        <v>#N/A</v>
      </c>
      <c r="V258" t="e">
        <f ca="1"/>
        <v>#N/A</v>
      </c>
      <c r="X258" s="2">
        <f t="shared" ca="1" si="22"/>
        <v>0</v>
      </c>
      <c r="Y258">
        <f t="shared" ca="1" si="23"/>
        <v>0</v>
      </c>
      <c r="AA258" s="63" t="e">
        <f t="shared" ca="1" si="25"/>
        <v>#N/A</v>
      </c>
      <c r="AB258" s="63" t="e">
        <f t="shared" ca="1" si="26"/>
        <v>#N/A</v>
      </c>
      <c r="AC258" s="3" t="e">
        <f t="shared" ca="1" si="27"/>
        <v>#N/A</v>
      </c>
    </row>
    <row r="259" spans="8:29">
      <c r="H259" t="e">
        <f t="shared" ca="1" si="24"/>
        <v>#N/A</v>
      </c>
      <c r="I259" t="e">
        <f t="shared" ca="1" si="21"/>
        <v>#N/A</v>
      </c>
      <c r="J259" s="2" t="e">
        <f ca="1"/>
        <v>#N/A</v>
      </c>
      <c r="K259" t="e">
        <f ca="1"/>
        <v>#N/A</v>
      </c>
      <c r="L259" t="e">
        <f ca="1"/>
        <v>#N/A</v>
      </c>
      <c r="M259" t="e">
        <f ca="1"/>
        <v>#N/A</v>
      </c>
      <c r="N259" t="e">
        <f ca="1"/>
        <v>#N/A</v>
      </c>
      <c r="O259" t="e">
        <f ca="1"/>
        <v>#N/A</v>
      </c>
      <c r="P259" t="e">
        <f ca="1"/>
        <v>#N/A</v>
      </c>
      <c r="Q259" t="e">
        <f ca="1"/>
        <v>#N/A</v>
      </c>
      <c r="R259" t="e">
        <f ca="1"/>
        <v>#N/A</v>
      </c>
      <c r="S259" t="e">
        <f ca="1"/>
        <v>#N/A</v>
      </c>
      <c r="T259" t="e">
        <f ca="1"/>
        <v>#N/A</v>
      </c>
      <c r="U259" t="e">
        <f ca="1"/>
        <v>#N/A</v>
      </c>
      <c r="V259" t="e">
        <f ca="1"/>
        <v>#N/A</v>
      </c>
      <c r="X259" s="2">
        <f t="shared" ca="1" si="22"/>
        <v>0</v>
      </c>
      <c r="Y259">
        <f t="shared" ca="1" si="23"/>
        <v>0</v>
      </c>
      <c r="AA259" s="63" t="e">
        <f t="shared" ca="1" si="25"/>
        <v>#N/A</v>
      </c>
      <c r="AB259" s="63" t="e">
        <f t="shared" ca="1" si="26"/>
        <v>#N/A</v>
      </c>
      <c r="AC259" s="3" t="e">
        <f t="shared" ca="1" si="27"/>
        <v>#N/A</v>
      </c>
    </row>
    <row r="260" spans="8:29">
      <c r="H260" t="e">
        <f t="shared" ca="1" si="24"/>
        <v>#N/A</v>
      </c>
      <c r="I260" t="e">
        <f t="shared" ca="1" si="21"/>
        <v>#N/A</v>
      </c>
      <c r="J260" s="2" t="e">
        <f ca="1"/>
        <v>#N/A</v>
      </c>
      <c r="K260" t="e">
        <f ca="1"/>
        <v>#N/A</v>
      </c>
      <c r="L260" t="e">
        <f ca="1"/>
        <v>#N/A</v>
      </c>
      <c r="M260" t="e">
        <f ca="1"/>
        <v>#N/A</v>
      </c>
      <c r="N260" t="e">
        <f ca="1"/>
        <v>#N/A</v>
      </c>
      <c r="O260" t="e">
        <f ca="1"/>
        <v>#N/A</v>
      </c>
      <c r="P260" t="e">
        <f ca="1"/>
        <v>#N/A</v>
      </c>
      <c r="Q260" t="e">
        <f ca="1"/>
        <v>#N/A</v>
      </c>
      <c r="R260" t="e">
        <f ca="1"/>
        <v>#N/A</v>
      </c>
      <c r="S260" t="e">
        <f ca="1"/>
        <v>#N/A</v>
      </c>
      <c r="T260" t="e">
        <f ca="1"/>
        <v>#N/A</v>
      </c>
      <c r="U260" t="e">
        <f ca="1"/>
        <v>#N/A</v>
      </c>
      <c r="V260" t="e">
        <f ca="1"/>
        <v>#N/A</v>
      </c>
      <c r="X260" s="2">
        <f t="shared" ca="1" si="22"/>
        <v>0</v>
      </c>
      <c r="Y260">
        <f t="shared" ca="1" si="23"/>
        <v>0</v>
      </c>
      <c r="AA260" s="63" t="e">
        <f t="shared" ca="1" si="25"/>
        <v>#N/A</v>
      </c>
      <c r="AB260" s="63" t="e">
        <f t="shared" ca="1" si="26"/>
        <v>#N/A</v>
      </c>
      <c r="AC260" s="3" t="e">
        <f t="shared" ca="1" si="27"/>
        <v>#N/A</v>
      </c>
    </row>
    <row r="261" spans="8:29">
      <c r="H261" t="e">
        <f t="shared" ca="1" si="24"/>
        <v>#N/A</v>
      </c>
      <c r="I261" t="e">
        <f t="shared" ca="1" si="21"/>
        <v>#N/A</v>
      </c>
      <c r="J261" s="2" t="e">
        <f ca="1"/>
        <v>#N/A</v>
      </c>
      <c r="K261" t="e">
        <f ca="1"/>
        <v>#N/A</v>
      </c>
      <c r="L261" t="e">
        <f ca="1"/>
        <v>#N/A</v>
      </c>
      <c r="M261" t="e">
        <f ca="1"/>
        <v>#N/A</v>
      </c>
      <c r="N261" t="e">
        <f ca="1"/>
        <v>#N/A</v>
      </c>
      <c r="O261" t="e">
        <f ca="1"/>
        <v>#N/A</v>
      </c>
      <c r="P261" t="e">
        <f ca="1"/>
        <v>#N/A</v>
      </c>
      <c r="Q261" t="e">
        <f ca="1"/>
        <v>#N/A</v>
      </c>
      <c r="R261" t="e">
        <f ca="1"/>
        <v>#N/A</v>
      </c>
      <c r="S261" t="e">
        <f ca="1"/>
        <v>#N/A</v>
      </c>
      <c r="T261" t="e">
        <f ca="1"/>
        <v>#N/A</v>
      </c>
      <c r="U261" t="e">
        <f ca="1"/>
        <v>#N/A</v>
      </c>
      <c r="V261" t="e">
        <f ca="1"/>
        <v>#N/A</v>
      </c>
      <c r="X261" s="2">
        <f t="shared" ca="1" si="22"/>
        <v>0</v>
      </c>
      <c r="Y261">
        <f t="shared" ca="1" si="23"/>
        <v>0</v>
      </c>
      <c r="AA261" s="63" t="e">
        <f t="shared" ca="1" si="25"/>
        <v>#N/A</v>
      </c>
      <c r="AB261" s="63" t="e">
        <f t="shared" ca="1" si="26"/>
        <v>#N/A</v>
      </c>
      <c r="AC261" s="3" t="e">
        <f t="shared" ca="1" si="27"/>
        <v>#N/A</v>
      </c>
    </row>
    <row r="262" spans="8:29">
      <c r="H262" t="e">
        <f t="shared" ca="1" si="24"/>
        <v>#N/A</v>
      </c>
      <c r="I262" t="e">
        <f t="shared" ca="1" si="21"/>
        <v>#N/A</v>
      </c>
      <c r="J262" s="2" t="e">
        <f ca="1"/>
        <v>#N/A</v>
      </c>
      <c r="K262" t="e">
        <f ca="1"/>
        <v>#N/A</v>
      </c>
      <c r="L262" t="e">
        <f ca="1"/>
        <v>#N/A</v>
      </c>
      <c r="M262" t="e">
        <f ca="1"/>
        <v>#N/A</v>
      </c>
      <c r="N262" t="e">
        <f ca="1"/>
        <v>#N/A</v>
      </c>
      <c r="O262" t="e">
        <f ca="1"/>
        <v>#N/A</v>
      </c>
      <c r="P262" t="e">
        <f ca="1"/>
        <v>#N/A</v>
      </c>
      <c r="Q262" t="e">
        <f ca="1"/>
        <v>#N/A</v>
      </c>
      <c r="R262" t="e">
        <f ca="1"/>
        <v>#N/A</v>
      </c>
      <c r="S262" t="e">
        <f ca="1"/>
        <v>#N/A</v>
      </c>
      <c r="T262" t="e">
        <f ca="1"/>
        <v>#N/A</v>
      </c>
      <c r="U262" t="e">
        <f ca="1"/>
        <v>#N/A</v>
      </c>
      <c r="V262" t="e">
        <f ca="1"/>
        <v>#N/A</v>
      </c>
      <c r="X262" s="2">
        <f t="shared" ca="1" si="22"/>
        <v>0</v>
      </c>
      <c r="Y262">
        <f t="shared" ca="1" si="23"/>
        <v>0</v>
      </c>
      <c r="AA262" s="63" t="e">
        <f t="shared" ca="1" si="25"/>
        <v>#N/A</v>
      </c>
      <c r="AB262" s="63" t="e">
        <f t="shared" ca="1" si="26"/>
        <v>#N/A</v>
      </c>
      <c r="AC262" s="3" t="e">
        <f t="shared" ca="1" si="27"/>
        <v>#N/A</v>
      </c>
    </row>
    <row r="263" spans="8:29">
      <c r="H263" t="e">
        <f t="shared" ca="1" si="24"/>
        <v>#N/A</v>
      </c>
      <c r="I263" t="e">
        <f t="shared" ca="1" si="21"/>
        <v>#N/A</v>
      </c>
      <c r="J263" s="2" t="e">
        <f ca="1"/>
        <v>#N/A</v>
      </c>
      <c r="K263" t="e">
        <f ca="1"/>
        <v>#N/A</v>
      </c>
      <c r="L263" t="e">
        <f ca="1"/>
        <v>#N/A</v>
      </c>
      <c r="M263" t="e">
        <f ca="1"/>
        <v>#N/A</v>
      </c>
      <c r="N263" t="e">
        <f ca="1"/>
        <v>#N/A</v>
      </c>
      <c r="O263" t="e">
        <f ca="1"/>
        <v>#N/A</v>
      </c>
      <c r="P263" t="e">
        <f ca="1"/>
        <v>#N/A</v>
      </c>
      <c r="Q263" t="e">
        <f ca="1"/>
        <v>#N/A</v>
      </c>
      <c r="R263" t="e">
        <f ca="1"/>
        <v>#N/A</v>
      </c>
      <c r="S263" t="e">
        <f ca="1"/>
        <v>#N/A</v>
      </c>
      <c r="T263" t="e">
        <f ca="1"/>
        <v>#N/A</v>
      </c>
      <c r="U263" t="e">
        <f ca="1"/>
        <v>#N/A</v>
      </c>
      <c r="V263" t="e">
        <f ca="1"/>
        <v>#N/A</v>
      </c>
      <c r="X263" s="2">
        <f t="shared" ca="1" si="22"/>
        <v>0</v>
      </c>
      <c r="Y263">
        <f t="shared" ca="1" si="23"/>
        <v>0</v>
      </c>
      <c r="AA263" s="63" t="e">
        <f t="shared" ca="1" si="25"/>
        <v>#N/A</v>
      </c>
      <c r="AB263" s="63" t="e">
        <f t="shared" ca="1" si="26"/>
        <v>#N/A</v>
      </c>
      <c r="AC263" s="3" t="e">
        <f t="shared" ca="1" si="27"/>
        <v>#N/A</v>
      </c>
    </row>
    <row r="264" spans="8:29">
      <c r="H264" t="e">
        <f t="shared" ca="1" si="24"/>
        <v>#N/A</v>
      </c>
      <c r="I264" t="e">
        <f t="shared" ca="1" si="21"/>
        <v>#N/A</v>
      </c>
      <c r="J264" s="2" t="e">
        <f ca="1"/>
        <v>#N/A</v>
      </c>
      <c r="K264" t="e">
        <f ca="1"/>
        <v>#N/A</v>
      </c>
      <c r="L264" t="e">
        <f ca="1"/>
        <v>#N/A</v>
      </c>
      <c r="M264" t="e">
        <f ca="1"/>
        <v>#N/A</v>
      </c>
      <c r="N264" t="e">
        <f ca="1"/>
        <v>#N/A</v>
      </c>
      <c r="O264" t="e">
        <f ca="1"/>
        <v>#N/A</v>
      </c>
      <c r="P264" t="e">
        <f ca="1"/>
        <v>#N/A</v>
      </c>
      <c r="Q264" t="e">
        <f ca="1"/>
        <v>#N/A</v>
      </c>
      <c r="R264" t="e">
        <f ca="1"/>
        <v>#N/A</v>
      </c>
      <c r="S264" t="e">
        <f ca="1"/>
        <v>#N/A</v>
      </c>
      <c r="T264" t="e">
        <f ca="1"/>
        <v>#N/A</v>
      </c>
      <c r="U264" t="e">
        <f ca="1"/>
        <v>#N/A</v>
      </c>
      <c r="V264" t="e">
        <f ca="1"/>
        <v>#N/A</v>
      </c>
      <c r="X264" s="2">
        <f t="shared" ca="1" si="22"/>
        <v>0</v>
      </c>
      <c r="Y264">
        <f t="shared" ca="1" si="23"/>
        <v>0</v>
      </c>
      <c r="AA264" s="63" t="e">
        <f t="shared" ca="1" si="25"/>
        <v>#N/A</v>
      </c>
      <c r="AB264" s="63" t="e">
        <f t="shared" ca="1" si="26"/>
        <v>#N/A</v>
      </c>
      <c r="AC264" s="3" t="e">
        <f t="shared" ca="1" si="27"/>
        <v>#N/A</v>
      </c>
    </row>
    <row r="265" spans="8:29">
      <c r="H265" t="e">
        <f t="shared" ca="1" si="24"/>
        <v>#N/A</v>
      </c>
      <c r="I265" t="e">
        <f t="shared" ca="1" si="21"/>
        <v>#N/A</v>
      </c>
      <c r="J265" s="2" t="e">
        <f ca="1"/>
        <v>#N/A</v>
      </c>
      <c r="K265" t="e">
        <f ca="1"/>
        <v>#N/A</v>
      </c>
      <c r="L265" t="e">
        <f ca="1"/>
        <v>#N/A</v>
      </c>
      <c r="M265" t="e">
        <f ca="1"/>
        <v>#N/A</v>
      </c>
      <c r="N265" t="e">
        <f ca="1"/>
        <v>#N/A</v>
      </c>
      <c r="O265" t="e">
        <f ca="1"/>
        <v>#N/A</v>
      </c>
      <c r="P265" t="e">
        <f ca="1"/>
        <v>#N/A</v>
      </c>
      <c r="Q265" t="e">
        <f ca="1"/>
        <v>#N/A</v>
      </c>
      <c r="R265" t="e">
        <f ca="1"/>
        <v>#N/A</v>
      </c>
      <c r="S265" t="e">
        <f ca="1"/>
        <v>#N/A</v>
      </c>
      <c r="T265" t="e">
        <f ca="1"/>
        <v>#N/A</v>
      </c>
      <c r="U265" t="e">
        <f ca="1"/>
        <v>#N/A</v>
      </c>
      <c r="V265" t="e">
        <f ca="1"/>
        <v>#N/A</v>
      </c>
      <c r="X265" s="2">
        <f t="shared" ca="1" si="22"/>
        <v>0</v>
      </c>
      <c r="Y265">
        <f t="shared" ca="1" si="23"/>
        <v>0</v>
      </c>
      <c r="AA265" s="63" t="e">
        <f t="shared" ca="1" si="25"/>
        <v>#N/A</v>
      </c>
      <c r="AB265" s="63" t="e">
        <f t="shared" ca="1" si="26"/>
        <v>#N/A</v>
      </c>
      <c r="AC265" s="3" t="e">
        <f t="shared" ca="1" si="27"/>
        <v>#N/A</v>
      </c>
    </row>
    <row r="266" spans="8:29">
      <c r="H266" t="e">
        <f t="shared" ca="1" si="24"/>
        <v>#N/A</v>
      </c>
      <c r="I266" t="e">
        <f t="shared" ca="1" si="21"/>
        <v>#N/A</v>
      </c>
      <c r="J266" s="2" t="e">
        <f ca="1"/>
        <v>#N/A</v>
      </c>
      <c r="K266" t="e">
        <f ca="1"/>
        <v>#N/A</v>
      </c>
      <c r="L266" t="e">
        <f ca="1"/>
        <v>#N/A</v>
      </c>
      <c r="M266" t="e">
        <f ca="1"/>
        <v>#N/A</v>
      </c>
      <c r="N266" t="e">
        <f ca="1"/>
        <v>#N/A</v>
      </c>
      <c r="O266" t="e">
        <f ca="1"/>
        <v>#N/A</v>
      </c>
      <c r="P266" t="e">
        <f ca="1"/>
        <v>#N/A</v>
      </c>
      <c r="Q266" t="e">
        <f ca="1"/>
        <v>#N/A</v>
      </c>
      <c r="R266" t="e">
        <f ca="1"/>
        <v>#N/A</v>
      </c>
      <c r="S266" t="e">
        <f ca="1"/>
        <v>#N/A</v>
      </c>
      <c r="T266" t="e">
        <f ca="1"/>
        <v>#N/A</v>
      </c>
      <c r="U266" t="e">
        <f ca="1"/>
        <v>#N/A</v>
      </c>
      <c r="V266" t="e">
        <f ca="1"/>
        <v>#N/A</v>
      </c>
      <c r="X266" s="2">
        <f t="shared" ca="1" si="22"/>
        <v>0</v>
      </c>
      <c r="Y266">
        <f t="shared" ca="1" si="23"/>
        <v>0</v>
      </c>
      <c r="AA266" s="63" t="e">
        <f t="shared" ca="1" si="25"/>
        <v>#N/A</v>
      </c>
      <c r="AB266" s="63" t="e">
        <f t="shared" ca="1" si="26"/>
        <v>#N/A</v>
      </c>
      <c r="AC266" s="3" t="e">
        <f t="shared" ca="1" si="27"/>
        <v>#N/A</v>
      </c>
    </row>
    <row r="267" spans="8:29">
      <c r="H267" t="e">
        <f t="shared" ca="1" si="24"/>
        <v>#N/A</v>
      </c>
      <c r="I267" t="e">
        <f t="shared" ref="I267:I330" ca="1" si="28">AND(IF(J267&gt;($J$7-1),TRUE,FALSE),IF(J267&lt;($J$8+1),TRUE,FALSE))</f>
        <v>#N/A</v>
      </c>
      <c r="J267" s="2" t="e">
        <f ca="1"/>
        <v>#N/A</v>
      </c>
      <c r="K267" t="e">
        <f ca="1"/>
        <v>#N/A</v>
      </c>
      <c r="L267" t="e">
        <f ca="1"/>
        <v>#N/A</v>
      </c>
      <c r="M267" t="e">
        <f ca="1"/>
        <v>#N/A</v>
      </c>
      <c r="N267" t="e">
        <f ca="1"/>
        <v>#N/A</v>
      </c>
      <c r="O267" t="e">
        <f ca="1"/>
        <v>#N/A</v>
      </c>
      <c r="P267" t="e">
        <f ca="1"/>
        <v>#N/A</v>
      </c>
      <c r="Q267" t="e">
        <f ca="1"/>
        <v>#N/A</v>
      </c>
      <c r="R267" t="e">
        <f ca="1"/>
        <v>#N/A</v>
      </c>
      <c r="S267" t="e">
        <f ca="1"/>
        <v>#N/A</v>
      </c>
      <c r="T267" t="e">
        <f ca="1"/>
        <v>#N/A</v>
      </c>
      <c r="U267" t="e">
        <f ca="1"/>
        <v>#N/A</v>
      </c>
      <c r="V267" t="e">
        <f ca="1"/>
        <v>#N/A</v>
      </c>
      <c r="X267" s="2">
        <f t="shared" ref="X267:X330" ca="1" si="29">IFERROR(J267,$X$9)</f>
        <v>0</v>
      </c>
      <c r="Y267">
        <f t="shared" ref="Y267:Y330" ca="1" si="30">IFERROR(O267,0)</f>
        <v>0</v>
      </c>
      <c r="AA267" s="63" t="e">
        <f t="shared" ca="1" si="25"/>
        <v>#N/A</v>
      </c>
      <c r="AB267" s="63" t="e">
        <f t="shared" ca="1" si="26"/>
        <v>#N/A</v>
      </c>
      <c r="AC267" s="3" t="e">
        <f t="shared" ca="1" si="27"/>
        <v>#N/A</v>
      </c>
    </row>
    <row r="268" spans="8:29">
      <c r="H268" t="e">
        <f t="shared" ref="H268:H331" ca="1" si="31">IF(J268&lt;$J$8,TRUE,FALSE)</f>
        <v>#N/A</v>
      </c>
      <c r="I268" t="e">
        <f t="shared" ca="1" si="28"/>
        <v>#N/A</v>
      </c>
      <c r="J268" s="2" t="e">
        <f ca="1"/>
        <v>#N/A</v>
      </c>
      <c r="K268" t="e">
        <f ca="1"/>
        <v>#N/A</v>
      </c>
      <c r="L268" t="e">
        <f ca="1"/>
        <v>#N/A</v>
      </c>
      <c r="M268" t="e">
        <f ca="1"/>
        <v>#N/A</v>
      </c>
      <c r="N268" t="e">
        <f ca="1"/>
        <v>#N/A</v>
      </c>
      <c r="O268" t="e">
        <f ca="1"/>
        <v>#N/A</v>
      </c>
      <c r="P268" t="e">
        <f ca="1"/>
        <v>#N/A</v>
      </c>
      <c r="Q268" t="e">
        <f ca="1"/>
        <v>#N/A</v>
      </c>
      <c r="R268" t="e">
        <f ca="1"/>
        <v>#N/A</v>
      </c>
      <c r="S268" t="e">
        <f ca="1"/>
        <v>#N/A</v>
      </c>
      <c r="T268" t="e">
        <f ca="1"/>
        <v>#N/A</v>
      </c>
      <c r="U268" t="e">
        <f ca="1"/>
        <v>#N/A</v>
      </c>
      <c r="V268" t="e">
        <f ca="1"/>
        <v>#N/A</v>
      </c>
      <c r="X268" s="2">
        <f t="shared" ca="1" si="29"/>
        <v>0</v>
      </c>
      <c r="Y268">
        <f t="shared" ca="1" si="30"/>
        <v>0</v>
      </c>
      <c r="AA268" s="63" t="e">
        <f t="shared" ca="1" si="25"/>
        <v>#N/A</v>
      </c>
      <c r="AB268" s="63" t="e">
        <f t="shared" ca="1" si="26"/>
        <v>#N/A</v>
      </c>
      <c r="AC268" s="3" t="e">
        <f t="shared" ca="1" si="27"/>
        <v>#N/A</v>
      </c>
    </row>
    <row r="269" spans="8:29">
      <c r="H269" t="e">
        <f t="shared" ca="1" si="31"/>
        <v>#N/A</v>
      </c>
      <c r="I269" t="e">
        <f t="shared" ca="1" si="28"/>
        <v>#N/A</v>
      </c>
      <c r="J269" s="2" t="e">
        <f ca="1"/>
        <v>#N/A</v>
      </c>
      <c r="K269" t="e">
        <f ca="1"/>
        <v>#N/A</v>
      </c>
      <c r="L269" t="e">
        <f ca="1"/>
        <v>#N/A</v>
      </c>
      <c r="M269" t="e">
        <f ca="1"/>
        <v>#N/A</v>
      </c>
      <c r="N269" t="e">
        <f ca="1"/>
        <v>#N/A</v>
      </c>
      <c r="O269" t="e">
        <f ca="1"/>
        <v>#N/A</v>
      </c>
      <c r="P269" t="e">
        <f ca="1"/>
        <v>#N/A</v>
      </c>
      <c r="Q269" t="e">
        <f ca="1"/>
        <v>#N/A</v>
      </c>
      <c r="R269" t="e">
        <f ca="1"/>
        <v>#N/A</v>
      </c>
      <c r="S269" t="e">
        <f ca="1"/>
        <v>#N/A</v>
      </c>
      <c r="T269" t="e">
        <f ca="1"/>
        <v>#N/A</v>
      </c>
      <c r="U269" t="e">
        <f ca="1"/>
        <v>#N/A</v>
      </c>
      <c r="V269" t="e">
        <f ca="1"/>
        <v>#N/A</v>
      </c>
      <c r="X269" s="2">
        <f t="shared" ca="1" si="29"/>
        <v>0</v>
      </c>
      <c r="Y269">
        <f t="shared" ca="1" si="30"/>
        <v>0</v>
      </c>
      <c r="AA269" s="63" t="e">
        <f t="shared" ca="1" si="25"/>
        <v>#N/A</v>
      </c>
      <c r="AB269" s="63" t="e">
        <f t="shared" ca="1" si="26"/>
        <v>#N/A</v>
      </c>
      <c r="AC269" s="3" t="e">
        <f t="shared" ca="1" si="27"/>
        <v>#N/A</v>
      </c>
    </row>
    <row r="270" spans="8:29">
      <c r="H270" t="e">
        <f t="shared" ca="1" si="31"/>
        <v>#N/A</v>
      </c>
      <c r="I270" t="e">
        <f t="shared" ca="1" si="28"/>
        <v>#N/A</v>
      </c>
      <c r="J270" s="2" t="e">
        <f ca="1"/>
        <v>#N/A</v>
      </c>
      <c r="K270" t="e">
        <f ca="1"/>
        <v>#N/A</v>
      </c>
      <c r="L270" t="e">
        <f ca="1"/>
        <v>#N/A</v>
      </c>
      <c r="M270" t="e">
        <f ca="1"/>
        <v>#N/A</v>
      </c>
      <c r="N270" t="e">
        <f ca="1"/>
        <v>#N/A</v>
      </c>
      <c r="O270" t="e">
        <f ca="1"/>
        <v>#N/A</v>
      </c>
      <c r="P270" t="e">
        <f ca="1"/>
        <v>#N/A</v>
      </c>
      <c r="Q270" t="e">
        <f ca="1"/>
        <v>#N/A</v>
      </c>
      <c r="R270" t="e">
        <f ca="1"/>
        <v>#N/A</v>
      </c>
      <c r="S270" t="e">
        <f ca="1"/>
        <v>#N/A</v>
      </c>
      <c r="T270" t="e">
        <f ca="1"/>
        <v>#N/A</v>
      </c>
      <c r="U270" t="e">
        <f ca="1"/>
        <v>#N/A</v>
      </c>
      <c r="V270" t="e">
        <f ca="1"/>
        <v>#N/A</v>
      </c>
      <c r="X270" s="2">
        <f t="shared" ca="1" si="29"/>
        <v>0</v>
      </c>
      <c r="Y270">
        <f t="shared" ca="1" si="30"/>
        <v>0</v>
      </c>
      <c r="AA270" s="63" t="e">
        <f t="shared" ca="1" si="25"/>
        <v>#N/A</v>
      </c>
      <c r="AB270" s="63" t="e">
        <f t="shared" ca="1" si="26"/>
        <v>#N/A</v>
      </c>
      <c r="AC270" s="3" t="e">
        <f t="shared" ca="1" si="27"/>
        <v>#N/A</v>
      </c>
    </row>
    <row r="271" spans="8:29">
      <c r="H271" t="e">
        <f t="shared" ca="1" si="31"/>
        <v>#N/A</v>
      </c>
      <c r="I271" t="e">
        <f t="shared" ca="1" si="28"/>
        <v>#N/A</v>
      </c>
      <c r="J271" s="2" t="e">
        <f ca="1"/>
        <v>#N/A</v>
      </c>
      <c r="K271" t="e">
        <f ca="1"/>
        <v>#N/A</v>
      </c>
      <c r="L271" t="e">
        <f ca="1"/>
        <v>#N/A</v>
      </c>
      <c r="M271" t="e">
        <f ca="1"/>
        <v>#N/A</v>
      </c>
      <c r="N271" t="e">
        <f ca="1"/>
        <v>#N/A</v>
      </c>
      <c r="O271" t="e">
        <f ca="1"/>
        <v>#N/A</v>
      </c>
      <c r="P271" t="e">
        <f ca="1"/>
        <v>#N/A</v>
      </c>
      <c r="Q271" t="e">
        <f ca="1"/>
        <v>#N/A</v>
      </c>
      <c r="R271" t="e">
        <f ca="1"/>
        <v>#N/A</v>
      </c>
      <c r="S271" t="e">
        <f ca="1"/>
        <v>#N/A</v>
      </c>
      <c r="T271" t="e">
        <f ca="1"/>
        <v>#N/A</v>
      </c>
      <c r="U271" t="e">
        <f ca="1"/>
        <v>#N/A</v>
      </c>
      <c r="V271" t="e">
        <f ca="1"/>
        <v>#N/A</v>
      </c>
      <c r="X271" s="2">
        <f t="shared" ca="1" si="29"/>
        <v>0</v>
      </c>
      <c r="Y271">
        <f t="shared" ca="1" si="30"/>
        <v>0</v>
      </c>
      <c r="AA271" s="63" t="e">
        <f t="shared" ca="1" si="25"/>
        <v>#N/A</v>
      </c>
      <c r="AB271" s="63" t="e">
        <f t="shared" ca="1" si="26"/>
        <v>#N/A</v>
      </c>
      <c r="AC271" s="3" t="e">
        <f t="shared" ca="1" si="27"/>
        <v>#N/A</v>
      </c>
    </row>
    <row r="272" spans="8:29">
      <c r="H272" t="e">
        <f t="shared" ca="1" si="31"/>
        <v>#N/A</v>
      </c>
      <c r="I272" t="e">
        <f t="shared" ca="1" si="28"/>
        <v>#N/A</v>
      </c>
      <c r="J272" s="2" t="e">
        <f ca="1"/>
        <v>#N/A</v>
      </c>
      <c r="K272" t="e">
        <f ca="1"/>
        <v>#N/A</v>
      </c>
      <c r="L272" t="e">
        <f ca="1"/>
        <v>#N/A</v>
      </c>
      <c r="M272" t="e">
        <f ca="1"/>
        <v>#N/A</v>
      </c>
      <c r="N272" t="e">
        <f ca="1"/>
        <v>#N/A</v>
      </c>
      <c r="O272" t="e">
        <f ca="1"/>
        <v>#N/A</v>
      </c>
      <c r="P272" t="e">
        <f ca="1"/>
        <v>#N/A</v>
      </c>
      <c r="Q272" t="e">
        <f ca="1"/>
        <v>#N/A</v>
      </c>
      <c r="R272" t="e">
        <f ca="1"/>
        <v>#N/A</v>
      </c>
      <c r="S272" t="e">
        <f ca="1"/>
        <v>#N/A</v>
      </c>
      <c r="T272" t="e">
        <f ca="1"/>
        <v>#N/A</v>
      </c>
      <c r="U272" t="e">
        <f ca="1"/>
        <v>#N/A</v>
      </c>
      <c r="V272" t="e">
        <f ca="1"/>
        <v>#N/A</v>
      </c>
      <c r="X272" s="2">
        <f t="shared" ca="1" si="29"/>
        <v>0</v>
      </c>
      <c r="Y272">
        <f t="shared" ca="1" si="30"/>
        <v>0</v>
      </c>
      <c r="AA272" s="63" t="e">
        <f t="shared" ref="AA272:AA335" ca="1" si="32">K271+M272+N272+O272</f>
        <v>#N/A</v>
      </c>
      <c r="AB272" s="63" t="e">
        <f t="shared" ref="AB272:AB335" ca="1" si="33">K272+L272+R272</f>
        <v>#N/A</v>
      </c>
      <c r="AC272" s="3" t="e">
        <f t="shared" ref="AC272:AC335" ca="1" si="34">AB272-AA272</f>
        <v>#N/A</v>
      </c>
    </row>
    <row r="273" spans="8:29">
      <c r="H273" t="e">
        <f t="shared" ca="1" si="31"/>
        <v>#N/A</v>
      </c>
      <c r="I273" t="e">
        <f t="shared" ca="1" si="28"/>
        <v>#N/A</v>
      </c>
      <c r="J273" s="2" t="e">
        <f ca="1"/>
        <v>#N/A</v>
      </c>
      <c r="K273" t="e">
        <f ca="1"/>
        <v>#N/A</v>
      </c>
      <c r="L273" t="e">
        <f ca="1"/>
        <v>#N/A</v>
      </c>
      <c r="M273" t="e">
        <f ca="1"/>
        <v>#N/A</v>
      </c>
      <c r="N273" t="e">
        <f ca="1"/>
        <v>#N/A</v>
      </c>
      <c r="O273" t="e">
        <f ca="1"/>
        <v>#N/A</v>
      </c>
      <c r="P273" t="e">
        <f ca="1"/>
        <v>#N/A</v>
      </c>
      <c r="Q273" t="e">
        <f ca="1"/>
        <v>#N/A</v>
      </c>
      <c r="R273" t="e">
        <f ca="1"/>
        <v>#N/A</v>
      </c>
      <c r="S273" t="e">
        <f ca="1"/>
        <v>#N/A</v>
      </c>
      <c r="T273" t="e">
        <f ca="1"/>
        <v>#N/A</v>
      </c>
      <c r="U273" t="e">
        <f ca="1"/>
        <v>#N/A</v>
      </c>
      <c r="V273" t="e">
        <f ca="1"/>
        <v>#N/A</v>
      </c>
      <c r="X273" s="2">
        <f t="shared" ca="1" si="29"/>
        <v>0</v>
      </c>
      <c r="Y273">
        <f t="shared" ca="1" si="30"/>
        <v>0</v>
      </c>
      <c r="AA273" s="63" t="e">
        <f t="shared" ca="1" si="32"/>
        <v>#N/A</v>
      </c>
      <c r="AB273" s="63" t="e">
        <f t="shared" ca="1" si="33"/>
        <v>#N/A</v>
      </c>
      <c r="AC273" s="3" t="e">
        <f t="shared" ca="1" si="34"/>
        <v>#N/A</v>
      </c>
    </row>
    <row r="274" spans="8:29">
      <c r="H274" t="e">
        <f t="shared" ca="1" si="31"/>
        <v>#N/A</v>
      </c>
      <c r="I274" t="e">
        <f t="shared" ca="1" si="28"/>
        <v>#N/A</v>
      </c>
      <c r="J274" s="2" t="e">
        <f ca="1"/>
        <v>#N/A</v>
      </c>
      <c r="K274" t="e">
        <f ca="1"/>
        <v>#N/A</v>
      </c>
      <c r="L274" t="e">
        <f ca="1"/>
        <v>#N/A</v>
      </c>
      <c r="M274" t="e">
        <f ca="1"/>
        <v>#N/A</v>
      </c>
      <c r="N274" t="e">
        <f ca="1"/>
        <v>#N/A</v>
      </c>
      <c r="O274" t="e">
        <f ca="1"/>
        <v>#N/A</v>
      </c>
      <c r="P274" t="e">
        <f ca="1"/>
        <v>#N/A</v>
      </c>
      <c r="Q274" t="e">
        <f ca="1"/>
        <v>#N/A</v>
      </c>
      <c r="R274" t="e">
        <f ca="1"/>
        <v>#N/A</v>
      </c>
      <c r="S274" t="e">
        <f ca="1"/>
        <v>#N/A</v>
      </c>
      <c r="T274" t="e">
        <f ca="1"/>
        <v>#N/A</v>
      </c>
      <c r="U274" t="e">
        <f ca="1"/>
        <v>#N/A</v>
      </c>
      <c r="V274" t="e">
        <f ca="1"/>
        <v>#N/A</v>
      </c>
      <c r="X274" s="2">
        <f t="shared" ca="1" si="29"/>
        <v>0</v>
      </c>
      <c r="Y274">
        <f t="shared" ca="1" si="30"/>
        <v>0</v>
      </c>
      <c r="AA274" s="63" t="e">
        <f t="shared" ca="1" si="32"/>
        <v>#N/A</v>
      </c>
      <c r="AB274" s="63" t="e">
        <f t="shared" ca="1" si="33"/>
        <v>#N/A</v>
      </c>
      <c r="AC274" s="3" t="e">
        <f t="shared" ca="1" si="34"/>
        <v>#N/A</v>
      </c>
    </row>
    <row r="275" spans="8:29">
      <c r="H275" t="e">
        <f t="shared" ca="1" si="31"/>
        <v>#N/A</v>
      </c>
      <c r="I275" t="e">
        <f t="shared" ca="1" si="28"/>
        <v>#N/A</v>
      </c>
      <c r="J275" s="2" t="e">
        <f ca="1"/>
        <v>#N/A</v>
      </c>
      <c r="K275" t="e">
        <f ca="1"/>
        <v>#N/A</v>
      </c>
      <c r="L275" t="e">
        <f ca="1"/>
        <v>#N/A</v>
      </c>
      <c r="M275" t="e">
        <f ca="1"/>
        <v>#N/A</v>
      </c>
      <c r="N275" t="e">
        <f ca="1"/>
        <v>#N/A</v>
      </c>
      <c r="O275" t="e">
        <f ca="1"/>
        <v>#N/A</v>
      </c>
      <c r="P275" t="e">
        <f ca="1"/>
        <v>#N/A</v>
      </c>
      <c r="Q275" t="e">
        <f ca="1"/>
        <v>#N/A</v>
      </c>
      <c r="R275" t="e">
        <f ca="1"/>
        <v>#N/A</v>
      </c>
      <c r="S275" t="e">
        <f ca="1"/>
        <v>#N/A</v>
      </c>
      <c r="T275" t="e">
        <f ca="1"/>
        <v>#N/A</v>
      </c>
      <c r="U275" t="e">
        <f ca="1"/>
        <v>#N/A</v>
      </c>
      <c r="V275" t="e">
        <f ca="1"/>
        <v>#N/A</v>
      </c>
      <c r="X275" s="2">
        <f t="shared" ca="1" si="29"/>
        <v>0</v>
      </c>
      <c r="Y275">
        <f t="shared" ca="1" si="30"/>
        <v>0</v>
      </c>
      <c r="AA275" s="63" t="e">
        <f t="shared" ca="1" si="32"/>
        <v>#N/A</v>
      </c>
      <c r="AB275" s="63" t="e">
        <f t="shared" ca="1" si="33"/>
        <v>#N/A</v>
      </c>
      <c r="AC275" s="3" t="e">
        <f t="shared" ca="1" si="34"/>
        <v>#N/A</v>
      </c>
    </row>
    <row r="276" spans="8:29">
      <c r="H276" t="e">
        <f t="shared" ca="1" si="31"/>
        <v>#N/A</v>
      </c>
      <c r="I276" t="e">
        <f t="shared" ca="1" si="28"/>
        <v>#N/A</v>
      </c>
      <c r="J276" s="2" t="e">
        <f ca="1"/>
        <v>#N/A</v>
      </c>
      <c r="K276" t="e">
        <f ca="1"/>
        <v>#N/A</v>
      </c>
      <c r="L276" t="e">
        <f ca="1"/>
        <v>#N/A</v>
      </c>
      <c r="M276" t="e">
        <f ca="1"/>
        <v>#N/A</v>
      </c>
      <c r="N276" t="e">
        <f ca="1"/>
        <v>#N/A</v>
      </c>
      <c r="O276" t="e">
        <f ca="1"/>
        <v>#N/A</v>
      </c>
      <c r="P276" t="e">
        <f ca="1"/>
        <v>#N/A</v>
      </c>
      <c r="Q276" t="e">
        <f ca="1"/>
        <v>#N/A</v>
      </c>
      <c r="R276" t="e">
        <f ca="1"/>
        <v>#N/A</v>
      </c>
      <c r="S276" t="e">
        <f ca="1"/>
        <v>#N/A</v>
      </c>
      <c r="T276" t="e">
        <f ca="1"/>
        <v>#N/A</v>
      </c>
      <c r="U276" t="e">
        <f ca="1"/>
        <v>#N/A</v>
      </c>
      <c r="V276" t="e">
        <f ca="1"/>
        <v>#N/A</v>
      </c>
      <c r="X276" s="2">
        <f t="shared" ca="1" si="29"/>
        <v>0</v>
      </c>
      <c r="Y276">
        <f t="shared" ca="1" si="30"/>
        <v>0</v>
      </c>
      <c r="AA276" s="63" t="e">
        <f t="shared" ca="1" si="32"/>
        <v>#N/A</v>
      </c>
      <c r="AB276" s="63" t="e">
        <f t="shared" ca="1" si="33"/>
        <v>#N/A</v>
      </c>
      <c r="AC276" s="3" t="e">
        <f t="shared" ca="1" si="34"/>
        <v>#N/A</v>
      </c>
    </row>
    <row r="277" spans="8:29">
      <c r="H277" t="e">
        <f t="shared" ca="1" si="31"/>
        <v>#N/A</v>
      </c>
      <c r="I277" t="e">
        <f t="shared" ca="1" si="28"/>
        <v>#N/A</v>
      </c>
      <c r="J277" s="2" t="e">
        <f ca="1"/>
        <v>#N/A</v>
      </c>
      <c r="K277" t="e">
        <f ca="1"/>
        <v>#N/A</v>
      </c>
      <c r="L277" t="e">
        <f ca="1"/>
        <v>#N/A</v>
      </c>
      <c r="M277" t="e">
        <f ca="1"/>
        <v>#N/A</v>
      </c>
      <c r="N277" t="e">
        <f ca="1"/>
        <v>#N/A</v>
      </c>
      <c r="O277" t="e">
        <f ca="1"/>
        <v>#N/A</v>
      </c>
      <c r="P277" t="e">
        <f ca="1"/>
        <v>#N/A</v>
      </c>
      <c r="Q277" t="e">
        <f ca="1"/>
        <v>#N/A</v>
      </c>
      <c r="R277" t="e">
        <f ca="1"/>
        <v>#N/A</v>
      </c>
      <c r="S277" t="e">
        <f ca="1"/>
        <v>#N/A</v>
      </c>
      <c r="T277" t="e">
        <f ca="1"/>
        <v>#N/A</v>
      </c>
      <c r="U277" t="e">
        <f ca="1"/>
        <v>#N/A</v>
      </c>
      <c r="V277" t="e">
        <f ca="1"/>
        <v>#N/A</v>
      </c>
      <c r="X277" s="2">
        <f t="shared" ca="1" si="29"/>
        <v>0</v>
      </c>
      <c r="Y277">
        <f t="shared" ca="1" si="30"/>
        <v>0</v>
      </c>
      <c r="AA277" s="63" t="e">
        <f t="shared" ca="1" si="32"/>
        <v>#N/A</v>
      </c>
      <c r="AB277" s="63" t="e">
        <f t="shared" ca="1" si="33"/>
        <v>#N/A</v>
      </c>
      <c r="AC277" s="3" t="e">
        <f t="shared" ca="1" si="34"/>
        <v>#N/A</v>
      </c>
    </row>
    <row r="278" spans="8:29">
      <c r="H278" t="e">
        <f t="shared" ca="1" si="31"/>
        <v>#N/A</v>
      </c>
      <c r="I278" t="e">
        <f t="shared" ca="1" si="28"/>
        <v>#N/A</v>
      </c>
      <c r="J278" s="2" t="e">
        <f ca="1"/>
        <v>#N/A</v>
      </c>
      <c r="K278" t="e">
        <f ca="1"/>
        <v>#N/A</v>
      </c>
      <c r="L278" t="e">
        <f ca="1"/>
        <v>#N/A</v>
      </c>
      <c r="M278" t="e">
        <f ca="1"/>
        <v>#N/A</v>
      </c>
      <c r="N278" t="e">
        <f ca="1"/>
        <v>#N/A</v>
      </c>
      <c r="O278" t="e">
        <f ca="1"/>
        <v>#N/A</v>
      </c>
      <c r="P278" t="e">
        <f ca="1"/>
        <v>#N/A</v>
      </c>
      <c r="Q278" t="e">
        <f ca="1"/>
        <v>#N/A</v>
      </c>
      <c r="R278" t="e">
        <f ca="1"/>
        <v>#N/A</v>
      </c>
      <c r="S278" t="e">
        <f ca="1"/>
        <v>#N/A</v>
      </c>
      <c r="T278" t="e">
        <f ca="1"/>
        <v>#N/A</v>
      </c>
      <c r="U278" t="e">
        <f ca="1"/>
        <v>#N/A</v>
      </c>
      <c r="V278" t="e">
        <f ca="1"/>
        <v>#N/A</v>
      </c>
      <c r="X278" s="2">
        <f t="shared" ca="1" si="29"/>
        <v>0</v>
      </c>
      <c r="Y278">
        <f t="shared" ca="1" si="30"/>
        <v>0</v>
      </c>
      <c r="AA278" s="63" t="e">
        <f t="shared" ca="1" si="32"/>
        <v>#N/A</v>
      </c>
      <c r="AB278" s="63" t="e">
        <f t="shared" ca="1" si="33"/>
        <v>#N/A</v>
      </c>
      <c r="AC278" s="3" t="e">
        <f t="shared" ca="1" si="34"/>
        <v>#N/A</v>
      </c>
    </row>
    <row r="279" spans="8:29">
      <c r="H279" t="e">
        <f t="shared" ca="1" si="31"/>
        <v>#N/A</v>
      </c>
      <c r="I279" t="e">
        <f t="shared" ca="1" si="28"/>
        <v>#N/A</v>
      </c>
      <c r="J279" s="2" t="e">
        <f ca="1"/>
        <v>#N/A</v>
      </c>
      <c r="K279" t="e">
        <f ca="1"/>
        <v>#N/A</v>
      </c>
      <c r="L279" t="e">
        <f ca="1"/>
        <v>#N/A</v>
      </c>
      <c r="M279" t="e">
        <f ca="1"/>
        <v>#N/A</v>
      </c>
      <c r="N279" t="e">
        <f ca="1"/>
        <v>#N/A</v>
      </c>
      <c r="O279" t="e">
        <f ca="1"/>
        <v>#N/A</v>
      </c>
      <c r="P279" t="e">
        <f ca="1"/>
        <v>#N/A</v>
      </c>
      <c r="Q279" t="e">
        <f ca="1"/>
        <v>#N/A</v>
      </c>
      <c r="R279" t="e">
        <f ca="1"/>
        <v>#N/A</v>
      </c>
      <c r="S279" t="e">
        <f ca="1"/>
        <v>#N/A</v>
      </c>
      <c r="T279" t="e">
        <f ca="1"/>
        <v>#N/A</v>
      </c>
      <c r="U279" t="e">
        <f ca="1"/>
        <v>#N/A</v>
      </c>
      <c r="V279" t="e">
        <f ca="1"/>
        <v>#N/A</v>
      </c>
      <c r="X279" s="2">
        <f t="shared" ca="1" si="29"/>
        <v>0</v>
      </c>
      <c r="Y279">
        <f t="shared" ca="1" si="30"/>
        <v>0</v>
      </c>
      <c r="AA279" s="63" t="e">
        <f t="shared" ca="1" si="32"/>
        <v>#N/A</v>
      </c>
      <c r="AB279" s="63" t="e">
        <f t="shared" ca="1" si="33"/>
        <v>#N/A</v>
      </c>
      <c r="AC279" s="3" t="e">
        <f t="shared" ca="1" si="34"/>
        <v>#N/A</v>
      </c>
    </row>
    <row r="280" spans="8:29">
      <c r="H280" t="e">
        <f t="shared" ca="1" si="31"/>
        <v>#N/A</v>
      </c>
      <c r="I280" t="e">
        <f t="shared" ca="1" si="28"/>
        <v>#N/A</v>
      </c>
      <c r="J280" s="2" t="e">
        <f ca="1"/>
        <v>#N/A</v>
      </c>
      <c r="K280" t="e">
        <f ca="1"/>
        <v>#N/A</v>
      </c>
      <c r="L280" t="e">
        <f ca="1"/>
        <v>#N/A</v>
      </c>
      <c r="M280" t="e">
        <f ca="1"/>
        <v>#N/A</v>
      </c>
      <c r="N280" t="e">
        <f ca="1"/>
        <v>#N/A</v>
      </c>
      <c r="O280" t="e">
        <f ca="1"/>
        <v>#N/A</v>
      </c>
      <c r="P280" t="e">
        <f ca="1"/>
        <v>#N/A</v>
      </c>
      <c r="Q280" t="e">
        <f ca="1"/>
        <v>#N/A</v>
      </c>
      <c r="R280" t="e">
        <f ca="1"/>
        <v>#N/A</v>
      </c>
      <c r="S280" t="e">
        <f ca="1"/>
        <v>#N/A</v>
      </c>
      <c r="T280" t="e">
        <f ca="1"/>
        <v>#N/A</v>
      </c>
      <c r="U280" t="e">
        <f ca="1"/>
        <v>#N/A</v>
      </c>
      <c r="V280" t="e">
        <f ca="1"/>
        <v>#N/A</v>
      </c>
      <c r="X280" s="2">
        <f t="shared" ca="1" si="29"/>
        <v>0</v>
      </c>
      <c r="Y280">
        <f t="shared" ca="1" si="30"/>
        <v>0</v>
      </c>
      <c r="AA280" s="63" t="e">
        <f t="shared" ca="1" si="32"/>
        <v>#N/A</v>
      </c>
      <c r="AB280" s="63" t="e">
        <f t="shared" ca="1" si="33"/>
        <v>#N/A</v>
      </c>
      <c r="AC280" s="3" t="e">
        <f t="shared" ca="1" si="34"/>
        <v>#N/A</v>
      </c>
    </row>
    <row r="281" spans="8:29">
      <c r="H281" t="e">
        <f t="shared" ca="1" si="31"/>
        <v>#N/A</v>
      </c>
      <c r="I281" t="e">
        <f t="shared" ca="1" si="28"/>
        <v>#N/A</v>
      </c>
      <c r="J281" s="2" t="e">
        <f ca="1"/>
        <v>#N/A</v>
      </c>
      <c r="K281" t="e">
        <f ca="1"/>
        <v>#N/A</v>
      </c>
      <c r="L281" t="e">
        <f ca="1"/>
        <v>#N/A</v>
      </c>
      <c r="M281" t="e">
        <f ca="1"/>
        <v>#N/A</v>
      </c>
      <c r="N281" t="e">
        <f ca="1"/>
        <v>#N/A</v>
      </c>
      <c r="O281" t="e">
        <f ca="1"/>
        <v>#N/A</v>
      </c>
      <c r="P281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X281" s="2">
        <f t="shared" ca="1" si="29"/>
        <v>0</v>
      </c>
      <c r="Y281">
        <f t="shared" ca="1" si="30"/>
        <v>0</v>
      </c>
      <c r="AA281" s="63" t="e">
        <f t="shared" ca="1" si="32"/>
        <v>#N/A</v>
      </c>
      <c r="AB281" s="63" t="e">
        <f t="shared" ca="1" si="33"/>
        <v>#N/A</v>
      </c>
      <c r="AC281" s="3" t="e">
        <f t="shared" ca="1" si="34"/>
        <v>#N/A</v>
      </c>
    </row>
    <row r="282" spans="8:29">
      <c r="H282" t="e">
        <f t="shared" ca="1" si="31"/>
        <v>#N/A</v>
      </c>
      <c r="I282" t="e">
        <f t="shared" ca="1" si="28"/>
        <v>#N/A</v>
      </c>
      <c r="J282" s="2" t="e">
        <f ca="1"/>
        <v>#N/A</v>
      </c>
      <c r="K282" t="e">
        <f ca="1"/>
        <v>#N/A</v>
      </c>
      <c r="L282" t="e">
        <f ca="1"/>
        <v>#N/A</v>
      </c>
      <c r="M282" t="e">
        <f ca="1"/>
        <v>#N/A</v>
      </c>
      <c r="N282" t="e">
        <f ca="1"/>
        <v>#N/A</v>
      </c>
      <c r="O282" t="e">
        <f ca="1"/>
        <v>#N/A</v>
      </c>
      <c r="P28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X282" s="2">
        <f t="shared" ca="1" si="29"/>
        <v>0</v>
      </c>
      <c r="Y282">
        <f t="shared" ca="1" si="30"/>
        <v>0</v>
      </c>
      <c r="AA282" s="63" t="e">
        <f t="shared" ca="1" si="32"/>
        <v>#N/A</v>
      </c>
      <c r="AB282" s="63" t="e">
        <f t="shared" ca="1" si="33"/>
        <v>#N/A</v>
      </c>
      <c r="AC282" s="3" t="e">
        <f t="shared" ca="1" si="34"/>
        <v>#N/A</v>
      </c>
    </row>
    <row r="283" spans="8:29">
      <c r="H283" t="e">
        <f t="shared" ca="1" si="31"/>
        <v>#N/A</v>
      </c>
      <c r="I283" t="e">
        <f t="shared" ca="1" si="28"/>
        <v>#N/A</v>
      </c>
      <c r="J283" s="2" t="e">
        <f ca="1"/>
        <v>#N/A</v>
      </c>
      <c r="K283" t="e">
        <f ca="1"/>
        <v>#N/A</v>
      </c>
      <c r="L283" t="e">
        <f ca="1"/>
        <v>#N/A</v>
      </c>
      <c r="M283" t="e">
        <f ca="1"/>
        <v>#N/A</v>
      </c>
      <c r="N283" t="e">
        <f ca="1"/>
        <v>#N/A</v>
      </c>
      <c r="O283" t="e">
        <f ca="1"/>
        <v>#N/A</v>
      </c>
      <c r="P283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X283" s="2">
        <f t="shared" ca="1" si="29"/>
        <v>0</v>
      </c>
      <c r="Y283">
        <f t="shared" ca="1" si="30"/>
        <v>0</v>
      </c>
      <c r="AA283" s="63" t="e">
        <f t="shared" ca="1" si="32"/>
        <v>#N/A</v>
      </c>
      <c r="AB283" s="63" t="e">
        <f t="shared" ca="1" si="33"/>
        <v>#N/A</v>
      </c>
      <c r="AC283" s="3" t="e">
        <f t="shared" ca="1" si="34"/>
        <v>#N/A</v>
      </c>
    </row>
    <row r="284" spans="8:29">
      <c r="H284" t="e">
        <f t="shared" ca="1" si="31"/>
        <v>#N/A</v>
      </c>
      <c r="I284" t="e">
        <f t="shared" ca="1" si="28"/>
        <v>#N/A</v>
      </c>
      <c r="J284" s="2" t="e">
        <f ca="1"/>
        <v>#N/A</v>
      </c>
      <c r="K284" t="e">
        <f ca="1"/>
        <v>#N/A</v>
      </c>
      <c r="L284" t="e">
        <f ca="1"/>
        <v>#N/A</v>
      </c>
      <c r="M284" t="e">
        <f ca="1"/>
        <v>#N/A</v>
      </c>
      <c r="N284" t="e">
        <f ca="1"/>
        <v>#N/A</v>
      </c>
      <c r="O284" t="e">
        <f ca="1"/>
        <v>#N/A</v>
      </c>
      <c r="P284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X284" s="2">
        <f t="shared" ca="1" si="29"/>
        <v>0</v>
      </c>
      <c r="Y284">
        <f t="shared" ca="1" si="30"/>
        <v>0</v>
      </c>
      <c r="AA284" s="63" t="e">
        <f t="shared" ca="1" si="32"/>
        <v>#N/A</v>
      </c>
      <c r="AB284" s="63" t="e">
        <f t="shared" ca="1" si="33"/>
        <v>#N/A</v>
      </c>
      <c r="AC284" s="3" t="e">
        <f t="shared" ca="1" si="34"/>
        <v>#N/A</v>
      </c>
    </row>
    <row r="285" spans="8:29">
      <c r="H285" t="e">
        <f t="shared" ca="1" si="31"/>
        <v>#N/A</v>
      </c>
      <c r="I285" t="e">
        <f t="shared" ca="1" si="28"/>
        <v>#N/A</v>
      </c>
      <c r="J285" s="2" t="e">
        <f ca="1"/>
        <v>#N/A</v>
      </c>
      <c r="K285" t="e">
        <f ca="1"/>
        <v>#N/A</v>
      </c>
      <c r="L285" t="e">
        <f ca="1"/>
        <v>#N/A</v>
      </c>
      <c r="M285" t="e">
        <f ca="1"/>
        <v>#N/A</v>
      </c>
      <c r="N285" t="e">
        <f ca="1"/>
        <v>#N/A</v>
      </c>
      <c r="O285" t="e">
        <f ca="1"/>
        <v>#N/A</v>
      </c>
      <c r="P285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X285" s="2">
        <f t="shared" ca="1" si="29"/>
        <v>0</v>
      </c>
      <c r="Y285">
        <f t="shared" ca="1" si="30"/>
        <v>0</v>
      </c>
      <c r="AA285" s="63" t="e">
        <f t="shared" ca="1" si="32"/>
        <v>#N/A</v>
      </c>
      <c r="AB285" s="63" t="e">
        <f t="shared" ca="1" si="33"/>
        <v>#N/A</v>
      </c>
      <c r="AC285" s="3" t="e">
        <f t="shared" ca="1" si="34"/>
        <v>#N/A</v>
      </c>
    </row>
    <row r="286" spans="8:29">
      <c r="H286" t="e">
        <f t="shared" ca="1" si="31"/>
        <v>#N/A</v>
      </c>
      <c r="I286" t="e">
        <f t="shared" ca="1" si="28"/>
        <v>#N/A</v>
      </c>
      <c r="J286" s="2" t="e">
        <f ca="1"/>
        <v>#N/A</v>
      </c>
      <c r="K286" t="e">
        <f ca="1"/>
        <v>#N/A</v>
      </c>
      <c r="L286" t="e">
        <f ca="1"/>
        <v>#N/A</v>
      </c>
      <c r="M286" t="e">
        <f ca="1"/>
        <v>#N/A</v>
      </c>
      <c r="N286" t="e">
        <f ca="1"/>
        <v>#N/A</v>
      </c>
      <c r="O286" t="e">
        <f ca="1"/>
        <v>#N/A</v>
      </c>
      <c r="P286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X286" s="2">
        <f t="shared" ca="1" si="29"/>
        <v>0</v>
      </c>
      <c r="Y286">
        <f t="shared" ca="1" si="30"/>
        <v>0</v>
      </c>
      <c r="AA286" s="63" t="e">
        <f t="shared" ca="1" si="32"/>
        <v>#N/A</v>
      </c>
      <c r="AB286" s="63" t="e">
        <f t="shared" ca="1" si="33"/>
        <v>#N/A</v>
      </c>
      <c r="AC286" s="3" t="e">
        <f t="shared" ca="1" si="34"/>
        <v>#N/A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A1" workbookViewId="0">
      <selection activeCell="AR12" sqref="AR12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257</v>
      </c>
      <c r="CT1" t="s">
        <v>258</v>
      </c>
      <c r="CU1" t="s">
        <v>259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264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263</v>
      </c>
      <c r="CS2" t="s">
        <v>256</v>
      </c>
      <c r="CT2" t="s">
        <v>256</v>
      </c>
      <c r="CU2" t="s">
        <v>256</v>
      </c>
    </row>
    <row r="3" spans="1:99">
      <c r="AS3" s="12"/>
      <c r="AW3" t="s">
        <v>78</v>
      </c>
      <c r="BA3" t="s">
        <v>260</v>
      </c>
      <c r="BO3" t="s">
        <v>89</v>
      </c>
      <c r="BU3" t="s">
        <v>68</v>
      </c>
      <c r="CQ3" s="13" t="s">
        <v>39</v>
      </c>
      <c r="CR3" t="s">
        <v>262</v>
      </c>
      <c r="CS3" t="s">
        <v>248</v>
      </c>
      <c r="CT3" t="s">
        <v>248</v>
      </c>
      <c r="CU3" t="s">
        <v>248</v>
      </c>
    </row>
    <row r="4" spans="1:99">
      <c r="AS4" s="12"/>
      <c r="BA4" t="s">
        <v>261</v>
      </c>
      <c r="BU4" t="s">
        <v>69</v>
      </c>
      <c r="CQ4" s="13"/>
      <c r="CR4" t="s">
        <v>29</v>
      </c>
      <c r="CS4" t="s">
        <v>249</v>
      </c>
      <c r="CT4" t="s">
        <v>249</v>
      </c>
      <c r="CU4" t="s">
        <v>249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250</v>
      </c>
      <c r="CT5" t="s">
        <v>250</v>
      </c>
      <c r="CU5" t="s">
        <v>250</v>
      </c>
    </row>
    <row r="6" spans="1:99" ht="15" thickBot="1">
      <c r="AI6" t="s">
        <v>217</v>
      </c>
      <c r="AJ6" t="s">
        <v>219</v>
      </c>
      <c r="AM6" s="116" t="s">
        <v>269</v>
      </c>
      <c r="AN6">
        <v>5</v>
      </c>
      <c r="CS6" t="s">
        <v>251</v>
      </c>
      <c r="CT6" t="s">
        <v>251</v>
      </c>
      <c r="CU6" t="s">
        <v>251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222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265</v>
      </c>
      <c r="AF7">
        <v>2</v>
      </c>
      <c r="AH7" t="s">
        <v>212</v>
      </c>
      <c r="AI7">
        <v>0.7</v>
      </c>
      <c r="AJ7">
        <v>0.76</v>
      </c>
      <c r="AM7" s="114" t="s">
        <v>270</v>
      </c>
      <c r="AN7">
        <v>15</v>
      </c>
      <c r="AP7" t="s">
        <v>246</v>
      </c>
      <c r="AR7" t="s">
        <v>277</v>
      </c>
      <c r="CS7" t="s">
        <v>252</v>
      </c>
      <c r="CT7" t="s">
        <v>252</v>
      </c>
      <c r="CU7" t="s">
        <v>252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257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266</v>
      </c>
      <c r="AF8">
        <v>3</v>
      </c>
      <c r="AH8" t="s">
        <v>67</v>
      </c>
      <c r="AI8">
        <v>1.1499999999999999</v>
      </c>
      <c r="AJ8">
        <v>1.22</v>
      </c>
      <c r="AM8" s="114" t="s">
        <v>271</v>
      </c>
      <c r="AN8">
        <v>17</v>
      </c>
      <c r="AP8" t="s">
        <v>229</v>
      </c>
      <c r="AR8" t="s">
        <v>278</v>
      </c>
      <c r="CS8" t="s">
        <v>253</v>
      </c>
      <c r="CT8" t="s">
        <v>253</v>
      </c>
      <c r="CU8" t="s">
        <v>253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258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E9" t="s">
        <v>267</v>
      </c>
      <c r="AH9" t="s">
        <v>213</v>
      </c>
      <c r="AI9">
        <v>1.1499999999999999</v>
      </c>
      <c r="AJ9">
        <v>1.2</v>
      </c>
      <c r="AM9" s="114" t="s">
        <v>272</v>
      </c>
      <c r="AN9">
        <v>20</v>
      </c>
      <c r="AR9" t="s">
        <v>279</v>
      </c>
      <c r="CS9" t="s">
        <v>254</v>
      </c>
      <c r="CT9" t="s">
        <v>254</v>
      </c>
      <c r="CU9" t="s">
        <v>254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259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E10" t="s">
        <v>268</v>
      </c>
      <c r="AH10" t="s">
        <v>214</v>
      </c>
      <c r="AI10">
        <v>0.8</v>
      </c>
      <c r="AJ10">
        <v>0.83</v>
      </c>
      <c r="AM10" s="114" t="s">
        <v>240</v>
      </c>
      <c r="AN10">
        <v>16</v>
      </c>
      <c r="AR10" t="s">
        <v>280</v>
      </c>
      <c r="CS10" t="s">
        <v>255</v>
      </c>
      <c r="CT10" t="s">
        <v>255</v>
      </c>
      <c r="CU10" t="s">
        <v>255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241</v>
      </c>
      <c r="AN11">
        <v>32</v>
      </c>
      <c r="AR11" t="s">
        <v>281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273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274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275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276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242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243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2024-06-11T11:55:16Z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