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4326E1B1-F487-400B-B3E7-2AB6D3C4BFD4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L7" i="3"/>
  <c r="T7" i="3"/>
  <c r="O8" i="3"/>
  <c r="J9" i="3"/>
  <c r="R9" i="3"/>
  <c r="M10" i="3"/>
  <c r="U10" i="3"/>
  <c r="P11" i="3"/>
  <c r="K12" i="3"/>
  <c r="S12" i="3"/>
  <c r="N13" i="3"/>
  <c r="V13" i="3"/>
  <c r="Q14" i="3"/>
  <c r="L15" i="3"/>
  <c r="T15" i="3"/>
  <c r="O16" i="3"/>
  <c r="J17" i="3"/>
  <c r="R17" i="3"/>
  <c r="M18" i="3"/>
  <c r="U18" i="3"/>
  <c r="P19" i="3"/>
  <c r="K20" i="3"/>
  <c r="S20" i="3"/>
  <c r="N21" i="3"/>
  <c r="V21" i="3"/>
  <c r="Q22" i="3"/>
  <c r="L23" i="3"/>
  <c r="T23" i="3"/>
  <c r="O24" i="3"/>
  <c r="J25" i="3"/>
  <c r="R25" i="3"/>
  <c r="M26" i="3"/>
  <c r="U26" i="3"/>
  <c r="P27" i="3"/>
  <c r="K28" i="3"/>
  <c r="S28" i="3"/>
  <c r="N29" i="3"/>
  <c r="V29" i="3"/>
  <c r="Q30" i="3"/>
  <c r="L31" i="3"/>
  <c r="T31" i="3"/>
  <c r="O32" i="3"/>
  <c r="J33" i="3"/>
  <c r="R33" i="3"/>
  <c r="M34" i="3"/>
  <c r="U34" i="3"/>
  <c r="P35" i="3"/>
  <c r="K36" i="3"/>
  <c r="S36" i="3"/>
  <c r="N37" i="3"/>
  <c r="V37" i="3"/>
  <c r="Q38" i="3"/>
  <c r="L39" i="3"/>
  <c r="T39" i="3"/>
  <c r="O40" i="3"/>
  <c r="J41" i="3"/>
  <c r="R41" i="3"/>
  <c r="M42" i="3"/>
  <c r="U42" i="3"/>
  <c r="P43" i="3"/>
  <c r="K44" i="3"/>
  <c r="S44" i="3"/>
  <c r="N45" i="3"/>
  <c r="V45" i="3"/>
  <c r="Q46" i="3"/>
  <c r="L47" i="3"/>
  <c r="T47" i="3"/>
  <c r="O48" i="3"/>
  <c r="J49" i="3"/>
  <c r="R49" i="3"/>
  <c r="M50" i="3"/>
  <c r="U50" i="3"/>
  <c r="P51" i="3"/>
  <c r="K52" i="3"/>
  <c r="S52" i="3"/>
  <c r="N53" i="3"/>
  <c r="V53" i="3"/>
  <c r="Q54" i="3"/>
  <c r="L55" i="3"/>
  <c r="T55" i="3"/>
  <c r="O56" i="3"/>
  <c r="J57" i="3"/>
  <c r="R57" i="3"/>
  <c r="J6" i="3"/>
  <c r="R6" i="3"/>
  <c r="M7" i="3"/>
  <c r="U7" i="3"/>
  <c r="P8" i="3"/>
  <c r="K9" i="3"/>
  <c r="S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K6" i="3"/>
  <c r="S6" i="3"/>
  <c r="N7" i="3"/>
  <c r="V7" i="3"/>
  <c r="Q8" i="3"/>
  <c r="L9" i="3"/>
  <c r="T9" i="3"/>
  <c r="O10" i="3"/>
  <c r="J11" i="3"/>
  <c r="R11" i="3"/>
  <c r="M12" i="3"/>
  <c r="U12" i="3"/>
  <c r="P13" i="3"/>
  <c r="K14" i="3"/>
  <c r="S14" i="3"/>
  <c r="N15" i="3"/>
  <c r="V15" i="3"/>
  <c r="Q16" i="3"/>
  <c r="L17" i="3"/>
  <c r="T17" i="3"/>
  <c r="O18" i="3"/>
  <c r="J19" i="3"/>
  <c r="R19" i="3"/>
  <c r="M20" i="3"/>
  <c r="U20" i="3"/>
  <c r="P21" i="3"/>
  <c r="K22" i="3"/>
  <c r="S22" i="3"/>
  <c r="N23" i="3"/>
  <c r="V23" i="3"/>
  <c r="Q24" i="3"/>
  <c r="L25" i="3"/>
  <c r="T25" i="3"/>
  <c r="O26" i="3"/>
  <c r="J27" i="3"/>
  <c r="R27" i="3"/>
  <c r="M28" i="3"/>
  <c r="U28" i="3"/>
  <c r="P29" i="3"/>
  <c r="K30" i="3"/>
  <c r="S30" i="3"/>
  <c r="N31" i="3"/>
  <c r="V31" i="3"/>
  <c r="Q32" i="3"/>
  <c r="L33" i="3"/>
  <c r="T33" i="3"/>
  <c r="O34" i="3"/>
  <c r="J35" i="3"/>
  <c r="R35" i="3"/>
  <c r="M36" i="3"/>
  <c r="U36" i="3"/>
  <c r="P37" i="3"/>
  <c r="K38" i="3"/>
  <c r="S38" i="3"/>
  <c r="N39" i="3"/>
  <c r="V39" i="3"/>
  <c r="Q40" i="3"/>
  <c r="L41" i="3"/>
  <c r="T41" i="3"/>
  <c r="O42" i="3"/>
  <c r="J43" i="3"/>
  <c r="R43" i="3"/>
  <c r="M44" i="3"/>
  <c r="U44" i="3"/>
  <c r="P45" i="3"/>
  <c r="K46" i="3"/>
  <c r="S46" i="3"/>
  <c r="N47" i="3"/>
  <c r="V47" i="3"/>
  <c r="Q48" i="3"/>
  <c r="L49" i="3"/>
  <c r="T49" i="3"/>
  <c r="O50" i="3"/>
  <c r="J51" i="3"/>
  <c r="R51" i="3"/>
  <c r="M52" i="3"/>
  <c r="U52" i="3"/>
  <c r="P53" i="3"/>
  <c r="K54" i="3"/>
  <c r="S54" i="3"/>
  <c r="N55" i="3"/>
  <c r="V55" i="3"/>
  <c r="Q56" i="3"/>
  <c r="L57" i="3"/>
  <c r="T57" i="3"/>
  <c r="L6" i="3"/>
  <c r="T6" i="3"/>
  <c r="O7" i="3"/>
  <c r="J8" i="3"/>
  <c r="R8" i="3"/>
  <c r="M9" i="3"/>
  <c r="U9" i="3"/>
  <c r="P10" i="3"/>
  <c r="K11" i="3"/>
  <c r="S11" i="3"/>
  <c r="N12" i="3"/>
  <c r="V12" i="3"/>
  <c r="Q13" i="3"/>
  <c r="L14" i="3"/>
  <c r="T14" i="3"/>
  <c r="O15" i="3"/>
  <c r="J16" i="3"/>
  <c r="R16" i="3"/>
  <c r="M17" i="3"/>
  <c r="U17" i="3"/>
  <c r="P18" i="3"/>
  <c r="K19" i="3"/>
  <c r="S19" i="3"/>
  <c r="N20" i="3"/>
  <c r="V20" i="3"/>
  <c r="Q21" i="3"/>
  <c r="L22" i="3"/>
  <c r="T22" i="3"/>
  <c r="O23" i="3"/>
  <c r="J24" i="3"/>
  <c r="R24" i="3"/>
  <c r="M25" i="3"/>
  <c r="U25" i="3"/>
  <c r="P26" i="3"/>
  <c r="K27" i="3"/>
  <c r="S27" i="3"/>
  <c r="N28" i="3"/>
  <c r="V28" i="3"/>
  <c r="Q29" i="3"/>
  <c r="L30" i="3"/>
  <c r="T30" i="3"/>
  <c r="O31" i="3"/>
  <c r="J32" i="3"/>
  <c r="R32" i="3"/>
  <c r="M33" i="3"/>
  <c r="U33" i="3"/>
  <c r="P34" i="3"/>
  <c r="K35" i="3"/>
  <c r="S35" i="3"/>
  <c r="N36" i="3"/>
  <c r="V36" i="3"/>
  <c r="Q37" i="3"/>
  <c r="L38" i="3"/>
  <c r="T38" i="3"/>
  <c r="O39" i="3"/>
  <c r="J40" i="3"/>
  <c r="R40" i="3"/>
  <c r="M41" i="3"/>
  <c r="U41" i="3"/>
  <c r="P42" i="3"/>
  <c r="K43" i="3"/>
  <c r="S43" i="3"/>
  <c r="N44" i="3"/>
  <c r="V44" i="3"/>
  <c r="Q45" i="3"/>
  <c r="L46" i="3"/>
  <c r="T46" i="3"/>
  <c r="O47" i="3"/>
  <c r="J48" i="3"/>
  <c r="R48" i="3"/>
  <c r="M49" i="3"/>
  <c r="U49" i="3"/>
  <c r="P50" i="3"/>
  <c r="K51" i="3"/>
  <c r="S51" i="3"/>
  <c r="N52" i="3"/>
  <c r="V52" i="3"/>
  <c r="Q53" i="3"/>
  <c r="L54" i="3"/>
  <c r="T54" i="3"/>
  <c r="O55" i="3"/>
  <c r="J56" i="3"/>
  <c r="R56" i="3"/>
  <c r="M57" i="3"/>
  <c r="U57" i="3"/>
  <c r="M6" i="3"/>
  <c r="U6" i="3"/>
  <c r="P7" i="3"/>
  <c r="K8" i="3"/>
  <c r="S8" i="3"/>
  <c r="N9" i="3"/>
  <c r="V9" i="3"/>
  <c r="Q10" i="3"/>
  <c r="L11" i="3"/>
  <c r="T11" i="3"/>
  <c r="O12" i="3"/>
  <c r="J13" i="3"/>
  <c r="R13" i="3"/>
  <c r="M14" i="3"/>
  <c r="U14" i="3"/>
  <c r="P15" i="3"/>
  <c r="K16" i="3"/>
  <c r="S16" i="3"/>
  <c r="N17" i="3"/>
  <c r="V17" i="3"/>
  <c r="Q18" i="3"/>
  <c r="L19" i="3"/>
  <c r="T19" i="3"/>
  <c r="O20" i="3"/>
  <c r="J21" i="3"/>
  <c r="R21" i="3"/>
  <c r="M22" i="3"/>
  <c r="U22" i="3"/>
  <c r="P23" i="3"/>
  <c r="K24" i="3"/>
  <c r="S24" i="3"/>
  <c r="N25" i="3"/>
  <c r="V25" i="3"/>
  <c r="Q26" i="3"/>
  <c r="L27" i="3"/>
  <c r="T27" i="3"/>
  <c r="O28" i="3"/>
  <c r="J29" i="3"/>
  <c r="R29" i="3"/>
  <c r="M30" i="3"/>
  <c r="U30" i="3"/>
  <c r="P31" i="3"/>
  <c r="K32" i="3"/>
  <c r="S32" i="3"/>
  <c r="N33" i="3"/>
  <c r="V33" i="3"/>
  <c r="Q34" i="3"/>
  <c r="L35" i="3"/>
  <c r="T35" i="3"/>
  <c r="O36" i="3"/>
  <c r="J37" i="3"/>
  <c r="R37" i="3"/>
  <c r="M38" i="3"/>
  <c r="U38" i="3"/>
  <c r="P39" i="3"/>
  <c r="K40" i="3"/>
  <c r="S40" i="3"/>
  <c r="N41" i="3"/>
  <c r="V41" i="3"/>
  <c r="Q42" i="3"/>
  <c r="L43" i="3"/>
  <c r="T43" i="3"/>
  <c r="O44" i="3"/>
  <c r="J45" i="3"/>
  <c r="R45" i="3"/>
  <c r="M46" i="3"/>
  <c r="U46" i="3"/>
  <c r="P47" i="3"/>
  <c r="K48" i="3"/>
  <c r="S48" i="3"/>
  <c r="N49" i="3"/>
  <c r="V49" i="3"/>
  <c r="Q50" i="3"/>
  <c r="L51" i="3"/>
  <c r="T51" i="3"/>
  <c r="O52" i="3"/>
  <c r="J53" i="3"/>
  <c r="R53" i="3"/>
  <c r="M54" i="3"/>
  <c r="U54" i="3"/>
  <c r="P55" i="3"/>
  <c r="K56" i="3"/>
  <c r="N6" i="3"/>
  <c r="V6" i="3"/>
  <c r="Q7" i="3"/>
  <c r="L8" i="3"/>
  <c r="T8" i="3"/>
  <c r="O9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O6" i="3"/>
  <c r="U8" i="3"/>
  <c r="N11" i="3"/>
  <c r="T13" i="3"/>
  <c r="M16" i="3"/>
  <c r="S18" i="3"/>
  <c r="L21" i="3"/>
  <c r="R23" i="3"/>
  <c r="K26" i="3"/>
  <c r="Q28" i="3"/>
  <c r="J31" i="3"/>
  <c r="P33" i="3"/>
  <c r="V35" i="3"/>
  <c r="O38" i="3"/>
  <c r="U40" i="3"/>
  <c r="N43" i="3"/>
  <c r="T45" i="3"/>
  <c r="M48" i="3"/>
  <c r="S50" i="3"/>
  <c r="L53" i="3"/>
  <c r="R55" i="3"/>
  <c r="P57" i="3"/>
  <c r="P58" i="3"/>
  <c r="K59" i="3"/>
  <c r="S59" i="3"/>
  <c r="N60" i="3"/>
  <c r="V60" i="3"/>
  <c r="Q61" i="3"/>
  <c r="L62" i="3"/>
  <c r="T62" i="3"/>
  <c r="O63" i="3"/>
  <c r="J64" i="3"/>
  <c r="R64" i="3"/>
  <c r="M65" i="3"/>
  <c r="U65" i="3"/>
  <c r="P66" i="3"/>
  <c r="K67" i="3"/>
  <c r="S67" i="3"/>
  <c r="N68" i="3"/>
  <c r="V68" i="3"/>
  <c r="Q69" i="3"/>
  <c r="L70" i="3"/>
  <c r="T70" i="3"/>
  <c r="O71" i="3"/>
  <c r="J72" i="3"/>
  <c r="R72" i="3"/>
  <c r="M73" i="3"/>
  <c r="U73" i="3"/>
  <c r="P74" i="3"/>
  <c r="K75" i="3"/>
  <c r="S75" i="3"/>
  <c r="N76" i="3"/>
  <c r="V76" i="3"/>
  <c r="Q77" i="3"/>
  <c r="L78" i="3"/>
  <c r="T78" i="3"/>
  <c r="O79" i="3"/>
  <c r="J80" i="3"/>
  <c r="R80" i="3"/>
  <c r="M81" i="3"/>
  <c r="U81" i="3"/>
  <c r="P82" i="3"/>
  <c r="K83" i="3"/>
  <c r="S83" i="3"/>
  <c r="N84" i="3"/>
  <c r="V84" i="3"/>
  <c r="Q85" i="3"/>
  <c r="L86" i="3"/>
  <c r="T86" i="3"/>
  <c r="O87" i="3"/>
  <c r="J88" i="3"/>
  <c r="R88" i="3"/>
  <c r="M89" i="3"/>
  <c r="U89" i="3"/>
  <c r="P90" i="3"/>
  <c r="K91" i="3"/>
  <c r="S91" i="3"/>
  <c r="N92" i="3"/>
  <c r="V92" i="3"/>
  <c r="Q93" i="3"/>
  <c r="L94" i="3"/>
  <c r="T94" i="3"/>
  <c r="O95" i="3"/>
  <c r="J96" i="3"/>
  <c r="R96" i="3"/>
  <c r="M97" i="3"/>
  <c r="U97" i="3"/>
  <c r="P98" i="3"/>
  <c r="K99" i="3"/>
  <c r="S99" i="3"/>
  <c r="N100" i="3"/>
  <c r="V100" i="3"/>
  <c r="Q101" i="3"/>
  <c r="L102" i="3"/>
  <c r="T102" i="3"/>
  <c r="O103" i="3"/>
  <c r="J104" i="3"/>
  <c r="R104" i="3"/>
  <c r="M105" i="3"/>
  <c r="U105" i="3"/>
  <c r="P106" i="3"/>
  <c r="K107" i="3"/>
  <c r="S107" i="3"/>
  <c r="N108" i="3"/>
  <c r="V108" i="3"/>
  <c r="Q109" i="3"/>
  <c r="L110" i="3"/>
  <c r="T110" i="3"/>
  <c r="O111" i="3"/>
  <c r="J112" i="3"/>
  <c r="R112" i="3"/>
  <c r="M113" i="3"/>
  <c r="U113" i="3"/>
  <c r="P114" i="3"/>
  <c r="K115" i="3"/>
  <c r="S115" i="3"/>
  <c r="N116" i="3"/>
  <c r="V116" i="3"/>
  <c r="Q117" i="3"/>
  <c r="L118" i="3"/>
  <c r="T118" i="3"/>
  <c r="O119" i="3"/>
  <c r="J120" i="3"/>
  <c r="R120" i="3"/>
  <c r="M121" i="3"/>
  <c r="U121" i="3"/>
  <c r="P122" i="3"/>
  <c r="K123" i="3"/>
  <c r="S123" i="3"/>
  <c r="N124" i="3"/>
  <c r="V124" i="3"/>
  <c r="Q125" i="3"/>
  <c r="L126" i="3"/>
  <c r="T126" i="3"/>
  <c r="O127" i="3"/>
  <c r="P6" i="3"/>
  <c r="V8" i="3"/>
  <c r="O11" i="3"/>
  <c r="U13" i="3"/>
  <c r="N16" i="3"/>
  <c r="T18" i="3"/>
  <c r="M21" i="3"/>
  <c r="S23" i="3"/>
  <c r="L26" i="3"/>
  <c r="R28" i="3"/>
  <c r="K31" i="3"/>
  <c r="Q33" i="3"/>
  <c r="J36" i="3"/>
  <c r="P38" i="3"/>
  <c r="V40" i="3"/>
  <c r="O43" i="3"/>
  <c r="U45" i="3"/>
  <c r="N48" i="3"/>
  <c r="T50" i="3"/>
  <c r="M53" i="3"/>
  <c r="S55" i="3"/>
  <c r="Q57" i="3"/>
  <c r="Q58" i="3"/>
  <c r="L59" i="3"/>
  <c r="T59" i="3"/>
  <c r="O60" i="3"/>
  <c r="J61" i="3"/>
  <c r="R61" i="3"/>
  <c r="M62" i="3"/>
  <c r="U62" i="3"/>
  <c r="P63" i="3"/>
  <c r="K64" i="3"/>
  <c r="S64" i="3"/>
  <c r="N65" i="3"/>
  <c r="V65" i="3"/>
  <c r="Q66" i="3"/>
  <c r="L67" i="3"/>
  <c r="T67" i="3"/>
  <c r="O68" i="3"/>
  <c r="J69" i="3"/>
  <c r="R69" i="3"/>
  <c r="M70" i="3"/>
  <c r="U70" i="3"/>
  <c r="P71" i="3"/>
  <c r="K72" i="3"/>
  <c r="S72" i="3"/>
  <c r="N73" i="3"/>
  <c r="V73" i="3"/>
  <c r="Q74" i="3"/>
  <c r="L75" i="3"/>
  <c r="T75" i="3"/>
  <c r="O76" i="3"/>
  <c r="J77" i="3"/>
  <c r="R77" i="3"/>
  <c r="M78" i="3"/>
  <c r="U78" i="3"/>
  <c r="P79" i="3"/>
  <c r="K80" i="3"/>
  <c r="S80" i="3"/>
  <c r="N81" i="3"/>
  <c r="V81" i="3"/>
  <c r="Q82" i="3"/>
  <c r="L83" i="3"/>
  <c r="T83" i="3"/>
  <c r="O84" i="3"/>
  <c r="J85" i="3"/>
  <c r="R85" i="3"/>
  <c r="M86" i="3"/>
  <c r="U86" i="3"/>
  <c r="P87" i="3"/>
  <c r="K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J7" i="3"/>
  <c r="P9" i="3"/>
  <c r="V11" i="3"/>
  <c r="O14" i="3"/>
  <c r="U16" i="3"/>
  <c r="N19" i="3"/>
  <c r="T21" i="3"/>
  <c r="M24" i="3"/>
  <c r="S26" i="3"/>
  <c r="L29" i="3"/>
  <c r="R31" i="3"/>
  <c r="K34" i="3"/>
  <c r="Q36" i="3"/>
  <c r="J39" i="3"/>
  <c r="P41" i="3"/>
  <c r="V43" i="3"/>
  <c r="O46" i="3"/>
  <c r="U48" i="3"/>
  <c r="N51" i="3"/>
  <c r="T53" i="3"/>
  <c r="M56" i="3"/>
  <c r="V57" i="3"/>
  <c r="R58" i="3"/>
  <c r="M59" i="3"/>
  <c r="U59" i="3"/>
  <c r="P60" i="3"/>
  <c r="K61" i="3"/>
  <c r="S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L88" i="3"/>
  <c r="T88" i="3"/>
  <c r="O89" i="3"/>
  <c r="J90" i="3"/>
  <c r="R90" i="3"/>
  <c r="M91" i="3"/>
  <c r="U91" i="3"/>
  <c r="P92" i="3"/>
  <c r="K93" i="3"/>
  <c r="S93" i="3"/>
  <c r="N94" i="3"/>
  <c r="V94" i="3"/>
  <c r="Q95" i="3"/>
  <c r="L96" i="3"/>
  <c r="T96" i="3"/>
  <c r="O97" i="3"/>
  <c r="J98" i="3"/>
  <c r="R98" i="3"/>
  <c r="M99" i="3"/>
  <c r="U99" i="3"/>
  <c r="P100" i="3"/>
  <c r="K101" i="3"/>
  <c r="S101" i="3"/>
  <c r="N102" i="3"/>
  <c r="V102" i="3"/>
  <c r="Q103" i="3"/>
  <c r="L104" i="3"/>
  <c r="T104" i="3"/>
  <c r="O105" i="3"/>
  <c r="J106" i="3"/>
  <c r="R106" i="3"/>
  <c r="M107" i="3"/>
  <c r="U107" i="3"/>
  <c r="P108" i="3"/>
  <c r="K109" i="3"/>
  <c r="S109" i="3"/>
  <c r="N110" i="3"/>
  <c r="V110" i="3"/>
  <c r="Q111" i="3"/>
  <c r="L112" i="3"/>
  <c r="T112" i="3"/>
  <c r="O113" i="3"/>
  <c r="J114" i="3"/>
  <c r="R114" i="3"/>
  <c r="M115" i="3"/>
  <c r="U115" i="3"/>
  <c r="P116" i="3"/>
  <c r="K117" i="3"/>
  <c r="S117" i="3"/>
  <c r="K7" i="3"/>
  <c r="Q9" i="3"/>
  <c r="J12" i="3"/>
  <c r="P14" i="3"/>
  <c r="V16" i="3"/>
  <c r="O19" i="3"/>
  <c r="U21" i="3"/>
  <c r="N24" i="3"/>
  <c r="T26" i="3"/>
  <c r="M29" i="3"/>
  <c r="S31" i="3"/>
  <c r="L34" i="3"/>
  <c r="R36" i="3"/>
  <c r="K39" i="3"/>
  <c r="Q41" i="3"/>
  <c r="J44" i="3"/>
  <c r="P46" i="3"/>
  <c r="V48" i="3"/>
  <c r="O51" i="3"/>
  <c r="U53" i="3"/>
  <c r="N56" i="3"/>
  <c r="K58" i="3"/>
  <c r="S58" i="3"/>
  <c r="N59" i="3"/>
  <c r="V59" i="3"/>
  <c r="Q60" i="3"/>
  <c r="L61" i="3"/>
  <c r="T61" i="3"/>
  <c r="O62" i="3"/>
  <c r="J63" i="3"/>
  <c r="R63" i="3"/>
  <c r="M64" i="3"/>
  <c r="U64" i="3"/>
  <c r="P65" i="3"/>
  <c r="K66" i="3"/>
  <c r="S66" i="3"/>
  <c r="N67" i="3"/>
  <c r="V67" i="3"/>
  <c r="Q68" i="3"/>
  <c r="L69" i="3"/>
  <c r="T69" i="3"/>
  <c r="O70" i="3"/>
  <c r="J71" i="3"/>
  <c r="R71" i="3"/>
  <c r="M72" i="3"/>
  <c r="U72" i="3"/>
  <c r="P73" i="3"/>
  <c r="K74" i="3"/>
  <c r="S74" i="3"/>
  <c r="N75" i="3"/>
  <c r="V75" i="3"/>
  <c r="Q76" i="3"/>
  <c r="L77" i="3"/>
  <c r="T77" i="3"/>
  <c r="O78" i="3"/>
  <c r="J79" i="3"/>
  <c r="R79" i="3"/>
  <c r="M80" i="3"/>
  <c r="U80" i="3"/>
  <c r="P81" i="3"/>
  <c r="K82" i="3"/>
  <c r="S82" i="3"/>
  <c r="N83" i="3"/>
  <c r="V83" i="3"/>
  <c r="Q84" i="3"/>
  <c r="L85" i="3"/>
  <c r="T85" i="3"/>
  <c r="R7" i="3"/>
  <c r="K10" i="3"/>
  <c r="Q12" i="3"/>
  <c r="J15" i="3"/>
  <c r="P17" i="3"/>
  <c r="V19" i="3"/>
  <c r="O22" i="3"/>
  <c r="U24" i="3"/>
  <c r="N27" i="3"/>
  <c r="T29" i="3"/>
  <c r="M32" i="3"/>
  <c r="S34" i="3"/>
  <c r="L37" i="3"/>
  <c r="R39" i="3"/>
  <c r="K42" i="3"/>
  <c r="Q44" i="3"/>
  <c r="J47" i="3"/>
  <c r="P49" i="3"/>
  <c r="V51" i="3"/>
  <c r="O54" i="3"/>
  <c r="S56" i="3"/>
  <c r="L58" i="3"/>
  <c r="T58" i="3"/>
  <c r="O59" i="3"/>
  <c r="J60" i="3"/>
  <c r="R60" i="3"/>
  <c r="M61" i="3"/>
  <c r="U61" i="3"/>
  <c r="P62" i="3"/>
  <c r="K63" i="3"/>
  <c r="S63" i="3"/>
  <c r="N64" i="3"/>
  <c r="V64" i="3"/>
  <c r="Q65" i="3"/>
  <c r="L66" i="3"/>
  <c r="T66" i="3"/>
  <c r="O67" i="3"/>
  <c r="J68" i="3"/>
  <c r="R68" i="3"/>
  <c r="M69" i="3"/>
  <c r="U69" i="3"/>
  <c r="P70" i="3"/>
  <c r="K71" i="3"/>
  <c r="S71" i="3"/>
  <c r="N72" i="3"/>
  <c r="V72" i="3"/>
  <c r="Q73" i="3"/>
  <c r="L74" i="3"/>
  <c r="T74" i="3"/>
  <c r="O75" i="3"/>
  <c r="J76" i="3"/>
  <c r="R76" i="3"/>
  <c r="M77" i="3"/>
  <c r="U77" i="3"/>
  <c r="P78" i="3"/>
  <c r="K79" i="3"/>
  <c r="S79" i="3"/>
  <c r="N80" i="3"/>
  <c r="V80" i="3"/>
  <c r="Q81" i="3"/>
  <c r="L82" i="3"/>
  <c r="T82" i="3"/>
  <c r="O83" i="3"/>
  <c r="J84" i="3"/>
  <c r="R84" i="3"/>
  <c r="M85" i="3"/>
  <c r="U85" i="3"/>
  <c r="P86" i="3"/>
  <c r="K87" i="3"/>
  <c r="S87" i="3"/>
  <c r="N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S7" i="3"/>
  <c r="L10" i="3"/>
  <c r="R12" i="3"/>
  <c r="K15" i="3"/>
  <c r="Q17" i="3"/>
  <c r="J20" i="3"/>
  <c r="P22" i="3"/>
  <c r="V24" i="3"/>
  <c r="O27" i="3"/>
  <c r="U29" i="3"/>
  <c r="N32" i="3"/>
  <c r="T34" i="3"/>
  <c r="M37" i="3"/>
  <c r="S39" i="3"/>
  <c r="L42" i="3"/>
  <c r="R44" i="3"/>
  <c r="K47" i="3"/>
  <c r="Q49" i="3"/>
  <c r="N8" i="3"/>
  <c r="T10" i="3"/>
  <c r="M13" i="3"/>
  <c r="S15" i="3"/>
  <c r="L18" i="3"/>
  <c r="R20" i="3"/>
  <c r="K23" i="3"/>
  <c r="Q25" i="3"/>
  <c r="J28" i="3"/>
  <c r="P30" i="3"/>
  <c r="V32" i="3"/>
  <c r="O35" i="3"/>
  <c r="U37" i="3"/>
  <c r="N40" i="3"/>
  <c r="T42" i="3"/>
  <c r="M45" i="3"/>
  <c r="S47" i="3"/>
  <c r="L50" i="3"/>
  <c r="R52" i="3"/>
  <c r="K55" i="3"/>
  <c r="N57" i="3"/>
  <c r="O58" i="3"/>
  <c r="J59" i="3"/>
  <c r="R59" i="3"/>
  <c r="M60" i="3"/>
  <c r="U60" i="3"/>
  <c r="P61" i="3"/>
  <c r="K62" i="3"/>
  <c r="S62" i="3"/>
  <c r="N63" i="3"/>
  <c r="V63" i="3"/>
  <c r="Q64" i="3"/>
  <c r="L65" i="3"/>
  <c r="T65" i="3"/>
  <c r="O66" i="3"/>
  <c r="J67" i="3"/>
  <c r="R67" i="3"/>
  <c r="M68" i="3"/>
  <c r="U68" i="3"/>
  <c r="P69" i="3"/>
  <c r="K70" i="3"/>
  <c r="S70" i="3"/>
  <c r="N71" i="3"/>
  <c r="V71" i="3"/>
  <c r="Q72" i="3"/>
  <c r="L73" i="3"/>
  <c r="T73" i="3"/>
  <c r="O74" i="3"/>
  <c r="J75" i="3"/>
  <c r="R75" i="3"/>
  <c r="M76" i="3"/>
  <c r="U76" i="3"/>
  <c r="P77" i="3"/>
  <c r="K78" i="3"/>
  <c r="S78" i="3"/>
  <c r="N79" i="3"/>
  <c r="V79" i="3"/>
  <c r="Q80" i="3"/>
  <c r="L81" i="3"/>
  <c r="T81" i="3"/>
  <c r="O82" i="3"/>
  <c r="J83" i="3"/>
  <c r="R83" i="3"/>
  <c r="M84" i="3"/>
  <c r="M8" i="3"/>
  <c r="V27" i="3"/>
  <c r="R47" i="3"/>
  <c r="M58" i="3"/>
  <c r="S60" i="3"/>
  <c r="L63" i="3"/>
  <c r="R65" i="3"/>
  <c r="K68" i="3"/>
  <c r="Q70" i="3"/>
  <c r="J73" i="3"/>
  <c r="P75" i="3"/>
  <c r="V77" i="3"/>
  <c r="O80" i="3"/>
  <c r="U82" i="3"/>
  <c r="U84" i="3"/>
  <c r="Q86" i="3"/>
  <c r="T87" i="3"/>
  <c r="J89" i="3"/>
  <c r="M90" i="3"/>
  <c r="P91" i="3"/>
  <c r="S92" i="3"/>
  <c r="V93" i="3"/>
  <c r="L95" i="3"/>
  <c r="O96" i="3"/>
  <c r="Q97" i="3"/>
  <c r="N98" i="3"/>
  <c r="L99" i="3"/>
  <c r="J100" i="3"/>
  <c r="T100" i="3"/>
  <c r="R101" i="3"/>
  <c r="P102" i="3"/>
  <c r="M103" i="3"/>
  <c r="K104" i="3"/>
  <c r="V104" i="3"/>
  <c r="S105" i="3"/>
  <c r="Q106" i="3"/>
  <c r="O107" i="3"/>
  <c r="L108" i="3"/>
  <c r="J109" i="3"/>
  <c r="U109" i="3"/>
  <c r="R110" i="3"/>
  <c r="P111" i="3"/>
  <c r="N112" i="3"/>
  <c r="K113" i="3"/>
  <c r="V113" i="3"/>
  <c r="T114" i="3"/>
  <c r="Q115" i="3"/>
  <c r="O116" i="3"/>
  <c r="M117" i="3"/>
  <c r="J118" i="3"/>
  <c r="S118" i="3"/>
  <c r="P119" i="3"/>
  <c r="L120" i="3"/>
  <c r="U120" i="3"/>
  <c r="Q121" i="3"/>
  <c r="M122" i="3"/>
  <c r="V122" i="3"/>
  <c r="R123" i="3"/>
  <c r="O124" i="3"/>
  <c r="K125" i="3"/>
  <c r="T125" i="3"/>
  <c r="P126" i="3"/>
  <c r="L127" i="3"/>
  <c r="U127" i="3"/>
  <c r="P128" i="3"/>
  <c r="K129" i="3"/>
  <c r="S129" i="3"/>
  <c r="N130" i="3"/>
  <c r="V130" i="3"/>
  <c r="Q131" i="3"/>
  <c r="L132" i="3"/>
  <c r="T132" i="3"/>
  <c r="O133" i="3"/>
  <c r="J134" i="3"/>
  <c r="R134" i="3"/>
  <c r="M135" i="3"/>
  <c r="U135" i="3"/>
  <c r="P136" i="3"/>
  <c r="K137" i="3"/>
  <c r="S137" i="3"/>
  <c r="N138" i="3"/>
  <c r="V138" i="3"/>
  <c r="Q139" i="3"/>
  <c r="L140" i="3"/>
  <c r="T140" i="3"/>
  <c r="O141" i="3"/>
  <c r="J142" i="3"/>
  <c r="R142" i="3"/>
  <c r="M143" i="3"/>
  <c r="U143" i="3"/>
  <c r="P144" i="3"/>
  <c r="K145" i="3"/>
  <c r="S145" i="3"/>
  <c r="N146" i="3"/>
  <c r="V146" i="3"/>
  <c r="Q147" i="3"/>
  <c r="L148" i="3"/>
  <c r="T148" i="3"/>
  <c r="O149" i="3"/>
  <c r="J150" i="3"/>
  <c r="R150" i="3"/>
  <c r="M151" i="3"/>
  <c r="U151" i="3"/>
  <c r="P152" i="3"/>
  <c r="K153" i="3"/>
  <c r="S153" i="3"/>
  <c r="N154" i="3"/>
  <c r="V154" i="3"/>
  <c r="Q155" i="3"/>
  <c r="L156" i="3"/>
  <c r="T156" i="3"/>
  <c r="O157" i="3"/>
  <c r="J158" i="3"/>
  <c r="R158" i="3"/>
  <c r="M159" i="3"/>
  <c r="U159" i="3"/>
  <c r="P160" i="3"/>
  <c r="L13" i="3"/>
  <c r="U32" i="3"/>
  <c r="J52" i="3"/>
  <c r="U58" i="3"/>
  <c r="N61" i="3"/>
  <c r="T63" i="3"/>
  <c r="M66" i="3"/>
  <c r="S68" i="3"/>
  <c r="L71" i="3"/>
  <c r="R73" i="3"/>
  <c r="K76" i="3"/>
  <c r="Q78" i="3"/>
  <c r="J81" i="3"/>
  <c r="P83" i="3"/>
  <c r="O85" i="3"/>
  <c r="S86" i="3"/>
  <c r="V87" i="3"/>
  <c r="L89" i="3"/>
  <c r="O90" i="3"/>
  <c r="R91" i="3"/>
  <c r="U92" i="3"/>
  <c r="K94" i="3"/>
  <c r="N95" i="3"/>
  <c r="Q96" i="3"/>
  <c r="S97" i="3"/>
  <c r="Q98" i="3"/>
  <c r="O99" i="3"/>
  <c r="L100" i="3"/>
  <c r="J101" i="3"/>
  <c r="U101" i="3"/>
  <c r="R102" i="3"/>
  <c r="P103" i="3"/>
  <c r="N104" i="3"/>
  <c r="K105" i="3"/>
  <c r="V105" i="3"/>
  <c r="T106" i="3"/>
  <c r="Q107" i="3"/>
  <c r="O108" i="3"/>
  <c r="M109" i="3"/>
  <c r="J110" i="3"/>
  <c r="U110" i="3"/>
  <c r="S111" i="3"/>
  <c r="P112" i="3"/>
  <c r="N113" i="3"/>
  <c r="L114" i="3"/>
  <c r="V114" i="3"/>
  <c r="T115" i="3"/>
  <c r="R116" i="3"/>
  <c r="O117" i="3"/>
  <c r="M118" i="3"/>
  <c r="V118" i="3"/>
  <c r="R119" i="3"/>
  <c r="N120" i="3"/>
  <c r="J121" i="3"/>
  <c r="S121" i="3"/>
  <c r="O122" i="3"/>
  <c r="L123" i="3"/>
  <c r="U123" i="3"/>
  <c r="Q124" i="3"/>
  <c r="M125" i="3"/>
  <c r="V125" i="3"/>
  <c r="R126" i="3"/>
  <c r="N127" i="3"/>
  <c r="J128" i="3"/>
  <c r="R128" i="3"/>
  <c r="M129" i="3"/>
  <c r="U129" i="3"/>
  <c r="P130" i="3"/>
  <c r="K131" i="3"/>
  <c r="S131" i="3"/>
  <c r="N132" i="3"/>
  <c r="V132" i="3"/>
  <c r="Q133" i="3"/>
  <c r="L134" i="3"/>
  <c r="T134" i="3"/>
  <c r="O135" i="3"/>
  <c r="J136" i="3"/>
  <c r="R136" i="3"/>
  <c r="M137" i="3"/>
  <c r="U137" i="3"/>
  <c r="P138" i="3"/>
  <c r="K139" i="3"/>
  <c r="S139" i="3"/>
  <c r="N140" i="3"/>
  <c r="V140" i="3"/>
  <c r="Q141" i="3"/>
  <c r="L142" i="3"/>
  <c r="T142" i="3"/>
  <c r="O143" i="3"/>
  <c r="J144" i="3"/>
  <c r="R144" i="3"/>
  <c r="M145" i="3"/>
  <c r="U145" i="3"/>
  <c r="P146" i="3"/>
  <c r="K147" i="3"/>
  <c r="S147" i="3"/>
  <c r="N148" i="3"/>
  <c r="V148" i="3"/>
  <c r="Q149" i="3"/>
  <c r="L150" i="3"/>
  <c r="T150" i="3"/>
  <c r="O151" i="3"/>
  <c r="J152" i="3"/>
  <c r="R152" i="3"/>
  <c r="M153" i="3"/>
  <c r="U153" i="3"/>
  <c r="P154" i="3"/>
  <c r="K155" i="3"/>
  <c r="S155" i="3"/>
  <c r="N156" i="3"/>
  <c r="V156" i="3"/>
  <c r="Q157" i="3"/>
  <c r="L158" i="3"/>
  <c r="T158" i="3"/>
  <c r="O159" i="3"/>
  <c r="J160" i="3"/>
  <c r="R160" i="3"/>
  <c r="M161" i="3"/>
  <c r="R15" i="3"/>
  <c r="N35" i="3"/>
  <c r="Q52" i="3"/>
  <c r="V58" i="3"/>
  <c r="O61" i="3"/>
  <c r="U63" i="3"/>
  <c r="N66" i="3"/>
  <c r="T68" i="3"/>
  <c r="M71" i="3"/>
  <c r="S73" i="3"/>
  <c r="L76" i="3"/>
  <c r="R78" i="3"/>
  <c r="K81" i="3"/>
  <c r="Q83" i="3"/>
  <c r="P85" i="3"/>
  <c r="J87" i="3"/>
  <c r="M88" i="3"/>
  <c r="P89" i="3"/>
  <c r="S90" i="3"/>
  <c r="V91" i="3"/>
  <c r="L93" i="3"/>
  <c r="O94" i="3"/>
  <c r="R95" i="3"/>
  <c r="U96" i="3"/>
  <c r="T97" i="3"/>
  <c r="S98" i="3"/>
  <c r="P99" i="3"/>
  <c r="M100" i="3"/>
  <c r="L101" i="3"/>
  <c r="V101" i="3"/>
  <c r="S102" i="3"/>
  <c r="R103" i="3"/>
  <c r="O104" i="3"/>
  <c r="L105" i="3"/>
  <c r="K106" i="3"/>
  <c r="U106" i="3"/>
  <c r="R107" i="3"/>
  <c r="Q108" i="3"/>
  <c r="N109" i="3"/>
  <c r="K110" i="3"/>
  <c r="J111" i="3"/>
  <c r="T111" i="3"/>
  <c r="Q112" i="3"/>
  <c r="P113" i="3"/>
  <c r="M114" i="3"/>
  <c r="J115" i="3"/>
  <c r="V115" i="3"/>
  <c r="S116" i="3"/>
  <c r="P117" i="3"/>
  <c r="N118" i="3"/>
  <c r="J119" i="3"/>
  <c r="S119" i="3"/>
  <c r="O120" i="3"/>
  <c r="K121" i="3"/>
  <c r="T121" i="3"/>
  <c r="Q122" i="3"/>
  <c r="M123" i="3"/>
  <c r="V123" i="3"/>
  <c r="R124" i="3"/>
  <c r="N125" i="3"/>
  <c r="J126" i="3"/>
  <c r="S126" i="3"/>
  <c r="P127" i="3"/>
  <c r="K128" i="3"/>
  <c r="S128" i="3"/>
  <c r="N129" i="3"/>
  <c r="V129" i="3"/>
  <c r="Q130" i="3"/>
  <c r="L131" i="3"/>
  <c r="T131" i="3"/>
  <c r="O132" i="3"/>
  <c r="J133" i="3"/>
  <c r="R133" i="3"/>
  <c r="M134" i="3"/>
  <c r="U134" i="3"/>
  <c r="P135" i="3"/>
  <c r="K136" i="3"/>
  <c r="S136" i="3"/>
  <c r="N137" i="3"/>
  <c r="V137" i="3"/>
  <c r="Q138" i="3"/>
  <c r="L139" i="3"/>
  <c r="T139" i="3"/>
  <c r="O140" i="3"/>
  <c r="J141" i="3"/>
  <c r="R141" i="3"/>
  <c r="M142" i="3"/>
  <c r="U142" i="3"/>
  <c r="P143" i="3"/>
  <c r="K144" i="3"/>
  <c r="S144" i="3"/>
  <c r="N145" i="3"/>
  <c r="V145" i="3"/>
  <c r="Q146" i="3"/>
  <c r="L147" i="3"/>
  <c r="T147" i="3"/>
  <c r="O148" i="3"/>
  <c r="J149" i="3"/>
  <c r="R149" i="3"/>
  <c r="M150" i="3"/>
  <c r="U150" i="3"/>
  <c r="P151" i="3"/>
  <c r="K152" i="3"/>
  <c r="S152" i="3"/>
  <c r="N153" i="3"/>
  <c r="V153" i="3"/>
  <c r="Q154" i="3"/>
  <c r="L155" i="3"/>
  <c r="Q20" i="3"/>
  <c r="M40" i="3"/>
  <c r="J55" i="3"/>
  <c r="Q59" i="3"/>
  <c r="J62" i="3"/>
  <c r="P64" i="3"/>
  <c r="V66" i="3"/>
  <c r="O69" i="3"/>
  <c r="U71" i="3"/>
  <c r="N74" i="3"/>
  <c r="T76" i="3"/>
  <c r="M79" i="3"/>
  <c r="S81" i="3"/>
  <c r="L84" i="3"/>
  <c r="J86" i="3"/>
  <c r="M87" i="3"/>
  <c r="P88" i="3"/>
  <c r="S89" i="3"/>
  <c r="V90" i="3"/>
  <c r="L92" i="3"/>
  <c r="O93" i="3"/>
  <c r="R94" i="3"/>
  <c r="U95" i="3"/>
  <c r="K97" i="3"/>
  <c r="K98" i="3"/>
  <c r="U98" i="3"/>
  <c r="R99" i="3"/>
  <c r="Q100" i="3"/>
  <c r="N101" i="3"/>
  <c r="K102" i="3"/>
  <c r="J103" i="3"/>
  <c r="T103" i="3"/>
  <c r="Q104" i="3"/>
  <c r="P105" i="3"/>
  <c r="M106" i="3"/>
  <c r="J107" i="3"/>
  <c r="V107" i="3"/>
  <c r="S108" i="3"/>
  <c r="P109" i="3"/>
  <c r="O110" i="3"/>
  <c r="L111" i="3"/>
  <c r="V111" i="3"/>
  <c r="U112" i="3"/>
  <c r="R113" i="3"/>
  <c r="O114" i="3"/>
  <c r="N115" i="3"/>
  <c r="K116" i="3"/>
  <c r="U116" i="3"/>
  <c r="T117" i="3"/>
  <c r="P118" i="3"/>
  <c r="L119" i="3"/>
  <c r="U119" i="3"/>
  <c r="Q120" i="3"/>
  <c r="N121" i="3"/>
  <c r="J122" i="3"/>
  <c r="S122" i="3"/>
  <c r="O123" i="3"/>
  <c r="K124" i="3"/>
  <c r="T124" i="3"/>
  <c r="P125" i="3"/>
  <c r="M126" i="3"/>
  <c r="V126" i="3"/>
  <c r="R127" i="3"/>
  <c r="M128" i="3"/>
  <c r="U128" i="3"/>
  <c r="P129" i="3"/>
  <c r="K130" i="3"/>
  <c r="S130" i="3"/>
  <c r="N131" i="3"/>
  <c r="V131" i="3"/>
  <c r="Q132" i="3"/>
  <c r="L133" i="3"/>
  <c r="T133" i="3"/>
  <c r="O134" i="3"/>
  <c r="J135" i="3"/>
  <c r="R135" i="3"/>
  <c r="M136" i="3"/>
  <c r="U136" i="3"/>
  <c r="P137" i="3"/>
  <c r="K138" i="3"/>
  <c r="S138" i="3"/>
  <c r="N139" i="3"/>
  <c r="V139" i="3"/>
  <c r="Q140" i="3"/>
  <c r="L141" i="3"/>
  <c r="T141" i="3"/>
  <c r="O142" i="3"/>
  <c r="J143" i="3"/>
  <c r="R143" i="3"/>
  <c r="M144" i="3"/>
  <c r="U144" i="3"/>
  <c r="P145" i="3"/>
  <c r="K146" i="3"/>
  <c r="S146" i="3"/>
  <c r="N147" i="3"/>
  <c r="V147" i="3"/>
  <c r="Q148" i="3"/>
  <c r="L149" i="3"/>
  <c r="T149" i="3"/>
  <c r="P25" i="3"/>
  <c r="L45" i="3"/>
  <c r="V56" i="3"/>
  <c r="L60" i="3"/>
  <c r="R62" i="3"/>
  <c r="K65" i="3"/>
  <c r="Q67" i="3"/>
  <c r="J70" i="3"/>
  <c r="P72" i="3"/>
  <c r="V74" i="3"/>
  <c r="O77" i="3"/>
  <c r="U79" i="3"/>
  <c r="N82" i="3"/>
  <c r="T84" i="3"/>
  <c r="O86" i="3"/>
  <c r="R87" i="3"/>
  <c r="U88" i="3"/>
  <c r="K90" i="3"/>
  <c r="N91" i="3"/>
  <c r="Q92" i="3"/>
  <c r="T93" i="3"/>
  <c r="J95" i="3"/>
  <c r="M96" i="3"/>
  <c r="P97" i="3"/>
  <c r="M98" i="3"/>
  <c r="J99" i="3"/>
  <c r="V99" i="3"/>
  <c r="S100" i="3"/>
  <c r="P101" i="3"/>
  <c r="O102" i="3"/>
  <c r="L103" i="3"/>
  <c r="V103" i="3"/>
  <c r="U104" i="3"/>
  <c r="R105" i="3"/>
  <c r="O106" i="3"/>
  <c r="N107" i="3"/>
  <c r="K108" i="3"/>
  <c r="U108" i="3"/>
  <c r="T109" i="3"/>
  <c r="Q110" i="3"/>
  <c r="N111" i="3"/>
  <c r="M112" i="3"/>
  <c r="J113" i="3"/>
  <c r="T113" i="3"/>
  <c r="S114" i="3"/>
  <c r="P115" i="3"/>
  <c r="M116" i="3"/>
  <c r="L117" i="3"/>
  <c r="V117" i="3"/>
  <c r="R118" i="3"/>
  <c r="N119" i="3"/>
  <c r="K120" i="3"/>
  <c r="T120" i="3"/>
  <c r="P121" i="3"/>
  <c r="L122" i="3"/>
  <c r="U122" i="3"/>
  <c r="Q123" i="3"/>
  <c r="M124" i="3"/>
  <c r="J125" i="3"/>
  <c r="S125" i="3"/>
  <c r="O126" i="3"/>
  <c r="K127" i="3"/>
  <c r="T127" i="3"/>
  <c r="O128" i="3"/>
  <c r="J129" i="3"/>
  <c r="R129" i="3"/>
  <c r="M130" i="3"/>
  <c r="U130" i="3"/>
  <c r="P131" i="3"/>
  <c r="K132" i="3"/>
  <c r="S132" i="3"/>
  <c r="N133" i="3"/>
  <c r="V133" i="3"/>
  <c r="Q134" i="3"/>
  <c r="L135" i="3"/>
  <c r="T135" i="3"/>
  <c r="O136" i="3"/>
  <c r="J137" i="3"/>
  <c r="R137" i="3"/>
  <c r="M138" i="3"/>
  <c r="U138" i="3"/>
  <c r="P139" i="3"/>
  <c r="K140" i="3"/>
  <c r="S140" i="3"/>
  <c r="N141" i="3"/>
  <c r="K18" i="3"/>
  <c r="N58" i="3"/>
  <c r="J65" i="3"/>
  <c r="T71" i="3"/>
  <c r="J78" i="3"/>
  <c r="S84" i="3"/>
  <c r="O88" i="3"/>
  <c r="Q91" i="3"/>
  <c r="S94" i="3"/>
  <c r="V97" i="3"/>
  <c r="K100" i="3"/>
  <c r="M102" i="3"/>
  <c r="P104" i="3"/>
  <c r="S106" i="3"/>
  <c r="T108" i="3"/>
  <c r="K111" i="3"/>
  <c r="L113" i="3"/>
  <c r="O115" i="3"/>
  <c r="R117" i="3"/>
  <c r="Q119" i="3"/>
  <c r="O121" i="3"/>
  <c r="N123" i="3"/>
  <c r="L125" i="3"/>
  <c r="J127" i="3"/>
  <c r="T128" i="3"/>
  <c r="O130" i="3"/>
  <c r="J132" i="3"/>
  <c r="S133" i="3"/>
  <c r="N135" i="3"/>
  <c r="V136" i="3"/>
  <c r="R138" i="3"/>
  <c r="M140" i="3"/>
  <c r="U141" i="3"/>
  <c r="K143" i="3"/>
  <c r="N144" i="3"/>
  <c r="Q145" i="3"/>
  <c r="T146" i="3"/>
  <c r="J148" i="3"/>
  <c r="M149" i="3"/>
  <c r="O150" i="3"/>
  <c r="N151" i="3"/>
  <c r="N152" i="3"/>
  <c r="O153" i="3"/>
  <c r="M154" i="3"/>
  <c r="N155" i="3"/>
  <c r="K156" i="3"/>
  <c r="J157" i="3"/>
  <c r="T157" i="3"/>
  <c r="Q158" i="3"/>
  <c r="P159" i="3"/>
  <c r="M160" i="3"/>
  <c r="J161" i="3"/>
  <c r="S161" i="3"/>
  <c r="N162" i="3"/>
  <c r="V162" i="3"/>
  <c r="Q163" i="3"/>
  <c r="L164" i="3"/>
  <c r="T164" i="3"/>
  <c r="O165" i="3"/>
  <c r="J166" i="3"/>
  <c r="R166" i="3"/>
  <c r="M167" i="3"/>
  <c r="U167" i="3"/>
  <c r="P168" i="3"/>
  <c r="K169" i="3"/>
  <c r="S169" i="3"/>
  <c r="N170" i="3"/>
  <c r="V170" i="3"/>
  <c r="Q171" i="3"/>
  <c r="L172" i="3"/>
  <c r="T172" i="3"/>
  <c r="O173" i="3"/>
  <c r="J174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J23" i="3"/>
  <c r="P59" i="3"/>
  <c r="S65" i="3"/>
  <c r="O72" i="3"/>
  <c r="L79" i="3"/>
  <c r="N85" i="3"/>
  <c r="Q88" i="3"/>
  <c r="K92" i="3"/>
  <c r="M95" i="3"/>
  <c r="L98" i="3"/>
  <c r="O100" i="3"/>
  <c r="Q102" i="3"/>
  <c r="S104" i="3"/>
  <c r="V106" i="3"/>
  <c r="L109" i="3"/>
  <c r="M111" i="3"/>
  <c r="Q113" i="3"/>
  <c r="R115" i="3"/>
  <c r="U117" i="3"/>
  <c r="T119" i="3"/>
  <c r="R121" i="3"/>
  <c r="P123" i="3"/>
  <c r="O125" i="3"/>
  <c r="M127" i="3"/>
  <c r="V128" i="3"/>
  <c r="R130" i="3"/>
  <c r="M132" i="3"/>
  <c r="U133" i="3"/>
  <c r="Q135" i="3"/>
  <c r="L137" i="3"/>
  <c r="T138" i="3"/>
  <c r="P140" i="3"/>
  <c r="V141" i="3"/>
  <c r="L143" i="3"/>
  <c r="O144" i="3"/>
  <c r="R145" i="3"/>
  <c r="U146" i="3"/>
  <c r="K148" i="3"/>
  <c r="N149" i="3"/>
  <c r="P150" i="3"/>
  <c r="Q151" i="3"/>
  <c r="O152" i="3"/>
  <c r="P153" i="3"/>
  <c r="O154" i="3"/>
  <c r="O155" i="3"/>
  <c r="M156" i="3"/>
  <c r="K157" i="3"/>
  <c r="U157" i="3"/>
  <c r="S158" i="3"/>
  <c r="Q159" i="3"/>
  <c r="N160" i="3"/>
  <c r="K161" i="3"/>
  <c r="T161" i="3"/>
  <c r="O162" i="3"/>
  <c r="J163" i="3"/>
  <c r="R163" i="3"/>
  <c r="M164" i="3"/>
  <c r="U164" i="3"/>
  <c r="P165" i="3"/>
  <c r="K166" i="3"/>
  <c r="S166" i="3"/>
  <c r="N167" i="3"/>
  <c r="V167" i="3"/>
  <c r="Q168" i="3"/>
  <c r="L169" i="3"/>
  <c r="T169" i="3"/>
  <c r="O170" i="3"/>
  <c r="J171" i="3"/>
  <c r="R171" i="3"/>
  <c r="M172" i="3"/>
  <c r="U172" i="3"/>
  <c r="P173" i="3"/>
  <c r="K174" i="3"/>
  <c r="S174" i="3"/>
  <c r="N175" i="3"/>
  <c r="V175" i="3"/>
  <c r="Q176" i="3"/>
  <c r="L177" i="3"/>
  <c r="T177" i="3"/>
  <c r="O178" i="3"/>
  <c r="J179" i="3"/>
  <c r="R179" i="3"/>
  <c r="M180" i="3"/>
  <c r="U180" i="3"/>
  <c r="P181" i="3"/>
  <c r="K182" i="3"/>
  <c r="S182" i="3"/>
  <c r="N183" i="3"/>
  <c r="V183" i="3"/>
  <c r="Q184" i="3"/>
  <c r="L185" i="3"/>
  <c r="T185" i="3"/>
  <c r="O186" i="3"/>
  <c r="J187" i="3"/>
  <c r="R187" i="3"/>
  <c r="M188" i="3"/>
  <c r="U188" i="3"/>
  <c r="P189" i="3"/>
  <c r="K190" i="3"/>
  <c r="S190" i="3"/>
  <c r="N191" i="3"/>
  <c r="V191" i="3"/>
  <c r="Q192" i="3"/>
  <c r="L193" i="3"/>
  <c r="T193" i="3"/>
  <c r="O194" i="3"/>
  <c r="J195" i="3"/>
  <c r="R195" i="3"/>
  <c r="M196" i="3"/>
  <c r="U196" i="3"/>
  <c r="P197" i="3"/>
  <c r="K198" i="3"/>
  <c r="S198" i="3"/>
  <c r="N199" i="3"/>
  <c r="V199" i="3"/>
  <c r="Q200" i="3"/>
  <c r="L201" i="3"/>
  <c r="T201" i="3"/>
  <c r="O202" i="3"/>
  <c r="J203" i="3"/>
  <c r="R203" i="3"/>
  <c r="M204" i="3"/>
  <c r="U204" i="3"/>
  <c r="P205" i="3"/>
  <c r="K206" i="3"/>
  <c r="S206" i="3"/>
  <c r="N207" i="3"/>
  <c r="V207" i="3"/>
  <c r="Q208" i="3"/>
  <c r="L209" i="3"/>
  <c r="T209" i="3"/>
  <c r="O210" i="3"/>
  <c r="J211" i="3"/>
  <c r="R211" i="3"/>
  <c r="M212" i="3"/>
  <c r="U212" i="3"/>
  <c r="P213" i="3"/>
  <c r="K214" i="3"/>
  <c r="S214" i="3"/>
  <c r="N215" i="3"/>
  <c r="V215" i="3"/>
  <c r="Q216" i="3"/>
  <c r="L217" i="3"/>
  <c r="T217" i="3"/>
  <c r="O218" i="3"/>
  <c r="J219" i="3"/>
  <c r="R219" i="3"/>
  <c r="M220" i="3"/>
  <c r="U220" i="3"/>
  <c r="P221" i="3"/>
  <c r="K222" i="3"/>
  <c r="S222" i="3"/>
  <c r="N223" i="3"/>
  <c r="V223" i="3"/>
  <c r="Q224" i="3"/>
  <c r="L225" i="3"/>
  <c r="T225" i="3"/>
  <c r="O226" i="3"/>
  <c r="J227" i="3"/>
  <c r="R227" i="3"/>
  <c r="M228" i="3"/>
  <c r="U228" i="3"/>
  <c r="P229" i="3"/>
  <c r="K230" i="3"/>
  <c r="S230" i="3"/>
  <c r="N231" i="3"/>
  <c r="V231" i="3"/>
  <c r="Q232" i="3"/>
  <c r="L233" i="3"/>
  <c r="T233" i="3"/>
  <c r="O30" i="3"/>
  <c r="K60" i="3"/>
  <c r="U66" i="3"/>
  <c r="K73" i="3"/>
  <c r="T79" i="3"/>
  <c r="V85" i="3"/>
  <c r="K89" i="3"/>
  <c r="M92" i="3"/>
  <c r="T95" i="3"/>
  <c r="O98" i="3"/>
  <c r="R100" i="3"/>
  <c r="U102" i="3"/>
  <c r="J105" i="3"/>
  <c r="L107" i="3"/>
  <c r="O109" i="3"/>
  <c r="R111" i="3"/>
  <c r="S113" i="3"/>
  <c r="J116" i="3"/>
  <c r="K118" i="3"/>
  <c r="V119" i="3"/>
  <c r="V121" i="3"/>
  <c r="T123" i="3"/>
  <c r="R125" i="3"/>
  <c r="Q127" i="3"/>
  <c r="L129" i="3"/>
  <c r="T130" i="3"/>
  <c r="P132" i="3"/>
  <c r="K134" i="3"/>
  <c r="S135" i="3"/>
  <c r="O137" i="3"/>
  <c r="J139" i="3"/>
  <c r="R140" i="3"/>
  <c r="K142" i="3"/>
  <c r="N143" i="3"/>
  <c r="Q144" i="3"/>
  <c r="T145" i="3"/>
  <c r="J147" i="3"/>
  <c r="M148" i="3"/>
  <c r="P149" i="3"/>
  <c r="Q150" i="3"/>
  <c r="R151" i="3"/>
  <c r="Q152" i="3"/>
  <c r="Q153" i="3"/>
  <c r="R154" i="3"/>
  <c r="P155" i="3"/>
  <c r="O156" i="3"/>
  <c r="L157" i="3"/>
  <c r="V157" i="3"/>
  <c r="U158" i="3"/>
  <c r="R159" i="3"/>
  <c r="O160" i="3"/>
  <c r="L161" i="3"/>
  <c r="U161" i="3"/>
  <c r="P162" i="3"/>
  <c r="K163" i="3"/>
  <c r="S163" i="3"/>
  <c r="N164" i="3"/>
  <c r="V164" i="3"/>
  <c r="Q165" i="3"/>
  <c r="L166" i="3"/>
  <c r="T166" i="3"/>
  <c r="O167" i="3"/>
  <c r="J168" i="3"/>
  <c r="R168" i="3"/>
  <c r="M169" i="3"/>
  <c r="U169" i="3"/>
  <c r="P170" i="3"/>
  <c r="K171" i="3"/>
  <c r="S171" i="3"/>
  <c r="N172" i="3"/>
  <c r="V172" i="3"/>
  <c r="Q173" i="3"/>
  <c r="L174" i="3"/>
  <c r="T174" i="3"/>
  <c r="O175" i="3"/>
  <c r="J176" i="3"/>
  <c r="R176" i="3"/>
  <c r="M177" i="3"/>
  <c r="U177" i="3"/>
  <c r="P178" i="3"/>
  <c r="K179" i="3"/>
  <c r="S179" i="3"/>
  <c r="N180" i="3"/>
  <c r="V180" i="3"/>
  <c r="Q181" i="3"/>
  <c r="L182" i="3"/>
  <c r="T182" i="3"/>
  <c r="O183" i="3"/>
  <c r="J184" i="3"/>
  <c r="R184" i="3"/>
  <c r="M185" i="3"/>
  <c r="U185" i="3"/>
  <c r="P186" i="3"/>
  <c r="K187" i="3"/>
  <c r="S187" i="3"/>
  <c r="N188" i="3"/>
  <c r="V188" i="3"/>
  <c r="Q189" i="3"/>
  <c r="L190" i="3"/>
  <c r="T190" i="3"/>
  <c r="O191" i="3"/>
  <c r="J192" i="3"/>
  <c r="R192" i="3"/>
  <c r="M193" i="3"/>
  <c r="U193" i="3"/>
  <c r="P194" i="3"/>
  <c r="K195" i="3"/>
  <c r="S195" i="3"/>
  <c r="N196" i="3"/>
  <c r="V196" i="3"/>
  <c r="Q197" i="3"/>
  <c r="L198" i="3"/>
  <c r="T198" i="3"/>
  <c r="O199" i="3"/>
  <c r="J200" i="3"/>
  <c r="R200" i="3"/>
  <c r="M201" i="3"/>
  <c r="U201" i="3"/>
  <c r="P202" i="3"/>
  <c r="K203" i="3"/>
  <c r="S203" i="3"/>
  <c r="N204" i="3"/>
  <c r="V204" i="3"/>
  <c r="Q205" i="3"/>
  <c r="L206" i="3"/>
  <c r="T206" i="3"/>
  <c r="O207" i="3"/>
  <c r="J208" i="3"/>
  <c r="R208" i="3"/>
  <c r="M209" i="3"/>
  <c r="U209" i="3"/>
  <c r="P210" i="3"/>
  <c r="K211" i="3"/>
  <c r="S211" i="3"/>
  <c r="N212" i="3"/>
  <c r="V212" i="3"/>
  <c r="Q213" i="3"/>
  <c r="L214" i="3"/>
  <c r="T214" i="3"/>
  <c r="O215" i="3"/>
  <c r="J216" i="3"/>
  <c r="R216" i="3"/>
  <c r="M217" i="3"/>
  <c r="U217" i="3"/>
  <c r="P218" i="3"/>
  <c r="K219" i="3"/>
  <c r="S219" i="3"/>
  <c r="N220" i="3"/>
  <c r="V220" i="3"/>
  <c r="Q221" i="3"/>
  <c r="L222" i="3"/>
  <c r="T222" i="3"/>
  <c r="O223" i="3"/>
  <c r="J224" i="3"/>
  <c r="R224" i="3"/>
  <c r="M225" i="3"/>
  <c r="U225" i="3"/>
  <c r="P226" i="3"/>
  <c r="K227" i="3"/>
  <c r="S227" i="3"/>
  <c r="N228" i="3"/>
  <c r="V228" i="3"/>
  <c r="Q229" i="3"/>
  <c r="L230" i="3"/>
  <c r="T230" i="3"/>
  <c r="O231" i="3"/>
  <c r="J232" i="3"/>
  <c r="R232" i="3"/>
  <c r="M233" i="3"/>
  <c r="U233" i="3"/>
  <c r="T37" i="3"/>
  <c r="T60" i="3"/>
  <c r="P67" i="3"/>
  <c r="M74" i="3"/>
  <c r="P80" i="3"/>
  <c r="K86" i="3"/>
  <c r="R89" i="3"/>
  <c r="T92" i="3"/>
  <c r="V95" i="3"/>
  <c r="T98" i="3"/>
  <c r="U100" i="3"/>
  <c r="K103" i="3"/>
  <c r="N105" i="3"/>
  <c r="P107" i="3"/>
  <c r="R109" i="3"/>
  <c r="U111" i="3"/>
  <c r="K114" i="3"/>
  <c r="L116" i="3"/>
  <c r="O118" i="3"/>
  <c r="M120" i="3"/>
  <c r="K122" i="3"/>
  <c r="J124" i="3"/>
  <c r="U125" i="3"/>
  <c r="S127" i="3"/>
  <c r="O129" i="3"/>
  <c r="J131" i="3"/>
  <c r="R132" i="3"/>
  <c r="N134" i="3"/>
  <c r="V135" i="3"/>
  <c r="Q137" i="3"/>
  <c r="M139" i="3"/>
  <c r="U140" i="3"/>
  <c r="N142" i="3"/>
  <c r="Q143" i="3"/>
  <c r="T144" i="3"/>
  <c r="J146" i="3"/>
  <c r="M147" i="3"/>
  <c r="P148" i="3"/>
  <c r="S149" i="3"/>
  <c r="S150" i="3"/>
  <c r="S151" i="3"/>
  <c r="T152" i="3"/>
  <c r="R153" i="3"/>
  <c r="S154" i="3"/>
  <c r="R155" i="3"/>
  <c r="P156" i="3"/>
  <c r="M157" i="3"/>
  <c r="K158" i="3"/>
  <c r="V158" i="3"/>
  <c r="S159" i="3"/>
  <c r="Q160" i="3"/>
  <c r="N161" i="3"/>
  <c r="V161" i="3"/>
  <c r="Q162" i="3"/>
  <c r="L163" i="3"/>
  <c r="T163" i="3"/>
  <c r="O164" i="3"/>
  <c r="J165" i="3"/>
  <c r="R165" i="3"/>
  <c r="M166" i="3"/>
  <c r="U166" i="3"/>
  <c r="P167" i="3"/>
  <c r="K168" i="3"/>
  <c r="S168" i="3"/>
  <c r="N169" i="3"/>
  <c r="V169" i="3"/>
  <c r="Q170" i="3"/>
  <c r="L171" i="3"/>
  <c r="T171" i="3"/>
  <c r="O172" i="3"/>
  <c r="J173" i="3"/>
  <c r="R173" i="3"/>
  <c r="M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N185" i="3"/>
  <c r="V185" i="3"/>
  <c r="Q186" i="3"/>
  <c r="L187" i="3"/>
  <c r="T187" i="3"/>
  <c r="O188" i="3"/>
  <c r="J189" i="3"/>
  <c r="R189" i="3"/>
  <c r="M190" i="3"/>
  <c r="U190" i="3"/>
  <c r="P191" i="3"/>
  <c r="K192" i="3"/>
  <c r="S192" i="3"/>
  <c r="N193" i="3"/>
  <c r="V193" i="3"/>
  <c r="Q194" i="3"/>
  <c r="L195" i="3"/>
  <c r="T195" i="3"/>
  <c r="O196" i="3"/>
  <c r="J197" i="3"/>
  <c r="R197" i="3"/>
  <c r="M198" i="3"/>
  <c r="U198" i="3"/>
  <c r="P199" i="3"/>
  <c r="K200" i="3"/>
  <c r="S200" i="3"/>
  <c r="N201" i="3"/>
  <c r="V201" i="3"/>
  <c r="Q202" i="3"/>
  <c r="L203" i="3"/>
  <c r="T203" i="3"/>
  <c r="O204" i="3"/>
  <c r="J205" i="3"/>
  <c r="R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R221" i="3"/>
  <c r="M222" i="3"/>
  <c r="U222" i="3"/>
  <c r="P223" i="3"/>
  <c r="K224" i="3"/>
  <c r="S224" i="3"/>
  <c r="N225" i="3"/>
  <c r="V225" i="3"/>
  <c r="Q226" i="3"/>
  <c r="L227" i="3"/>
  <c r="T227" i="3"/>
  <c r="O228" i="3"/>
  <c r="J229" i="3"/>
  <c r="R229" i="3"/>
  <c r="M230" i="3"/>
  <c r="U230" i="3"/>
  <c r="P231" i="3"/>
  <c r="K232" i="3"/>
  <c r="S232" i="3"/>
  <c r="N233" i="3"/>
  <c r="V233" i="3"/>
  <c r="P54" i="3"/>
  <c r="M63" i="3"/>
  <c r="V69" i="3"/>
  <c r="S76" i="3"/>
  <c r="V82" i="3"/>
  <c r="N87" i="3"/>
  <c r="U90" i="3"/>
  <c r="J94" i="3"/>
  <c r="L97" i="3"/>
  <c r="Q99" i="3"/>
  <c r="T101" i="3"/>
  <c r="U103" i="3"/>
  <c r="L106" i="3"/>
  <c r="M108" i="3"/>
  <c r="P110" i="3"/>
  <c r="S112" i="3"/>
  <c r="U114" i="3"/>
  <c r="J117" i="3"/>
  <c r="K119" i="3"/>
  <c r="V120" i="3"/>
  <c r="T122" i="3"/>
  <c r="S124" i="3"/>
  <c r="Q126" i="3"/>
  <c r="N128" i="3"/>
  <c r="J130" i="3"/>
  <c r="R131" i="3"/>
  <c r="M133" i="3"/>
  <c r="V134" i="3"/>
  <c r="Q136" i="3"/>
  <c r="L138" i="3"/>
  <c r="U139" i="3"/>
  <c r="P141" i="3"/>
  <c r="S142" i="3"/>
  <c r="V143" i="3"/>
  <c r="L145" i="3"/>
  <c r="O146" i="3"/>
  <c r="R147" i="3"/>
  <c r="U148" i="3"/>
  <c r="K150" i="3"/>
  <c r="K151" i="3"/>
  <c r="L152" i="3"/>
  <c r="J153" i="3"/>
  <c r="K154" i="3"/>
  <c r="J155" i="3"/>
  <c r="V155" i="3"/>
  <c r="S156" i="3"/>
  <c r="R157" i="3"/>
  <c r="O158" i="3"/>
  <c r="L159" i="3"/>
  <c r="K160" i="3"/>
  <c r="U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K175" i="3"/>
  <c r="S175" i="3"/>
  <c r="N176" i="3"/>
  <c r="V176" i="3"/>
  <c r="Q177" i="3"/>
  <c r="L178" i="3"/>
  <c r="T178" i="3"/>
  <c r="O179" i="3"/>
  <c r="J180" i="3"/>
  <c r="R180" i="3"/>
  <c r="M181" i="3"/>
  <c r="U181" i="3"/>
  <c r="P182" i="3"/>
  <c r="K183" i="3"/>
  <c r="S183" i="3"/>
  <c r="N184" i="3"/>
  <c r="V184" i="3"/>
  <c r="Q185" i="3"/>
  <c r="L186" i="3"/>
  <c r="T186" i="3"/>
  <c r="O187" i="3"/>
  <c r="J188" i="3"/>
  <c r="R188" i="3"/>
  <c r="M189" i="3"/>
  <c r="U189" i="3"/>
  <c r="P190" i="3"/>
  <c r="K191" i="3"/>
  <c r="S191" i="3"/>
  <c r="N192" i="3"/>
  <c r="V192" i="3"/>
  <c r="Q193" i="3"/>
  <c r="L194" i="3"/>
  <c r="T194" i="3"/>
  <c r="O195" i="3"/>
  <c r="J196" i="3"/>
  <c r="R196" i="3"/>
  <c r="M197" i="3"/>
  <c r="U197" i="3"/>
  <c r="P198" i="3"/>
  <c r="K199" i="3"/>
  <c r="S199" i="3"/>
  <c r="N200" i="3"/>
  <c r="V200" i="3"/>
  <c r="Q201" i="3"/>
  <c r="L202" i="3"/>
  <c r="T202" i="3"/>
  <c r="O203" i="3"/>
  <c r="J204" i="3"/>
  <c r="R204" i="3"/>
  <c r="M205" i="3"/>
  <c r="U205" i="3"/>
  <c r="P206" i="3"/>
  <c r="K207" i="3"/>
  <c r="S207" i="3"/>
  <c r="N208" i="3"/>
  <c r="V208" i="3"/>
  <c r="Q209" i="3"/>
  <c r="L210" i="3"/>
  <c r="T210" i="3"/>
  <c r="O211" i="3"/>
  <c r="J212" i="3"/>
  <c r="R212" i="3"/>
  <c r="M213" i="3"/>
  <c r="U213" i="3"/>
  <c r="P214" i="3"/>
  <c r="K215" i="3"/>
  <c r="S215" i="3"/>
  <c r="N216" i="3"/>
  <c r="V216" i="3"/>
  <c r="Q217" i="3"/>
  <c r="L218" i="3"/>
  <c r="T218" i="3"/>
  <c r="O219" i="3"/>
  <c r="J220" i="3"/>
  <c r="R220" i="3"/>
  <c r="M221" i="3"/>
  <c r="U221" i="3"/>
  <c r="P222" i="3"/>
  <c r="K223" i="3"/>
  <c r="S223" i="3"/>
  <c r="N224" i="3"/>
  <c r="V224" i="3"/>
  <c r="Q225" i="3"/>
  <c r="L226" i="3"/>
  <c r="T226" i="3"/>
  <c r="O227" i="3"/>
  <c r="J228" i="3"/>
  <c r="R228" i="3"/>
  <c r="M229" i="3"/>
  <c r="U229" i="3"/>
  <c r="P230" i="3"/>
  <c r="K231" i="3"/>
  <c r="S231" i="3"/>
  <c r="N232" i="3"/>
  <c r="V232" i="3"/>
  <c r="Q233" i="3"/>
  <c r="L234" i="3"/>
  <c r="S10" i="3"/>
  <c r="N69" i="3"/>
  <c r="R86" i="3"/>
  <c r="Q94" i="3"/>
  <c r="O101" i="3"/>
  <c r="T107" i="3"/>
  <c r="V112" i="3"/>
  <c r="U118" i="3"/>
  <c r="L124" i="3"/>
  <c r="Q128" i="3"/>
  <c r="K133" i="3"/>
  <c r="T137" i="3"/>
  <c r="S141" i="3"/>
  <c r="J145" i="3"/>
  <c r="R148" i="3"/>
  <c r="L151" i="3"/>
  <c r="J154" i="3"/>
  <c r="Q156" i="3"/>
  <c r="P158" i="3"/>
  <c r="T160" i="3"/>
  <c r="R162" i="3"/>
  <c r="K164" i="3"/>
  <c r="T165" i="3"/>
  <c r="Q167" i="3"/>
  <c r="J169" i="3"/>
  <c r="S170" i="3"/>
  <c r="P172" i="3"/>
  <c r="V173" i="3"/>
  <c r="R175" i="3"/>
  <c r="O177" i="3"/>
  <c r="U178" i="3"/>
  <c r="Q180" i="3"/>
  <c r="N182" i="3"/>
  <c r="T183" i="3"/>
  <c r="P185" i="3"/>
  <c r="M187" i="3"/>
  <c r="S188" i="3"/>
  <c r="O190" i="3"/>
  <c r="L192" i="3"/>
  <c r="R193" i="3"/>
  <c r="N195" i="3"/>
  <c r="K197" i="3"/>
  <c r="Q198" i="3"/>
  <c r="M200" i="3"/>
  <c r="J202" i="3"/>
  <c r="P203" i="3"/>
  <c r="L205" i="3"/>
  <c r="V206" i="3"/>
  <c r="O208" i="3"/>
  <c r="K210" i="3"/>
  <c r="U211" i="3"/>
  <c r="N213" i="3"/>
  <c r="J215" i="3"/>
  <c r="T216" i="3"/>
  <c r="M218" i="3"/>
  <c r="V219" i="3"/>
  <c r="S221" i="3"/>
  <c r="L223" i="3"/>
  <c r="U224" i="3"/>
  <c r="R226" i="3"/>
  <c r="K228" i="3"/>
  <c r="T229" i="3"/>
  <c r="Q231" i="3"/>
  <c r="J233" i="3"/>
  <c r="O234" i="3"/>
  <c r="J235" i="3"/>
  <c r="R235" i="3"/>
  <c r="M236" i="3"/>
  <c r="U236" i="3"/>
  <c r="P237" i="3"/>
  <c r="K238" i="3"/>
  <c r="S238" i="3"/>
  <c r="N239" i="3"/>
  <c r="V239" i="3"/>
  <c r="Q240" i="3"/>
  <c r="L241" i="3"/>
  <c r="T241" i="3"/>
  <c r="O242" i="3"/>
  <c r="J243" i="3"/>
  <c r="R243" i="3"/>
  <c r="M244" i="3"/>
  <c r="U244" i="3"/>
  <c r="P245" i="3"/>
  <c r="K246" i="3"/>
  <c r="S246" i="3"/>
  <c r="N247" i="3"/>
  <c r="V247" i="3"/>
  <c r="Q248" i="3"/>
  <c r="L249" i="3"/>
  <c r="T249" i="3"/>
  <c r="O250" i="3"/>
  <c r="J251" i="3"/>
  <c r="R251" i="3"/>
  <c r="M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L281" i="3"/>
  <c r="T281" i="3"/>
  <c r="O282" i="3"/>
  <c r="J283" i="3"/>
  <c r="R283" i="3"/>
  <c r="M284" i="3"/>
  <c r="U284" i="3"/>
  <c r="P285" i="3"/>
  <c r="K286" i="3"/>
  <c r="S286" i="3"/>
  <c r="N287" i="3"/>
  <c r="V287" i="3"/>
  <c r="Q288" i="3"/>
  <c r="L289" i="3"/>
  <c r="T289" i="3"/>
  <c r="O290" i="3"/>
  <c r="J291" i="3"/>
  <c r="R291" i="3"/>
  <c r="M292" i="3"/>
  <c r="U292" i="3"/>
  <c r="P293" i="3"/>
  <c r="K294" i="3"/>
  <c r="S294" i="3"/>
  <c r="N295" i="3"/>
  <c r="V295" i="3"/>
  <c r="Q296" i="3"/>
  <c r="L297" i="3"/>
  <c r="T297" i="3"/>
  <c r="O298" i="3"/>
  <c r="J299" i="3"/>
  <c r="S42" i="3"/>
  <c r="R70" i="3"/>
  <c r="L87" i="3"/>
  <c r="P96" i="3"/>
  <c r="J102" i="3"/>
  <c r="J108" i="3"/>
  <c r="N114" i="3"/>
  <c r="M119" i="3"/>
  <c r="P124" i="3"/>
  <c r="Q129" i="3"/>
  <c r="P133" i="3"/>
  <c r="J138" i="3"/>
  <c r="P142" i="3"/>
  <c r="O145" i="3"/>
  <c r="S148" i="3"/>
  <c r="T151" i="3"/>
  <c r="L154" i="3"/>
  <c r="R156" i="3"/>
  <c r="J159" i="3"/>
  <c r="V160" i="3"/>
  <c r="S162" i="3"/>
  <c r="P164" i="3"/>
  <c r="V165" i="3"/>
  <c r="R167" i="3"/>
  <c r="O169" i="3"/>
  <c r="U170" i="3"/>
  <c r="Q172" i="3"/>
  <c r="N174" i="3"/>
  <c r="T175" i="3"/>
  <c r="P177" i="3"/>
  <c r="M179" i="3"/>
  <c r="S180" i="3"/>
  <c r="O182" i="3"/>
  <c r="L184" i="3"/>
  <c r="R185" i="3"/>
  <c r="N187" i="3"/>
  <c r="K189" i="3"/>
  <c r="Q190" i="3"/>
  <c r="M192" i="3"/>
  <c r="J194" i="3"/>
  <c r="P195" i="3"/>
  <c r="L197" i="3"/>
  <c r="V198" i="3"/>
  <c r="O200" i="3"/>
  <c r="K202" i="3"/>
  <c r="U203" i="3"/>
  <c r="N205" i="3"/>
  <c r="J207" i="3"/>
  <c r="T208" i="3"/>
  <c r="M210" i="3"/>
  <c r="V211" i="3"/>
  <c r="S213" i="3"/>
  <c r="L215" i="3"/>
  <c r="U216" i="3"/>
  <c r="R218" i="3"/>
  <c r="K220" i="3"/>
  <c r="T221" i="3"/>
  <c r="Q223" i="3"/>
  <c r="J225" i="3"/>
  <c r="S226" i="3"/>
  <c r="P228" i="3"/>
  <c r="V229" i="3"/>
  <c r="R231" i="3"/>
  <c r="O233" i="3"/>
  <c r="P234" i="3"/>
  <c r="K235" i="3"/>
  <c r="S235" i="3"/>
  <c r="N236" i="3"/>
  <c r="V236" i="3"/>
  <c r="Q237" i="3"/>
  <c r="L238" i="3"/>
  <c r="T238" i="3"/>
  <c r="O239" i="3"/>
  <c r="J240" i="3"/>
  <c r="R240" i="3"/>
  <c r="M241" i="3"/>
  <c r="U241" i="3"/>
  <c r="P242" i="3"/>
  <c r="K243" i="3"/>
  <c r="S243" i="3"/>
  <c r="N244" i="3"/>
  <c r="V244" i="3"/>
  <c r="Q245" i="3"/>
  <c r="L246" i="3"/>
  <c r="T246" i="3"/>
  <c r="O247" i="3"/>
  <c r="J248" i="3"/>
  <c r="R248" i="3"/>
  <c r="M249" i="3"/>
  <c r="U249" i="3"/>
  <c r="P250" i="3"/>
  <c r="K251" i="3"/>
  <c r="S251" i="3"/>
  <c r="N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U281" i="3"/>
  <c r="P282" i="3"/>
  <c r="K283" i="3"/>
  <c r="S283" i="3"/>
  <c r="N284" i="3"/>
  <c r="V284" i="3"/>
  <c r="Q285" i="3"/>
  <c r="L286" i="3"/>
  <c r="T286" i="3"/>
  <c r="O287" i="3"/>
  <c r="J288" i="3"/>
  <c r="R288" i="3"/>
  <c r="M289" i="3"/>
  <c r="U289" i="3"/>
  <c r="P290" i="3"/>
  <c r="K291" i="3"/>
  <c r="S291" i="3"/>
  <c r="N292" i="3"/>
  <c r="V292" i="3"/>
  <c r="Q293" i="3"/>
  <c r="L294" i="3"/>
  <c r="T294" i="3"/>
  <c r="O295" i="3"/>
  <c r="J296" i="3"/>
  <c r="R296" i="3"/>
  <c r="M297" i="3"/>
  <c r="U297" i="3"/>
  <c r="P298" i="3"/>
  <c r="K299" i="3"/>
  <c r="S299" i="3"/>
  <c r="N300" i="3"/>
  <c r="K50" i="3"/>
  <c r="U74" i="3"/>
  <c r="U87" i="3"/>
  <c r="J97" i="3"/>
  <c r="N103" i="3"/>
  <c r="R108" i="3"/>
  <c r="Q114" i="3"/>
  <c r="P120" i="3"/>
  <c r="U124" i="3"/>
  <c r="T129" i="3"/>
  <c r="P134" i="3"/>
  <c r="O138" i="3"/>
  <c r="Q142" i="3"/>
  <c r="L146" i="3"/>
  <c r="K149" i="3"/>
  <c r="V151" i="3"/>
  <c r="T154" i="3"/>
  <c r="U156" i="3"/>
  <c r="K159" i="3"/>
  <c r="O161" i="3"/>
  <c r="U162" i="3"/>
  <c r="Q164" i="3"/>
  <c r="N166" i="3"/>
  <c r="T167" i="3"/>
  <c r="P169" i="3"/>
  <c r="M171" i="3"/>
  <c r="S172" i="3"/>
  <c r="O174" i="3"/>
  <c r="L176" i="3"/>
  <c r="R177" i="3"/>
  <c r="N179" i="3"/>
  <c r="K181" i="3"/>
  <c r="Q182" i="3"/>
  <c r="M184" i="3"/>
  <c r="J186" i="3"/>
  <c r="P187" i="3"/>
  <c r="L189" i="3"/>
  <c r="V190" i="3"/>
  <c r="O192" i="3"/>
  <c r="K194" i="3"/>
  <c r="U195" i="3"/>
  <c r="N197" i="3"/>
  <c r="J199" i="3"/>
  <c r="T200" i="3"/>
  <c r="M202" i="3"/>
  <c r="V203" i="3"/>
  <c r="S205" i="3"/>
  <c r="L207" i="3"/>
  <c r="U208" i="3"/>
  <c r="R210" i="3"/>
  <c r="K212" i="3"/>
  <c r="T213" i="3"/>
  <c r="Q215" i="3"/>
  <c r="J217" i="3"/>
  <c r="S218" i="3"/>
  <c r="P220" i="3"/>
  <c r="V221" i="3"/>
  <c r="R223" i="3"/>
  <c r="O225" i="3"/>
  <c r="U226" i="3"/>
  <c r="Q228" i="3"/>
  <c r="N230" i="3"/>
  <c r="T231" i="3"/>
  <c r="P233" i="3"/>
  <c r="Q234" i="3"/>
  <c r="L235" i="3"/>
  <c r="T235" i="3"/>
  <c r="O236" i="3"/>
  <c r="J237" i="3"/>
  <c r="R237" i="3"/>
  <c r="M238" i="3"/>
  <c r="U238" i="3"/>
  <c r="P239" i="3"/>
  <c r="K240" i="3"/>
  <c r="S240" i="3"/>
  <c r="N241" i="3"/>
  <c r="V241" i="3"/>
  <c r="Q242" i="3"/>
  <c r="L243" i="3"/>
  <c r="T243" i="3"/>
  <c r="O244" i="3"/>
  <c r="J245" i="3"/>
  <c r="R245" i="3"/>
  <c r="M246" i="3"/>
  <c r="U246" i="3"/>
  <c r="P247" i="3"/>
  <c r="K248" i="3"/>
  <c r="S248" i="3"/>
  <c r="N249" i="3"/>
  <c r="V249" i="3"/>
  <c r="Q250" i="3"/>
  <c r="L251" i="3"/>
  <c r="T251" i="3"/>
  <c r="O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V289" i="3"/>
  <c r="Q290" i="3"/>
  <c r="L291" i="3"/>
  <c r="T291" i="3"/>
  <c r="O292" i="3"/>
  <c r="J293" i="3"/>
  <c r="R293" i="3"/>
  <c r="M294" i="3"/>
  <c r="U294" i="3"/>
  <c r="P295" i="3"/>
  <c r="K296" i="3"/>
  <c r="S296" i="3"/>
  <c r="N297" i="3"/>
  <c r="V297" i="3"/>
  <c r="Q298" i="3"/>
  <c r="L299" i="3"/>
  <c r="T299" i="3"/>
  <c r="O300" i="3"/>
  <c r="J301" i="3"/>
  <c r="U56" i="3"/>
  <c r="Q75" i="3"/>
  <c r="T89" i="3"/>
  <c r="R97" i="3"/>
  <c r="S103" i="3"/>
  <c r="V109" i="3"/>
  <c r="L115" i="3"/>
  <c r="S120" i="3"/>
  <c r="K126" i="3"/>
  <c r="L130" i="3"/>
  <c r="S134" i="3"/>
  <c r="O139" i="3"/>
  <c r="V142" i="3"/>
  <c r="M146" i="3"/>
  <c r="U149" i="3"/>
  <c r="M152" i="3"/>
  <c r="U154" i="3"/>
  <c r="N157" i="3"/>
  <c r="N159" i="3"/>
  <c r="P161" i="3"/>
  <c r="M163" i="3"/>
  <c r="S164" i="3"/>
  <c r="O166" i="3"/>
  <c r="L168" i="3"/>
  <c r="R169" i="3"/>
  <c r="N171" i="3"/>
  <c r="K173" i="3"/>
  <c r="Q174" i="3"/>
  <c r="M176" i="3"/>
  <c r="J178" i="3"/>
  <c r="P179" i="3"/>
  <c r="L181" i="3"/>
  <c r="V182" i="3"/>
  <c r="O184" i="3"/>
  <c r="K186" i="3"/>
  <c r="U187" i="3"/>
  <c r="N189" i="3"/>
  <c r="J191" i="3"/>
  <c r="T192" i="3"/>
  <c r="M194" i="3"/>
  <c r="V195" i="3"/>
  <c r="S197" i="3"/>
  <c r="L199" i="3"/>
  <c r="U200" i="3"/>
  <c r="R202" i="3"/>
  <c r="K204" i="3"/>
  <c r="T205" i="3"/>
  <c r="Q207" i="3"/>
  <c r="J209" i="3"/>
  <c r="S210" i="3"/>
  <c r="P212" i="3"/>
  <c r="V213" i="3"/>
  <c r="R215" i="3"/>
  <c r="O217" i="3"/>
  <c r="U218" i="3"/>
  <c r="Q220" i="3"/>
  <c r="N222" i="3"/>
  <c r="T223" i="3"/>
  <c r="P225" i="3"/>
  <c r="M227" i="3"/>
  <c r="S228" i="3"/>
  <c r="O230" i="3"/>
  <c r="L232" i="3"/>
  <c r="R233" i="3"/>
  <c r="R234" i="3"/>
  <c r="M235" i="3"/>
  <c r="U235" i="3"/>
  <c r="P236" i="3"/>
  <c r="K237" i="3"/>
  <c r="S237" i="3"/>
  <c r="N238" i="3"/>
  <c r="V238" i="3"/>
  <c r="Q239" i="3"/>
  <c r="L240" i="3"/>
  <c r="T240" i="3"/>
  <c r="O241" i="3"/>
  <c r="J242" i="3"/>
  <c r="R242" i="3"/>
  <c r="M243" i="3"/>
  <c r="U243" i="3"/>
  <c r="P244" i="3"/>
  <c r="K245" i="3"/>
  <c r="S245" i="3"/>
  <c r="N246" i="3"/>
  <c r="V246" i="3"/>
  <c r="Q247" i="3"/>
  <c r="L248" i="3"/>
  <c r="T248" i="3"/>
  <c r="O249" i="3"/>
  <c r="J250" i="3"/>
  <c r="R250" i="3"/>
  <c r="M251" i="3"/>
  <c r="U251" i="3"/>
  <c r="P252" i="3"/>
  <c r="K253" i="3"/>
  <c r="S253" i="3"/>
  <c r="N254" i="3"/>
  <c r="V254" i="3"/>
  <c r="Q255" i="3"/>
  <c r="L256" i="3"/>
  <c r="T256" i="3"/>
  <c r="O257" i="3"/>
  <c r="J258" i="3"/>
  <c r="R258" i="3"/>
  <c r="M259" i="3"/>
  <c r="U259" i="3"/>
  <c r="P260" i="3"/>
  <c r="K261" i="3"/>
  <c r="S261" i="3"/>
  <c r="N262" i="3"/>
  <c r="V262" i="3"/>
  <c r="Q263" i="3"/>
  <c r="L264" i="3"/>
  <c r="T264" i="3"/>
  <c r="O265" i="3"/>
  <c r="J266" i="3"/>
  <c r="R266" i="3"/>
  <c r="M267" i="3"/>
  <c r="U267" i="3"/>
  <c r="P268" i="3"/>
  <c r="K269" i="3"/>
  <c r="S269" i="3"/>
  <c r="N270" i="3"/>
  <c r="V270" i="3"/>
  <c r="Q271" i="3"/>
  <c r="L272" i="3"/>
  <c r="T272" i="3"/>
  <c r="O273" i="3"/>
  <c r="J274" i="3"/>
  <c r="R274" i="3"/>
  <c r="M275" i="3"/>
  <c r="U275" i="3"/>
  <c r="P276" i="3"/>
  <c r="K277" i="3"/>
  <c r="S277" i="3"/>
  <c r="N278" i="3"/>
  <c r="V278" i="3"/>
  <c r="Q279" i="3"/>
  <c r="L280" i="3"/>
  <c r="T280" i="3"/>
  <c r="O281" i="3"/>
  <c r="J282" i="3"/>
  <c r="R282" i="3"/>
  <c r="M283" i="3"/>
  <c r="U283" i="3"/>
  <c r="P284" i="3"/>
  <c r="K285" i="3"/>
  <c r="S285" i="3"/>
  <c r="N286" i="3"/>
  <c r="V286" i="3"/>
  <c r="Q287" i="3"/>
  <c r="L288" i="3"/>
  <c r="T288" i="3"/>
  <c r="O289" i="3"/>
  <c r="J290" i="3"/>
  <c r="R290" i="3"/>
  <c r="M291" i="3"/>
  <c r="U291" i="3"/>
  <c r="P292" i="3"/>
  <c r="K293" i="3"/>
  <c r="S293" i="3"/>
  <c r="N294" i="3"/>
  <c r="V294" i="3"/>
  <c r="Q295" i="3"/>
  <c r="L296" i="3"/>
  <c r="T296" i="3"/>
  <c r="O297" i="3"/>
  <c r="J298" i="3"/>
  <c r="R298" i="3"/>
  <c r="V61" i="3"/>
  <c r="N77" i="3"/>
  <c r="N90" i="3"/>
  <c r="V98" i="3"/>
  <c r="M104" i="3"/>
  <c r="M110" i="3"/>
  <c r="Q116" i="3"/>
  <c r="L121" i="3"/>
  <c r="N126" i="3"/>
  <c r="M131" i="3"/>
  <c r="K135" i="3"/>
  <c r="R139" i="3"/>
  <c r="S143" i="3"/>
  <c r="R146" i="3"/>
  <c r="V149" i="3"/>
  <c r="U152" i="3"/>
  <c r="M155" i="3"/>
  <c r="P157" i="3"/>
  <c r="T159" i="3"/>
  <c r="R161" i="3"/>
  <c r="N163" i="3"/>
  <c r="K165" i="3"/>
  <c r="Q166" i="3"/>
  <c r="M168" i="3"/>
  <c r="J170" i="3"/>
  <c r="P171" i="3"/>
  <c r="L173" i="3"/>
  <c r="V174" i="3"/>
  <c r="O176" i="3"/>
  <c r="K178" i="3"/>
  <c r="U179" i="3"/>
  <c r="N181" i="3"/>
  <c r="J183" i="3"/>
  <c r="T184" i="3"/>
  <c r="M186" i="3"/>
  <c r="V187" i="3"/>
  <c r="S189" i="3"/>
  <c r="L191" i="3"/>
  <c r="U192" i="3"/>
  <c r="R194" i="3"/>
  <c r="K196" i="3"/>
  <c r="T197" i="3"/>
  <c r="Q199" i="3"/>
  <c r="J201" i="3"/>
  <c r="S202" i="3"/>
  <c r="P204" i="3"/>
  <c r="V205" i="3"/>
  <c r="R207" i="3"/>
  <c r="O209" i="3"/>
  <c r="U210" i="3"/>
  <c r="Q212" i="3"/>
  <c r="N214" i="3"/>
  <c r="T215" i="3"/>
  <c r="P217" i="3"/>
  <c r="M219" i="3"/>
  <c r="S220" i="3"/>
  <c r="O222" i="3"/>
  <c r="L224" i="3"/>
  <c r="R225" i="3"/>
  <c r="N227" i="3"/>
  <c r="K229" i="3"/>
  <c r="Q230" i="3"/>
  <c r="M232" i="3"/>
  <c r="J234" i="3"/>
  <c r="S234" i="3"/>
  <c r="N235" i="3"/>
  <c r="V235" i="3"/>
  <c r="Q236" i="3"/>
  <c r="L237" i="3"/>
  <c r="T237" i="3"/>
  <c r="O238" i="3"/>
  <c r="J239" i="3"/>
  <c r="R239" i="3"/>
  <c r="M240" i="3"/>
  <c r="U240" i="3"/>
  <c r="P241" i="3"/>
  <c r="K242" i="3"/>
  <c r="S242" i="3"/>
  <c r="N243" i="3"/>
  <c r="V243" i="3"/>
  <c r="Q244" i="3"/>
  <c r="L245" i="3"/>
  <c r="T245" i="3"/>
  <c r="O246" i="3"/>
  <c r="J247" i="3"/>
  <c r="R247" i="3"/>
  <c r="M248" i="3"/>
  <c r="U248" i="3"/>
  <c r="P249" i="3"/>
  <c r="K250" i="3"/>
  <c r="S250" i="3"/>
  <c r="N251" i="3"/>
  <c r="V251" i="3"/>
  <c r="Q252" i="3"/>
  <c r="L253" i="3"/>
  <c r="T253" i="3"/>
  <c r="O254" i="3"/>
  <c r="J255" i="3"/>
  <c r="R255" i="3"/>
  <c r="M256" i="3"/>
  <c r="U256" i="3"/>
  <c r="P257" i="3"/>
  <c r="K258" i="3"/>
  <c r="S258" i="3"/>
  <c r="N259" i="3"/>
  <c r="V259" i="3"/>
  <c r="Q260" i="3"/>
  <c r="L261" i="3"/>
  <c r="T261" i="3"/>
  <c r="O262" i="3"/>
  <c r="J263" i="3"/>
  <c r="R263" i="3"/>
  <c r="M264" i="3"/>
  <c r="U264" i="3"/>
  <c r="P265" i="3"/>
  <c r="K266" i="3"/>
  <c r="S266" i="3"/>
  <c r="N267" i="3"/>
  <c r="V267" i="3"/>
  <c r="Q268" i="3"/>
  <c r="L269" i="3"/>
  <c r="T269" i="3"/>
  <c r="O270" i="3"/>
  <c r="J271" i="3"/>
  <c r="R271" i="3"/>
  <c r="M272" i="3"/>
  <c r="U272" i="3"/>
  <c r="P273" i="3"/>
  <c r="K274" i="3"/>
  <c r="S274" i="3"/>
  <c r="N275" i="3"/>
  <c r="V275" i="3"/>
  <c r="Q276" i="3"/>
  <c r="L277" i="3"/>
  <c r="T277" i="3"/>
  <c r="O278" i="3"/>
  <c r="J279" i="3"/>
  <c r="R279" i="3"/>
  <c r="M280" i="3"/>
  <c r="U280" i="3"/>
  <c r="P281" i="3"/>
  <c r="K282" i="3"/>
  <c r="S282" i="3"/>
  <c r="N283" i="3"/>
  <c r="V283" i="3"/>
  <c r="Q284" i="3"/>
  <c r="L285" i="3"/>
  <c r="T285" i="3"/>
  <c r="O286" i="3"/>
  <c r="J287" i="3"/>
  <c r="R287" i="3"/>
  <c r="M288" i="3"/>
  <c r="U288" i="3"/>
  <c r="P289" i="3"/>
  <c r="K290" i="3"/>
  <c r="S290" i="3"/>
  <c r="N291" i="3"/>
  <c r="V291" i="3"/>
  <c r="Q292" i="3"/>
  <c r="L293" i="3"/>
  <c r="T293" i="3"/>
  <c r="O294" i="3"/>
  <c r="J295" i="3"/>
  <c r="R295" i="3"/>
  <c r="M296" i="3"/>
  <c r="U296" i="3"/>
  <c r="P297" i="3"/>
  <c r="K298" i="3"/>
  <c r="S298" i="3"/>
  <c r="N299" i="3"/>
  <c r="V299" i="3"/>
  <c r="Q300" i="3"/>
  <c r="L301" i="3"/>
  <c r="Q62" i="3"/>
  <c r="R81" i="3"/>
  <c r="J91" i="3"/>
  <c r="N99" i="3"/>
  <c r="Q105" i="3"/>
  <c r="S110" i="3"/>
  <c r="T116" i="3"/>
  <c r="N122" i="3"/>
  <c r="U126" i="3"/>
  <c r="O131" i="3"/>
  <c r="L136" i="3"/>
  <c r="J140" i="3"/>
  <c r="T143" i="3"/>
  <c r="O147" i="3"/>
  <c r="N150" i="3"/>
  <c r="V152" i="3"/>
  <c r="T155" i="3"/>
  <c r="S157" i="3"/>
  <c r="V159" i="3"/>
  <c r="J162" i="3"/>
  <c r="P163" i="3"/>
  <c r="L165" i="3"/>
  <c r="V166" i="3"/>
  <c r="O168" i="3"/>
  <c r="K170" i="3"/>
  <c r="U171" i="3"/>
  <c r="N173" i="3"/>
  <c r="J175" i="3"/>
  <c r="T176" i="3"/>
  <c r="M178" i="3"/>
  <c r="V179" i="3"/>
  <c r="S181" i="3"/>
  <c r="L183" i="3"/>
  <c r="U184" i="3"/>
  <c r="R186" i="3"/>
  <c r="K188" i="3"/>
  <c r="T189" i="3"/>
  <c r="Q191" i="3"/>
  <c r="J193" i="3"/>
  <c r="S194" i="3"/>
  <c r="P196" i="3"/>
  <c r="V197" i="3"/>
  <c r="R199" i="3"/>
  <c r="O201" i="3"/>
  <c r="U202" i="3"/>
  <c r="Q204" i="3"/>
  <c r="N206" i="3"/>
  <c r="T207" i="3"/>
  <c r="P209" i="3"/>
  <c r="M211" i="3"/>
  <c r="S212" i="3"/>
  <c r="O214" i="3"/>
  <c r="L216" i="3"/>
  <c r="R217" i="3"/>
  <c r="N219" i="3"/>
  <c r="K221" i="3"/>
  <c r="Q222" i="3"/>
  <c r="M224" i="3"/>
  <c r="J226" i="3"/>
  <c r="P227" i="3"/>
  <c r="L229" i="3"/>
  <c r="V230" i="3"/>
  <c r="O232" i="3"/>
  <c r="K234" i="3"/>
  <c r="T234" i="3"/>
  <c r="O235" i="3"/>
  <c r="J236" i="3"/>
  <c r="R236" i="3"/>
  <c r="M237" i="3"/>
  <c r="U237" i="3"/>
  <c r="P238" i="3"/>
  <c r="K239" i="3"/>
  <c r="S239" i="3"/>
  <c r="N240" i="3"/>
  <c r="V240" i="3"/>
  <c r="Q241" i="3"/>
  <c r="L242" i="3"/>
  <c r="T242" i="3"/>
  <c r="O243" i="3"/>
  <c r="J244" i="3"/>
  <c r="R244" i="3"/>
  <c r="M245" i="3"/>
  <c r="U245" i="3"/>
  <c r="P246" i="3"/>
  <c r="K247" i="3"/>
  <c r="S247" i="3"/>
  <c r="N248" i="3"/>
  <c r="V248" i="3"/>
  <c r="Q249" i="3"/>
  <c r="L250" i="3"/>
  <c r="T250" i="3"/>
  <c r="O251" i="3"/>
  <c r="J252" i="3"/>
  <c r="R252" i="3"/>
  <c r="M253" i="3"/>
  <c r="U253" i="3"/>
  <c r="P254" i="3"/>
  <c r="K255" i="3"/>
  <c r="S255" i="3"/>
  <c r="N256" i="3"/>
  <c r="V256" i="3"/>
  <c r="Q257" i="3"/>
  <c r="L258" i="3"/>
  <c r="T258" i="3"/>
  <c r="O259" i="3"/>
  <c r="J260" i="3"/>
  <c r="R260" i="3"/>
  <c r="M261" i="3"/>
  <c r="U261" i="3"/>
  <c r="P262" i="3"/>
  <c r="K263" i="3"/>
  <c r="S263" i="3"/>
  <c r="N264" i="3"/>
  <c r="V264" i="3"/>
  <c r="Q265" i="3"/>
  <c r="L266" i="3"/>
  <c r="T266" i="3"/>
  <c r="O267" i="3"/>
  <c r="J268" i="3"/>
  <c r="R268" i="3"/>
  <c r="M269" i="3"/>
  <c r="U269" i="3"/>
  <c r="P270" i="3"/>
  <c r="K271" i="3"/>
  <c r="S271" i="3"/>
  <c r="N272" i="3"/>
  <c r="V272" i="3"/>
  <c r="Q273" i="3"/>
  <c r="L274" i="3"/>
  <c r="T274" i="3"/>
  <c r="O275" i="3"/>
  <c r="J276" i="3"/>
  <c r="R276" i="3"/>
  <c r="M277" i="3"/>
  <c r="U277" i="3"/>
  <c r="P278" i="3"/>
  <c r="K279" i="3"/>
  <c r="S279" i="3"/>
  <c r="N280" i="3"/>
  <c r="V280" i="3"/>
  <c r="Q281" i="3"/>
  <c r="L282" i="3"/>
  <c r="T282" i="3"/>
  <c r="O283" i="3"/>
  <c r="J284" i="3"/>
  <c r="R284" i="3"/>
  <c r="M285" i="3"/>
  <c r="U285" i="3"/>
  <c r="P286" i="3"/>
  <c r="K287" i="3"/>
  <c r="S287" i="3"/>
  <c r="N288" i="3"/>
  <c r="V288" i="3"/>
  <c r="Q289" i="3"/>
  <c r="L290" i="3"/>
  <c r="T290" i="3"/>
  <c r="O291" i="3"/>
  <c r="J292" i="3"/>
  <c r="R292" i="3"/>
  <c r="L68" i="3"/>
  <c r="K84" i="3"/>
  <c r="P93" i="3"/>
  <c r="M101" i="3"/>
  <c r="N106" i="3"/>
  <c r="O112" i="3"/>
  <c r="Q118" i="3"/>
  <c r="J123" i="3"/>
  <c r="L128" i="3"/>
  <c r="U132" i="3"/>
  <c r="T136" i="3"/>
  <c r="M141" i="3"/>
  <c r="V144" i="3"/>
  <c r="U147" i="3"/>
  <c r="J151" i="3"/>
  <c r="T153" i="3"/>
  <c r="J156" i="3"/>
  <c r="N158" i="3"/>
  <c r="S160" i="3"/>
  <c r="M162" i="3"/>
  <c r="V163" i="3"/>
  <c r="S165" i="3"/>
  <c r="L167" i="3"/>
  <c r="U168" i="3"/>
  <c r="R170" i="3"/>
  <c r="K172" i="3"/>
  <c r="T173" i="3"/>
  <c r="Q175" i="3"/>
  <c r="J177" i="3"/>
  <c r="S178" i="3"/>
  <c r="P180" i="3"/>
  <c r="V181" i="3"/>
  <c r="R183" i="3"/>
  <c r="O185" i="3"/>
  <c r="U186" i="3"/>
  <c r="Q188" i="3"/>
  <c r="N190" i="3"/>
  <c r="T191" i="3"/>
  <c r="P193" i="3"/>
  <c r="M195" i="3"/>
  <c r="S196" i="3"/>
  <c r="O198" i="3"/>
  <c r="L200" i="3"/>
  <c r="R201" i="3"/>
  <c r="N203" i="3"/>
  <c r="K205" i="3"/>
  <c r="Q206" i="3"/>
  <c r="M208" i="3"/>
  <c r="J210" i="3"/>
  <c r="P211" i="3"/>
  <c r="L213" i="3"/>
  <c r="V214" i="3"/>
  <c r="O216" i="3"/>
  <c r="K218" i="3"/>
  <c r="U219" i="3"/>
  <c r="N221" i="3"/>
  <c r="J223" i="3"/>
  <c r="T224" i="3"/>
  <c r="M226" i="3"/>
  <c r="V227" i="3"/>
  <c r="S229" i="3"/>
  <c r="L231" i="3"/>
  <c r="U232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64" i="3"/>
  <c r="V127" i="3"/>
  <c r="U155" i="3"/>
  <c r="M170" i="3"/>
  <c r="Q183" i="3"/>
  <c r="Q196" i="3"/>
  <c r="R209" i="3"/>
  <c r="V222" i="3"/>
  <c r="U234" i="3"/>
  <c r="T239" i="3"/>
  <c r="S244" i="3"/>
  <c r="R249" i="3"/>
  <c r="Q254" i="3"/>
  <c r="P259" i="3"/>
  <c r="O264" i="3"/>
  <c r="N269" i="3"/>
  <c r="M274" i="3"/>
  <c r="L279" i="3"/>
  <c r="K284" i="3"/>
  <c r="J289" i="3"/>
  <c r="N293" i="3"/>
  <c r="T295" i="3"/>
  <c r="M298" i="3"/>
  <c r="J300" i="3"/>
  <c r="K301" i="3"/>
  <c r="T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P353" i="3"/>
  <c r="K354" i="3"/>
  <c r="S354" i="3"/>
  <c r="N355" i="3"/>
  <c r="V355" i="3"/>
  <c r="Q356" i="3"/>
  <c r="L357" i="3"/>
  <c r="T357" i="3"/>
  <c r="O358" i="3"/>
  <c r="J359" i="3"/>
  <c r="R359" i="3"/>
  <c r="M360" i="3"/>
  <c r="U360" i="3"/>
  <c r="P361" i="3"/>
  <c r="K362" i="3"/>
  <c r="S362" i="3"/>
  <c r="N363" i="3"/>
  <c r="V363" i="3"/>
  <c r="Q364" i="3"/>
  <c r="L365" i="3"/>
  <c r="T365" i="3"/>
  <c r="O366" i="3"/>
  <c r="J367" i="3"/>
  <c r="R367" i="3"/>
  <c r="M368" i="3"/>
  <c r="U368" i="3"/>
  <c r="P369" i="3"/>
  <c r="K370" i="3"/>
  <c r="S370" i="3"/>
  <c r="N93" i="3"/>
  <c r="N136" i="3"/>
  <c r="L160" i="3"/>
  <c r="S173" i="3"/>
  <c r="S186" i="3"/>
  <c r="T199" i="3"/>
  <c r="K213" i="3"/>
  <c r="K226" i="3"/>
  <c r="K236" i="3"/>
  <c r="J241" i="3"/>
  <c r="V245" i="3"/>
  <c r="U250" i="3"/>
  <c r="T255" i="3"/>
  <c r="S260" i="3"/>
  <c r="R265" i="3"/>
  <c r="Q270" i="3"/>
  <c r="P275" i="3"/>
  <c r="O280" i="3"/>
  <c r="N285" i="3"/>
  <c r="M290" i="3"/>
  <c r="V293" i="3"/>
  <c r="O296" i="3"/>
  <c r="U298" i="3"/>
  <c r="M300" i="3"/>
  <c r="N301" i="3"/>
  <c r="V301" i="3"/>
  <c r="Q302" i="3"/>
  <c r="L303" i="3"/>
  <c r="T303" i="3"/>
  <c r="O304" i="3"/>
  <c r="J305" i="3"/>
  <c r="R305" i="3"/>
  <c r="M306" i="3"/>
  <c r="U306" i="3"/>
  <c r="P307" i="3"/>
  <c r="K308" i="3"/>
  <c r="S308" i="3"/>
  <c r="N309" i="3"/>
  <c r="V309" i="3"/>
  <c r="Q310" i="3"/>
  <c r="L311" i="3"/>
  <c r="T311" i="3"/>
  <c r="O312" i="3"/>
  <c r="J313" i="3"/>
  <c r="R313" i="3"/>
  <c r="M314" i="3"/>
  <c r="U314" i="3"/>
  <c r="P315" i="3"/>
  <c r="K316" i="3"/>
  <c r="S316" i="3"/>
  <c r="N317" i="3"/>
  <c r="V317" i="3"/>
  <c r="Q318" i="3"/>
  <c r="L319" i="3"/>
  <c r="T319" i="3"/>
  <c r="O320" i="3"/>
  <c r="J321" i="3"/>
  <c r="R321" i="3"/>
  <c r="M322" i="3"/>
  <c r="U322" i="3"/>
  <c r="P323" i="3"/>
  <c r="K324" i="3"/>
  <c r="S324" i="3"/>
  <c r="N325" i="3"/>
  <c r="V325" i="3"/>
  <c r="Q326" i="3"/>
  <c r="L327" i="3"/>
  <c r="T327" i="3"/>
  <c r="O328" i="3"/>
  <c r="J329" i="3"/>
  <c r="R329" i="3"/>
  <c r="M330" i="3"/>
  <c r="U330" i="3"/>
  <c r="P331" i="3"/>
  <c r="K332" i="3"/>
  <c r="S332" i="3"/>
  <c r="N333" i="3"/>
  <c r="V333" i="3"/>
  <c r="Q334" i="3"/>
  <c r="L335" i="3"/>
  <c r="T335" i="3"/>
  <c r="O336" i="3"/>
  <c r="J337" i="3"/>
  <c r="R337" i="3"/>
  <c r="M338" i="3"/>
  <c r="U338" i="3"/>
  <c r="P339" i="3"/>
  <c r="K340" i="3"/>
  <c r="S340" i="3"/>
  <c r="N341" i="3"/>
  <c r="V341" i="3"/>
  <c r="Q342" i="3"/>
  <c r="L343" i="3"/>
  <c r="T343" i="3"/>
  <c r="O344" i="3"/>
  <c r="J345" i="3"/>
  <c r="R345" i="3"/>
  <c r="M346" i="3"/>
  <c r="U346" i="3"/>
  <c r="P347" i="3"/>
  <c r="K348" i="3"/>
  <c r="S348" i="3"/>
  <c r="N349" i="3"/>
  <c r="V349" i="3"/>
  <c r="Q350" i="3"/>
  <c r="L351" i="3"/>
  <c r="T351" i="3"/>
  <c r="O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T99" i="3"/>
  <c r="K141" i="3"/>
  <c r="K162" i="3"/>
  <c r="L175" i="3"/>
  <c r="P188" i="3"/>
  <c r="P201" i="3"/>
  <c r="Q214" i="3"/>
  <c r="U227" i="3"/>
  <c r="S236" i="3"/>
  <c r="R241" i="3"/>
  <c r="Q246" i="3"/>
  <c r="P251" i="3"/>
  <c r="O256" i="3"/>
  <c r="N261" i="3"/>
  <c r="M266" i="3"/>
  <c r="L271" i="3"/>
  <c r="K276" i="3"/>
  <c r="J281" i="3"/>
  <c r="V285" i="3"/>
  <c r="U290" i="3"/>
  <c r="P294" i="3"/>
  <c r="V296" i="3"/>
  <c r="M299" i="3"/>
  <c r="P300" i="3"/>
  <c r="O301" i="3"/>
  <c r="J302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O341" i="3"/>
  <c r="J342" i="3"/>
  <c r="R342" i="3"/>
  <c r="M343" i="3"/>
  <c r="U343" i="3"/>
  <c r="P344" i="3"/>
  <c r="K345" i="3"/>
  <c r="S345" i="3"/>
  <c r="N346" i="3"/>
  <c r="V346" i="3"/>
  <c r="Q347" i="3"/>
  <c r="L348" i="3"/>
  <c r="T348" i="3"/>
  <c r="O349" i="3"/>
  <c r="J350" i="3"/>
  <c r="R350" i="3"/>
  <c r="M351" i="3"/>
  <c r="U351" i="3"/>
  <c r="P352" i="3"/>
  <c r="K353" i="3"/>
  <c r="S353" i="3"/>
  <c r="N354" i="3"/>
  <c r="V354" i="3"/>
  <c r="Q355" i="3"/>
  <c r="T105" i="3"/>
  <c r="L144" i="3"/>
  <c r="U163" i="3"/>
  <c r="U176" i="3"/>
  <c r="V189" i="3"/>
  <c r="M203" i="3"/>
  <c r="M216" i="3"/>
  <c r="N229" i="3"/>
  <c r="N237" i="3"/>
  <c r="M242" i="3"/>
  <c r="L247" i="3"/>
  <c r="K252" i="3"/>
  <c r="J257" i="3"/>
  <c r="V261" i="3"/>
  <c r="U266" i="3"/>
  <c r="T271" i="3"/>
  <c r="S276" i="3"/>
  <c r="R281" i="3"/>
  <c r="Q286" i="3"/>
  <c r="P291" i="3"/>
  <c r="Q294" i="3"/>
  <c r="J297" i="3"/>
  <c r="O299" i="3"/>
  <c r="R300" i="3"/>
  <c r="P301" i="3"/>
  <c r="K302" i="3"/>
  <c r="S302" i="3"/>
  <c r="N303" i="3"/>
  <c r="V303" i="3"/>
  <c r="Q304" i="3"/>
  <c r="L305" i="3"/>
  <c r="T305" i="3"/>
  <c r="O306" i="3"/>
  <c r="J307" i="3"/>
  <c r="R307" i="3"/>
  <c r="M308" i="3"/>
  <c r="U308" i="3"/>
  <c r="P309" i="3"/>
  <c r="K310" i="3"/>
  <c r="S310" i="3"/>
  <c r="N311" i="3"/>
  <c r="V311" i="3"/>
  <c r="Q312" i="3"/>
  <c r="L313" i="3"/>
  <c r="T313" i="3"/>
  <c r="O314" i="3"/>
  <c r="J315" i="3"/>
  <c r="R315" i="3"/>
  <c r="M316" i="3"/>
  <c r="U316" i="3"/>
  <c r="P317" i="3"/>
  <c r="K318" i="3"/>
  <c r="S318" i="3"/>
  <c r="N319" i="3"/>
  <c r="V319" i="3"/>
  <c r="Q320" i="3"/>
  <c r="L321" i="3"/>
  <c r="T321" i="3"/>
  <c r="O322" i="3"/>
  <c r="J323" i="3"/>
  <c r="R323" i="3"/>
  <c r="M324" i="3"/>
  <c r="U324" i="3"/>
  <c r="P325" i="3"/>
  <c r="K326" i="3"/>
  <c r="S326" i="3"/>
  <c r="N327" i="3"/>
  <c r="V327" i="3"/>
  <c r="Q328" i="3"/>
  <c r="L329" i="3"/>
  <c r="T329" i="3"/>
  <c r="O330" i="3"/>
  <c r="J331" i="3"/>
  <c r="R331" i="3"/>
  <c r="M332" i="3"/>
  <c r="U332" i="3"/>
  <c r="P333" i="3"/>
  <c r="K334" i="3"/>
  <c r="S334" i="3"/>
  <c r="N335" i="3"/>
  <c r="V335" i="3"/>
  <c r="Q336" i="3"/>
  <c r="L337" i="3"/>
  <c r="T337" i="3"/>
  <c r="O338" i="3"/>
  <c r="J339" i="3"/>
  <c r="R339" i="3"/>
  <c r="M340" i="3"/>
  <c r="U340" i="3"/>
  <c r="N117" i="3"/>
  <c r="V150" i="3"/>
  <c r="J167" i="3"/>
  <c r="K180" i="3"/>
  <c r="O193" i="3"/>
  <c r="O206" i="3"/>
  <c r="P219" i="3"/>
  <c r="T232" i="3"/>
  <c r="Q238" i="3"/>
  <c r="P243" i="3"/>
  <c r="O248" i="3"/>
  <c r="N253" i="3"/>
  <c r="M258" i="3"/>
  <c r="L263" i="3"/>
  <c r="K268" i="3"/>
  <c r="J273" i="3"/>
  <c r="V277" i="3"/>
  <c r="U282" i="3"/>
  <c r="T287" i="3"/>
  <c r="S292" i="3"/>
  <c r="L295" i="3"/>
  <c r="R297" i="3"/>
  <c r="R299" i="3"/>
  <c r="U300" i="3"/>
  <c r="R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M82" i="3"/>
  <c r="T168" i="3"/>
  <c r="S204" i="3"/>
  <c r="P235" i="3"/>
  <c r="J249" i="3"/>
  <c r="Q262" i="3"/>
  <c r="U274" i="3"/>
  <c r="O288" i="3"/>
  <c r="Q297" i="3"/>
  <c r="M301" i="3"/>
  <c r="V302" i="3"/>
  <c r="R304" i="3"/>
  <c r="L306" i="3"/>
  <c r="U307" i="3"/>
  <c r="Q309" i="3"/>
  <c r="K311" i="3"/>
  <c r="T312" i="3"/>
  <c r="P314" i="3"/>
  <c r="J316" i="3"/>
  <c r="S317" i="3"/>
  <c r="O319" i="3"/>
  <c r="V320" i="3"/>
  <c r="R322" i="3"/>
  <c r="N324" i="3"/>
  <c r="U325" i="3"/>
  <c r="Q327" i="3"/>
  <c r="M329" i="3"/>
  <c r="T330" i="3"/>
  <c r="P332" i="3"/>
  <c r="L334" i="3"/>
  <c r="S335" i="3"/>
  <c r="O337" i="3"/>
  <c r="K339" i="3"/>
  <c r="N340" i="3"/>
  <c r="P341" i="3"/>
  <c r="N342" i="3"/>
  <c r="O343" i="3"/>
  <c r="N344" i="3"/>
  <c r="N345" i="3"/>
  <c r="O346" i="3"/>
  <c r="M347" i="3"/>
  <c r="N348" i="3"/>
  <c r="M349" i="3"/>
  <c r="M350" i="3"/>
  <c r="N351" i="3"/>
  <c r="L352" i="3"/>
  <c r="M353" i="3"/>
  <c r="L354" i="3"/>
  <c r="L355" i="3"/>
  <c r="L356" i="3"/>
  <c r="V356" i="3"/>
  <c r="S357" i="3"/>
  <c r="R358" i="3"/>
  <c r="O359" i="3"/>
  <c r="L360" i="3"/>
  <c r="K361" i="3"/>
  <c r="U361" i="3"/>
  <c r="R362" i="3"/>
  <c r="Q363" i="3"/>
  <c r="N364" i="3"/>
  <c r="K365" i="3"/>
  <c r="J366" i="3"/>
  <c r="T366" i="3"/>
  <c r="Q367" i="3"/>
  <c r="P368" i="3"/>
  <c r="M369" i="3"/>
  <c r="J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M394" i="3"/>
  <c r="U394" i="3"/>
  <c r="P395" i="3"/>
  <c r="K396" i="3"/>
  <c r="S396" i="3"/>
  <c r="N397" i="3"/>
  <c r="V397" i="3"/>
  <c r="Q398" i="3"/>
  <c r="L399" i="3"/>
  <c r="T399" i="3"/>
  <c r="O400" i="3"/>
  <c r="J401" i="3"/>
  <c r="R401" i="3"/>
  <c r="M402" i="3"/>
  <c r="U402" i="3"/>
  <c r="P403" i="3"/>
  <c r="K404" i="3"/>
  <c r="S404" i="3"/>
  <c r="N405" i="3"/>
  <c r="V405" i="3"/>
  <c r="Q406" i="3"/>
  <c r="L407" i="3"/>
  <c r="T407" i="3"/>
  <c r="O408" i="3"/>
  <c r="J409" i="3"/>
  <c r="R409" i="3"/>
  <c r="M410" i="3"/>
  <c r="U410" i="3"/>
  <c r="P411" i="3"/>
  <c r="K412" i="3"/>
  <c r="S412" i="3"/>
  <c r="N413" i="3"/>
  <c r="V413" i="3"/>
  <c r="Q414" i="3"/>
  <c r="L415" i="3"/>
  <c r="T415" i="3"/>
  <c r="O416" i="3"/>
  <c r="J417" i="3"/>
  <c r="R417" i="3"/>
  <c r="M418" i="3"/>
  <c r="U418" i="3"/>
  <c r="P419" i="3"/>
  <c r="K420" i="3"/>
  <c r="S420" i="3"/>
  <c r="N421" i="3"/>
  <c r="V421" i="3"/>
  <c r="Q422" i="3"/>
  <c r="L423" i="3"/>
  <c r="T423" i="3"/>
  <c r="O424" i="3"/>
  <c r="J425" i="3"/>
  <c r="R425" i="3"/>
  <c r="M426" i="3"/>
  <c r="U426" i="3"/>
  <c r="P427" i="3"/>
  <c r="K428" i="3"/>
  <c r="S428" i="3"/>
  <c r="N429" i="3"/>
  <c r="V429" i="3"/>
  <c r="Q430" i="3"/>
  <c r="L431" i="3"/>
  <c r="T431" i="3"/>
  <c r="O432" i="3"/>
  <c r="J433" i="3"/>
  <c r="R433" i="3"/>
  <c r="M434" i="3"/>
  <c r="U434" i="3"/>
  <c r="P435" i="3"/>
  <c r="K436" i="3"/>
  <c r="S436" i="3"/>
  <c r="N437" i="3"/>
  <c r="V437" i="3"/>
  <c r="Q438" i="3"/>
  <c r="L439" i="3"/>
  <c r="T439" i="3"/>
  <c r="O440" i="3"/>
  <c r="J441" i="3"/>
  <c r="R441" i="3"/>
  <c r="M442" i="3"/>
  <c r="U442" i="3"/>
  <c r="P443" i="3"/>
  <c r="K444" i="3"/>
  <c r="S444" i="3"/>
  <c r="N445" i="3"/>
  <c r="V445" i="3"/>
  <c r="Q446" i="3"/>
  <c r="L447" i="3"/>
  <c r="T447" i="3"/>
  <c r="O448" i="3"/>
  <c r="J449" i="3"/>
  <c r="R449" i="3"/>
  <c r="M450" i="3"/>
  <c r="U450" i="3"/>
  <c r="P451" i="3"/>
  <c r="K452" i="3"/>
  <c r="S452" i="3"/>
  <c r="N453" i="3"/>
  <c r="V453" i="3"/>
  <c r="Q454" i="3"/>
  <c r="L455" i="3"/>
  <c r="T455" i="3"/>
  <c r="O456" i="3"/>
  <c r="J457" i="3"/>
  <c r="R457" i="3"/>
  <c r="M458" i="3"/>
  <c r="U458" i="3"/>
  <c r="P459" i="3"/>
  <c r="K460" i="3"/>
  <c r="S460" i="3"/>
  <c r="N461" i="3"/>
  <c r="V461" i="3"/>
  <c r="Q462" i="3"/>
  <c r="L463" i="3"/>
  <c r="T463" i="3"/>
  <c r="O464" i="3"/>
  <c r="J465" i="3"/>
  <c r="R465" i="3"/>
  <c r="M466" i="3"/>
  <c r="U466" i="3"/>
  <c r="P467" i="3"/>
  <c r="K468" i="3"/>
  <c r="S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K112" i="3"/>
  <c r="V171" i="3"/>
  <c r="L208" i="3"/>
  <c r="V237" i="3"/>
  <c r="M250" i="3"/>
  <c r="T263" i="3"/>
  <c r="N277" i="3"/>
  <c r="R289" i="3"/>
  <c r="L298" i="3"/>
  <c r="Q301" i="3"/>
  <c r="K303" i="3"/>
  <c r="T304" i="3"/>
  <c r="P306" i="3"/>
  <c r="J308" i="3"/>
  <c r="S309" i="3"/>
  <c r="O311" i="3"/>
  <c r="V312" i="3"/>
  <c r="R314" i="3"/>
  <c r="N316" i="3"/>
  <c r="U317" i="3"/>
  <c r="Q319" i="3"/>
  <c r="M321" i="3"/>
  <c r="T322" i="3"/>
  <c r="P324" i="3"/>
  <c r="L326" i="3"/>
  <c r="S327" i="3"/>
  <c r="O329" i="3"/>
  <c r="K331" i="3"/>
  <c r="R332" i="3"/>
  <c r="N334" i="3"/>
  <c r="J336" i="3"/>
  <c r="Q337" i="3"/>
  <c r="L339" i="3"/>
  <c r="O340" i="3"/>
  <c r="Q341" i="3"/>
  <c r="P342" i="3"/>
  <c r="P343" i="3"/>
  <c r="Q344" i="3"/>
  <c r="O345" i="3"/>
  <c r="P346" i="3"/>
  <c r="O347" i="3"/>
  <c r="O348" i="3"/>
  <c r="P349" i="3"/>
  <c r="N350" i="3"/>
  <c r="O351" i="3"/>
  <c r="N352" i="3"/>
  <c r="N353" i="3"/>
  <c r="O354" i="3"/>
  <c r="M355" i="3"/>
  <c r="R122" i="3"/>
  <c r="R178" i="3"/>
  <c r="N211" i="3"/>
  <c r="L239" i="3"/>
  <c r="S252" i="3"/>
  <c r="J265" i="3"/>
  <c r="Q278" i="3"/>
  <c r="K292" i="3"/>
  <c r="T298" i="3"/>
  <c r="S301" i="3"/>
  <c r="O303" i="3"/>
  <c r="V304" i="3"/>
  <c r="R306" i="3"/>
  <c r="N308" i="3"/>
  <c r="U309" i="3"/>
  <c r="Q311" i="3"/>
  <c r="M313" i="3"/>
  <c r="T314" i="3"/>
  <c r="P316" i="3"/>
  <c r="L318" i="3"/>
  <c r="S319" i="3"/>
  <c r="O321" i="3"/>
  <c r="K323" i="3"/>
  <c r="R324" i="3"/>
  <c r="N326" i="3"/>
  <c r="J328" i="3"/>
  <c r="Q329" i="3"/>
  <c r="M331" i="3"/>
  <c r="V332" i="3"/>
  <c r="P334" i="3"/>
  <c r="L336" i="3"/>
  <c r="U337" i="3"/>
  <c r="M339" i="3"/>
  <c r="P340" i="3"/>
  <c r="R341" i="3"/>
  <c r="S342" i="3"/>
  <c r="Q343" i="3"/>
  <c r="R344" i="3"/>
  <c r="Q345" i="3"/>
  <c r="Q346" i="3"/>
  <c r="R347" i="3"/>
  <c r="P348" i="3"/>
  <c r="Q349" i="3"/>
  <c r="P350" i="3"/>
  <c r="P351" i="3"/>
  <c r="Q352" i="3"/>
  <c r="O353" i="3"/>
  <c r="P354" i="3"/>
  <c r="O355" i="3"/>
  <c r="N356" i="3"/>
  <c r="K357" i="3"/>
  <c r="J358" i="3"/>
  <c r="T358" i="3"/>
  <c r="Q359" i="3"/>
  <c r="P360" i="3"/>
  <c r="M361" i="3"/>
  <c r="J362" i="3"/>
  <c r="V362" i="3"/>
  <c r="S363" i="3"/>
  <c r="P364" i="3"/>
  <c r="O365" i="3"/>
  <c r="L366" i="3"/>
  <c r="V366" i="3"/>
  <c r="U367" i="3"/>
  <c r="R368" i="3"/>
  <c r="O369" i="3"/>
  <c r="N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K390" i="3"/>
  <c r="S390" i="3"/>
  <c r="N391" i="3"/>
  <c r="V391" i="3"/>
  <c r="Q392" i="3"/>
  <c r="L393" i="3"/>
  <c r="T393" i="3"/>
  <c r="O394" i="3"/>
  <c r="J395" i="3"/>
  <c r="R395" i="3"/>
  <c r="M396" i="3"/>
  <c r="U396" i="3"/>
  <c r="P397" i="3"/>
  <c r="K398" i="3"/>
  <c r="S398" i="3"/>
  <c r="N399" i="3"/>
  <c r="V399" i="3"/>
  <c r="Q400" i="3"/>
  <c r="L401" i="3"/>
  <c r="T401" i="3"/>
  <c r="O402" i="3"/>
  <c r="J403" i="3"/>
  <c r="R403" i="3"/>
  <c r="M404" i="3"/>
  <c r="U404" i="3"/>
  <c r="P405" i="3"/>
  <c r="K406" i="3"/>
  <c r="S406" i="3"/>
  <c r="N407" i="3"/>
  <c r="V407" i="3"/>
  <c r="Q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R459" i="3"/>
  <c r="M460" i="3"/>
  <c r="U460" i="3"/>
  <c r="P461" i="3"/>
  <c r="K462" i="3"/>
  <c r="S462" i="3"/>
  <c r="N463" i="3"/>
  <c r="V463" i="3"/>
  <c r="Q464" i="3"/>
  <c r="L465" i="3"/>
  <c r="T465" i="3"/>
  <c r="O466" i="3"/>
  <c r="J467" i="3"/>
  <c r="R467" i="3"/>
  <c r="M468" i="3"/>
  <c r="U468" i="3"/>
  <c r="P469" i="3"/>
  <c r="K470" i="3"/>
  <c r="S470" i="3"/>
  <c r="N471" i="3"/>
  <c r="V471" i="3"/>
  <c r="Q472" i="3"/>
  <c r="L473" i="3"/>
  <c r="T473" i="3"/>
  <c r="O474" i="3"/>
  <c r="J475" i="3"/>
  <c r="R475" i="3"/>
  <c r="M476" i="3"/>
  <c r="U476" i="3"/>
  <c r="P477" i="3"/>
  <c r="K478" i="3"/>
  <c r="S478" i="3"/>
  <c r="N479" i="3"/>
  <c r="V479" i="3"/>
  <c r="Q480" i="3"/>
  <c r="L481" i="3"/>
  <c r="T481" i="3"/>
  <c r="O482" i="3"/>
  <c r="J483" i="3"/>
  <c r="R483" i="3"/>
  <c r="M484" i="3"/>
  <c r="U484" i="3"/>
  <c r="P485" i="3"/>
  <c r="K486" i="3"/>
  <c r="S486" i="3"/>
  <c r="N487" i="3"/>
  <c r="V487" i="3"/>
  <c r="Q488" i="3"/>
  <c r="L489" i="3"/>
  <c r="T489" i="3"/>
  <c r="O490" i="3"/>
  <c r="J491" i="3"/>
  <c r="R491" i="3"/>
  <c r="M492" i="3"/>
  <c r="U492" i="3"/>
  <c r="P493" i="3"/>
  <c r="K494" i="3"/>
  <c r="S494" i="3"/>
  <c r="N495" i="3"/>
  <c r="V495" i="3"/>
  <c r="Q496" i="3"/>
  <c r="L497" i="3"/>
  <c r="T497" i="3"/>
  <c r="O498" i="3"/>
  <c r="J499" i="3"/>
  <c r="R499" i="3"/>
  <c r="M500" i="3"/>
  <c r="U500" i="3"/>
  <c r="P501" i="3"/>
  <c r="K502" i="3"/>
  <c r="S502" i="3"/>
  <c r="N503" i="3"/>
  <c r="V503" i="3"/>
  <c r="Q504" i="3"/>
  <c r="L505" i="3"/>
  <c r="T505" i="3"/>
  <c r="O506" i="3"/>
  <c r="J507" i="3"/>
  <c r="R507" i="3"/>
  <c r="M508" i="3"/>
  <c r="U508" i="3"/>
  <c r="P509" i="3"/>
  <c r="K510" i="3"/>
  <c r="S510" i="3"/>
  <c r="N511" i="3"/>
  <c r="V511" i="3"/>
  <c r="Q512" i="3"/>
  <c r="L513" i="3"/>
  <c r="T513" i="3"/>
  <c r="O514" i="3"/>
  <c r="J515" i="3"/>
  <c r="R515" i="3"/>
  <c r="M516" i="3"/>
  <c r="U516" i="3"/>
  <c r="P517" i="3"/>
  <c r="K518" i="3"/>
  <c r="S518" i="3"/>
  <c r="N519" i="3"/>
  <c r="V519" i="3"/>
  <c r="Q520" i="3"/>
  <c r="L521" i="3"/>
  <c r="T521" i="3"/>
  <c r="O522" i="3"/>
  <c r="J523" i="3"/>
  <c r="R523" i="3"/>
  <c r="M524" i="3"/>
  <c r="U524" i="3"/>
  <c r="P525" i="3"/>
  <c r="K526" i="3"/>
  <c r="S526" i="3"/>
  <c r="N527" i="3"/>
  <c r="V527" i="3"/>
  <c r="Q528" i="3"/>
  <c r="L529" i="3"/>
  <c r="T529" i="3"/>
  <c r="O530" i="3"/>
  <c r="J531" i="3"/>
  <c r="R531" i="3"/>
  <c r="M532" i="3"/>
  <c r="U532" i="3"/>
  <c r="P533" i="3"/>
  <c r="K534" i="3"/>
  <c r="S534" i="3"/>
  <c r="N535" i="3"/>
  <c r="V535" i="3"/>
  <c r="Q536" i="3"/>
  <c r="L537" i="3"/>
  <c r="T537" i="3"/>
  <c r="O538" i="3"/>
  <c r="J539" i="3"/>
  <c r="U131" i="3"/>
  <c r="T181" i="3"/>
  <c r="J218" i="3"/>
  <c r="O240" i="3"/>
  <c r="V253" i="3"/>
  <c r="P267" i="3"/>
  <c r="T279" i="3"/>
  <c r="M293" i="3"/>
  <c r="P299" i="3"/>
  <c r="U301" i="3"/>
  <c r="Q303" i="3"/>
  <c r="M305" i="3"/>
  <c r="T306" i="3"/>
  <c r="P308" i="3"/>
  <c r="L310" i="3"/>
  <c r="S311" i="3"/>
  <c r="O313" i="3"/>
  <c r="K315" i="3"/>
  <c r="R316" i="3"/>
  <c r="N318" i="3"/>
  <c r="J320" i="3"/>
  <c r="Q321" i="3"/>
  <c r="M323" i="3"/>
  <c r="V324" i="3"/>
  <c r="P326" i="3"/>
  <c r="L328" i="3"/>
  <c r="U329" i="3"/>
  <c r="O331" i="3"/>
  <c r="K333" i="3"/>
  <c r="T334" i="3"/>
  <c r="N336" i="3"/>
  <c r="J338" i="3"/>
  <c r="O339" i="3"/>
  <c r="R340" i="3"/>
  <c r="S341" i="3"/>
  <c r="T342" i="3"/>
  <c r="S343" i="3"/>
  <c r="S344" i="3"/>
  <c r="T345" i="3"/>
  <c r="R346" i="3"/>
  <c r="S347" i="3"/>
  <c r="R348" i="3"/>
  <c r="R349" i="3"/>
  <c r="S350" i="3"/>
  <c r="Q351" i="3"/>
  <c r="R352" i="3"/>
  <c r="Q353" i="3"/>
  <c r="Q354" i="3"/>
  <c r="R355" i="3"/>
  <c r="O356" i="3"/>
  <c r="M357" i="3"/>
  <c r="K358" i="3"/>
  <c r="U358" i="3"/>
  <c r="S359" i="3"/>
  <c r="Q360" i="3"/>
  <c r="N361" i="3"/>
  <c r="L362" i="3"/>
  <c r="J363" i="3"/>
  <c r="T363" i="3"/>
  <c r="R364" i="3"/>
  <c r="P365" i="3"/>
  <c r="M366" i="3"/>
  <c r="K367" i="3"/>
  <c r="V367" i="3"/>
  <c r="S368" i="3"/>
  <c r="Q369" i="3"/>
  <c r="O370" i="3"/>
  <c r="K371" i="3"/>
  <c r="S371" i="3"/>
  <c r="N372" i="3"/>
  <c r="V372" i="3"/>
  <c r="Q373" i="3"/>
  <c r="L374" i="3"/>
  <c r="T374" i="3"/>
  <c r="O375" i="3"/>
  <c r="J376" i="3"/>
  <c r="R376" i="3"/>
  <c r="M377" i="3"/>
  <c r="U377" i="3"/>
  <c r="P378" i="3"/>
  <c r="K379" i="3"/>
  <c r="S379" i="3"/>
  <c r="N380" i="3"/>
  <c r="V380" i="3"/>
  <c r="Q381" i="3"/>
  <c r="L382" i="3"/>
  <c r="T382" i="3"/>
  <c r="O383" i="3"/>
  <c r="J384" i="3"/>
  <c r="R384" i="3"/>
  <c r="M385" i="3"/>
  <c r="U385" i="3"/>
  <c r="P386" i="3"/>
  <c r="K387" i="3"/>
  <c r="S387" i="3"/>
  <c r="N388" i="3"/>
  <c r="V388" i="3"/>
  <c r="Q389" i="3"/>
  <c r="L390" i="3"/>
  <c r="T390" i="3"/>
  <c r="O391" i="3"/>
  <c r="J392" i="3"/>
  <c r="R392" i="3"/>
  <c r="M393" i="3"/>
  <c r="U393" i="3"/>
  <c r="P394" i="3"/>
  <c r="K395" i="3"/>
  <c r="S395" i="3"/>
  <c r="N396" i="3"/>
  <c r="V396" i="3"/>
  <c r="Q397" i="3"/>
  <c r="L398" i="3"/>
  <c r="T398" i="3"/>
  <c r="O399" i="3"/>
  <c r="J400" i="3"/>
  <c r="R400" i="3"/>
  <c r="M401" i="3"/>
  <c r="U401" i="3"/>
  <c r="P402" i="3"/>
  <c r="K403" i="3"/>
  <c r="S403" i="3"/>
  <c r="N404" i="3"/>
  <c r="V404" i="3"/>
  <c r="Q405" i="3"/>
  <c r="L406" i="3"/>
  <c r="T406" i="3"/>
  <c r="O407" i="3"/>
  <c r="J408" i="3"/>
  <c r="R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P147" i="3"/>
  <c r="J185" i="3"/>
  <c r="L221" i="3"/>
  <c r="U242" i="3"/>
  <c r="L255" i="3"/>
  <c r="S268" i="3"/>
  <c r="M282" i="3"/>
  <c r="U293" i="3"/>
  <c r="U299" i="3"/>
  <c r="L302" i="3"/>
  <c r="S303" i="3"/>
  <c r="O305" i="3"/>
  <c r="K307" i="3"/>
  <c r="R308" i="3"/>
  <c r="N310" i="3"/>
  <c r="J312" i="3"/>
  <c r="Q313" i="3"/>
  <c r="M315" i="3"/>
  <c r="V316" i="3"/>
  <c r="P318" i="3"/>
  <c r="L320" i="3"/>
  <c r="U321" i="3"/>
  <c r="O323" i="3"/>
  <c r="K325" i="3"/>
  <c r="T326" i="3"/>
  <c r="N328" i="3"/>
  <c r="J330" i="3"/>
  <c r="S331" i="3"/>
  <c r="M333" i="3"/>
  <c r="V334" i="3"/>
  <c r="R336" i="3"/>
  <c r="L338" i="3"/>
  <c r="S339" i="3"/>
  <c r="V340" i="3"/>
  <c r="U341" i="3"/>
  <c r="U342" i="3"/>
  <c r="V343" i="3"/>
  <c r="T344" i="3"/>
  <c r="U345" i="3"/>
  <c r="T346" i="3"/>
  <c r="T347" i="3"/>
  <c r="U348" i="3"/>
  <c r="S349" i="3"/>
  <c r="T350" i="3"/>
  <c r="S351" i="3"/>
  <c r="S352" i="3"/>
  <c r="T353" i="3"/>
  <c r="R354" i="3"/>
  <c r="S355" i="3"/>
  <c r="P356" i="3"/>
  <c r="O357" i="3"/>
  <c r="L358" i="3"/>
  <c r="V358" i="3"/>
  <c r="U359" i="3"/>
  <c r="R360" i="3"/>
  <c r="O361" i="3"/>
  <c r="N362" i="3"/>
  <c r="K363" i="3"/>
  <c r="U363" i="3"/>
  <c r="T364" i="3"/>
  <c r="Q365" i="3"/>
  <c r="N366" i="3"/>
  <c r="M367" i="3"/>
  <c r="J368" i="3"/>
  <c r="T368" i="3"/>
  <c r="S369" i="3"/>
  <c r="P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J405" i="3"/>
  <c r="R405" i="3"/>
  <c r="M406" i="3"/>
  <c r="U406" i="3"/>
  <c r="P407" i="3"/>
  <c r="K408" i="3"/>
  <c r="S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T459" i="3"/>
  <c r="O460" i="3"/>
  <c r="J461" i="3"/>
  <c r="R461" i="3"/>
  <c r="M462" i="3"/>
  <c r="U462" i="3"/>
  <c r="P463" i="3"/>
  <c r="K464" i="3"/>
  <c r="S464" i="3"/>
  <c r="N465" i="3"/>
  <c r="V465" i="3"/>
  <c r="Q466" i="3"/>
  <c r="L467" i="3"/>
  <c r="T467" i="3"/>
  <c r="O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L153" i="3"/>
  <c r="M234" i="3"/>
  <c r="O272" i="3"/>
  <c r="K300" i="3"/>
  <c r="N304" i="3"/>
  <c r="K309" i="3"/>
  <c r="U313" i="3"/>
  <c r="Q317" i="3"/>
  <c r="L322" i="3"/>
  <c r="V326" i="3"/>
  <c r="R330" i="3"/>
  <c r="O335" i="3"/>
  <c r="T339" i="3"/>
  <c r="M342" i="3"/>
  <c r="L345" i="3"/>
  <c r="U347" i="3"/>
  <c r="L350" i="3"/>
  <c r="V352" i="3"/>
  <c r="T355" i="3"/>
  <c r="P357" i="3"/>
  <c r="K359" i="3"/>
  <c r="S360" i="3"/>
  <c r="O362" i="3"/>
  <c r="J364" i="3"/>
  <c r="R365" i="3"/>
  <c r="N367" i="3"/>
  <c r="V368" i="3"/>
  <c r="Q370" i="3"/>
  <c r="U371" i="3"/>
  <c r="K373" i="3"/>
  <c r="N374" i="3"/>
  <c r="Q375" i="3"/>
  <c r="T376" i="3"/>
  <c r="J378" i="3"/>
  <c r="M379" i="3"/>
  <c r="P380" i="3"/>
  <c r="S381" i="3"/>
  <c r="V382" i="3"/>
  <c r="L384" i="3"/>
  <c r="O385" i="3"/>
  <c r="R386" i="3"/>
  <c r="U387" i="3"/>
  <c r="K389" i="3"/>
  <c r="N390" i="3"/>
  <c r="Q391" i="3"/>
  <c r="T392" i="3"/>
  <c r="J394" i="3"/>
  <c r="M395" i="3"/>
  <c r="P396" i="3"/>
  <c r="S397" i="3"/>
  <c r="V398" i="3"/>
  <c r="L400" i="3"/>
  <c r="O401" i="3"/>
  <c r="R402" i="3"/>
  <c r="U403" i="3"/>
  <c r="K405" i="3"/>
  <c r="N406" i="3"/>
  <c r="Q407" i="3"/>
  <c r="T408" i="3"/>
  <c r="J410" i="3"/>
  <c r="M411" i="3"/>
  <c r="P412" i="3"/>
  <c r="S413" i="3"/>
  <c r="V414" i="3"/>
  <c r="L416" i="3"/>
  <c r="O417" i="3"/>
  <c r="R418" i="3"/>
  <c r="U419" i="3"/>
  <c r="K421" i="3"/>
  <c r="N422" i="3"/>
  <c r="Q423" i="3"/>
  <c r="T424" i="3"/>
  <c r="J426" i="3"/>
  <c r="M427" i="3"/>
  <c r="P428" i="3"/>
  <c r="S429" i="3"/>
  <c r="V430" i="3"/>
  <c r="L432" i="3"/>
  <c r="O433" i="3"/>
  <c r="R434" i="3"/>
  <c r="U435" i="3"/>
  <c r="K437" i="3"/>
  <c r="N438" i="3"/>
  <c r="Q439" i="3"/>
  <c r="T440" i="3"/>
  <c r="J442" i="3"/>
  <c r="M443" i="3"/>
  <c r="P444" i="3"/>
  <c r="S445" i="3"/>
  <c r="V446" i="3"/>
  <c r="L448" i="3"/>
  <c r="O449" i="3"/>
  <c r="R450" i="3"/>
  <c r="U451" i="3"/>
  <c r="K453" i="3"/>
  <c r="N454" i="3"/>
  <c r="Q455" i="3"/>
  <c r="T456" i="3"/>
  <c r="J458" i="3"/>
  <c r="M459" i="3"/>
  <c r="P460" i="3"/>
  <c r="S461" i="3"/>
  <c r="V462" i="3"/>
  <c r="L464" i="3"/>
  <c r="O465" i="3"/>
  <c r="R466" i="3"/>
  <c r="U467" i="3"/>
  <c r="K469" i="3"/>
  <c r="N470" i="3"/>
  <c r="Q471" i="3"/>
  <c r="T472" i="3"/>
  <c r="J474" i="3"/>
  <c r="M475" i="3"/>
  <c r="P476" i="3"/>
  <c r="S477" i="3"/>
  <c r="V478" i="3"/>
  <c r="L480" i="3"/>
  <c r="O481" i="3"/>
  <c r="R482" i="3"/>
  <c r="U483" i="3"/>
  <c r="K485" i="3"/>
  <c r="N486" i="3"/>
  <c r="Q487" i="3"/>
  <c r="T488" i="3"/>
  <c r="J490" i="3"/>
  <c r="M491" i="3"/>
  <c r="P492" i="3"/>
  <c r="S493" i="3"/>
  <c r="V494" i="3"/>
  <c r="L496" i="3"/>
  <c r="O497" i="3"/>
  <c r="R498" i="3"/>
  <c r="U499" i="3"/>
  <c r="K501" i="3"/>
  <c r="N502" i="3"/>
  <c r="Q503" i="3"/>
  <c r="T504" i="3"/>
  <c r="J506" i="3"/>
  <c r="M507" i="3"/>
  <c r="P508" i="3"/>
  <c r="S509" i="3"/>
  <c r="V510" i="3"/>
  <c r="L512" i="3"/>
  <c r="O513" i="3"/>
  <c r="R514" i="3"/>
  <c r="U515" i="3"/>
  <c r="K517" i="3"/>
  <c r="N518" i="3"/>
  <c r="Q519" i="3"/>
  <c r="T520" i="3"/>
  <c r="J522" i="3"/>
  <c r="M523" i="3"/>
  <c r="P524" i="3"/>
  <c r="S525" i="3"/>
  <c r="V526" i="3"/>
  <c r="L528" i="3"/>
  <c r="O529" i="3"/>
  <c r="R530" i="3"/>
  <c r="U531" i="3"/>
  <c r="K533" i="3"/>
  <c r="N534" i="3"/>
  <c r="Q535" i="3"/>
  <c r="T536" i="3"/>
  <c r="J538" i="3"/>
  <c r="K539" i="3"/>
  <c r="T539" i="3"/>
  <c r="O540" i="3"/>
  <c r="M158" i="3"/>
  <c r="K244" i="3"/>
  <c r="R273" i="3"/>
  <c r="S300" i="3"/>
  <c r="Q305" i="3"/>
  <c r="M309" i="3"/>
  <c r="J314" i="3"/>
  <c r="T318" i="3"/>
  <c r="P322" i="3"/>
  <c r="K327" i="3"/>
  <c r="U331" i="3"/>
  <c r="Q335" i="3"/>
  <c r="U339" i="3"/>
  <c r="V342" i="3"/>
  <c r="M345" i="3"/>
  <c r="J348" i="3"/>
  <c r="U350" i="3"/>
  <c r="L353" i="3"/>
  <c r="U355" i="3"/>
  <c r="Q357" i="3"/>
  <c r="M359" i="3"/>
  <c r="T360" i="3"/>
  <c r="P362" i="3"/>
  <c r="L364" i="3"/>
  <c r="S365" i="3"/>
  <c r="O367" i="3"/>
  <c r="K369" i="3"/>
  <c r="R370" i="3"/>
  <c r="V371" i="3"/>
  <c r="L373" i="3"/>
  <c r="O374" i="3"/>
  <c r="R375" i="3"/>
  <c r="U376" i="3"/>
  <c r="K378" i="3"/>
  <c r="N379" i="3"/>
  <c r="Q380" i="3"/>
  <c r="T381" i="3"/>
  <c r="J383" i="3"/>
  <c r="M384" i="3"/>
  <c r="P385" i="3"/>
  <c r="S386" i="3"/>
  <c r="V387" i="3"/>
  <c r="L389" i="3"/>
  <c r="O390" i="3"/>
  <c r="R391" i="3"/>
  <c r="U392" i="3"/>
  <c r="K394" i="3"/>
  <c r="N395" i="3"/>
  <c r="Q396" i="3"/>
  <c r="T397" i="3"/>
  <c r="J399" i="3"/>
  <c r="M400" i="3"/>
  <c r="P401" i="3"/>
  <c r="S402" i="3"/>
  <c r="V403" i="3"/>
  <c r="L405" i="3"/>
  <c r="O406" i="3"/>
  <c r="R407" i="3"/>
  <c r="U408" i="3"/>
  <c r="K410" i="3"/>
  <c r="N411" i="3"/>
  <c r="Q412" i="3"/>
  <c r="T413" i="3"/>
  <c r="J415" i="3"/>
  <c r="M416" i="3"/>
  <c r="P417" i="3"/>
  <c r="S418" i="3"/>
  <c r="V419" i="3"/>
  <c r="L421" i="3"/>
  <c r="O422" i="3"/>
  <c r="R423" i="3"/>
  <c r="U424" i="3"/>
  <c r="K426" i="3"/>
  <c r="N427" i="3"/>
  <c r="Q428" i="3"/>
  <c r="T429" i="3"/>
  <c r="J431" i="3"/>
  <c r="M432" i="3"/>
  <c r="P433" i="3"/>
  <c r="S434" i="3"/>
  <c r="V435" i="3"/>
  <c r="L437" i="3"/>
  <c r="O438" i="3"/>
  <c r="R439" i="3"/>
  <c r="U440" i="3"/>
  <c r="K442" i="3"/>
  <c r="N443" i="3"/>
  <c r="Q444" i="3"/>
  <c r="T445" i="3"/>
  <c r="J447" i="3"/>
  <c r="M448" i="3"/>
  <c r="P449" i="3"/>
  <c r="S450" i="3"/>
  <c r="V451" i="3"/>
  <c r="L453" i="3"/>
  <c r="O454" i="3"/>
  <c r="R455" i="3"/>
  <c r="U456" i="3"/>
  <c r="K458" i="3"/>
  <c r="N459" i="3"/>
  <c r="Q460" i="3"/>
  <c r="T461" i="3"/>
  <c r="J463" i="3"/>
  <c r="M464" i="3"/>
  <c r="P465" i="3"/>
  <c r="S466" i="3"/>
  <c r="V467" i="3"/>
  <c r="L469" i="3"/>
  <c r="O470" i="3"/>
  <c r="R471" i="3"/>
  <c r="U472" i="3"/>
  <c r="K474" i="3"/>
  <c r="N475" i="3"/>
  <c r="Q476" i="3"/>
  <c r="T477" i="3"/>
  <c r="J479" i="3"/>
  <c r="M480" i="3"/>
  <c r="P481" i="3"/>
  <c r="S482" i="3"/>
  <c r="V483" i="3"/>
  <c r="L485" i="3"/>
  <c r="O486" i="3"/>
  <c r="R487" i="3"/>
  <c r="U488" i="3"/>
  <c r="K490" i="3"/>
  <c r="N491" i="3"/>
  <c r="Q492" i="3"/>
  <c r="T493" i="3"/>
  <c r="J495" i="3"/>
  <c r="M496" i="3"/>
  <c r="P497" i="3"/>
  <c r="S498" i="3"/>
  <c r="V499" i="3"/>
  <c r="L501" i="3"/>
  <c r="O502" i="3"/>
  <c r="R503" i="3"/>
  <c r="U504" i="3"/>
  <c r="K506" i="3"/>
  <c r="N507" i="3"/>
  <c r="Q508" i="3"/>
  <c r="T509" i="3"/>
  <c r="J511" i="3"/>
  <c r="M512" i="3"/>
  <c r="P513" i="3"/>
  <c r="S514" i="3"/>
  <c r="V515" i="3"/>
  <c r="L517" i="3"/>
  <c r="O518" i="3"/>
  <c r="R519" i="3"/>
  <c r="U520" i="3"/>
  <c r="K522" i="3"/>
  <c r="N523" i="3"/>
  <c r="Q524" i="3"/>
  <c r="T525" i="3"/>
  <c r="J527" i="3"/>
  <c r="M528" i="3"/>
  <c r="P529" i="3"/>
  <c r="S530" i="3"/>
  <c r="V531" i="3"/>
  <c r="L533" i="3"/>
  <c r="O534" i="3"/>
  <c r="R535" i="3"/>
  <c r="U536" i="3"/>
  <c r="K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L552" i="3"/>
  <c r="T552" i="3"/>
  <c r="O553" i="3"/>
  <c r="J554" i="3"/>
  <c r="R554" i="3"/>
  <c r="M555" i="3"/>
  <c r="U555" i="3"/>
  <c r="P556" i="3"/>
  <c r="K557" i="3"/>
  <c r="S557" i="3"/>
  <c r="N558" i="3"/>
  <c r="V558" i="3"/>
  <c r="Q559" i="3"/>
  <c r="L560" i="3"/>
  <c r="T560" i="3"/>
  <c r="O561" i="3"/>
  <c r="J562" i="3"/>
  <c r="R562" i="3"/>
  <c r="M563" i="3"/>
  <c r="U563" i="3"/>
  <c r="P564" i="3"/>
  <c r="K565" i="3"/>
  <c r="S565" i="3"/>
  <c r="N566" i="3"/>
  <c r="V566" i="3"/>
  <c r="Q567" i="3"/>
  <c r="L568" i="3"/>
  <c r="T568" i="3"/>
  <c r="O569" i="3"/>
  <c r="J570" i="3"/>
  <c r="R570" i="3"/>
  <c r="M571" i="3"/>
  <c r="U571" i="3"/>
  <c r="P572" i="3"/>
  <c r="K573" i="3"/>
  <c r="S573" i="3"/>
  <c r="N574" i="3"/>
  <c r="V574" i="3"/>
  <c r="Q575" i="3"/>
  <c r="L576" i="3"/>
  <c r="T576" i="3"/>
  <c r="O577" i="3"/>
  <c r="J578" i="3"/>
  <c r="R578" i="3"/>
  <c r="M579" i="3"/>
  <c r="U579" i="3"/>
  <c r="P580" i="3"/>
  <c r="K581" i="3"/>
  <c r="S581" i="3"/>
  <c r="N582" i="3"/>
  <c r="V582" i="3"/>
  <c r="Q583" i="3"/>
  <c r="L584" i="3"/>
  <c r="T584" i="3"/>
  <c r="O585" i="3"/>
  <c r="J586" i="3"/>
  <c r="R586" i="3"/>
  <c r="M587" i="3"/>
  <c r="U587" i="3"/>
  <c r="P588" i="3"/>
  <c r="K589" i="3"/>
  <c r="S589" i="3"/>
  <c r="N590" i="3"/>
  <c r="V590" i="3"/>
  <c r="Q591" i="3"/>
  <c r="L592" i="3"/>
  <c r="T592" i="3"/>
  <c r="O593" i="3"/>
  <c r="J594" i="3"/>
  <c r="R594" i="3"/>
  <c r="M595" i="3"/>
  <c r="U595" i="3"/>
  <c r="P596" i="3"/>
  <c r="K597" i="3"/>
  <c r="S597" i="3"/>
  <c r="N598" i="3"/>
  <c r="V598" i="3"/>
  <c r="Q599" i="3"/>
  <c r="L600" i="3"/>
  <c r="T600" i="3"/>
  <c r="O601" i="3"/>
  <c r="J602" i="3"/>
  <c r="R602" i="3"/>
  <c r="M603" i="3"/>
  <c r="U603" i="3"/>
  <c r="P604" i="3"/>
  <c r="K605" i="3"/>
  <c r="S605" i="3"/>
  <c r="N606" i="3"/>
  <c r="V606" i="3"/>
  <c r="Q607" i="3"/>
  <c r="L608" i="3"/>
  <c r="T608" i="3"/>
  <c r="O609" i="3"/>
  <c r="J610" i="3"/>
  <c r="R610" i="3"/>
  <c r="M611" i="3"/>
  <c r="U611" i="3"/>
  <c r="P612" i="3"/>
  <c r="K613" i="3"/>
  <c r="S613" i="3"/>
  <c r="N614" i="3"/>
  <c r="V614" i="3"/>
  <c r="Q615" i="3"/>
  <c r="L616" i="3"/>
  <c r="T616" i="3"/>
  <c r="O617" i="3"/>
  <c r="J618" i="3"/>
  <c r="R618" i="3"/>
  <c r="M619" i="3"/>
  <c r="U619" i="3"/>
  <c r="P620" i="3"/>
  <c r="K621" i="3"/>
  <c r="S621" i="3"/>
  <c r="N622" i="3"/>
  <c r="V622" i="3"/>
  <c r="Q623" i="3"/>
  <c r="L624" i="3"/>
  <c r="T624" i="3"/>
  <c r="O625" i="3"/>
  <c r="J626" i="3"/>
  <c r="R626" i="3"/>
  <c r="M627" i="3"/>
  <c r="U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N165" i="3"/>
  <c r="N245" i="3"/>
  <c r="P283" i="3"/>
  <c r="V300" i="3"/>
  <c r="U305" i="3"/>
  <c r="P310" i="3"/>
  <c r="L314" i="3"/>
  <c r="V318" i="3"/>
  <c r="S323" i="3"/>
  <c r="O327" i="3"/>
  <c r="J332" i="3"/>
  <c r="T336" i="3"/>
  <c r="J340" i="3"/>
  <c r="K343" i="3"/>
  <c r="V345" i="3"/>
  <c r="M348" i="3"/>
  <c r="V350" i="3"/>
  <c r="U353" i="3"/>
  <c r="J356" i="3"/>
  <c r="R357" i="3"/>
  <c r="N359" i="3"/>
  <c r="V360" i="3"/>
  <c r="Q362" i="3"/>
  <c r="M364" i="3"/>
  <c r="U365" i="3"/>
  <c r="P367" i="3"/>
  <c r="L369" i="3"/>
  <c r="T370" i="3"/>
  <c r="J372" i="3"/>
  <c r="M373" i="3"/>
  <c r="P374" i="3"/>
  <c r="S375" i="3"/>
  <c r="V376" i="3"/>
  <c r="L378" i="3"/>
  <c r="O379" i="3"/>
  <c r="R380" i="3"/>
  <c r="U381" i="3"/>
  <c r="K383" i="3"/>
  <c r="N384" i="3"/>
  <c r="Q385" i="3"/>
  <c r="T386" i="3"/>
  <c r="J388" i="3"/>
  <c r="M389" i="3"/>
  <c r="P390" i="3"/>
  <c r="S391" i="3"/>
  <c r="V392" i="3"/>
  <c r="L394" i="3"/>
  <c r="O395" i="3"/>
  <c r="R396" i="3"/>
  <c r="U397" i="3"/>
  <c r="K399" i="3"/>
  <c r="N400" i="3"/>
  <c r="Q401" i="3"/>
  <c r="T402" i="3"/>
  <c r="J404" i="3"/>
  <c r="M405" i="3"/>
  <c r="P406" i="3"/>
  <c r="S407" i="3"/>
  <c r="V408" i="3"/>
  <c r="L410" i="3"/>
  <c r="O411" i="3"/>
  <c r="R412" i="3"/>
  <c r="U413" i="3"/>
  <c r="K415" i="3"/>
  <c r="N416" i="3"/>
  <c r="Q417" i="3"/>
  <c r="T418" i="3"/>
  <c r="J420" i="3"/>
  <c r="M421" i="3"/>
  <c r="P422" i="3"/>
  <c r="S423" i="3"/>
  <c r="V424" i="3"/>
  <c r="L426" i="3"/>
  <c r="O427" i="3"/>
  <c r="R428" i="3"/>
  <c r="U429" i="3"/>
  <c r="K431" i="3"/>
  <c r="N432" i="3"/>
  <c r="Q433" i="3"/>
  <c r="T434" i="3"/>
  <c r="J436" i="3"/>
  <c r="M437" i="3"/>
  <c r="P438" i="3"/>
  <c r="S439" i="3"/>
  <c r="V440" i="3"/>
  <c r="L442" i="3"/>
  <c r="O443" i="3"/>
  <c r="R444" i="3"/>
  <c r="U445" i="3"/>
  <c r="K447" i="3"/>
  <c r="N448" i="3"/>
  <c r="Q449" i="3"/>
  <c r="T450" i="3"/>
  <c r="J452" i="3"/>
  <c r="M453" i="3"/>
  <c r="P454" i="3"/>
  <c r="S455" i="3"/>
  <c r="V456" i="3"/>
  <c r="L458" i="3"/>
  <c r="O459" i="3"/>
  <c r="R460" i="3"/>
  <c r="U461" i="3"/>
  <c r="K463" i="3"/>
  <c r="N464" i="3"/>
  <c r="Q465" i="3"/>
  <c r="T466" i="3"/>
  <c r="J468" i="3"/>
  <c r="M469" i="3"/>
  <c r="P470" i="3"/>
  <c r="S471" i="3"/>
  <c r="V472" i="3"/>
  <c r="L474" i="3"/>
  <c r="O475" i="3"/>
  <c r="R476" i="3"/>
  <c r="U477" i="3"/>
  <c r="K479" i="3"/>
  <c r="N480" i="3"/>
  <c r="Q481" i="3"/>
  <c r="T482" i="3"/>
  <c r="J484" i="3"/>
  <c r="M485" i="3"/>
  <c r="P486" i="3"/>
  <c r="S487" i="3"/>
  <c r="V488" i="3"/>
  <c r="L490" i="3"/>
  <c r="O491" i="3"/>
  <c r="R492" i="3"/>
  <c r="U493" i="3"/>
  <c r="K495" i="3"/>
  <c r="N496" i="3"/>
  <c r="Q497" i="3"/>
  <c r="T498" i="3"/>
  <c r="J500" i="3"/>
  <c r="M501" i="3"/>
  <c r="P502" i="3"/>
  <c r="S503" i="3"/>
  <c r="V504" i="3"/>
  <c r="L506" i="3"/>
  <c r="O507" i="3"/>
  <c r="R508" i="3"/>
  <c r="U509" i="3"/>
  <c r="K511" i="3"/>
  <c r="N512" i="3"/>
  <c r="Q513" i="3"/>
  <c r="T514" i="3"/>
  <c r="J516" i="3"/>
  <c r="M517" i="3"/>
  <c r="P518" i="3"/>
  <c r="S519" i="3"/>
  <c r="V520" i="3"/>
  <c r="L522" i="3"/>
  <c r="O523" i="3"/>
  <c r="R524" i="3"/>
  <c r="U525" i="3"/>
  <c r="K527" i="3"/>
  <c r="N528" i="3"/>
  <c r="Q529" i="3"/>
  <c r="T530" i="3"/>
  <c r="J532" i="3"/>
  <c r="M533" i="3"/>
  <c r="P534" i="3"/>
  <c r="S535" i="3"/>
  <c r="V536" i="3"/>
  <c r="L538" i="3"/>
  <c r="N539" i="3"/>
  <c r="V539" i="3"/>
  <c r="Q540" i="3"/>
  <c r="L541" i="3"/>
  <c r="T541" i="3"/>
  <c r="O542" i="3"/>
  <c r="J543" i="3"/>
  <c r="R543" i="3"/>
  <c r="M544" i="3"/>
  <c r="U544" i="3"/>
  <c r="P545" i="3"/>
  <c r="K546" i="3"/>
  <c r="S546" i="3"/>
  <c r="N547" i="3"/>
  <c r="V547" i="3"/>
  <c r="Q548" i="3"/>
  <c r="L549" i="3"/>
  <c r="T549" i="3"/>
  <c r="O550" i="3"/>
  <c r="J551" i="3"/>
  <c r="R551" i="3"/>
  <c r="M552" i="3"/>
  <c r="U552" i="3"/>
  <c r="P553" i="3"/>
  <c r="K554" i="3"/>
  <c r="S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R191" i="3"/>
  <c r="T247" i="3"/>
  <c r="S284" i="3"/>
  <c r="N302" i="3"/>
  <c r="J306" i="3"/>
  <c r="T310" i="3"/>
  <c r="O315" i="3"/>
  <c r="K319" i="3"/>
  <c r="U323" i="3"/>
  <c r="R328" i="3"/>
  <c r="N332" i="3"/>
  <c r="V336" i="3"/>
  <c r="J341" i="3"/>
  <c r="N343" i="3"/>
  <c r="J346" i="3"/>
  <c r="V348" i="3"/>
  <c r="K351" i="3"/>
  <c r="V353" i="3"/>
  <c r="M356" i="3"/>
  <c r="U357" i="3"/>
  <c r="P359" i="3"/>
  <c r="L361" i="3"/>
  <c r="T362" i="3"/>
  <c r="O364" i="3"/>
  <c r="K366" i="3"/>
  <c r="S367" i="3"/>
  <c r="N369" i="3"/>
  <c r="V370" i="3"/>
  <c r="L372" i="3"/>
  <c r="O373" i="3"/>
  <c r="R374" i="3"/>
  <c r="U375" i="3"/>
  <c r="K377" i="3"/>
  <c r="N378" i="3"/>
  <c r="Q379" i="3"/>
  <c r="T380" i="3"/>
  <c r="J382" i="3"/>
  <c r="M383" i="3"/>
  <c r="P384" i="3"/>
  <c r="S385" i="3"/>
  <c r="V386" i="3"/>
  <c r="L388" i="3"/>
  <c r="O389" i="3"/>
  <c r="R390" i="3"/>
  <c r="U391" i="3"/>
  <c r="K393" i="3"/>
  <c r="N394" i="3"/>
  <c r="Q395" i="3"/>
  <c r="T396" i="3"/>
  <c r="J398" i="3"/>
  <c r="M399" i="3"/>
  <c r="P400" i="3"/>
  <c r="S401" i="3"/>
  <c r="V402" i="3"/>
  <c r="L404" i="3"/>
  <c r="O405" i="3"/>
  <c r="R406" i="3"/>
  <c r="U407" i="3"/>
  <c r="K409" i="3"/>
  <c r="N410" i="3"/>
  <c r="Q411" i="3"/>
  <c r="T412" i="3"/>
  <c r="J414" i="3"/>
  <c r="M415" i="3"/>
  <c r="P416" i="3"/>
  <c r="S417" i="3"/>
  <c r="V418" i="3"/>
  <c r="L420" i="3"/>
  <c r="O421" i="3"/>
  <c r="R422" i="3"/>
  <c r="U423" i="3"/>
  <c r="K425" i="3"/>
  <c r="N426" i="3"/>
  <c r="Q427" i="3"/>
  <c r="T428" i="3"/>
  <c r="J430" i="3"/>
  <c r="M431" i="3"/>
  <c r="P432" i="3"/>
  <c r="S433" i="3"/>
  <c r="V434" i="3"/>
  <c r="L436" i="3"/>
  <c r="O437" i="3"/>
  <c r="R438" i="3"/>
  <c r="U439" i="3"/>
  <c r="K441" i="3"/>
  <c r="N442" i="3"/>
  <c r="Q443" i="3"/>
  <c r="T444" i="3"/>
  <c r="J446" i="3"/>
  <c r="M447" i="3"/>
  <c r="P448" i="3"/>
  <c r="S449" i="3"/>
  <c r="V450" i="3"/>
  <c r="L452" i="3"/>
  <c r="O453" i="3"/>
  <c r="R454" i="3"/>
  <c r="U455" i="3"/>
  <c r="K457" i="3"/>
  <c r="N458" i="3"/>
  <c r="Q459" i="3"/>
  <c r="T460" i="3"/>
  <c r="J462" i="3"/>
  <c r="M463" i="3"/>
  <c r="P464" i="3"/>
  <c r="S465" i="3"/>
  <c r="V466" i="3"/>
  <c r="L468" i="3"/>
  <c r="O469" i="3"/>
  <c r="R470" i="3"/>
  <c r="U471" i="3"/>
  <c r="K473" i="3"/>
  <c r="N474" i="3"/>
  <c r="Q475" i="3"/>
  <c r="T476" i="3"/>
  <c r="J478" i="3"/>
  <c r="M479" i="3"/>
  <c r="P480" i="3"/>
  <c r="S481" i="3"/>
  <c r="V482" i="3"/>
  <c r="L484" i="3"/>
  <c r="O485" i="3"/>
  <c r="R486" i="3"/>
  <c r="U487" i="3"/>
  <c r="K489" i="3"/>
  <c r="N490" i="3"/>
  <c r="Q491" i="3"/>
  <c r="T492" i="3"/>
  <c r="J494" i="3"/>
  <c r="M495" i="3"/>
  <c r="P496" i="3"/>
  <c r="S497" i="3"/>
  <c r="V498" i="3"/>
  <c r="L500" i="3"/>
  <c r="O501" i="3"/>
  <c r="R502" i="3"/>
  <c r="U503" i="3"/>
  <c r="K505" i="3"/>
  <c r="N506" i="3"/>
  <c r="Q507" i="3"/>
  <c r="T508" i="3"/>
  <c r="J510" i="3"/>
  <c r="M511" i="3"/>
  <c r="P512" i="3"/>
  <c r="S513" i="3"/>
  <c r="V514" i="3"/>
  <c r="L516" i="3"/>
  <c r="O517" i="3"/>
  <c r="R518" i="3"/>
  <c r="U519" i="3"/>
  <c r="K521" i="3"/>
  <c r="N522" i="3"/>
  <c r="Q523" i="3"/>
  <c r="T524" i="3"/>
  <c r="J526" i="3"/>
  <c r="M527" i="3"/>
  <c r="P528" i="3"/>
  <c r="S529" i="3"/>
  <c r="V530" i="3"/>
  <c r="L532" i="3"/>
  <c r="O533" i="3"/>
  <c r="R534" i="3"/>
  <c r="U535" i="3"/>
  <c r="K537" i="3"/>
  <c r="N538" i="3"/>
  <c r="O539" i="3"/>
  <c r="J540" i="3"/>
  <c r="R540" i="3"/>
  <c r="M541" i="3"/>
  <c r="U541" i="3"/>
  <c r="P542" i="3"/>
  <c r="K543" i="3"/>
  <c r="S543" i="3"/>
  <c r="N544" i="3"/>
  <c r="V544" i="3"/>
  <c r="Q545" i="3"/>
  <c r="L546" i="3"/>
  <c r="T546" i="3"/>
  <c r="O547" i="3"/>
  <c r="J548" i="3"/>
  <c r="R548" i="3"/>
  <c r="M549" i="3"/>
  <c r="U549" i="3"/>
  <c r="P550" i="3"/>
  <c r="K551" i="3"/>
  <c r="S551" i="3"/>
  <c r="N552" i="3"/>
  <c r="V552" i="3"/>
  <c r="Q553" i="3"/>
  <c r="L554" i="3"/>
  <c r="T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U194" i="3"/>
  <c r="R257" i="3"/>
  <c r="L287" i="3"/>
  <c r="P302" i="3"/>
  <c r="M307" i="3"/>
  <c r="V310" i="3"/>
  <c r="S315" i="3"/>
  <c r="N320" i="3"/>
  <c r="J324" i="3"/>
  <c r="T328" i="3"/>
  <c r="Q333" i="3"/>
  <c r="M337" i="3"/>
  <c r="K341" i="3"/>
  <c r="J344" i="3"/>
  <c r="L346" i="3"/>
  <c r="J349" i="3"/>
  <c r="V351" i="3"/>
  <c r="J354" i="3"/>
  <c r="R356" i="3"/>
  <c r="M358" i="3"/>
  <c r="V359" i="3"/>
  <c r="Q361" i="3"/>
  <c r="L363" i="3"/>
  <c r="U364" i="3"/>
  <c r="P366" i="3"/>
  <c r="K368" i="3"/>
  <c r="T369" i="3"/>
  <c r="M371" i="3"/>
  <c r="P372" i="3"/>
  <c r="S373" i="3"/>
  <c r="V374" i="3"/>
  <c r="L376" i="3"/>
  <c r="O377" i="3"/>
  <c r="R378" i="3"/>
  <c r="U379" i="3"/>
  <c r="K381" i="3"/>
  <c r="N382" i="3"/>
  <c r="Q383" i="3"/>
  <c r="T384" i="3"/>
  <c r="J386" i="3"/>
  <c r="M387" i="3"/>
  <c r="P388" i="3"/>
  <c r="S389" i="3"/>
  <c r="V390" i="3"/>
  <c r="L392" i="3"/>
  <c r="O393" i="3"/>
  <c r="R394" i="3"/>
  <c r="U395" i="3"/>
  <c r="K397" i="3"/>
  <c r="N398" i="3"/>
  <c r="Q399" i="3"/>
  <c r="T400" i="3"/>
  <c r="J402" i="3"/>
  <c r="M403" i="3"/>
  <c r="P404" i="3"/>
  <c r="S405" i="3"/>
  <c r="V406" i="3"/>
  <c r="L408" i="3"/>
  <c r="O409" i="3"/>
  <c r="R410" i="3"/>
  <c r="U411" i="3"/>
  <c r="K413" i="3"/>
  <c r="N414" i="3"/>
  <c r="Q415" i="3"/>
  <c r="T416" i="3"/>
  <c r="J418" i="3"/>
  <c r="M419" i="3"/>
  <c r="P420" i="3"/>
  <c r="S421" i="3"/>
  <c r="V422" i="3"/>
  <c r="L424" i="3"/>
  <c r="O425" i="3"/>
  <c r="R426" i="3"/>
  <c r="U427" i="3"/>
  <c r="K429" i="3"/>
  <c r="N430" i="3"/>
  <c r="Q431" i="3"/>
  <c r="T432" i="3"/>
  <c r="J434" i="3"/>
  <c r="M435" i="3"/>
  <c r="P436" i="3"/>
  <c r="S437" i="3"/>
  <c r="V438" i="3"/>
  <c r="L440" i="3"/>
  <c r="O441" i="3"/>
  <c r="R442" i="3"/>
  <c r="U443" i="3"/>
  <c r="K445" i="3"/>
  <c r="N446" i="3"/>
  <c r="Q447" i="3"/>
  <c r="T448" i="3"/>
  <c r="J450" i="3"/>
  <c r="M451" i="3"/>
  <c r="P452" i="3"/>
  <c r="S453" i="3"/>
  <c r="V454" i="3"/>
  <c r="L456" i="3"/>
  <c r="O457" i="3"/>
  <c r="R458" i="3"/>
  <c r="U459" i="3"/>
  <c r="K461" i="3"/>
  <c r="N462" i="3"/>
  <c r="Q463" i="3"/>
  <c r="T464" i="3"/>
  <c r="J466" i="3"/>
  <c r="M467" i="3"/>
  <c r="P468" i="3"/>
  <c r="S469" i="3"/>
  <c r="V470" i="3"/>
  <c r="L472" i="3"/>
  <c r="O473" i="3"/>
  <c r="R474" i="3"/>
  <c r="U475" i="3"/>
  <c r="K477" i="3"/>
  <c r="N478" i="3"/>
  <c r="Q479" i="3"/>
  <c r="T480" i="3"/>
  <c r="J482" i="3"/>
  <c r="M483" i="3"/>
  <c r="P484" i="3"/>
  <c r="S485" i="3"/>
  <c r="V486" i="3"/>
  <c r="L488" i="3"/>
  <c r="O489" i="3"/>
  <c r="R490" i="3"/>
  <c r="U491" i="3"/>
  <c r="K493" i="3"/>
  <c r="N494" i="3"/>
  <c r="Q495" i="3"/>
  <c r="T496" i="3"/>
  <c r="J498" i="3"/>
  <c r="M499" i="3"/>
  <c r="P500" i="3"/>
  <c r="S501" i="3"/>
  <c r="V502" i="3"/>
  <c r="L504" i="3"/>
  <c r="O505" i="3"/>
  <c r="R506" i="3"/>
  <c r="U507" i="3"/>
  <c r="K509" i="3"/>
  <c r="N510" i="3"/>
  <c r="Q511" i="3"/>
  <c r="T512" i="3"/>
  <c r="J514" i="3"/>
  <c r="M515" i="3"/>
  <c r="P516" i="3"/>
  <c r="S517" i="3"/>
  <c r="V518" i="3"/>
  <c r="L520" i="3"/>
  <c r="O521" i="3"/>
  <c r="R522" i="3"/>
  <c r="U523" i="3"/>
  <c r="K525" i="3"/>
  <c r="N526" i="3"/>
  <c r="Q527" i="3"/>
  <c r="T528" i="3"/>
  <c r="J530" i="3"/>
  <c r="M531" i="3"/>
  <c r="P532" i="3"/>
  <c r="S533" i="3"/>
  <c r="V534" i="3"/>
  <c r="L536" i="3"/>
  <c r="O537" i="3"/>
  <c r="R538" i="3"/>
  <c r="P539" i="3"/>
  <c r="K540" i="3"/>
  <c r="N198" i="3"/>
  <c r="U258" i="3"/>
  <c r="K295" i="3"/>
  <c r="T302" i="3"/>
  <c r="O307" i="3"/>
  <c r="L312" i="3"/>
  <c r="U315" i="3"/>
  <c r="R320" i="3"/>
  <c r="M325" i="3"/>
  <c r="V328" i="3"/>
  <c r="S333" i="3"/>
  <c r="P338" i="3"/>
  <c r="M341" i="3"/>
  <c r="K344" i="3"/>
  <c r="J347" i="3"/>
  <c r="K349" i="3"/>
  <c r="J352" i="3"/>
  <c r="T354" i="3"/>
  <c r="T356" i="3"/>
  <c r="N358" i="3"/>
  <c r="J360" i="3"/>
  <c r="S361" i="3"/>
  <c r="M363" i="3"/>
  <c r="V364" i="3"/>
  <c r="R366" i="3"/>
  <c r="L368" i="3"/>
  <c r="U369" i="3"/>
  <c r="N371" i="3"/>
  <c r="Q372" i="3"/>
  <c r="T373" i="3"/>
  <c r="J375" i="3"/>
  <c r="M376" i="3"/>
  <c r="P377" i="3"/>
  <c r="S378" i="3"/>
  <c r="V379" i="3"/>
  <c r="L381" i="3"/>
  <c r="O382" i="3"/>
  <c r="R383" i="3"/>
  <c r="U384" i="3"/>
  <c r="K386" i="3"/>
  <c r="N387" i="3"/>
  <c r="Q388" i="3"/>
  <c r="T389" i="3"/>
  <c r="J391" i="3"/>
  <c r="M392" i="3"/>
  <c r="J231" i="3"/>
  <c r="V269" i="3"/>
  <c r="N296" i="3"/>
  <c r="L304" i="3"/>
  <c r="V308" i="3"/>
  <c r="R312" i="3"/>
  <c r="M317" i="3"/>
  <c r="J322" i="3"/>
  <c r="S325" i="3"/>
  <c r="P330" i="3"/>
  <c r="K335" i="3"/>
  <c r="T338" i="3"/>
  <c r="L342" i="3"/>
  <c r="V344" i="3"/>
  <c r="L347" i="3"/>
  <c r="K350" i="3"/>
  <c r="T352" i="3"/>
  <c r="K355" i="3"/>
  <c r="J357" i="3"/>
  <c r="S358" i="3"/>
  <c r="N360" i="3"/>
  <c r="V361" i="3"/>
  <c r="R363" i="3"/>
  <c r="M365" i="3"/>
  <c r="U366" i="3"/>
  <c r="Q368" i="3"/>
  <c r="L370" i="3"/>
  <c r="Q371" i="3"/>
  <c r="T372" i="3"/>
  <c r="J374" i="3"/>
  <c r="M375" i="3"/>
  <c r="P376" i="3"/>
  <c r="S377" i="3"/>
  <c r="V378" i="3"/>
  <c r="L380" i="3"/>
  <c r="O381" i="3"/>
  <c r="R382" i="3"/>
  <c r="U383" i="3"/>
  <c r="K385" i="3"/>
  <c r="N386" i="3"/>
  <c r="Q387" i="3"/>
  <c r="T388" i="3"/>
  <c r="J390" i="3"/>
  <c r="M391" i="3"/>
  <c r="P392" i="3"/>
  <c r="S393" i="3"/>
  <c r="V394" i="3"/>
  <c r="L396" i="3"/>
  <c r="O397" i="3"/>
  <c r="R398" i="3"/>
  <c r="U399" i="3"/>
  <c r="K401" i="3"/>
  <c r="N402" i="3"/>
  <c r="Q403" i="3"/>
  <c r="T404" i="3"/>
  <c r="J406" i="3"/>
  <c r="M407" i="3"/>
  <c r="P408" i="3"/>
  <c r="S409" i="3"/>
  <c r="V410" i="3"/>
  <c r="L412" i="3"/>
  <c r="O413" i="3"/>
  <c r="R414" i="3"/>
  <c r="U415" i="3"/>
  <c r="K417" i="3"/>
  <c r="N418" i="3"/>
  <c r="Q419" i="3"/>
  <c r="T420" i="3"/>
  <c r="J422" i="3"/>
  <c r="M423" i="3"/>
  <c r="P424" i="3"/>
  <c r="S425" i="3"/>
  <c r="V426" i="3"/>
  <c r="L428" i="3"/>
  <c r="O429" i="3"/>
  <c r="R430" i="3"/>
  <c r="U431" i="3"/>
  <c r="K433" i="3"/>
  <c r="N434" i="3"/>
  <c r="Q435" i="3"/>
  <c r="T436" i="3"/>
  <c r="J438" i="3"/>
  <c r="M439" i="3"/>
  <c r="P440" i="3"/>
  <c r="S441" i="3"/>
  <c r="V442" i="3"/>
  <c r="L444" i="3"/>
  <c r="O445" i="3"/>
  <c r="R446" i="3"/>
  <c r="U447" i="3"/>
  <c r="K449" i="3"/>
  <c r="N450" i="3"/>
  <c r="Q451" i="3"/>
  <c r="T452" i="3"/>
  <c r="J454" i="3"/>
  <c r="M455" i="3"/>
  <c r="P456" i="3"/>
  <c r="S457" i="3"/>
  <c r="V458" i="3"/>
  <c r="L460" i="3"/>
  <c r="O461" i="3"/>
  <c r="R462" i="3"/>
  <c r="U463" i="3"/>
  <c r="K465" i="3"/>
  <c r="N466" i="3"/>
  <c r="Q467" i="3"/>
  <c r="T468" i="3"/>
  <c r="J470" i="3"/>
  <c r="M471" i="3"/>
  <c r="P472" i="3"/>
  <c r="S473" i="3"/>
  <c r="V474" i="3"/>
  <c r="L476" i="3"/>
  <c r="O477" i="3"/>
  <c r="R478" i="3"/>
  <c r="U479" i="3"/>
  <c r="K481" i="3"/>
  <c r="N482" i="3"/>
  <c r="Q483" i="3"/>
  <c r="T484" i="3"/>
  <c r="J486" i="3"/>
  <c r="M487" i="3"/>
  <c r="P488" i="3"/>
  <c r="S489" i="3"/>
  <c r="V490" i="3"/>
  <c r="L492" i="3"/>
  <c r="O493" i="3"/>
  <c r="R494" i="3"/>
  <c r="U495" i="3"/>
  <c r="K497" i="3"/>
  <c r="N498" i="3"/>
  <c r="Q499" i="3"/>
  <c r="T500" i="3"/>
  <c r="J502" i="3"/>
  <c r="M503" i="3"/>
  <c r="P504" i="3"/>
  <c r="S505" i="3"/>
  <c r="V506" i="3"/>
  <c r="L508" i="3"/>
  <c r="O509" i="3"/>
  <c r="R510" i="3"/>
  <c r="U511" i="3"/>
  <c r="K513" i="3"/>
  <c r="N514" i="3"/>
  <c r="Q515" i="3"/>
  <c r="T516" i="3"/>
  <c r="J518" i="3"/>
  <c r="M519" i="3"/>
  <c r="P520" i="3"/>
  <c r="S521" i="3"/>
  <c r="V522" i="3"/>
  <c r="L524" i="3"/>
  <c r="O525" i="3"/>
  <c r="R526" i="3"/>
  <c r="U527" i="3"/>
  <c r="K529" i="3"/>
  <c r="N530" i="3"/>
  <c r="Q531" i="3"/>
  <c r="T532" i="3"/>
  <c r="J534" i="3"/>
  <c r="M535" i="3"/>
  <c r="P536" i="3"/>
  <c r="S537" i="3"/>
  <c r="V538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K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O224" i="3"/>
  <c r="Q325" i="3"/>
  <c r="K352" i="3"/>
  <c r="S366" i="3"/>
  <c r="Q377" i="3"/>
  <c r="O387" i="3"/>
  <c r="T394" i="3"/>
  <c r="S399" i="3"/>
  <c r="R404" i="3"/>
  <c r="Q409" i="3"/>
  <c r="P414" i="3"/>
  <c r="O419" i="3"/>
  <c r="N424" i="3"/>
  <c r="M429" i="3"/>
  <c r="L434" i="3"/>
  <c r="K439" i="3"/>
  <c r="J444" i="3"/>
  <c r="V448" i="3"/>
  <c r="U453" i="3"/>
  <c r="T458" i="3"/>
  <c r="S463" i="3"/>
  <c r="R468" i="3"/>
  <c r="Q473" i="3"/>
  <c r="P478" i="3"/>
  <c r="O483" i="3"/>
  <c r="N488" i="3"/>
  <c r="M493" i="3"/>
  <c r="L498" i="3"/>
  <c r="K503" i="3"/>
  <c r="J508" i="3"/>
  <c r="V512" i="3"/>
  <c r="U517" i="3"/>
  <c r="T522" i="3"/>
  <c r="S527" i="3"/>
  <c r="R532" i="3"/>
  <c r="Q537" i="3"/>
  <c r="T540" i="3"/>
  <c r="J542" i="3"/>
  <c r="M543" i="3"/>
  <c r="P544" i="3"/>
  <c r="S545" i="3"/>
  <c r="V546" i="3"/>
  <c r="L548" i="3"/>
  <c r="O549" i="3"/>
  <c r="R550" i="3"/>
  <c r="U551" i="3"/>
  <c r="K553" i="3"/>
  <c r="N554" i="3"/>
  <c r="Q555" i="3"/>
  <c r="T556" i="3"/>
  <c r="J558" i="3"/>
  <c r="M559" i="3"/>
  <c r="P560" i="3"/>
  <c r="S561" i="3"/>
  <c r="V562" i="3"/>
  <c r="L564" i="3"/>
  <c r="O565" i="3"/>
  <c r="R566" i="3"/>
  <c r="U567" i="3"/>
  <c r="K569" i="3"/>
  <c r="N570" i="3"/>
  <c r="Q571" i="3"/>
  <c r="T572" i="3"/>
  <c r="J574" i="3"/>
  <c r="M575" i="3"/>
  <c r="P576" i="3"/>
  <c r="S577" i="3"/>
  <c r="V578" i="3"/>
  <c r="L580" i="3"/>
  <c r="O581" i="3"/>
  <c r="R582" i="3"/>
  <c r="U583" i="3"/>
  <c r="K585" i="3"/>
  <c r="N586" i="3"/>
  <c r="Q587" i="3"/>
  <c r="T588" i="3"/>
  <c r="J590" i="3"/>
  <c r="M591" i="3"/>
  <c r="P592" i="3"/>
  <c r="S593" i="3"/>
  <c r="V594" i="3"/>
  <c r="L596" i="3"/>
  <c r="O597" i="3"/>
  <c r="R598" i="3"/>
  <c r="U599" i="3"/>
  <c r="K601" i="3"/>
  <c r="N602" i="3"/>
  <c r="Q603" i="3"/>
  <c r="T604" i="3"/>
  <c r="J606" i="3"/>
  <c r="M607" i="3"/>
  <c r="P608" i="3"/>
  <c r="S609" i="3"/>
  <c r="V610" i="3"/>
  <c r="L612" i="3"/>
  <c r="O613" i="3"/>
  <c r="R614" i="3"/>
  <c r="U615" i="3"/>
  <c r="K617" i="3"/>
  <c r="N618" i="3"/>
  <c r="Q619" i="3"/>
  <c r="S620" i="3"/>
  <c r="R621" i="3"/>
  <c r="R622" i="3"/>
  <c r="R623" i="3"/>
  <c r="Q624" i="3"/>
  <c r="R625" i="3"/>
  <c r="Q626" i="3"/>
  <c r="Q627" i="3"/>
  <c r="Q628" i="3"/>
  <c r="P629" i="3"/>
  <c r="Q630" i="3"/>
  <c r="P631" i="3"/>
  <c r="P632" i="3"/>
  <c r="P633" i="3"/>
  <c r="O634" i="3"/>
  <c r="P635" i="3"/>
  <c r="O636" i="3"/>
  <c r="O637" i="3"/>
  <c r="O638" i="3"/>
  <c r="N639" i="3"/>
  <c r="O640" i="3"/>
  <c r="L641" i="3"/>
  <c r="V641" i="3"/>
  <c r="U642" i="3"/>
  <c r="R643" i="3"/>
  <c r="O644" i="3"/>
  <c r="N645" i="3"/>
  <c r="K646" i="3"/>
  <c r="U646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S295" i="3"/>
  <c r="U333" i="3"/>
  <c r="U356" i="3"/>
  <c r="V369" i="3"/>
  <c r="J380" i="3"/>
  <c r="U389" i="3"/>
  <c r="J396" i="3"/>
  <c r="V400" i="3"/>
  <c r="U405" i="3"/>
  <c r="T410" i="3"/>
  <c r="S415" i="3"/>
  <c r="R420" i="3"/>
  <c r="Q425" i="3"/>
  <c r="P430" i="3"/>
  <c r="O435" i="3"/>
  <c r="N440" i="3"/>
  <c r="M445" i="3"/>
  <c r="L450" i="3"/>
  <c r="K455" i="3"/>
  <c r="J460" i="3"/>
  <c r="V464" i="3"/>
  <c r="U469" i="3"/>
  <c r="T474" i="3"/>
  <c r="S479" i="3"/>
  <c r="R484" i="3"/>
  <c r="Q489" i="3"/>
  <c r="P494" i="3"/>
  <c r="O499" i="3"/>
  <c r="N504" i="3"/>
  <c r="M509" i="3"/>
  <c r="L514" i="3"/>
  <c r="K519" i="3"/>
  <c r="J524" i="3"/>
  <c r="V528" i="3"/>
  <c r="U533" i="3"/>
  <c r="T538" i="3"/>
  <c r="J541" i="3"/>
  <c r="M542" i="3"/>
  <c r="P543" i="3"/>
  <c r="S544" i="3"/>
  <c r="V545" i="3"/>
  <c r="L547" i="3"/>
  <c r="O548" i="3"/>
  <c r="R549" i="3"/>
  <c r="U550" i="3"/>
  <c r="K552" i="3"/>
  <c r="N553" i="3"/>
  <c r="Q554" i="3"/>
  <c r="T555" i="3"/>
  <c r="J557" i="3"/>
  <c r="M558" i="3"/>
  <c r="P559" i="3"/>
  <c r="S560" i="3"/>
  <c r="V561" i="3"/>
  <c r="L563" i="3"/>
  <c r="O564" i="3"/>
  <c r="R565" i="3"/>
  <c r="U566" i="3"/>
  <c r="K568" i="3"/>
  <c r="N569" i="3"/>
  <c r="Q570" i="3"/>
  <c r="T571" i="3"/>
  <c r="J573" i="3"/>
  <c r="M574" i="3"/>
  <c r="P575" i="3"/>
  <c r="S576" i="3"/>
  <c r="V577" i="3"/>
  <c r="L579" i="3"/>
  <c r="O580" i="3"/>
  <c r="R581" i="3"/>
  <c r="U582" i="3"/>
  <c r="K584" i="3"/>
  <c r="N585" i="3"/>
  <c r="Q586" i="3"/>
  <c r="T587" i="3"/>
  <c r="J589" i="3"/>
  <c r="M590" i="3"/>
  <c r="P591" i="3"/>
  <c r="S592" i="3"/>
  <c r="V593" i="3"/>
  <c r="L595" i="3"/>
  <c r="O596" i="3"/>
  <c r="R597" i="3"/>
  <c r="U598" i="3"/>
  <c r="K600" i="3"/>
  <c r="N601" i="3"/>
  <c r="Q602" i="3"/>
  <c r="T603" i="3"/>
  <c r="J605" i="3"/>
  <c r="M606" i="3"/>
  <c r="P607" i="3"/>
  <c r="S608" i="3"/>
  <c r="V609" i="3"/>
  <c r="L611" i="3"/>
  <c r="O612" i="3"/>
  <c r="R613" i="3"/>
  <c r="U614" i="3"/>
  <c r="K616" i="3"/>
  <c r="N617" i="3"/>
  <c r="Q618" i="3"/>
  <c r="T619" i="3"/>
  <c r="U620" i="3"/>
  <c r="V621" i="3"/>
  <c r="U622" i="3"/>
  <c r="U623" i="3"/>
  <c r="U624" i="3"/>
  <c r="T625" i="3"/>
  <c r="U626" i="3"/>
  <c r="T627" i="3"/>
  <c r="T628" i="3"/>
  <c r="T629" i="3"/>
  <c r="S630" i="3"/>
  <c r="T631" i="3"/>
  <c r="S632" i="3"/>
  <c r="S633" i="3"/>
  <c r="S634" i="3"/>
  <c r="R635" i="3"/>
  <c r="S636" i="3"/>
  <c r="R637" i="3"/>
  <c r="R638" i="3"/>
  <c r="R639" i="3"/>
  <c r="Q640" i="3"/>
  <c r="N641" i="3"/>
  <c r="M642" i="3"/>
  <c r="J643" i="3"/>
  <c r="T643" i="3"/>
  <c r="S644" i="3"/>
  <c r="P645" i="3"/>
  <c r="M646" i="3"/>
  <c r="L647" i="3"/>
  <c r="V647" i="3"/>
  <c r="Q648" i="3"/>
  <c r="L649" i="3"/>
  <c r="T649" i="3"/>
  <c r="O650" i="3"/>
  <c r="J651" i="3"/>
  <c r="R651" i="3"/>
  <c r="M652" i="3"/>
  <c r="U652" i="3"/>
  <c r="P653" i="3"/>
  <c r="K654" i="3"/>
  <c r="S654" i="3"/>
  <c r="N655" i="3"/>
  <c r="V655" i="3"/>
  <c r="Q656" i="3"/>
  <c r="L657" i="3"/>
  <c r="T657" i="3"/>
  <c r="O658" i="3"/>
  <c r="J659" i="3"/>
  <c r="R659" i="3"/>
  <c r="M660" i="3"/>
  <c r="U660" i="3"/>
  <c r="P661" i="3"/>
  <c r="K662" i="3"/>
  <c r="S662" i="3"/>
  <c r="N663" i="3"/>
  <c r="V663" i="3"/>
  <c r="Q664" i="3"/>
  <c r="L665" i="3"/>
  <c r="T665" i="3"/>
  <c r="O666" i="3"/>
  <c r="J667" i="3"/>
  <c r="R667" i="3"/>
  <c r="M668" i="3"/>
  <c r="U668" i="3"/>
  <c r="P669" i="3"/>
  <c r="K670" i="3"/>
  <c r="S670" i="3"/>
  <c r="N671" i="3"/>
  <c r="V671" i="3"/>
  <c r="Q672" i="3"/>
  <c r="L673" i="3"/>
  <c r="T673" i="3"/>
  <c r="O674" i="3"/>
  <c r="J675" i="3"/>
  <c r="R675" i="3"/>
  <c r="M676" i="3"/>
  <c r="U676" i="3"/>
  <c r="P677" i="3"/>
  <c r="K678" i="3"/>
  <c r="S678" i="3"/>
  <c r="N679" i="3"/>
  <c r="V679" i="3"/>
  <c r="Q680" i="3"/>
  <c r="L681" i="3"/>
  <c r="T681" i="3"/>
  <c r="O682" i="3"/>
  <c r="J683" i="3"/>
  <c r="R683" i="3"/>
  <c r="M684" i="3"/>
  <c r="U684" i="3"/>
  <c r="J304" i="3"/>
  <c r="R338" i="3"/>
  <c r="P358" i="3"/>
  <c r="O371" i="3"/>
  <c r="M381" i="3"/>
  <c r="K391" i="3"/>
  <c r="L397" i="3"/>
  <c r="K402" i="3"/>
  <c r="J407" i="3"/>
  <c r="V411" i="3"/>
  <c r="U416" i="3"/>
  <c r="T421" i="3"/>
  <c r="S426" i="3"/>
  <c r="R431" i="3"/>
  <c r="Q436" i="3"/>
  <c r="P441" i="3"/>
  <c r="O446" i="3"/>
  <c r="N451" i="3"/>
  <c r="M456" i="3"/>
  <c r="L461" i="3"/>
  <c r="K466" i="3"/>
  <c r="J471" i="3"/>
  <c r="V475" i="3"/>
  <c r="U480" i="3"/>
  <c r="T485" i="3"/>
  <c r="S490" i="3"/>
  <c r="R495" i="3"/>
  <c r="Q500" i="3"/>
  <c r="P505" i="3"/>
  <c r="O510" i="3"/>
  <c r="N515" i="3"/>
  <c r="M520" i="3"/>
  <c r="L525" i="3"/>
  <c r="K530" i="3"/>
  <c r="J535" i="3"/>
  <c r="Q539" i="3"/>
  <c r="N541" i="3"/>
  <c r="Q542" i="3"/>
  <c r="T543" i="3"/>
  <c r="J545" i="3"/>
  <c r="M546" i="3"/>
  <c r="P547" i="3"/>
  <c r="S548" i="3"/>
  <c r="V549" i="3"/>
  <c r="L551" i="3"/>
  <c r="O552" i="3"/>
  <c r="R553" i="3"/>
  <c r="U554" i="3"/>
  <c r="K556" i="3"/>
  <c r="N557" i="3"/>
  <c r="Q558" i="3"/>
  <c r="T559" i="3"/>
  <c r="J561" i="3"/>
  <c r="M562" i="3"/>
  <c r="P563" i="3"/>
  <c r="S564" i="3"/>
  <c r="V565" i="3"/>
  <c r="L567" i="3"/>
  <c r="O568" i="3"/>
  <c r="R569" i="3"/>
  <c r="U570" i="3"/>
  <c r="K572" i="3"/>
  <c r="N573" i="3"/>
  <c r="Q574" i="3"/>
  <c r="T575" i="3"/>
  <c r="J577" i="3"/>
  <c r="M578" i="3"/>
  <c r="P579" i="3"/>
  <c r="S580" i="3"/>
  <c r="V581" i="3"/>
  <c r="L583" i="3"/>
  <c r="O584" i="3"/>
  <c r="R585" i="3"/>
  <c r="U586" i="3"/>
  <c r="K588" i="3"/>
  <c r="N589" i="3"/>
  <c r="Q590" i="3"/>
  <c r="T591" i="3"/>
  <c r="J593" i="3"/>
  <c r="M594" i="3"/>
  <c r="P595" i="3"/>
  <c r="S596" i="3"/>
  <c r="V597" i="3"/>
  <c r="L599" i="3"/>
  <c r="O600" i="3"/>
  <c r="R601" i="3"/>
  <c r="U602" i="3"/>
  <c r="K604" i="3"/>
  <c r="N605" i="3"/>
  <c r="Q606" i="3"/>
  <c r="T607" i="3"/>
  <c r="J609" i="3"/>
  <c r="M610" i="3"/>
  <c r="P611" i="3"/>
  <c r="S612" i="3"/>
  <c r="V613" i="3"/>
  <c r="L615" i="3"/>
  <c r="O616" i="3"/>
  <c r="R617" i="3"/>
  <c r="U618" i="3"/>
  <c r="K620" i="3"/>
  <c r="J621" i="3"/>
  <c r="J622" i="3"/>
  <c r="J623" i="3"/>
  <c r="V623" i="3"/>
  <c r="J625" i="3"/>
  <c r="V625" i="3"/>
  <c r="V626" i="3"/>
  <c r="V627" i="3"/>
  <c r="U628" i="3"/>
  <c r="V629" i="3"/>
  <c r="U630" i="3"/>
  <c r="U631" i="3"/>
  <c r="U632" i="3"/>
  <c r="T633" i="3"/>
  <c r="U634" i="3"/>
  <c r="T635" i="3"/>
  <c r="T636" i="3"/>
  <c r="T637" i="3"/>
  <c r="S638" i="3"/>
  <c r="T639" i="3"/>
  <c r="R640" i="3"/>
  <c r="P641" i="3"/>
  <c r="N642" i="3"/>
  <c r="K643" i="3"/>
  <c r="V643" i="3"/>
  <c r="T644" i="3"/>
  <c r="Q645" i="3"/>
  <c r="O646" i="3"/>
  <c r="M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T662" i="3"/>
  <c r="O663" i="3"/>
  <c r="J664" i="3"/>
  <c r="R664" i="3"/>
  <c r="M665" i="3"/>
  <c r="U665" i="3"/>
  <c r="P666" i="3"/>
  <c r="S307" i="3"/>
  <c r="K342" i="3"/>
  <c r="K360" i="3"/>
  <c r="R372" i="3"/>
  <c r="P382" i="3"/>
  <c r="N392" i="3"/>
  <c r="M397" i="3"/>
  <c r="L402" i="3"/>
  <c r="K407" i="3"/>
  <c r="J412" i="3"/>
  <c r="V416" i="3"/>
  <c r="U421" i="3"/>
  <c r="T426" i="3"/>
  <c r="S431" i="3"/>
  <c r="R436" i="3"/>
  <c r="Q441" i="3"/>
  <c r="P446" i="3"/>
  <c r="O451" i="3"/>
  <c r="N456" i="3"/>
  <c r="M461" i="3"/>
  <c r="L466" i="3"/>
  <c r="K471" i="3"/>
  <c r="J476" i="3"/>
  <c r="V480" i="3"/>
  <c r="U485" i="3"/>
  <c r="T490" i="3"/>
  <c r="S495" i="3"/>
  <c r="R500" i="3"/>
  <c r="Q505" i="3"/>
  <c r="P510" i="3"/>
  <c r="O515" i="3"/>
  <c r="N520" i="3"/>
  <c r="M525" i="3"/>
  <c r="L530" i="3"/>
  <c r="K535" i="3"/>
  <c r="R539" i="3"/>
  <c r="O541" i="3"/>
  <c r="R542" i="3"/>
  <c r="U543" i="3"/>
  <c r="K545" i="3"/>
  <c r="N546" i="3"/>
  <c r="Q547" i="3"/>
  <c r="T548" i="3"/>
  <c r="J550" i="3"/>
  <c r="M551" i="3"/>
  <c r="P552" i="3"/>
  <c r="S553" i="3"/>
  <c r="V554" i="3"/>
  <c r="L556" i="3"/>
  <c r="O557" i="3"/>
  <c r="R558" i="3"/>
  <c r="U559" i="3"/>
  <c r="K561" i="3"/>
  <c r="N562" i="3"/>
  <c r="Q563" i="3"/>
  <c r="T564" i="3"/>
  <c r="J566" i="3"/>
  <c r="M567" i="3"/>
  <c r="P568" i="3"/>
  <c r="S569" i="3"/>
  <c r="V570" i="3"/>
  <c r="L572" i="3"/>
  <c r="O573" i="3"/>
  <c r="R574" i="3"/>
  <c r="U575" i="3"/>
  <c r="K577" i="3"/>
  <c r="N578" i="3"/>
  <c r="Q579" i="3"/>
  <c r="T580" i="3"/>
  <c r="J582" i="3"/>
  <c r="M583" i="3"/>
  <c r="P584" i="3"/>
  <c r="S585" i="3"/>
  <c r="V586" i="3"/>
  <c r="L588" i="3"/>
  <c r="O589" i="3"/>
  <c r="R590" i="3"/>
  <c r="U591" i="3"/>
  <c r="K593" i="3"/>
  <c r="N594" i="3"/>
  <c r="Q595" i="3"/>
  <c r="T596" i="3"/>
  <c r="J598" i="3"/>
  <c r="M599" i="3"/>
  <c r="P600" i="3"/>
  <c r="S601" i="3"/>
  <c r="V602" i="3"/>
  <c r="L604" i="3"/>
  <c r="O605" i="3"/>
  <c r="R606" i="3"/>
  <c r="U607" i="3"/>
  <c r="K609" i="3"/>
  <c r="N610" i="3"/>
  <c r="Q611" i="3"/>
  <c r="T612" i="3"/>
  <c r="J614" i="3"/>
  <c r="M615" i="3"/>
  <c r="P616" i="3"/>
  <c r="S617" i="3"/>
  <c r="V618" i="3"/>
  <c r="L620" i="3"/>
  <c r="L621" i="3"/>
  <c r="K622" i="3"/>
  <c r="L623" i="3"/>
  <c r="K624" i="3"/>
  <c r="K625" i="3"/>
  <c r="K626" i="3"/>
  <c r="J627" i="3"/>
  <c r="K628" i="3"/>
  <c r="J629" i="3"/>
  <c r="J630" i="3"/>
  <c r="J631" i="3"/>
  <c r="V631" i="3"/>
  <c r="J633" i="3"/>
  <c r="V633" i="3"/>
  <c r="V634" i="3"/>
  <c r="V635" i="3"/>
  <c r="U636" i="3"/>
  <c r="V637" i="3"/>
  <c r="U638" i="3"/>
  <c r="U639" i="3"/>
  <c r="S640" i="3"/>
  <c r="R641" i="3"/>
  <c r="O642" i="3"/>
  <c r="L643" i="3"/>
  <c r="K644" i="3"/>
  <c r="U644" i="3"/>
  <c r="R645" i="3"/>
  <c r="Q646" i="3"/>
  <c r="N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662" i="3"/>
  <c r="U662" i="3"/>
  <c r="P663" i="3"/>
  <c r="K664" i="3"/>
  <c r="S664" i="3"/>
  <c r="N665" i="3"/>
  <c r="V665" i="3"/>
  <c r="Q666" i="3"/>
  <c r="L667" i="3"/>
  <c r="T667" i="3"/>
  <c r="O668" i="3"/>
  <c r="J669" i="3"/>
  <c r="R669" i="3"/>
  <c r="M670" i="3"/>
  <c r="U670" i="3"/>
  <c r="P671" i="3"/>
  <c r="K672" i="3"/>
  <c r="S672" i="3"/>
  <c r="N673" i="3"/>
  <c r="V673" i="3"/>
  <c r="Q674" i="3"/>
  <c r="L675" i="3"/>
  <c r="T675" i="3"/>
  <c r="O676" i="3"/>
  <c r="J677" i="3"/>
  <c r="R677" i="3"/>
  <c r="M678" i="3"/>
  <c r="U678" i="3"/>
  <c r="N312" i="3"/>
  <c r="L344" i="3"/>
  <c r="T361" i="3"/>
  <c r="U373" i="3"/>
  <c r="S383" i="3"/>
  <c r="P393" i="3"/>
  <c r="O398" i="3"/>
  <c r="N403" i="3"/>
  <c r="M408" i="3"/>
  <c r="L413" i="3"/>
  <c r="K418" i="3"/>
  <c r="J423" i="3"/>
  <c r="V427" i="3"/>
  <c r="U432" i="3"/>
  <c r="T437" i="3"/>
  <c r="S442" i="3"/>
  <c r="R447" i="3"/>
  <c r="Q452" i="3"/>
  <c r="P457" i="3"/>
  <c r="O462" i="3"/>
  <c r="N467" i="3"/>
  <c r="M472" i="3"/>
  <c r="L477" i="3"/>
  <c r="K482" i="3"/>
  <c r="J487" i="3"/>
  <c r="V491" i="3"/>
  <c r="U496" i="3"/>
  <c r="T501" i="3"/>
  <c r="S506" i="3"/>
  <c r="R511" i="3"/>
  <c r="Q516" i="3"/>
  <c r="P521" i="3"/>
  <c r="O526" i="3"/>
  <c r="N531" i="3"/>
  <c r="M536" i="3"/>
  <c r="L540" i="3"/>
  <c r="P541" i="3"/>
  <c r="S542" i="3"/>
  <c r="V543" i="3"/>
  <c r="L545" i="3"/>
  <c r="O546" i="3"/>
  <c r="R547" i="3"/>
  <c r="U548" i="3"/>
  <c r="K550" i="3"/>
  <c r="N551" i="3"/>
  <c r="Q552" i="3"/>
  <c r="T553" i="3"/>
  <c r="J555" i="3"/>
  <c r="M556" i="3"/>
  <c r="P557" i="3"/>
  <c r="S558" i="3"/>
  <c r="V559" i="3"/>
  <c r="L561" i="3"/>
  <c r="O562" i="3"/>
  <c r="R563" i="3"/>
  <c r="U564" i="3"/>
  <c r="K566" i="3"/>
  <c r="N567" i="3"/>
  <c r="Q568" i="3"/>
  <c r="T569" i="3"/>
  <c r="J571" i="3"/>
  <c r="M572" i="3"/>
  <c r="P573" i="3"/>
  <c r="S574" i="3"/>
  <c r="V575" i="3"/>
  <c r="L577" i="3"/>
  <c r="O578" i="3"/>
  <c r="R579" i="3"/>
  <c r="U580" i="3"/>
  <c r="K582" i="3"/>
  <c r="N583" i="3"/>
  <c r="Q584" i="3"/>
  <c r="T585" i="3"/>
  <c r="J587" i="3"/>
  <c r="M588" i="3"/>
  <c r="P589" i="3"/>
  <c r="S590" i="3"/>
  <c r="V591" i="3"/>
  <c r="L593" i="3"/>
  <c r="O594" i="3"/>
  <c r="R595" i="3"/>
  <c r="U596" i="3"/>
  <c r="K598" i="3"/>
  <c r="N599" i="3"/>
  <c r="Q600" i="3"/>
  <c r="T601" i="3"/>
  <c r="J603" i="3"/>
  <c r="M604" i="3"/>
  <c r="P605" i="3"/>
  <c r="S606" i="3"/>
  <c r="V607" i="3"/>
  <c r="L609" i="3"/>
  <c r="O610" i="3"/>
  <c r="R611" i="3"/>
  <c r="U612" i="3"/>
  <c r="K614" i="3"/>
  <c r="N615" i="3"/>
  <c r="Q616" i="3"/>
  <c r="T617" i="3"/>
  <c r="J619" i="3"/>
  <c r="M620" i="3"/>
  <c r="N621" i="3"/>
  <c r="M622" i="3"/>
  <c r="M623" i="3"/>
  <c r="M624" i="3"/>
  <c r="L625" i="3"/>
  <c r="M626" i="3"/>
  <c r="L627" i="3"/>
  <c r="L628" i="3"/>
  <c r="L629" i="3"/>
  <c r="K630" i="3"/>
  <c r="L631" i="3"/>
  <c r="K632" i="3"/>
  <c r="K633" i="3"/>
  <c r="K634" i="3"/>
  <c r="J635" i="3"/>
  <c r="K636" i="3"/>
  <c r="J637" i="3"/>
  <c r="J638" i="3"/>
  <c r="J639" i="3"/>
  <c r="V639" i="3"/>
  <c r="U640" i="3"/>
  <c r="S641" i="3"/>
  <c r="P642" i="3"/>
  <c r="N643" i="3"/>
  <c r="L644" i="3"/>
  <c r="V644" i="3"/>
  <c r="T645" i="3"/>
  <c r="R646" i="3"/>
  <c r="O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K260" i="3"/>
  <c r="J365" i="3"/>
  <c r="Q393" i="3"/>
  <c r="T405" i="3"/>
  <c r="N419" i="3"/>
  <c r="V432" i="3"/>
  <c r="L445" i="3"/>
  <c r="S458" i="3"/>
  <c r="N472" i="3"/>
  <c r="Q484" i="3"/>
  <c r="K498" i="3"/>
  <c r="S511" i="3"/>
  <c r="V523" i="3"/>
  <c r="P537" i="3"/>
  <c r="U542" i="3"/>
  <c r="T545" i="3"/>
  <c r="N549" i="3"/>
  <c r="S552" i="3"/>
  <c r="R555" i="3"/>
  <c r="L559" i="3"/>
  <c r="Q562" i="3"/>
  <c r="P565" i="3"/>
  <c r="J569" i="3"/>
  <c r="O572" i="3"/>
  <c r="N575" i="3"/>
  <c r="U578" i="3"/>
  <c r="M582" i="3"/>
  <c r="L585" i="3"/>
  <c r="S588" i="3"/>
  <c r="K592" i="3"/>
  <c r="J595" i="3"/>
  <c r="Q598" i="3"/>
  <c r="V601" i="3"/>
  <c r="U604" i="3"/>
  <c r="O608" i="3"/>
  <c r="T611" i="3"/>
  <c r="S614" i="3"/>
  <c r="M618" i="3"/>
  <c r="O621" i="3"/>
  <c r="T623" i="3"/>
  <c r="O626" i="3"/>
  <c r="N629" i="3"/>
  <c r="R631" i="3"/>
  <c r="N634" i="3"/>
  <c r="L637" i="3"/>
  <c r="P639" i="3"/>
  <c r="U641" i="3"/>
  <c r="M644" i="3"/>
  <c r="L646" i="3"/>
  <c r="N648" i="3"/>
  <c r="K650" i="3"/>
  <c r="Q651" i="3"/>
  <c r="M653" i="3"/>
  <c r="J655" i="3"/>
  <c r="P656" i="3"/>
  <c r="L658" i="3"/>
  <c r="V659" i="3"/>
  <c r="O661" i="3"/>
  <c r="K663" i="3"/>
  <c r="U664" i="3"/>
  <c r="N666" i="3"/>
  <c r="S667" i="3"/>
  <c r="V668" i="3"/>
  <c r="L670" i="3"/>
  <c r="O671" i="3"/>
  <c r="R672" i="3"/>
  <c r="Q673" i="3"/>
  <c r="R674" i="3"/>
  <c r="Q675" i="3"/>
  <c r="Q676" i="3"/>
  <c r="Q677" i="3"/>
  <c r="P678" i="3"/>
  <c r="P679" i="3"/>
  <c r="M680" i="3"/>
  <c r="K681" i="3"/>
  <c r="V681" i="3"/>
  <c r="S682" i="3"/>
  <c r="Q683" i="3"/>
  <c r="O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K317" i="3"/>
  <c r="N368" i="3"/>
  <c r="S394" i="3"/>
  <c r="N408" i="3"/>
  <c r="Q420" i="3"/>
  <c r="K434" i="3"/>
  <c r="S447" i="3"/>
  <c r="V459" i="3"/>
  <c r="P473" i="3"/>
  <c r="K487" i="3"/>
  <c r="N499" i="3"/>
  <c r="U512" i="3"/>
  <c r="P526" i="3"/>
  <c r="S538" i="3"/>
  <c r="L543" i="3"/>
  <c r="Q546" i="3"/>
  <c r="P549" i="3"/>
  <c r="J553" i="3"/>
  <c r="O556" i="3"/>
  <c r="N559" i="3"/>
  <c r="U562" i="3"/>
  <c r="M566" i="3"/>
  <c r="L569" i="3"/>
  <c r="S572" i="3"/>
  <c r="K576" i="3"/>
  <c r="J579" i="3"/>
  <c r="Q582" i="3"/>
  <c r="V585" i="3"/>
  <c r="U588" i="3"/>
  <c r="O592" i="3"/>
  <c r="T595" i="3"/>
  <c r="S598" i="3"/>
  <c r="M602" i="3"/>
  <c r="R605" i="3"/>
  <c r="Q608" i="3"/>
  <c r="K612" i="3"/>
  <c r="P615" i="3"/>
  <c r="O618" i="3"/>
  <c r="P621" i="3"/>
  <c r="O624" i="3"/>
  <c r="S626" i="3"/>
  <c r="O629" i="3"/>
  <c r="M632" i="3"/>
  <c r="Q634" i="3"/>
  <c r="N637" i="3"/>
  <c r="K640" i="3"/>
  <c r="K642" i="3"/>
  <c r="N644" i="3"/>
  <c r="S646" i="3"/>
  <c r="P648" i="3"/>
  <c r="L650" i="3"/>
  <c r="V651" i="3"/>
  <c r="O653" i="3"/>
  <c r="K655" i="3"/>
  <c r="U656" i="3"/>
  <c r="N658" i="3"/>
  <c r="J660" i="3"/>
  <c r="T661" i="3"/>
  <c r="M663" i="3"/>
  <c r="V664" i="3"/>
  <c r="S666" i="3"/>
  <c r="V667" i="3"/>
  <c r="L669" i="3"/>
  <c r="O670" i="3"/>
  <c r="R671" i="3"/>
  <c r="T672" i="3"/>
  <c r="S673" i="3"/>
  <c r="S674" i="3"/>
  <c r="S675" i="3"/>
  <c r="R676" i="3"/>
  <c r="S677" i="3"/>
  <c r="R678" i="3"/>
  <c r="Q679" i="3"/>
  <c r="N680" i="3"/>
  <c r="M681" i="3"/>
  <c r="J682" i="3"/>
  <c r="T682" i="3"/>
  <c r="S683" i="3"/>
  <c r="P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768" i="3"/>
  <c r="V768" i="3"/>
  <c r="Q769" i="3"/>
  <c r="L770" i="3"/>
  <c r="T770" i="3"/>
  <c r="O771" i="3"/>
  <c r="J772" i="3"/>
  <c r="R772" i="3"/>
  <c r="M773" i="3"/>
  <c r="U773" i="3"/>
  <c r="P774" i="3"/>
  <c r="K775" i="3"/>
  <c r="S775" i="3"/>
  <c r="N776" i="3"/>
  <c r="V776" i="3"/>
  <c r="Q777" i="3"/>
  <c r="L778" i="3"/>
  <c r="T778" i="3"/>
  <c r="O779" i="3"/>
  <c r="J780" i="3"/>
  <c r="R780" i="3"/>
  <c r="M781" i="3"/>
  <c r="U781" i="3"/>
  <c r="P782" i="3"/>
  <c r="K783" i="3"/>
  <c r="S783" i="3"/>
  <c r="N784" i="3"/>
  <c r="V784" i="3"/>
  <c r="Q785" i="3"/>
  <c r="L786" i="3"/>
  <c r="T786" i="3"/>
  <c r="O787" i="3"/>
  <c r="J788" i="3"/>
  <c r="R788" i="3"/>
  <c r="M789" i="3"/>
  <c r="U789" i="3"/>
  <c r="P790" i="3"/>
  <c r="K791" i="3"/>
  <c r="S791" i="3"/>
  <c r="N792" i="3"/>
  <c r="V792" i="3"/>
  <c r="Q793" i="3"/>
  <c r="L794" i="3"/>
  <c r="T794" i="3"/>
  <c r="O795" i="3"/>
  <c r="J796" i="3"/>
  <c r="R796" i="3"/>
  <c r="M797" i="3"/>
  <c r="U797" i="3"/>
  <c r="P798" i="3"/>
  <c r="K799" i="3"/>
  <c r="S799" i="3"/>
  <c r="N800" i="3"/>
  <c r="V800" i="3"/>
  <c r="Q801" i="3"/>
  <c r="L802" i="3"/>
  <c r="T802" i="3"/>
  <c r="O803" i="3"/>
  <c r="J804" i="3"/>
  <c r="R804" i="3"/>
  <c r="M805" i="3"/>
  <c r="U805" i="3"/>
  <c r="P806" i="3"/>
  <c r="K807" i="3"/>
  <c r="S807" i="3"/>
  <c r="N808" i="3"/>
  <c r="V808" i="3"/>
  <c r="Q809" i="3"/>
  <c r="L810" i="3"/>
  <c r="T810" i="3"/>
  <c r="O811" i="3"/>
  <c r="J812" i="3"/>
  <c r="R812" i="3"/>
  <c r="M813" i="3"/>
  <c r="U813" i="3"/>
  <c r="P814" i="3"/>
  <c r="K815" i="3"/>
  <c r="S815" i="3"/>
  <c r="N816" i="3"/>
  <c r="V816" i="3"/>
  <c r="Q817" i="3"/>
  <c r="L818" i="3"/>
  <c r="T818" i="3"/>
  <c r="O819" i="3"/>
  <c r="J820" i="3"/>
  <c r="R820" i="3"/>
  <c r="M821" i="3"/>
  <c r="U821" i="3"/>
  <c r="P822" i="3"/>
  <c r="K823" i="3"/>
  <c r="S823" i="3"/>
  <c r="N824" i="3"/>
  <c r="V824" i="3"/>
  <c r="Q825" i="3"/>
  <c r="L826" i="3"/>
  <c r="T826" i="3"/>
  <c r="O827" i="3"/>
  <c r="J828" i="3"/>
  <c r="R828" i="3"/>
  <c r="M829" i="3"/>
  <c r="U829" i="3"/>
  <c r="P830" i="3"/>
  <c r="K831" i="3"/>
  <c r="S831" i="3"/>
  <c r="N832" i="3"/>
  <c r="V832" i="3"/>
  <c r="Q833" i="3"/>
  <c r="L834" i="3"/>
  <c r="T834" i="3"/>
  <c r="O835" i="3"/>
  <c r="J836" i="3"/>
  <c r="R836" i="3"/>
  <c r="M837" i="3"/>
  <c r="U837" i="3"/>
  <c r="P838" i="3"/>
  <c r="K839" i="3"/>
  <c r="S839" i="3"/>
  <c r="N840" i="3"/>
  <c r="V840" i="3"/>
  <c r="T320" i="3"/>
  <c r="K375" i="3"/>
  <c r="V395" i="3"/>
  <c r="P409" i="3"/>
  <c r="K423" i="3"/>
  <c r="N435" i="3"/>
  <c r="U448" i="3"/>
  <c r="P462" i="3"/>
  <c r="S474" i="3"/>
  <c r="M488" i="3"/>
  <c r="U501" i="3"/>
  <c r="K514" i="3"/>
  <c r="R527" i="3"/>
  <c r="M540" i="3"/>
  <c r="N543" i="3"/>
  <c r="U546" i="3"/>
  <c r="M550" i="3"/>
  <c r="L553" i="3"/>
  <c r="S556" i="3"/>
  <c r="K560" i="3"/>
  <c r="J563" i="3"/>
  <c r="Q566" i="3"/>
  <c r="V569" i="3"/>
  <c r="U572" i="3"/>
  <c r="O576" i="3"/>
  <c r="T579" i="3"/>
  <c r="S582" i="3"/>
  <c r="M586" i="3"/>
  <c r="R589" i="3"/>
  <c r="Q592" i="3"/>
  <c r="K596" i="3"/>
  <c r="P599" i="3"/>
  <c r="O602" i="3"/>
  <c r="V605" i="3"/>
  <c r="N609" i="3"/>
  <c r="M612" i="3"/>
  <c r="T615" i="3"/>
  <c r="L619" i="3"/>
  <c r="T621" i="3"/>
  <c r="P624" i="3"/>
  <c r="N627" i="3"/>
  <c r="R629" i="3"/>
  <c r="O632" i="3"/>
  <c r="L635" i="3"/>
  <c r="P637" i="3"/>
  <c r="M640" i="3"/>
  <c r="Q642" i="3"/>
  <c r="Q644" i="3"/>
  <c r="T646" i="3"/>
  <c r="U648" i="3"/>
  <c r="N650" i="3"/>
  <c r="J652" i="3"/>
  <c r="T653" i="3"/>
  <c r="M655" i="3"/>
  <c r="V656" i="3"/>
  <c r="S658" i="3"/>
  <c r="L660" i="3"/>
  <c r="U661" i="3"/>
  <c r="R663" i="3"/>
  <c r="K665" i="3"/>
  <c r="T666" i="3"/>
  <c r="J668" i="3"/>
  <c r="M669" i="3"/>
  <c r="P670" i="3"/>
  <c r="S671" i="3"/>
  <c r="U672" i="3"/>
  <c r="U673" i="3"/>
  <c r="T674" i="3"/>
  <c r="U675" i="3"/>
  <c r="T676" i="3"/>
  <c r="T677" i="3"/>
  <c r="T678" i="3"/>
  <c r="R679" i="3"/>
  <c r="P680" i="3"/>
  <c r="N681" i="3"/>
  <c r="K682" i="3"/>
  <c r="V682" i="3"/>
  <c r="T683" i="3"/>
  <c r="Q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L330" i="3"/>
  <c r="N376" i="3"/>
  <c r="P398" i="3"/>
  <c r="S410" i="3"/>
  <c r="M424" i="3"/>
  <c r="U437" i="3"/>
  <c r="K450" i="3"/>
  <c r="R463" i="3"/>
  <c r="M477" i="3"/>
  <c r="P489" i="3"/>
  <c r="J503" i="3"/>
  <c r="R516" i="3"/>
  <c r="U528" i="3"/>
  <c r="S540" i="3"/>
  <c r="K544" i="3"/>
  <c r="J547" i="3"/>
  <c r="Q550" i="3"/>
  <c r="V553" i="3"/>
  <c r="U556" i="3"/>
  <c r="O560" i="3"/>
  <c r="T563" i="3"/>
  <c r="S566" i="3"/>
  <c r="M570" i="3"/>
  <c r="R573" i="3"/>
  <c r="Q576" i="3"/>
  <c r="K580" i="3"/>
  <c r="P583" i="3"/>
  <c r="O586" i="3"/>
  <c r="V589" i="3"/>
  <c r="N593" i="3"/>
  <c r="M596" i="3"/>
  <c r="T599" i="3"/>
  <c r="L603" i="3"/>
  <c r="K606" i="3"/>
  <c r="R609" i="3"/>
  <c r="J613" i="3"/>
  <c r="V615" i="3"/>
  <c r="P619" i="3"/>
  <c r="O622" i="3"/>
  <c r="S624" i="3"/>
  <c r="P627" i="3"/>
  <c r="M630" i="3"/>
  <c r="Q632" i="3"/>
  <c r="N635" i="3"/>
  <c r="K638" i="3"/>
  <c r="P640" i="3"/>
  <c r="S642" i="3"/>
  <c r="J645" i="3"/>
  <c r="J647" i="3"/>
  <c r="V648" i="3"/>
  <c r="S650" i="3"/>
  <c r="L652" i="3"/>
  <c r="U653" i="3"/>
  <c r="R655" i="3"/>
  <c r="K657" i="3"/>
  <c r="T658" i="3"/>
  <c r="Q660" i="3"/>
  <c r="J662" i="3"/>
  <c r="S663" i="3"/>
  <c r="P665" i="3"/>
  <c r="V666" i="3"/>
  <c r="L668" i="3"/>
  <c r="O669" i="3"/>
  <c r="R670" i="3"/>
  <c r="U671" i="3"/>
  <c r="V672" i="3"/>
  <c r="J674" i="3"/>
  <c r="V674" i="3"/>
  <c r="V675" i="3"/>
  <c r="V676" i="3"/>
  <c r="U677" i="3"/>
  <c r="V678" i="3"/>
  <c r="S679" i="3"/>
  <c r="R680" i="3"/>
  <c r="O681" i="3"/>
  <c r="L682" i="3"/>
  <c r="K683" i="3"/>
  <c r="U683" i="3"/>
  <c r="R684" i="3"/>
  <c r="O685" i="3"/>
  <c r="J686" i="3"/>
  <c r="R686" i="3"/>
  <c r="M687" i="3"/>
  <c r="U687" i="3"/>
  <c r="P688" i="3"/>
  <c r="K689" i="3"/>
  <c r="S689" i="3"/>
  <c r="N690" i="3"/>
  <c r="V690" i="3"/>
  <c r="Q691" i="3"/>
  <c r="L692" i="3"/>
  <c r="T692" i="3"/>
  <c r="O693" i="3"/>
  <c r="J694" i="3"/>
  <c r="R694" i="3"/>
  <c r="M695" i="3"/>
  <c r="U695" i="3"/>
  <c r="P696" i="3"/>
  <c r="K697" i="3"/>
  <c r="S697" i="3"/>
  <c r="N698" i="3"/>
  <c r="V698" i="3"/>
  <c r="Q699" i="3"/>
  <c r="L700" i="3"/>
  <c r="T700" i="3"/>
  <c r="O701" i="3"/>
  <c r="J702" i="3"/>
  <c r="R702" i="3"/>
  <c r="M703" i="3"/>
  <c r="U703" i="3"/>
  <c r="P704" i="3"/>
  <c r="K705" i="3"/>
  <c r="S705" i="3"/>
  <c r="N706" i="3"/>
  <c r="V706" i="3"/>
  <c r="Q707" i="3"/>
  <c r="L708" i="3"/>
  <c r="T708" i="3"/>
  <c r="O709" i="3"/>
  <c r="J710" i="3"/>
  <c r="R710" i="3"/>
  <c r="M711" i="3"/>
  <c r="U711" i="3"/>
  <c r="P712" i="3"/>
  <c r="K713" i="3"/>
  <c r="S713" i="3"/>
  <c r="N714" i="3"/>
  <c r="V714" i="3"/>
  <c r="Q715" i="3"/>
  <c r="L716" i="3"/>
  <c r="T716" i="3"/>
  <c r="O717" i="3"/>
  <c r="J718" i="3"/>
  <c r="R718" i="3"/>
  <c r="M719" i="3"/>
  <c r="U719" i="3"/>
  <c r="P720" i="3"/>
  <c r="K721" i="3"/>
  <c r="S721" i="3"/>
  <c r="N722" i="3"/>
  <c r="V722" i="3"/>
  <c r="Q723" i="3"/>
  <c r="L724" i="3"/>
  <c r="T724" i="3"/>
  <c r="O725" i="3"/>
  <c r="J726" i="3"/>
  <c r="R726" i="3"/>
  <c r="M727" i="3"/>
  <c r="U727" i="3"/>
  <c r="P728" i="3"/>
  <c r="K729" i="3"/>
  <c r="S729" i="3"/>
  <c r="N730" i="3"/>
  <c r="V730" i="3"/>
  <c r="Q731" i="3"/>
  <c r="L732" i="3"/>
  <c r="T732" i="3"/>
  <c r="O733" i="3"/>
  <c r="J734" i="3"/>
  <c r="R734" i="3"/>
  <c r="M735" i="3"/>
  <c r="U735" i="3"/>
  <c r="P736" i="3"/>
  <c r="K737" i="3"/>
  <c r="S737" i="3"/>
  <c r="N738" i="3"/>
  <c r="V738" i="3"/>
  <c r="Q739" i="3"/>
  <c r="L740" i="3"/>
  <c r="T740" i="3"/>
  <c r="O741" i="3"/>
  <c r="J742" i="3"/>
  <c r="R742" i="3"/>
  <c r="M743" i="3"/>
  <c r="U743" i="3"/>
  <c r="P744" i="3"/>
  <c r="K745" i="3"/>
  <c r="S745" i="3"/>
  <c r="N746" i="3"/>
  <c r="V746" i="3"/>
  <c r="Q747" i="3"/>
  <c r="L748" i="3"/>
  <c r="T748" i="3"/>
  <c r="O749" i="3"/>
  <c r="J750" i="3"/>
  <c r="R750" i="3"/>
  <c r="M751" i="3"/>
  <c r="U751" i="3"/>
  <c r="P752" i="3"/>
  <c r="K753" i="3"/>
  <c r="S753" i="3"/>
  <c r="N754" i="3"/>
  <c r="V754" i="3"/>
  <c r="Q755" i="3"/>
  <c r="L756" i="3"/>
  <c r="T756" i="3"/>
  <c r="O757" i="3"/>
  <c r="J758" i="3"/>
  <c r="R758" i="3"/>
  <c r="M759" i="3"/>
  <c r="U759" i="3"/>
  <c r="P760" i="3"/>
  <c r="K761" i="3"/>
  <c r="S761" i="3"/>
  <c r="N762" i="3"/>
  <c r="V762" i="3"/>
  <c r="Q763" i="3"/>
  <c r="L764" i="3"/>
  <c r="T764" i="3"/>
  <c r="O765" i="3"/>
  <c r="J766" i="3"/>
  <c r="R766" i="3"/>
  <c r="M767" i="3"/>
  <c r="U767" i="3"/>
  <c r="P768" i="3"/>
  <c r="K769" i="3"/>
  <c r="S769" i="3"/>
  <c r="N770" i="3"/>
  <c r="V770" i="3"/>
  <c r="Q771" i="3"/>
  <c r="L772" i="3"/>
  <c r="T772" i="3"/>
  <c r="O773" i="3"/>
  <c r="J774" i="3"/>
  <c r="R774" i="3"/>
  <c r="M775" i="3"/>
  <c r="U775" i="3"/>
  <c r="P776" i="3"/>
  <c r="K777" i="3"/>
  <c r="S777" i="3"/>
  <c r="N778" i="3"/>
  <c r="V778" i="3"/>
  <c r="Q779" i="3"/>
  <c r="L780" i="3"/>
  <c r="T780" i="3"/>
  <c r="O781" i="3"/>
  <c r="J782" i="3"/>
  <c r="R782" i="3"/>
  <c r="M783" i="3"/>
  <c r="U783" i="3"/>
  <c r="P784" i="3"/>
  <c r="K785" i="3"/>
  <c r="S785" i="3"/>
  <c r="N786" i="3"/>
  <c r="V786" i="3"/>
  <c r="Q787" i="3"/>
  <c r="L788" i="3"/>
  <c r="T788" i="3"/>
  <c r="O789" i="3"/>
  <c r="J790" i="3"/>
  <c r="R790" i="3"/>
  <c r="M791" i="3"/>
  <c r="U791" i="3"/>
  <c r="P792" i="3"/>
  <c r="K793" i="3"/>
  <c r="S793" i="3"/>
  <c r="N794" i="3"/>
  <c r="V794" i="3"/>
  <c r="Q795" i="3"/>
  <c r="L796" i="3"/>
  <c r="T796" i="3"/>
  <c r="O797" i="3"/>
  <c r="J798" i="3"/>
  <c r="R798" i="3"/>
  <c r="M799" i="3"/>
  <c r="U799" i="3"/>
  <c r="P800" i="3"/>
  <c r="K801" i="3"/>
  <c r="S801" i="3"/>
  <c r="N802" i="3"/>
  <c r="V802" i="3"/>
  <c r="Q803" i="3"/>
  <c r="L804" i="3"/>
  <c r="T804" i="3"/>
  <c r="O805" i="3"/>
  <c r="J806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347" i="3"/>
  <c r="T378" i="3"/>
  <c r="R399" i="3"/>
  <c r="M413" i="3"/>
  <c r="P425" i="3"/>
  <c r="J439" i="3"/>
  <c r="R452" i="3"/>
  <c r="U464" i="3"/>
  <c r="O478" i="3"/>
  <c r="J492" i="3"/>
  <c r="M504" i="3"/>
  <c r="T517" i="3"/>
  <c r="O531" i="3"/>
  <c r="U540" i="3"/>
  <c r="O544" i="3"/>
  <c r="T547" i="3"/>
  <c r="S550" i="3"/>
  <c r="M554" i="3"/>
  <c r="R557" i="3"/>
  <c r="Q560" i="3"/>
  <c r="K564" i="3"/>
  <c r="P567" i="3"/>
  <c r="O570" i="3"/>
  <c r="V573" i="3"/>
  <c r="N577" i="3"/>
  <c r="M580" i="3"/>
  <c r="T583" i="3"/>
  <c r="L587" i="3"/>
  <c r="K590" i="3"/>
  <c r="R593" i="3"/>
  <c r="J597" i="3"/>
  <c r="V599" i="3"/>
  <c r="P603" i="3"/>
  <c r="U606" i="3"/>
  <c r="T609" i="3"/>
  <c r="N613" i="3"/>
  <c r="S616" i="3"/>
  <c r="R619" i="3"/>
  <c r="Q622" i="3"/>
  <c r="N625" i="3"/>
  <c r="R627" i="3"/>
  <c r="O630" i="3"/>
  <c r="L633" i="3"/>
  <c r="Q635" i="3"/>
  <c r="M638" i="3"/>
  <c r="J641" i="3"/>
  <c r="V642" i="3"/>
  <c r="L645" i="3"/>
  <c r="P647" i="3"/>
  <c r="K649" i="3"/>
  <c r="T650" i="3"/>
  <c r="Q652" i="3"/>
  <c r="J654" i="3"/>
  <c r="S655" i="3"/>
  <c r="P657" i="3"/>
  <c r="V658" i="3"/>
  <c r="R660" i="3"/>
  <c r="O662" i="3"/>
  <c r="U663" i="3"/>
  <c r="Q665" i="3"/>
  <c r="K667" i="3"/>
  <c r="N668" i="3"/>
  <c r="Q669" i="3"/>
  <c r="T670" i="3"/>
  <c r="J672" i="3"/>
  <c r="K673" i="3"/>
  <c r="K674" i="3"/>
  <c r="K675" i="3"/>
  <c r="J676" i="3"/>
  <c r="K677" i="3"/>
  <c r="J678" i="3"/>
  <c r="J679" i="3"/>
  <c r="U679" i="3"/>
  <c r="S680" i="3"/>
  <c r="P681" i="3"/>
  <c r="N682" i="3"/>
  <c r="L683" i="3"/>
  <c r="V683" i="3"/>
  <c r="T684" i="3"/>
  <c r="P685" i="3"/>
  <c r="K686" i="3"/>
  <c r="S686" i="3"/>
  <c r="N687" i="3"/>
  <c r="V687" i="3"/>
  <c r="Q688" i="3"/>
  <c r="L689" i="3"/>
  <c r="T689" i="3"/>
  <c r="O690" i="3"/>
  <c r="J691" i="3"/>
  <c r="R691" i="3"/>
  <c r="M692" i="3"/>
  <c r="U692" i="3"/>
  <c r="P693" i="3"/>
  <c r="K694" i="3"/>
  <c r="S694" i="3"/>
  <c r="N695" i="3"/>
  <c r="V695" i="3"/>
  <c r="Q696" i="3"/>
  <c r="L697" i="3"/>
  <c r="T697" i="3"/>
  <c r="O698" i="3"/>
  <c r="J699" i="3"/>
  <c r="R699" i="3"/>
  <c r="M700" i="3"/>
  <c r="U700" i="3"/>
  <c r="P701" i="3"/>
  <c r="K702" i="3"/>
  <c r="S702" i="3"/>
  <c r="N703" i="3"/>
  <c r="V703" i="3"/>
  <c r="Q704" i="3"/>
  <c r="L705" i="3"/>
  <c r="T705" i="3"/>
  <c r="O706" i="3"/>
  <c r="J707" i="3"/>
  <c r="R707" i="3"/>
  <c r="M708" i="3"/>
  <c r="U708" i="3"/>
  <c r="P709" i="3"/>
  <c r="K710" i="3"/>
  <c r="S710" i="3"/>
  <c r="N711" i="3"/>
  <c r="V711" i="3"/>
  <c r="Q712" i="3"/>
  <c r="L713" i="3"/>
  <c r="T713" i="3"/>
  <c r="O714" i="3"/>
  <c r="J715" i="3"/>
  <c r="R715" i="3"/>
  <c r="M716" i="3"/>
  <c r="U716" i="3"/>
  <c r="P717" i="3"/>
  <c r="K718" i="3"/>
  <c r="S718" i="3"/>
  <c r="N719" i="3"/>
  <c r="V719" i="3"/>
  <c r="Q720" i="3"/>
  <c r="L721" i="3"/>
  <c r="T721" i="3"/>
  <c r="O722" i="3"/>
  <c r="J723" i="3"/>
  <c r="R723" i="3"/>
  <c r="M724" i="3"/>
  <c r="U724" i="3"/>
  <c r="P725" i="3"/>
  <c r="K726" i="3"/>
  <c r="S726" i="3"/>
  <c r="N727" i="3"/>
  <c r="V727" i="3"/>
  <c r="Q728" i="3"/>
  <c r="L729" i="3"/>
  <c r="T729" i="3"/>
  <c r="O730" i="3"/>
  <c r="J731" i="3"/>
  <c r="R731" i="3"/>
  <c r="M732" i="3"/>
  <c r="U732" i="3"/>
  <c r="P733" i="3"/>
  <c r="K734" i="3"/>
  <c r="S734" i="3"/>
  <c r="N735" i="3"/>
  <c r="V735" i="3"/>
  <c r="Q736" i="3"/>
  <c r="L737" i="3"/>
  <c r="T737" i="3"/>
  <c r="O738" i="3"/>
  <c r="J739" i="3"/>
  <c r="R739" i="3"/>
  <c r="M740" i="3"/>
  <c r="U740" i="3"/>
  <c r="P741" i="3"/>
  <c r="K742" i="3"/>
  <c r="S742" i="3"/>
  <c r="N743" i="3"/>
  <c r="V743" i="3"/>
  <c r="Q744" i="3"/>
  <c r="L745" i="3"/>
  <c r="T745" i="3"/>
  <c r="O746" i="3"/>
  <c r="J747" i="3"/>
  <c r="R747" i="3"/>
  <c r="M748" i="3"/>
  <c r="U748" i="3"/>
  <c r="P749" i="3"/>
  <c r="K750" i="3"/>
  <c r="S750" i="3"/>
  <c r="N751" i="3"/>
  <c r="V751" i="3"/>
  <c r="Q752" i="3"/>
  <c r="L753" i="3"/>
  <c r="T753" i="3"/>
  <c r="O754" i="3"/>
  <c r="J755" i="3"/>
  <c r="R755" i="3"/>
  <c r="M756" i="3"/>
  <c r="U756" i="3"/>
  <c r="P757" i="3"/>
  <c r="K758" i="3"/>
  <c r="S758" i="3"/>
  <c r="N759" i="3"/>
  <c r="V759" i="3"/>
  <c r="Q760" i="3"/>
  <c r="L761" i="3"/>
  <c r="T761" i="3"/>
  <c r="O762" i="3"/>
  <c r="J763" i="3"/>
  <c r="R763" i="3"/>
  <c r="M764" i="3"/>
  <c r="U764" i="3"/>
  <c r="P765" i="3"/>
  <c r="K766" i="3"/>
  <c r="S766" i="3"/>
  <c r="N767" i="3"/>
  <c r="V767" i="3"/>
  <c r="Q768" i="3"/>
  <c r="L769" i="3"/>
  <c r="T769" i="3"/>
  <c r="O770" i="3"/>
  <c r="J771" i="3"/>
  <c r="R771" i="3"/>
  <c r="M772" i="3"/>
  <c r="U772" i="3"/>
  <c r="P773" i="3"/>
  <c r="K774" i="3"/>
  <c r="S774" i="3"/>
  <c r="N775" i="3"/>
  <c r="V775" i="3"/>
  <c r="Q776" i="3"/>
  <c r="L777" i="3"/>
  <c r="T777" i="3"/>
  <c r="O778" i="3"/>
  <c r="J779" i="3"/>
  <c r="R779" i="3"/>
  <c r="M780" i="3"/>
  <c r="U780" i="3"/>
  <c r="P781" i="3"/>
  <c r="K782" i="3"/>
  <c r="S782" i="3"/>
  <c r="N783" i="3"/>
  <c r="V783" i="3"/>
  <c r="Q784" i="3"/>
  <c r="L785" i="3"/>
  <c r="T785" i="3"/>
  <c r="O786" i="3"/>
  <c r="J787" i="3"/>
  <c r="R787" i="3"/>
  <c r="M788" i="3"/>
  <c r="U788" i="3"/>
  <c r="P789" i="3"/>
  <c r="K790" i="3"/>
  <c r="S790" i="3"/>
  <c r="N791" i="3"/>
  <c r="V791" i="3"/>
  <c r="Q792" i="3"/>
  <c r="L793" i="3"/>
  <c r="T793" i="3"/>
  <c r="O794" i="3"/>
  <c r="J795" i="3"/>
  <c r="R795" i="3"/>
  <c r="M796" i="3"/>
  <c r="U796" i="3"/>
  <c r="P797" i="3"/>
  <c r="K798" i="3"/>
  <c r="S798" i="3"/>
  <c r="N799" i="3"/>
  <c r="V799" i="3"/>
  <c r="Q800" i="3"/>
  <c r="L801" i="3"/>
  <c r="T801" i="3"/>
  <c r="O802" i="3"/>
  <c r="J803" i="3"/>
  <c r="R803" i="3"/>
  <c r="M804" i="3"/>
  <c r="U804" i="3"/>
  <c r="P805" i="3"/>
  <c r="K806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U349" i="3"/>
  <c r="V384" i="3"/>
  <c r="U400" i="3"/>
  <c r="O414" i="3"/>
  <c r="J428" i="3"/>
  <c r="M440" i="3"/>
  <c r="T453" i="3"/>
  <c r="O467" i="3"/>
  <c r="R479" i="3"/>
  <c r="L493" i="3"/>
  <c r="T506" i="3"/>
  <c r="J519" i="3"/>
  <c r="Q532" i="3"/>
  <c r="R541" i="3"/>
  <c r="Q544" i="3"/>
  <c r="K548" i="3"/>
  <c r="P551" i="3"/>
  <c r="O554" i="3"/>
  <c r="V557" i="3"/>
  <c r="N561" i="3"/>
  <c r="M564" i="3"/>
  <c r="T567" i="3"/>
  <c r="L571" i="3"/>
  <c r="K574" i="3"/>
  <c r="R577" i="3"/>
  <c r="J581" i="3"/>
  <c r="V583" i="3"/>
  <c r="P587" i="3"/>
  <c r="U590" i="3"/>
  <c r="T593" i="3"/>
  <c r="N597" i="3"/>
  <c r="S600" i="3"/>
  <c r="R603" i="3"/>
  <c r="L607" i="3"/>
  <c r="Q610" i="3"/>
  <c r="P613" i="3"/>
  <c r="J617" i="3"/>
  <c r="O620" i="3"/>
  <c r="S622" i="3"/>
  <c r="P625" i="3"/>
  <c r="M628" i="3"/>
  <c r="R630" i="3"/>
  <c r="N633" i="3"/>
  <c r="L636" i="3"/>
  <c r="Q638" i="3"/>
  <c r="K641" i="3"/>
  <c r="P643" i="3"/>
  <c r="O645" i="3"/>
  <c r="R647" i="3"/>
  <c r="P649" i="3"/>
  <c r="V650" i="3"/>
  <c r="R652" i="3"/>
  <c r="O654" i="3"/>
  <c r="U655" i="3"/>
  <c r="Q657" i="3"/>
  <c r="N659" i="3"/>
  <c r="T660" i="3"/>
  <c r="P662" i="3"/>
  <c r="M664" i="3"/>
  <c r="S665" i="3"/>
  <c r="N667" i="3"/>
  <c r="Q668" i="3"/>
  <c r="T669" i="3"/>
  <c r="J671" i="3"/>
  <c r="M672" i="3"/>
  <c r="M673" i="3"/>
  <c r="L674" i="3"/>
  <c r="M675" i="3"/>
  <c r="L676" i="3"/>
  <c r="L677" i="3"/>
  <c r="L678" i="3"/>
  <c r="K679" i="3"/>
  <c r="J680" i="3"/>
  <c r="T680" i="3"/>
  <c r="Q681" i="3"/>
  <c r="P682" i="3"/>
  <c r="M683" i="3"/>
  <c r="J684" i="3"/>
  <c r="V684" i="3"/>
  <c r="Q685" i="3"/>
  <c r="L686" i="3"/>
  <c r="T686" i="3"/>
  <c r="O687" i="3"/>
  <c r="J688" i="3"/>
  <c r="R688" i="3"/>
  <c r="M689" i="3"/>
  <c r="U689" i="3"/>
  <c r="P690" i="3"/>
  <c r="K691" i="3"/>
  <c r="S691" i="3"/>
  <c r="N692" i="3"/>
  <c r="V692" i="3"/>
  <c r="Q693" i="3"/>
  <c r="O363" i="3"/>
  <c r="R388" i="3"/>
  <c r="Q404" i="3"/>
  <c r="L418" i="3"/>
  <c r="O430" i="3"/>
  <c r="V443" i="3"/>
  <c r="Q457" i="3"/>
  <c r="T469" i="3"/>
  <c r="N483" i="3"/>
  <c r="V496" i="3"/>
  <c r="L509" i="3"/>
  <c r="S522" i="3"/>
  <c r="N536" i="3"/>
  <c r="K542" i="3"/>
  <c r="R545" i="3"/>
  <c r="J549" i="3"/>
  <c r="V551" i="3"/>
  <c r="P555" i="3"/>
  <c r="U558" i="3"/>
  <c r="T561" i="3"/>
  <c r="N565" i="3"/>
  <c r="S568" i="3"/>
  <c r="R571" i="3"/>
  <c r="L575" i="3"/>
  <c r="Q578" i="3"/>
  <c r="P581" i="3"/>
  <c r="J585" i="3"/>
  <c r="O588" i="3"/>
  <c r="N591" i="3"/>
  <c r="U594" i="3"/>
  <c r="M598" i="3"/>
  <c r="L601" i="3"/>
  <c r="S604" i="3"/>
  <c r="K608" i="3"/>
  <c r="J611" i="3"/>
  <c r="Q614" i="3"/>
  <c r="V617" i="3"/>
  <c r="T620" i="3"/>
  <c r="P623" i="3"/>
  <c r="N626" i="3"/>
  <c r="S628" i="3"/>
  <c r="N631" i="3"/>
  <c r="M634" i="3"/>
  <c r="Q636" i="3"/>
  <c r="M639" i="3"/>
  <c r="T641" i="3"/>
  <c r="S643" i="3"/>
  <c r="J646" i="3"/>
  <c r="M648" i="3"/>
  <c r="S649" i="3"/>
  <c r="O651" i="3"/>
  <c r="L653" i="3"/>
  <c r="R654" i="3"/>
  <c r="N656" i="3"/>
  <c r="K658" i="3"/>
  <c r="Q659" i="3"/>
  <c r="M661" i="3"/>
  <c r="J663" i="3"/>
  <c r="P664" i="3"/>
  <c r="L666" i="3"/>
  <c r="Q667" i="3"/>
  <c r="T668" i="3"/>
  <c r="J670" i="3"/>
  <c r="M671" i="3"/>
  <c r="P672" i="3"/>
  <c r="P673" i="3"/>
  <c r="P674" i="3"/>
  <c r="O675" i="3"/>
  <c r="P676" i="3"/>
  <c r="O677" i="3"/>
  <c r="O678" i="3"/>
  <c r="O679" i="3"/>
  <c r="L680" i="3"/>
  <c r="V680" i="3"/>
  <c r="U681" i="3"/>
  <c r="R682" i="3"/>
  <c r="O683" i="3"/>
  <c r="N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J355" i="3"/>
  <c r="L482" i="3"/>
  <c r="T551" i="3"/>
  <c r="T577" i="3"/>
  <c r="O604" i="3"/>
  <c r="O628" i="3"/>
  <c r="U647" i="3"/>
  <c r="L661" i="3"/>
  <c r="N672" i="3"/>
  <c r="K680" i="3"/>
  <c r="M686" i="3"/>
  <c r="L691" i="3"/>
  <c r="U694" i="3"/>
  <c r="R696" i="3"/>
  <c r="K698" i="3"/>
  <c r="T699" i="3"/>
  <c r="Q701" i="3"/>
  <c r="J703" i="3"/>
  <c r="S704" i="3"/>
  <c r="P706" i="3"/>
  <c r="V707" i="3"/>
  <c r="R709" i="3"/>
  <c r="O711" i="3"/>
  <c r="U712" i="3"/>
  <c r="Q714" i="3"/>
  <c r="N716" i="3"/>
  <c r="T717" i="3"/>
  <c r="P719" i="3"/>
  <c r="M721" i="3"/>
  <c r="S722" i="3"/>
  <c r="O724" i="3"/>
  <c r="L726" i="3"/>
  <c r="R727" i="3"/>
  <c r="N729" i="3"/>
  <c r="K731" i="3"/>
  <c r="Q732" i="3"/>
  <c r="M734" i="3"/>
  <c r="J736" i="3"/>
  <c r="P737" i="3"/>
  <c r="L739" i="3"/>
  <c r="V740" i="3"/>
  <c r="O742" i="3"/>
  <c r="K744" i="3"/>
  <c r="U745" i="3"/>
  <c r="N747" i="3"/>
  <c r="J749" i="3"/>
  <c r="T750" i="3"/>
  <c r="M752" i="3"/>
  <c r="V753" i="3"/>
  <c r="S755" i="3"/>
  <c r="L757" i="3"/>
  <c r="U758" i="3"/>
  <c r="R760" i="3"/>
  <c r="K762" i="3"/>
  <c r="T763" i="3"/>
  <c r="Q765" i="3"/>
  <c r="J767" i="3"/>
  <c r="S768" i="3"/>
  <c r="P770" i="3"/>
  <c r="V771" i="3"/>
  <c r="R773" i="3"/>
  <c r="O775" i="3"/>
  <c r="U776" i="3"/>
  <c r="Q778" i="3"/>
  <c r="N780" i="3"/>
  <c r="T781" i="3"/>
  <c r="P783" i="3"/>
  <c r="M785" i="3"/>
  <c r="S786" i="3"/>
  <c r="O788" i="3"/>
  <c r="L790" i="3"/>
  <c r="R791" i="3"/>
  <c r="N793" i="3"/>
  <c r="K795" i="3"/>
  <c r="Q796" i="3"/>
  <c r="M798" i="3"/>
  <c r="J800" i="3"/>
  <c r="P801" i="3"/>
  <c r="L803" i="3"/>
  <c r="V804" i="3"/>
  <c r="O806" i="3"/>
  <c r="K808" i="3"/>
  <c r="U809" i="3"/>
  <c r="N811" i="3"/>
  <c r="J813" i="3"/>
  <c r="T814" i="3"/>
  <c r="M816" i="3"/>
  <c r="V817" i="3"/>
  <c r="S819" i="3"/>
  <c r="L821" i="3"/>
  <c r="U822" i="3"/>
  <c r="R824" i="3"/>
  <c r="K826" i="3"/>
  <c r="T827" i="3"/>
  <c r="Q829" i="3"/>
  <c r="J831" i="3"/>
  <c r="S832" i="3"/>
  <c r="P834" i="3"/>
  <c r="V835" i="3"/>
  <c r="R837" i="3"/>
  <c r="O839" i="3"/>
  <c r="U840" i="3"/>
  <c r="V841" i="3"/>
  <c r="T842" i="3"/>
  <c r="Q843" i="3"/>
  <c r="N844" i="3"/>
  <c r="J845" i="3"/>
  <c r="T845" i="3"/>
  <c r="P846" i="3"/>
  <c r="K847" i="3"/>
  <c r="S847" i="3"/>
  <c r="N848" i="3"/>
  <c r="V848" i="3"/>
  <c r="Q849" i="3"/>
  <c r="L850" i="3"/>
  <c r="T850" i="3"/>
  <c r="O851" i="3"/>
  <c r="J852" i="3"/>
  <c r="R852" i="3"/>
  <c r="M853" i="3"/>
  <c r="U853" i="3"/>
  <c r="P854" i="3"/>
  <c r="K855" i="3"/>
  <c r="S855" i="3"/>
  <c r="N856" i="3"/>
  <c r="V856" i="3"/>
  <c r="Q857" i="3"/>
  <c r="L858" i="3"/>
  <c r="T858" i="3"/>
  <c r="O859" i="3"/>
  <c r="J860" i="3"/>
  <c r="R860" i="3"/>
  <c r="M861" i="3"/>
  <c r="U861" i="3"/>
  <c r="P862" i="3"/>
  <c r="K863" i="3"/>
  <c r="S863" i="3"/>
  <c r="N864" i="3"/>
  <c r="V864" i="3"/>
  <c r="Q865" i="3"/>
  <c r="L866" i="3"/>
  <c r="T866" i="3"/>
  <c r="O867" i="3"/>
  <c r="J868" i="3"/>
  <c r="R868" i="3"/>
  <c r="M869" i="3"/>
  <c r="U869" i="3"/>
  <c r="P870" i="3"/>
  <c r="K871" i="3"/>
  <c r="S871" i="3"/>
  <c r="N872" i="3"/>
  <c r="V872" i="3"/>
  <c r="Q873" i="3"/>
  <c r="L874" i="3"/>
  <c r="T874" i="3"/>
  <c r="O875" i="3"/>
  <c r="J876" i="3"/>
  <c r="R876" i="3"/>
  <c r="M877" i="3"/>
  <c r="U877" i="3"/>
  <c r="P878" i="3"/>
  <c r="K879" i="3"/>
  <c r="S879" i="3"/>
  <c r="N880" i="3"/>
  <c r="V880" i="3"/>
  <c r="Q881" i="3"/>
  <c r="L882" i="3"/>
  <c r="T882" i="3"/>
  <c r="O883" i="3"/>
  <c r="J884" i="3"/>
  <c r="R884" i="3"/>
  <c r="M885" i="3"/>
  <c r="U885" i="3"/>
  <c r="P886" i="3"/>
  <c r="K887" i="3"/>
  <c r="S887" i="3"/>
  <c r="N888" i="3"/>
  <c r="V888" i="3"/>
  <c r="Q889" i="3"/>
  <c r="L890" i="3"/>
  <c r="T890" i="3"/>
  <c r="O891" i="3"/>
  <c r="J892" i="3"/>
  <c r="R892" i="3"/>
  <c r="M893" i="3"/>
  <c r="U893" i="3"/>
  <c r="P894" i="3"/>
  <c r="K895" i="3"/>
  <c r="S895" i="3"/>
  <c r="N896" i="3"/>
  <c r="V896" i="3"/>
  <c r="Q897" i="3"/>
  <c r="L898" i="3"/>
  <c r="T898" i="3"/>
  <c r="O899" i="3"/>
  <c r="J900" i="3"/>
  <c r="R900" i="3"/>
  <c r="M901" i="3"/>
  <c r="U901" i="3"/>
  <c r="P902" i="3"/>
  <c r="K903" i="3"/>
  <c r="S903" i="3"/>
  <c r="N904" i="3"/>
  <c r="V904" i="3"/>
  <c r="Q905" i="3"/>
  <c r="L906" i="3"/>
  <c r="T906" i="3"/>
  <c r="O907" i="3"/>
  <c r="J908" i="3"/>
  <c r="R908" i="3"/>
  <c r="M909" i="3"/>
  <c r="U909" i="3"/>
  <c r="P910" i="3"/>
  <c r="K911" i="3"/>
  <c r="S911" i="3"/>
  <c r="N912" i="3"/>
  <c r="V912" i="3"/>
  <c r="Q913" i="3"/>
  <c r="L914" i="3"/>
  <c r="T914" i="3"/>
  <c r="O915" i="3"/>
  <c r="J916" i="3"/>
  <c r="R916" i="3"/>
  <c r="M917" i="3"/>
  <c r="U917" i="3"/>
  <c r="P918" i="3"/>
  <c r="K919" i="3"/>
  <c r="S919" i="3"/>
  <c r="N920" i="3"/>
  <c r="V920" i="3"/>
  <c r="Q921" i="3"/>
  <c r="L922" i="3"/>
  <c r="T922" i="3"/>
  <c r="O923" i="3"/>
  <c r="J924" i="3"/>
  <c r="R924" i="3"/>
  <c r="M925" i="3"/>
  <c r="U925" i="3"/>
  <c r="P926" i="3"/>
  <c r="K927" i="3"/>
  <c r="S927" i="3"/>
  <c r="N928" i="3"/>
  <c r="V928" i="3"/>
  <c r="Q929" i="3"/>
  <c r="L930" i="3"/>
  <c r="T930" i="3"/>
  <c r="O931" i="3"/>
  <c r="J932" i="3"/>
  <c r="R932" i="3"/>
  <c r="M933" i="3"/>
  <c r="U933" i="3"/>
  <c r="P934" i="3"/>
  <c r="K935" i="3"/>
  <c r="S935" i="3"/>
  <c r="N936" i="3"/>
  <c r="V936" i="3"/>
  <c r="Q937" i="3"/>
  <c r="L938" i="3"/>
  <c r="T938" i="3"/>
  <c r="O939" i="3"/>
  <c r="J940" i="3"/>
  <c r="R940" i="3"/>
  <c r="M941" i="3"/>
  <c r="U941" i="3"/>
  <c r="P942" i="3"/>
  <c r="K943" i="3"/>
  <c r="S943" i="3"/>
  <c r="N944" i="3"/>
  <c r="V944" i="3"/>
  <c r="Q945" i="3"/>
  <c r="L946" i="3"/>
  <c r="T946" i="3"/>
  <c r="O947" i="3"/>
  <c r="J948" i="3"/>
  <c r="R948" i="3"/>
  <c r="M949" i="3"/>
  <c r="U949" i="3"/>
  <c r="P950" i="3"/>
  <c r="K951" i="3"/>
  <c r="S951" i="3"/>
  <c r="N952" i="3"/>
  <c r="V952" i="3"/>
  <c r="Q953" i="3"/>
  <c r="L954" i="3"/>
  <c r="T954" i="3"/>
  <c r="O955" i="3"/>
  <c r="J956" i="3"/>
  <c r="R956" i="3"/>
  <c r="M957" i="3"/>
  <c r="U957" i="3"/>
  <c r="P958" i="3"/>
  <c r="K959" i="3"/>
  <c r="S959" i="3"/>
  <c r="N960" i="3"/>
  <c r="V960" i="3"/>
  <c r="Q961" i="3"/>
  <c r="L962" i="3"/>
  <c r="T962" i="3"/>
  <c r="O963" i="3"/>
  <c r="J964" i="3"/>
  <c r="R964" i="3"/>
  <c r="M965" i="3"/>
  <c r="U965" i="3"/>
  <c r="P966" i="3"/>
  <c r="K967" i="3"/>
  <c r="S967" i="3"/>
  <c r="N968" i="3"/>
  <c r="V968" i="3"/>
  <c r="Q969" i="3"/>
  <c r="L970" i="3"/>
  <c r="T970" i="3"/>
  <c r="O971" i="3"/>
  <c r="J972" i="3"/>
  <c r="R972" i="3"/>
  <c r="M973" i="3"/>
  <c r="U973" i="3"/>
  <c r="P974" i="3"/>
  <c r="K975" i="3"/>
  <c r="S975" i="3"/>
  <c r="N976" i="3"/>
  <c r="V976" i="3"/>
  <c r="Q977" i="3"/>
  <c r="L978" i="3"/>
  <c r="T978" i="3"/>
  <c r="O979" i="3"/>
  <c r="J980" i="3"/>
  <c r="R980" i="3"/>
  <c r="M981" i="3"/>
  <c r="U981" i="3"/>
  <c r="P982" i="3"/>
  <c r="K983" i="3"/>
  <c r="S983" i="3"/>
  <c r="N984" i="3"/>
  <c r="V984" i="3"/>
  <c r="Q985" i="3"/>
  <c r="O403" i="3"/>
  <c r="V507" i="3"/>
  <c r="K558" i="3"/>
  <c r="S584" i="3"/>
  <c r="U610" i="3"/>
  <c r="R633" i="3"/>
  <c r="N651" i="3"/>
  <c r="N664" i="3"/>
  <c r="N674" i="3"/>
  <c r="S681" i="3"/>
  <c r="P687" i="3"/>
  <c r="O692" i="3"/>
  <c r="O695" i="3"/>
  <c r="U696" i="3"/>
  <c r="Q698" i="3"/>
  <c r="N700" i="3"/>
  <c r="T701" i="3"/>
  <c r="P703" i="3"/>
  <c r="M705" i="3"/>
  <c r="S706" i="3"/>
  <c r="O708" i="3"/>
  <c r="L710" i="3"/>
  <c r="R711" i="3"/>
  <c r="N713" i="3"/>
  <c r="K715" i="3"/>
  <c r="Q716" i="3"/>
  <c r="M718" i="3"/>
  <c r="J720" i="3"/>
  <c r="P721" i="3"/>
  <c r="L723" i="3"/>
  <c r="V724" i="3"/>
  <c r="O726" i="3"/>
  <c r="K728" i="3"/>
  <c r="U729" i="3"/>
  <c r="N731" i="3"/>
  <c r="J733" i="3"/>
  <c r="T734" i="3"/>
  <c r="M736" i="3"/>
  <c r="V737" i="3"/>
  <c r="S739" i="3"/>
  <c r="L741" i="3"/>
  <c r="U742" i="3"/>
  <c r="R744" i="3"/>
  <c r="K746" i="3"/>
  <c r="T747" i="3"/>
  <c r="Q749" i="3"/>
  <c r="J751" i="3"/>
  <c r="S752" i="3"/>
  <c r="P754" i="3"/>
  <c r="V755" i="3"/>
  <c r="R757" i="3"/>
  <c r="O759" i="3"/>
  <c r="U760" i="3"/>
  <c r="Q762" i="3"/>
  <c r="N764" i="3"/>
  <c r="T765" i="3"/>
  <c r="P767" i="3"/>
  <c r="M769" i="3"/>
  <c r="S770" i="3"/>
  <c r="O772" i="3"/>
  <c r="L774" i="3"/>
  <c r="R775" i="3"/>
  <c r="N777" i="3"/>
  <c r="K779" i="3"/>
  <c r="Q780" i="3"/>
  <c r="M782" i="3"/>
  <c r="J784" i="3"/>
  <c r="P785" i="3"/>
  <c r="L787" i="3"/>
  <c r="V788" i="3"/>
  <c r="O790" i="3"/>
  <c r="K792" i="3"/>
  <c r="U793" i="3"/>
  <c r="N795" i="3"/>
  <c r="J797" i="3"/>
  <c r="T798" i="3"/>
  <c r="M800" i="3"/>
  <c r="V801" i="3"/>
  <c r="S803" i="3"/>
  <c r="L805" i="3"/>
  <c r="U806" i="3"/>
  <c r="R808" i="3"/>
  <c r="K810" i="3"/>
  <c r="T811" i="3"/>
  <c r="Q813" i="3"/>
  <c r="J815" i="3"/>
  <c r="S816" i="3"/>
  <c r="P818" i="3"/>
  <c r="V819" i="3"/>
  <c r="R821" i="3"/>
  <c r="O823" i="3"/>
  <c r="U824" i="3"/>
  <c r="Q826" i="3"/>
  <c r="N828" i="3"/>
  <c r="T829" i="3"/>
  <c r="P831" i="3"/>
  <c r="M833" i="3"/>
  <c r="S834" i="3"/>
  <c r="O836" i="3"/>
  <c r="L838" i="3"/>
  <c r="R839" i="3"/>
  <c r="M841" i="3"/>
  <c r="L842" i="3"/>
  <c r="V842" i="3"/>
  <c r="T843" i="3"/>
  <c r="Q844" i="3"/>
  <c r="M845" i="3"/>
  <c r="V845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T916" i="3"/>
  <c r="O917" i="3"/>
  <c r="J918" i="3"/>
  <c r="R918" i="3"/>
  <c r="M919" i="3"/>
  <c r="U919" i="3"/>
  <c r="P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R415" i="3"/>
  <c r="Q521" i="3"/>
  <c r="R561" i="3"/>
  <c r="R587" i="3"/>
  <c r="M614" i="3"/>
  <c r="M636" i="3"/>
  <c r="T652" i="3"/>
  <c r="K666" i="3"/>
  <c r="N675" i="3"/>
  <c r="Q682" i="3"/>
  <c r="K688" i="3"/>
  <c r="J693" i="3"/>
  <c r="P695" i="3"/>
  <c r="M697" i="3"/>
  <c r="S698" i="3"/>
  <c r="O700" i="3"/>
  <c r="L702" i="3"/>
  <c r="R703" i="3"/>
  <c r="N705" i="3"/>
  <c r="K707" i="3"/>
  <c r="Q708" i="3"/>
  <c r="M710" i="3"/>
  <c r="J712" i="3"/>
  <c r="P713" i="3"/>
  <c r="L715" i="3"/>
  <c r="V716" i="3"/>
  <c r="O718" i="3"/>
  <c r="K720" i="3"/>
  <c r="U721" i="3"/>
  <c r="N723" i="3"/>
  <c r="J725" i="3"/>
  <c r="T726" i="3"/>
  <c r="M728" i="3"/>
  <c r="V729" i="3"/>
  <c r="S731" i="3"/>
  <c r="L733" i="3"/>
  <c r="U734" i="3"/>
  <c r="R736" i="3"/>
  <c r="K738" i="3"/>
  <c r="T739" i="3"/>
  <c r="Q741" i="3"/>
  <c r="J743" i="3"/>
  <c r="S744" i="3"/>
  <c r="P746" i="3"/>
  <c r="V747" i="3"/>
  <c r="R749" i="3"/>
  <c r="O751" i="3"/>
  <c r="U752" i="3"/>
  <c r="Q754" i="3"/>
  <c r="N756" i="3"/>
  <c r="T757" i="3"/>
  <c r="P759" i="3"/>
  <c r="M761" i="3"/>
  <c r="S762" i="3"/>
  <c r="O764" i="3"/>
  <c r="L766" i="3"/>
  <c r="R767" i="3"/>
  <c r="N769" i="3"/>
  <c r="K771" i="3"/>
  <c r="Q772" i="3"/>
  <c r="M774" i="3"/>
  <c r="J776" i="3"/>
  <c r="P777" i="3"/>
  <c r="L779" i="3"/>
  <c r="V780" i="3"/>
  <c r="O782" i="3"/>
  <c r="K784" i="3"/>
  <c r="U785" i="3"/>
  <c r="N787" i="3"/>
  <c r="J789" i="3"/>
  <c r="T790" i="3"/>
  <c r="M792" i="3"/>
  <c r="V793" i="3"/>
  <c r="S795" i="3"/>
  <c r="L797" i="3"/>
  <c r="U798" i="3"/>
  <c r="R800" i="3"/>
  <c r="K802" i="3"/>
  <c r="T803" i="3"/>
  <c r="Q805" i="3"/>
  <c r="J807" i="3"/>
  <c r="S808" i="3"/>
  <c r="P810" i="3"/>
  <c r="V811" i="3"/>
  <c r="R813" i="3"/>
  <c r="O815" i="3"/>
  <c r="U816" i="3"/>
  <c r="Q818" i="3"/>
  <c r="N820" i="3"/>
  <c r="T821" i="3"/>
  <c r="P823" i="3"/>
  <c r="M825" i="3"/>
  <c r="S826" i="3"/>
  <c r="O828" i="3"/>
  <c r="L830" i="3"/>
  <c r="R831" i="3"/>
  <c r="N833" i="3"/>
  <c r="K835" i="3"/>
  <c r="Q836" i="3"/>
  <c r="M838" i="3"/>
  <c r="J840" i="3"/>
  <c r="N841" i="3"/>
  <c r="M842" i="3"/>
  <c r="K843" i="3"/>
  <c r="V843" i="3"/>
  <c r="R844" i="3"/>
  <c r="N845" i="3"/>
  <c r="J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Q904" i="3"/>
  <c r="L905" i="3"/>
  <c r="T905" i="3"/>
  <c r="O906" i="3"/>
  <c r="J907" i="3"/>
  <c r="R907" i="3"/>
  <c r="M908" i="3"/>
  <c r="U908" i="3"/>
  <c r="P909" i="3"/>
  <c r="K910" i="3"/>
  <c r="S910" i="3"/>
  <c r="N911" i="3"/>
  <c r="V911" i="3"/>
  <c r="Q912" i="3"/>
  <c r="L913" i="3"/>
  <c r="T913" i="3"/>
  <c r="O914" i="3"/>
  <c r="J915" i="3"/>
  <c r="R915" i="3"/>
  <c r="M916" i="3"/>
  <c r="U916" i="3"/>
  <c r="P917" i="3"/>
  <c r="K918" i="3"/>
  <c r="S918" i="3"/>
  <c r="N919" i="3"/>
  <c r="V919" i="3"/>
  <c r="Q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442" i="3"/>
  <c r="V541" i="3"/>
  <c r="V567" i="3"/>
  <c r="Q594" i="3"/>
  <c r="Q620" i="3"/>
  <c r="M641" i="3"/>
  <c r="M656" i="3"/>
  <c r="R668" i="3"/>
  <c r="M677" i="3"/>
  <c r="L684" i="3"/>
  <c r="N689" i="3"/>
  <c r="L694" i="3"/>
  <c r="J696" i="3"/>
  <c r="P697" i="3"/>
  <c r="L699" i="3"/>
  <c r="V700" i="3"/>
  <c r="O702" i="3"/>
  <c r="K704" i="3"/>
  <c r="U705" i="3"/>
  <c r="N707" i="3"/>
  <c r="J709" i="3"/>
  <c r="T710" i="3"/>
  <c r="M712" i="3"/>
  <c r="V713" i="3"/>
  <c r="S715" i="3"/>
  <c r="L717" i="3"/>
  <c r="U718" i="3"/>
  <c r="R720" i="3"/>
  <c r="K722" i="3"/>
  <c r="T723" i="3"/>
  <c r="Q725" i="3"/>
  <c r="J727" i="3"/>
  <c r="S728" i="3"/>
  <c r="P730" i="3"/>
  <c r="V731" i="3"/>
  <c r="R733" i="3"/>
  <c r="O735" i="3"/>
  <c r="U736" i="3"/>
  <c r="Q738" i="3"/>
  <c r="N740" i="3"/>
  <c r="T741" i="3"/>
  <c r="P743" i="3"/>
  <c r="M745" i="3"/>
  <c r="S746" i="3"/>
  <c r="O748" i="3"/>
  <c r="L750" i="3"/>
  <c r="R751" i="3"/>
  <c r="N753" i="3"/>
  <c r="K755" i="3"/>
  <c r="Q756" i="3"/>
  <c r="M758" i="3"/>
  <c r="J760" i="3"/>
  <c r="P761" i="3"/>
  <c r="L763" i="3"/>
  <c r="V764" i="3"/>
  <c r="O766" i="3"/>
  <c r="K768" i="3"/>
  <c r="U769" i="3"/>
  <c r="N771" i="3"/>
  <c r="J773" i="3"/>
  <c r="T774" i="3"/>
  <c r="M776" i="3"/>
  <c r="V777" i="3"/>
  <c r="S779" i="3"/>
  <c r="L781" i="3"/>
  <c r="U782" i="3"/>
  <c r="R784" i="3"/>
  <c r="K786" i="3"/>
  <c r="T787" i="3"/>
  <c r="Q789" i="3"/>
  <c r="J791" i="3"/>
  <c r="S792" i="3"/>
  <c r="P794" i="3"/>
  <c r="V795" i="3"/>
  <c r="R797" i="3"/>
  <c r="O799" i="3"/>
  <c r="U800" i="3"/>
  <c r="Q802" i="3"/>
  <c r="N804" i="3"/>
  <c r="T805" i="3"/>
  <c r="P807" i="3"/>
  <c r="M809" i="3"/>
  <c r="S810" i="3"/>
  <c r="O812" i="3"/>
  <c r="L814" i="3"/>
  <c r="R815" i="3"/>
  <c r="N817" i="3"/>
  <c r="K819" i="3"/>
  <c r="Q820" i="3"/>
  <c r="M822" i="3"/>
  <c r="J824" i="3"/>
  <c r="P825" i="3"/>
  <c r="L827" i="3"/>
  <c r="V828" i="3"/>
  <c r="O830" i="3"/>
  <c r="K832" i="3"/>
  <c r="U833" i="3"/>
  <c r="N835" i="3"/>
  <c r="J837" i="3"/>
  <c r="T838" i="3"/>
  <c r="M840" i="3"/>
  <c r="Q841" i="3"/>
  <c r="P842" i="3"/>
  <c r="N843" i="3"/>
  <c r="K844" i="3"/>
  <c r="T844" i="3"/>
  <c r="P845" i="3"/>
  <c r="L846" i="3"/>
  <c r="U846" i="3"/>
  <c r="P847" i="3"/>
  <c r="K848" i="3"/>
  <c r="S848" i="3"/>
  <c r="N849" i="3"/>
  <c r="V849" i="3"/>
  <c r="Q850" i="3"/>
  <c r="L851" i="3"/>
  <c r="T851" i="3"/>
  <c r="O852" i="3"/>
  <c r="J853" i="3"/>
  <c r="R853" i="3"/>
  <c r="M854" i="3"/>
  <c r="U854" i="3"/>
  <c r="P855" i="3"/>
  <c r="K856" i="3"/>
  <c r="S856" i="3"/>
  <c r="N857" i="3"/>
  <c r="V857" i="3"/>
  <c r="Q858" i="3"/>
  <c r="L859" i="3"/>
  <c r="T859" i="3"/>
  <c r="O860" i="3"/>
  <c r="J861" i="3"/>
  <c r="R861" i="3"/>
  <c r="M862" i="3"/>
  <c r="U862" i="3"/>
  <c r="P863" i="3"/>
  <c r="K864" i="3"/>
  <c r="S864" i="3"/>
  <c r="N865" i="3"/>
  <c r="V865" i="3"/>
  <c r="Q866" i="3"/>
  <c r="L867" i="3"/>
  <c r="T867" i="3"/>
  <c r="O868" i="3"/>
  <c r="J869" i="3"/>
  <c r="R869" i="3"/>
  <c r="M870" i="3"/>
  <c r="U870" i="3"/>
  <c r="P871" i="3"/>
  <c r="K872" i="3"/>
  <c r="S872" i="3"/>
  <c r="N873" i="3"/>
  <c r="V873" i="3"/>
  <c r="Q874" i="3"/>
  <c r="L875" i="3"/>
  <c r="T875" i="3"/>
  <c r="O876" i="3"/>
  <c r="J877" i="3"/>
  <c r="R877" i="3"/>
  <c r="M878" i="3"/>
  <c r="U878" i="3"/>
  <c r="P879" i="3"/>
  <c r="K880" i="3"/>
  <c r="S880" i="3"/>
  <c r="N881" i="3"/>
  <c r="V881" i="3"/>
  <c r="Q882" i="3"/>
  <c r="L883" i="3"/>
  <c r="T883" i="3"/>
  <c r="O884" i="3"/>
  <c r="J885" i="3"/>
  <c r="R885" i="3"/>
  <c r="M886" i="3"/>
  <c r="U886" i="3"/>
  <c r="P887" i="3"/>
  <c r="K888" i="3"/>
  <c r="S888" i="3"/>
  <c r="N889" i="3"/>
  <c r="V889" i="3"/>
  <c r="Q890" i="3"/>
  <c r="L891" i="3"/>
  <c r="T891" i="3"/>
  <c r="O892" i="3"/>
  <c r="J893" i="3"/>
  <c r="R893" i="3"/>
  <c r="M894" i="3"/>
  <c r="U894" i="3"/>
  <c r="P895" i="3"/>
  <c r="K896" i="3"/>
  <c r="S896" i="3"/>
  <c r="N897" i="3"/>
  <c r="V897" i="3"/>
  <c r="Q898" i="3"/>
  <c r="L899" i="3"/>
  <c r="T899" i="3"/>
  <c r="O900" i="3"/>
  <c r="J901" i="3"/>
  <c r="R901" i="3"/>
  <c r="M902" i="3"/>
  <c r="U902" i="3"/>
  <c r="P903" i="3"/>
  <c r="K904" i="3"/>
  <c r="S904" i="3"/>
  <c r="N905" i="3"/>
  <c r="V905" i="3"/>
  <c r="Q906" i="3"/>
  <c r="L907" i="3"/>
  <c r="T907" i="3"/>
  <c r="O908" i="3"/>
  <c r="J909" i="3"/>
  <c r="R909" i="3"/>
  <c r="M910" i="3"/>
  <c r="U910" i="3"/>
  <c r="P911" i="3"/>
  <c r="K912" i="3"/>
  <c r="S912" i="3"/>
  <c r="N913" i="3"/>
  <c r="V913" i="3"/>
  <c r="Q914" i="3"/>
  <c r="L915" i="3"/>
  <c r="T915" i="3"/>
  <c r="O916" i="3"/>
  <c r="J917" i="3"/>
  <c r="R917" i="3"/>
  <c r="M918" i="3"/>
  <c r="U918" i="3"/>
  <c r="P919" i="3"/>
  <c r="K920" i="3"/>
  <c r="S920" i="3"/>
  <c r="N921" i="3"/>
  <c r="V921" i="3"/>
  <c r="Q922" i="3"/>
  <c r="L923" i="3"/>
  <c r="T923" i="3"/>
  <c r="O924" i="3"/>
  <c r="J925" i="3"/>
  <c r="R925" i="3"/>
  <c r="M926" i="3"/>
  <c r="U926" i="3"/>
  <c r="P927" i="3"/>
  <c r="K928" i="3"/>
  <c r="S928" i="3"/>
  <c r="N929" i="3"/>
  <c r="V929" i="3"/>
  <c r="Q930" i="3"/>
  <c r="L931" i="3"/>
  <c r="T931" i="3"/>
  <c r="O932" i="3"/>
  <c r="J933" i="3"/>
  <c r="R933" i="3"/>
  <c r="M934" i="3"/>
  <c r="U934" i="3"/>
  <c r="P935" i="3"/>
  <c r="K936" i="3"/>
  <c r="S936" i="3"/>
  <c r="N937" i="3"/>
  <c r="V937" i="3"/>
  <c r="Q938" i="3"/>
  <c r="L939" i="3"/>
  <c r="T939" i="3"/>
  <c r="O940" i="3"/>
  <c r="J941" i="3"/>
  <c r="R941" i="3"/>
  <c r="M942" i="3"/>
  <c r="U942" i="3"/>
  <c r="P943" i="3"/>
  <c r="K944" i="3"/>
  <c r="S944" i="3"/>
  <c r="N945" i="3"/>
  <c r="V945" i="3"/>
  <c r="Q946" i="3"/>
  <c r="L947" i="3"/>
  <c r="T947" i="3"/>
  <c r="O948" i="3"/>
  <c r="J949" i="3"/>
  <c r="R949" i="3"/>
  <c r="M950" i="3"/>
  <c r="U950" i="3"/>
  <c r="P951" i="3"/>
  <c r="K952" i="3"/>
  <c r="S952" i="3"/>
  <c r="N953" i="3"/>
  <c r="V953" i="3"/>
  <c r="Q954" i="3"/>
  <c r="L955" i="3"/>
  <c r="T955" i="3"/>
  <c r="O956" i="3"/>
  <c r="J957" i="3"/>
  <c r="R957" i="3"/>
  <c r="M958" i="3"/>
  <c r="U958" i="3"/>
  <c r="P959" i="3"/>
  <c r="K960" i="3"/>
  <c r="S960" i="3"/>
  <c r="N961" i="3"/>
  <c r="V961" i="3"/>
  <c r="Q962" i="3"/>
  <c r="L963" i="3"/>
  <c r="T963" i="3"/>
  <c r="O964" i="3"/>
  <c r="J965" i="3"/>
  <c r="R965" i="3"/>
  <c r="M966" i="3"/>
  <c r="U966" i="3"/>
  <c r="P967" i="3"/>
  <c r="K968" i="3"/>
  <c r="S968" i="3"/>
  <c r="N969" i="3"/>
  <c r="V969" i="3"/>
  <c r="Q970" i="3"/>
  <c r="L971" i="3"/>
  <c r="T971" i="3"/>
  <c r="O972" i="3"/>
  <c r="J973" i="3"/>
  <c r="R973" i="3"/>
  <c r="M974" i="3"/>
  <c r="U974" i="3"/>
  <c r="P975" i="3"/>
  <c r="K976" i="3"/>
  <c r="S976" i="3"/>
  <c r="N977" i="3"/>
  <c r="V977" i="3"/>
  <c r="Q978" i="3"/>
  <c r="L979" i="3"/>
  <c r="T979" i="3"/>
  <c r="O980" i="3"/>
  <c r="J981" i="3"/>
  <c r="R981" i="3"/>
  <c r="M982" i="3"/>
  <c r="U982" i="3"/>
  <c r="P983" i="3"/>
  <c r="K984" i="3"/>
  <c r="S984" i="3"/>
  <c r="N985" i="3"/>
  <c r="V985" i="3"/>
  <c r="Q986" i="3"/>
  <c r="L987" i="3"/>
  <c r="T987" i="3"/>
  <c r="O988" i="3"/>
  <c r="J989" i="3"/>
  <c r="R989" i="3"/>
  <c r="Q468" i="3"/>
  <c r="M548" i="3"/>
  <c r="U574" i="3"/>
  <c r="J601" i="3"/>
  <c r="S625" i="3"/>
  <c r="V645" i="3"/>
  <c r="O659" i="3"/>
  <c r="K671" i="3"/>
  <c r="M679" i="3"/>
  <c r="R685" i="3"/>
  <c r="Q690" i="3"/>
  <c r="T694" i="3"/>
  <c r="M696" i="3"/>
  <c r="V697" i="3"/>
  <c r="S699" i="3"/>
  <c r="L701" i="3"/>
  <c r="U702" i="3"/>
  <c r="R704" i="3"/>
  <c r="K706" i="3"/>
  <c r="T707" i="3"/>
  <c r="Q709" i="3"/>
  <c r="J711" i="3"/>
  <c r="S712" i="3"/>
  <c r="P714" i="3"/>
  <c r="V715" i="3"/>
  <c r="R717" i="3"/>
  <c r="O719" i="3"/>
  <c r="U720" i="3"/>
  <c r="Q722" i="3"/>
  <c r="N724" i="3"/>
  <c r="T725" i="3"/>
  <c r="P727" i="3"/>
  <c r="M729" i="3"/>
  <c r="S730" i="3"/>
  <c r="O732" i="3"/>
  <c r="L734" i="3"/>
  <c r="R735" i="3"/>
  <c r="N737" i="3"/>
  <c r="K739" i="3"/>
  <c r="Q740" i="3"/>
  <c r="M742" i="3"/>
  <c r="J744" i="3"/>
  <c r="P745" i="3"/>
  <c r="L747" i="3"/>
  <c r="V748" i="3"/>
  <c r="O750" i="3"/>
  <c r="K752" i="3"/>
  <c r="U753" i="3"/>
  <c r="N755" i="3"/>
  <c r="J757" i="3"/>
  <c r="T758" i="3"/>
  <c r="M760" i="3"/>
  <c r="V761" i="3"/>
  <c r="S763" i="3"/>
  <c r="L765" i="3"/>
  <c r="U766" i="3"/>
  <c r="R768" i="3"/>
  <c r="K770" i="3"/>
  <c r="T771" i="3"/>
  <c r="Q773" i="3"/>
  <c r="J775" i="3"/>
  <c r="S776" i="3"/>
  <c r="P778" i="3"/>
  <c r="V779" i="3"/>
  <c r="R781" i="3"/>
  <c r="O783" i="3"/>
  <c r="U784" i="3"/>
  <c r="Q786" i="3"/>
  <c r="N788" i="3"/>
  <c r="T789" i="3"/>
  <c r="P791" i="3"/>
  <c r="M793" i="3"/>
  <c r="S794" i="3"/>
  <c r="O796" i="3"/>
  <c r="L798" i="3"/>
  <c r="R799" i="3"/>
  <c r="N801" i="3"/>
  <c r="K803" i="3"/>
  <c r="Q804" i="3"/>
  <c r="M806" i="3"/>
  <c r="J808" i="3"/>
  <c r="P809" i="3"/>
  <c r="L811" i="3"/>
  <c r="V812" i="3"/>
  <c r="O814" i="3"/>
  <c r="K816" i="3"/>
  <c r="U817" i="3"/>
  <c r="N819" i="3"/>
  <c r="J821" i="3"/>
  <c r="T822" i="3"/>
  <c r="M824" i="3"/>
  <c r="V825" i="3"/>
  <c r="S827" i="3"/>
  <c r="L829" i="3"/>
  <c r="U830" i="3"/>
  <c r="R832" i="3"/>
  <c r="K834" i="3"/>
  <c r="T835" i="3"/>
  <c r="Q837" i="3"/>
  <c r="J839" i="3"/>
  <c r="S840" i="3"/>
  <c r="U841" i="3"/>
  <c r="S842" i="3"/>
  <c r="P843" i="3"/>
  <c r="M844" i="3"/>
  <c r="V844" i="3"/>
  <c r="R845" i="3"/>
  <c r="O846" i="3"/>
  <c r="J847" i="3"/>
  <c r="R847" i="3"/>
  <c r="M848" i="3"/>
  <c r="U848" i="3"/>
  <c r="P849" i="3"/>
  <c r="K850" i="3"/>
  <c r="S850" i="3"/>
  <c r="N851" i="3"/>
  <c r="V851" i="3"/>
  <c r="Q852" i="3"/>
  <c r="L853" i="3"/>
  <c r="T853" i="3"/>
  <c r="O854" i="3"/>
  <c r="J855" i="3"/>
  <c r="R855" i="3"/>
  <c r="M856" i="3"/>
  <c r="U856" i="3"/>
  <c r="P857" i="3"/>
  <c r="K858" i="3"/>
  <c r="S858" i="3"/>
  <c r="N859" i="3"/>
  <c r="V859" i="3"/>
  <c r="Q860" i="3"/>
  <c r="L861" i="3"/>
  <c r="T861" i="3"/>
  <c r="O862" i="3"/>
  <c r="J863" i="3"/>
  <c r="R863" i="3"/>
  <c r="M864" i="3"/>
  <c r="U864" i="3"/>
  <c r="P865" i="3"/>
  <c r="K866" i="3"/>
  <c r="S866" i="3"/>
  <c r="N867" i="3"/>
  <c r="V867" i="3"/>
  <c r="Q868" i="3"/>
  <c r="L869" i="3"/>
  <c r="T869" i="3"/>
  <c r="O870" i="3"/>
  <c r="J871" i="3"/>
  <c r="R871" i="3"/>
  <c r="M872" i="3"/>
  <c r="U872" i="3"/>
  <c r="P873" i="3"/>
  <c r="K874" i="3"/>
  <c r="S874" i="3"/>
  <c r="N875" i="3"/>
  <c r="V875" i="3"/>
  <c r="Q876" i="3"/>
  <c r="L877" i="3"/>
  <c r="T877" i="3"/>
  <c r="O878" i="3"/>
  <c r="J879" i="3"/>
  <c r="R879" i="3"/>
  <c r="L386" i="3"/>
  <c r="P571" i="3"/>
  <c r="L639" i="3"/>
  <c r="O673" i="3"/>
  <c r="V689" i="3"/>
  <c r="N697" i="3"/>
  <c r="R701" i="3"/>
  <c r="V705" i="3"/>
  <c r="O710" i="3"/>
  <c r="S714" i="3"/>
  <c r="J719" i="3"/>
  <c r="S723" i="3"/>
  <c r="J728" i="3"/>
  <c r="N732" i="3"/>
  <c r="S736" i="3"/>
  <c r="J741" i="3"/>
  <c r="N745" i="3"/>
  <c r="T749" i="3"/>
  <c r="K754" i="3"/>
  <c r="O758" i="3"/>
  <c r="K763" i="3"/>
  <c r="O767" i="3"/>
  <c r="S771" i="3"/>
  <c r="K776" i="3"/>
  <c r="O780" i="3"/>
  <c r="S784" i="3"/>
  <c r="L789" i="3"/>
  <c r="P793" i="3"/>
  <c r="T797" i="3"/>
  <c r="P802" i="3"/>
  <c r="T806" i="3"/>
  <c r="K811" i="3"/>
  <c r="P815" i="3"/>
  <c r="T819" i="3"/>
  <c r="K824" i="3"/>
  <c r="Q828" i="3"/>
  <c r="U832" i="3"/>
  <c r="L837" i="3"/>
  <c r="P841" i="3"/>
  <c r="S843" i="3"/>
  <c r="Q845" i="3"/>
  <c r="O847" i="3"/>
  <c r="J849" i="3"/>
  <c r="R850" i="3"/>
  <c r="N852" i="3"/>
  <c r="V853" i="3"/>
  <c r="Q855" i="3"/>
  <c r="M857" i="3"/>
  <c r="U858" i="3"/>
  <c r="P860" i="3"/>
  <c r="L862" i="3"/>
  <c r="T863" i="3"/>
  <c r="O865" i="3"/>
  <c r="K867" i="3"/>
  <c r="S868" i="3"/>
  <c r="N870" i="3"/>
  <c r="J872" i="3"/>
  <c r="R873" i="3"/>
  <c r="M875" i="3"/>
  <c r="V876" i="3"/>
  <c r="Q878" i="3"/>
  <c r="L880" i="3"/>
  <c r="O881" i="3"/>
  <c r="R882" i="3"/>
  <c r="U883" i="3"/>
  <c r="K885" i="3"/>
  <c r="N886" i="3"/>
  <c r="Q887" i="3"/>
  <c r="T888" i="3"/>
  <c r="J890" i="3"/>
  <c r="M891" i="3"/>
  <c r="P892" i="3"/>
  <c r="S893" i="3"/>
  <c r="V894" i="3"/>
  <c r="L896" i="3"/>
  <c r="O897" i="3"/>
  <c r="R898" i="3"/>
  <c r="U899" i="3"/>
  <c r="K901" i="3"/>
  <c r="N902" i="3"/>
  <c r="Q903" i="3"/>
  <c r="T904" i="3"/>
  <c r="J906" i="3"/>
  <c r="M907" i="3"/>
  <c r="P908" i="3"/>
  <c r="S909" i="3"/>
  <c r="V910" i="3"/>
  <c r="L912" i="3"/>
  <c r="O913" i="3"/>
  <c r="R914" i="3"/>
  <c r="U915" i="3"/>
  <c r="K917" i="3"/>
  <c r="N918" i="3"/>
  <c r="Q919" i="3"/>
  <c r="T920" i="3"/>
  <c r="J922" i="3"/>
  <c r="M923" i="3"/>
  <c r="P924" i="3"/>
  <c r="S925" i="3"/>
  <c r="V926" i="3"/>
  <c r="L928" i="3"/>
  <c r="O929" i="3"/>
  <c r="R930" i="3"/>
  <c r="U931" i="3"/>
  <c r="K933" i="3"/>
  <c r="N934" i="3"/>
  <c r="Q935" i="3"/>
  <c r="T936" i="3"/>
  <c r="J938" i="3"/>
  <c r="M939" i="3"/>
  <c r="P940" i="3"/>
  <c r="S941" i="3"/>
  <c r="V942" i="3"/>
  <c r="L944" i="3"/>
  <c r="O945" i="3"/>
  <c r="R946" i="3"/>
  <c r="U947" i="3"/>
  <c r="K949" i="3"/>
  <c r="N950" i="3"/>
  <c r="Q951" i="3"/>
  <c r="T952" i="3"/>
  <c r="J954" i="3"/>
  <c r="M955" i="3"/>
  <c r="P956" i="3"/>
  <c r="S957" i="3"/>
  <c r="V958" i="3"/>
  <c r="L960" i="3"/>
  <c r="O961" i="3"/>
  <c r="R962" i="3"/>
  <c r="U963" i="3"/>
  <c r="K965" i="3"/>
  <c r="N966" i="3"/>
  <c r="Q967" i="3"/>
  <c r="T968" i="3"/>
  <c r="J970" i="3"/>
  <c r="M971" i="3"/>
  <c r="P972" i="3"/>
  <c r="S973" i="3"/>
  <c r="V974" i="3"/>
  <c r="L976" i="3"/>
  <c r="O977" i="3"/>
  <c r="R978" i="3"/>
  <c r="U979" i="3"/>
  <c r="K981" i="3"/>
  <c r="N982" i="3"/>
  <c r="Q983" i="3"/>
  <c r="T984" i="3"/>
  <c r="J986" i="3"/>
  <c r="U986" i="3"/>
  <c r="V987" i="3"/>
  <c r="V988" i="3"/>
  <c r="U989" i="3"/>
  <c r="T990" i="3"/>
  <c r="Q991" i="3"/>
  <c r="N992" i="3"/>
  <c r="M993" i="3"/>
  <c r="V993" i="3"/>
  <c r="Q994" i="3"/>
  <c r="L995" i="3"/>
  <c r="T995" i="3"/>
  <c r="O996" i="3"/>
  <c r="J997" i="3"/>
  <c r="R997" i="3"/>
  <c r="M998" i="3"/>
  <c r="U998" i="3"/>
  <c r="P999" i="3"/>
  <c r="K1000" i="3"/>
  <c r="S1000" i="3"/>
  <c r="S657" i="3"/>
  <c r="U939" i="3"/>
  <c r="V982" i="3"/>
  <c r="K996" i="3"/>
  <c r="O1000" i="3"/>
  <c r="Q1000" i="3"/>
  <c r="J565" i="3"/>
  <c r="P705" i="3"/>
  <c r="K714" i="3"/>
  <c r="K723" i="3"/>
  <c r="O740" i="3"/>
  <c r="L758" i="3"/>
  <c r="P775" i="3"/>
  <c r="U792" i="3"/>
  <c r="Q810" i="3"/>
  <c r="M832" i="3"/>
  <c r="O845" i="3"/>
  <c r="O855" i="3"/>
  <c r="V861" i="3"/>
  <c r="P868" i="3"/>
  <c r="K875" i="3"/>
  <c r="J880" i="3"/>
  <c r="V884" i="3"/>
  <c r="K891" i="3"/>
  <c r="J896" i="3"/>
  <c r="V900" i="3"/>
  <c r="R904" i="3"/>
  <c r="T910" i="3"/>
  <c r="S915" i="3"/>
  <c r="R920" i="3"/>
  <c r="Q925" i="3"/>
  <c r="P930" i="3"/>
  <c r="R936" i="3"/>
  <c r="T942" i="3"/>
  <c r="V948" i="3"/>
  <c r="U953" i="3"/>
  <c r="J960" i="3"/>
  <c r="L966" i="3"/>
  <c r="J976" i="3"/>
  <c r="O983" i="3"/>
  <c r="U987" i="3"/>
  <c r="M992" i="3"/>
  <c r="K995" i="3"/>
  <c r="Q997" i="3"/>
  <c r="R1000" i="3"/>
  <c r="L429" i="3"/>
  <c r="N581" i="3"/>
  <c r="Q643" i="3"/>
  <c r="N676" i="3"/>
  <c r="T691" i="3"/>
  <c r="U697" i="3"/>
  <c r="M702" i="3"/>
  <c r="Q706" i="3"/>
  <c r="U710" i="3"/>
  <c r="N715" i="3"/>
  <c r="R719" i="3"/>
  <c r="V723" i="3"/>
  <c r="R728" i="3"/>
  <c r="V732" i="3"/>
  <c r="M737" i="3"/>
  <c r="R741" i="3"/>
  <c r="V745" i="3"/>
  <c r="M750" i="3"/>
  <c r="S754" i="3"/>
  <c r="J759" i="3"/>
  <c r="N763" i="3"/>
  <c r="J768" i="3"/>
  <c r="N772" i="3"/>
  <c r="R776" i="3"/>
  <c r="J781" i="3"/>
  <c r="N785" i="3"/>
  <c r="R789" i="3"/>
  <c r="K794" i="3"/>
  <c r="O798" i="3"/>
  <c r="S802" i="3"/>
  <c r="O807" i="3"/>
  <c r="S811" i="3"/>
  <c r="J816" i="3"/>
  <c r="O820" i="3"/>
  <c r="S824" i="3"/>
  <c r="J829" i="3"/>
  <c r="P833" i="3"/>
  <c r="T837" i="3"/>
  <c r="S841" i="3"/>
  <c r="J844" i="3"/>
  <c r="U845" i="3"/>
  <c r="Q847" i="3"/>
  <c r="M849" i="3"/>
  <c r="U850" i="3"/>
  <c r="P852" i="3"/>
  <c r="L854" i="3"/>
  <c r="T855" i="3"/>
  <c r="O857" i="3"/>
  <c r="K859" i="3"/>
  <c r="S860" i="3"/>
  <c r="N862" i="3"/>
  <c r="J864" i="3"/>
  <c r="R865" i="3"/>
  <c r="M867" i="3"/>
  <c r="V868" i="3"/>
  <c r="Q870" i="3"/>
  <c r="L872" i="3"/>
  <c r="U873" i="3"/>
  <c r="P875" i="3"/>
  <c r="K877" i="3"/>
  <c r="T878" i="3"/>
  <c r="M880" i="3"/>
  <c r="P881" i="3"/>
  <c r="S882" i="3"/>
  <c r="V883" i="3"/>
  <c r="L885" i="3"/>
  <c r="O886" i="3"/>
  <c r="R887" i="3"/>
  <c r="U888" i="3"/>
  <c r="K890" i="3"/>
  <c r="N891" i="3"/>
  <c r="Q892" i="3"/>
  <c r="T893" i="3"/>
  <c r="J895" i="3"/>
  <c r="M896" i="3"/>
  <c r="P897" i="3"/>
  <c r="S898" i="3"/>
  <c r="V899" i="3"/>
  <c r="L901" i="3"/>
  <c r="O902" i="3"/>
  <c r="R903" i="3"/>
  <c r="U904" i="3"/>
  <c r="K906" i="3"/>
  <c r="N907" i="3"/>
  <c r="Q908" i="3"/>
  <c r="T909" i="3"/>
  <c r="J911" i="3"/>
  <c r="M912" i="3"/>
  <c r="P913" i="3"/>
  <c r="S914" i="3"/>
  <c r="V915" i="3"/>
  <c r="L917" i="3"/>
  <c r="O918" i="3"/>
  <c r="R919" i="3"/>
  <c r="U920" i="3"/>
  <c r="K922" i="3"/>
  <c r="N923" i="3"/>
  <c r="Q924" i="3"/>
  <c r="T925" i="3"/>
  <c r="J927" i="3"/>
  <c r="M928" i="3"/>
  <c r="P929" i="3"/>
  <c r="S930" i="3"/>
  <c r="V931" i="3"/>
  <c r="L933" i="3"/>
  <c r="O934" i="3"/>
  <c r="R935" i="3"/>
  <c r="U936" i="3"/>
  <c r="K938" i="3"/>
  <c r="N939" i="3"/>
  <c r="Q940" i="3"/>
  <c r="T941" i="3"/>
  <c r="J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U984" i="3"/>
  <c r="K986" i="3"/>
  <c r="K987" i="3"/>
  <c r="J988" i="3"/>
  <c r="K989" i="3"/>
  <c r="V989" i="3"/>
  <c r="U990" i="3"/>
  <c r="R991" i="3"/>
  <c r="O992" i="3"/>
  <c r="N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S696" i="3"/>
  <c r="N972" i="3"/>
  <c r="J455" i="3"/>
  <c r="L591" i="3"/>
  <c r="Q649" i="3"/>
  <c r="N678" i="3"/>
  <c r="R693" i="3"/>
  <c r="P698" i="3"/>
  <c r="T702" i="3"/>
  <c r="L707" i="3"/>
  <c r="P711" i="3"/>
  <c r="T715" i="3"/>
  <c r="M720" i="3"/>
  <c r="Q724" i="3"/>
  <c r="U728" i="3"/>
  <c r="Q733" i="3"/>
  <c r="U737" i="3"/>
  <c r="L742" i="3"/>
  <c r="Q746" i="3"/>
  <c r="U750" i="3"/>
  <c r="L755" i="3"/>
  <c r="R759" i="3"/>
  <c r="V763" i="3"/>
  <c r="M768" i="3"/>
  <c r="V772" i="3"/>
  <c r="M777" i="3"/>
  <c r="Q781" i="3"/>
  <c r="V785" i="3"/>
  <c r="M790" i="3"/>
  <c r="Q794" i="3"/>
  <c r="J799" i="3"/>
  <c r="N803" i="3"/>
  <c r="R807" i="3"/>
  <c r="N812" i="3"/>
  <c r="R816" i="3"/>
  <c r="V820" i="3"/>
  <c r="N825" i="3"/>
  <c r="R829" i="3"/>
  <c r="V833" i="3"/>
  <c r="O838" i="3"/>
  <c r="K842" i="3"/>
  <c r="L844" i="3"/>
  <c r="K846" i="3"/>
  <c r="T847" i="3"/>
  <c r="O849" i="3"/>
  <c r="K851" i="3"/>
  <c r="S852" i="3"/>
  <c r="N854" i="3"/>
  <c r="J856" i="3"/>
  <c r="R857" i="3"/>
  <c r="M859" i="3"/>
  <c r="V860" i="3"/>
  <c r="Q862" i="3"/>
  <c r="L864" i="3"/>
  <c r="U865" i="3"/>
  <c r="P867" i="3"/>
  <c r="K869" i="3"/>
  <c r="T870" i="3"/>
  <c r="O872" i="3"/>
  <c r="J874" i="3"/>
  <c r="S875" i="3"/>
  <c r="N877" i="3"/>
  <c r="V878" i="3"/>
  <c r="O880" i="3"/>
  <c r="R881" i="3"/>
  <c r="U882" i="3"/>
  <c r="K884" i="3"/>
  <c r="N885" i="3"/>
  <c r="Q886" i="3"/>
  <c r="T887" i="3"/>
  <c r="J889" i="3"/>
  <c r="M890" i="3"/>
  <c r="P891" i="3"/>
  <c r="S892" i="3"/>
  <c r="V893" i="3"/>
  <c r="L895" i="3"/>
  <c r="O896" i="3"/>
  <c r="R897" i="3"/>
  <c r="U898" i="3"/>
  <c r="K900" i="3"/>
  <c r="N901" i="3"/>
  <c r="Q902" i="3"/>
  <c r="T903" i="3"/>
  <c r="J905" i="3"/>
  <c r="M906" i="3"/>
  <c r="P907" i="3"/>
  <c r="S908" i="3"/>
  <c r="V909" i="3"/>
  <c r="L911" i="3"/>
  <c r="O912" i="3"/>
  <c r="R913" i="3"/>
  <c r="U914" i="3"/>
  <c r="K916" i="3"/>
  <c r="N917" i="3"/>
  <c r="Q918" i="3"/>
  <c r="T919" i="3"/>
  <c r="J921" i="3"/>
  <c r="M922" i="3"/>
  <c r="P923" i="3"/>
  <c r="S924" i="3"/>
  <c r="V925" i="3"/>
  <c r="L927" i="3"/>
  <c r="O928" i="3"/>
  <c r="R929" i="3"/>
  <c r="U930" i="3"/>
  <c r="K932" i="3"/>
  <c r="N933" i="3"/>
  <c r="Q934" i="3"/>
  <c r="T935" i="3"/>
  <c r="J937" i="3"/>
  <c r="M938" i="3"/>
  <c r="P939" i="3"/>
  <c r="S940" i="3"/>
  <c r="V941" i="3"/>
  <c r="L943" i="3"/>
  <c r="O944" i="3"/>
  <c r="R945" i="3"/>
  <c r="U946" i="3"/>
  <c r="K948" i="3"/>
  <c r="N949" i="3"/>
  <c r="Q950" i="3"/>
  <c r="T951" i="3"/>
  <c r="J953" i="3"/>
  <c r="M954" i="3"/>
  <c r="P955" i="3"/>
  <c r="S956" i="3"/>
  <c r="V957" i="3"/>
  <c r="L959" i="3"/>
  <c r="O960" i="3"/>
  <c r="R961" i="3"/>
  <c r="U962" i="3"/>
  <c r="K964" i="3"/>
  <c r="N965" i="3"/>
  <c r="Q966" i="3"/>
  <c r="T967" i="3"/>
  <c r="J969" i="3"/>
  <c r="M970" i="3"/>
  <c r="P971" i="3"/>
  <c r="S972" i="3"/>
  <c r="V973" i="3"/>
  <c r="L975" i="3"/>
  <c r="O976" i="3"/>
  <c r="R977" i="3"/>
  <c r="U978" i="3"/>
  <c r="K980" i="3"/>
  <c r="N981" i="3"/>
  <c r="Q982" i="3"/>
  <c r="T983" i="3"/>
  <c r="J985" i="3"/>
  <c r="L986" i="3"/>
  <c r="M987" i="3"/>
  <c r="K988" i="3"/>
  <c r="L989" i="3"/>
  <c r="L990" i="3"/>
  <c r="V990" i="3"/>
  <c r="S991" i="3"/>
  <c r="R992" i="3"/>
  <c r="O993" i="3"/>
  <c r="K994" i="3"/>
  <c r="S994" i="3"/>
  <c r="N995" i="3"/>
  <c r="V995" i="3"/>
  <c r="Q996" i="3"/>
  <c r="L997" i="3"/>
  <c r="T997" i="3"/>
  <c r="O998" i="3"/>
  <c r="J999" i="3"/>
  <c r="R999" i="3"/>
  <c r="M1000" i="3"/>
  <c r="U1000" i="3"/>
  <c r="N607" i="3"/>
  <c r="N683" i="3"/>
  <c r="J695" i="3"/>
  <c r="N699" i="3"/>
  <c r="J704" i="3"/>
  <c r="N708" i="3"/>
  <c r="R712" i="3"/>
  <c r="J717" i="3"/>
  <c r="N721" i="3"/>
  <c r="R725" i="3"/>
  <c r="K730" i="3"/>
  <c r="O734" i="3"/>
  <c r="S738" i="3"/>
  <c r="O743" i="3"/>
  <c r="S747" i="3"/>
  <c r="J752" i="3"/>
  <c r="O756" i="3"/>
  <c r="S760" i="3"/>
  <c r="J765" i="3"/>
  <c r="P769" i="3"/>
  <c r="T773" i="3"/>
  <c r="K778" i="3"/>
  <c r="T782" i="3"/>
  <c r="K787" i="3"/>
  <c r="O791" i="3"/>
  <c r="T795" i="3"/>
  <c r="K800" i="3"/>
  <c r="O804" i="3"/>
  <c r="U808" i="3"/>
  <c r="L813" i="3"/>
  <c r="P817" i="3"/>
  <c r="L822" i="3"/>
  <c r="P826" i="3"/>
  <c r="T830" i="3"/>
  <c r="L835" i="3"/>
  <c r="P839" i="3"/>
  <c r="Q842" i="3"/>
  <c r="S844" i="3"/>
  <c r="Q846" i="3"/>
  <c r="L848" i="3"/>
  <c r="U849" i="3"/>
  <c r="P851" i="3"/>
  <c r="K853" i="3"/>
  <c r="T854" i="3"/>
  <c r="O856" i="3"/>
  <c r="J858" i="3"/>
  <c r="S859" i="3"/>
  <c r="N861" i="3"/>
  <c r="V862" i="3"/>
  <c r="R864" i="3"/>
  <c r="M866" i="3"/>
  <c r="U867" i="3"/>
  <c r="Q869" i="3"/>
  <c r="L871" i="3"/>
  <c r="T872" i="3"/>
  <c r="P874" i="3"/>
  <c r="K876" i="3"/>
  <c r="S877" i="3"/>
  <c r="O879" i="3"/>
  <c r="T880" i="3"/>
  <c r="J882" i="3"/>
  <c r="M883" i="3"/>
  <c r="P884" i="3"/>
  <c r="S885" i="3"/>
  <c r="V886" i="3"/>
  <c r="L888" i="3"/>
  <c r="O889" i="3"/>
  <c r="R890" i="3"/>
  <c r="U891" i="3"/>
  <c r="K893" i="3"/>
  <c r="N894" i="3"/>
  <c r="Q895" i="3"/>
  <c r="T896" i="3"/>
  <c r="J898" i="3"/>
  <c r="M899" i="3"/>
  <c r="P900" i="3"/>
  <c r="S901" i="3"/>
  <c r="V902" i="3"/>
  <c r="L904" i="3"/>
  <c r="O905" i="3"/>
  <c r="R906" i="3"/>
  <c r="U907" i="3"/>
  <c r="K909" i="3"/>
  <c r="N910" i="3"/>
  <c r="Q911" i="3"/>
  <c r="T912" i="3"/>
  <c r="J914" i="3"/>
  <c r="M915" i="3"/>
  <c r="P916" i="3"/>
  <c r="S917" i="3"/>
  <c r="V918" i="3"/>
  <c r="L920" i="3"/>
  <c r="O921" i="3"/>
  <c r="R922" i="3"/>
  <c r="U923" i="3"/>
  <c r="K925" i="3"/>
  <c r="N926" i="3"/>
  <c r="Q927" i="3"/>
  <c r="T928" i="3"/>
  <c r="J930" i="3"/>
  <c r="M931" i="3"/>
  <c r="P932" i="3"/>
  <c r="S933" i="3"/>
  <c r="V934" i="3"/>
  <c r="L936" i="3"/>
  <c r="R938" i="3"/>
  <c r="K941" i="3"/>
  <c r="N942" i="3"/>
  <c r="Q943" i="3"/>
  <c r="T944" i="3"/>
  <c r="J946" i="3"/>
  <c r="M947" i="3"/>
  <c r="P948" i="3"/>
  <c r="S949" i="3"/>
  <c r="V950" i="3"/>
  <c r="L952" i="3"/>
  <c r="O953" i="3"/>
  <c r="R954" i="3"/>
  <c r="U955" i="3"/>
  <c r="K957" i="3"/>
  <c r="N958" i="3"/>
  <c r="Q959" i="3"/>
  <c r="T960" i="3"/>
  <c r="M963" i="3"/>
  <c r="P964" i="3"/>
  <c r="S965" i="3"/>
  <c r="V966" i="3"/>
  <c r="L968" i="3"/>
  <c r="O969" i="3"/>
  <c r="R970" i="3"/>
  <c r="U971" i="3"/>
  <c r="K973" i="3"/>
  <c r="N974" i="3"/>
  <c r="Q975" i="3"/>
  <c r="T976" i="3"/>
  <c r="J978" i="3"/>
  <c r="M979" i="3"/>
  <c r="P980" i="3"/>
  <c r="L984" i="3"/>
  <c r="O985" i="3"/>
  <c r="P986" i="3"/>
  <c r="O987" i="3"/>
  <c r="P988" i="3"/>
  <c r="N989" i="3"/>
  <c r="N990" i="3"/>
  <c r="K991" i="3"/>
  <c r="J992" i="3"/>
  <c r="T992" i="3"/>
  <c r="Q993" i="3"/>
  <c r="M994" i="3"/>
  <c r="U994" i="3"/>
  <c r="P995" i="3"/>
  <c r="S996" i="3"/>
  <c r="V997" i="3"/>
  <c r="Q998" i="3"/>
  <c r="L999" i="3"/>
  <c r="T999" i="3"/>
  <c r="V999" i="3"/>
  <c r="U669" i="3"/>
  <c r="T731" i="3"/>
  <c r="L749" i="3"/>
  <c r="L771" i="3"/>
  <c r="M784" i="3"/>
  <c r="U801" i="3"/>
  <c r="L819" i="3"/>
  <c r="V836" i="3"/>
  <c r="L847" i="3"/>
  <c r="S853" i="3"/>
  <c r="J857" i="3"/>
  <c r="Q863" i="3"/>
  <c r="L870" i="3"/>
  <c r="S876" i="3"/>
  <c r="S883" i="3"/>
  <c r="R888" i="3"/>
  <c r="N892" i="3"/>
  <c r="P898" i="3"/>
  <c r="L902" i="3"/>
  <c r="Q909" i="3"/>
  <c r="P914" i="3"/>
  <c r="L918" i="3"/>
  <c r="K923" i="3"/>
  <c r="J928" i="3"/>
  <c r="V932" i="3"/>
  <c r="U937" i="3"/>
  <c r="Q941" i="3"/>
  <c r="M945" i="3"/>
  <c r="L950" i="3"/>
  <c r="K955" i="3"/>
  <c r="T958" i="3"/>
  <c r="S963" i="3"/>
  <c r="R968" i="3"/>
  <c r="T974" i="3"/>
  <c r="P978" i="3"/>
  <c r="L982" i="3"/>
  <c r="U985" i="3"/>
  <c r="T989" i="3"/>
  <c r="Q990" i="3"/>
  <c r="P994" i="3"/>
  <c r="V996" i="3"/>
  <c r="L998" i="3"/>
  <c r="J1000" i="3"/>
  <c r="O494" i="3"/>
  <c r="P597" i="3"/>
  <c r="P654" i="3"/>
  <c r="U680" i="3"/>
  <c r="M694" i="3"/>
  <c r="K699" i="3"/>
  <c r="O703" i="3"/>
  <c r="S707" i="3"/>
  <c r="K712" i="3"/>
  <c r="O716" i="3"/>
  <c r="S720" i="3"/>
  <c r="L725" i="3"/>
  <c r="P729" i="3"/>
  <c r="T733" i="3"/>
  <c r="P738" i="3"/>
  <c r="T742" i="3"/>
  <c r="K747" i="3"/>
  <c r="P751" i="3"/>
  <c r="T755" i="3"/>
  <c r="K760" i="3"/>
  <c r="Q764" i="3"/>
  <c r="U768" i="3"/>
  <c r="L773" i="3"/>
  <c r="U777" i="3"/>
  <c r="L782" i="3"/>
  <c r="P786" i="3"/>
  <c r="U790" i="3"/>
  <c r="L795" i="3"/>
  <c r="P799" i="3"/>
  <c r="V803" i="3"/>
  <c r="M808" i="3"/>
  <c r="Q812" i="3"/>
  <c r="M817" i="3"/>
  <c r="Q821" i="3"/>
  <c r="U825" i="3"/>
  <c r="M830" i="3"/>
  <c r="Q834" i="3"/>
  <c r="U838" i="3"/>
  <c r="N842" i="3"/>
  <c r="O844" i="3"/>
  <c r="M846" i="3"/>
  <c r="J848" i="3"/>
  <c r="R849" i="3"/>
  <c r="M851" i="3"/>
  <c r="V852" i="3"/>
  <c r="Q854" i="3"/>
  <c r="L856" i="3"/>
  <c r="U857" i="3"/>
  <c r="P859" i="3"/>
  <c r="K861" i="3"/>
  <c r="T862" i="3"/>
  <c r="O864" i="3"/>
  <c r="J866" i="3"/>
  <c r="S867" i="3"/>
  <c r="N869" i="3"/>
  <c r="V870" i="3"/>
  <c r="R872" i="3"/>
  <c r="M874" i="3"/>
  <c r="U875" i="3"/>
  <c r="Q877" i="3"/>
  <c r="L879" i="3"/>
  <c r="R880" i="3"/>
  <c r="U881" i="3"/>
  <c r="K883" i="3"/>
  <c r="N884" i="3"/>
  <c r="Q885" i="3"/>
  <c r="T886" i="3"/>
  <c r="J888" i="3"/>
  <c r="M889" i="3"/>
  <c r="P890" i="3"/>
  <c r="S891" i="3"/>
  <c r="V892" i="3"/>
  <c r="L894" i="3"/>
  <c r="O895" i="3"/>
  <c r="R896" i="3"/>
  <c r="U897" i="3"/>
  <c r="K899" i="3"/>
  <c r="N900" i="3"/>
  <c r="Q901" i="3"/>
  <c r="T902" i="3"/>
  <c r="J904" i="3"/>
  <c r="M905" i="3"/>
  <c r="P906" i="3"/>
  <c r="S907" i="3"/>
  <c r="V908" i="3"/>
  <c r="L910" i="3"/>
  <c r="O911" i="3"/>
  <c r="R912" i="3"/>
  <c r="U913" i="3"/>
  <c r="K915" i="3"/>
  <c r="N916" i="3"/>
  <c r="Q917" i="3"/>
  <c r="T918" i="3"/>
  <c r="J920" i="3"/>
  <c r="M921" i="3"/>
  <c r="P922" i="3"/>
  <c r="S923" i="3"/>
  <c r="V924" i="3"/>
  <c r="L926" i="3"/>
  <c r="O927" i="3"/>
  <c r="R928" i="3"/>
  <c r="U929" i="3"/>
  <c r="K931" i="3"/>
  <c r="N932" i="3"/>
  <c r="Q933" i="3"/>
  <c r="T934" i="3"/>
  <c r="J936" i="3"/>
  <c r="M937" i="3"/>
  <c r="P938" i="3"/>
  <c r="S939" i="3"/>
  <c r="V940" i="3"/>
  <c r="L942" i="3"/>
  <c r="O943" i="3"/>
  <c r="R944" i="3"/>
  <c r="U945" i="3"/>
  <c r="K947" i="3"/>
  <c r="N948" i="3"/>
  <c r="Q949" i="3"/>
  <c r="T950" i="3"/>
  <c r="J952" i="3"/>
  <c r="M953" i="3"/>
  <c r="P954" i="3"/>
  <c r="S955" i="3"/>
  <c r="V956" i="3"/>
  <c r="L958" i="3"/>
  <c r="O959" i="3"/>
  <c r="R960" i="3"/>
  <c r="U961" i="3"/>
  <c r="K963" i="3"/>
  <c r="N964" i="3"/>
  <c r="Q965" i="3"/>
  <c r="T966" i="3"/>
  <c r="J968" i="3"/>
  <c r="M969" i="3"/>
  <c r="P970" i="3"/>
  <c r="S971" i="3"/>
  <c r="V972" i="3"/>
  <c r="L974" i="3"/>
  <c r="O975" i="3"/>
  <c r="R976" i="3"/>
  <c r="U977" i="3"/>
  <c r="K979" i="3"/>
  <c r="N980" i="3"/>
  <c r="Q981" i="3"/>
  <c r="T982" i="3"/>
  <c r="J984" i="3"/>
  <c r="M985" i="3"/>
  <c r="M986" i="3"/>
  <c r="N987" i="3"/>
  <c r="N988" i="3"/>
  <c r="M989" i="3"/>
  <c r="M990" i="3"/>
  <c r="J991" i="3"/>
  <c r="T991" i="3"/>
  <c r="S992" i="3"/>
  <c r="P993" i="3"/>
  <c r="L994" i="3"/>
  <c r="T994" i="3"/>
  <c r="O995" i="3"/>
  <c r="J996" i="3"/>
  <c r="R996" i="3"/>
  <c r="M997" i="3"/>
  <c r="U997" i="3"/>
  <c r="P998" i="3"/>
  <c r="K999" i="3"/>
  <c r="S999" i="3"/>
  <c r="N1000" i="3"/>
  <c r="V1000" i="3"/>
  <c r="T533" i="3"/>
  <c r="O937" i="3"/>
  <c r="S981" i="3"/>
  <c r="N997" i="3"/>
  <c r="M631" i="3"/>
  <c r="J701" i="3"/>
  <c r="T709" i="3"/>
  <c r="T718" i="3"/>
  <c r="K736" i="3"/>
  <c r="U744" i="3"/>
  <c r="P762" i="3"/>
  <c r="T779" i="3"/>
  <c r="Q797" i="3"/>
  <c r="U814" i="3"/>
  <c r="V827" i="3"/>
  <c r="O843" i="3"/>
  <c r="P850" i="3"/>
  <c r="R858" i="3"/>
  <c r="M865" i="3"/>
  <c r="O873" i="3"/>
  <c r="M881" i="3"/>
  <c r="L886" i="3"/>
  <c r="U889" i="3"/>
  <c r="T894" i="3"/>
  <c r="S899" i="3"/>
  <c r="K907" i="3"/>
  <c r="J912" i="3"/>
  <c r="V916" i="3"/>
  <c r="U921" i="3"/>
  <c r="T926" i="3"/>
  <c r="S931" i="3"/>
  <c r="O935" i="3"/>
  <c r="N940" i="3"/>
  <c r="P946" i="3"/>
  <c r="O951" i="3"/>
  <c r="Q957" i="3"/>
  <c r="P962" i="3"/>
  <c r="O967" i="3"/>
  <c r="M977" i="3"/>
  <c r="V980" i="3"/>
  <c r="T986" i="3"/>
  <c r="P991" i="3"/>
  <c r="S995" i="3"/>
  <c r="T998" i="3"/>
  <c r="J962" i="3"/>
  <c r="U905" i="3"/>
  <c r="K971" i="3"/>
  <c r="U993" i="3"/>
  <c r="N545" i="3"/>
  <c r="L617" i="3"/>
  <c r="R662" i="3"/>
  <c r="J685" i="3"/>
  <c r="R695" i="3"/>
  <c r="V699" i="3"/>
  <c r="M704" i="3"/>
  <c r="V708" i="3"/>
  <c r="M713" i="3"/>
  <c r="Q717" i="3"/>
  <c r="V721" i="3"/>
  <c r="M726" i="3"/>
  <c r="Q730" i="3"/>
  <c r="J735" i="3"/>
  <c r="N739" i="3"/>
  <c r="R743" i="3"/>
  <c r="N748" i="3"/>
  <c r="R752" i="3"/>
  <c r="V756" i="3"/>
  <c r="N761" i="3"/>
  <c r="R765" i="3"/>
  <c r="V769" i="3"/>
  <c r="O774" i="3"/>
  <c r="S778" i="3"/>
  <c r="J783" i="3"/>
  <c r="S787" i="3"/>
  <c r="J792" i="3"/>
  <c r="N796" i="3"/>
  <c r="S800" i="3"/>
  <c r="J805" i="3"/>
  <c r="N809" i="3"/>
  <c r="T813" i="3"/>
  <c r="K818" i="3"/>
  <c r="O822" i="3"/>
  <c r="K827" i="3"/>
  <c r="O831" i="3"/>
  <c r="S835" i="3"/>
  <c r="K840" i="3"/>
  <c r="U842" i="3"/>
  <c r="U844" i="3"/>
  <c r="T846" i="3"/>
  <c r="O848" i="3"/>
  <c r="J850" i="3"/>
  <c r="S851" i="3"/>
  <c r="N853" i="3"/>
  <c r="V854" i="3"/>
  <c r="R856" i="3"/>
  <c r="M858" i="3"/>
  <c r="U859" i="3"/>
  <c r="Q861" i="3"/>
  <c r="L863" i="3"/>
  <c r="T864" i="3"/>
  <c r="P866" i="3"/>
  <c r="K868" i="3"/>
  <c r="S869" i="3"/>
  <c r="O871" i="3"/>
  <c r="J873" i="3"/>
  <c r="R874" i="3"/>
  <c r="N876" i="3"/>
  <c r="V877" i="3"/>
  <c r="Q879" i="3"/>
  <c r="U880" i="3"/>
  <c r="K882" i="3"/>
  <c r="N883" i="3"/>
  <c r="Q884" i="3"/>
  <c r="T885" i="3"/>
  <c r="J887" i="3"/>
  <c r="M888" i="3"/>
  <c r="P889" i="3"/>
  <c r="S890" i="3"/>
  <c r="V891" i="3"/>
  <c r="L893" i="3"/>
  <c r="O894" i="3"/>
  <c r="R895" i="3"/>
  <c r="U896" i="3"/>
  <c r="K898" i="3"/>
  <c r="N899" i="3"/>
  <c r="Q900" i="3"/>
  <c r="T901" i="3"/>
  <c r="J903" i="3"/>
  <c r="M904" i="3"/>
  <c r="P905" i="3"/>
  <c r="S906" i="3"/>
  <c r="V907" i="3"/>
  <c r="L909" i="3"/>
  <c r="O910" i="3"/>
  <c r="R911" i="3"/>
  <c r="U912" i="3"/>
  <c r="K914" i="3"/>
  <c r="N915" i="3"/>
  <c r="Q916" i="3"/>
  <c r="T917" i="3"/>
  <c r="J919" i="3"/>
  <c r="M920" i="3"/>
  <c r="P921" i="3"/>
  <c r="S922" i="3"/>
  <c r="V923" i="3"/>
  <c r="L925" i="3"/>
  <c r="O926" i="3"/>
  <c r="R927" i="3"/>
  <c r="U928" i="3"/>
  <c r="K930" i="3"/>
  <c r="N931" i="3"/>
  <c r="Q932" i="3"/>
  <c r="T933" i="3"/>
  <c r="J935" i="3"/>
  <c r="M936" i="3"/>
  <c r="P937" i="3"/>
  <c r="S938" i="3"/>
  <c r="V939" i="3"/>
  <c r="L941" i="3"/>
  <c r="O942" i="3"/>
  <c r="R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M984" i="3"/>
  <c r="P985" i="3"/>
  <c r="R986" i="3"/>
  <c r="P987" i="3"/>
  <c r="Q988" i="3"/>
  <c r="Q989" i="3"/>
  <c r="O990" i="3"/>
  <c r="L991" i="3"/>
  <c r="K992" i="3"/>
  <c r="U992" i="3"/>
  <c r="R993" i="3"/>
  <c r="N994" i="3"/>
  <c r="V994" i="3"/>
  <c r="Q995" i="3"/>
  <c r="L996" i="3"/>
  <c r="T996" i="3"/>
  <c r="O997" i="3"/>
  <c r="J998" i="3"/>
  <c r="R998" i="3"/>
  <c r="M999" i="3"/>
  <c r="U999" i="3"/>
  <c r="P1000" i="3"/>
  <c r="L555" i="3"/>
  <c r="N623" i="3"/>
  <c r="O667" i="3"/>
  <c r="U686" i="3"/>
  <c r="K696" i="3"/>
  <c r="Q700" i="3"/>
  <c r="U704" i="3"/>
  <c r="L709" i="3"/>
  <c r="U713" i="3"/>
  <c r="L718" i="3"/>
  <c r="P722" i="3"/>
  <c r="U726" i="3"/>
  <c r="L731" i="3"/>
  <c r="P735" i="3"/>
  <c r="V739" i="3"/>
  <c r="M744" i="3"/>
  <c r="Q748" i="3"/>
  <c r="M753" i="3"/>
  <c r="Q757" i="3"/>
  <c r="U761" i="3"/>
  <c r="M766" i="3"/>
  <c r="Q770" i="3"/>
  <c r="U774" i="3"/>
  <c r="N779" i="3"/>
  <c r="R783" i="3"/>
  <c r="V787" i="3"/>
  <c r="R792" i="3"/>
  <c r="V796" i="3"/>
  <c r="M801" i="3"/>
  <c r="R805" i="3"/>
  <c r="V809" i="3"/>
  <c r="M814" i="3"/>
  <c r="S818" i="3"/>
  <c r="J823" i="3"/>
  <c r="N827" i="3"/>
  <c r="J832" i="3"/>
  <c r="N836" i="3"/>
  <c r="R840" i="3"/>
  <c r="L843" i="3"/>
  <c r="L845" i="3"/>
  <c r="V846" i="3"/>
  <c r="R848" i="3"/>
  <c r="M850" i="3"/>
  <c r="U851" i="3"/>
  <c r="Q853" i="3"/>
  <c r="L855" i="3"/>
  <c r="T856" i="3"/>
  <c r="P858" i="3"/>
  <c r="K860" i="3"/>
  <c r="S861" i="3"/>
  <c r="O863" i="3"/>
  <c r="J865" i="3"/>
  <c r="R866" i="3"/>
  <c r="N868" i="3"/>
  <c r="V869" i="3"/>
  <c r="Q871" i="3"/>
  <c r="M873" i="3"/>
  <c r="U874" i="3"/>
  <c r="P876" i="3"/>
  <c r="L878" i="3"/>
  <c r="T879" i="3"/>
  <c r="J881" i="3"/>
  <c r="M882" i="3"/>
  <c r="P883" i="3"/>
  <c r="S884" i="3"/>
  <c r="V885" i="3"/>
  <c r="L887" i="3"/>
  <c r="O888" i="3"/>
  <c r="R889" i="3"/>
  <c r="U890" i="3"/>
  <c r="K892" i="3"/>
  <c r="N893" i="3"/>
  <c r="Q894" i="3"/>
  <c r="T895" i="3"/>
  <c r="J897" i="3"/>
  <c r="M898" i="3"/>
  <c r="P899" i="3"/>
  <c r="S900" i="3"/>
  <c r="V901" i="3"/>
  <c r="L903" i="3"/>
  <c r="O904" i="3"/>
  <c r="R905" i="3"/>
  <c r="U906" i="3"/>
  <c r="K908" i="3"/>
  <c r="N909" i="3"/>
  <c r="Q910" i="3"/>
  <c r="T911" i="3"/>
  <c r="J913" i="3"/>
  <c r="M914" i="3"/>
  <c r="P915" i="3"/>
  <c r="S916" i="3"/>
  <c r="V917" i="3"/>
  <c r="L919" i="3"/>
  <c r="O920" i="3"/>
  <c r="R921" i="3"/>
  <c r="U922" i="3"/>
  <c r="K924" i="3"/>
  <c r="N925" i="3"/>
  <c r="Q926" i="3"/>
  <c r="T927" i="3"/>
  <c r="J929" i="3"/>
  <c r="M930" i="3"/>
  <c r="P931" i="3"/>
  <c r="S932" i="3"/>
  <c r="V933" i="3"/>
  <c r="L935" i="3"/>
  <c r="O936" i="3"/>
  <c r="R937" i="3"/>
  <c r="U938" i="3"/>
  <c r="K940" i="3"/>
  <c r="N941" i="3"/>
  <c r="Q942" i="3"/>
  <c r="J945" i="3"/>
  <c r="M946" i="3"/>
  <c r="P947" i="3"/>
  <c r="S948" i="3"/>
  <c r="V949" i="3"/>
  <c r="L951" i="3"/>
  <c r="O952" i="3"/>
  <c r="R953" i="3"/>
  <c r="U954" i="3"/>
  <c r="K956" i="3"/>
  <c r="N957" i="3"/>
  <c r="Q958" i="3"/>
  <c r="T959" i="3"/>
  <c r="J961" i="3"/>
  <c r="M962" i="3"/>
  <c r="P963" i="3"/>
  <c r="S964" i="3"/>
  <c r="V965" i="3"/>
  <c r="L967" i="3"/>
  <c r="O968" i="3"/>
  <c r="R969" i="3"/>
  <c r="U970" i="3"/>
  <c r="K972" i="3"/>
  <c r="N973" i="3"/>
  <c r="Q974" i="3"/>
  <c r="T975" i="3"/>
  <c r="J977" i="3"/>
  <c r="M978" i="3"/>
  <c r="P979" i="3"/>
  <c r="S980" i="3"/>
  <c r="V981" i="3"/>
  <c r="L983" i="3"/>
  <c r="O984" i="3"/>
  <c r="R985" i="3"/>
  <c r="S986" i="3"/>
  <c r="S987" i="3"/>
  <c r="R988" i="3"/>
  <c r="S989" i="3"/>
  <c r="P990" i="3"/>
  <c r="O991" i="3"/>
  <c r="L992" i="3"/>
  <c r="V992" i="3"/>
  <c r="T993" i="3"/>
  <c r="O994" i="3"/>
  <c r="J995" i="3"/>
  <c r="R995" i="3"/>
  <c r="M996" i="3"/>
  <c r="U996" i="3"/>
  <c r="P997" i="3"/>
  <c r="K998" i="3"/>
  <c r="S998" i="3"/>
  <c r="N999" i="3"/>
  <c r="S688" i="3"/>
  <c r="O727" i="3"/>
  <c r="P753" i="3"/>
  <c r="T766" i="3"/>
  <c r="Q788" i="3"/>
  <c r="L806" i="3"/>
  <c r="R823" i="3"/>
  <c r="K841" i="3"/>
  <c r="T848" i="3"/>
  <c r="K852" i="3"/>
  <c r="N860" i="3"/>
  <c r="U866" i="3"/>
  <c r="T871" i="3"/>
  <c r="N878" i="3"/>
  <c r="P882" i="3"/>
  <c r="O887" i="3"/>
  <c r="Q893" i="3"/>
  <c r="M897" i="3"/>
  <c r="O903" i="3"/>
  <c r="N908" i="3"/>
  <c r="M913" i="3"/>
  <c r="O919" i="3"/>
  <c r="N924" i="3"/>
  <c r="M929" i="3"/>
  <c r="L934" i="3"/>
  <c r="K939" i="3"/>
  <c r="J944" i="3"/>
  <c r="S947" i="3"/>
  <c r="R952" i="3"/>
  <c r="N956" i="3"/>
  <c r="M961" i="3"/>
  <c r="V964" i="3"/>
  <c r="U969" i="3"/>
  <c r="Q973" i="3"/>
  <c r="S979" i="3"/>
  <c r="R984" i="3"/>
  <c r="S988" i="3"/>
  <c r="J993" i="3"/>
  <c r="N996" i="3"/>
  <c r="O999" i="3"/>
  <c r="T943" i="3"/>
  <c r="Y10" i="3" l="1"/>
  <c r="Y18" i="3"/>
  <c r="Y34" i="3"/>
  <c r="Y42" i="3"/>
  <c r="Y7" i="3"/>
  <c r="Y15" i="3"/>
  <c r="Y23" i="3"/>
  <c r="Y31" i="3"/>
  <c r="Y55" i="3"/>
  <c r="Y14" i="3"/>
  <c r="Y22" i="3"/>
  <c r="Y38" i="3"/>
  <c r="Y19" i="3"/>
  <c r="Y27" i="3"/>
  <c r="Y35" i="3"/>
  <c r="Y43" i="3"/>
  <c r="Y8" i="3"/>
  <c r="Y24" i="3"/>
  <c r="Y56" i="3"/>
  <c r="Y70" i="3"/>
  <c r="Y78" i="3"/>
  <c r="Y28" i="3"/>
  <c r="Y64" i="3"/>
  <c r="Y72" i="3"/>
  <c r="Y80" i="3"/>
  <c r="Y96" i="3"/>
  <c r="Y17" i="3"/>
  <c r="Y33" i="3"/>
  <c r="Y49" i="3"/>
  <c r="Y69" i="3"/>
  <c r="Y77" i="3"/>
  <c r="Y85" i="3"/>
  <c r="Y93" i="3"/>
  <c r="Y101" i="3"/>
  <c r="Y16" i="3"/>
  <c r="Y32" i="3"/>
  <c r="Y48" i="3"/>
  <c r="Y54" i="3"/>
  <c r="Y58" i="3"/>
  <c r="Y74" i="3"/>
  <c r="Y20" i="3"/>
  <c r="Y36" i="3"/>
  <c r="I45" i="3" a="1"/>
  <c r="I45" i="3" s="1"/>
  <c r="Y52" i="3"/>
  <c r="Y60" i="3"/>
  <c r="Y68" i="3"/>
  <c r="Y9" i="3"/>
  <c r="Y25" i="3"/>
  <c r="Y41" i="3"/>
  <c r="Y65" i="3"/>
  <c r="Y73" i="3"/>
  <c r="Y81" i="3"/>
  <c r="Y92" i="3"/>
  <c r="Y104" i="3"/>
  <c r="Y128" i="3"/>
  <c r="Y136" i="3"/>
  <c r="Y144" i="3"/>
  <c r="Y37" i="3"/>
  <c r="Y71" i="3"/>
  <c r="Y83" i="3"/>
  <c r="Y97" i="3"/>
  <c r="Y109" i="3"/>
  <c r="Y117" i="3"/>
  <c r="Y125" i="3"/>
  <c r="Y133" i="3"/>
  <c r="Y141" i="3"/>
  <c r="Y149" i="3"/>
  <c r="Y29" i="3"/>
  <c r="Y57" i="3"/>
  <c r="Y90" i="3"/>
  <c r="Y94" i="3"/>
  <c r="Y108" i="3"/>
  <c r="Y116" i="3"/>
  <c r="Y124" i="3"/>
  <c r="Y95" i="3"/>
  <c r="Y105" i="3"/>
  <c r="Y113" i="3"/>
  <c r="Y121" i="3"/>
  <c r="Y129" i="3"/>
  <c r="Y84" i="3"/>
  <c r="Y102" i="3"/>
  <c r="Y106" i="3"/>
  <c r="Y122" i="3"/>
  <c r="Y134" i="3"/>
  <c r="Y152" i="3"/>
  <c r="Y160" i="3"/>
  <c r="Y168" i="3"/>
  <c r="Y176" i="3"/>
  <c r="Y192" i="3"/>
  <c r="Y200" i="3"/>
  <c r="Y208" i="3"/>
  <c r="Y89" i="3"/>
  <c r="Y111" i="3"/>
  <c r="Y135" i="3"/>
  <c r="Y139" i="3"/>
  <c r="Y157" i="3"/>
  <c r="Y165" i="3"/>
  <c r="Y173" i="3"/>
  <c r="Y181" i="3"/>
  <c r="Y189" i="3"/>
  <c r="Y197" i="3"/>
  <c r="Y205" i="3"/>
  <c r="Y13" i="3"/>
  <c r="Y59" i="3"/>
  <c r="Y98" i="3"/>
  <c r="Y114" i="3"/>
  <c r="Y132" i="3"/>
  <c r="Y146" i="3"/>
  <c r="Y156" i="3"/>
  <c r="Y164" i="3"/>
  <c r="Y180" i="3"/>
  <c r="Y188" i="3"/>
  <c r="Y196" i="3"/>
  <c r="Y204" i="3"/>
  <c r="Y53" i="3"/>
  <c r="Y79" i="3"/>
  <c r="Y103" i="3"/>
  <c r="Y119" i="3"/>
  <c r="Y137" i="3"/>
  <c r="Y153" i="3"/>
  <c r="Y177" i="3"/>
  <c r="Y185" i="3"/>
  <c r="Y193" i="3"/>
  <c r="Y201" i="3"/>
  <c r="Y209" i="3"/>
  <c r="R17" i="1"/>
  <c r="Y45" i="3"/>
  <c r="Y100" i="3"/>
  <c r="Y118" i="3"/>
  <c r="Y138" i="3"/>
  <c r="Y126" i="3"/>
  <c r="Y130" i="3"/>
  <c r="Y140" i="3"/>
  <c r="Y162" i="3"/>
  <c r="Y178" i="3"/>
  <c r="Y194" i="3"/>
  <c r="Y210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20" i="3"/>
  <c r="Y336" i="3"/>
  <c r="Y344" i="3"/>
  <c r="Y352" i="3"/>
  <c r="Y360" i="3"/>
  <c r="Y368" i="3"/>
  <c r="Y63" i="3"/>
  <c r="Y91" i="3"/>
  <c r="Y145" i="3"/>
  <c r="Y151" i="3"/>
  <c r="Y167" i="3"/>
  <c r="Y183" i="3"/>
  <c r="Y199" i="3"/>
  <c r="Y213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17" i="3"/>
  <c r="Y333" i="3"/>
  <c r="Y341" i="3"/>
  <c r="Y349" i="3"/>
  <c r="Y357" i="3"/>
  <c r="Y365" i="3"/>
  <c r="Y75" i="3"/>
  <c r="Y86" i="3"/>
  <c r="Y110" i="3"/>
  <c r="Y127" i="3"/>
  <c r="Y154" i="3"/>
  <c r="Y170" i="3"/>
  <c r="Y186" i="3"/>
  <c r="Y202" i="3"/>
  <c r="Y212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16" i="3"/>
  <c r="Y324" i="3"/>
  <c r="Y332" i="3"/>
  <c r="Y340" i="3"/>
  <c r="Y348" i="3"/>
  <c r="Y356" i="3"/>
  <c r="Y364" i="3"/>
  <c r="Y21" i="3"/>
  <c r="Y115" i="3"/>
  <c r="Y131" i="3"/>
  <c r="Y159" i="3"/>
  <c r="Y175" i="3"/>
  <c r="Y191" i="3"/>
  <c r="Y207" i="3"/>
  <c r="Y217" i="3"/>
  <c r="Y225" i="3"/>
  <c r="Y233" i="3"/>
  <c r="Y241" i="3"/>
  <c r="Y249" i="3"/>
  <c r="Y257" i="3"/>
  <c r="Y265" i="3"/>
  <c r="Y273" i="3"/>
  <c r="Y281" i="3"/>
  <c r="Y297" i="3"/>
  <c r="Y305" i="3"/>
  <c r="Y313" i="3"/>
  <c r="Y321" i="3"/>
  <c r="Y329" i="3"/>
  <c r="Y337" i="3"/>
  <c r="Y345" i="3"/>
  <c r="Y361" i="3"/>
  <c r="Y174" i="3"/>
  <c r="Y206" i="3"/>
  <c r="Y222" i="3"/>
  <c r="Y238" i="3"/>
  <c r="Y254" i="3"/>
  <c r="Y270" i="3"/>
  <c r="Y123" i="3"/>
  <c r="Y143" i="3"/>
  <c r="Y179" i="3"/>
  <c r="Y211" i="3"/>
  <c r="Y227" i="3"/>
  <c r="Y243" i="3"/>
  <c r="Y259" i="3"/>
  <c r="Y150" i="3"/>
  <c r="Y182" i="3"/>
  <c r="Y226" i="3"/>
  <c r="Y242" i="3"/>
  <c r="Y258" i="3"/>
  <c r="Y274" i="3"/>
  <c r="Y290" i="3"/>
  <c r="Y306" i="3"/>
  <c r="Y322" i="3"/>
  <c r="Y338" i="3"/>
  <c r="Y354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147" i="3"/>
  <c r="Y155" i="3"/>
  <c r="Y187" i="3"/>
  <c r="Y215" i="3"/>
  <c r="Y231" i="3"/>
  <c r="Y247" i="3"/>
  <c r="Y263" i="3"/>
  <c r="Y279" i="3"/>
  <c r="Y295" i="3"/>
  <c r="Y311" i="3"/>
  <c r="Y327" i="3"/>
  <c r="Y343" i="3"/>
  <c r="Y359" i="3"/>
  <c r="Y373" i="3"/>
  <c r="Y381" i="3"/>
  <c r="Y389" i="3"/>
  <c r="Y397" i="3"/>
  <c r="Y405" i="3"/>
  <c r="Y421" i="3"/>
  <c r="Y437" i="3"/>
  <c r="Y445" i="3"/>
  <c r="Y453" i="3"/>
  <c r="Y107" i="3"/>
  <c r="Y158" i="3"/>
  <c r="Y190" i="3"/>
  <c r="Y214" i="3"/>
  <c r="Y230" i="3"/>
  <c r="Y246" i="3"/>
  <c r="Y262" i="3"/>
  <c r="Y163" i="3"/>
  <c r="Y195" i="3"/>
  <c r="Y219" i="3"/>
  <c r="Y235" i="3"/>
  <c r="Y251" i="3"/>
  <c r="Y267" i="3"/>
  <c r="Y142" i="3"/>
  <c r="Y166" i="3"/>
  <c r="Y198" i="3"/>
  <c r="Y218" i="3"/>
  <c r="Y234" i="3"/>
  <c r="Y250" i="3"/>
  <c r="Y266" i="3"/>
  <c r="Y282" i="3"/>
  <c r="Y298" i="3"/>
  <c r="Y314" i="3"/>
  <c r="Y330" i="3"/>
  <c r="Y346" i="3"/>
  <c r="Y362" i="3"/>
  <c r="Y372" i="3"/>
  <c r="Y380" i="3"/>
  <c r="Y388" i="3"/>
  <c r="Y396" i="3"/>
  <c r="Y404" i="3"/>
  <c r="Y412" i="3"/>
  <c r="Y420" i="3"/>
  <c r="Y428" i="3"/>
  <c r="Y436" i="3"/>
  <c r="Y444" i="3"/>
  <c r="Y452" i="3"/>
  <c r="Y460" i="3"/>
  <c r="Y87" i="3"/>
  <c r="Y171" i="3"/>
  <c r="Y203" i="3"/>
  <c r="Y223" i="3"/>
  <c r="Y239" i="3"/>
  <c r="Y255" i="3"/>
  <c r="Y271" i="3"/>
  <c r="Y287" i="3"/>
  <c r="Y303" i="3"/>
  <c r="Y319" i="3"/>
  <c r="Y335" i="3"/>
  <c r="Y351" i="3"/>
  <c r="Y367" i="3"/>
  <c r="Y369" i="3"/>
  <c r="Y377" i="3"/>
  <c r="Y385" i="3"/>
  <c r="Y393" i="3"/>
  <c r="Y401" i="3"/>
  <c r="Y409" i="3"/>
  <c r="Y417" i="3"/>
  <c r="Y425" i="3"/>
  <c r="Y433" i="3"/>
  <c r="Y441" i="3"/>
  <c r="Y449" i="3"/>
  <c r="Y457" i="3"/>
  <c r="Y465" i="3"/>
  <c r="Y286" i="3"/>
  <c r="Y318" i="3"/>
  <c r="Y350" i="3"/>
  <c r="Y374" i="3"/>
  <c r="Y390" i="3"/>
  <c r="Y406" i="3"/>
  <c r="Y422" i="3"/>
  <c r="Y438" i="3"/>
  <c r="Y454" i="3"/>
  <c r="Y479" i="3"/>
  <c r="Y487" i="3"/>
  <c r="Y291" i="3"/>
  <c r="Y323" i="3"/>
  <c r="Y355" i="3"/>
  <c r="Y379" i="3"/>
  <c r="Y395" i="3"/>
  <c r="Y411" i="3"/>
  <c r="Y427" i="3"/>
  <c r="Y443" i="3"/>
  <c r="Y476" i="3"/>
  <c r="Y484" i="3"/>
  <c r="Y492" i="3"/>
  <c r="Y294" i="3"/>
  <c r="Y326" i="3"/>
  <c r="Y358" i="3"/>
  <c r="Y378" i="3"/>
  <c r="Y394" i="3"/>
  <c r="Y410" i="3"/>
  <c r="Y426" i="3"/>
  <c r="Y442" i="3"/>
  <c r="Y458" i="3"/>
  <c r="Y459" i="3"/>
  <c r="Y461" i="3"/>
  <c r="Y462" i="3"/>
  <c r="Y471" i="3"/>
  <c r="Y473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299" i="3"/>
  <c r="Y331" i="3"/>
  <c r="Y363" i="3"/>
  <c r="Y383" i="3"/>
  <c r="Y399" i="3"/>
  <c r="Y415" i="3"/>
  <c r="Y431" i="3"/>
  <c r="Y463" i="3"/>
  <c r="Y466" i="3"/>
  <c r="Y467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302" i="3"/>
  <c r="Y334" i="3"/>
  <c r="Y366" i="3"/>
  <c r="Y382" i="3"/>
  <c r="Y398" i="3"/>
  <c r="Y414" i="3"/>
  <c r="Y430" i="3"/>
  <c r="Y446" i="3"/>
  <c r="Y468" i="3"/>
  <c r="Y475" i="3"/>
  <c r="Y483" i="3"/>
  <c r="Y491" i="3"/>
  <c r="Y275" i="3"/>
  <c r="Y307" i="3"/>
  <c r="Y339" i="3"/>
  <c r="Y371" i="3"/>
  <c r="Y387" i="3"/>
  <c r="Y403" i="3"/>
  <c r="Y419" i="3"/>
  <c r="Y435" i="3"/>
  <c r="Y451" i="3"/>
  <c r="Y469" i="3"/>
  <c r="Y472" i="3"/>
  <c r="Y480" i="3"/>
  <c r="Y488" i="3"/>
  <c r="Y496" i="3"/>
  <c r="Y278" i="3"/>
  <c r="Y310" i="3"/>
  <c r="Y342" i="3"/>
  <c r="Y370" i="3"/>
  <c r="Y386" i="3"/>
  <c r="Y402" i="3"/>
  <c r="Y418" i="3"/>
  <c r="Y434" i="3"/>
  <c r="Y450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283" i="3"/>
  <c r="Y315" i="3"/>
  <c r="Y347" i="3"/>
  <c r="Y375" i="3"/>
  <c r="Y391" i="3"/>
  <c r="Y407" i="3"/>
  <c r="Y423" i="3"/>
  <c r="Y439" i="3"/>
  <c r="Y455" i="3"/>
  <c r="Y470" i="3"/>
  <c r="Y474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508" i="3"/>
  <c r="Y524" i="3"/>
  <c r="Y540" i="3"/>
  <c r="Y556" i="3"/>
  <c r="Y572" i="3"/>
  <c r="Y588" i="3"/>
  <c r="Y604" i="3"/>
  <c r="Y620" i="3"/>
  <c r="Y636" i="3"/>
  <c r="Y652" i="3"/>
  <c r="Y678" i="3"/>
  <c r="Y686" i="3"/>
  <c r="Y495" i="3"/>
  <c r="Y507" i="3"/>
  <c r="Y523" i="3"/>
  <c r="Y539" i="3"/>
  <c r="Y555" i="3"/>
  <c r="Y571" i="3"/>
  <c r="Y512" i="3"/>
  <c r="Y528" i="3"/>
  <c r="Y544" i="3"/>
  <c r="Y560" i="3"/>
  <c r="Y576" i="3"/>
  <c r="Y592" i="3"/>
  <c r="Y608" i="3"/>
  <c r="Y624" i="3"/>
  <c r="Y640" i="3"/>
  <c r="Y656" i="3"/>
  <c r="Y667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511" i="3"/>
  <c r="Y527" i="3"/>
  <c r="Y543" i="3"/>
  <c r="Y559" i="3"/>
  <c r="Y575" i="3"/>
  <c r="Y591" i="3"/>
  <c r="Y607" i="3"/>
  <c r="Y623" i="3"/>
  <c r="Y639" i="3"/>
  <c r="Y655" i="3"/>
  <c r="Y672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500" i="3"/>
  <c r="Y516" i="3"/>
  <c r="Y532" i="3"/>
  <c r="Y548" i="3"/>
  <c r="Y564" i="3"/>
  <c r="Y580" i="3"/>
  <c r="Y596" i="3"/>
  <c r="Y612" i="3"/>
  <c r="Y628" i="3"/>
  <c r="Y644" i="3"/>
  <c r="Y660" i="3"/>
  <c r="Y670" i="3"/>
  <c r="Y674" i="3"/>
  <c r="Y682" i="3"/>
  <c r="Y499" i="3"/>
  <c r="Y515" i="3"/>
  <c r="Y531" i="3"/>
  <c r="Y547" i="3"/>
  <c r="Y563" i="3"/>
  <c r="Y504" i="3"/>
  <c r="Y520" i="3"/>
  <c r="Y536" i="3"/>
  <c r="Y552" i="3"/>
  <c r="Y568" i="3"/>
  <c r="Y584" i="3"/>
  <c r="Y600" i="3"/>
  <c r="Y616" i="3"/>
  <c r="Y632" i="3"/>
  <c r="Y648" i="3"/>
  <c r="Y676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900" i="3"/>
  <c r="Y503" i="3"/>
  <c r="Y519" i="3"/>
  <c r="Y535" i="3"/>
  <c r="Y551" i="3"/>
  <c r="Y567" i="3"/>
  <c r="Y583" i="3"/>
  <c r="Y599" i="3"/>
  <c r="Y615" i="3"/>
  <c r="Y631" i="3"/>
  <c r="Y647" i="3"/>
  <c r="Y663" i="3"/>
  <c r="Y664" i="3"/>
  <c r="Y665" i="3"/>
  <c r="Y671" i="3"/>
  <c r="Y673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603" i="3"/>
  <c r="Y669" i="3"/>
  <c r="Y698" i="3"/>
  <c r="Y714" i="3"/>
  <c r="Y730" i="3"/>
  <c r="Y746" i="3"/>
  <c r="Y762" i="3"/>
  <c r="Y778" i="3"/>
  <c r="Y794" i="3"/>
  <c r="Y810" i="3"/>
  <c r="Y896" i="3"/>
  <c r="Y579" i="3"/>
  <c r="Y643" i="3"/>
  <c r="Y703" i="3"/>
  <c r="Y719" i="3"/>
  <c r="Y735" i="3"/>
  <c r="Y751" i="3"/>
  <c r="Y767" i="3"/>
  <c r="Y783" i="3"/>
  <c r="Y799" i="3"/>
  <c r="Y815" i="3"/>
  <c r="Y831" i="3"/>
  <c r="Y847" i="3"/>
  <c r="Y863" i="3"/>
  <c r="Y619" i="3"/>
  <c r="Y675" i="3"/>
  <c r="Y687" i="3"/>
  <c r="Y702" i="3"/>
  <c r="Y718" i="3"/>
  <c r="Y734" i="3"/>
  <c r="Y750" i="3"/>
  <c r="Y766" i="3"/>
  <c r="Y782" i="3"/>
  <c r="Y798" i="3"/>
  <c r="Y814" i="3"/>
  <c r="Y830" i="3"/>
  <c r="Y846" i="3"/>
  <c r="Y862" i="3"/>
  <c r="Y878" i="3"/>
  <c r="Y894" i="3"/>
  <c r="Y901" i="3"/>
  <c r="Y905" i="3"/>
  <c r="Y913" i="3"/>
  <c r="Y921" i="3"/>
  <c r="Y929" i="3"/>
  <c r="Y937" i="3"/>
  <c r="Y945" i="3"/>
  <c r="Y953" i="3"/>
  <c r="Y961" i="3"/>
  <c r="Y969" i="3"/>
  <c r="Y977" i="3"/>
  <c r="Y985" i="3"/>
  <c r="Y993" i="3"/>
  <c r="Y595" i="3"/>
  <c r="Y659" i="3"/>
  <c r="Y691" i="3"/>
  <c r="Y707" i="3"/>
  <c r="Y723" i="3"/>
  <c r="Y739" i="3"/>
  <c r="Y755" i="3"/>
  <c r="Y771" i="3"/>
  <c r="Y787" i="3"/>
  <c r="Y803" i="3"/>
  <c r="Y819" i="3"/>
  <c r="Y835" i="3"/>
  <c r="Y851" i="3"/>
  <c r="Y867" i="3"/>
  <c r="Y883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635" i="3"/>
  <c r="Y683" i="3"/>
  <c r="Y690" i="3"/>
  <c r="Y706" i="3"/>
  <c r="Y722" i="3"/>
  <c r="Y738" i="3"/>
  <c r="Y754" i="3"/>
  <c r="Y770" i="3"/>
  <c r="Y786" i="3"/>
  <c r="Y802" i="3"/>
  <c r="Y818" i="3"/>
  <c r="Y834" i="3"/>
  <c r="Y850" i="3"/>
  <c r="Y611" i="3"/>
  <c r="Y668" i="3"/>
  <c r="Y695" i="3"/>
  <c r="Y711" i="3"/>
  <c r="Y727" i="3"/>
  <c r="Y743" i="3"/>
  <c r="Y759" i="3"/>
  <c r="Y775" i="3"/>
  <c r="Y791" i="3"/>
  <c r="Y807" i="3"/>
  <c r="Y823" i="3"/>
  <c r="Y839" i="3"/>
  <c r="Y855" i="3"/>
  <c r="Y587" i="3"/>
  <c r="Y651" i="3"/>
  <c r="Y694" i="3"/>
  <c r="Y710" i="3"/>
  <c r="Y726" i="3"/>
  <c r="Y742" i="3"/>
  <c r="Y758" i="3"/>
  <c r="Y774" i="3"/>
  <c r="Y790" i="3"/>
  <c r="Y806" i="3"/>
  <c r="Y822" i="3"/>
  <c r="Y838" i="3"/>
  <c r="Y854" i="3"/>
  <c r="Y870" i="3"/>
  <c r="Y886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826" i="3"/>
  <c r="Y858" i="3"/>
  <c r="Y890" i="3"/>
  <c r="Y898" i="3"/>
  <c r="Y899" i="3"/>
  <c r="Y627" i="3"/>
  <c r="Y679" i="3"/>
  <c r="Y699" i="3"/>
  <c r="Y715" i="3"/>
  <c r="Y731" i="3"/>
  <c r="Y747" i="3"/>
  <c r="Y763" i="3"/>
  <c r="Y779" i="3"/>
  <c r="Y795" i="3"/>
  <c r="Y811" i="3"/>
  <c r="Y827" i="3"/>
  <c r="Y843" i="3"/>
  <c r="Y859" i="3"/>
  <c r="Y875" i="3"/>
  <c r="Y891" i="3"/>
  <c r="Y906" i="3"/>
  <c r="Y914" i="3"/>
  <c r="Y922" i="3"/>
  <c r="Y930" i="3"/>
  <c r="Y938" i="3"/>
  <c r="Y946" i="3"/>
  <c r="Y954" i="3"/>
  <c r="Y962" i="3"/>
  <c r="Y970" i="3"/>
  <c r="Y978" i="3"/>
  <c r="Y986" i="3"/>
  <c r="Y994" i="3"/>
  <c r="Y842" i="3"/>
  <c r="Y874" i="3"/>
  <c r="Y866" i="3"/>
  <c r="Y882" i="3"/>
  <c r="Y895" i="3"/>
  <c r="Y908" i="3"/>
  <c r="Y924" i="3"/>
  <c r="Y940" i="3"/>
  <c r="Y956" i="3"/>
  <c r="Y972" i="3"/>
  <c r="Y988" i="3"/>
  <c r="Y960" i="3"/>
  <c r="Y992" i="3"/>
  <c r="Y959" i="3"/>
  <c r="Y879" i="3"/>
  <c r="Y904" i="3"/>
  <c r="Y907" i="3"/>
  <c r="Y923" i="3"/>
  <c r="Y939" i="3"/>
  <c r="Y955" i="3"/>
  <c r="Y971" i="3"/>
  <c r="Y987" i="3"/>
  <c r="Y912" i="3"/>
  <c r="Y928" i="3"/>
  <c r="Y944" i="3"/>
  <c r="Y976" i="3"/>
  <c r="Y903" i="3"/>
  <c r="Y911" i="3"/>
  <c r="Y927" i="3"/>
  <c r="Y943" i="3"/>
  <c r="Y975" i="3"/>
  <c r="Y991" i="3"/>
  <c r="Y916" i="3"/>
  <c r="Y932" i="3"/>
  <c r="Y948" i="3"/>
  <c r="Y964" i="3"/>
  <c r="Y980" i="3"/>
  <c r="Y996" i="3"/>
  <c r="Y936" i="3"/>
  <c r="Y968" i="3"/>
  <c r="Y1000" i="3"/>
  <c r="Y871" i="3"/>
  <c r="Y902" i="3"/>
  <c r="Y919" i="3"/>
  <c r="Y935" i="3"/>
  <c r="Y951" i="3"/>
  <c r="Y967" i="3"/>
  <c r="Y887" i="3"/>
  <c r="Y915" i="3"/>
  <c r="Y931" i="3"/>
  <c r="Y947" i="3"/>
  <c r="Y963" i="3"/>
  <c r="Y979" i="3"/>
  <c r="Y995" i="3"/>
  <c r="Y920" i="3"/>
  <c r="Y952" i="3"/>
  <c r="Y984" i="3"/>
  <c r="Y983" i="3"/>
  <c r="Y999" i="3"/>
  <c r="Y40" i="3"/>
  <c r="Y26" i="3"/>
  <c r="Y50" i="3"/>
  <c r="Y39" i="3"/>
  <c r="Y47" i="3"/>
  <c r="Y12" i="3"/>
  <c r="Y30" i="3"/>
  <c r="Y11" i="3"/>
  <c r="Y66" i="3"/>
  <c r="Y82" i="3"/>
  <c r="Y62" i="3"/>
  <c r="Y76" i="3"/>
  <c r="Y88" i="3"/>
  <c r="Y61" i="3"/>
  <c r="Y120" i="3"/>
  <c r="Y184" i="3"/>
  <c r="Y112" i="3"/>
  <c r="Y99" i="3"/>
  <c r="Y172" i="3"/>
  <c r="Y161" i="3"/>
  <c r="Y169" i="3"/>
  <c r="Y148" i="3"/>
  <c r="Y328" i="3"/>
  <c r="Y325" i="3"/>
  <c r="Y429" i="3"/>
  <c r="Y447" i="3"/>
  <c r="Y413" i="3"/>
  <c r="Y44" i="3"/>
  <c r="Y51" i="3"/>
  <c r="Y67" i="3"/>
  <c r="Y353" i="3"/>
  <c r="Y312" i="3"/>
  <c r="Y289" i="3"/>
  <c r="Y46" i="3"/>
  <c r="Q4" i="3" l="1"/>
  <c r="P4" i="3" s="1"/>
  <c r="D14" i="1" s="1"/>
  <c r="Q3" i="3"/>
  <c r="P3" i="3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<sst xmlns="http://schemas.openxmlformats.org/spreadsheetml/2006/main" count="484" uniqueCount="282">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</sst>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27.818805954977659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-6.3218692418788516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16.228645129920825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62.602339078583221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1.7468341970437682</c:v>
                </c:pt>
                <c:pt idx="1">
                  <c:v>73.762587679149291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0.4928567913087778</c:v>
                </c:pt>
                <c:pt idx="1">
                  <c:v>20.811587238045703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2.3558250828050831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2.239690988352546</c:v>
                </c:pt>
                <c:pt idx="2">
                  <c:v>2.3558250828050942</c:v>
                </c:pt>
                <c:pt idx="3">
                  <c:v>2.4763908589258712</c:v>
                </c:pt>
                <c:pt idx="4">
                  <c:v>2.6060766793804833</c:v>
                </c:pt>
                <c:pt idx="5">
                  <c:v>2.7477816757486844</c:v>
                </c:pt>
                <c:pt idx="6">
                  <c:v>2.8908247513255545</c:v>
                </c:pt>
                <c:pt idx="7">
                  <c:v>3.0464172463191814</c:v>
                </c:pt>
                <c:pt idx="8">
                  <c:v>3.2148613583009027</c:v>
                </c:pt>
                <c:pt idx="9">
                  <c:v>3.3857143755146475</c:v>
                </c:pt>
                <c:pt idx="10">
                  <c:v>3.5723706926028234</c:v>
                </c:pt>
                <c:pt idx="11">
                  <c:v>3.7711921728178419</c:v>
                </c:pt>
                <c:pt idx="12">
                  <c:v>3.9801900785312516</c:v>
                </c:pt>
                <c:pt idx="13">
                  <c:v>4.1952041575546186</c:v>
                </c:pt>
                <c:pt idx="14">
                  <c:v>4.4203486792114219</c:v>
                </c:pt>
                <c:pt idx="15">
                  <c:v>4.6662315655091655</c:v>
                </c:pt>
                <c:pt idx="16">
                  <c:v>4.9343496270363509</c:v>
                </c:pt>
                <c:pt idx="17">
                  <c:v>5.2066134646641453</c:v>
                </c:pt>
                <c:pt idx="18">
                  <c:v>5.4823709598014201</c:v>
                </c:pt>
                <c:pt idx="19">
                  <c:v>5.7713420325504501</c:v>
                </c:pt>
                <c:pt idx="20">
                  <c:v>6.0889636146533865</c:v>
                </c:pt>
                <c:pt idx="21">
                  <c:v>6.4259128413050277</c:v>
                </c:pt>
                <c:pt idx="22">
                  <c:v>6.7893010026392631</c:v>
                </c:pt>
                <c:pt idx="23">
                  <c:v>7.1813890327527163</c:v>
                </c:pt>
                <c:pt idx="24">
                  <c:v>7.5890495483319222</c:v>
                </c:pt>
                <c:pt idx="25">
                  <c:v>8.0456944981394898</c:v>
                </c:pt>
                <c:pt idx="26">
                  <c:v>8.5308505948724136</c:v>
                </c:pt>
                <c:pt idx="27">
                  <c:v>9.026403959301815</c:v>
                </c:pt>
                <c:pt idx="28">
                  <c:v>9.5451781288209521</c:v>
                </c:pt>
                <c:pt idx="29">
                  <c:v>10.098057638610269</c:v>
                </c:pt>
                <c:pt idx="30">
                  <c:v>10.697003693795294</c:v>
                </c:pt>
                <c:pt idx="31">
                  <c:v>11.344286635549585</c:v>
                </c:pt>
                <c:pt idx="32">
                  <c:v>12.054195783016334</c:v>
                </c:pt>
                <c:pt idx="33">
                  <c:v>12.824925228332612</c:v>
                </c:pt>
                <c:pt idx="34">
                  <c:v>13.644801672493402</c:v>
                </c:pt>
                <c:pt idx="35">
                  <c:v>14.499308766510744</c:v>
                </c:pt>
                <c:pt idx="36">
                  <c:v>15.405147271890828</c:v>
                </c:pt>
                <c:pt idx="37">
                  <c:v>16.318671751059831</c:v>
                </c:pt>
                <c:pt idx="38">
                  <c:v>17.276698198577051</c:v>
                </c:pt>
                <c:pt idx="39">
                  <c:v>18.328046981774005</c:v>
                </c:pt>
                <c:pt idx="40">
                  <c:v>19.427485599820301</c:v>
                </c:pt>
                <c:pt idx="41">
                  <c:v>20.641065499371777</c:v>
                </c:pt>
                <c:pt idx="42">
                  <c:v>21.971256749471145</c:v>
                </c:pt>
                <c:pt idx="43">
                  <c:v>23.349034672429394</c:v>
                </c:pt>
                <c:pt idx="44">
                  <c:v>24.7910191447504</c:v>
                </c:pt>
                <c:pt idx="45">
                  <c:v>26.287870859037984</c:v>
                </c:pt>
                <c:pt idx="46">
                  <c:v>27.873622116397744</c:v>
                </c:pt>
                <c:pt idx="47">
                  <c:v>29.543799189924659</c:v>
                </c:pt>
                <c:pt idx="48">
                  <c:v>31.250948490792155</c:v>
                </c:pt>
                <c:pt idx="49">
                  <c:v>33.064653283537787</c:v>
                </c:pt>
                <c:pt idx="50">
                  <c:v>35.006119617692157</c:v>
                </c:pt>
                <c:pt idx="51">
                  <c:v>37.035326965755758</c:v>
                </c:pt>
                <c:pt idx="52">
                  <c:v>39.181282904370569</c:v>
                </c:pt>
                <c:pt idx="53">
                  <c:v>41.349206152963902</c:v>
                </c:pt>
                <c:pt idx="54">
                  <c:v>43.629873222232327</c:v>
                </c:pt>
                <c:pt idx="55">
                  <c:v>46.047721259763762</c:v>
                </c:pt>
                <c:pt idx="56">
                  <c:v>48.496940925142226</c:v>
                </c:pt>
                <c:pt idx="57">
                  <c:v>51.046253546259067</c:v>
                </c:pt>
                <c:pt idx="58">
                  <c:v>53.854838564255914</c:v>
                </c:pt>
                <c:pt idx="59">
                  <c:v>56.831037804450993</c:v>
                </c:pt>
                <c:pt idx="60">
                  <c:v>59.847832550377646</c:v>
                </c:pt>
                <c:pt idx="61">
                  <c:v>62.867584639294606</c:v>
                </c:pt>
                <c:pt idx="62">
                  <c:v>65.923119087176644</c:v>
                </c:pt>
                <c:pt idx="63">
                  <c:v>69.141378436341554</c:v>
                </c:pt>
                <c:pt idx="64">
                  <c:v>72.381900418703069</c:v>
                </c:pt>
                <c:pt idx="65">
                  <c:v>75.744395676961361</c:v>
                </c:pt>
                <c:pt idx="66">
                  <c:v>79.053370475427585</c:v>
                </c:pt>
                <c:pt idx="67">
                  <c:v>82.427357098087199</c:v>
                </c:pt>
                <c:pt idx="68">
                  <c:v>85.956010952215493</c:v>
                </c:pt>
                <c:pt idx="69">
                  <c:v>89.571262872961157</c:v>
                </c:pt>
                <c:pt idx="70">
                  <c:v>93.267080495044027</c:v>
                </c:pt>
                <c:pt idx="71">
                  <c:v>96.930000000000092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21.284724406140047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21.462809668756496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19.854805003686678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49.901073117640735</c:v>
                </c:pt>
                <c:pt idx="2">
                  <c:v>49.690090131295634</c:v>
                </c:pt>
                <c:pt idx="3">
                  <c:v>49.487913733210299</c:v>
                </c:pt>
                <c:pt idx="4">
                  <c:v>49.291941212337953</c:v>
                </c:pt>
                <c:pt idx="5">
                  <c:v>49.113409055146867</c:v>
                </c:pt>
                <c:pt idx="6">
                  <c:v>48.950745941002033</c:v>
                </c:pt>
                <c:pt idx="7">
                  <c:v>48.795007437712002</c:v>
                </c:pt>
                <c:pt idx="8">
                  <c:v>48.641125527411717</c:v>
                </c:pt>
                <c:pt idx="9">
                  <c:v>48.495963892050121</c:v>
                </c:pt>
                <c:pt idx="10">
                  <c:v>48.344975428331495</c:v>
                </c:pt>
                <c:pt idx="11">
                  <c:v>48.185378050521166</c:v>
                </c:pt>
                <c:pt idx="12">
                  <c:v>48.028698779495386</c:v>
                </c:pt>
                <c:pt idx="13">
                  <c:v>47.872447863387677</c:v>
                </c:pt>
                <c:pt idx="14">
                  <c:v>47.714031546439031</c:v>
                </c:pt>
                <c:pt idx="15">
                  <c:v>47.5405813976354</c:v>
                </c:pt>
                <c:pt idx="16">
                  <c:v>47.362715129117696</c:v>
                </c:pt>
                <c:pt idx="17">
                  <c:v>47.179784105485133</c:v>
                </c:pt>
                <c:pt idx="18">
                  <c:v>46.992241146289899</c:v>
                </c:pt>
                <c:pt idx="19">
                  <c:v>46.790754836161121</c:v>
                </c:pt>
                <c:pt idx="20">
                  <c:v>46.56853806074777</c:v>
                </c:pt>
                <c:pt idx="21">
                  <c:v>46.334271072062528</c:v>
                </c:pt>
                <c:pt idx="22">
                  <c:v>46.087702056492262</c:v>
                </c:pt>
                <c:pt idx="23">
                  <c:v>45.820333173262981</c:v>
                </c:pt>
                <c:pt idx="24">
                  <c:v>45.538637057683509</c:v>
                </c:pt>
                <c:pt idx="25">
                  <c:v>45.218408636439868</c:v>
                </c:pt>
                <c:pt idx="26">
                  <c:v>44.870762951486874</c:v>
                </c:pt>
                <c:pt idx="27">
                  <c:v>44.514325271566634</c:v>
                </c:pt>
                <c:pt idx="28">
                  <c:v>44.145416687661786</c:v>
                </c:pt>
                <c:pt idx="29">
                  <c:v>43.745340247679756</c:v>
                </c:pt>
                <c:pt idx="30">
                  <c:v>43.305307185898009</c:v>
                </c:pt>
                <c:pt idx="31">
                  <c:v>42.816832571191959</c:v>
                </c:pt>
                <c:pt idx="32">
                  <c:v>42.286486722021735</c:v>
                </c:pt>
                <c:pt idx="33">
                  <c:v>41.69569302979059</c:v>
                </c:pt>
                <c:pt idx="34">
                  <c:v>41.075577928694635</c:v>
                </c:pt>
                <c:pt idx="35">
                  <c:v>40.429700353852496</c:v>
                </c:pt>
                <c:pt idx="36">
                  <c:v>39.737375431044157</c:v>
                </c:pt>
                <c:pt idx="37">
                  <c:v>39.033441245930206</c:v>
                </c:pt>
                <c:pt idx="38">
                  <c:v>38.28064040940852</c:v>
                </c:pt>
                <c:pt idx="39">
                  <c:v>37.433293332922801</c:v>
                </c:pt>
                <c:pt idx="40">
                  <c:v>36.535677095064287</c:v>
                </c:pt>
                <c:pt idx="41">
                  <c:v>35.522602151994832</c:v>
                </c:pt>
                <c:pt idx="42">
                  <c:v>34.395264021129108</c:v>
                </c:pt>
                <c:pt idx="43">
                  <c:v>33.209854043220645</c:v>
                </c:pt>
                <c:pt idx="44">
                  <c:v>31.963412153906955</c:v>
                </c:pt>
                <c:pt idx="45">
                  <c:v>30.656391352174335</c:v>
                </c:pt>
                <c:pt idx="46">
                  <c:v>50.556126672002954</c:v>
                </c:pt>
                <c:pt idx="47">
                  <c:v>49.093627591060745</c:v>
                </c:pt>
                <c:pt idx="48">
                  <c:v>47.594748771871927</c:v>
                </c:pt>
                <c:pt idx="49">
                  <c:v>45.995854185374959</c:v>
                </c:pt>
                <c:pt idx="50">
                  <c:v>44.263680167346863</c:v>
                </c:pt>
                <c:pt idx="51">
                  <c:v>42.445286942879591</c:v>
                </c:pt>
                <c:pt idx="52">
                  <c:v>40.504681273463774</c:v>
                </c:pt>
                <c:pt idx="53">
                  <c:v>38.531232589368777</c:v>
                </c:pt>
                <c:pt idx="54">
                  <c:v>36.446501332078917</c:v>
                </c:pt>
                <c:pt idx="55">
                  <c:v>34.233462950201833</c:v>
                </c:pt>
                <c:pt idx="56">
                  <c:v>31.976123241164302</c:v>
                </c:pt>
                <c:pt idx="57">
                  <c:v>51.078119852890268</c:v>
                </c:pt>
                <c:pt idx="58">
                  <c:v>48.461351382133863</c:v>
                </c:pt>
                <c:pt idx="59">
                  <c:v>45.682767496064962</c:v>
                </c:pt>
                <c:pt idx="60">
                  <c:v>42.866852392882393</c:v>
                </c:pt>
                <c:pt idx="61">
                  <c:v>40.066829453700656</c:v>
                </c:pt>
                <c:pt idx="62">
                  <c:v>37.226014993555104</c:v>
                </c:pt>
                <c:pt idx="63">
                  <c:v>34.220293933849476</c:v>
                </c:pt>
                <c:pt idx="64">
                  <c:v>31.18130121323594</c:v>
                </c:pt>
                <c:pt idx="65">
                  <c:v>47.871712911950908</c:v>
                </c:pt>
                <c:pt idx="66">
                  <c:v>44.750055182720821</c:v>
                </c:pt>
                <c:pt idx="67">
                  <c:v>41.561007893998273</c:v>
                </c:pt>
                <c:pt idx="68">
                  <c:v>38.219102404377608</c:v>
                </c:pt>
                <c:pt idx="69">
                  <c:v>34.79421945578067</c:v>
                </c:pt>
                <c:pt idx="70">
                  <c:v>31.293749977768954</c:v>
                </c:pt>
                <c:pt idx="71">
                  <c:v>27.818805954977659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0.25742912124832429</c:v>
                </c:pt>
                <c:pt idx="1">
                  <c:v>0.49851187375164485</c:v>
                </c:pt>
                <c:pt idx="2">
                  <c:v>0.72989667726533325</c:v>
                </c:pt>
                <c:pt idx="3">
                  <c:v>0.95758570771576923</c:v>
                </c:pt>
                <c:pt idx="4">
                  <c:v>1.1909998161931239</c:v>
                </c:pt>
                <c:pt idx="5">
                  <c:v>1.4470617445415836</c:v>
                </c:pt>
                <c:pt idx="6">
                  <c:v>1.6993020303815634</c:v>
                </c:pt>
                <c:pt idx="7">
                  <c:v>1.9640039024636211</c:v>
                </c:pt>
                <c:pt idx="8">
                  <c:v>2.2353661889524274</c:v>
                </c:pt>
                <c:pt idx="9">
                  <c:v>2.4995411457221328</c:v>
                </c:pt>
                <c:pt idx="10">
                  <c:v>2.767781957430139</c:v>
                </c:pt>
                <c:pt idx="11">
                  <c:v>3.029665087161316</c:v>
                </c:pt>
                <c:pt idx="12">
                  <c:v>3.293132135148781</c:v>
                </c:pt>
                <c:pt idx="13">
                  <c:v>3.549382765855738</c:v>
                </c:pt>
                <c:pt idx="14">
                  <c:v>3.8031568546465722</c:v>
                </c:pt>
                <c:pt idx="15">
                  <c:v>4.0575513827327292</c:v>
                </c:pt>
                <c:pt idx="16">
                  <c:v>4.32427223389052</c:v>
                </c:pt>
                <c:pt idx="17">
                  <c:v>4.5764602422639484</c:v>
                </c:pt>
                <c:pt idx="18">
                  <c:v>4.8152025997516867</c:v>
                </c:pt>
                <c:pt idx="19">
                  <c:v>5.0451706538320682</c:v>
                </c:pt>
                <c:pt idx="20">
                  <c:v>5.2795406733514598</c:v>
                </c:pt>
                <c:pt idx="21">
                  <c:v>5.5143066687205193</c:v>
                </c:pt>
                <c:pt idx="22">
                  <c:v>5.7579128279735796</c:v>
                </c:pt>
                <c:pt idx="23">
                  <c:v>6.004137349358861</c:v>
                </c:pt>
                <c:pt idx="24">
                  <c:v>6.243413190915506</c:v>
                </c:pt>
                <c:pt idx="25">
                  <c:v>6.4910915938509239</c:v>
                </c:pt>
                <c:pt idx="26">
                  <c:v>6.7333717310101351</c:v>
                </c:pt>
                <c:pt idx="27">
                  <c:v>6.9683491332202649</c:v>
                </c:pt>
                <c:pt idx="28">
                  <c:v>7.2076404121027888</c:v>
                </c:pt>
                <c:pt idx="29">
                  <c:v>7.4448734824357405</c:v>
                </c:pt>
                <c:pt idx="30">
                  <c:v>7.684276718289385</c:v>
                </c:pt>
                <c:pt idx="31">
                  <c:v>7.9194623236366954</c:v>
                </c:pt>
                <c:pt idx="32">
                  <c:v>8.1720793240188776</c:v>
                </c:pt>
                <c:pt idx="33">
                  <c:v>8.4210676907806565</c:v>
                </c:pt>
                <c:pt idx="34">
                  <c:v>8.6848398054081208</c:v>
                </c:pt>
                <c:pt idx="35">
                  <c:v>8.9517634727857338</c:v>
                </c:pt>
                <c:pt idx="36">
                  <c:v>9.2190407166205866</c:v>
                </c:pt>
                <c:pt idx="37">
                  <c:v>9.4763067122496309</c:v>
                </c:pt>
                <c:pt idx="38">
                  <c:v>9.7251646731735377</c:v>
                </c:pt>
                <c:pt idx="39">
                  <c:v>9.9703592254955336</c:v>
                </c:pt>
                <c:pt idx="40">
                  <c:v>10.209442059915093</c:v>
                </c:pt>
                <c:pt idx="41">
                  <c:v>10.444958747651647</c:v>
                </c:pt>
                <c:pt idx="42">
                  <c:v>10.680251202033507</c:v>
                </c:pt>
                <c:pt idx="43">
                  <c:v>10.901075319376417</c:v>
                </c:pt>
                <c:pt idx="44">
                  <c:v>11.121696880510028</c:v>
                </c:pt>
                <c:pt idx="45">
                  <c:v>11.333351182734301</c:v>
                </c:pt>
                <c:pt idx="46">
                  <c:v>11.553265526566076</c:v>
                </c:pt>
                <c:pt idx="47">
                  <c:v>11.777467460875256</c:v>
                </c:pt>
                <c:pt idx="48">
                  <c:v>11.999469094779519</c:v>
                </c:pt>
                <c:pt idx="49">
                  <c:v>12.225853302978752</c:v>
                </c:pt>
                <c:pt idx="50">
                  <c:v>12.444674924408357</c:v>
                </c:pt>
                <c:pt idx="51">
                  <c:v>12.662862382550474</c:v>
                </c:pt>
                <c:pt idx="52">
                  <c:v>12.873610229968355</c:v>
                </c:pt>
                <c:pt idx="53">
                  <c:v>13.071475170650752</c:v>
                </c:pt>
                <c:pt idx="54">
                  <c:v>13.269081307501708</c:v>
                </c:pt>
                <c:pt idx="55">
                  <c:v>13.473896177947097</c:v>
                </c:pt>
                <c:pt idx="56">
                  <c:v>13.66422884613953</c:v>
                </c:pt>
                <c:pt idx="57">
                  <c:v>13.849841563265311</c:v>
                </c:pt>
                <c:pt idx="58">
                  <c:v>14.037618498378849</c:v>
                </c:pt>
                <c:pt idx="59">
                  <c:v>14.229935261946929</c:v>
                </c:pt>
                <c:pt idx="60">
                  <c:v>14.424196497772801</c:v>
                </c:pt>
                <c:pt idx="61">
                  <c:v>14.635834943328446</c:v>
                </c:pt>
                <c:pt idx="62">
                  <c:v>14.841466478898365</c:v>
                </c:pt>
                <c:pt idx="63">
                  <c:v>15.043634613819098</c:v>
                </c:pt>
                <c:pt idx="64">
                  <c:v>15.234596584042405</c:v>
                </c:pt>
                <c:pt idx="65">
                  <c:v>15.421873901986375</c:v>
                </c:pt>
                <c:pt idx="66">
                  <c:v>15.598573696681385</c:v>
                </c:pt>
                <c:pt idx="67">
                  <c:v>15.772736259911248</c:v>
                </c:pt>
                <c:pt idx="68">
                  <c:v>15.948448578436494</c:v>
                </c:pt>
                <c:pt idx="69">
                  <c:v>16.127159978693435</c:v>
                </c:pt>
                <c:pt idx="70">
                  <c:v>16.310079454613554</c:v>
                </c:pt>
                <c:pt idx="71">
                  <c:v>16.48607425116915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-0.34000963486259028</c:v>
                </c:pt>
                <c:pt idx="2">
                  <c:v>-0.66624333026883176</c:v>
                </c:pt>
                <c:pt idx="3">
                  <c:v>-0.97554298268382345</c:v>
                </c:pt>
                <c:pt idx="4">
                  <c:v>-1.2752437915789125</c:v>
                </c:pt>
                <c:pt idx="5">
                  <c:v>-1.5681328807502615</c:v>
                </c:pt>
                <c:pt idx="6">
                  <c:v>-1.8399932051582057</c:v>
                </c:pt>
                <c:pt idx="7">
                  <c:v>-2.1048410855366706</c:v>
                </c:pt>
                <c:pt idx="8">
                  <c:v>-2.3616411703440456</c:v>
                </c:pt>
                <c:pt idx="9">
                  <c:v>-2.6001247452616081</c:v>
                </c:pt>
                <c:pt idx="10">
                  <c:v>-2.8326977036000587</c:v>
                </c:pt>
                <c:pt idx="11">
                  <c:v>-3.0553567309265457</c:v>
                </c:pt>
                <c:pt idx="12">
                  <c:v>-3.2665051442263779</c:v>
                </c:pt>
                <c:pt idx="13">
                  <c:v>-3.4639926120176776</c:v>
                </c:pt>
                <c:pt idx="14">
                  <c:v>-3.6510384961003535</c:v>
                </c:pt>
                <c:pt idx="15">
                  <c:v>-3.8330002866923989</c:v>
                </c:pt>
                <c:pt idx="16">
                  <c:v>-4.0094693448407117</c:v>
                </c:pt>
                <c:pt idx="17">
                  <c:v>-4.1723245392189092</c:v>
                </c:pt>
                <c:pt idx="18">
                  <c:v>-4.3228523607646032</c:v>
                </c:pt>
                <c:pt idx="19">
                  <c:v>-4.4653356522247316</c:v>
                </c:pt>
                <c:pt idx="20">
                  <c:v>-4.604300865054535</c:v>
                </c:pt>
                <c:pt idx="21">
                  <c:v>-4.7363846224571962</c:v>
                </c:pt>
                <c:pt idx="22">
                  <c:v>-4.8631716359462898</c:v>
                </c:pt>
                <c:pt idx="23">
                  <c:v>-4.9846770104473936</c:v>
                </c:pt>
                <c:pt idx="24">
                  <c:v>-5.0979884520043033</c:v>
                </c:pt>
                <c:pt idx="25">
                  <c:v>-5.2092503263757957</c:v>
                </c:pt>
                <c:pt idx="26">
                  <c:v>-5.3140200517550822</c:v>
                </c:pt>
                <c:pt idx="27">
                  <c:v>-5.4098817694560548</c:v>
                </c:pt>
                <c:pt idx="28">
                  <c:v>-5.4993074627242873</c:v>
                </c:pt>
                <c:pt idx="29">
                  <c:v>-5.5837374632499541</c:v>
                </c:pt>
                <c:pt idx="30">
                  <c:v>-5.6642277057003207</c:v>
                </c:pt>
                <c:pt idx="31">
                  <c:v>-5.7406049839993933</c:v>
                </c:pt>
                <c:pt idx="32">
                  <c:v>-5.8136586860850548</c:v>
                </c:pt>
                <c:pt idx="33">
                  <c:v>-5.8827112997617022</c:v>
                </c:pt>
                <c:pt idx="34">
                  <c:v>-5.9467220713243325</c:v>
                </c:pt>
                <c:pt idx="35">
                  <c:v>-6.0050162195267394</c:v>
                </c:pt>
                <c:pt idx="36">
                  <c:v>-6.0587798807898521</c:v>
                </c:pt>
                <c:pt idx="37">
                  <c:v>-6.1064555823638349</c:v>
                </c:pt>
                <c:pt idx="38">
                  <c:v>-6.1500879322922053</c:v>
                </c:pt>
                <c:pt idx="39">
                  <c:v>-6.1912807779029677</c:v>
                </c:pt>
                <c:pt idx="40">
                  <c:v>-6.2285412321347504</c:v>
                </c:pt>
                <c:pt idx="41">
                  <c:v>-6.2635529633892819</c:v>
                </c:pt>
                <c:pt idx="42">
                  <c:v>-6.2959922985374916</c:v>
                </c:pt>
                <c:pt idx="43">
                  <c:v>-6.3244484708306121</c:v>
                </c:pt>
                <c:pt idx="44">
                  <c:v>-6.3495274489569073</c:v>
                </c:pt>
                <c:pt idx="45">
                  <c:v>-6.3713508386262143</c:v>
                </c:pt>
                <c:pt idx="46">
                  <c:v>-6.3905030114096579</c:v>
                </c:pt>
                <c:pt idx="47">
                  <c:v>-6.40702695313413</c:v>
                </c:pt>
                <c:pt idx="48">
                  <c:v>-6.4207581053597096</c:v>
                </c:pt>
                <c:pt idx="49">
                  <c:v>-6.4323321073102777</c:v>
                </c:pt>
                <c:pt idx="50">
                  <c:v>-6.4418614126136102</c:v>
                </c:pt>
                <c:pt idx="51">
                  <c:v>-6.449234747159398</c:v>
                </c:pt>
                <c:pt idx="52">
                  <c:v>-6.4546323253782774</c:v>
                </c:pt>
                <c:pt idx="53">
                  <c:v>-6.4580227015623368</c:v>
                </c:pt>
                <c:pt idx="54">
                  <c:v>-6.4596930264347279</c:v>
                </c:pt>
                <c:pt idx="55">
                  <c:v>-6.4596982412257677</c:v>
                </c:pt>
                <c:pt idx="56">
                  <c:v>-6.4581509530772676</c:v>
                </c:pt>
                <c:pt idx="57">
                  <c:v>-6.45526410611674</c:v>
                </c:pt>
                <c:pt idx="58">
                  <c:v>-6.4512244939898347</c:v>
                </c:pt>
                <c:pt idx="59">
                  <c:v>-6.4459259034317373</c:v>
                </c:pt>
                <c:pt idx="60">
                  <c:v>-6.4393074965135249</c:v>
                </c:pt>
                <c:pt idx="61">
                  <c:v>-6.4312167923339434</c:v>
                </c:pt>
                <c:pt idx="62">
                  <c:v>-6.4221283401673785</c:v>
                </c:pt>
                <c:pt idx="63">
                  <c:v>-6.4117581856288313</c:v>
                </c:pt>
                <c:pt idx="64">
                  <c:v>-6.4011908941041593</c:v>
                </c:pt>
                <c:pt idx="65">
                  <c:v>-6.390366258761552</c:v>
                </c:pt>
                <c:pt idx="66">
                  <c:v>-6.3797489842204254</c:v>
                </c:pt>
                <c:pt idx="67">
                  <c:v>-6.3689722135132225</c:v>
                </c:pt>
                <c:pt idx="68">
                  <c:v>-6.3579361675308457</c:v>
                </c:pt>
                <c:pt idx="69">
                  <c:v>-6.3462785956390624</c:v>
                </c:pt>
                <c:pt idx="70">
                  <c:v>-6.3338499274880249</c:v>
                </c:pt>
                <c:pt idx="71">
                  <c:v>-6.3218692418788516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1.3643302726702207</c:v>
                </c:pt>
                <c:pt idx="15">
                  <c:v>1.4424248936167747</c:v>
                </c:pt>
                <c:pt idx="16">
                  <c:v>1.5235132887312086</c:v>
                </c:pt>
                <c:pt idx="17">
                  <c:v>1.6098591983463222</c:v>
                </c:pt>
                <c:pt idx="18">
                  <c:v>1.7022240236645918</c:v>
                </c:pt>
                <c:pt idx="19">
                  <c:v>1.8010743139522323</c:v>
                </c:pt>
                <c:pt idx="20">
                  <c:v>1.9052809194507156</c:v>
                </c:pt>
                <c:pt idx="21">
                  <c:v>2.016029024043315</c:v>
                </c:pt>
                <c:pt idx="22">
                  <c:v>2.1318031205920511</c:v>
                </c:pt>
                <c:pt idx="23">
                  <c:v>2.2527325934099784</c:v>
                </c:pt>
                <c:pt idx="24">
                  <c:v>2.3762314437693992</c:v>
                </c:pt>
                <c:pt idx="25">
                  <c:v>2.509770908746094</c:v>
                </c:pt>
                <c:pt idx="26">
                  <c:v>2.6498049920130926</c:v>
                </c:pt>
                <c:pt idx="27">
                  <c:v>2.798413264849172</c:v>
                </c:pt>
                <c:pt idx="28">
                  <c:v>2.9550583873315723</c:v>
                </c:pt>
                <c:pt idx="29">
                  <c:v>3.1214804388819593</c:v>
                </c:pt>
                <c:pt idx="30">
                  <c:v>3.3005760720356334</c:v>
                </c:pt>
                <c:pt idx="31">
                  <c:v>3.4916386203345775</c:v>
                </c:pt>
                <c:pt idx="32">
                  <c:v>3.6928137185574128</c:v>
                </c:pt>
                <c:pt idx="33">
                  <c:v>3.9031319048085971</c:v>
                </c:pt>
                <c:pt idx="34">
                  <c:v>4.1254003462909878</c:v>
                </c:pt>
                <c:pt idx="35">
                  <c:v>4.3572051083263243</c:v>
                </c:pt>
                <c:pt idx="36">
                  <c:v>4.6004206045492335</c:v>
                </c:pt>
                <c:pt idx="37">
                  <c:v>4.8571358181934894</c:v>
                </c:pt>
                <c:pt idx="38">
                  <c:v>5.1298042226390983</c:v>
                </c:pt>
                <c:pt idx="39">
                  <c:v>5.4173385628462398</c:v>
                </c:pt>
                <c:pt idx="40">
                  <c:v>5.7219411851071227</c:v>
                </c:pt>
                <c:pt idx="41">
                  <c:v>6.0419357096203585</c:v>
                </c:pt>
                <c:pt idx="42">
                  <c:v>6.3754768294540334</c:v>
                </c:pt>
                <c:pt idx="43">
                  <c:v>6.7265804846626507</c:v>
                </c:pt>
                <c:pt idx="44">
                  <c:v>7.0878029817040487</c:v>
                </c:pt>
                <c:pt idx="45">
                  <c:v>7.4574961209119053</c:v>
                </c:pt>
                <c:pt idx="46">
                  <c:v>7.8480485315406536</c:v>
                </c:pt>
                <c:pt idx="47">
                  <c:v>8.2606541970735403</c:v>
                </c:pt>
                <c:pt idx="48">
                  <c:v>8.6874634749402428</c:v>
                </c:pt>
                <c:pt idx="49">
                  <c:v>9.136741500102934</c:v>
                </c:pt>
                <c:pt idx="50">
                  <c:v>9.6183272986860491</c:v>
                </c:pt>
                <c:pt idx="51">
                  <c:v>10.125560090577279</c:v>
                </c:pt>
                <c:pt idx="52">
                  <c:v>10.636784272421101</c:v>
                </c:pt>
                <c:pt idx="53">
                  <c:v>11.169810638606867</c:v>
                </c:pt>
                <c:pt idx="54">
                  <c:v>11.740874417479112</c:v>
                </c:pt>
                <c:pt idx="55">
                  <c:v>12.320157578326265</c:v>
                </c:pt>
                <c:pt idx="56">
                  <c:v>12.938174402041511</c:v>
                </c:pt>
                <c:pt idx="57">
                  <c:v>13.59361327303926</c:v>
                </c:pt>
                <c:pt idx="58">
                  <c:v>14.268935550168706</c:v>
                </c:pt>
                <c:pt idx="59">
                  <c:v>14.968227012974358</c:v>
                </c:pt>
                <c:pt idx="60">
                  <c:v>15.706273261948791</c:v>
                </c:pt>
                <c:pt idx="61">
                  <c:v>16.461248871366017</c:v>
                </c:pt>
                <c:pt idx="62">
                  <c:v>17.248981739731509</c:v>
                </c:pt>
                <c:pt idx="63">
                  <c:v>18.062985020426726</c:v>
                </c:pt>
                <c:pt idx="64">
                  <c:v>18.918161602454887</c:v>
                </c:pt>
                <c:pt idx="65">
                  <c:v>19.808211455596432</c:v>
                </c:pt>
                <c:pt idx="66">
                  <c:v>20.730870396576474</c:v>
                </c:pt>
                <c:pt idx="67">
                  <c:v>21.666119778444077</c:v>
                </c:pt>
                <c:pt idx="68">
                  <c:v>22.640897871981586</c:v>
                </c:pt>
                <c:pt idx="69">
                  <c:v>23.670255161607553</c:v>
                </c:pt>
                <c:pt idx="70">
                  <c:v>24.732761927730412</c:v>
                </c:pt>
                <c:pt idx="71">
                  <c:v>25.813723399000324</c:v>
                </c:pt>
                <c:pt idx="72">
                  <c:v>26.92900901315997</c:v>
                </c:pt>
                <c:pt idx="73">
                  <c:v>28.085765802219047</c:v>
                </c:pt>
                <c:pt idx="74">
                  <c:v>29.288463719787714</c:v>
                </c:pt>
                <c:pt idx="75">
                  <c:v>30.544252967586694</c:v>
                </c:pt>
                <c:pt idx="76">
                  <c:v>31.838032147784364</c:v>
                </c:pt>
                <c:pt idx="77">
                  <c:v>33.191277742550085</c:v>
                </c:pt>
                <c:pt idx="78">
                  <c:v>34.573298578569513</c:v>
                </c:pt>
                <c:pt idx="79">
                  <c:v>35.981295923104838</c:v>
                </c:pt>
                <c:pt idx="80">
                  <c:v>37.40782165872016</c:v>
                </c:pt>
                <c:pt idx="81">
                  <c:v>38.868824338567869</c:v>
                </c:pt>
                <c:pt idx="82">
                  <c:v>40.385896647869679</c:v>
                </c:pt>
                <c:pt idx="83">
                  <c:v>41.908158358379957</c:v>
                </c:pt>
                <c:pt idx="84">
                  <c:v>43.470468849243169</c:v>
                </c:pt>
                <c:pt idx="85">
                  <c:v>45.07462940666241</c:v>
                </c:pt>
                <c:pt idx="86">
                  <c:v>46.715387369795437</c:v>
                </c:pt>
                <c:pt idx="87">
                  <c:v>48.369104774461903</c:v>
                </c:pt>
                <c:pt idx="88">
                  <c:v>50.030282036213464</c:v>
                </c:pt>
                <c:pt idx="89">
                  <c:v>51.718252003719755</c:v>
                </c:pt>
                <c:pt idx="90">
                  <c:v>53.411753652251527</c:v>
                </c:pt>
                <c:pt idx="91">
                  <c:v>55.144731700580152</c:v>
                </c:pt>
                <c:pt idx="92">
                  <c:v>56.941112960097378</c:v>
                </c:pt>
                <c:pt idx="93">
                  <c:v>58.734474670845451</c:v>
                </c:pt>
                <c:pt idx="94">
                  <c:v>60.537566601251598</c:v>
                </c:pt>
                <c:pt idx="95">
                  <c:v>62.431212454668</c:v>
                </c:pt>
                <c:pt idx="96">
                  <c:v>64.324338054713422</c:v>
                </c:pt>
                <c:pt idx="97">
                  <c:v>66.246971670304291</c:v>
                </c:pt>
                <c:pt idx="98">
                  <c:v>68.167314275373428</c:v>
                </c:pt>
                <c:pt idx="99">
                  <c:v>70.14084934141701</c:v>
                </c:pt>
                <c:pt idx="100">
                  <c:v>72.118913683071696</c:v>
                </c:pt>
                <c:pt idx="101">
                  <c:v>74.022911507518117</c:v>
                </c:pt>
                <c:pt idx="102">
                  <c:v>75.965503148062069</c:v>
                </c:pt>
                <c:pt idx="103">
                  <c:v>77.900173940171513</c:v>
                </c:pt>
                <c:pt idx="104">
                  <c:v>79.888293612159075</c:v>
                </c:pt>
                <c:pt idx="105">
                  <c:v>81.922306464334952</c:v>
                </c:pt>
                <c:pt idx="106">
                  <c:v>84.02437953234849</c:v>
                </c:pt>
                <c:pt idx="107">
                  <c:v>86.171547813079528</c:v>
                </c:pt>
                <c:pt idx="108">
                  <c:v>88.203281586488629</c:v>
                </c:pt>
                <c:pt idx="109">
                  <c:v>90.186949926576219</c:v>
                </c:pt>
                <c:pt idx="110">
                  <c:v>92.185670123784362</c:v>
                </c:pt>
                <c:pt idx="111">
                  <c:v>94.174142477177782</c:v>
                </c:pt>
                <c:pt idx="112">
                  <c:v>96.149228232928934</c:v>
                </c:pt>
                <c:pt idx="113">
                  <c:v>98.085586271653597</c:v>
                </c:pt>
                <c:pt idx="114">
                  <c:v>100.03312792478918</c:v>
                </c:pt>
                <c:pt idx="115">
                  <c:v>101.99993784553841</c:v>
                </c:pt>
                <c:pt idx="116">
                  <c:v>103.91783561826726</c:v>
                </c:pt>
                <c:pt idx="117">
                  <c:v>105.79394401843092</c:v>
                </c:pt>
                <c:pt idx="118">
                  <c:v>107.60524658688212</c:v>
                </c:pt>
                <c:pt idx="119">
                  <c:v>109.42636800259606</c:v>
                </c:pt>
                <c:pt idx="120">
                  <c:v>111.27752246490697</c:v>
                </c:pt>
                <c:pt idx="121">
                  <c:v>113.16075618571858</c:v>
                </c:pt>
                <c:pt idx="122">
                  <c:v>115.02020706306752</c:v>
                </c:pt>
                <c:pt idx="123">
                  <c:v>116.82153277768407</c:v>
                </c:pt>
                <c:pt idx="124">
                  <c:v>118.59754225661007</c:v>
                </c:pt>
                <c:pt idx="125">
                  <c:v>120.35912912418124</c:v>
                </c:pt>
                <c:pt idx="126">
                  <c:v>122.05211738689098</c:v>
                </c:pt>
                <c:pt idx="127">
                  <c:v>123.71035681517967</c:v>
                </c:pt>
                <c:pt idx="128">
                  <c:v>125.41205473941636</c:v>
                </c:pt>
                <c:pt idx="129">
                  <c:v>127.08788934751173</c:v>
                </c:pt>
                <c:pt idx="130">
                  <c:v>128.77921954870092</c:v>
                </c:pt>
                <c:pt idx="131">
                  <c:v>130.38380038665105</c:v>
                </c:pt>
                <c:pt idx="132">
                  <c:v>131.93832950133387</c:v>
                </c:pt>
                <c:pt idx="133">
                  <c:v>133.46349778601035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28.635677357760713</c:v>
                </c:pt>
                <c:pt idx="1">
                  <c:v>29.396200873800485</c:v>
                </c:pt>
                <c:pt idx="2">
                  <c:v>30.176898122578415</c:v>
                </c:pt>
                <c:pt idx="3">
                  <c:v>30.931997360276576</c:v>
                </c:pt>
                <c:pt idx="4">
                  <c:v>31.626101725378891</c:v>
                </c:pt>
                <c:pt idx="5">
                  <c:v>32.303700384937642</c:v>
                </c:pt>
                <c:pt idx="6">
                  <c:v>32.950279184981255</c:v>
                </c:pt>
                <c:pt idx="7">
                  <c:v>33.563106185514783</c:v>
                </c:pt>
                <c:pt idx="8">
                  <c:v>34.153494043454629</c:v>
                </c:pt>
                <c:pt idx="9">
                  <c:v>34.691697071106233</c:v>
                </c:pt>
                <c:pt idx="10">
                  <c:v>35.289089378527379</c:v>
                </c:pt>
                <c:pt idx="11">
                  <c:v>35.856719899939868</c:v>
                </c:pt>
                <c:pt idx="12">
                  <c:v>36.38861779240338</c:v>
                </c:pt>
                <c:pt idx="13">
                  <c:v>36.89449240344581</c:v>
                </c:pt>
                <c:pt idx="14">
                  <c:v>37.384070976465097</c:v>
                </c:pt>
                <c:pt idx="15">
                  <c:v>37.766051084755254</c:v>
                </c:pt>
                <c:pt idx="16">
                  <c:v>38.111152410838351</c:v>
                </c:pt>
                <c:pt idx="17">
                  <c:v>38.43091208103116</c:v>
                </c:pt>
                <c:pt idx="18">
                  <c:v>38.730202028303403</c:v>
                </c:pt>
                <c:pt idx="19">
                  <c:v>39.015818263288665</c:v>
                </c:pt>
                <c:pt idx="20">
                  <c:v>39.281444214306738</c:v>
                </c:pt>
                <c:pt idx="21">
                  <c:v>39.522620281525953</c:v>
                </c:pt>
                <c:pt idx="22">
                  <c:v>39.749209374896949</c:v>
                </c:pt>
                <c:pt idx="23">
                  <c:v>39.948871055394257</c:v>
                </c:pt>
                <c:pt idx="24">
                  <c:v>40.136590403847705</c:v>
                </c:pt>
                <c:pt idx="25">
                  <c:v>40.317282852868445</c:v>
                </c:pt>
                <c:pt idx="26">
                  <c:v>40.471318451754655</c:v>
                </c:pt>
                <c:pt idx="27">
                  <c:v>40.606301945799309</c:v>
                </c:pt>
                <c:pt idx="28">
                  <c:v>40.72749607713088</c:v>
                </c:pt>
                <c:pt idx="29">
                  <c:v>40.83143086102082</c:v>
                </c:pt>
                <c:pt idx="30">
                  <c:v>40.923001587210841</c:v>
                </c:pt>
                <c:pt idx="31">
                  <c:v>41.005193825224879</c:v>
                </c:pt>
                <c:pt idx="32">
                  <c:v>41.076176285677654</c:v>
                </c:pt>
                <c:pt idx="33">
                  <c:v>41.122434726944419</c:v>
                </c:pt>
                <c:pt idx="34">
                  <c:v>41.153233469488001</c:v>
                </c:pt>
                <c:pt idx="35">
                  <c:v>41.171535801426344</c:v>
                </c:pt>
                <c:pt idx="36">
                  <c:v>41.173243286821354</c:v>
                </c:pt>
                <c:pt idx="37">
                  <c:v>41.172312124537612</c:v>
                </c:pt>
                <c:pt idx="38">
                  <c:v>41.152417628234943</c:v>
                </c:pt>
                <c:pt idx="39">
                  <c:v>41.112781442682873</c:v>
                </c:pt>
                <c:pt idx="40">
                  <c:v>41.064761192933879</c:v>
                </c:pt>
                <c:pt idx="41">
                  <c:v>41.001983390086814</c:v>
                </c:pt>
                <c:pt idx="42">
                  <c:v>40.917162485459457</c:v>
                </c:pt>
                <c:pt idx="43">
                  <c:v>40.816890550355893</c:v>
                </c:pt>
                <c:pt idx="44">
                  <c:v>40.693883703624834</c:v>
                </c:pt>
                <c:pt idx="45">
                  <c:v>40.546631687971285</c:v>
                </c:pt>
                <c:pt idx="46">
                  <c:v>40.376274533192401</c:v>
                </c:pt>
                <c:pt idx="47">
                  <c:v>40.180095835869778</c:v>
                </c:pt>
                <c:pt idx="48">
                  <c:v>39.969654586621147</c:v>
                </c:pt>
                <c:pt idx="49">
                  <c:v>39.744163186618771</c:v>
                </c:pt>
                <c:pt idx="50">
                  <c:v>39.490474981802024</c:v>
                </c:pt>
                <c:pt idx="51">
                  <c:v>39.215217897758265</c:v>
                </c:pt>
                <c:pt idx="52">
                  <c:v>38.933584007382514</c:v>
                </c:pt>
                <c:pt idx="53">
                  <c:v>38.626581205308042</c:v>
                </c:pt>
                <c:pt idx="54">
                  <c:v>38.284412112001888</c:v>
                </c:pt>
                <c:pt idx="55">
                  <c:v>37.923984001934826</c:v>
                </c:pt>
                <c:pt idx="56">
                  <c:v>37.520540658752175</c:v>
                </c:pt>
                <c:pt idx="57">
                  <c:v>37.083998847739153</c:v>
                </c:pt>
                <c:pt idx="58">
                  <c:v>36.615475222933881</c:v>
                </c:pt>
                <c:pt idx="59">
                  <c:v>36.136903803322944</c:v>
                </c:pt>
                <c:pt idx="60">
                  <c:v>35.62169550808111</c:v>
                </c:pt>
                <c:pt idx="61">
                  <c:v>35.077416757344025</c:v>
                </c:pt>
                <c:pt idx="62">
                  <c:v>34.494744346279802</c:v>
                </c:pt>
                <c:pt idx="63">
                  <c:v>33.88411175058215</c:v>
                </c:pt>
                <c:pt idx="64">
                  <c:v>33.234360913992617</c:v>
                </c:pt>
                <c:pt idx="65">
                  <c:v>32.546761148725324</c:v>
                </c:pt>
                <c:pt idx="66">
                  <c:v>31.819754085719154</c:v>
                </c:pt>
                <c:pt idx="67">
                  <c:v>31.067527772951141</c:v>
                </c:pt>
                <c:pt idx="68">
                  <c:v>30.278927090615205</c:v>
                </c:pt>
                <c:pt idx="69">
                  <c:v>29.431514235542995</c:v>
                </c:pt>
                <c:pt idx="70">
                  <c:v>28.549825881145793</c:v>
                </c:pt>
                <c:pt idx="71">
                  <c:v>27.645914630663146</c:v>
                </c:pt>
                <c:pt idx="72">
                  <c:v>26.703310767360442</c:v>
                </c:pt>
                <c:pt idx="73">
                  <c:v>25.716403674718389</c:v>
                </c:pt>
                <c:pt idx="74">
                  <c:v>24.687504644866575</c:v>
                </c:pt>
                <c:pt idx="75">
                  <c:v>23.601642207255772</c:v>
                </c:pt>
                <c:pt idx="76">
                  <c:v>22.476718656082351</c:v>
                </c:pt>
                <c:pt idx="77">
                  <c:v>21.296133092473568</c:v>
                </c:pt>
                <c:pt idx="78">
                  <c:v>20.079577598067029</c:v>
                </c:pt>
                <c:pt idx="79">
                  <c:v>18.836222042892935</c:v>
                </c:pt>
                <c:pt idx="80">
                  <c:v>17.568531026987998</c:v>
                </c:pt>
                <c:pt idx="81">
                  <c:v>16.268295780844639</c:v>
                </c:pt>
                <c:pt idx="82">
                  <c:v>14.915024241588579</c:v>
                </c:pt>
                <c:pt idx="83">
                  <c:v>13.548216657504504</c:v>
                </c:pt>
                <c:pt idx="84">
                  <c:v>12.139058265572899</c:v>
                </c:pt>
                <c:pt idx="85">
                  <c:v>10.690590101099795</c:v>
                </c:pt>
                <c:pt idx="86">
                  <c:v>9.2047192426781397</c:v>
                </c:pt>
                <c:pt idx="87">
                  <c:v>7.7046981615674746</c:v>
                </c:pt>
                <c:pt idx="88">
                  <c:v>6.2005137909378583</c:v>
                </c:pt>
                <c:pt idx="89">
                  <c:v>4.6692934772550734</c:v>
                </c:pt>
                <c:pt idx="90">
                  <c:v>3.1298077788746586</c:v>
                </c:pt>
                <c:pt idx="91">
                  <c:v>1.5562830670580121</c:v>
                </c:pt>
                <c:pt idx="92">
                  <c:v>-7.7610259366422518E-2</c:v>
                </c:pt>
                <c:pt idx="93">
                  <c:v>-1.709258767267462</c:v>
                </c:pt>
                <c:pt idx="94">
                  <c:v>-3.3514457839790994</c:v>
                </c:pt>
                <c:pt idx="95">
                  <c:v>-5.0726612401278564</c:v>
                </c:pt>
                <c:pt idx="96">
                  <c:v>-6.7948224264191301</c:v>
                </c:pt>
                <c:pt idx="97">
                  <c:v>-8.5440669753747365</c:v>
                </c:pt>
                <c:pt idx="98">
                  <c:v>-10.293896514150049</c:v>
                </c:pt>
                <c:pt idx="99">
                  <c:v>-12.096049929494161</c:v>
                </c:pt>
                <c:pt idx="100">
                  <c:v>-13.899255676736402</c:v>
                </c:pt>
                <c:pt idx="101">
                  <c:v>-15.634584137786074</c:v>
                </c:pt>
                <c:pt idx="102">
                  <c:v>-17.406372134845043</c:v>
                </c:pt>
                <c:pt idx="103">
                  <c:v>-19.166167343826316</c:v>
                </c:pt>
                <c:pt idx="104">
                  <c:v>-20.959440439827901</c:v>
                </c:pt>
                <c:pt idx="105">
                  <c:v>-22.790891815677192</c:v>
                </c:pt>
                <c:pt idx="106">
                  <c:v>-24.680866494638796</c:v>
                </c:pt>
                <c:pt idx="107">
                  <c:v>-26.604692096350377</c:v>
                </c:pt>
                <c:pt idx="108">
                  <c:v>-28.42441452655747</c:v>
                </c:pt>
                <c:pt idx="109">
                  <c:v>-30.192219634662525</c:v>
                </c:pt>
                <c:pt idx="110">
                  <c:v>-31.968684459589841</c:v>
                </c:pt>
                <c:pt idx="111">
                  <c:v>-33.716601963788975</c:v>
                </c:pt>
                <c:pt idx="112">
                  <c:v>-35.45019392288269</c:v>
                </c:pt>
                <c:pt idx="113">
                  <c:v>-37.149092799657353</c:v>
                </c:pt>
                <c:pt idx="114">
                  <c:v>-38.851655403674364</c:v>
                </c:pt>
                <c:pt idx="115">
                  <c:v>-40.562392208606099</c:v>
                </c:pt>
                <c:pt idx="116">
                  <c:v>-42.231382254707093</c:v>
                </c:pt>
                <c:pt idx="117">
                  <c:v>-43.857001870778795</c:v>
                </c:pt>
                <c:pt idx="118">
                  <c:v>-45.424183028158026</c:v>
                </c:pt>
                <c:pt idx="119">
                  <c:v>-46.991543720273825</c:v>
                </c:pt>
                <c:pt idx="120">
                  <c:v>-48.579702758576715</c:v>
                </c:pt>
                <c:pt idx="121">
                  <c:v>-50.192696307331957</c:v>
                </c:pt>
                <c:pt idx="122">
                  <c:v>-51.783840800453646</c:v>
                </c:pt>
                <c:pt idx="123">
                  <c:v>-53.324470313372736</c:v>
                </c:pt>
                <c:pt idx="124">
                  <c:v>-54.841669891710431</c:v>
                </c:pt>
                <c:pt idx="125">
                  <c:v>-56.344303356270501</c:v>
                </c:pt>
                <c:pt idx="126">
                  <c:v>-57.787318794159077</c:v>
                </c:pt>
                <c:pt idx="127">
                  <c:v>-59.198729529991418</c:v>
                </c:pt>
                <c:pt idx="128">
                  <c:v>-60.643055486582867</c:v>
                </c:pt>
                <c:pt idx="129">
                  <c:v>-62.062714507864897</c:v>
                </c:pt>
                <c:pt idx="130">
                  <c:v>-63.491416696793827</c:v>
                </c:pt>
                <c:pt idx="131">
                  <c:v>-64.845300391136476</c:v>
                </c:pt>
                <c:pt idx="132">
                  <c:v>-66.154458901767512</c:v>
                </c:pt>
                <c:pt idx="133">
                  <c:v>-67.435844959392128</c:v>
                </c:pt>
                <c:pt idx="134">
                  <c:v>-68.722522604159934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0.17150563009236167</c:v>
                </c:pt>
                <c:pt idx="1">
                  <c:v>0.34278243266900077</c:v>
                </c:pt>
                <c:pt idx="2">
                  <c:v>0.52326514166774118</c:v>
                </c:pt>
                <c:pt idx="3">
                  <c:v>0.70842445486227978</c:v>
                </c:pt>
                <c:pt idx="4">
                  <c:v>0.89135881194506661</c:v>
                </c:pt>
                <c:pt idx="5">
                  <c:v>1.0785234812886322</c:v>
                </c:pt>
                <c:pt idx="6">
                  <c:v>1.2666075658576412</c:v>
                </c:pt>
                <c:pt idx="7">
                  <c:v>1.4564286085445888</c:v>
                </c:pt>
                <c:pt idx="8">
                  <c:v>1.6513271320275476</c:v>
                </c:pt>
                <c:pt idx="9">
                  <c:v>1.8422044933095201</c:v>
                </c:pt>
                <c:pt idx="10">
                  <c:v>2.0634151298750707</c:v>
                </c:pt>
                <c:pt idx="11">
                  <c:v>2.2934826614510131</c:v>
                </c:pt>
                <c:pt idx="12">
                  <c:v>2.5240592012160756</c:v>
                </c:pt>
                <c:pt idx="13">
                  <c:v>2.7606021314606295</c:v>
                </c:pt>
                <c:pt idx="14">
                  <c:v>3.0064231687839165</c:v>
                </c:pt>
                <c:pt idx="15">
                  <c:v>3.247749732869964</c:v>
                </c:pt>
                <c:pt idx="16">
                  <c:v>3.483366002298578</c:v>
                </c:pt>
                <c:pt idx="17">
                  <c:v>3.7174183546227133</c:v>
                </c:pt>
                <c:pt idx="18">
                  <c:v>3.9529328685488125</c:v>
                </c:pt>
                <c:pt idx="19">
                  <c:v>4.1957555405913176</c:v>
                </c:pt>
                <c:pt idx="20">
                  <c:v>4.4396014883894814</c:v>
                </c:pt>
                <c:pt idx="21">
                  <c:v>4.6779892954558848</c:v>
                </c:pt>
                <c:pt idx="22">
                  <c:v>4.9199925254763688</c:v>
                </c:pt>
                <c:pt idx="23">
                  <c:v>5.1514861610949616</c:v>
                </c:pt>
                <c:pt idx="24">
                  <c:v>5.3853225649343042</c:v>
                </c:pt>
                <c:pt idx="25">
                  <c:v>5.6268081056564911</c:v>
                </c:pt>
                <c:pt idx="26">
                  <c:v>5.8550855723596618</c:v>
                </c:pt>
                <c:pt idx="27">
                  <c:v>6.0779948855720818</c:v>
                </c:pt>
                <c:pt idx="28">
                  <c:v>6.3001666680488242</c:v>
                </c:pt>
                <c:pt idx="29">
                  <c:v>6.5191828258172047</c:v>
                </c:pt>
                <c:pt idx="30">
                  <c:v>6.7418336521796061</c:v>
                </c:pt>
                <c:pt idx="31">
                  <c:v>6.9693298563360786</c:v>
                </c:pt>
                <c:pt idx="32">
                  <c:v>7.1985012486237725</c:v>
                </c:pt>
                <c:pt idx="33">
                  <c:v>7.4170662270325085</c:v>
                </c:pt>
                <c:pt idx="34">
                  <c:v>7.6345595976050484</c:v>
                </c:pt>
                <c:pt idx="35">
                  <c:v>7.850871023748951</c:v>
                </c:pt>
                <c:pt idx="36">
                  <c:v>8.0641745576336579</c:v>
                </c:pt>
                <c:pt idx="37">
                  <c:v>8.288208914567484</c:v>
                </c:pt>
                <c:pt idx="38">
                  <c:v>8.5103676959779904</c:v>
                </c:pt>
                <c:pt idx="39">
                  <c:v>8.7294569309000831</c:v>
                </c:pt>
                <c:pt idx="40">
                  <c:v>8.9573891245162329</c:v>
                </c:pt>
                <c:pt idx="41">
                  <c:v>9.1870317772299241</c:v>
                </c:pt>
                <c:pt idx="42">
                  <c:v>9.4093862627728342</c:v>
                </c:pt>
                <c:pt idx="43">
                  <c:v>9.6345847286383268</c:v>
                </c:pt>
                <c:pt idx="44">
                  <c:v>9.8485307582349471</c:v>
                </c:pt>
                <c:pt idx="45">
                  <c:v>10.048835911393454</c:v>
                </c:pt>
                <c:pt idx="46">
                  <c:v>10.247691602571756</c:v>
                </c:pt>
                <c:pt idx="47">
                  <c:v>10.443763462379048</c:v>
                </c:pt>
                <c:pt idx="48">
                  <c:v>10.63981433453702</c:v>
                </c:pt>
                <c:pt idx="49">
                  <c:v>10.84256990258169</c:v>
                </c:pt>
                <c:pt idx="50">
                  <c:v>11.049482222568077</c:v>
                </c:pt>
                <c:pt idx="51">
                  <c:v>11.260245726791915</c:v>
                </c:pt>
                <c:pt idx="52">
                  <c:v>11.469761524219454</c:v>
                </c:pt>
                <c:pt idx="53">
                  <c:v>11.676090839533018</c:v>
                </c:pt>
                <c:pt idx="54">
                  <c:v>11.884990860322969</c:v>
                </c:pt>
                <c:pt idx="55">
                  <c:v>12.084871095127598</c:v>
                </c:pt>
                <c:pt idx="56">
                  <c:v>12.281164694383051</c:v>
                </c:pt>
                <c:pt idx="57">
                  <c:v>12.481607022671104</c:v>
                </c:pt>
                <c:pt idx="58">
                  <c:v>12.671470186483418</c:v>
                </c:pt>
                <c:pt idx="59">
                  <c:v>12.873909572903157</c:v>
                </c:pt>
                <c:pt idx="60">
                  <c:v>13.078457053957123</c:v>
                </c:pt>
                <c:pt idx="61">
                  <c:v>13.271956664344087</c:v>
                </c:pt>
                <c:pt idx="62">
                  <c:v>13.460677827807743</c:v>
                </c:pt>
                <c:pt idx="63">
                  <c:v>13.647948647786926</c:v>
                </c:pt>
                <c:pt idx="64">
                  <c:v>13.837287237210402</c:v>
                </c:pt>
                <c:pt idx="65">
                  <c:v>14.024149381422591</c:v>
                </c:pt>
                <c:pt idx="66">
                  <c:v>14.205126930704736</c:v>
                </c:pt>
                <c:pt idx="67">
                  <c:v>14.374809975840408</c:v>
                </c:pt>
                <c:pt idx="68">
                  <c:v>14.547407444149693</c:v>
                </c:pt>
                <c:pt idx="69">
                  <c:v>14.716669566453188</c:v>
                </c:pt>
                <c:pt idx="70">
                  <c:v>14.8849561825173</c:v>
                </c:pt>
                <c:pt idx="71">
                  <c:v>15.04975611275561</c:v>
                </c:pt>
                <c:pt idx="72">
                  <c:v>15.210773017154894</c:v>
                </c:pt>
                <c:pt idx="73">
                  <c:v>15.369434986270951</c:v>
                </c:pt>
                <c:pt idx="74">
                  <c:v>15.531694042179332</c:v>
                </c:pt>
                <c:pt idx="75">
                  <c:v>15.69080883104505</c:v>
                </c:pt>
                <c:pt idx="76">
                  <c:v>15.849010186891036</c:v>
                </c:pt>
                <c:pt idx="77">
                  <c:v>16.01080048730709</c:v>
                </c:pt>
                <c:pt idx="78">
                  <c:v>16.166220263780215</c:v>
                </c:pt>
                <c:pt idx="79">
                  <c:v>16.320791611179661</c:v>
                </c:pt>
                <c:pt idx="80">
                  <c:v>16.470107532113332</c:v>
                </c:pt>
                <c:pt idx="81">
                  <c:v>16.621100655997814</c:v>
                </c:pt>
                <c:pt idx="82">
                  <c:v>16.774963346176211</c:v>
                </c:pt>
                <c:pt idx="83">
                  <c:v>16.921236871921817</c:v>
                </c:pt>
                <c:pt idx="84">
                  <c:v>17.065559412000979</c:v>
                </c:pt>
                <c:pt idx="85">
                  <c:v>17.212181208079844</c:v>
                </c:pt>
                <c:pt idx="86">
                  <c:v>17.358132444778931</c:v>
                </c:pt>
                <c:pt idx="87">
                  <c:v>17.502883305448712</c:v>
                </c:pt>
                <c:pt idx="88">
                  <c:v>17.650390880289962</c:v>
                </c:pt>
                <c:pt idx="89">
                  <c:v>17.797697851459152</c:v>
                </c:pt>
                <c:pt idx="90">
                  <c:v>17.942456367580331</c:v>
                </c:pt>
                <c:pt idx="91">
                  <c:v>18.092192363120027</c:v>
                </c:pt>
                <c:pt idx="92">
                  <c:v>18.244917069440604</c:v>
                </c:pt>
                <c:pt idx="93">
                  <c:v>18.396838837985097</c:v>
                </c:pt>
                <c:pt idx="94">
                  <c:v>18.548017669708159</c:v>
                </c:pt>
                <c:pt idx="95">
                  <c:v>18.710021460781611</c:v>
                </c:pt>
                <c:pt idx="96">
                  <c:v>18.870669873967085</c:v>
                </c:pt>
                <c:pt idx="97">
                  <c:v>19.033647561309817</c:v>
                </c:pt>
                <c:pt idx="98">
                  <c:v>19.194002292146077</c:v>
                </c:pt>
                <c:pt idx="99">
                  <c:v>19.355381558496731</c:v>
                </c:pt>
                <c:pt idx="100">
                  <c:v>19.520258934351663</c:v>
                </c:pt>
                <c:pt idx="101">
                  <c:v>19.679559037700919</c:v>
                </c:pt>
                <c:pt idx="102">
                  <c:v>19.84101301856618</c:v>
                </c:pt>
                <c:pt idx="103">
                  <c:v>20.00677632254941</c:v>
                </c:pt>
                <c:pt idx="104">
                  <c:v>20.192448912768434</c:v>
                </c:pt>
                <c:pt idx="105">
                  <c:v>20.385808977758874</c:v>
                </c:pt>
                <c:pt idx="106">
                  <c:v>20.588572424080198</c:v>
                </c:pt>
                <c:pt idx="107">
                  <c:v>20.802552638382561</c:v>
                </c:pt>
                <c:pt idx="108">
                  <c:v>21.005891318487755</c:v>
                </c:pt>
                <c:pt idx="109">
                  <c:v>21.213427314583011</c:v>
                </c:pt>
                <c:pt idx="110">
                  <c:v>21.427421628719745</c:v>
                </c:pt>
                <c:pt idx="111">
                  <c:v>21.659877446437157</c:v>
                </c:pt>
                <c:pt idx="112">
                  <c:v>21.893436273496224</c:v>
                </c:pt>
                <c:pt idx="113">
                  <c:v>22.123211371975675</c:v>
                </c:pt>
                <c:pt idx="114">
                  <c:v>22.360555779349859</c:v>
                </c:pt>
                <c:pt idx="115">
                  <c:v>22.60900769722917</c:v>
                </c:pt>
                <c:pt idx="116">
                  <c:v>22.850556452578161</c:v>
                </c:pt>
                <c:pt idx="117">
                  <c:v>23.093908369014589</c:v>
                </c:pt>
                <c:pt idx="118">
                  <c:v>23.331182945811708</c:v>
                </c:pt>
                <c:pt idx="119">
                  <c:v>23.578119264382046</c:v>
                </c:pt>
                <c:pt idx="120">
                  <c:v>23.834238311575447</c:v>
                </c:pt>
                <c:pt idx="121">
                  <c:v>24.097537467899823</c:v>
                </c:pt>
                <c:pt idx="122">
                  <c:v>24.359030192217496</c:v>
                </c:pt>
                <c:pt idx="123">
                  <c:v>24.613151730565033</c:v>
                </c:pt>
                <c:pt idx="124">
                  <c:v>24.865505763807523</c:v>
                </c:pt>
                <c:pt idx="125">
                  <c:v>25.11808032062968</c:v>
                </c:pt>
                <c:pt idx="126">
                  <c:v>25.361926181923536</c:v>
                </c:pt>
                <c:pt idx="127">
                  <c:v>25.602761625881907</c:v>
                </c:pt>
                <c:pt idx="128">
                  <c:v>25.854014817174335</c:v>
                </c:pt>
                <c:pt idx="129">
                  <c:v>26.104170125390826</c:v>
                </c:pt>
                <c:pt idx="130">
                  <c:v>26.360734367757868</c:v>
                </c:pt>
                <c:pt idx="131">
                  <c:v>26.605660979257301</c:v>
                </c:pt>
                <c:pt idx="132">
                  <c:v>26.845426870662529</c:v>
                </c:pt>
                <c:pt idx="133">
                  <c:v>27.083700332445773</c:v>
                </c:pt>
                <c:pt idx="134">
                  <c:v>27.327978139870115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0.64536577269069362</c:v>
                </c:pt>
                <c:pt idx="2">
                  <c:v>1.2346124861538277</c:v>
                </c:pt>
                <c:pt idx="3">
                  <c:v>1.8348270259330164</c:v>
                </c:pt>
                <c:pt idx="4">
                  <c:v>2.4047669504366369</c:v>
                </c:pt>
                <c:pt idx="5">
                  <c:v>2.9159369584561676</c:v>
                </c:pt>
                <c:pt idx="6">
                  <c:v>3.4063709486713547</c:v>
                </c:pt>
                <c:pt idx="7">
                  <c:v>3.864865664145964</c:v>
                </c:pt>
                <c:pt idx="8">
                  <c:v>4.2878716219925499</c:v>
                </c:pt>
                <c:pt idx="9">
                  <c:v>4.6833609564494365</c:v>
                </c:pt>
                <c:pt idx="10">
                  <c:v>5.0306866228190676</c:v>
                </c:pt>
                <c:pt idx="11">
                  <c:v>5.4068682936746653</c:v>
                </c:pt>
                <c:pt idx="12">
                  <c:v>5.7444312835112141</c:v>
                </c:pt>
                <c:pt idx="13">
                  <c:v>6.0457526362096656</c:v>
                </c:pt>
                <c:pt idx="14">
                  <c:v>6.3150843170075444</c:v>
                </c:pt>
                <c:pt idx="15">
                  <c:v>6.5588418527035408</c:v>
                </c:pt>
                <c:pt idx="16">
                  <c:v>6.7775900178542017</c:v>
                </c:pt>
                <c:pt idx="17">
                  <c:v>6.9681634696231214</c:v>
                </c:pt>
                <c:pt idx="18">
                  <c:v>7.1402166971069061</c:v>
                </c:pt>
                <c:pt idx="19">
                  <c:v>7.2963569557713184</c:v>
                </c:pt>
                <c:pt idx="20">
                  <c:v>7.4380008090017187</c:v>
                </c:pt>
                <c:pt idx="21">
                  <c:v>7.5639874177201092</c:v>
                </c:pt>
                <c:pt idx="22">
                  <c:v>7.6775237824655234</c:v>
                </c:pt>
                <c:pt idx="23">
                  <c:v>7.7778837423647671</c:v>
                </c:pt>
                <c:pt idx="24">
                  <c:v>7.8669812600614106</c:v>
                </c:pt>
                <c:pt idx="25">
                  <c:v>7.9443630550349349</c:v>
                </c:pt>
                <c:pt idx="26">
                  <c:v>8.0171094283101745</c:v>
                </c:pt>
                <c:pt idx="27">
                  <c:v>8.0829016437602093</c:v>
                </c:pt>
                <c:pt idx="28">
                  <c:v>8.1435840974285192</c:v>
                </c:pt>
                <c:pt idx="29">
                  <c:v>8.1992515687657459</c:v>
                </c:pt>
                <c:pt idx="30">
                  <c:v>8.2505922464376908</c:v>
                </c:pt>
                <c:pt idx="31">
                  <c:v>8.2986077794189814</c:v>
                </c:pt>
                <c:pt idx="32">
                  <c:v>8.3443663615754939</c:v>
                </c:pt>
                <c:pt idx="33">
                  <c:v>8.3873525279634045</c:v>
                </c:pt>
                <c:pt idx="34">
                  <c:v>8.4253641770726198</c:v>
                </c:pt>
                <c:pt idx="35">
                  <c:v>8.4609379905260553</c:v>
                </c:pt>
                <c:pt idx="36">
                  <c:v>8.4947336583558339</c:v>
                </c:pt>
                <c:pt idx="37">
                  <c:v>8.5263531060890454</c:v>
                </c:pt>
                <c:pt idx="38">
                  <c:v>8.55810280051573</c:v>
                </c:pt>
                <c:pt idx="39">
                  <c:v>8.5887179272481653</c:v>
                </c:pt>
                <c:pt idx="40">
                  <c:v>8.6175268469811357</c:v>
                </c:pt>
                <c:pt idx="41">
                  <c:v>8.6461770258768702</c:v>
                </c:pt>
                <c:pt idx="42">
                  <c:v>8.6737510948293455</c:v>
                </c:pt>
                <c:pt idx="43">
                  <c:v>8.7001168244927527</c:v>
                </c:pt>
                <c:pt idx="44">
                  <c:v>8.7257500787323181</c:v>
                </c:pt>
                <c:pt idx="45">
                  <c:v>8.7500196994460318</c:v>
                </c:pt>
                <c:pt idx="46">
                  <c:v>8.7721556698418244</c:v>
                </c:pt>
                <c:pt idx="47">
                  <c:v>8.7934952345133865</c:v>
                </c:pt>
                <c:pt idx="48">
                  <c:v>8.8138503429163606</c:v>
                </c:pt>
                <c:pt idx="49">
                  <c:v>8.8341674993764645</c:v>
                </c:pt>
                <c:pt idx="50">
                  <c:v>8.8551985564921054</c:v>
                </c:pt>
                <c:pt idx="51">
                  <c:v>8.8761838302720903</c:v>
                </c:pt>
                <c:pt idx="52">
                  <c:v>8.897396033895717</c:v>
                </c:pt>
                <c:pt idx="53">
                  <c:v>8.9174705279362421</c:v>
                </c:pt>
                <c:pt idx="54">
                  <c:v>8.9371647767339653</c:v>
                </c:pt>
                <c:pt idx="55">
                  <c:v>8.9571594415101004</c:v>
                </c:pt>
                <c:pt idx="56">
                  <c:v>8.9761342574855636</c:v>
                </c:pt>
                <c:pt idx="57">
                  <c:v>8.9944141387626981</c:v>
                </c:pt>
                <c:pt idx="58">
                  <c:v>9.0128688704593696</c:v>
                </c:pt>
                <c:pt idx="59">
                  <c:v>9.0298043589712336</c:v>
                </c:pt>
                <c:pt idx="60">
                  <c:v>9.0480850157462136</c:v>
                </c:pt>
                <c:pt idx="61">
                  <c:v>9.0663754884248533</c:v>
                </c:pt>
                <c:pt idx="62">
                  <c:v>9.0835727367180255</c:v>
                </c:pt>
                <c:pt idx="63">
                  <c:v>9.0999120305556378</c:v>
                </c:pt>
                <c:pt idx="64">
                  <c:v>9.1160118955740241</c:v>
                </c:pt>
                <c:pt idx="65">
                  <c:v>9.1320990515891776</c:v>
                </c:pt>
                <c:pt idx="66">
                  <c:v>9.1476869952512434</c:v>
                </c:pt>
                <c:pt idx="67">
                  <c:v>9.1623613239429709</c:v>
                </c:pt>
                <c:pt idx="68">
                  <c:v>9.175701347906891</c:v>
                </c:pt>
                <c:pt idx="69">
                  <c:v>9.1892812907991797</c:v>
                </c:pt>
                <c:pt idx="70">
                  <c:v>9.2019636030494443</c:v>
                </c:pt>
                <c:pt idx="71">
                  <c:v>9.2144953987109908</c:v>
                </c:pt>
                <c:pt idx="72">
                  <c:v>9.2267456892599462</c:v>
                </c:pt>
                <c:pt idx="73">
                  <c:v>9.2384105357176018</c:v>
                </c:pt>
                <c:pt idx="74">
                  <c:v>9.2495982630185694</c:v>
                </c:pt>
                <c:pt idx="75">
                  <c:v>9.2611380948270412</c:v>
                </c:pt>
                <c:pt idx="76">
                  <c:v>9.271950116149501</c:v>
                </c:pt>
                <c:pt idx="77">
                  <c:v>9.2826043893277657</c:v>
                </c:pt>
                <c:pt idx="78">
                  <c:v>9.2934741200686481</c:v>
                </c:pt>
                <c:pt idx="79">
                  <c:v>9.3035196852084141</c:v>
                </c:pt>
                <c:pt idx="80">
                  <c:v>9.3135901271701975</c:v>
                </c:pt>
                <c:pt idx="81">
                  <c:v>9.3231089259469115</c:v>
                </c:pt>
                <c:pt idx="82">
                  <c:v>9.332883235766781</c:v>
                </c:pt>
                <c:pt idx="83">
                  <c:v>9.3428213156341364</c:v>
                </c:pt>
                <c:pt idx="84">
                  <c:v>9.3520019163147339</c:v>
                </c:pt>
                <c:pt idx="85">
                  <c:v>9.3608314751671813</c:v>
                </c:pt>
                <c:pt idx="86">
                  <c:v>9.3699020720344564</c:v>
                </c:pt>
                <c:pt idx="87">
                  <c:v>9.3788379400467417</c:v>
                </c:pt>
                <c:pt idx="88">
                  <c:v>9.3877834029327616</c:v>
                </c:pt>
                <c:pt idx="89">
                  <c:v>9.3972687192134572</c:v>
                </c:pt>
                <c:pt idx="90">
                  <c:v>9.4067114018677707</c:v>
                </c:pt>
                <c:pt idx="91">
                  <c:v>9.4159688358979494</c:v>
                </c:pt>
                <c:pt idx="92">
                  <c:v>9.4256861768702329</c:v>
                </c:pt>
                <c:pt idx="93">
                  <c:v>9.4354494036424477</c:v>
                </c:pt>
                <c:pt idx="94">
                  <c:v>9.4452408379449864</c:v>
                </c:pt>
                <c:pt idx="95">
                  <c:v>9.4549669199164335</c:v>
                </c:pt>
                <c:pt idx="96">
                  <c:v>9.4653935261106259</c:v>
                </c:pt>
                <c:pt idx="97">
                  <c:v>9.475709526679303</c:v>
                </c:pt>
                <c:pt idx="98">
                  <c:v>9.4861209059718306</c:v>
                </c:pt>
                <c:pt idx="99">
                  <c:v>9.4962792414293951</c:v>
                </c:pt>
                <c:pt idx="100">
                  <c:v>9.506281625778211</c:v>
                </c:pt>
                <c:pt idx="101">
                  <c:v>9.5162628443357242</c:v>
                </c:pt>
                <c:pt idx="102">
                  <c:v>9.5256321043832131</c:v>
                </c:pt>
                <c:pt idx="103">
                  <c:v>9.534981767002936</c:v>
                </c:pt>
                <c:pt idx="104">
                  <c:v>9.544094046147876</c:v>
                </c:pt>
                <c:pt idx="105">
                  <c:v>9.5532680319148291</c:v>
                </c:pt>
                <c:pt idx="106">
                  <c:v>9.5624694432509756</c:v>
                </c:pt>
                <c:pt idx="107">
                  <c:v>9.5718043859815864</c:v>
                </c:pt>
                <c:pt idx="108">
                  <c:v>9.5811668506986791</c:v>
                </c:pt>
                <c:pt idx="109">
                  <c:v>9.5898395137954928</c:v>
                </c:pt>
                <c:pt idx="110">
                  <c:v>9.5981667496827718</c:v>
                </c:pt>
                <c:pt idx="111">
                  <c:v>9.606427807826865</c:v>
                </c:pt>
                <c:pt idx="112">
                  <c:v>9.6145268393037355</c:v>
                </c:pt>
                <c:pt idx="113">
                  <c:v>9.6224618089021003</c:v>
                </c:pt>
                <c:pt idx="114">
                  <c:v>9.6301458723726476</c:v>
                </c:pt>
                <c:pt idx="115">
                  <c:v>9.6377805141170469</c:v>
                </c:pt>
                <c:pt idx="116">
                  <c:v>9.6454017120552358</c:v>
                </c:pt>
                <c:pt idx="117">
                  <c:v>9.6527606833341064</c:v>
                </c:pt>
                <c:pt idx="118">
                  <c:v>9.6598975509896405</c:v>
                </c:pt>
                <c:pt idx="119">
                  <c:v>9.6667443852644901</c:v>
                </c:pt>
                <c:pt idx="120">
                  <c:v>9.6735687902922933</c:v>
                </c:pt>
                <c:pt idx="121">
                  <c:v>9.6804451671069067</c:v>
                </c:pt>
                <c:pt idx="122">
                  <c:v>9.6873861828389085</c:v>
                </c:pt>
                <c:pt idx="123">
                  <c:v>9.6941998427484801</c:v>
                </c:pt>
                <c:pt idx="124">
                  <c:v>9.7007745060984103</c:v>
                </c:pt>
                <c:pt idx="125">
                  <c:v>9.7072303734442258</c:v>
                </c:pt>
                <c:pt idx="126">
                  <c:v>9.7136092196331667</c:v>
                </c:pt>
                <c:pt idx="127">
                  <c:v>9.7197361831604816</c:v>
                </c:pt>
                <c:pt idx="128">
                  <c:v>9.7257294316584524</c:v>
                </c:pt>
                <c:pt idx="129">
                  <c:v>9.7318482080112751</c:v>
                </c:pt>
                <c:pt idx="130">
                  <c:v>9.7378684866081269</c:v>
                </c:pt>
                <c:pt idx="131">
                  <c:v>9.743932256501342</c:v>
                </c:pt>
                <c:pt idx="132">
                  <c:v>9.7497027886093797</c:v>
                </c:pt>
                <c:pt idx="133">
                  <c:v>9.7553075012559418</c:v>
                </c:pt>
                <c:pt idx="134">
                  <c:v>9.7608162665245679</c:v>
                </c:pt>
                <c:pt idx="135">
                  <c:v>9.7663630283220755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105.73415196405496</c:v>
                </c:pt>
                <c:pt idx="2">
                  <c:v>101.41294047558672</c:v>
                </c:pt>
                <c:pt idx="3">
                  <c:v>100.79017697805565</c:v>
                </c:pt>
                <c:pt idx="4">
                  <c:v>101.43242487608852</c:v>
                </c:pt>
                <c:pt idx="5">
                  <c:v>107.33788260990217</c:v>
                </c:pt>
                <c:pt idx="6">
                  <c:v>109.0385737749889</c:v>
                </c:pt>
                <c:pt idx="7">
                  <c:v>111.12477851686114</c:v>
                </c:pt>
                <c:pt idx="8">
                  <c:v>111.41266739024374</c:v>
                </c:pt>
                <c:pt idx="9">
                  <c:v>111.74048402711385</c:v>
                </c:pt>
                <c:pt idx="10">
                  <c:v>110.39015819864839</c:v>
                </c:pt>
                <c:pt idx="11">
                  <c:v>107.32573273691499</c:v>
                </c:pt>
                <c:pt idx="12">
                  <c:v>108.1319872694864</c:v>
                </c:pt>
                <c:pt idx="13">
                  <c:v>107.32804116584661</c:v>
                </c:pt>
                <c:pt idx="14">
                  <c:v>106.80875993041244</c:v>
                </c:pt>
                <c:pt idx="15">
                  <c:v>104.2836056681226</c:v>
                </c:pt>
                <c:pt idx="16">
                  <c:v>106.16126373443521</c:v>
                </c:pt>
                <c:pt idx="17">
                  <c:v>103.85784308619068</c:v>
                </c:pt>
                <c:pt idx="18">
                  <c:v>101.64021654392992</c:v>
                </c:pt>
                <c:pt idx="19">
                  <c:v>98.399640795257326</c:v>
                </c:pt>
                <c:pt idx="20">
                  <c:v>96.895681387059938</c:v>
                </c:pt>
                <c:pt idx="21">
                  <c:v>96.514136322851073</c:v>
                </c:pt>
                <c:pt idx="22">
                  <c:v>98.167673248573877</c:v>
                </c:pt>
                <c:pt idx="23">
                  <c:v>97.408489198593031</c:v>
                </c:pt>
                <c:pt idx="24">
                  <c:v>95.904796600768279</c:v>
                </c:pt>
                <c:pt idx="25">
                  <c:v>94.433859903421592</c:v>
                </c:pt>
                <c:pt idx="26">
                  <c:v>92.046064927393147</c:v>
                </c:pt>
                <c:pt idx="27">
                  <c:v>91.913993935342461</c:v>
                </c:pt>
                <c:pt idx="28">
                  <c:v>94.17757801970032</c:v>
                </c:pt>
                <c:pt idx="29">
                  <c:v>92.564241602814562</c:v>
                </c:pt>
                <c:pt idx="30">
                  <c:v>91.322876659214032</c:v>
                </c:pt>
                <c:pt idx="31">
                  <c:v>87.875221271309826</c:v>
                </c:pt>
                <c:pt idx="32">
                  <c:v>91.418889344283755</c:v>
                </c:pt>
                <c:pt idx="33">
                  <c:v>88.024841299254291</c:v>
                </c:pt>
                <c:pt idx="34">
                  <c:v>92.928315454507384</c:v>
                </c:pt>
                <c:pt idx="35">
                  <c:v>95.311750987888431</c:v>
                </c:pt>
                <c:pt idx="36">
                  <c:v>95.216867902734904</c:v>
                </c:pt>
                <c:pt idx="37">
                  <c:v>95.49082636524534</c:v>
                </c:pt>
                <c:pt idx="38">
                  <c:v>92.808450599173554</c:v>
                </c:pt>
                <c:pt idx="39">
                  <c:v>88.127611547609206</c:v>
                </c:pt>
                <c:pt idx="40">
                  <c:v>86.480746522641851</c:v>
                </c:pt>
                <c:pt idx="41">
                  <c:v>81.298240607038792</c:v>
                </c:pt>
                <c:pt idx="42">
                  <c:v>78.017907567418206</c:v>
                </c:pt>
                <c:pt idx="43">
                  <c:v>73.89806046989834</c:v>
                </c:pt>
                <c:pt idx="44">
                  <c:v>74.370785800576243</c:v>
                </c:pt>
                <c:pt idx="45">
                  <c:v>71.753600867248537</c:v>
                </c:pt>
                <c:pt idx="46">
                  <c:v>74.499408290609097</c:v>
                </c:pt>
                <c:pt idx="47">
                  <c:v>75.957671895616542</c:v>
                </c:pt>
                <c:pt idx="48">
                  <c:v>77.167287286406946</c:v>
                </c:pt>
                <c:pt idx="49">
                  <c:v>77.665587461570425</c:v>
                </c:pt>
                <c:pt idx="50">
                  <c:v>72.663236150908759</c:v>
                </c:pt>
                <c:pt idx="51">
                  <c:v>72.402188431175304</c:v>
                </c:pt>
                <c:pt idx="52">
                  <c:v>68.173586433271069</c:v>
                </c:pt>
                <c:pt idx="53">
                  <c:v>65.120906024695174</c:v>
                </c:pt>
                <c:pt idx="54">
                  <c:v>64.023047015056278</c:v>
                </c:pt>
                <c:pt idx="55">
                  <c:v>65.527155497460626</c:v>
                </c:pt>
                <c:pt idx="56">
                  <c:v>60.89782171536875</c:v>
                </c:pt>
                <c:pt idx="57">
                  <c:v>58.110360245356752</c:v>
                </c:pt>
                <c:pt idx="58">
                  <c:v>53.562186518502394</c:v>
                </c:pt>
                <c:pt idx="59">
                  <c:v>53.489518258982017</c:v>
                </c:pt>
                <c:pt idx="60">
                  <c:v>56.010854033961209</c:v>
                </c:pt>
                <c:pt idx="61">
                  <c:v>66.218404810128376</c:v>
                </c:pt>
                <c:pt idx="62">
                  <c:v>64.782600246436232</c:v>
                </c:pt>
                <c:pt idx="63">
                  <c:v>60.698444766049832</c:v>
                </c:pt>
                <c:pt idx="64">
                  <c:v>56.721891084300594</c:v>
                </c:pt>
                <c:pt idx="65">
                  <c:v>53.244407446565781</c:v>
                </c:pt>
                <c:pt idx="66">
                  <c:v>50.705075406417933</c:v>
                </c:pt>
                <c:pt idx="67">
                  <c:v>48.764196212025084</c:v>
                </c:pt>
                <c:pt idx="68">
                  <c:v>46.442971624837135</c:v>
                </c:pt>
                <c:pt idx="69">
                  <c:v>46.563438533723833</c:v>
                </c:pt>
                <c:pt idx="70">
                  <c:v>47.231214840081435</c:v>
                </c:pt>
                <c:pt idx="71">
                  <c:v>44.653754506806237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2.4708900187025557E-2</c:v>
                </c:pt>
                <c:pt idx="2">
                  <c:v>2.7980827496568911E-2</c:v>
                </c:pt>
                <c:pt idx="3">
                  <c:v>3.1623892192874641E-2</c:v>
                </c:pt>
                <c:pt idx="4">
                  <c:v>3.5824511682542103E-2</c:v>
                </c:pt>
                <c:pt idx="5">
                  <c:v>4.0749886352777882E-2</c:v>
                </c:pt>
                <c:pt idx="6">
                  <c:v>4.6077210604115078E-2</c:v>
                </c:pt>
                <c:pt idx="7">
                  <c:v>5.2275925969990804E-2</c:v>
                </c:pt>
                <c:pt idx="8">
                  <c:v>5.9457230884261018E-2</c:v>
                </c:pt>
                <c:pt idx="9">
                  <c:v>6.7234024817951418E-2</c:v>
                </c:pt>
                <c:pt idx="10">
                  <c:v>7.6285672236702101E-2</c:v>
                </c:pt>
                <c:pt idx="11">
                  <c:v>8.654710700058299E-2</c:v>
                </c:pt>
                <c:pt idx="12">
                  <c:v>9.7996902607000752E-2</c:v>
                </c:pt>
                <c:pt idx="13">
                  <c:v>0.11045121172244535</c:v>
                </c:pt>
                <c:pt idx="14">
                  <c:v>0.12418160600814997</c:v>
                </c:pt>
                <c:pt idx="15">
                  <c:v>0.13992147707698785</c:v>
                </c:pt>
                <c:pt idx="16">
                  <c:v>0.1578860493226944</c:v>
                </c:pt>
                <c:pt idx="17">
                  <c:v>0.17688120040969907</c:v>
                </c:pt>
                <c:pt idx="18">
                  <c:v>0.19677900520832337</c:v>
                </c:pt>
                <c:pt idx="19">
                  <c:v>0.21821230244629108</c:v>
                </c:pt>
                <c:pt idx="20">
                  <c:v>0.24229639852937807</c:v>
                </c:pt>
                <c:pt idx="21">
                  <c:v>0.26825428555453751</c:v>
                </c:pt>
                <c:pt idx="22">
                  <c:v>0.29648954817774226</c:v>
                </c:pt>
                <c:pt idx="23">
                  <c:v>0.32696723481312573</c:v>
                </c:pt>
                <c:pt idx="24">
                  <c:v>0.35838685576611323</c:v>
                </c:pt>
                <c:pt idx="25">
                  <c:v>0.39293752084751288</c:v>
                </c:pt>
                <c:pt idx="26">
                  <c:v>0.42857236712310354</c:v>
                </c:pt>
                <c:pt idx="27">
                  <c:v>0.46354172970832391</c:v>
                </c:pt>
                <c:pt idx="28">
                  <c:v>0.49836942547914392</c:v>
                </c:pt>
                <c:pt idx="29">
                  <c:v>0.53330873244187915</c:v>
                </c:pt>
                <c:pt idx="30">
                  <c:v>0.56851771692445874</c:v>
                </c:pt>
                <c:pt idx="31">
                  <c:v>0.60346295227691105</c:v>
                </c:pt>
                <c:pt idx="32">
                  <c:v>0.63817789412554093</c:v>
                </c:pt>
                <c:pt idx="33">
                  <c:v>0.67182538064007458</c:v>
                </c:pt>
                <c:pt idx="34">
                  <c:v>0.70337429279962482</c:v>
                </c:pt>
                <c:pt idx="35">
                  <c:v>0.7320789310941499</c:v>
                </c:pt>
                <c:pt idx="36">
                  <c:v>0.7584174420885631</c:v>
                </c:pt>
                <c:pt idx="37">
                  <c:v>0.78129016904928206</c:v>
                </c:pt>
                <c:pt idx="38">
                  <c:v>0.80187732844798809</c:v>
                </c:pt>
                <c:pt idx="39">
                  <c:v>0.82109114702923114</c:v>
                </c:pt>
                <c:pt idx="40">
                  <c:v>0.83803537030694863</c:v>
                </c:pt>
                <c:pt idx="41">
                  <c:v>0.85367439042307525</c:v>
                </c:pt>
                <c:pt idx="42">
                  <c:v>0.86783101960612674</c:v>
                </c:pt>
                <c:pt idx="43">
                  <c:v>0.87986782915871165</c:v>
                </c:pt>
                <c:pt idx="44">
                  <c:v>0.89019978365825958</c:v>
                </c:pt>
                <c:pt idx="45">
                  <c:v>0.89898923741195802</c:v>
                </c:pt>
                <c:pt idx="46">
                  <c:v>0.90660810824344962</c:v>
                </c:pt>
                <c:pt idx="47">
                  <c:v>0.91315561716545079</c:v>
                </c:pt>
                <c:pt idx="48">
                  <c:v>0.91862152820375409</c:v>
                </c:pt>
                <c:pt idx="49">
                  <c:v>0.92336584335702088</c:v>
                </c:pt>
                <c:pt idx="50">
                  <c:v>0.92749709521295587</c:v>
                </c:pt>
                <c:pt idx="51">
                  <c:v>0.93100072950255408</c:v>
                </c:pt>
                <c:pt idx="52">
                  <c:v>0.93400369219107271</c:v>
                </c:pt>
                <c:pt idx="53">
                  <c:v>0.93646782025053432</c:v>
                </c:pt>
                <c:pt idx="54">
                  <c:v>0.93857923918651687</c:v>
                </c:pt>
                <c:pt idx="55">
                  <c:v>0.94039805901895424</c:v>
                </c:pt>
                <c:pt idx="56">
                  <c:v>0.94189703270273173</c:v>
                </c:pt>
                <c:pt idx="57">
                  <c:v>0.94317037459408382</c:v>
                </c:pt>
                <c:pt idx="58">
                  <c:v>0.94430880168632725</c:v>
                </c:pt>
                <c:pt idx="59">
                  <c:v>0.94528025076804012</c:v>
                </c:pt>
                <c:pt idx="60">
                  <c:v>0.9460739485984716</c:v>
                </c:pt>
                <c:pt idx="61">
                  <c:v>0.94671858826037469</c:v>
                </c:pt>
                <c:pt idx="62">
                  <c:v>0.94725114676359412</c:v>
                </c:pt>
                <c:pt idx="63">
                  <c:v>0.94770939742621485</c:v>
                </c:pt>
                <c:pt idx="64">
                  <c:v>0.9480865839794822</c:v>
                </c:pt>
                <c:pt idx="65">
                  <c:v>0.94840713808635579</c:v>
                </c:pt>
                <c:pt idx="66">
                  <c:v>0.94866641300673826</c:v>
                </c:pt>
                <c:pt idx="67">
                  <c:v>0.94888478780532359</c:v>
                </c:pt>
                <c:pt idx="68">
                  <c:v>0.94907318253985551</c:v>
                </c:pt>
                <c:pt idx="69">
                  <c:v>0.94923204538507788</c:v>
                </c:pt>
                <c:pt idx="70">
                  <c:v>0.94936565944166018</c:v>
                </c:pt>
                <c:pt idx="71">
                  <c:v>0.94947486029492256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" zoomScale="110" zoomScaleNormal="110" workbookViewId="0">
      <selection activeCell="E5" sqref="E5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6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Ice berg</v>
      </c>
      <c r="E7" s="92" t="s">
        <v>88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Lettuce Vegetable Ice berg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146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45301</v>
      </c>
      <c r="E10" s="67">
        <v>45301</v>
      </c>
      <c r="F10" s="57" t="s">
        <v>147</v>
      </c>
      <c r="G10" s="85" t="str">
        <f>IF(H10="",VLOOKUP(CurrentCropNameFull,CropCoefficients,15,FALSE),H10)</f>
        <v>Vegetative</v>
      </c>
      <c r="H10" s="72"/>
      <c r="Z10"/>
      <c r="AA10"/>
      <c r="AB10"/>
      <c r="AC10"/>
    </row>
    <row r="11" spans="2:34" s="55" customFormat="1">
      <c r="C11" s="57" t="s">
        <v>137</v>
      </c>
      <c r="D11" s="85">
        <f>IF(CurrentUnits="kg/head",IF(E11="",VLOOKUP(CurrentCropNameFull,CropCoefficients,20,FALSE),E11),"1")</f>
        <v>60000</v>
      </c>
      <c r="E11" s="72">
        <v>60000</v>
      </c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0.9</v>
      </c>
      <c r="E12" s="69">
        <v>0.9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135</v>
      </c>
      <c r="G13" s="93">
        <f>IF(H13="",VLOOKUP(CurrentCropNameFull,CropCoefficients,26,FALSE),H13)</f>
        <v>96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54</v>
      </c>
      <c r="C14" s="64" t="str">
        <f>"Yield "&amp;CurrentYield_tperHa&amp;" (t/ha)"</f>
        <v>Yield 54 (t/ha)</v>
      </c>
      <c r="D14" s="90" t="str">
        <f ca="1">"requires "&amp;ROUND(SUM('Model Interface'!P4:Q4),0)&amp;" kg N/ha from all sources"</f>
        <v>requires 95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45230</v>
      </c>
      <c r="Z14"/>
      <c r="AA14"/>
      <c r="AB14"/>
      <c r="AC14"/>
    </row>
    <row r="15" spans="2:34" s="55" customFormat="1" ht="16.2" thickBot="1">
      <c r="B15" s="55">
        <f ca="1">SUMIF(B29:B43,1,G29:G43)</f>
        <v>62.602339078583221</v>
      </c>
      <c r="C15" s="105" t="s">
        <v>221</v>
      </c>
      <c r="D15" s="106" t="str">
        <f ca="1">SUMIF(B29:B43,1,G29:G43)&amp;" Kg/ha"</f>
        <v>62.6023390785832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224</v>
      </c>
      <c r="S15" s="122"/>
      <c r="T15" s="122"/>
      <c r="U15" s="122"/>
      <c r="V15" s="122"/>
      <c r="W15" s="115"/>
      <c r="X15" s="115"/>
      <c r="Y15" s="115"/>
      <c r="Z15" s="120" t="s">
        <v>223</v>
      </c>
      <c r="AA15" s="120"/>
      <c r="AB15" s="120"/>
      <c r="AC15" s="120"/>
      <c r="AD15" s="121" t="s">
        <v>225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244</v>
      </c>
      <c r="Y17" s="55" t="s">
        <v>245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244</v>
      </c>
      <c r="AK17" s="55" t="s">
        <v>245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45230</v>
      </c>
      <c r="S18" s="55">
        <f ca="1">IF(R18&gt;1,R18,"")</f>
        <v>45230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0.25742912124832429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45302</v>
      </c>
      <c r="AE18" s="55">
        <f ca="1">IF(AD18&gt;1,AD18,"")</f>
        <v>45302</v>
      </c>
      <c r="AF18" s="55">
        <f t="shared" ref="AF18:AF20" ca="1" si="6">VLOOKUP(AE18,ModelOutputs,2,FALSE)</f>
        <v>28.635677357760713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0.17150563009236167</v>
      </c>
      <c r="AK18" s="55">
        <f t="shared" ref="AK18" ca="1" si="10">VLOOKUP(AE18,ModelOutputs,4,FALSE)</f>
        <v>0.64536577269069362</v>
      </c>
    </row>
    <row r="19" spans="1:37" s="55" customFormat="1">
      <c r="C19" s="57" t="s">
        <v>218</v>
      </c>
      <c r="D19" s="85">
        <f>IF(E19="",60,E19)</f>
        <v>30</v>
      </c>
      <c r="E19" s="16">
        <v>30</v>
      </c>
      <c r="F19" s="94" t="str">
        <f ca="1">ROUND('Model Interface'!N3,0)&amp;" kg N/ha available from SOM mineralisation"</f>
        <v>16 kg N/ha available from SOM mineralisation</v>
      </c>
      <c r="R19" s="83">
        <f ca="1"/>
        <v>45231</v>
      </c>
      <c r="S19" s="55">
        <f t="shared" ref="S19:S82" ca="1" si="11">IF(R19&gt;1,R19,"")</f>
        <v>45231</v>
      </c>
      <c r="T19" s="55">
        <f t="shared" ca="1" si="0"/>
        <v>49.901073117640735</v>
      </c>
      <c r="U19" s="55">
        <f t="shared" ca="1" si="1"/>
        <v>2.239690988352546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0.49851187375164485</v>
      </c>
      <c r="Y19" s="55">
        <f t="shared" ref="Y19:Y82" ca="1" si="14">VLOOKUP(S19,ModelOutputs,4,FALSE)+Y18</f>
        <v>-0.34000963486259028</v>
      </c>
      <c r="Z19">
        <f t="shared" ca="1" si="3"/>
        <v>105.73415196405496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2.4708900187025557E-2</v>
      </c>
      <c r="AD19" s="83">
        <f ca="1"/>
        <v>45303</v>
      </c>
      <c r="AE19" s="55">
        <f t="shared" ref="AE19:AE20" ca="1" si="16">IF(AD19&gt;1,AD19,"")</f>
        <v>45303</v>
      </c>
      <c r="AF19" s="55">
        <f t="shared" ca="1" si="6"/>
        <v>29.396200873800485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0.34278243266900077</v>
      </c>
      <c r="AK19" s="55">
        <f t="shared" ref="AK19:AK82" ca="1" si="19">VLOOKUP(AE19,ModelOutputs,4,FALSE)+AK18</f>
        <v>1.2346124861538277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45232</v>
      </c>
      <c r="S20" s="55">
        <f t="shared" ca="1" si="11"/>
        <v>45232</v>
      </c>
      <c r="T20" s="55">
        <f t="shared" ca="1" si="0"/>
        <v>49.690090131295634</v>
      </c>
      <c r="U20" s="55">
        <f t="shared" ca="1" si="1"/>
        <v>2.3558250828050942</v>
      </c>
      <c r="V20" s="55">
        <f t="shared" ca="1" si="2"/>
        <v>0</v>
      </c>
      <c r="W20" s="55">
        <f t="shared" ca="1" si="12"/>
        <v>0</v>
      </c>
      <c r="X20" s="55">
        <f t="shared" ca="1" si="13"/>
        <v>0.72989667726533325</v>
      </c>
      <c r="Y20" s="55">
        <f t="shared" ca="1" si="14"/>
        <v>-0.66624333026883176</v>
      </c>
      <c r="Z20">
        <f t="shared" ca="1" si="3"/>
        <v>101.41294047558672</v>
      </c>
      <c r="AA20">
        <f t="shared" ca="1" si="15"/>
        <v>0</v>
      </c>
      <c r="AB20">
        <f t="shared" ca="1" si="4"/>
        <v>0</v>
      </c>
      <c r="AC20">
        <f t="shared" ca="1" si="5"/>
        <v>2.7980827496568911E-2</v>
      </c>
      <c r="AD20" s="83">
        <f ca="1"/>
        <v>45304</v>
      </c>
      <c r="AE20" s="55">
        <f t="shared" ca="1" si="16"/>
        <v>45304</v>
      </c>
      <c r="AF20" s="55">
        <f t="shared" ca="1" si="6"/>
        <v>30.176898122578415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0.52326514166774118</v>
      </c>
      <c r="AK20" s="55">
        <f t="shared" ca="1" si="19"/>
        <v>1.8348270259330164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265</v>
      </c>
      <c r="F21" s="94"/>
      <c r="R21" s="83">
        <f ca="1"/>
        <v>45233</v>
      </c>
      <c r="S21" s="55">
        <f t="shared" ca="1" si="11"/>
        <v>45233</v>
      </c>
      <c r="T21" s="55">
        <f t="shared" ca="1" si="0"/>
        <v>49.487913733210299</v>
      </c>
      <c r="U21" s="55">
        <f t="shared" ca="1" si="1"/>
        <v>2.4763908589258712</v>
      </c>
      <c r="V21" s="55">
        <f t="shared" ca="1" si="2"/>
        <v>0</v>
      </c>
      <c r="W21" s="55">
        <f t="shared" ca="1" si="12"/>
        <v>0</v>
      </c>
      <c r="X21" s="55">
        <f t="shared" ca="1" si="13"/>
        <v>0.95758570771576923</v>
      </c>
      <c r="Y21" s="55">
        <f t="shared" ca="1" si="14"/>
        <v>-0.97554298268382345</v>
      </c>
      <c r="Z21">
        <f t="shared" ca="1" si="3"/>
        <v>100.79017697805565</v>
      </c>
      <c r="AA21">
        <f t="shared" ca="1" si="15"/>
        <v>0</v>
      </c>
      <c r="AB21">
        <f t="shared" ca="1" si="4"/>
        <v>0</v>
      </c>
      <c r="AC21">
        <f t="shared" ca="1" si="5"/>
        <v>3.1623892192874641E-2</v>
      </c>
      <c r="AD21" s="83">
        <f ca="1"/>
        <v>45305</v>
      </c>
      <c r="AE21" s="55">
        <f t="shared" ref="AE21:AE84" ca="1" si="20">IF(AD21&gt;1,AD21,"")</f>
        <v>45305</v>
      </c>
      <c r="AF21" s="55">
        <f t="shared" ref="AF21:AF84" ca="1" si="21">VLOOKUP(AE21,ModelOutputs,2,FALSE)</f>
        <v>30.931997360276576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0.70842445486227978</v>
      </c>
      <c r="AK21" s="55">
        <f t="shared" ca="1" si="19"/>
        <v>2.4047669504366369</v>
      </c>
    </row>
    <row r="22" spans="1:37" s="55" customFormat="1" ht="15" customHeight="1">
      <c r="C22" s="57" t="s">
        <v>210</v>
      </c>
      <c r="D22" s="85" t="str">
        <f>IF(E22="","loam",E22)</f>
        <v>SiltLoam</v>
      </c>
      <c r="E22" s="16" t="s">
        <v>273</v>
      </c>
      <c r="F22" s="94"/>
      <c r="R22" s="83">
        <f ca="1"/>
        <v>45234</v>
      </c>
      <c r="S22" s="55">
        <f t="shared" ca="1" si="11"/>
        <v>45234</v>
      </c>
      <c r="T22" s="55">
        <f t="shared" ca="1" si="0"/>
        <v>49.291941212337953</v>
      </c>
      <c r="U22" s="55">
        <f t="shared" ca="1" si="1"/>
        <v>2.6060766793804833</v>
      </c>
      <c r="V22" s="55">
        <f t="shared" ca="1" si="2"/>
        <v>0</v>
      </c>
      <c r="W22" s="55">
        <f t="shared" ca="1" si="12"/>
        <v>0</v>
      </c>
      <c r="X22" s="55">
        <f t="shared" ca="1" si="13"/>
        <v>1.1909998161931239</v>
      </c>
      <c r="Y22" s="55">
        <f t="shared" ca="1" si="14"/>
        <v>-1.2752437915789125</v>
      </c>
      <c r="Z22">
        <f t="shared" ca="1" si="3"/>
        <v>101.43242487608852</v>
      </c>
      <c r="AA22">
        <f t="shared" ca="1" si="15"/>
        <v>0</v>
      </c>
      <c r="AB22">
        <f t="shared" ca="1" si="4"/>
        <v>0</v>
      </c>
      <c r="AC22">
        <f t="shared" ca="1" si="5"/>
        <v>3.5824511682542103E-2</v>
      </c>
      <c r="AD22" s="83">
        <f ca="1"/>
        <v>45306</v>
      </c>
      <c r="AE22" s="55">
        <f t="shared" ca="1" si="20"/>
        <v>45306</v>
      </c>
      <c r="AF22" s="55">
        <f t="shared" ca="1" si="21"/>
        <v>31.626101725378891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0.89135881194506661</v>
      </c>
      <c r="AK22" s="55">
        <f t="shared" ca="1" si="19"/>
        <v>2.9159369584561676</v>
      </c>
    </row>
    <row r="23" spans="1:37" s="55" customFormat="1">
      <c r="C23" s="57"/>
      <c r="D23" s="85"/>
      <c r="E23" s="113"/>
      <c r="F23" s="94"/>
      <c r="R23" s="83">
        <f ca="1"/>
        <v>45235</v>
      </c>
      <c r="S23" s="55">
        <f t="shared" ca="1" si="11"/>
        <v>45235</v>
      </c>
      <c r="T23" s="55">
        <f t="shared" ca="1" si="0"/>
        <v>49.113409055146867</v>
      </c>
      <c r="U23" s="55">
        <f t="shared" ca="1" si="1"/>
        <v>2.7477816757486844</v>
      </c>
      <c r="V23" s="55">
        <f t="shared" ca="1" si="2"/>
        <v>0</v>
      </c>
      <c r="W23" s="55">
        <f t="shared" ca="1" si="12"/>
        <v>0</v>
      </c>
      <c r="X23" s="55">
        <f t="shared" ca="1" si="13"/>
        <v>1.4470617445415836</v>
      </c>
      <c r="Y23" s="55">
        <f t="shared" ca="1" si="14"/>
        <v>-1.5681328807502615</v>
      </c>
      <c r="Z23">
        <f t="shared" ca="1" si="3"/>
        <v>107.33788260990217</v>
      </c>
      <c r="AA23">
        <f t="shared" ca="1" si="15"/>
        <v>0</v>
      </c>
      <c r="AB23">
        <f t="shared" ca="1" si="4"/>
        <v>0</v>
      </c>
      <c r="AC23">
        <f t="shared" ca="1" si="5"/>
        <v>4.0749886352777882E-2</v>
      </c>
      <c r="AD23" s="83">
        <f ca="1"/>
        <v>45307</v>
      </c>
      <c r="AE23" s="55">
        <f t="shared" ca="1" si="20"/>
        <v>45307</v>
      </c>
      <c r="AF23" s="55">
        <f t="shared" ca="1" si="21"/>
        <v>32.303700384937642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1.0785234812886322</v>
      </c>
      <c r="AK23" s="55">
        <f t="shared" ca="1" si="19"/>
        <v>3.4063709486713547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45236</v>
      </c>
      <c r="S24" s="55">
        <f t="shared" ca="1" si="11"/>
        <v>45236</v>
      </c>
      <c r="T24" s="55">
        <f t="shared" ca="1" si="0"/>
        <v>48.950745941002033</v>
      </c>
      <c r="U24" s="55">
        <f t="shared" ca="1" si="1"/>
        <v>2.8908247513255545</v>
      </c>
      <c r="V24" s="55">
        <f t="shared" ca="1" si="2"/>
        <v>0</v>
      </c>
      <c r="W24" s="55">
        <f t="shared" ca="1" si="12"/>
        <v>0</v>
      </c>
      <c r="X24" s="55">
        <f t="shared" ca="1" si="13"/>
        <v>1.6993020303815634</v>
      </c>
      <c r="Y24" s="55">
        <f t="shared" ca="1" si="14"/>
        <v>-1.8399932051582057</v>
      </c>
      <c r="Z24">
        <f t="shared" ca="1" si="3"/>
        <v>109.0385737749889</v>
      </c>
      <c r="AA24">
        <f t="shared" ca="1" si="15"/>
        <v>0</v>
      </c>
      <c r="AB24">
        <f t="shared" ca="1" si="4"/>
        <v>0</v>
      </c>
      <c r="AC24">
        <f t="shared" ca="1" si="5"/>
        <v>4.6077210604115078E-2</v>
      </c>
      <c r="AD24" s="83">
        <f ca="1"/>
        <v>45308</v>
      </c>
      <c r="AE24" s="55">
        <f t="shared" ca="1" si="20"/>
        <v>45308</v>
      </c>
      <c r="AF24" s="55">
        <f t="shared" ca="1" si="21"/>
        <v>32.950279184981255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1.2666075658576412</v>
      </c>
      <c r="AK24" s="55">
        <f t="shared" ca="1" si="19"/>
        <v>3.864865664145964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45237</v>
      </c>
      <c r="S25" s="55">
        <f t="shared" ca="1" si="11"/>
        <v>45237</v>
      </c>
      <c r="T25" s="55">
        <f t="shared" ca="1" si="0"/>
        <v>48.795007437712002</v>
      </c>
      <c r="U25" s="55">
        <f t="shared" ca="1" si="1"/>
        <v>3.0464172463191814</v>
      </c>
      <c r="V25" s="55">
        <f t="shared" ca="1" si="2"/>
        <v>0</v>
      </c>
      <c r="W25" s="55">
        <f t="shared" ca="1" si="12"/>
        <v>0</v>
      </c>
      <c r="X25" s="55">
        <f t="shared" ca="1" si="13"/>
        <v>1.9640039024636211</v>
      </c>
      <c r="Y25" s="55">
        <f t="shared" ca="1" si="14"/>
        <v>-2.1048410855366706</v>
      </c>
      <c r="Z25">
        <f t="shared" ca="1" si="3"/>
        <v>111.12477851686114</v>
      </c>
      <c r="AA25">
        <f t="shared" ca="1" si="15"/>
        <v>0</v>
      </c>
      <c r="AB25">
        <f t="shared" ca="1" si="4"/>
        <v>0</v>
      </c>
      <c r="AC25">
        <f t="shared" ca="1" si="5"/>
        <v>5.2275925969990804E-2</v>
      </c>
      <c r="AD25" s="83">
        <f ca="1"/>
        <v>45309</v>
      </c>
      <c r="AE25" s="55">
        <f t="shared" ca="1" si="20"/>
        <v>45309</v>
      </c>
      <c r="AF25" s="55">
        <f t="shared" ca="1" si="21"/>
        <v>33.563106185514783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1.4564286085445888</v>
      </c>
      <c r="AK25" s="55">
        <f t="shared" ca="1" si="19"/>
        <v>4.2878716219925499</v>
      </c>
    </row>
    <row r="26" spans="1:37" s="55" customFormat="1" ht="15" thickBot="1">
      <c r="C26" s="56"/>
      <c r="D26" s="56"/>
      <c r="E26" s="56"/>
      <c r="F26" s="56"/>
      <c r="R26" s="83">
        <f ca="1"/>
        <v>45238</v>
      </c>
      <c r="S26" s="55">
        <f t="shared" ca="1" si="11"/>
        <v>45238</v>
      </c>
      <c r="T26" s="55">
        <f t="shared" ca="1" si="0"/>
        <v>48.641125527411717</v>
      </c>
      <c r="U26" s="55">
        <f t="shared" ca="1" si="1"/>
        <v>3.2148613583009027</v>
      </c>
      <c r="V26" s="55">
        <f t="shared" ca="1" si="2"/>
        <v>0</v>
      </c>
      <c r="W26" s="55">
        <f t="shared" ca="1" si="12"/>
        <v>0</v>
      </c>
      <c r="X26" s="55">
        <f t="shared" ca="1" si="13"/>
        <v>2.2353661889524274</v>
      </c>
      <c r="Y26" s="55">
        <f t="shared" ca="1" si="14"/>
        <v>-2.3616411703440456</v>
      </c>
      <c r="Z26">
        <f t="shared" ca="1" si="3"/>
        <v>111.41266739024374</v>
      </c>
      <c r="AA26">
        <f t="shared" ca="1" si="15"/>
        <v>0</v>
      </c>
      <c r="AB26">
        <f t="shared" ca="1" si="4"/>
        <v>0</v>
      </c>
      <c r="AC26">
        <f t="shared" ca="1" si="5"/>
        <v>5.9457230884261018E-2</v>
      </c>
      <c r="AD26" s="83">
        <f ca="1"/>
        <v>45310</v>
      </c>
      <c r="AE26" s="55">
        <f t="shared" ca="1" si="20"/>
        <v>45310</v>
      </c>
      <c r="AF26" s="55">
        <f t="shared" ca="1" si="21"/>
        <v>34.153494043454629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1.6513271320275476</v>
      </c>
      <c r="AK26" s="55">
        <f t="shared" ca="1" si="19"/>
        <v>4.6833609564494365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45239</v>
      </c>
      <c r="S27" s="55">
        <f t="shared" ca="1" si="11"/>
        <v>45239</v>
      </c>
      <c r="T27" s="55">
        <f t="shared" ca="1" si="0"/>
        <v>48.495963892050121</v>
      </c>
      <c r="U27" s="55">
        <f t="shared" ca="1" si="1"/>
        <v>3.3857143755146475</v>
      </c>
      <c r="V27" s="55">
        <f t="shared" ca="1" si="2"/>
        <v>0</v>
      </c>
      <c r="W27" s="55">
        <f t="shared" ca="1" si="12"/>
        <v>0</v>
      </c>
      <c r="X27" s="55">
        <f t="shared" ca="1" si="13"/>
        <v>2.4995411457221328</v>
      </c>
      <c r="Y27" s="55">
        <f t="shared" ca="1" si="14"/>
        <v>-2.6001247452616081</v>
      </c>
      <c r="Z27">
        <f t="shared" ca="1" si="3"/>
        <v>111.74048402711385</v>
      </c>
      <c r="AA27">
        <f t="shared" ca="1" si="15"/>
        <v>0</v>
      </c>
      <c r="AB27">
        <f t="shared" ca="1" si="4"/>
        <v>0</v>
      </c>
      <c r="AC27">
        <f t="shared" ca="1" si="5"/>
        <v>6.7234024817951418E-2</v>
      </c>
      <c r="AD27" s="83">
        <f ca="1"/>
        <v>45311</v>
      </c>
      <c r="AE27" s="55">
        <f t="shared" ca="1" si="20"/>
        <v>45311</v>
      </c>
      <c r="AF27" s="55">
        <f t="shared" ca="1" si="21"/>
        <v>34.691697071106233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1.8422044933095201</v>
      </c>
      <c r="AK27" s="55">
        <f t="shared" ca="1" si="19"/>
        <v>5.0306866228190676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45240</v>
      </c>
      <c r="S28" s="55">
        <f t="shared" ca="1" si="11"/>
        <v>45240</v>
      </c>
      <c r="T28" s="55">
        <f t="shared" ca="1" si="0"/>
        <v>48.344975428331495</v>
      </c>
      <c r="U28" s="55">
        <f t="shared" ca="1" si="1"/>
        <v>3.5723706926028234</v>
      </c>
      <c r="V28" s="55">
        <f t="shared" ca="1" si="2"/>
        <v>0</v>
      </c>
      <c r="W28" s="55">
        <f t="shared" ca="1" si="12"/>
        <v>0</v>
      </c>
      <c r="X28" s="55">
        <f t="shared" ca="1" si="13"/>
        <v>2.767781957430139</v>
      </c>
      <c r="Y28" s="55">
        <f t="shared" ca="1" si="14"/>
        <v>-2.8326977036000587</v>
      </c>
      <c r="Z28">
        <f t="shared" ca="1" si="3"/>
        <v>110.39015819864839</v>
      </c>
      <c r="AA28">
        <f t="shared" ca="1" si="15"/>
        <v>0</v>
      </c>
      <c r="AB28">
        <f t="shared" ca="1" si="4"/>
        <v>0</v>
      </c>
      <c r="AC28">
        <f t="shared" ca="1" si="5"/>
        <v>7.6285672236702101E-2</v>
      </c>
      <c r="AD28" s="83">
        <f ca="1"/>
        <v>45312</v>
      </c>
      <c r="AE28" s="55">
        <f t="shared" ca="1" si="20"/>
        <v>45312</v>
      </c>
      <c r="AF28" s="55">
        <f t="shared" ca="1" si="21"/>
        <v>35.289089378527379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2.0634151298750707</v>
      </c>
      <c r="AK28" s="55">
        <f t="shared" ca="1" si="19"/>
        <v>5.4068682936746653</v>
      </c>
    </row>
    <row r="29" spans="1:37" s="55" customFormat="1">
      <c r="A29" s="83">
        <f t="array" aca="1" ref="A29:A43" ca="1">_xlfn._xlws.FILTER('Model Interface'!X7:X496,'Model Interface'!Y7:Y496&gt;0,"")</f>
        <v>45276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45276</v>
      </c>
      <c r="G29" s="76">
        <f ca="1">IFERROR(VLOOKUP(F29,'Model Interface'!$J$7:$O$496,6,FALSE),"")</f>
        <v>21.284724406140047</v>
      </c>
      <c r="H29" s="55" t="str">
        <f ca="1">IF(B29=1,"Suggested","Applied or Planned")</f>
        <v>Suggested</v>
      </c>
      <c r="R29" s="83">
        <f ca="1"/>
        <v>45241</v>
      </c>
      <c r="S29" s="55">
        <f t="shared" ca="1" si="11"/>
        <v>45241</v>
      </c>
      <c r="T29" s="55">
        <f t="shared" ca="1" si="0"/>
        <v>48.185378050521166</v>
      </c>
      <c r="U29" s="55">
        <f t="shared" ca="1" si="1"/>
        <v>3.7711921728178419</v>
      </c>
      <c r="V29" s="55">
        <f t="shared" ca="1" si="2"/>
        <v>0</v>
      </c>
      <c r="W29" s="55">
        <f t="shared" ca="1" si="12"/>
        <v>0</v>
      </c>
      <c r="X29" s="55">
        <f t="shared" ca="1" si="13"/>
        <v>3.029665087161316</v>
      </c>
      <c r="Y29" s="55">
        <f t="shared" ca="1" si="14"/>
        <v>-3.0553567309265457</v>
      </c>
      <c r="Z29">
        <f t="shared" ca="1" si="3"/>
        <v>107.32573273691499</v>
      </c>
      <c r="AA29">
        <f t="shared" ca="1" si="15"/>
        <v>0</v>
      </c>
      <c r="AB29">
        <f t="shared" ca="1" si="4"/>
        <v>0</v>
      </c>
      <c r="AC29">
        <f t="shared" ca="1" si="5"/>
        <v>8.654710700058299E-2</v>
      </c>
      <c r="AD29" s="83">
        <f ca="1"/>
        <v>45313</v>
      </c>
      <c r="AE29" s="55">
        <f t="shared" ca="1" si="20"/>
        <v>45313</v>
      </c>
      <c r="AF29" s="55">
        <f t="shared" ca="1" si="21"/>
        <v>35.856719899939868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2.2934826614510131</v>
      </c>
      <c r="AK29" s="55">
        <f t="shared" ca="1" si="19"/>
        <v>5.7444312835112141</v>
      </c>
    </row>
    <row r="30" spans="1:37" s="55" customFormat="1">
      <c r="A30" s="83">
        <f ca="1"/>
        <v>45287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45287</v>
      </c>
      <c r="G30" s="76">
        <f ca="1">IFERROR(VLOOKUP(F30,'Model Interface'!$J$7:$O$496,6,FALSE),"")</f>
        <v>21.462809668756496</v>
      </c>
      <c r="H30" s="55" t="str">
        <f t="shared" ref="H30:H43" ca="1" si="26">IF(F30="","",IF(F30&lt;=StartSchedullingDate,"Applied or Planned","Suggested"))</f>
        <v>Suggested</v>
      </c>
      <c r="R30" s="83">
        <f ca="1"/>
        <v>45242</v>
      </c>
      <c r="S30" s="55">
        <f t="shared" ca="1" si="11"/>
        <v>45242</v>
      </c>
      <c r="T30" s="55">
        <f t="shared" ca="1" si="0"/>
        <v>48.028698779495386</v>
      </c>
      <c r="U30" s="55">
        <f t="shared" ca="1" si="1"/>
        <v>3.9801900785312516</v>
      </c>
      <c r="V30" s="55">
        <f t="shared" ca="1" si="2"/>
        <v>0</v>
      </c>
      <c r="W30" s="55">
        <f t="shared" ca="1" si="12"/>
        <v>0</v>
      </c>
      <c r="X30" s="55">
        <f t="shared" ca="1" si="13"/>
        <v>3.293132135148781</v>
      </c>
      <c r="Y30" s="55">
        <f t="shared" ca="1" si="14"/>
        <v>-3.2665051442263779</v>
      </c>
      <c r="Z30">
        <f t="shared" ca="1" si="3"/>
        <v>108.1319872694864</v>
      </c>
      <c r="AA30">
        <f t="shared" ca="1" si="15"/>
        <v>0</v>
      </c>
      <c r="AB30">
        <f t="shared" ca="1" si="4"/>
        <v>0</v>
      </c>
      <c r="AC30">
        <f t="shared" ca="1" si="5"/>
        <v>9.7996902607000752E-2</v>
      </c>
      <c r="AD30" s="83">
        <f ca="1"/>
        <v>45314</v>
      </c>
      <c r="AE30" s="55">
        <f t="shared" ca="1" si="20"/>
        <v>45314</v>
      </c>
      <c r="AF30" s="55">
        <f t="shared" ca="1" si="21"/>
        <v>36.38861779240338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2.5240592012160756</v>
      </c>
      <c r="AK30" s="55">
        <f t="shared" ca="1" si="19"/>
        <v>6.0457526362096656</v>
      </c>
    </row>
    <row r="31" spans="1:37" s="55" customFormat="1">
      <c r="A31" s="83">
        <f ca="1"/>
        <v>45295</v>
      </c>
      <c r="B31" s="55">
        <f t="shared" ca="1" si="24"/>
        <v>1</v>
      </c>
      <c r="C31" s="78"/>
      <c r="D31" s="81"/>
      <c r="F31" s="74">
        <f t="shared" ca="1" si="25"/>
        <v>45295</v>
      </c>
      <c r="G31" s="76">
        <f ca="1">IFERROR(VLOOKUP(F31,'Model Interface'!$J$7:$O$496,6,FALSE),"")</f>
        <v>19.854805003686678</v>
      </c>
      <c r="H31" s="55" t="str">
        <f t="shared" ca="1" si="26"/>
        <v>Suggested</v>
      </c>
      <c r="R31" s="83">
        <f ca="1"/>
        <v>45243</v>
      </c>
      <c r="S31" s="55">
        <f t="shared" ca="1" si="11"/>
        <v>45243</v>
      </c>
      <c r="T31" s="55">
        <f t="shared" ca="1" si="0"/>
        <v>47.872447863387677</v>
      </c>
      <c r="U31" s="55">
        <f t="shared" ca="1" si="1"/>
        <v>4.1952041575546186</v>
      </c>
      <c r="V31" s="55">
        <f t="shared" ca="1" si="2"/>
        <v>0</v>
      </c>
      <c r="W31" s="55">
        <f t="shared" ca="1" si="12"/>
        <v>0</v>
      </c>
      <c r="X31" s="55">
        <f t="shared" ca="1" si="13"/>
        <v>3.549382765855738</v>
      </c>
      <c r="Y31" s="55">
        <f t="shared" ca="1" si="14"/>
        <v>-3.4639926120176776</v>
      </c>
      <c r="Z31">
        <f t="shared" ca="1" si="3"/>
        <v>107.32804116584661</v>
      </c>
      <c r="AA31">
        <f t="shared" ca="1" si="15"/>
        <v>0</v>
      </c>
      <c r="AB31">
        <f t="shared" ca="1" si="4"/>
        <v>0</v>
      </c>
      <c r="AC31">
        <f t="shared" ca="1" si="5"/>
        <v>0.11045121172244535</v>
      </c>
      <c r="AD31" s="83">
        <f ca="1"/>
        <v>45315</v>
      </c>
      <c r="AE31" s="55">
        <f t="shared" ca="1" si="20"/>
        <v>45315</v>
      </c>
      <c r="AF31" s="55">
        <f t="shared" ca="1" si="21"/>
        <v>36.89449240344581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2.7606021314606295</v>
      </c>
      <c r="AK31" s="55">
        <f t="shared" ca="1" si="19"/>
        <v>6.3150843170075444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45244</v>
      </c>
      <c r="S32" s="55">
        <f t="shared" ca="1" si="11"/>
        <v>45244</v>
      </c>
      <c r="T32" s="55">
        <f t="shared" ca="1" si="0"/>
        <v>47.714031546439031</v>
      </c>
      <c r="U32" s="55">
        <f t="shared" ca="1" si="1"/>
        <v>4.4203486792114219</v>
      </c>
      <c r="V32" s="55">
        <f t="shared" ca="1" si="2"/>
        <v>0</v>
      </c>
      <c r="W32" s="55">
        <f t="shared" ca="1" si="12"/>
        <v>0</v>
      </c>
      <c r="X32" s="55">
        <f t="shared" ca="1" si="13"/>
        <v>3.8031568546465722</v>
      </c>
      <c r="Y32" s="55">
        <f t="shared" ca="1" si="14"/>
        <v>-3.6510384961003535</v>
      </c>
      <c r="Z32">
        <f t="shared" ca="1" si="3"/>
        <v>106.80875993041244</v>
      </c>
      <c r="AA32">
        <f t="shared" ca="1" si="15"/>
        <v>0</v>
      </c>
      <c r="AB32">
        <f t="shared" ca="1" si="4"/>
        <v>0</v>
      </c>
      <c r="AC32">
        <f t="shared" ca="1" si="5"/>
        <v>0.12418160600814997</v>
      </c>
      <c r="AD32" s="83">
        <f ca="1"/>
        <v>45316</v>
      </c>
      <c r="AE32" s="55">
        <f t="shared" ca="1" si="20"/>
        <v>45316</v>
      </c>
      <c r="AF32" s="55">
        <f t="shared" ca="1" si="21"/>
        <v>37.384070976465097</v>
      </c>
      <c r="AG32" s="55">
        <f t="shared" ca="1" si="22"/>
        <v>1.3643302726702207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3.0064231687839165</v>
      </c>
      <c r="AK32" s="55">
        <f t="shared" ca="1" si="19"/>
        <v>6.5588418527035408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45245</v>
      </c>
      <c r="S33" s="55">
        <f t="shared" ca="1" si="11"/>
        <v>45245</v>
      </c>
      <c r="T33" s="55">
        <f t="shared" ca="1" si="0"/>
        <v>47.5405813976354</v>
      </c>
      <c r="U33" s="55">
        <f t="shared" ca="1" si="1"/>
        <v>4.6662315655091655</v>
      </c>
      <c r="V33" s="55">
        <f t="shared" ca="1" si="2"/>
        <v>0</v>
      </c>
      <c r="W33" s="55">
        <f t="shared" ca="1" si="12"/>
        <v>0</v>
      </c>
      <c r="X33" s="55">
        <f t="shared" ca="1" si="13"/>
        <v>4.0575513827327292</v>
      </c>
      <c r="Y33" s="55">
        <f t="shared" ca="1" si="14"/>
        <v>-3.8330002866923989</v>
      </c>
      <c r="Z33">
        <f t="shared" ca="1" si="3"/>
        <v>104.2836056681226</v>
      </c>
      <c r="AA33">
        <f t="shared" ca="1" si="15"/>
        <v>0</v>
      </c>
      <c r="AB33">
        <f t="shared" ca="1" si="4"/>
        <v>0</v>
      </c>
      <c r="AC33">
        <f t="shared" ca="1" si="5"/>
        <v>0.13992147707698785</v>
      </c>
      <c r="AD33" s="83">
        <f ca="1"/>
        <v>45317</v>
      </c>
      <c r="AE33" s="55">
        <f t="shared" ca="1" si="20"/>
        <v>45317</v>
      </c>
      <c r="AF33" s="55">
        <f t="shared" ca="1" si="21"/>
        <v>37.766051084755254</v>
      </c>
      <c r="AG33" s="55">
        <f t="shared" ca="1" si="22"/>
        <v>1.4424248936167747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3.247749732869964</v>
      </c>
      <c r="AK33" s="55">
        <f t="shared" ca="1" si="19"/>
        <v>6.7775900178542017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45246</v>
      </c>
      <c r="S34" s="55">
        <f t="shared" ca="1" si="11"/>
        <v>45246</v>
      </c>
      <c r="T34" s="55">
        <f t="shared" ca="1" si="0"/>
        <v>47.362715129117696</v>
      </c>
      <c r="U34" s="55">
        <f t="shared" ca="1" si="1"/>
        <v>4.9343496270363509</v>
      </c>
      <c r="V34" s="55">
        <f t="shared" ca="1" si="2"/>
        <v>0</v>
      </c>
      <c r="W34" s="55">
        <f t="shared" ca="1" si="12"/>
        <v>0</v>
      </c>
      <c r="X34" s="55">
        <f t="shared" ca="1" si="13"/>
        <v>4.32427223389052</v>
      </c>
      <c r="Y34" s="55">
        <f t="shared" ca="1" si="14"/>
        <v>-4.0094693448407117</v>
      </c>
      <c r="Z34">
        <f t="shared" ca="1" si="3"/>
        <v>106.16126373443521</v>
      </c>
      <c r="AA34">
        <f t="shared" ca="1" si="15"/>
        <v>0</v>
      </c>
      <c r="AB34">
        <f t="shared" ca="1" si="4"/>
        <v>0</v>
      </c>
      <c r="AC34">
        <f t="shared" ca="1" si="5"/>
        <v>0.1578860493226944</v>
      </c>
      <c r="AD34" s="83">
        <f ca="1"/>
        <v>45318</v>
      </c>
      <c r="AE34" s="55">
        <f t="shared" ca="1" si="20"/>
        <v>45318</v>
      </c>
      <c r="AF34" s="55">
        <f t="shared" ca="1" si="21"/>
        <v>38.111152410838351</v>
      </c>
      <c r="AG34" s="55">
        <f t="shared" ca="1" si="22"/>
        <v>1.5235132887312086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3.483366002298578</v>
      </c>
      <c r="AK34" s="55">
        <f t="shared" ca="1" si="19"/>
        <v>6.9681634696231214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45247</v>
      </c>
      <c r="S35" s="55">
        <f t="shared" ca="1" si="11"/>
        <v>45247</v>
      </c>
      <c r="T35" s="55">
        <f t="shared" ca="1" si="0"/>
        <v>47.179784105485133</v>
      </c>
      <c r="U35" s="55">
        <f t="shared" ca="1" si="1"/>
        <v>5.2066134646641453</v>
      </c>
      <c r="V35" s="55">
        <f t="shared" ca="1" si="2"/>
        <v>0</v>
      </c>
      <c r="W35" s="55">
        <f t="shared" ca="1" si="12"/>
        <v>0</v>
      </c>
      <c r="X35" s="55">
        <f t="shared" ca="1" si="13"/>
        <v>4.5764602422639484</v>
      </c>
      <c r="Y35" s="55">
        <f t="shared" ca="1" si="14"/>
        <v>-4.1723245392189092</v>
      </c>
      <c r="Z35">
        <f t="shared" ca="1" si="3"/>
        <v>103.85784308619068</v>
      </c>
      <c r="AA35">
        <f t="shared" ca="1" si="15"/>
        <v>0</v>
      </c>
      <c r="AB35">
        <f t="shared" ca="1" si="4"/>
        <v>0</v>
      </c>
      <c r="AC35">
        <f t="shared" ca="1" si="5"/>
        <v>0.17688120040969907</v>
      </c>
      <c r="AD35" s="83">
        <f ca="1"/>
        <v>45319</v>
      </c>
      <c r="AE35" s="55">
        <f t="shared" ca="1" si="20"/>
        <v>45319</v>
      </c>
      <c r="AF35" s="55">
        <f t="shared" ca="1" si="21"/>
        <v>38.43091208103116</v>
      </c>
      <c r="AG35" s="55">
        <f t="shared" ca="1" si="22"/>
        <v>1.6098591983463222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3.7174183546227133</v>
      </c>
      <c r="AK35" s="55">
        <f t="shared" ca="1" si="19"/>
        <v>7.1402166971069061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45248</v>
      </c>
      <c r="S36" s="55">
        <f t="shared" ca="1" si="11"/>
        <v>45248</v>
      </c>
      <c r="T36" s="55">
        <f t="shared" ca="1" si="0"/>
        <v>46.992241146289899</v>
      </c>
      <c r="U36" s="55">
        <f t="shared" ca="1" si="1"/>
        <v>5.4823709598014201</v>
      </c>
      <c r="V36" s="55">
        <f t="shared" ca="1" si="2"/>
        <v>0</v>
      </c>
      <c r="W36" s="55">
        <f t="shared" ca="1" si="12"/>
        <v>0</v>
      </c>
      <c r="X36" s="55">
        <f t="shared" ca="1" si="13"/>
        <v>4.8152025997516867</v>
      </c>
      <c r="Y36" s="55">
        <f t="shared" ca="1" si="14"/>
        <v>-4.3228523607646032</v>
      </c>
      <c r="Z36">
        <f t="shared" ca="1" si="3"/>
        <v>101.64021654392992</v>
      </c>
      <c r="AA36">
        <f t="shared" ca="1" si="15"/>
        <v>0</v>
      </c>
      <c r="AB36">
        <f t="shared" ca="1" si="4"/>
        <v>0</v>
      </c>
      <c r="AC36">
        <f t="shared" ca="1" si="5"/>
        <v>0.19677900520832337</v>
      </c>
      <c r="AD36" s="83">
        <f ca="1"/>
        <v>45320</v>
      </c>
      <c r="AE36" s="55">
        <f t="shared" ca="1" si="20"/>
        <v>45320</v>
      </c>
      <c r="AF36" s="55">
        <f t="shared" ca="1" si="21"/>
        <v>38.730202028303403</v>
      </c>
      <c r="AG36" s="55">
        <f t="shared" ca="1" si="22"/>
        <v>1.7022240236645918</v>
      </c>
      <c r="AH36" s="55">
        <f t="shared" ca="1" si="23"/>
        <v>0</v>
      </c>
      <c r="AI36" s="55">
        <f t="shared" ca="1" si="17"/>
        <v>0</v>
      </c>
      <c r="AJ36" s="55">
        <f t="shared" ca="1" si="18"/>
        <v>3.9529328685488125</v>
      </c>
      <c r="AK36" s="55">
        <f t="shared" ca="1" si="19"/>
        <v>7.2963569557713184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45249</v>
      </c>
      <c r="S37" s="55">
        <f t="shared" ca="1" si="11"/>
        <v>45249</v>
      </c>
      <c r="T37" s="55">
        <f t="shared" ca="1" si="0"/>
        <v>46.790754836161121</v>
      </c>
      <c r="U37" s="55">
        <f t="shared" ca="1" si="1"/>
        <v>5.7713420325504501</v>
      </c>
      <c r="V37" s="55">
        <f t="shared" ca="1" si="2"/>
        <v>0</v>
      </c>
      <c r="W37" s="55">
        <f t="shared" ca="1" si="12"/>
        <v>0</v>
      </c>
      <c r="X37" s="55">
        <f t="shared" ca="1" si="13"/>
        <v>5.0451706538320682</v>
      </c>
      <c r="Y37" s="55">
        <f t="shared" ca="1" si="14"/>
        <v>-4.4653356522247316</v>
      </c>
      <c r="Z37">
        <f t="shared" ca="1" si="3"/>
        <v>98.399640795257326</v>
      </c>
      <c r="AA37">
        <f t="shared" ca="1" si="15"/>
        <v>0</v>
      </c>
      <c r="AB37">
        <f t="shared" ca="1" si="4"/>
        <v>0</v>
      </c>
      <c r="AC37">
        <f t="shared" ca="1" si="5"/>
        <v>0.21821230244629108</v>
      </c>
      <c r="AD37" s="83">
        <f ca="1"/>
        <v>45321</v>
      </c>
      <c r="AE37" s="55">
        <f t="shared" ca="1" si="20"/>
        <v>45321</v>
      </c>
      <c r="AF37" s="55">
        <f t="shared" ca="1" si="21"/>
        <v>39.015818263288665</v>
      </c>
      <c r="AG37" s="55">
        <f t="shared" ca="1" si="22"/>
        <v>1.8010743139522323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4.1957555405913176</v>
      </c>
      <c r="AK37" s="55">
        <f t="shared" ca="1" si="19"/>
        <v>7.4380008090017187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45250</v>
      </c>
      <c r="S38" s="55">
        <f t="shared" ca="1" si="11"/>
        <v>45250</v>
      </c>
      <c r="T38" s="55">
        <f t="shared" ca="1" si="0"/>
        <v>46.56853806074777</v>
      </c>
      <c r="U38" s="55">
        <f t="shared" ca="1" si="1"/>
        <v>6.0889636146533865</v>
      </c>
      <c r="V38" s="55">
        <f t="shared" ca="1" si="2"/>
        <v>0</v>
      </c>
      <c r="W38" s="55">
        <f t="shared" ca="1" si="12"/>
        <v>0</v>
      </c>
      <c r="X38" s="55">
        <f t="shared" ca="1" si="13"/>
        <v>5.2795406733514598</v>
      </c>
      <c r="Y38" s="55">
        <f t="shared" ca="1" si="14"/>
        <v>-4.604300865054535</v>
      </c>
      <c r="Z38">
        <f t="shared" ca="1" si="3"/>
        <v>96.895681387059938</v>
      </c>
      <c r="AA38">
        <f t="shared" ca="1" si="15"/>
        <v>0</v>
      </c>
      <c r="AB38">
        <f t="shared" ca="1" si="4"/>
        <v>0</v>
      </c>
      <c r="AC38">
        <f t="shared" ca="1" si="5"/>
        <v>0.24229639852937807</v>
      </c>
      <c r="AD38" s="83">
        <f ca="1"/>
        <v>45322</v>
      </c>
      <c r="AE38" s="55">
        <f t="shared" ca="1" si="20"/>
        <v>45322</v>
      </c>
      <c r="AF38" s="55">
        <f t="shared" ca="1" si="21"/>
        <v>39.281444214306738</v>
      </c>
      <c r="AG38" s="55">
        <f t="shared" ca="1" si="22"/>
        <v>1.9052809194507156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4.4396014883894814</v>
      </c>
      <c r="AK38" s="55">
        <f t="shared" ca="1" si="19"/>
        <v>7.5639874177201092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45251</v>
      </c>
      <c r="S39" s="55">
        <f t="shared" ca="1" si="11"/>
        <v>45251</v>
      </c>
      <c r="T39" s="55">
        <f t="shared" ca="1" si="0"/>
        <v>46.334271072062528</v>
      </c>
      <c r="U39" s="55">
        <f t="shared" ca="1" si="1"/>
        <v>6.4259128413050277</v>
      </c>
      <c r="V39" s="55">
        <f t="shared" ca="1" si="2"/>
        <v>0</v>
      </c>
      <c r="W39" s="55">
        <f t="shared" ca="1" si="12"/>
        <v>0</v>
      </c>
      <c r="X39" s="55">
        <f t="shared" ca="1" si="13"/>
        <v>5.5143066687205193</v>
      </c>
      <c r="Y39" s="55">
        <f t="shared" ca="1" si="14"/>
        <v>-4.7363846224571962</v>
      </c>
      <c r="Z39">
        <f t="shared" ca="1" si="3"/>
        <v>96.514136322851073</v>
      </c>
      <c r="AA39">
        <f t="shared" ca="1" si="15"/>
        <v>0</v>
      </c>
      <c r="AB39">
        <f t="shared" ca="1" si="4"/>
        <v>0</v>
      </c>
      <c r="AC39">
        <f t="shared" ca="1" si="5"/>
        <v>0.26825428555453751</v>
      </c>
      <c r="AD39" s="83">
        <f ca="1"/>
        <v>45323</v>
      </c>
      <c r="AE39" s="55">
        <f t="shared" ca="1" si="20"/>
        <v>45323</v>
      </c>
      <c r="AF39" s="55">
        <f t="shared" ca="1" si="21"/>
        <v>39.522620281525953</v>
      </c>
      <c r="AG39" s="55">
        <f t="shared" ca="1" si="22"/>
        <v>2.016029024043315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4.6779892954558848</v>
      </c>
      <c r="AK39" s="55">
        <f t="shared" ca="1" si="19"/>
        <v>7.6775237824655234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45252</v>
      </c>
      <c r="S40" s="55">
        <f t="shared" ca="1" si="11"/>
        <v>45252</v>
      </c>
      <c r="T40" s="55">
        <f t="shared" ca="1" si="0"/>
        <v>46.087702056492262</v>
      </c>
      <c r="U40" s="55">
        <f t="shared" ca="1" si="1"/>
        <v>6.7893010026392631</v>
      </c>
      <c r="V40" s="55">
        <f t="shared" ca="1" si="2"/>
        <v>0</v>
      </c>
      <c r="W40" s="55">
        <f t="shared" ca="1" si="12"/>
        <v>0</v>
      </c>
      <c r="X40" s="55">
        <f t="shared" ca="1" si="13"/>
        <v>5.7579128279735796</v>
      </c>
      <c r="Y40" s="55">
        <f t="shared" ca="1" si="14"/>
        <v>-4.8631716359462898</v>
      </c>
      <c r="Z40">
        <f t="shared" ca="1" si="3"/>
        <v>98.167673248573877</v>
      </c>
      <c r="AA40">
        <f t="shared" ca="1" si="15"/>
        <v>0</v>
      </c>
      <c r="AB40">
        <f t="shared" ca="1" si="4"/>
        <v>0</v>
      </c>
      <c r="AC40">
        <f t="shared" ca="1" si="5"/>
        <v>0.29648954817774226</v>
      </c>
      <c r="AD40" s="83">
        <f ca="1"/>
        <v>45324</v>
      </c>
      <c r="AE40" s="55">
        <f t="shared" ca="1" si="20"/>
        <v>45324</v>
      </c>
      <c r="AF40" s="55">
        <f t="shared" ca="1" si="21"/>
        <v>39.749209374896949</v>
      </c>
      <c r="AG40" s="55">
        <f t="shared" ca="1" si="22"/>
        <v>2.1318031205920511</v>
      </c>
      <c r="AH40" s="55">
        <f t="shared" ca="1" si="23"/>
        <v>0</v>
      </c>
      <c r="AI40" s="55">
        <f t="shared" ca="1" si="17"/>
        <v>0</v>
      </c>
      <c r="AJ40" s="55">
        <f t="shared" ca="1" si="18"/>
        <v>4.9199925254763688</v>
      </c>
      <c r="AK40" s="55">
        <f t="shared" ca="1" si="19"/>
        <v>7.7778837423647671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45253</v>
      </c>
      <c r="S41" s="55">
        <f t="shared" ca="1" si="11"/>
        <v>45253</v>
      </c>
      <c r="T41" s="55">
        <f t="shared" ca="1" si="0"/>
        <v>45.820333173262981</v>
      </c>
      <c r="U41" s="55">
        <f t="shared" ca="1" si="1"/>
        <v>7.1813890327527163</v>
      </c>
      <c r="V41" s="55">
        <f t="shared" ca="1" si="2"/>
        <v>0</v>
      </c>
      <c r="W41" s="55">
        <f t="shared" ca="1" si="12"/>
        <v>0</v>
      </c>
      <c r="X41" s="55">
        <f t="shared" ca="1" si="13"/>
        <v>6.004137349358861</v>
      </c>
      <c r="Y41" s="55">
        <f t="shared" ca="1" si="14"/>
        <v>-4.9846770104473936</v>
      </c>
      <c r="Z41">
        <f t="shared" ca="1" si="3"/>
        <v>97.408489198593031</v>
      </c>
      <c r="AA41">
        <f t="shared" ca="1" si="15"/>
        <v>0</v>
      </c>
      <c r="AB41">
        <f t="shared" ca="1" si="4"/>
        <v>0</v>
      </c>
      <c r="AC41">
        <f t="shared" ca="1" si="5"/>
        <v>0.32696723481312573</v>
      </c>
      <c r="AD41" s="83">
        <f ca="1"/>
        <v>45325</v>
      </c>
      <c r="AE41" s="55">
        <f t="shared" ca="1" si="20"/>
        <v>45325</v>
      </c>
      <c r="AF41" s="55">
        <f t="shared" ca="1" si="21"/>
        <v>39.948871055394257</v>
      </c>
      <c r="AG41" s="55">
        <f t="shared" ca="1" si="22"/>
        <v>2.2527325934099784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5.1514861610949616</v>
      </c>
      <c r="AK41" s="55">
        <f t="shared" ca="1" si="19"/>
        <v>7.8669812600614106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45254</v>
      </c>
      <c r="S42" s="55">
        <f t="shared" ca="1" si="11"/>
        <v>45254</v>
      </c>
      <c r="T42" s="55">
        <f t="shared" ca="1" si="0"/>
        <v>45.538637057683509</v>
      </c>
      <c r="U42" s="55">
        <f t="shared" ca="1" si="1"/>
        <v>7.5890495483319222</v>
      </c>
      <c r="V42" s="55">
        <f t="shared" ca="1" si="2"/>
        <v>0</v>
      </c>
      <c r="W42" s="55">
        <f t="shared" ca="1" si="12"/>
        <v>0</v>
      </c>
      <c r="X42" s="55">
        <f t="shared" ca="1" si="13"/>
        <v>6.243413190915506</v>
      </c>
      <c r="Y42" s="55">
        <f t="shared" ca="1" si="14"/>
        <v>-5.0979884520043033</v>
      </c>
      <c r="Z42">
        <f t="shared" ca="1" si="3"/>
        <v>95.904796600768279</v>
      </c>
      <c r="AA42">
        <f t="shared" ca="1" si="15"/>
        <v>0</v>
      </c>
      <c r="AB42">
        <f t="shared" ca="1" si="4"/>
        <v>0</v>
      </c>
      <c r="AC42">
        <f t="shared" ca="1" si="5"/>
        <v>0.35838685576611323</v>
      </c>
      <c r="AD42" s="83">
        <f ca="1"/>
        <v>45326</v>
      </c>
      <c r="AE42" s="55">
        <f t="shared" ca="1" si="20"/>
        <v>45326</v>
      </c>
      <c r="AF42" s="55">
        <f t="shared" ca="1" si="21"/>
        <v>40.136590403847705</v>
      </c>
      <c r="AG42" s="55">
        <f t="shared" ca="1" si="22"/>
        <v>2.3762314437693992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5.3853225649343042</v>
      </c>
      <c r="AK42" s="55">
        <f t="shared" ca="1" si="19"/>
        <v>7.9443630550349349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45255</v>
      </c>
      <c r="S43" s="55">
        <f t="shared" ca="1" si="11"/>
        <v>45255</v>
      </c>
      <c r="T43" s="55">
        <f t="shared" ca="1" si="0"/>
        <v>45.218408636439868</v>
      </c>
      <c r="U43" s="55">
        <f t="shared" ca="1" si="1"/>
        <v>8.0456944981394898</v>
      </c>
      <c r="V43" s="55">
        <f t="shared" ca="1" si="2"/>
        <v>0</v>
      </c>
      <c r="W43" s="55">
        <f t="shared" ca="1" si="12"/>
        <v>0</v>
      </c>
      <c r="X43" s="55">
        <f t="shared" ca="1" si="13"/>
        <v>6.4910915938509239</v>
      </c>
      <c r="Y43" s="55">
        <f t="shared" ca="1" si="14"/>
        <v>-5.2092503263757957</v>
      </c>
      <c r="Z43">
        <f t="shared" ca="1" si="3"/>
        <v>94.433859903421592</v>
      </c>
      <c r="AA43">
        <f t="shared" ca="1" si="15"/>
        <v>0</v>
      </c>
      <c r="AB43">
        <f t="shared" ca="1" si="4"/>
        <v>0</v>
      </c>
      <c r="AC43">
        <f t="shared" ca="1" si="5"/>
        <v>0.39293752084751288</v>
      </c>
      <c r="AD43" s="83">
        <f ca="1"/>
        <v>45327</v>
      </c>
      <c r="AE43" s="55">
        <f t="shared" ca="1" si="20"/>
        <v>45327</v>
      </c>
      <c r="AF43" s="55">
        <f t="shared" ca="1" si="21"/>
        <v>40.317282852868445</v>
      </c>
      <c r="AG43" s="55">
        <f t="shared" ca="1" si="22"/>
        <v>2.509770908746094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5.6268081056564911</v>
      </c>
      <c r="AK43" s="55">
        <f t="shared" ca="1" si="19"/>
        <v>8.0171094283101745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94" t="s">
        <v>150</v>
      </c>
      <c r="D44" s="96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45256</v>
      </c>
      <c r="S44" s="55">
        <f t="shared" ca="1" si="11"/>
        <v>45256</v>
      </c>
      <c r="T44" s="55">
        <f t="shared" ca="1" si="0"/>
        <v>44.870762951486874</v>
      </c>
      <c r="U44" s="55">
        <f t="shared" ca="1" si="1"/>
        <v>8.5308505948724136</v>
      </c>
      <c r="V44" s="55">
        <f t="shared" ca="1" si="2"/>
        <v>0</v>
      </c>
      <c r="W44" s="55">
        <f t="shared" ca="1" si="12"/>
        <v>0</v>
      </c>
      <c r="X44" s="55">
        <f t="shared" ca="1" si="13"/>
        <v>6.7333717310101351</v>
      </c>
      <c r="Y44" s="55">
        <f t="shared" ca="1" si="14"/>
        <v>-5.3140200517550822</v>
      </c>
      <c r="Z44">
        <f t="shared" ca="1" si="3"/>
        <v>92.046064927393147</v>
      </c>
      <c r="AA44">
        <f t="shared" ca="1" si="15"/>
        <v>0</v>
      </c>
      <c r="AB44">
        <f t="shared" ca="1" si="4"/>
        <v>0</v>
      </c>
      <c r="AC44">
        <f t="shared" ca="1" si="5"/>
        <v>0.42857236712310354</v>
      </c>
      <c r="AD44" s="83">
        <f ca="1"/>
        <v>45328</v>
      </c>
      <c r="AE44" s="55">
        <f t="shared" ca="1" si="20"/>
        <v>45328</v>
      </c>
      <c r="AF44" s="55">
        <f t="shared" ca="1" si="21"/>
        <v>40.471318451754655</v>
      </c>
      <c r="AG44" s="55">
        <f t="shared" ca="1" si="22"/>
        <v>2.6498049920130926</v>
      </c>
      <c r="AH44" s="55">
        <f t="shared" ca="1" si="23"/>
        <v>0</v>
      </c>
      <c r="AI44" s="55">
        <f t="shared" ca="1" si="17"/>
        <v>0</v>
      </c>
      <c r="AJ44" s="55">
        <f t="shared" ca="1" si="18"/>
        <v>5.8550855723596618</v>
      </c>
      <c r="AK44" s="55">
        <f t="shared" ca="1" si="19"/>
        <v>8.0829016437602093</v>
      </c>
    </row>
    <row r="45" spans="1:37" s="55" customFormat="1">
      <c r="R45" s="83">
        <f ca="1"/>
        <v>45257</v>
      </c>
      <c r="S45" s="55">
        <f t="shared" ca="1" si="11"/>
        <v>45257</v>
      </c>
      <c r="T45" s="55">
        <f t="shared" ca="1" si="0"/>
        <v>44.514325271566634</v>
      </c>
      <c r="U45" s="55">
        <f t="shared" ca="1" si="1"/>
        <v>9.026403959301815</v>
      </c>
      <c r="V45" s="55">
        <f t="shared" ca="1" si="2"/>
        <v>0</v>
      </c>
      <c r="W45" s="55">
        <f t="shared" ca="1" si="12"/>
        <v>0</v>
      </c>
      <c r="X45" s="55">
        <f t="shared" ca="1" si="13"/>
        <v>6.9683491332202649</v>
      </c>
      <c r="Y45" s="55">
        <f t="shared" ca="1" si="14"/>
        <v>-5.4098817694560548</v>
      </c>
      <c r="Z45">
        <f t="shared" ca="1" si="3"/>
        <v>91.913993935342461</v>
      </c>
      <c r="AA45">
        <f t="shared" ca="1" si="15"/>
        <v>0</v>
      </c>
      <c r="AB45">
        <f t="shared" ca="1" si="4"/>
        <v>0</v>
      </c>
      <c r="AC45">
        <f t="shared" ca="1" si="5"/>
        <v>0.46354172970832391</v>
      </c>
      <c r="AD45" s="83">
        <f ca="1"/>
        <v>45329</v>
      </c>
      <c r="AE45" s="55">
        <f t="shared" ca="1" si="20"/>
        <v>45329</v>
      </c>
      <c r="AF45" s="55">
        <f t="shared" ca="1" si="21"/>
        <v>40.606301945799309</v>
      </c>
      <c r="AG45" s="55">
        <f t="shared" ca="1" si="22"/>
        <v>2.798413264849172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6.0779948855720818</v>
      </c>
      <c r="AK45" s="55">
        <f t="shared" ca="1" si="19"/>
        <v>8.1435840974285192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45258</v>
      </c>
      <c r="S46" s="55">
        <f t="shared" ca="1" si="11"/>
        <v>45258</v>
      </c>
      <c r="T46" s="55">
        <f t="shared" ca="1" si="0"/>
        <v>44.145416687661786</v>
      </c>
      <c r="U46" s="55">
        <f t="shared" ca="1" si="1"/>
        <v>9.5451781288209521</v>
      </c>
      <c r="V46" s="55">
        <f t="shared" ca="1" si="2"/>
        <v>0</v>
      </c>
      <c r="W46" s="55">
        <f t="shared" ca="1" si="12"/>
        <v>0</v>
      </c>
      <c r="X46" s="55">
        <f t="shared" ca="1" si="13"/>
        <v>7.2076404121027888</v>
      </c>
      <c r="Y46" s="55">
        <f t="shared" ca="1" si="14"/>
        <v>-5.4993074627242873</v>
      </c>
      <c r="Z46">
        <f t="shared" ca="1" si="3"/>
        <v>94.17757801970032</v>
      </c>
      <c r="AA46">
        <f t="shared" ca="1" si="15"/>
        <v>0</v>
      </c>
      <c r="AB46">
        <f t="shared" ca="1" si="4"/>
        <v>0</v>
      </c>
      <c r="AC46">
        <f t="shared" ca="1" si="5"/>
        <v>0.49836942547914392</v>
      </c>
      <c r="AD46" s="83">
        <f ca="1"/>
        <v>45330</v>
      </c>
      <c r="AE46" s="55">
        <f t="shared" ca="1" si="20"/>
        <v>45330</v>
      </c>
      <c r="AF46" s="55">
        <f t="shared" ca="1" si="21"/>
        <v>40.72749607713088</v>
      </c>
      <c r="AG46" s="55">
        <f t="shared" ca="1" si="22"/>
        <v>2.9550583873315723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6.3001666680488242</v>
      </c>
      <c r="AK46" s="55">
        <f t="shared" ca="1" si="19"/>
        <v>8.1992515687657459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45259</v>
      </c>
      <c r="S47" s="55">
        <f t="shared" ca="1" si="11"/>
        <v>45259</v>
      </c>
      <c r="T47" s="55">
        <f t="shared" ca="1" si="0"/>
        <v>43.745340247679756</v>
      </c>
      <c r="U47" s="55">
        <f t="shared" ca="1" si="1"/>
        <v>10.098057638610269</v>
      </c>
      <c r="V47" s="55">
        <f t="shared" ca="1" si="2"/>
        <v>0</v>
      </c>
      <c r="W47" s="55">
        <f t="shared" ca="1" si="12"/>
        <v>0</v>
      </c>
      <c r="X47" s="55">
        <f t="shared" ca="1" si="13"/>
        <v>7.4448734824357405</v>
      </c>
      <c r="Y47" s="55">
        <f t="shared" ca="1" si="14"/>
        <v>-5.5837374632499541</v>
      </c>
      <c r="Z47">
        <f t="shared" ca="1" si="3"/>
        <v>92.564241602814562</v>
      </c>
      <c r="AA47">
        <f t="shared" ca="1" si="15"/>
        <v>0</v>
      </c>
      <c r="AB47">
        <f t="shared" ca="1" si="4"/>
        <v>0</v>
      </c>
      <c r="AC47">
        <f t="shared" ca="1" si="5"/>
        <v>0.53330873244187915</v>
      </c>
      <c r="AD47" s="83">
        <f ca="1"/>
        <v>45331</v>
      </c>
      <c r="AE47" s="55">
        <f t="shared" ca="1" si="20"/>
        <v>45331</v>
      </c>
      <c r="AF47" s="55">
        <f t="shared" ca="1" si="21"/>
        <v>40.83143086102082</v>
      </c>
      <c r="AG47" s="55">
        <f t="shared" ca="1" si="22"/>
        <v>3.1214804388819593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6.5191828258172047</v>
      </c>
      <c r="AK47" s="55">
        <f t="shared" ca="1" si="19"/>
        <v>8.2505922464376908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45260</v>
      </c>
      <c r="S48" s="55">
        <f t="shared" ca="1" si="11"/>
        <v>45260</v>
      </c>
      <c r="T48" s="55">
        <f t="shared" ca="1" si="0"/>
        <v>43.305307185898009</v>
      </c>
      <c r="U48" s="55">
        <f t="shared" ca="1" si="1"/>
        <v>10.697003693795294</v>
      </c>
      <c r="V48" s="55">
        <f t="shared" ca="1" si="2"/>
        <v>0</v>
      </c>
      <c r="W48" s="55">
        <f t="shared" ca="1" si="12"/>
        <v>0</v>
      </c>
      <c r="X48" s="55">
        <f t="shared" ca="1" si="13"/>
        <v>7.684276718289385</v>
      </c>
      <c r="Y48" s="55">
        <f t="shared" ca="1" si="14"/>
        <v>-5.6642277057003207</v>
      </c>
      <c r="Z48">
        <f t="shared" ca="1" si="3"/>
        <v>91.322876659214032</v>
      </c>
      <c r="AA48">
        <f t="shared" ca="1" si="15"/>
        <v>0</v>
      </c>
      <c r="AB48">
        <f t="shared" ca="1" si="4"/>
        <v>0</v>
      </c>
      <c r="AC48">
        <f t="shared" ca="1" si="5"/>
        <v>0.56851771692445874</v>
      </c>
      <c r="AD48" s="83">
        <f ca="1"/>
        <v>45332</v>
      </c>
      <c r="AE48" s="55">
        <f t="shared" ca="1" si="20"/>
        <v>45332</v>
      </c>
      <c r="AF48" s="55">
        <f t="shared" ca="1" si="21"/>
        <v>40.923001587210841</v>
      </c>
      <c r="AG48" s="55">
        <f t="shared" ca="1" si="22"/>
        <v>3.3005760720356334</v>
      </c>
      <c r="AH48" s="55">
        <f t="shared" ca="1" si="23"/>
        <v>0</v>
      </c>
      <c r="AI48" s="55">
        <f t="shared" ca="1" si="17"/>
        <v>0</v>
      </c>
      <c r="AJ48" s="55">
        <f t="shared" ca="1" si="18"/>
        <v>6.7418336521796061</v>
      </c>
      <c r="AK48" s="55">
        <f t="shared" ca="1" si="19"/>
        <v>8.2986077794189814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45261</v>
      </c>
      <c r="S49" s="55">
        <f t="shared" ca="1" si="11"/>
        <v>45261</v>
      </c>
      <c r="T49" s="55">
        <f t="shared" ca="1" si="0"/>
        <v>42.816832571191959</v>
      </c>
      <c r="U49" s="55">
        <f t="shared" ca="1" si="1"/>
        <v>11.344286635549585</v>
      </c>
      <c r="V49" s="55">
        <f t="shared" ca="1" si="2"/>
        <v>0</v>
      </c>
      <c r="W49" s="55">
        <f t="shared" ca="1" si="12"/>
        <v>0</v>
      </c>
      <c r="X49" s="55">
        <f t="shared" ca="1" si="13"/>
        <v>7.9194623236366954</v>
      </c>
      <c r="Y49" s="55">
        <f t="shared" ca="1" si="14"/>
        <v>-5.7406049839993933</v>
      </c>
      <c r="Z49">
        <f t="shared" ca="1" si="3"/>
        <v>87.875221271309826</v>
      </c>
      <c r="AA49">
        <f t="shared" ca="1" si="15"/>
        <v>0</v>
      </c>
      <c r="AB49">
        <f t="shared" ca="1" si="4"/>
        <v>0</v>
      </c>
      <c r="AC49">
        <f t="shared" ca="1" si="5"/>
        <v>0.60346295227691105</v>
      </c>
      <c r="AD49" s="83">
        <f ca="1"/>
        <v>45333</v>
      </c>
      <c r="AE49" s="55">
        <f t="shared" ca="1" si="20"/>
        <v>45333</v>
      </c>
      <c r="AF49" s="55">
        <f t="shared" ca="1" si="21"/>
        <v>41.005193825224879</v>
      </c>
      <c r="AG49" s="55">
        <f t="shared" ca="1" si="22"/>
        <v>3.4916386203345775</v>
      </c>
      <c r="AH49" s="55">
        <f t="shared" ca="1" si="23"/>
        <v>0</v>
      </c>
      <c r="AI49" s="55">
        <f t="shared" ca="1" si="17"/>
        <v>0</v>
      </c>
      <c r="AJ49" s="55">
        <f t="shared" ca="1" si="18"/>
        <v>6.9693298563360786</v>
      </c>
      <c r="AK49" s="55">
        <f t="shared" ca="1" si="19"/>
        <v>8.3443663615754939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45262</v>
      </c>
      <c r="S50" s="55">
        <f t="shared" ca="1" si="11"/>
        <v>45262</v>
      </c>
      <c r="T50" s="55">
        <f t="shared" ca="1" si="0"/>
        <v>42.286486722021735</v>
      </c>
      <c r="U50" s="55">
        <f t="shared" ca="1" si="1"/>
        <v>12.054195783016334</v>
      </c>
      <c r="V50" s="55">
        <f t="shared" ca="1" si="2"/>
        <v>0</v>
      </c>
      <c r="W50" s="55">
        <f t="shared" ca="1" si="12"/>
        <v>0</v>
      </c>
      <c r="X50" s="55">
        <f t="shared" ca="1" si="13"/>
        <v>8.1720793240188776</v>
      </c>
      <c r="Y50" s="55">
        <f t="shared" ca="1" si="14"/>
        <v>-5.8136586860850548</v>
      </c>
      <c r="Z50">
        <f t="shared" ca="1" si="3"/>
        <v>91.418889344283755</v>
      </c>
      <c r="AA50">
        <f t="shared" ca="1" si="15"/>
        <v>0</v>
      </c>
      <c r="AB50">
        <f t="shared" ca="1" si="4"/>
        <v>0</v>
      </c>
      <c r="AC50">
        <f t="shared" ca="1" si="5"/>
        <v>0.63817789412554093</v>
      </c>
      <c r="AD50" s="83">
        <f ca="1"/>
        <v>45334</v>
      </c>
      <c r="AE50" s="55">
        <f t="shared" ca="1" si="20"/>
        <v>45334</v>
      </c>
      <c r="AF50" s="55">
        <f t="shared" ca="1" si="21"/>
        <v>41.076176285677654</v>
      </c>
      <c r="AG50" s="55">
        <f t="shared" ca="1" si="22"/>
        <v>3.6928137185574128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7.1985012486237725</v>
      </c>
      <c r="AK50" s="55">
        <f t="shared" ca="1" si="19"/>
        <v>8.3873525279634045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45263</v>
      </c>
      <c r="S51" s="55">
        <f t="shared" ca="1" si="11"/>
        <v>45263</v>
      </c>
      <c r="T51" s="55">
        <f t="shared" ca="1" si="0"/>
        <v>41.69569302979059</v>
      </c>
      <c r="U51" s="55">
        <f t="shared" ca="1" si="1"/>
        <v>12.824925228332612</v>
      </c>
      <c r="V51" s="55">
        <f t="shared" ca="1" si="2"/>
        <v>0</v>
      </c>
      <c r="W51" s="55">
        <f t="shared" ca="1" si="12"/>
        <v>0</v>
      </c>
      <c r="X51" s="55">
        <f t="shared" ca="1" si="13"/>
        <v>8.4210676907806565</v>
      </c>
      <c r="Y51" s="55">
        <f t="shared" ca="1" si="14"/>
        <v>-5.8827112997617022</v>
      </c>
      <c r="Z51">
        <f t="shared" ca="1" si="3"/>
        <v>88.024841299254291</v>
      </c>
      <c r="AA51">
        <f t="shared" ca="1" si="15"/>
        <v>0</v>
      </c>
      <c r="AB51">
        <f t="shared" ca="1" si="4"/>
        <v>0</v>
      </c>
      <c r="AC51">
        <f t="shared" ca="1" si="5"/>
        <v>0.67182538064007458</v>
      </c>
      <c r="AD51" s="83">
        <f ca="1"/>
        <v>45335</v>
      </c>
      <c r="AE51" s="55">
        <f t="shared" ca="1" si="20"/>
        <v>45335</v>
      </c>
      <c r="AF51" s="55">
        <f t="shared" ca="1" si="21"/>
        <v>41.122434726944419</v>
      </c>
      <c r="AG51" s="55">
        <f t="shared" ca="1" si="22"/>
        <v>3.9031319048085971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7.4170662270325085</v>
      </c>
      <c r="AK51" s="55">
        <f t="shared" ca="1" si="19"/>
        <v>8.4253641770726198</v>
      </c>
    </row>
    <row r="52" spans="2:37" s="55" customFormat="1">
      <c r="C52" s="61" t="s">
        <v>5</v>
      </c>
      <c r="D52" s="68">
        <f>IF(E52="",CurrentEstablishDate-15,E52)</f>
        <v>45230</v>
      </c>
      <c r="E52" s="67">
        <v>45230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45264</v>
      </c>
      <c r="S52" s="55">
        <f t="shared" ca="1" si="11"/>
        <v>45264</v>
      </c>
      <c r="T52" s="55">
        <f t="shared" ca="1" si="0"/>
        <v>41.075577928694635</v>
      </c>
      <c r="U52" s="55">
        <f t="shared" ca="1" si="1"/>
        <v>13.644801672493402</v>
      </c>
      <c r="V52" s="55">
        <f t="shared" ca="1" si="2"/>
        <v>0</v>
      </c>
      <c r="W52" s="55">
        <f t="shared" ca="1" si="12"/>
        <v>0</v>
      </c>
      <c r="X52" s="55">
        <f t="shared" ca="1" si="13"/>
        <v>8.6848398054081208</v>
      </c>
      <c r="Y52" s="55">
        <f t="shared" ca="1" si="14"/>
        <v>-5.9467220713243325</v>
      </c>
      <c r="Z52">
        <f t="shared" ca="1" si="3"/>
        <v>92.928315454507384</v>
      </c>
      <c r="AA52">
        <f t="shared" ca="1" si="15"/>
        <v>0</v>
      </c>
      <c r="AB52">
        <f t="shared" ca="1" si="4"/>
        <v>0</v>
      </c>
      <c r="AC52">
        <f t="shared" ca="1" si="5"/>
        <v>0.70337429279962482</v>
      </c>
      <c r="AD52" s="83">
        <f ca="1"/>
        <v>45336</v>
      </c>
      <c r="AE52" s="55">
        <f t="shared" ca="1" si="20"/>
        <v>45336</v>
      </c>
      <c r="AF52" s="55">
        <f t="shared" ca="1" si="21"/>
        <v>41.153233469488001</v>
      </c>
      <c r="AG52" s="55">
        <f t="shared" ca="1" si="22"/>
        <v>4.1254003462909878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7.6345595976050484</v>
      </c>
      <c r="AK52" s="55">
        <f t="shared" ca="1" si="19"/>
        <v>8.4609379905260553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45265</v>
      </c>
      <c r="S53" s="55">
        <f t="shared" ca="1" si="11"/>
        <v>45265</v>
      </c>
      <c r="T53" s="55">
        <f t="shared" ca="1" si="0"/>
        <v>40.429700353852496</v>
      </c>
      <c r="U53" s="55">
        <f t="shared" ca="1" si="1"/>
        <v>14.499308766510744</v>
      </c>
      <c r="V53" s="55">
        <f t="shared" ca="1" si="2"/>
        <v>0</v>
      </c>
      <c r="W53" s="55">
        <f t="shared" ca="1" si="12"/>
        <v>0</v>
      </c>
      <c r="X53" s="55">
        <f t="shared" ca="1" si="13"/>
        <v>8.9517634727857338</v>
      </c>
      <c r="Y53" s="55">
        <f t="shared" ca="1" si="14"/>
        <v>-6.0050162195267394</v>
      </c>
      <c r="Z53">
        <f t="shared" ca="1" si="3"/>
        <v>95.311750987888431</v>
      </c>
      <c r="AA53">
        <f t="shared" ca="1" si="15"/>
        <v>0</v>
      </c>
      <c r="AB53">
        <f t="shared" ca="1" si="4"/>
        <v>0</v>
      </c>
      <c r="AC53">
        <f t="shared" ca="1" si="5"/>
        <v>0.7320789310941499</v>
      </c>
      <c r="AD53" s="83">
        <f ca="1"/>
        <v>45337</v>
      </c>
      <c r="AE53" s="55">
        <f t="shared" ca="1" si="20"/>
        <v>45337</v>
      </c>
      <c r="AF53" s="55">
        <f t="shared" ca="1" si="21"/>
        <v>41.171535801426344</v>
      </c>
      <c r="AG53" s="55">
        <f t="shared" ca="1" si="22"/>
        <v>4.3572051083263243</v>
      </c>
      <c r="AH53" s="55">
        <f t="shared" ca="1" si="23"/>
        <v>0</v>
      </c>
      <c r="AI53" s="55">
        <f t="shared" ca="1" si="17"/>
        <v>0</v>
      </c>
      <c r="AJ53" s="55">
        <f t="shared" ca="1" si="18"/>
        <v>7.850871023748951</v>
      </c>
      <c r="AK53" s="55">
        <f t="shared" ca="1" si="19"/>
        <v>8.4947336583558339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45266</v>
      </c>
      <c r="S54" s="55">
        <f t="shared" ca="1" si="11"/>
        <v>45266</v>
      </c>
      <c r="T54" s="55">
        <f t="shared" ca="1" si="0"/>
        <v>39.737375431044157</v>
      </c>
      <c r="U54" s="55">
        <f t="shared" ca="1" si="1"/>
        <v>15.405147271890828</v>
      </c>
      <c r="V54" s="55">
        <f t="shared" ca="1" si="2"/>
        <v>0</v>
      </c>
      <c r="W54" s="55">
        <f t="shared" ca="1" si="12"/>
        <v>0</v>
      </c>
      <c r="X54" s="55">
        <f t="shared" ca="1" si="13"/>
        <v>9.2190407166205866</v>
      </c>
      <c r="Y54" s="55">
        <f t="shared" ca="1" si="14"/>
        <v>-6.0587798807898521</v>
      </c>
      <c r="Z54">
        <f t="shared" ca="1" si="3"/>
        <v>95.216867902734904</v>
      </c>
      <c r="AA54">
        <f t="shared" ca="1" si="15"/>
        <v>0</v>
      </c>
      <c r="AB54">
        <f t="shared" ca="1" si="4"/>
        <v>0</v>
      </c>
      <c r="AC54">
        <f t="shared" ca="1" si="5"/>
        <v>0.7584174420885631</v>
      </c>
      <c r="AD54" s="83">
        <f ca="1"/>
        <v>45338</v>
      </c>
      <c r="AE54" s="55">
        <f t="shared" ca="1" si="20"/>
        <v>45338</v>
      </c>
      <c r="AF54" s="55">
        <f t="shared" ca="1" si="21"/>
        <v>41.173243286821354</v>
      </c>
      <c r="AG54" s="55">
        <f t="shared" ca="1" si="22"/>
        <v>4.6004206045492335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8.0641745576336579</v>
      </c>
      <c r="AK54" s="55">
        <f t="shared" ca="1" si="19"/>
        <v>8.5263531060890454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45267</v>
      </c>
      <c r="S55" s="55">
        <f t="shared" ca="1" si="11"/>
        <v>45267</v>
      </c>
      <c r="T55" s="55">
        <f t="shared" ca="1" si="0"/>
        <v>39.033441245930206</v>
      </c>
      <c r="U55" s="55">
        <f t="shared" ca="1" si="1"/>
        <v>16.318671751059831</v>
      </c>
      <c r="V55" s="55">
        <f t="shared" ca="1" si="2"/>
        <v>0</v>
      </c>
      <c r="W55" s="55">
        <f t="shared" ca="1" si="12"/>
        <v>0</v>
      </c>
      <c r="X55" s="55">
        <f t="shared" ca="1" si="13"/>
        <v>9.4763067122496309</v>
      </c>
      <c r="Y55" s="55">
        <f t="shared" ca="1" si="14"/>
        <v>-6.1064555823638349</v>
      </c>
      <c r="Z55">
        <f t="shared" ca="1" si="3"/>
        <v>95.49082636524534</v>
      </c>
      <c r="AA55">
        <f t="shared" ca="1" si="15"/>
        <v>0</v>
      </c>
      <c r="AB55">
        <f t="shared" ca="1" si="4"/>
        <v>0</v>
      </c>
      <c r="AC55">
        <f t="shared" ca="1" si="5"/>
        <v>0.78129016904928206</v>
      </c>
      <c r="AD55" s="83">
        <f ca="1"/>
        <v>45339</v>
      </c>
      <c r="AE55" s="55">
        <f t="shared" ca="1" si="20"/>
        <v>45339</v>
      </c>
      <c r="AF55" s="55">
        <f t="shared" ca="1" si="21"/>
        <v>41.172312124537612</v>
      </c>
      <c r="AG55" s="55">
        <f t="shared" ca="1" si="22"/>
        <v>4.8571358181934894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8.288208914567484</v>
      </c>
      <c r="AK55" s="55">
        <f t="shared" ca="1" si="19"/>
        <v>8.55810280051573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-6 kg N/ha to the current crop</v>
      </c>
      <c r="R56" s="83">
        <f ca="1"/>
        <v>45268</v>
      </c>
      <c r="S56" s="55">
        <f t="shared" ca="1" si="11"/>
        <v>45268</v>
      </c>
      <c r="T56" s="55">
        <f t="shared" ca="1" si="0"/>
        <v>38.28064040940852</v>
      </c>
      <c r="U56" s="55">
        <f t="shared" ca="1" si="1"/>
        <v>17.276698198577051</v>
      </c>
      <c r="V56" s="55">
        <f t="shared" ca="1" si="2"/>
        <v>0</v>
      </c>
      <c r="W56" s="55">
        <f t="shared" ca="1" si="12"/>
        <v>0</v>
      </c>
      <c r="X56" s="55">
        <f t="shared" ca="1" si="13"/>
        <v>9.7251646731735377</v>
      </c>
      <c r="Y56" s="55">
        <f t="shared" ca="1" si="14"/>
        <v>-6.1500879322922053</v>
      </c>
      <c r="Z56">
        <f t="shared" ca="1" si="3"/>
        <v>92.808450599173554</v>
      </c>
      <c r="AA56">
        <f t="shared" ca="1" si="15"/>
        <v>0</v>
      </c>
      <c r="AB56">
        <f t="shared" ca="1" si="4"/>
        <v>0</v>
      </c>
      <c r="AC56">
        <f t="shared" ca="1" si="5"/>
        <v>0.80187732844798809</v>
      </c>
      <c r="AD56" s="83">
        <f ca="1"/>
        <v>45340</v>
      </c>
      <c r="AE56" s="55">
        <f t="shared" ca="1" si="20"/>
        <v>45340</v>
      </c>
      <c r="AF56" s="55">
        <f t="shared" ca="1" si="21"/>
        <v>41.152417628234943</v>
      </c>
      <c r="AG56" s="55">
        <f t="shared" ca="1" si="22"/>
        <v>5.1298042226390983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8.5103676959779904</v>
      </c>
      <c r="AK56" s="55">
        <f t="shared" ca="1" si="19"/>
        <v>8.5887179272481653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45269</v>
      </c>
      <c r="S57" s="55">
        <f t="shared" ca="1" si="11"/>
        <v>45269</v>
      </c>
      <c r="T57" s="55">
        <f t="shared" ca="1" si="0"/>
        <v>37.433293332922801</v>
      </c>
      <c r="U57" s="55">
        <f t="shared" ca="1" si="1"/>
        <v>18.328046981774005</v>
      </c>
      <c r="V57" s="55">
        <f t="shared" ca="1" si="2"/>
        <v>0</v>
      </c>
      <c r="W57" s="55">
        <f t="shared" ca="1" si="12"/>
        <v>0</v>
      </c>
      <c r="X57" s="55">
        <f t="shared" ca="1" si="13"/>
        <v>9.9703592254955336</v>
      </c>
      <c r="Y57" s="55">
        <f t="shared" ca="1" si="14"/>
        <v>-6.1912807779029677</v>
      </c>
      <c r="Z57">
        <f t="shared" ca="1" si="3"/>
        <v>88.127611547609206</v>
      </c>
      <c r="AA57">
        <f t="shared" ca="1" si="15"/>
        <v>0</v>
      </c>
      <c r="AB57">
        <f t="shared" ca="1" si="4"/>
        <v>0</v>
      </c>
      <c r="AC57">
        <f t="shared" ca="1" si="5"/>
        <v>0.82109114702923114</v>
      </c>
      <c r="AD57" s="83">
        <f ca="1"/>
        <v>45341</v>
      </c>
      <c r="AE57" s="55">
        <f t="shared" ca="1" si="20"/>
        <v>45341</v>
      </c>
      <c r="AF57" s="55">
        <f t="shared" ca="1" si="21"/>
        <v>41.112781442682873</v>
      </c>
      <c r="AG57" s="55">
        <f t="shared" ca="1" si="22"/>
        <v>5.4173385628462398</v>
      </c>
      <c r="AH57" s="55">
        <f t="shared" ca="1" si="23"/>
        <v>0</v>
      </c>
      <c r="AI57" s="55">
        <f t="shared" ca="1" si="17"/>
        <v>0</v>
      </c>
      <c r="AJ57" s="55">
        <f t="shared" ca="1" si="18"/>
        <v>8.7294569309000831</v>
      </c>
      <c r="AK57" s="55">
        <f t="shared" ca="1" si="19"/>
        <v>8.6175268469811357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45270</v>
      </c>
      <c r="S58" s="55">
        <f t="shared" ca="1" si="11"/>
        <v>45270</v>
      </c>
      <c r="T58" s="55">
        <f t="shared" ca="1" si="0"/>
        <v>36.535677095064287</v>
      </c>
      <c r="U58" s="55">
        <f t="shared" ca="1" si="1"/>
        <v>19.427485599820301</v>
      </c>
      <c r="V58" s="55">
        <f t="shared" ca="1" si="2"/>
        <v>0</v>
      </c>
      <c r="W58" s="55">
        <f t="shared" ca="1" si="12"/>
        <v>0</v>
      </c>
      <c r="X58" s="55">
        <f t="shared" ca="1" si="13"/>
        <v>10.209442059915093</v>
      </c>
      <c r="Y58" s="55">
        <f t="shared" ca="1" si="14"/>
        <v>-6.2285412321347504</v>
      </c>
      <c r="Z58">
        <f t="shared" ca="1" si="3"/>
        <v>86.480746522641851</v>
      </c>
      <c r="AA58">
        <f t="shared" ca="1" si="15"/>
        <v>0</v>
      </c>
      <c r="AB58">
        <f t="shared" ca="1" si="4"/>
        <v>0</v>
      </c>
      <c r="AC58">
        <f t="shared" ca="1" si="5"/>
        <v>0.83803537030694863</v>
      </c>
      <c r="AD58" s="83">
        <f ca="1"/>
        <v>45342</v>
      </c>
      <c r="AE58" s="55">
        <f t="shared" ca="1" si="20"/>
        <v>45342</v>
      </c>
      <c r="AF58" s="55">
        <f t="shared" ca="1" si="21"/>
        <v>41.064761192933879</v>
      </c>
      <c r="AG58" s="55">
        <f t="shared" ca="1" si="22"/>
        <v>5.7219411851071227</v>
      </c>
      <c r="AH58" s="55">
        <f t="shared" ca="1" si="23"/>
        <v>0</v>
      </c>
      <c r="AI58" s="55">
        <f t="shared" ca="1" si="17"/>
        <v>0</v>
      </c>
      <c r="AJ58" s="55">
        <f t="shared" ca="1" si="18"/>
        <v>8.9573891245162329</v>
      </c>
      <c r="AK58" s="55">
        <f t="shared" ca="1" si="19"/>
        <v>8.6461770258768702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45271</v>
      </c>
      <c r="S59" s="55">
        <f t="shared" ca="1" si="11"/>
        <v>45271</v>
      </c>
      <c r="T59" s="55">
        <f t="shared" ca="1" si="0"/>
        <v>35.522602151994832</v>
      </c>
      <c r="U59" s="55">
        <f t="shared" ca="1" si="1"/>
        <v>20.641065499371777</v>
      </c>
      <c r="V59" s="55">
        <f t="shared" ca="1" si="2"/>
        <v>0</v>
      </c>
      <c r="W59" s="55">
        <f t="shared" ca="1" si="12"/>
        <v>0</v>
      </c>
      <c r="X59" s="55">
        <f t="shared" ca="1" si="13"/>
        <v>10.444958747651647</v>
      </c>
      <c r="Y59" s="55">
        <f t="shared" ca="1" si="14"/>
        <v>-6.2635529633892819</v>
      </c>
      <c r="Z59">
        <f t="shared" ca="1" si="3"/>
        <v>81.298240607038792</v>
      </c>
      <c r="AA59">
        <f t="shared" ca="1" si="15"/>
        <v>0</v>
      </c>
      <c r="AB59">
        <f t="shared" ca="1" si="4"/>
        <v>0</v>
      </c>
      <c r="AC59">
        <f t="shared" ca="1" si="5"/>
        <v>0.85367439042307525</v>
      </c>
      <c r="AD59" s="83">
        <f ca="1"/>
        <v>45343</v>
      </c>
      <c r="AE59" s="55">
        <f t="shared" ca="1" si="20"/>
        <v>45343</v>
      </c>
      <c r="AF59" s="55">
        <f t="shared" ca="1" si="21"/>
        <v>41.001983390086814</v>
      </c>
      <c r="AG59" s="55">
        <f t="shared" ca="1" si="22"/>
        <v>6.0419357096203585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9.1870317772299241</v>
      </c>
      <c r="AK59" s="55">
        <f t="shared" ca="1" si="19"/>
        <v>8.6737510948293455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45272</v>
      </c>
      <c r="S60" s="55">
        <f t="shared" ca="1" si="11"/>
        <v>45272</v>
      </c>
      <c r="T60" s="55">
        <f t="shared" ca="1" si="0"/>
        <v>34.395264021129108</v>
      </c>
      <c r="U60" s="55">
        <f t="shared" ca="1" si="1"/>
        <v>21.971256749471145</v>
      </c>
      <c r="V60" s="55">
        <f t="shared" ca="1" si="2"/>
        <v>0</v>
      </c>
      <c r="W60" s="55">
        <f t="shared" ca="1" si="12"/>
        <v>0</v>
      </c>
      <c r="X60" s="55">
        <f t="shared" ca="1" si="13"/>
        <v>10.680251202033507</v>
      </c>
      <c r="Y60" s="55">
        <f t="shared" ca="1" si="14"/>
        <v>-6.2959922985374916</v>
      </c>
      <c r="Z60">
        <f t="shared" ca="1" si="3"/>
        <v>78.017907567418206</v>
      </c>
      <c r="AA60">
        <f t="shared" ca="1" si="15"/>
        <v>0</v>
      </c>
      <c r="AB60">
        <f t="shared" ca="1" si="4"/>
        <v>0</v>
      </c>
      <c r="AC60">
        <f t="shared" ca="1" si="5"/>
        <v>0.86783101960612674</v>
      </c>
      <c r="AD60" s="83">
        <f ca="1"/>
        <v>45344</v>
      </c>
      <c r="AE60" s="55">
        <f t="shared" ca="1" si="20"/>
        <v>45344</v>
      </c>
      <c r="AF60" s="55">
        <f t="shared" ca="1" si="21"/>
        <v>40.917162485459457</v>
      </c>
      <c r="AG60" s="55">
        <f t="shared" ca="1" si="22"/>
        <v>6.3754768294540334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9.4093862627728342</v>
      </c>
      <c r="AK60" s="55">
        <f t="shared" ca="1" si="19"/>
        <v>8.7001168244927527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45273</v>
      </c>
      <c r="S61" s="55">
        <f t="shared" ca="1" si="11"/>
        <v>45273</v>
      </c>
      <c r="T61" s="55">
        <f t="shared" ca="1" si="0"/>
        <v>33.209854043220645</v>
      </c>
      <c r="U61" s="55">
        <f t="shared" ca="1" si="1"/>
        <v>23.349034672429394</v>
      </c>
      <c r="V61" s="55">
        <f t="shared" ca="1" si="2"/>
        <v>0</v>
      </c>
      <c r="W61" s="55">
        <f t="shared" ca="1" si="12"/>
        <v>0</v>
      </c>
      <c r="X61" s="55">
        <f t="shared" ca="1" si="13"/>
        <v>10.901075319376417</v>
      </c>
      <c r="Y61" s="55">
        <f t="shared" ca="1" si="14"/>
        <v>-6.3244484708306121</v>
      </c>
      <c r="Z61">
        <f t="shared" ca="1" si="3"/>
        <v>73.89806046989834</v>
      </c>
      <c r="AA61">
        <f t="shared" ca="1" si="15"/>
        <v>0</v>
      </c>
      <c r="AB61">
        <f t="shared" ca="1" si="4"/>
        <v>0</v>
      </c>
      <c r="AC61">
        <f t="shared" ca="1" si="5"/>
        <v>0.87986782915871165</v>
      </c>
      <c r="AD61" s="83">
        <f ca="1"/>
        <v>45345</v>
      </c>
      <c r="AE61" s="55">
        <f t="shared" ca="1" si="20"/>
        <v>45345</v>
      </c>
      <c r="AF61" s="55">
        <f t="shared" ca="1" si="21"/>
        <v>40.816890550355893</v>
      </c>
      <c r="AG61" s="55">
        <f t="shared" ca="1" si="22"/>
        <v>6.7265804846626507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9.6345847286383268</v>
      </c>
      <c r="AK61" s="55">
        <f t="shared" ca="1" si="19"/>
        <v>8.7257500787323181</v>
      </c>
    </row>
    <row r="62" spans="2:37" s="55" customFormat="1">
      <c r="C62" s="61" t="s">
        <v>4</v>
      </c>
      <c r="D62" s="68">
        <f>IF(E62="",CurrentHarvestDate+15,E62)</f>
        <v>45316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45274</v>
      </c>
      <c r="S62" s="55">
        <f t="shared" ca="1" si="11"/>
        <v>45274</v>
      </c>
      <c r="T62" s="55">
        <f t="shared" ca="1" si="0"/>
        <v>31.963412153906955</v>
      </c>
      <c r="U62" s="55">
        <f t="shared" ca="1" si="1"/>
        <v>24.7910191447504</v>
      </c>
      <c r="V62" s="55">
        <f t="shared" ca="1" si="2"/>
        <v>0</v>
      </c>
      <c r="W62" s="55">
        <f t="shared" ca="1" si="12"/>
        <v>0</v>
      </c>
      <c r="X62" s="55">
        <f t="shared" ca="1" si="13"/>
        <v>11.121696880510028</v>
      </c>
      <c r="Y62" s="55">
        <f t="shared" ca="1" si="14"/>
        <v>-6.3495274489569073</v>
      </c>
      <c r="Z62">
        <f t="shared" ca="1" si="3"/>
        <v>74.370785800576243</v>
      </c>
      <c r="AA62">
        <f t="shared" ca="1" si="15"/>
        <v>0</v>
      </c>
      <c r="AB62">
        <f t="shared" ca="1" si="4"/>
        <v>0</v>
      </c>
      <c r="AC62">
        <f t="shared" ca="1" si="5"/>
        <v>0.89019978365825958</v>
      </c>
      <c r="AD62" s="83">
        <f ca="1"/>
        <v>45346</v>
      </c>
      <c r="AE62" s="55">
        <f t="shared" ca="1" si="20"/>
        <v>45346</v>
      </c>
      <c r="AF62" s="55">
        <f t="shared" ca="1" si="21"/>
        <v>40.693883703624834</v>
      </c>
      <c r="AG62" s="55">
        <f t="shared" ca="1" si="22"/>
        <v>7.0878029817040487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9.8485307582349471</v>
      </c>
      <c r="AK62" s="55">
        <f t="shared" ca="1" si="19"/>
        <v>8.7500196994460318</v>
      </c>
    </row>
    <row r="63" spans="2:37" s="55" customFormat="1">
      <c r="C63" s="61" t="s">
        <v>5</v>
      </c>
      <c r="D63" s="68">
        <f>IF(E63="",FollowingEstablishDate+120,E63)</f>
        <v>45436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45275</v>
      </c>
      <c r="S63" s="55">
        <f t="shared" ca="1" si="11"/>
        <v>45275</v>
      </c>
      <c r="T63" s="55">
        <f t="shared" ca="1" si="0"/>
        <v>30.656391352174335</v>
      </c>
      <c r="U63" s="55">
        <f t="shared" ca="1" si="1"/>
        <v>26.287870859037984</v>
      </c>
      <c r="V63" s="55">
        <f t="shared" ca="1" si="2"/>
        <v>0</v>
      </c>
      <c r="W63" s="55">
        <f t="shared" ca="1" si="12"/>
        <v>0</v>
      </c>
      <c r="X63" s="55">
        <f t="shared" ca="1" si="13"/>
        <v>11.333351182734301</v>
      </c>
      <c r="Y63" s="55">
        <f t="shared" ca="1" si="14"/>
        <v>-6.3713508386262143</v>
      </c>
      <c r="Z63">
        <f t="shared" ca="1" si="3"/>
        <v>71.753600867248537</v>
      </c>
      <c r="AA63">
        <f t="shared" ca="1" si="15"/>
        <v>0</v>
      </c>
      <c r="AB63">
        <f t="shared" ca="1" si="4"/>
        <v>0</v>
      </c>
      <c r="AC63">
        <f t="shared" ca="1" si="5"/>
        <v>0.89898923741195802</v>
      </c>
      <c r="AD63" s="83">
        <f ca="1"/>
        <v>45347</v>
      </c>
      <c r="AE63" s="55">
        <f t="shared" ca="1" si="20"/>
        <v>45347</v>
      </c>
      <c r="AF63" s="55">
        <f t="shared" ca="1" si="21"/>
        <v>40.546631687971285</v>
      </c>
      <c r="AG63" s="55">
        <f t="shared" ca="1" si="22"/>
        <v>7.4574961209119053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10.048835911393454</v>
      </c>
      <c r="AK63" s="55">
        <f t="shared" ca="1" si="19"/>
        <v>8.7721556698418244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45276</v>
      </c>
      <c r="S64" s="55">
        <f t="shared" ca="1" si="11"/>
        <v>45276</v>
      </c>
      <c r="T64" s="55">
        <f t="shared" ca="1" si="0"/>
        <v>50.556126672002954</v>
      </c>
      <c r="U64" s="55">
        <f t="shared" ca="1" si="1"/>
        <v>27.873622116397744</v>
      </c>
      <c r="V64" s="55">
        <f t="shared" ca="1" si="2"/>
        <v>21.284724406140047</v>
      </c>
      <c r="W64" s="55">
        <f t="shared" ca="1" si="12"/>
        <v>0</v>
      </c>
      <c r="X64" s="55">
        <f t="shared" ca="1" si="13"/>
        <v>11.553265526566076</v>
      </c>
      <c r="Y64" s="55">
        <f t="shared" ca="1" si="14"/>
        <v>-6.3905030114096579</v>
      </c>
      <c r="Z64">
        <f t="shared" ca="1" si="3"/>
        <v>74.499408290609097</v>
      </c>
      <c r="AA64">
        <f t="shared" ca="1" si="15"/>
        <v>0</v>
      </c>
      <c r="AB64">
        <f t="shared" ca="1" si="4"/>
        <v>0</v>
      </c>
      <c r="AC64">
        <f t="shared" ca="1" si="5"/>
        <v>0.90660810824344962</v>
      </c>
      <c r="AD64" s="83">
        <f ca="1"/>
        <v>45348</v>
      </c>
      <c r="AE64" s="55">
        <f t="shared" ca="1" si="20"/>
        <v>45348</v>
      </c>
      <c r="AF64" s="55">
        <f t="shared" ca="1" si="21"/>
        <v>40.376274533192401</v>
      </c>
      <c r="AG64" s="55">
        <f t="shared" ca="1" si="22"/>
        <v>7.8480485315406536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10.247691602571756</v>
      </c>
      <c r="AK64" s="55">
        <f t="shared" ca="1" si="19"/>
        <v>8.7934952345133865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45277</v>
      </c>
      <c r="S65" s="55">
        <f t="shared" ca="1" si="11"/>
        <v>45277</v>
      </c>
      <c r="T65" s="55">
        <f t="shared" ca="1" si="0"/>
        <v>49.093627591060745</v>
      </c>
      <c r="U65" s="55">
        <f t="shared" ca="1" si="1"/>
        <v>29.543799189924659</v>
      </c>
      <c r="V65" s="55">
        <f t="shared" ca="1" si="2"/>
        <v>0</v>
      </c>
      <c r="W65" s="55">
        <f t="shared" ca="1" si="12"/>
        <v>0</v>
      </c>
      <c r="X65" s="55">
        <f t="shared" ca="1" si="13"/>
        <v>11.777467460875256</v>
      </c>
      <c r="Y65" s="55">
        <f t="shared" ca="1" si="14"/>
        <v>-6.40702695313413</v>
      </c>
      <c r="Z65">
        <f t="shared" ca="1" si="3"/>
        <v>75.957671895616542</v>
      </c>
      <c r="AA65">
        <f t="shared" ca="1" si="15"/>
        <v>0</v>
      </c>
      <c r="AB65">
        <f t="shared" ca="1" si="4"/>
        <v>0</v>
      </c>
      <c r="AC65">
        <f t="shared" ca="1" si="5"/>
        <v>0.91315561716545079</v>
      </c>
      <c r="AD65" s="83">
        <f ca="1"/>
        <v>45349</v>
      </c>
      <c r="AE65" s="55">
        <f t="shared" ca="1" si="20"/>
        <v>45349</v>
      </c>
      <c r="AF65" s="55">
        <f t="shared" ca="1" si="21"/>
        <v>40.180095835869778</v>
      </c>
      <c r="AG65" s="55">
        <f t="shared" ca="1" si="22"/>
        <v>8.2606541970735403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10.443763462379048</v>
      </c>
      <c r="AK65" s="55">
        <f t="shared" ca="1" si="19"/>
        <v>8.8138503429163606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45278</v>
      </c>
      <c r="S66" s="55">
        <f t="shared" ca="1" si="11"/>
        <v>45278</v>
      </c>
      <c r="T66" s="55">
        <f t="shared" ca="1" si="0"/>
        <v>47.594748771871927</v>
      </c>
      <c r="U66" s="55">
        <f t="shared" ca="1" si="1"/>
        <v>31.250948490792155</v>
      </c>
      <c r="V66" s="55">
        <f t="shared" ca="1" si="2"/>
        <v>0</v>
      </c>
      <c r="W66" s="55">
        <f t="shared" ca="1" si="12"/>
        <v>0</v>
      </c>
      <c r="X66" s="55">
        <f t="shared" ca="1" si="13"/>
        <v>11.999469094779519</v>
      </c>
      <c r="Y66" s="55">
        <f t="shared" ca="1" si="14"/>
        <v>-6.4207581053597096</v>
      </c>
      <c r="Z66">
        <f t="shared" ca="1" si="3"/>
        <v>77.167287286406946</v>
      </c>
      <c r="AA66">
        <f t="shared" ca="1" si="15"/>
        <v>0</v>
      </c>
      <c r="AB66">
        <f t="shared" ca="1" si="4"/>
        <v>0</v>
      </c>
      <c r="AC66">
        <f t="shared" ca="1" si="5"/>
        <v>0.91862152820375409</v>
      </c>
      <c r="AD66" s="83">
        <f ca="1"/>
        <v>45350</v>
      </c>
      <c r="AE66" s="55">
        <f t="shared" ca="1" si="20"/>
        <v>45350</v>
      </c>
      <c r="AF66" s="55">
        <f t="shared" ca="1" si="21"/>
        <v>39.969654586621147</v>
      </c>
      <c r="AG66" s="55">
        <f t="shared" ca="1" si="22"/>
        <v>8.6874634749402428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10.63981433453702</v>
      </c>
      <c r="AK66" s="55">
        <f t="shared" ca="1" si="19"/>
        <v>8.8341674993764645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137 kg N/ha</v>
      </c>
      <c r="R67" s="83">
        <f ca="1"/>
        <v>45279</v>
      </c>
      <c r="S67" s="55">
        <f t="shared" ca="1" si="11"/>
        <v>45279</v>
      </c>
      <c r="T67" s="55">
        <f t="shared" ca="1" si="0"/>
        <v>45.995854185374959</v>
      </c>
      <c r="U67" s="55">
        <f t="shared" ca="1" si="1"/>
        <v>33.064653283537787</v>
      </c>
      <c r="V67" s="55">
        <f t="shared" ca="1" si="2"/>
        <v>0</v>
      </c>
      <c r="W67" s="55">
        <f t="shared" ca="1" si="12"/>
        <v>0</v>
      </c>
      <c r="X67" s="55">
        <f t="shared" ca="1" si="13"/>
        <v>12.225853302978752</v>
      </c>
      <c r="Y67" s="55">
        <f t="shared" ca="1" si="14"/>
        <v>-6.4323321073102777</v>
      </c>
      <c r="Z67">
        <f t="shared" ca="1" si="3"/>
        <v>77.665587461570425</v>
      </c>
      <c r="AA67">
        <f t="shared" ca="1" si="15"/>
        <v>0</v>
      </c>
      <c r="AB67">
        <f t="shared" ca="1" si="4"/>
        <v>0</v>
      </c>
      <c r="AC67">
        <f t="shared" ca="1" si="5"/>
        <v>0.92336584335702088</v>
      </c>
      <c r="AD67" s="83">
        <f ca="1"/>
        <v>45351</v>
      </c>
      <c r="AE67" s="55">
        <f t="shared" ca="1" si="20"/>
        <v>45351</v>
      </c>
      <c r="AF67" s="55">
        <f t="shared" ca="1" si="21"/>
        <v>39.744163186618771</v>
      </c>
      <c r="AG67" s="55">
        <f t="shared" ca="1" si="22"/>
        <v>9.136741500102934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10.84256990258169</v>
      </c>
      <c r="AK67" s="55">
        <f t="shared" ca="1" si="19"/>
        <v>8.8551985564921054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45280</v>
      </c>
      <c r="S68" s="55">
        <f t="shared" ca="1" si="11"/>
        <v>45280</v>
      </c>
      <c r="T68" s="55">
        <f t="shared" ca="1" si="0"/>
        <v>44.263680167346863</v>
      </c>
      <c r="U68" s="55">
        <f t="shared" ca="1" si="1"/>
        <v>35.006119617692157</v>
      </c>
      <c r="V68" s="55">
        <f t="shared" ca="1" si="2"/>
        <v>0</v>
      </c>
      <c r="W68" s="55">
        <f t="shared" ca="1" si="12"/>
        <v>0</v>
      </c>
      <c r="X68" s="55">
        <f t="shared" ca="1" si="13"/>
        <v>12.444674924408357</v>
      </c>
      <c r="Y68" s="55">
        <f t="shared" ca="1" si="14"/>
        <v>-6.4418614126136102</v>
      </c>
      <c r="Z68">
        <f t="shared" ca="1" si="3"/>
        <v>72.663236150908759</v>
      </c>
      <c r="AA68">
        <f t="shared" ca="1" si="15"/>
        <v>0</v>
      </c>
      <c r="AB68">
        <f t="shared" ca="1" si="4"/>
        <v>0</v>
      </c>
      <c r="AC68">
        <f t="shared" ca="1" si="5"/>
        <v>0.92749709521295587</v>
      </c>
      <c r="AD68" s="83">
        <f ca="1"/>
        <v>45352</v>
      </c>
      <c r="AE68" s="55">
        <f t="shared" ca="1" si="20"/>
        <v>45352</v>
      </c>
      <c r="AF68" s="55">
        <f t="shared" ca="1" si="21"/>
        <v>39.490474981802024</v>
      </c>
      <c r="AG68" s="55">
        <f t="shared" ca="1" si="22"/>
        <v>9.6183272986860491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11.049482222568077</v>
      </c>
      <c r="AK68" s="55">
        <f t="shared" ca="1" si="19"/>
        <v>8.8761838302720903</v>
      </c>
    </row>
    <row r="69" spans="2:37">
      <c r="C69" s="61"/>
      <c r="D69" s="88"/>
      <c r="E69" s="99"/>
      <c r="R69" s="83">
        <f ca="1"/>
        <v>45281</v>
      </c>
      <c r="S69" s="55">
        <f t="shared" ca="1" si="11"/>
        <v>45281</v>
      </c>
      <c r="T69" s="55">
        <f t="shared" ca="1" si="0"/>
        <v>42.445286942879591</v>
      </c>
      <c r="U69" s="55">
        <f t="shared" ca="1" si="1"/>
        <v>37.035326965755758</v>
      </c>
      <c r="V69" s="55">
        <f t="shared" ca="1" si="2"/>
        <v>0</v>
      </c>
      <c r="W69" s="55">
        <f t="shared" ca="1" si="12"/>
        <v>0</v>
      </c>
      <c r="X69" s="55">
        <f t="shared" ca="1" si="13"/>
        <v>12.662862382550474</v>
      </c>
      <c r="Y69" s="55">
        <f t="shared" ca="1" si="14"/>
        <v>-6.449234747159398</v>
      </c>
      <c r="Z69">
        <f t="shared" ca="1" si="3"/>
        <v>72.402188431175304</v>
      </c>
      <c r="AA69">
        <f t="shared" ca="1" si="15"/>
        <v>0</v>
      </c>
      <c r="AB69">
        <f t="shared" ca="1" si="4"/>
        <v>0</v>
      </c>
      <c r="AC69">
        <f t="shared" ca="1" si="5"/>
        <v>0.93100072950255408</v>
      </c>
      <c r="AD69" s="83">
        <f ca="1"/>
        <v>45353</v>
      </c>
      <c r="AE69" s="55">
        <f t="shared" ca="1" si="20"/>
        <v>45353</v>
      </c>
      <c r="AF69" s="55">
        <f t="shared" ca="1" si="21"/>
        <v>39.215217897758265</v>
      </c>
      <c r="AG69" s="55">
        <f t="shared" ca="1" si="22"/>
        <v>10.125560090577279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11.260245726791915</v>
      </c>
      <c r="AK69" s="55">
        <f t="shared" ca="1" si="19"/>
        <v>8.897396033895717</v>
      </c>
    </row>
    <row r="70" spans="2:37">
      <c r="C70" s="61"/>
      <c r="D70" s="84"/>
      <c r="E70" s="69"/>
      <c r="R70" s="83">
        <f ca="1"/>
        <v>45282</v>
      </c>
      <c r="S70" s="55">
        <f t="shared" ca="1" si="11"/>
        <v>45282</v>
      </c>
      <c r="T70" s="55">
        <f t="shared" ca="1" si="0"/>
        <v>40.504681273463774</v>
      </c>
      <c r="U70" s="55">
        <f t="shared" ca="1" si="1"/>
        <v>39.181282904370569</v>
      </c>
      <c r="V70" s="55">
        <f t="shared" ca="1" si="2"/>
        <v>0</v>
      </c>
      <c r="W70" s="55">
        <f t="shared" ca="1" si="12"/>
        <v>0</v>
      </c>
      <c r="X70" s="55">
        <f t="shared" ca="1" si="13"/>
        <v>12.873610229968355</v>
      </c>
      <c r="Y70" s="55">
        <f t="shared" ca="1" si="14"/>
        <v>-6.4546323253782774</v>
      </c>
      <c r="Z70">
        <f t="shared" ca="1" si="3"/>
        <v>68.173586433271069</v>
      </c>
      <c r="AA70">
        <f t="shared" ca="1" si="15"/>
        <v>0</v>
      </c>
      <c r="AB70">
        <f t="shared" ca="1" si="4"/>
        <v>0</v>
      </c>
      <c r="AC70">
        <f t="shared" ca="1" si="5"/>
        <v>0.93400369219107271</v>
      </c>
      <c r="AD70" s="83">
        <f ca="1"/>
        <v>45354</v>
      </c>
      <c r="AE70" s="55">
        <f t="shared" ca="1" si="20"/>
        <v>45354</v>
      </c>
      <c r="AF70" s="55">
        <f t="shared" ca="1" si="21"/>
        <v>38.933584007382514</v>
      </c>
      <c r="AG70" s="55">
        <f t="shared" ca="1" si="22"/>
        <v>10.636784272421101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11.469761524219454</v>
      </c>
      <c r="AK70" s="55">
        <f t="shared" ca="1" si="19"/>
        <v>8.9174705279362421</v>
      </c>
    </row>
    <row r="71" spans="2:37">
      <c r="C71" s="61"/>
      <c r="D71" s="84"/>
      <c r="E71" s="69"/>
      <c r="R71" s="83">
        <f ca="1"/>
        <v>45283</v>
      </c>
      <c r="S71" s="55">
        <f t="shared" ca="1" si="11"/>
        <v>45283</v>
      </c>
      <c r="T71" s="55">
        <f t="shared" ca="1" si="0"/>
        <v>38.531232589368777</v>
      </c>
      <c r="U71" s="55">
        <f t="shared" ca="1" si="1"/>
        <v>41.349206152963902</v>
      </c>
      <c r="V71" s="55">
        <f t="shared" ca="1" si="2"/>
        <v>0</v>
      </c>
      <c r="W71" s="55">
        <f t="shared" ca="1" si="12"/>
        <v>0</v>
      </c>
      <c r="X71" s="55">
        <f t="shared" ca="1" si="13"/>
        <v>13.071475170650752</v>
      </c>
      <c r="Y71" s="55">
        <f t="shared" ca="1" si="14"/>
        <v>-6.4580227015623368</v>
      </c>
      <c r="Z71">
        <f t="shared" ca="1" si="3"/>
        <v>65.120906024695174</v>
      </c>
      <c r="AA71">
        <f t="shared" ca="1" si="15"/>
        <v>0</v>
      </c>
      <c r="AB71">
        <f t="shared" ca="1" si="4"/>
        <v>0</v>
      </c>
      <c r="AC71">
        <f t="shared" ca="1" si="5"/>
        <v>0.93646782025053432</v>
      </c>
      <c r="AD71" s="83">
        <f ca="1"/>
        <v>45355</v>
      </c>
      <c r="AE71" s="55">
        <f t="shared" ca="1" si="20"/>
        <v>45355</v>
      </c>
      <c r="AF71" s="55">
        <f t="shared" ca="1" si="21"/>
        <v>38.626581205308042</v>
      </c>
      <c r="AG71" s="55">
        <f t="shared" ca="1" si="22"/>
        <v>11.169810638606867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11.676090839533018</v>
      </c>
      <c r="AK71" s="55">
        <f t="shared" ca="1" si="19"/>
        <v>8.9371647767339653</v>
      </c>
    </row>
    <row r="72" spans="2:37">
      <c r="C72" s="61"/>
      <c r="D72" s="84">
        <v>120</v>
      </c>
      <c r="E72" s="69">
        <v>120</v>
      </c>
      <c r="R72" s="83">
        <f ca="1"/>
        <v>45284</v>
      </c>
      <c r="S72" s="55">
        <f t="shared" ca="1" si="11"/>
        <v>45284</v>
      </c>
      <c r="T72" s="55">
        <f t="shared" ca="1" si="0"/>
        <v>36.446501332078917</v>
      </c>
      <c r="U72" s="55">
        <f t="shared" ca="1" si="1"/>
        <v>43.629873222232327</v>
      </c>
      <c r="V72" s="55">
        <f t="shared" ca="1" si="2"/>
        <v>0</v>
      </c>
      <c r="W72" s="55">
        <f t="shared" ca="1" si="12"/>
        <v>0</v>
      </c>
      <c r="X72" s="55">
        <f t="shared" ca="1" si="13"/>
        <v>13.269081307501708</v>
      </c>
      <c r="Y72" s="55">
        <f t="shared" ca="1" si="14"/>
        <v>-6.4596930264347279</v>
      </c>
      <c r="Z72">
        <f t="shared" ca="1" si="3"/>
        <v>64.023047015056278</v>
      </c>
      <c r="AA72">
        <f t="shared" ca="1" si="15"/>
        <v>0</v>
      </c>
      <c r="AB72">
        <f t="shared" ca="1" si="4"/>
        <v>0</v>
      </c>
      <c r="AC72">
        <f t="shared" ca="1" si="5"/>
        <v>0.93857923918651687</v>
      </c>
      <c r="AD72" s="83">
        <f ca="1"/>
        <v>45356</v>
      </c>
      <c r="AE72" s="55">
        <f t="shared" ca="1" si="20"/>
        <v>45356</v>
      </c>
      <c r="AF72" s="55">
        <f t="shared" ca="1" si="21"/>
        <v>38.284412112001888</v>
      </c>
      <c r="AG72" s="55">
        <f t="shared" ca="1" si="22"/>
        <v>11.740874417479112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11.884990860322969</v>
      </c>
      <c r="AK72" s="55">
        <f t="shared" ca="1" si="19"/>
        <v>8.9571594415101004</v>
      </c>
    </row>
    <row r="73" spans="2:37">
      <c r="R73" s="83">
        <f ca="1"/>
        <v>45285</v>
      </c>
      <c r="S73" s="55">
        <f t="shared" ca="1" si="11"/>
        <v>45285</v>
      </c>
      <c r="T73" s="55">
        <f t="shared" ca="1" si="0"/>
        <v>34.233462950201833</v>
      </c>
      <c r="U73" s="55">
        <f t="shared" ca="1" si="1"/>
        <v>46.047721259763762</v>
      </c>
      <c r="V73" s="55">
        <f t="shared" ca="1" si="2"/>
        <v>0</v>
      </c>
      <c r="W73" s="55">
        <f t="shared" ca="1" si="12"/>
        <v>0</v>
      </c>
      <c r="X73" s="55">
        <f t="shared" ca="1" si="13"/>
        <v>13.473896177947097</v>
      </c>
      <c r="Y73" s="55">
        <f t="shared" ca="1" si="14"/>
        <v>-6.4596982412257677</v>
      </c>
      <c r="Z73">
        <f t="shared" ca="1" si="3"/>
        <v>65.527155497460626</v>
      </c>
      <c r="AA73">
        <f t="shared" ca="1" si="15"/>
        <v>0</v>
      </c>
      <c r="AB73">
        <f t="shared" ca="1" si="4"/>
        <v>0</v>
      </c>
      <c r="AC73">
        <f t="shared" ca="1" si="5"/>
        <v>0.94039805901895424</v>
      </c>
      <c r="AD73" s="83">
        <f ca="1"/>
        <v>45357</v>
      </c>
      <c r="AE73" s="55">
        <f t="shared" ca="1" si="20"/>
        <v>45357</v>
      </c>
      <c r="AF73" s="55">
        <f t="shared" ca="1" si="21"/>
        <v>37.923984001934826</v>
      </c>
      <c r="AG73" s="55">
        <f t="shared" ca="1" si="22"/>
        <v>12.320157578326265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12.084871095127598</v>
      </c>
      <c r="AK73" s="55">
        <f t="shared" ca="1" si="19"/>
        <v>8.9761342574855636</v>
      </c>
    </row>
    <row r="74" spans="2:37">
      <c r="R74" s="83">
        <f ca="1"/>
        <v>45286</v>
      </c>
      <c r="S74" s="55">
        <f t="shared" ca="1" si="11"/>
        <v>45286</v>
      </c>
      <c r="T74" s="55">
        <f t="shared" ca="1" si="0"/>
        <v>31.976123241164302</v>
      </c>
      <c r="U74" s="55">
        <f t="shared" ca="1" si="1"/>
        <v>48.496940925142226</v>
      </c>
      <c r="V74" s="55">
        <f t="shared" ca="1" si="2"/>
        <v>0</v>
      </c>
      <c r="W74" s="55">
        <f t="shared" ca="1" si="12"/>
        <v>0</v>
      </c>
      <c r="X74" s="55">
        <f t="shared" ca="1" si="13"/>
        <v>13.66422884613953</v>
      </c>
      <c r="Y74" s="55">
        <f t="shared" ca="1" si="14"/>
        <v>-6.4581509530772676</v>
      </c>
      <c r="Z74">
        <f t="shared" ca="1" si="3"/>
        <v>60.89782171536875</v>
      </c>
      <c r="AA74">
        <f t="shared" ca="1" si="15"/>
        <v>0</v>
      </c>
      <c r="AB74">
        <f t="shared" ca="1" si="4"/>
        <v>0</v>
      </c>
      <c r="AC74">
        <f t="shared" ca="1" si="5"/>
        <v>0.94189703270273173</v>
      </c>
      <c r="AD74" s="83">
        <f ca="1"/>
        <v>45358</v>
      </c>
      <c r="AE74" s="55">
        <f t="shared" ca="1" si="20"/>
        <v>45358</v>
      </c>
      <c r="AF74" s="55">
        <f t="shared" ca="1" si="21"/>
        <v>37.520540658752175</v>
      </c>
      <c r="AG74" s="55">
        <f t="shared" ca="1" si="22"/>
        <v>12.938174402041511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12.281164694383051</v>
      </c>
      <c r="AK74" s="55">
        <f t="shared" ca="1" si="19"/>
        <v>8.9944141387626981</v>
      </c>
    </row>
    <row r="75" spans="2:37">
      <c r="R75" s="83">
        <f ca="1"/>
        <v>45287</v>
      </c>
      <c r="S75" s="55">
        <f t="shared" ca="1" si="11"/>
        <v>45287</v>
      </c>
      <c r="T75" s="55">
        <f t="shared" ca="1" si="0"/>
        <v>51.078119852890268</v>
      </c>
      <c r="U75" s="55">
        <f t="shared" ca="1" si="1"/>
        <v>51.046253546259067</v>
      </c>
      <c r="V75" s="55">
        <f t="shared" ca="1" si="2"/>
        <v>21.462809668756496</v>
      </c>
      <c r="W75" s="55">
        <f t="shared" ca="1" si="12"/>
        <v>0</v>
      </c>
      <c r="X75" s="55">
        <f t="shared" ca="1" si="13"/>
        <v>13.849841563265311</v>
      </c>
      <c r="Y75" s="55">
        <f t="shared" ca="1" si="14"/>
        <v>-6.45526410611674</v>
      </c>
      <c r="Z75">
        <f t="shared" ca="1" si="3"/>
        <v>58.110360245356752</v>
      </c>
      <c r="AA75">
        <f t="shared" ca="1" si="15"/>
        <v>0</v>
      </c>
      <c r="AB75">
        <f t="shared" ca="1" si="4"/>
        <v>0</v>
      </c>
      <c r="AC75">
        <f t="shared" ca="1" si="5"/>
        <v>0.94317037459408382</v>
      </c>
      <c r="AD75" s="83">
        <f ca="1"/>
        <v>45359</v>
      </c>
      <c r="AE75" s="55">
        <f t="shared" ca="1" si="20"/>
        <v>45359</v>
      </c>
      <c r="AF75" s="55">
        <f t="shared" ca="1" si="21"/>
        <v>37.083998847739153</v>
      </c>
      <c r="AG75" s="55">
        <f t="shared" ca="1" si="22"/>
        <v>13.59361327303926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12.481607022671104</v>
      </c>
      <c r="AK75" s="55">
        <f t="shared" ca="1" si="19"/>
        <v>9.0128688704593696</v>
      </c>
    </row>
    <row r="76" spans="2:37">
      <c r="R76" s="83">
        <f ca="1"/>
        <v>45288</v>
      </c>
      <c r="S76" s="55">
        <f t="shared" ca="1" si="11"/>
        <v>45288</v>
      </c>
      <c r="T76" s="55">
        <f t="shared" ca="1" si="0"/>
        <v>48.461351382133863</v>
      </c>
      <c r="U76" s="55">
        <f t="shared" ca="1" si="1"/>
        <v>53.854838564255914</v>
      </c>
      <c r="V76" s="55">
        <f t="shared" ca="1" si="2"/>
        <v>0</v>
      </c>
      <c r="W76" s="55">
        <f t="shared" ca="1" si="12"/>
        <v>0</v>
      </c>
      <c r="X76" s="55">
        <f t="shared" ca="1" si="13"/>
        <v>14.037618498378849</v>
      </c>
      <c r="Y76" s="55">
        <f t="shared" ca="1" si="14"/>
        <v>-6.4512244939898347</v>
      </c>
      <c r="Z76">
        <f t="shared" ca="1" si="3"/>
        <v>53.562186518502394</v>
      </c>
      <c r="AA76">
        <f t="shared" ca="1" si="15"/>
        <v>0</v>
      </c>
      <c r="AB76">
        <f t="shared" ca="1" si="4"/>
        <v>0</v>
      </c>
      <c r="AC76">
        <f t="shared" ca="1" si="5"/>
        <v>0.94430880168632725</v>
      </c>
      <c r="AD76" s="83">
        <f ca="1"/>
        <v>45360</v>
      </c>
      <c r="AE76" s="55">
        <f t="shared" ca="1" si="20"/>
        <v>45360</v>
      </c>
      <c r="AF76" s="55">
        <f t="shared" ca="1" si="21"/>
        <v>36.615475222933881</v>
      </c>
      <c r="AG76" s="55">
        <f t="shared" ca="1" si="22"/>
        <v>14.268935550168706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12.671470186483418</v>
      </c>
      <c r="AK76" s="55">
        <f t="shared" ca="1" si="19"/>
        <v>9.0298043589712336</v>
      </c>
    </row>
    <row r="77" spans="2:37">
      <c r="R77" s="83">
        <f ca="1"/>
        <v>45289</v>
      </c>
      <c r="S77" s="55">
        <f t="shared" ca="1" si="11"/>
        <v>45289</v>
      </c>
      <c r="T77" s="55">
        <f t="shared" ca="1" si="0"/>
        <v>45.682767496064962</v>
      </c>
      <c r="U77" s="55">
        <f t="shared" ca="1" si="1"/>
        <v>56.831037804450993</v>
      </c>
      <c r="V77" s="55">
        <f t="shared" ca="1" si="2"/>
        <v>0</v>
      </c>
      <c r="W77" s="55">
        <f t="shared" ca="1" si="12"/>
        <v>0</v>
      </c>
      <c r="X77" s="55">
        <f t="shared" ca="1" si="13"/>
        <v>14.229935261946929</v>
      </c>
      <c r="Y77" s="55">
        <f t="shared" ca="1" si="14"/>
        <v>-6.4459259034317373</v>
      </c>
      <c r="Z77">
        <f t="shared" ca="1" si="3"/>
        <v>53.489518258982017</v>
      </c>
      <c r="AA77">
        <f t="shared" ca="1" si="15"/>
        <v>0</v>
      </c>
      <c r="AB77">
        <f t="shared" ca="1" si="4"/>
        <v>0</v>
      </c>
      <c r="AC77">
        <f t="shared" ca="1" si="5"/>
        <v>0.94528025076804012</v>
      </c>
      <c r="AD77" s="83">
        <f ca="1"/>
        <v>45361</v>
      </c>
      <c r="AE77" s="55">
        <f t="shared" ca="1" si="20"/>
        <v>45361</v>
      </c>
      <c r="AF77" s="55">
        <f t="shared" ca="1" si="21"/>
        <v>36.136903803322944</v>
      </c>
      <c r="AG77" s="55">
        <f t="shared" ca="1" si="22"/>
        <v>14.968227012974358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12.873909572903157</v>
      </c>
      <c r="AK77" s="55">
        <f t="shared" ca="1" si="19"/>
        <v>9.0480850157462136</v>
      </c>
    </row>
    <row r="78" spans="2:37">
      <c r="R78" s="83">
        <f ca="1"/>
        <v>45290</v>
      </c>
      <c r="S78" s="55">
        <f t="shared" ca="1" si="11"/>
        <v>45290</v>
      </c>
      <c r="T78" s="55">
        <f t="shared" ca="1" si="0"/>
        <v>42.866852392882393</v>
      </c>
      <c r="U78" s="55">
        <f t="shared" ca="1" si="1"/>
        <v>59.847832550377646</v>
      </c>
      <c r="V78" s="55">
        <f t="shared" ca="1" si="2"/>
        <v>0</v>
      </c>
      <c r="W78" s="55">
        <f t="shared" ca="1" si="12"/>
        <v>0</v>
      </c>
      <c r="X78" s="55">
        <f t="shared" ca="1" si="13"/>
        <v>14.424196497772801</v>
      </c>
      <c r="Y78" s="55">
        <f t="shared" ca="1" si="14"/>
        <v>-6.4393074965135249</v>
      </c>
      <c r="Z78">
        <f t="shared" ca="1" si="3"/>
        <v>56.010854033961209</v>
      </c>
      <c r="AA78">
        <f t="shared" ca="1" si="15"/>
        <v>0</v>
      </c>
      <c r="AB78">
        <f t="shared" ca="1" si="4"/>
        <v>0</v>
      </c>
      <c r="AC78">
        <f t="shared" ca="1" si="5"/>
        <v>0.9460739485984716</v>
      </c>
      <c r="AD78" s="83">
        <f ca="1"/>
        <v>45362</v>
      </c>
      <c r="AE78" s="55">
        <f t="shared" ca="1" si="20"/>
        <v>45362</v>
      </c>
      <c r="AF78" s="55">
        <f t="shared" ca="1" si="21"/>
        <v>35.62169550808111</v>
      </c>
      <c r="AG78" s="55">
        <f t="shared" ca="1" si="22"/>
        <v>15.706273261948791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13.078457053957123</v>
      </c>
      <c r="AK78" s="55">
        <f t="shared" ca="1" si="19"/>
        <v>9.0663754884248533</v>
      </c>
    </row>
    <row r="79" spans="2:37">
      <c r="R79" s="83">
        <f ca="1"/>
        <v>45291</v>
      </c>
      <c r="S79" s="55">
        <f t="shared" ca="1" si="11"/>
        <v>45291</v>
      </c>
      <c r="T79" s="55">
        <f t="shared" ca="1" si="0"/>
        <v>40.066829453700656</v>
      </c>
      <c r="U79" s="55">
        <f t="shared" ca="1" si="1"/>
        <v>62.867584639294606</v>
      </c>
      <c r="V79" s="55">
        <f t="shared" ca="1" si="2"/>
        <v>0</v>
      </c>
      <c r="W79" s="55">
        <f t="shared" ca="1" si="12"/>
        <v>0</v>
      </c>
      <c r="X79" s="55">
        <f t="shared" ca="1" si="13"/>
        <v>14.635834943328446</v>
      </c>
      <c r="Y79" s="55">
        <f t="shared" ca="1" si="14"/>
        <v>-6.4312167923339434</v>
      </c>
      <c r="Z79">
        <f t="shared" ca="1" si="3"/>
        <v>66.218404810128376</v>
      </c>
      <c r="AA79">
        <f t="shared" ca="1" si="15"/>
        <v>0</v>
      </c>
      <c r="AB79">
        <f t="shared" ca="1" si="4"/>
        <v>0</v>
      </c>
      <c r="AC79">
        <f t="shared" ca="1" si="5"/>
        <v>0.94671858826037469</v>
      </c>
      <c r="AD79" s="83">
        <f ca="1"/>
        <v>45363</v>
      </c>
      <c r="AE79" s="55">
        <f t="shared" ca="1" si="20"/>
        <v>45363</v>
      </c>
      <c r="AF79" s="55">
        <f t="shared" ca="1" si="21"/>
        <v>35.077416757344025</v>
      </c>
      <c r="AG79" s="55">
        <f t="shared" ca="1" si="22"/>
        <v>16.461248871366017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13.271956664344087</v>
      </c>
      <c r="AK79" s="55">
        <f t="shared" ca="1" si="19"/>
        <v>9.0835727367180255</v>
      </c>
    </row>
    <row r="80" spans="2:37">
      <c r="R80" s="83">
        <f ca="1"/>
        <v>45292</v>
      </c>
      <c r="S80" s="55">
        <f t="shared" ca="1" si="11"/>
        <v>45292</v>
      </c>
      <c r="T80" s="55">
        <f t="shared" ca="1" si="0"/>
        <v>37.226014993555104</v>
      </c>
      <c r="U80" s="55">
        <f t="shared" ca="1" si="1"/>
        <v>65.923119087176644</v>
      </c>
      <c r="V80" s="55">
        <f t="shared" ca="1" si="2"/>
        <v>0</v>
      </c>
      <c r="W80" s="55">
        <f t="shared" ca="1" si="12"/>
        <v>0</v>
      </c>
      <c r="X80" s="55">
        <f t="shared" ca="1" si="13"/>
        <v>14.841466478898365</v>
      </c>
      <c r="Y80" s="55">
        <f t="shared" ca="1" si="14"/>
        <v>-6.4221283401673785</v>
      </c>
      <c r="Z80">
        <f t="shared" ca="1" si="3"/>
        <v>64.782600246436232</v>
      </c>
      <c r="AA80">
        <f t="shared" ca="1" si="15"/>
        <v>0</v>
      </c>
      <c r="AB80">
        <f t="shared" ca="1" si="4"/>
        <v>0</v>
      </c>
      <c r="AC80">
        <f t="shared" ca="1" si="5"/>
        <v>0.94725114676359412</v>
      </c>
      <c r="AD80" s="83">
        <f ca="1"/>
        <v>45364</v>
      </c>
      <c r="AE80" s="55">
        <f t="shared" ca="1" si="20"/>
        <v>45364</v>
      </c>
      <c r="AF80" s="55">
        <f t="shared" ca="1" si="21"/>
        <v>34.494744346279802</v>
      </c>
      <c r="AG80" s="55">
        <f t="shared" ca="1" si="22"/>
        <v>17.248981739731509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13.460677827807743</v>
      </c>
      <c r="AK80" s="55">
        <f t="shared" ca="1" si="19"/>
        <v>9.0999120305556378</v>
      </c>
    </row>
    <row r="81" spans="18:37">
      <c r="R81" s="83">
        <f ca="1"/>
        <v>45293</v>
      </c>
      <c r="S81" s="55">
        <f t="shared" ca="1" si="11"/>
        <v>45293</v>
      </c>
      <c r="T81" s="55">
        <f t="shared" ca="1" si="0"/>
        <v>34.220293933849476</v>
      </c>
      <c r="U81" s="55">
        <f t="shared" ca="1" si="1"/>
        <v>69.141378436341554</v>
      </c>
      <c r="V81" s="55">
        <f t="shared" ca="1" si="2"/>
        <v>0</v>
      </c>
      <c r="W81" s="55">
        <f t="shared" ca="1" si="12"/>
        <v>0</v>
      </c>
      <c r="X81" s="55">
        <f t="shared" ca="1" si="13"/>
        <v>15.043634613819098</v>
      </c>
      <c r="Y81" s="55">
        <f t="shared" ca="1" si="14"/>
        <v>-6.4117581856288313</v>
      </c>
      <c r="Z81">
        <f t="shared" ca="1" si="3"/>
        <v>60.698444766049832</v>
      </c>
      <c r="AA81">
        <f t="shared" ca="1" si="15"/>
        <v>0</v>
      </c>
      <c r="AB81">
        <f t="shared" ca="1" si="4"/>
        <v>0</v>
      </c>
      <c r="AC81">
        <f t="shared" ca="1" si="5"/>
        <v>0.94770939742621485</v>
      </c>
      <c r="AD81" s="83">
        <f ca="1"/>
        <v>45365</v>
      </c>
      <c r="AE81" s="55">
        <f t="shared" ca="1" si="20"/>
        <v>45365</v>
      </c>
      <c r="AF81" s="55">
        <f t="shared" ca="1" si="21"/>
        <v>33.88411175058215</v>
      </c>
      <c r="AG81" s="55">
        <f t="shared" ca="1" si="22"/>
        <v>18.062985020426726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13.647948647786926</v>
      </c>
      <c r="AK81" s="55">
        <f t="shared" ca="1" si="19"/>
        <v>9.1160118955740241</v>
      </c>
    </row>
    <row r="82" spans="18:37">
      <c r="R82" s="83">
        <f ca="1"/>
        <v>45294</v>
      </c>
      <c r="S82" s="55">
        <f t="shared" ca="1" si="11"/>
        <v>45294</v>
      </c>
      <c r="T82" s="55">
        <f t="shared" ref="T82:T145" ca="1" si="27">VLOOKUP(S82,ModelOutputs,2,FALSE)</f>
        <v>31.18130121323594</v>
      </c>
      <c r="U82" s="55">
        <f t="shared" ref="U82:U145" ca="1" si="28">VLOOKUP(S82,ModelOutputs,7,FALSE)</f>
        <v>72.381900418703069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15.234596584042405</v>
      </c>
      <c r="Y82" s="55">
        <f t="shared" ca="1" si="14"/>
        <v>-6.4011908941041593</v>
      </c>
      <c r="Z82">
        <f t="shared" ref="Z82:Z145" ca="1" si="30">VLOOKUP(S82,ModelOutputs,10,FALSE)*AWC</f>
        <v>56.721891084300594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0.9480865839794822</v>
      </c>
      <c r="AD82" s="83">
        <f ca="1"/>
        <v>45366</v>
      </c>
      <c r="AE82" s="55">
        <f t="shared" ca="1" si="20"/>
        <v>45366</v>
      </c>
      <c r="AF82" s="55">
        <f t="shared" ca="1" si="21"/>
        <v>33.234360913992617</v>
      </c>
      <c r="AG82" s="55">
        <f t="shared" ca="1" si="22"/>
        <v>18.918161602454887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13.837287237210402</v>
      </c>
      <c r="AK82" s="55">
        <f t="shared" ca="1" si="19"/>
        <v>9.1320990515891776</v>
      </c>
    </row>
    <row r="83" spans="18:37">
      <c r="R83" s="83">
        <f ca="1"/>
        <v>45295</v>
      </c>
      <c r="S83" s="55">
        <f t="shared" ref="S83:S146" ca="1" si="33">IF(R83&gt;1,R83,"")</f>
        <v>45295</v>
      </c>
      <c r="T83" s="55">
        <f t="shared" ca="1" si="27"/>
        <v>47.871712911950908</v>
      </c>
      <c r="U83" s="55">
        <f t="shared" ca="1" si="28"/>
        <v>75.744395676961361</v>
      </c>
      <c r="V83" s="55">
        <f t="shared" ca="1" si="29"/>
        <v>19.854805003686678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15.421873901986375</v>
      </c>
      <c r="Y83" s="55">
        <f t="shared" ref="Y83:Y146" ca="1" si="36">VLOOKUP(S83,ModelOutputs,4,FALSE)+Y82</f>
        <v>-6.390366258761552</v>
      </c>
      <c r="Z83">
        <f t="shared" ca="1" si="30"/>
        <v>53.244407446565781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0.94840713808635579</v>
      </c>
      <c r="AD83" s="83">
        <f ca="1"/>
        <v>45367</v>
      </c>
      <c r="AE83" s="55">
        <f t="shared" ca="1" si="20"/>
        <v>45367</v>
      </c>
      <c r="AF83" s="55">
        <f t="shared" ca="1" si="21"/>
        <v>32.546761148725324</v>
      </c>
      <c r="AG83" s="55">
        <f t="shared" ca="1" si="22"/>
        <v>19.808211455596432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14.024149381422591</v>
      </c>
      <c r="AK83" s="55">
        <f t="shared" ref="AK83:AK146" ca="1" si="40">VLOOKUP(AE83,ModelOutputs,4,FALSE)+AK82</f>
        <v>9.1476869952512434</v>
      </c>
    </row>
    <row r="84" spans="18:37">
      <c r="R84" s="83">
        <f ca="1"/>
        <v>45296</v>
      </c>
      <c r="S84" s="55">
        <f t="shared" ca="1" si="33"/>
        <v>45296</v>
      </c>
      <c r="T84" s="55">
        <f t="shared" ca="1" si="27"/>
        <v>44.750055182720821</v>
      </c>
      <c r="U84" s="55">
        <f t="shared" ca="1" si="28"/>
        <v>79.053370475427585</v>
      </c>
      <c r="V84" s="55">
        <f t="shared" ca="1" si="29"/>
        <v>0</v>
      </c>
      <c r="W84" s="55">
        <f t="shared" ca="1" si="34"/>
        <v>0</v>
      </c>
      <c r="X84" s="55">
        <f t="shared" ca="1" si="35"/>
        <v>15.598573696681385</v>
      </c>
      <c r="Y84" s="55">
        <f t="shared" ca="1" si="36"/>
        <v>-6.3797489842204254</v>
      </c>
      <c r="Z84">
        <f t="shared" ca="1" si="30"/>
        <v>50.705075406417933</v>
      </c>
      <c r="AA84">
        <f t="shared" ca="1" si="37"/>
        <v>0</v>
      </c>
      <c r="AB84">
        <f t="shared" ca="1" si="31"/>
        <v>0</v>
      </c>
      <c r="AC84">
        <f t="shared" ca="1" si="32"/>
        <v>0.94866641300673826</v>
      </c>
      <c r="AD84" s="83">
        <f ca="1"/>
        <v>45368</v>
      </c>
      <c r="AE84" s="55">
        <f t="shared" ca="1" si="20"/>
        <v>45368</v>
      </c>
      <c r="AF84" s="55">
        <f t="shared" ca="1" si="21"/>
        <v>31.819754085719154</v>
      </c>
      <c r="AG84" s="55">
        <f t="shared" ca="1" si="22"/>
        <v>20.730870396576474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14.205126930704736</v>
      </c>
      <c r="AK84" s="55">
        <f t="shared" ca="1" si="40"/>
        <v>9.1623613239429709</v>
      </c>
    </row>
    <row r="85" spans="18:37">
      <c r="R85" s="83">
        <f ca="1"/>
        <v>45297</v>
      </c>
      <c r="S85" s="55">
        <f t="shared" ca="1" si="33"/>
        <v>45297</v>
      </c>
      <c r="T85" s="55">
        <f t="shared" ca="1" si="27"/>
        <v>41.561007893998273</v>
      </c>
      <c r="U85" s="55">
        <f t="shared" ca="1" si="28"/>
        <v>82.427357098087199</v>
      </c>
      <c r="V85" s="55">
        <f t="shared" ca="1" si="29"/>
        <v>0</v>
      </c>
      <c r="W85" s="55">
        <f t="shared" ca="1" si="34"/>
        <v>0</v>
      </c>
      <c r="X85" s="55">
        <f t="shared" ca="1" si="35"/>
        <v>15.772736259911248</v>
      </c>
      <c r="Y85" s="55">
        <f t="shared" ca="1" si="36"/>
        <v>-6.3689722135132225</v>
      </c>
      <c r="Z85">
        <f t="shared" ca="1" si="30"/>
        <v>48.764196212025084</v>
      </c>
      <c r="AA85">
        <f t="shared" ca="1" si="37"/>
        <v>0</v>
      </c>
      <c r="AB85">
        <f t="shared" ca="1" si="31"/>
        <v>0</v>
      </c>
      <c r="AC85">
        <f t="shared" ca="1" si="32"/>
        <v>0.94888478780532359</v>
      </c>
      <c r="AD85" s="83">
        <f ca="1"/>
        <v>45369</v>
      </c>
      <c r="AE85" s="55">
        <f t="shared" ref="AE85:AE148" ca="1" si="41">IF(AD85&gt;1,AD85,"")</f>
        <v>45369</v>
      </c>
      <c r="AF85" s="55">
        <f t="shared" ref="AF85:AF148" ca="1" si="42">VLOOKUP(AE85,ModelOutputs,2,FALSE)</f>
        <v>31.067527772951141</v>
      </c>
      <c r="AG85" s="55">
        <f t="shared" ref="AG85:AG148" ca="1" si="43">VLOOKUP(AE85,ModelOutputs,7,FALSE)</f>
        <v>21.666119778444077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14.374809975840408</v>
      </c>
      <c r="AK85" s="55">
        <f t="shared" ca="1" si="40"/>
        <v>9.175701347906891</v>
      </c>
    </row>
    <row r="86" spans="18:37">
      <c r="R86" s="83">
        <f ca="1"/>
        <v>45298</v>
      </c>
      <c r="S86" s="55">
        <f t="shared" ca="1" si="33"/>
        <v>45298</v>
      </c>
      <c r="T86" s="55">
        <f t="shared" ca="1" si="27"/>
        <v>38.219102404377608</v>
      </c>
      <c r="U86" s="55">
        <f t="shared" ca="1" si="28"/>
        <v>85.956010952215493</v>
      </c>
      <c r="V86" s="55">
        <f t="shared" ca="1" si="29"/>
        <v>0</v>
      </c>
      <c r="W86" s="55">
        <f t="shared" ca="1" si="34"/>
        <v>0</v>
      </c>
      <c r="X86" s="55">
        <f t="shared" ca="1" si="35"/>
        <v>15.948448578436494</v>
      </c>
      <c r="Y86" s="55">
        <f t="shared" ca="1" si="36"/>
        <v>-6.3579361675308457</v>
      </c>
      <c r="Z86">
        <f t="shared" ca="1" si="30"/>
        <v>46.442971624837135</v>
      </c>
      <c r="AA86">
        <f t="shared" ca="1" si="37"/>
        <v>0</v>
      </c>
      <c r="AB86">
        <f t="shared" ca="1" si="31"/>
        <v>0</v>
      </c>
      <c r="AC86">
        <f t="shared" ca="1" si="32"/>
        <v>0.94907318253985551</v>
      </c>
      <c r="AD86" s="83">
        <f ca="1"/>
        <v>45370</v>
      </c>
      <c r="AE86" s="55">
        <f t="shared" ca="1" si="41"/>
        <v>45370</v>
      </c>
      <c r="AF86" s="55">
        <f t="shared" ca="1" si="42"/>
        <v>30.278927090615205</v>
      </c>
      <c r="AG86" s="55">
        <f t="shared" ca="1" si="43"/>
        <v>22.640897871981586</v>
      </c>
      <c r="AH86" s="55">
        <f t="shared" ca="1" si="44"/>
        <v>0</v>
      </c>
      <c r="AI86" s="55">
        <f t="shared" ca="1" si="38"/>
        <v>0</v>
      </c>
      <c r="AJ86" s="55">
        <f t="shared" ca="1" si="39"/>
        <v>14.547407444149693</v>
      </c>
      <c r="AK86" s="55">
        <f t="shared" ca="1" si="40"/>
        <v>9.1892812907991797</v>
      </c>
    </row>
    <row r="87" spans="18:37">
      <c r="R87" s="83">
        <f ca="1"/>
        <v>45299</v>
      </c>
      <c r="S87" s="55">
        <f t="shared" ca="1" si="33"/>
        <v>45299</v>
      </c>
      <c r="T87" s="55">
        <f t="shared" ca="1" si="27"/>
        <v>34.79421945578067</v>
      </c>
      <c r="U87" s="55">
        <f t="shared" ca="1" si="28"/>
        <v>89.571262872961157</v>
      </c>
      <c r="V87" s="55">
        <f t="shared" ca="1" si="29"/>
        <v>0</v>
      </c>
      <c r="W87" s="55">
        <f t="shared" ca="1" si="34"/>
        <v>0</v>
      </c>
      <c r="X87" s="55">
        <f t="shared" ca="1" si="35"/>
        <v>16.127159978693435</v>
      </c>
      <c r="Y87" s="55">
        <f t="shared" ca="1" si="36"/>
        <v>-6.3462785956390624</v>
      </c>
      <c r="Z87">
        <f t="shared" ca="1" si="30"/>
        <v>46.563438533723833</v>
      </c>
      <c r="AA87">
        <f t="shared" ca="1" si="37"/>
        <v>0</v>
      </c>
      <c r="AB87">
        <f t="shared" ca="1" si="31"/>
        <v>0</v>
      </c>
      <c r="AC87">
        <f t="shared" ca="1" si="32"/>
        <v>0.94923204538507788</v>
      </c>
      <c r="AD87" s="83">
        <f ca="1"/>
        <v>45371</v>
      </c>
      <c r="AE87" s="55">
        <f t="shared" ca="1" si="41"/>
        <v>45371</v>
      </c>
      <c r="AF87" s="55">
        <f t="shared" ca="1" si="42"/>
        <v>29.431514235542995</v>
      </c>
      <c r="AG87" s="55">
        <f t="shared" ca="1" si="43"/>
        <v>23.670255161607553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14.716669566453188</v>
      </c>
      <c r="AK87" s="55">
        <f t="shared" ca="1" si="40"/>
        <v>9.2019636030494443</v>
      </c>
    </row>
    <row r="88" spans="18:37">
      <c r="R88" s="83">
        <f ca="1"/>
        <v>45300</v>
      </c>
      <c r="S88" s="55">
        <f t="shared" ca="1" si="33"/>
        <v>45300</v>
      </c>
      <c r="T88" s="55">
        <f t="shared" ca="1" si="27"/>
        <v>31.293749977768954</v>
      </c>
      <c r="U88" s="55">
        <f t="shared" ca="1" si="28"/>
        <v>93.267080495044027</v>
      </c>
      <c r="V88" s="55">
        <f t="shared" ca="1" si="29"/>
        <v>0</v>
      </c>
      <c r="W88" s="55">
        <f t="shared" ca="1" si="34"/>
        <v>0</v>
      </c>
      <c r="X88" s="55">
        <f t="shared" ca="1" si="35"/>
        <v>16.310079454613554</v>
      </c>
      <c r="Y88" s="55">
        <f t="shared" ca="1" si="36"/>
        <v>-6.3338499274880249</v>
      </c>
      <c r="Z88">
        <f t="shared" ca="1" si="30"/>
        <v>47.231214840081435</v>
      </c>
      <c r="AA88">
        <f t="shared" ca="1" si="37"/>
        <v>0</v>
      </c>
      <c r="AB88">
        <f t="shared" ca="1" si="31"/>
        <v>0</v>
      </c>
      <c r="AC88">
        <f t="shared" ca="1" si="32"/>
        <v>0.94936565944166018</v>
      </c>
      <c r="AD88" s="83">
        <f ca="1"/>
        <v>45372</v>
      </c>
      <c r="AE88" s="55">
        <f t="shared" ca="1" si="41"/>
        <v>45372</v>
      </c>
      <c r="AF88" s="55">
        <f t="shared" ca="1" si="42"/>
        <v>28.549825881145793</v>
      </c>
      <c r="AG88" s="55">
        <f t="shared" ca="1" si="43"/>
        <v>24.732761927730412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14.8849561825173</v>
      </c>
      <c r="AK88" s="55">
        <f t="shared" ca="1" si="40"/>
        <v>9.2144953987109908</v>
      </c>
    </row>
    <row r="89" spans="18:37">
      <c r="R89" s="83">
        <f ca="1"/>
        <v>45301</v>
      </c>
      <c r="S89" s="55">
        <f t="shared" ca="1" si="33"/>
        <v>45301</v>
      </c>
      <c r="T89" s="55">
        <f t="shared" ca="1" si="27"/>
        <v>27.818805954977659</v>
      </c>
      <c r="U89" s="55">
        <f t="shared" ca="1" si="28"/>
        <v>96.930000000000092</v>
      </c>
      <c r="V89" s="55">
        <f t="shared" ca="1" si="29"/>
        <v>0</v>
      </c>
      <c r="W89" s="55">
        <f t="shared" ca="1" si="34"/>
        <v>0</v>
      </c>
      <c r="X89" s="55">
        <f t="shared" ca="1" si="35"/>
        <v>16.48607425116915</v>
      </c>
      <c r="Y89" s="55">
        <f t="shared" ca="1" si="36"/>
        <v>-6.3218692418788516</v>
      </c>
      <c r="Z89">
        <f t="shared" ca="1" si="30"/>
        <v>44.653754506806237</v>
      </c>
      <c r="AA89">
        <f t="shared" ca="1" si="37"/>
        <v>0</v>
      </c>
      <c r="AB89">
        <f t="shared" ca="1" si="31"/>
        <v>0</v>
      </c>
      <c r="AC89">
        <f t="shared" ca="1" si="32"/>
        <v>0.94947486029492256</v>
      </c>
      <c r="AD89" s="83">
        <f ca="1"/>
        <v>45373</v>
      </c>
      <c r="AE89" s="55">
        <f t="shared" ca="1" si="41"/>
        <v>45373</v>
      </c>
      <c r="AF89" s="55">
        <f t="shared" ca="1" si="42"/>
        <v>27.645914630663146</v>
      </c>
      <c r="AG89" s="55">
        <f t="shared" ca="1" si="43"/>
        <v>25.813723399000324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15.04975611275561</v>
      </c>
      <c r="AK89" s="55">
        <f t="shared" ca="1" si="40"/>
        <v>9.2267456892599462</v>
      </c>
    </row>
    <row r="90" spans="18:37">
      <c r="R90" s="83" t="e">
        <f ca="1"/>
        <v>#N/A</v>
      </c>
      <c r="S90" s="55" t="e">
        <f t="shared" ca="1" si="33"/>
        <v>#N/A</v>
      </c>
      <c r="T90" s="55" t="e">
        <f t="shared" ca="1" si="27"/>
        <v>#N/A</v>
      </c>
      <c r="U90" s="55" t="e">
        <f t="shared" ca="1" si="28"/>
        <v>#N/A</v>
      </c>
      <c r="V90" s="55" t="e">
        <f t="shared" ca="1" si="29"/>
        <v>#N/A</v>
      </c>
      <c r="W90" s="55" t="e">
        <f t="shared" ca="1" si="34"/>
        <v>#N/A</v>
      </c>
      <c r="X90" s="55" t="e">
        <f t="shared" ca="1" si="35"/>
        <v>#N/A</v>
      </c>
      <c r="Y90" s="55" t="e">
        <f t="shared" ca="1" si="36"/>
        <v>#N/A</v>
      </c>
      <c r="Z90" t="e">
        <f t="shared" ca="1" si="30"/>
        <v>#N/A</v>
      </c>
      <c r="AA90" t="e">
        <f t="shared" ca="1" si="37"/>
        <v>#N/A</v>
      </c>
      <c r="AB90" t="e">
        <f t="shared" ca="1" si="31"/>
        <v>#N/A</v>
      </c>
      <c r="AC90" t="e">
        <f t="shared" ca="1" si="32"/>
        <v>#N/A</v>
      </c>
      <c r="AD90" s="83">
        <f ca="1"/>
        <v>45374</v>
      </c>
      <c r="AE90" s="55">
        <f t="shared" ca="1" si="41"/>
        <v>45374</v>
      </c>
      <c r="AF90" s="55">
        <f t="shared" ca="1" si="42"/>
        <v>26.703310767360442</v>
      </c>
      <c r="AG90" s="55">
        <f t="shared" ca="1" si="43"/>
        <v>26.92900901315997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15.210773017154894</v>
      </c>
      <c r="AK90" s="55">
        <f t="shared" ca="1" si="40"/>
        <v>9.2384105357176018</v>
      </c>
    </row>
    <row r="91" spans="18:37">
      <c r="R91" s="83" t="e">
        <f ca="1"/>
        <v>#N/A</v>
      </c>
      <c r="S91" s="55" t="e">
        <f t="shared" ca="1" si="33"/>
        <v>#N/A</v>
      </c>
      <c r="T91" s="55" t="e">
        <f t="shared" ca="1" si="27"/>
        <v>#N/A</v>
      </c>
      <c r="U91" s="55" t="e">
        <f t="shared" ca="1" si="28"/>
        <v>#N/A</v>
      </c>
      <c r="V91" s="55" t="e">
        <f t="shared" ca="1" si="29"/>
        <v>#N/A</v>
      </c>
      <c r="W91" s="55" t="e">
        <f t="shared" ca="1" si="34"/>
        <v>#N/A</v>
      </c>
      <c r="X91" s="55" t="e">
        <f t="shared" ca="1" si="35"/>
        <v>#N/A</v>
      </c>
      <c r="Y91" s="55" t="e">
        <f t="shared" ca="1" si="36"/>
        <v>#N/A</v>
      </c>
      <c r="Z91" t="e">
        <f t="shared" ca="1" si="30"/>
        <v>#N/A</v>
      </c>
      <c r="AA91" t="e">
        <f t="shared" ca="1" si="37"/>
        <v>#N/A</v>
      </c>
      <c r="AB91" t="e">
        <f t="shared" ca="1" si="31"/>
        <v>#N/A</v>
      </c>
      <c r="AC91" t="e">
        <f t="shared" ca="1" si="32"/>
        <v>#N/A</v>
      </c>
      <c r="AD91" s="83">
        <f ca="1"/>
        <v>45375</v>
      </c>
      <c r="AE91" s="55">
        <f t="shared" ca="1" si="41"/>
        <v>45375</v>
      </c>
      <c r="AF91" s="55">
        <f t="shared" ca="1" si="42"/>
        <v>25.716403674718389</v>
      </c>
      <c r="AG91" s="55">
        <f t="shared" ca="1" si="43"/>
        <v>28.085765802219047</v>
      </c>
      <c r="AH91" s="55">
        <f t="shared" ca="1" si="44"/>
        <v>0</v>
      </c>
      <c r="AI91" s="55">
        <f t="shared" ca="1" si="38"/>
        <v>0</v>
      </c>
      <c r="AJ91" s="55">
        <f t="shared" ca="1" si="39"/>
        <v>15.369434986270951</v>
      </c>
      <c r="AK91" s="55">
        <f t="shared" ca="1" si="40"/>
        <v>9.2495982630185694</v>
      </c>
    </row>
    <row r="92" spans="18:37">
      <c r="R92" s="83" t="e">
        <f ca="1"/>
        <v>#N/A</v>
      </c>
      <c r="S92" s="55" t="e">
        <f t="shared" ca="1" si="33"/>
        <v>#N/A</v>
      </c>
      <c r="T92" s="55" t="e">
        <f t="shared" ca="1" si="27"/>
        <v>#N/A</v>
      </c>
      <c r="U92" s="55" t="e">
        <f t="shared" ca="1" si="28"/>
        <v>#N/A</v>
      </c>
      <c r="V92" s="55" t="e">
        <f t="shared" ca="1" si="29"/>
        <v>#N/A</v>
      </c>
      <c r="W92" s="55" t="e">
        <f t="shared" ca="1" si="34"/>
        <v>#N/A</v>
      </c>
      <c r="X92" s="55" t="e">
        <f t="shared" ca="1" si="35"/>
        <v>#N/A</v>
      </c>
      <c r="Y92" s="55" t="e">
        <f t="shared" ca="1" si="36"/>
        <v>#N/A</v>
      </c>
      <c r="Z92" t="e">
        <f t="shared" ca="1" si="30"/>
        <v>#N/A</v>
      </c>
      <c r="AA92" t="e">
        <f t="shared" ca="1" si="37"/>
        <v>#N/A</v>
      </c>
      <c r="AB92" t="e">
        <f t="shared" ca="1" si="31"/>
        <v>#N/A</v>
      </c>
      <c r="AC92" t="e">
        <f t="shared" ca="1" si="32"/>
        <v>#N/A</v>
      </c>
      <c r="AD92" s="83">
        <f ca="1"/>
        <v>45376</v>
      </c>
      <c r="AE92" s="55">
        <f t="shared" ca="1" si="41"/>
        <v>45376</v>
      </c>
      <c r="AF92" s="55">
        <f t="shared" ca="1" si="42"/>
        <v>24.687504644866575</v>
      </c>
      <c r="AG92" s="55">
        <f t="shared" ca="1" si="43"/>
        <v>29.288463719787714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15.531694042179332</v>
      </c>
      <c r="AK92" s="55">
        <f t="shared" ca="1" si="40"/>
        <v>9.2611380948270412</v>
      </c>
    </row>
    <row r="93" spans="18:37">
      <c r="R93" s="83" t="e">
        <f ca="1"/>
        <v>#N/A</v>
      </c>
      <c r="S93" s="55" t="e">
        <f t="shared" ca="1" si="33"/>
        <v>#N/A</v>
      </c>
      <c r="T93" s="55" t="e">
        <f t="shared" ca="1" si="27"/>
        <v>#N/A</v>
      </c>
      <c r="U93" s="55" t="e">
        <f t="shared" ca="1" si="28"/>
        <v>#N/A</v>
      </c>
      <c r="V93" s="55" t="e">
        <f t="shared" ca="1" si="29"/>
        <v>#N/A</v>
      </c>
      <c r="W93" s="55" t="e">
        <f t="shared" ca="1" si="34"/>
        <v>#N/A</v>
      </c>
      <c r="X93" s="55" t="e">
        <f t="shared" ca="1" si="35"/>
        <v>#N/A</v>
      </c>
      <c r="Y93" s="55" t="e">
        <f t="shared" ca="1" si="36"/>
        <v>#N/A</v>
      </c>
      <c r="Z93" t="e">
        <f t="shared" ca="1" si="30"/>
        <v>#N/A</v>
      </c>
      <c r="AA93" t="e">
        <f t="shared" ca="1" si="37"/>
        <v>#N/A</v>
      </c>
      <c r="AB93" t="e">
        <f t="shared" ca="1" si="31"/>
        <v>#N/A</v>
      </c>
      <c r="AC93" t="e">
        <f t="shared" ca="1" si="32"/>
        <v>#N/A</v>
      </c>
      <c r="AD93" s="83">
        <f ca="1"/>
        <v>45377</v>
      </c>
      <c r="AE93" s="55">
        <f t="shared" ca="1" si="41"/>
        <v>45377</v>
      </c>
      <c r="AF93" s="55">
        <f t="shared" ca="1" si="42"/>
        <v>23.601642207255772</v>
      </c>
      <c r="AG93" s="55">
        <f t="shared" ca="1" si="43"/>
        <v>30.544252967586694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15.69080883104505</v>
      </c>
      <c r="AK93" s="55">
        <f t="shared" ca="1" si="40"/>
        <v>9.271950116149501</v>
      </c>
    </row>
    <row r="94" spans="18:37">
      <c r="R94" s="83" t="e">
        <f ca="1"/>
        <v>#N/A</v>
      </c>
      <c r="S94" s="55" t="e">
        <f t="shared" ca="1" si="33"/>
        <v>#N/A</v>
      </c>
      <c r="T94" s="55" t="e">
        <f t="shared" ca="1" si="27"/>
        <v>#N/A</v>
      </c>
      <c r="U94" s="55" t="e">
        <f t="shared" ca="1" si="28"/>
        <v>#N/A</v>
      </c>
      <c r="V94" s="55" t="e">
        <f t="shared" ca="1" si="29"/>
        <v>#N/A</v>
      </c>
      <c r="W94" s="55" t="e">
        <f t="shared" ca="1" si="34"/>
        <v>#N/A</v>
      </c>
      <c r="X94" s="55" t="e">
        <f t="shared" ca="1" si="35"/>
        <v>#N/A</v>
      </c>
      <c r="Y94" s="55" t="e">
        <f t="shared" ca="1" si="36"/>
        <v>#N/A</v>
      </c>
      <c r="Z94" t="e">
        <f t="shared" ca="1" si="30"/>
        <v>#N/A</v>
      </c>
      <c r="AA94" t="e">
        <f t="shared" ca="1" si="37"/>
        <v>#N/A</v>
      </c>
      <c r="AB94" t="e">
        <f t="shared" ca="1" si="31"/>
        <v>#N/A</v>
      </c>
      <c r="AC94" t="e">
        <f t="shared" ca="1" si="32"/>
        <v>#N/A</v>
      </c>
      <c r="AD94" s="83">
        <f ca="1"/>
        <v>45378</v>
      </c>
      <c r="AE94" s="55">
        <f t="shared" ca="1" si="41"/>
        <v>45378</v>
      </c>
      <c r="AF94" s="55">
        <f t="shared" ca="1" si="42"/>
        <v>22.476718656082351</v>
      </c>
      <c r="AG94" s="55">
        <f t="shared" ca="1" si="43"/>
        <v>31.838032147784364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15.849010186891036</v>
      </c>
      <c r="AK94" s="55">
        <f t="shared" ca="1" si="40"/>
        <v>9.2826043893277657</v>
      </c>
    </row>
    <row r="95" spans="18:37">
      <c r="R95" s="83" t="e">
        <f ca="1"/>
        <v>#N/A</v>
      </c>
      <c r="S95" s="55" t="e">
        <f t="shared" ca="1" si="33"/>
        <v>#N/A</v>
      </c>
      <c r="T95" s="55" t="e">
        <f t="shared" ca="1" si="27"/>
        <v>#N/A</v>
      </c>
      <c r="U95" s="55" t="e">
        <f t="shared" ca="1" si="28"/>
        <v>#N/A</v>
      </c>
      <c r="V95" s="55" t="e">
        <f t="shared" ca="1" si="29"/>
        <v>#N/A</v>
      </c>
      <c r="W95" s="55" t="e">
        <f t="shared" ca="1" si="34"/>
        <v>#N/A</v>
      </c>
      <c r="X95" s="55" t="e">
        <f t="shared" ca="1" si="35"/>
        <v>#N/A</v>
      </c>
      <c r="Y95" s="55" t="e">
        <f t="shared" ca="1" si="36"/>
        <v>#N/A</v>
      </c>
      <c r="Z95" t="e">
        <f t="shared" ca="1" si="30"/>
        <v>#N/A</v>
      </c>
      <c r="AA95" t="e">
        <f t="shared" ca="1" si="37"/>
        <v>#N/A</v>
      </c>
      <c r="AB95" t="e">
        <f t="shared" ca="1" si="31"/>
        <v>#N/A</v>
      </c>
      <c r="AC95" t="e">
        <f t="shared" ca="1" si="32"/>
        <v>#N/A</v>
      </c>
      <c r="AD95" s="83">
        <f ca="1"/>
        <v>45379</v>
      </c>
      <c r="AE95" s="55">
        <f t="shared" ca="1" si="41"/>
        <v>45379</v>
      </c>
      <c r="AF95" s="55">
        <f t="shared" ca="1" si="42"/>
        <v>21.296133092473568</v>
      </c>
      <c r="AG95" s="55">
        <f t="shared" ca="1" si="43"/>
        <v>33.191277742550085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16.01080048730709</v>
      </c>
      <c r="AK95" s="55">
        <f t="shared" ca="1" si="40"/>
        <v>9.2934741200686481</v>
      </c>
    </row>
    <row r="96" spans="18:37">
      <c r="R96" s="83" t="e">
        <f ca="1"/>
        <v>#N/A</v>
      </c>
      <c r="S96" s="55" t="e">
        <f t="shared" ca="1" si="33"/>
        <v>#N/A</v>
      </c>
      <c r="T96" s="55" t="e">
        <f t="shared" ca="1" si="27"/>
        <v>#N/A</v>
      </c>
      <c r="U96" s="55" t="e">
        <f t="shared" ca="1" si="28"/>
        <v>#N/A</v>
      </c>
      <c r="V96" s="55" t="e">
        <f t="shared" ca="1" si="29"/>
        <v>#N/A</v>
      </c>
      <c r="W96" s="55" t="e">
        <f t="shared" ca="1" si="34"/>
        <v>#N/A</v>
      </c>
      <c r="X96" s="55" t="e">
        <f t="shared" ca="1" si="35"/>
        <v>#N/A</v>
      </c>
      <c r="Y96" s="55" t="e">
        <f t="shared" ca="1" si="36"/>
        <v>#N/A</v>
      </c>
      <c r="Z96" t="e">
        <f t="shared" ca="1" si="30"/>
        <v>#N/A</v>
      </c>
      <c r="AA96" t="e">
        <f t="shared" ca="1" si="37"/>
        <v>#N/A</v>
      </c>
      <c r="AB96" t="e">
        <f t="shared" ca="1" si="31"/>
        <v>#N/A</v>
      </c>
      <c r="AC96" t="e">
        <f t="shared" ca="1" si="32"/>
        <v>#N/A</v>
      </c>
      <c r="AD96" s="83">
        <f ca="1"/>
        <v>45380</v>
      </c>
      <c r="AE96" s="55">
        <f t="shared" ca="1" si="41"/>
        <v>45380</v>
      </c>
      <c r="AF96" s="55">
        <f t="shared" ca="1" si="42"/>
        <v>20.079577598067029</v>
      </c>
      <c r="AG96" s="55">
        <f t="shared" ca="1" si="43"/>
        <v>34.573298578569513</v>
      </c>
      <c r="AH96" s="55">
        <f t="shared" ca="1" si="44"/>
        <v>0</v>
      </c>
      <c r="AI96" s="55">
        <f t="shared" ca="1" si="38"/>
        <v>0</v>
      </c>
      <c r="AJ96" s="55">
        <f t="shared" ca="1" si="39"/>
        <v>16.166220263780215</v>
      </c>
      <c r="AK96" s="55">
        <f t="shared" ca="1" si="40"/>
        <v>9.3035196852084141</v>
      </c>
    </row>
    <row r="97" spans="18:37">
      <c r="R97" s="83" t="e">
        <f ca="1"/>
        <v>#N/A</v>
      </c>
      <c r="S97" s="55" t="e">
        <f t="shared" ca="1" si="33"/>
        <v>#N/A</v>
      </c>
      <c r="T97" s="55" t="e">
        <f t="shared" ca="1" si="27"/>
        <v>#N/A</v>
      </c>
      <c r="U97" s="55" t="e">
        <f t="shared" ca="1" si="28"/>
        <v>#N/A</v>
      </c>
      <c r="V97" s="55" t="e">
        <f t="shared" ca="1" si="29"/>
        <v>#N/A</v>
      </c>
      <c r="W97" s="55" t="e">
        <f t="shared" ca="1" si="34"/>
        <v>#N/A</v>
      </c>
      <c r="X97" s="55" t="e">
        <f t="shared" ca="1" si="35"/>
        <v>#N/A</v>
      </c>
      <c r="Y97" s="55" t="e">
        <f t="shared" ca="1" si="36"/>
        <v>#N/A</v>
      </c>
      <c r="Z97" t="e">
        <f t="shared" ca="1" si="30"/>
        <v>#N/A</v>
      </c>
      <c r="AA97" t="e">
        <f t="shared" ca="1" si="37"/>
        <v>#N/A</v>
      </c>
      <c r="AB97" t="e">
        <f t="shared" ca="1" si="31"/>
        <v>#N/A</v>
      </c>
      <c r="AC97" t="e">
        <f t="shared" ca="1" si="32"/>
        <v>#N/A</v>
      </c>
      <c r="AD97" s="83">
        <f ca="1"/>
        <v>45381</v>
      </c>
      <c r="AE97" s="55">
        <f t="shared" ca="1" si="41"/>
        <v>45381</v>
      </c>
      <c r="AF97" s="55">
        <f t="shared" ca="1" si="42"/>
        <v>18.836222042892935</v>
      </c>
      <c r="AG97" s="55">
        <f t="shared" ca="1" si="43"/>
        <v>35.981295923104838</v>
      </c>
      <c r="AH97" s="55">
        <f t="shared" ca="1" si="44"/>
        <v>0</v>
      </c>
      <c r="AI97" s="55">
        <f t="shared" ca="1" si="38"/>
        <v>0</v>
      </c>
      <c r="AJ97" s="55">
        <f t="shared" ca="1" si="39"/>
        <v>16.320791611179661</v>
      </c>
      <c r="AK97" s="55">
        <f t="shared" ca="1" si="40"/>
        <v>9.3135901271701975</v>
      </c>
    </row>
    <row r="98" spans="18:37">
      <c r="R98" s="83" t="e">
        <f ca="1"/>
        <v>#N/A</v>
      </c>
      <c r="S98" s="55" t="e">
        <f t="shared" ca="1" si="33"/>
        <v>#N/A</v>
      </c>
      <c r="T98" s="55" t="e">
        <f t="shared" ca="1" si="27"/>
        <v>#N/A</v>
      </c>
      <c r="U98" s="55" t="e">
        <f t="shared" ca="1" si="28"/>
        <v>#N/A</v>
      </c>
      <c r="V98" s="55" t="e">
        <f t="shared" ca="1" si="29"/>
        <v>#N/A</v>
      </c>
      <c r="W98" s="55" t="e">
        <f t="shared" ca="1" si="34"/>
        <v>#N/A</v>
      </c>
      <c r="X98" s="55" t="e">
        <f t="shared" ca="1" si="35"/>
        <v>#N/A</v>
      </c>
      <c r="Y98" s="55" t="e">
        <f t="shared" ca="1" si="36"/>
        <v>#N/A</v>
      </c>
      <c r="Z98" t="e">
        <f t="shared" ca="1" si="30"/>
        <v>#N/A</v>
      </c>
      <c r="AA98" t="e">
        <f t="shared" ca="1" si="37"/>
        <v>#N/A</v>
      </c>
      <c r="AB98" t="e">
        <f t="shared" ca="1" si="31"/>
        <v>#N/A</v>
      </c>
      <c r="AC98" t="e">
        <f t="shared" ca="1" si="32"/>
        <v>#N/A</v>
      </c>
      <c r="AD98" s="83">
        <f ca="1"/>
        <v>45382</v>
      </c>
      <c r="AE98" s="55">
        <f t="shared" ca="1" si="41"/>
        <v>45382</v>
      </c>
      <c r="AF98" s="55">
        <f t="shared" ca="1" si="42"/>
        <v>17.568531026987998</v>
      </c>
      <c r="AG98" s="55">
        <f t="shared" ca="1" si="43"/>
        <v>37.40782165872016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16.470107532113332</v>
      </c>
      <c r="AK98" s="55">
        <f t="shared" ca="1" si="40"/>
        <v>9.3231089259469115</v>
      </c>
    </row>
    <row r="99" spans="18:37">
      <c r="R99" s="83" t="e">
        <f ca="1"/>
        <v>#N/A</v>
      </c>
      <c r="S99" s="55" t="e">
        <f t="shared" ca="1" si="33"/>
        <v>#N/A</v>
      </c>
      <c r="T99" s="55" t="e">
        <f t="shared" ca="1" si="27"/>
        <v>#N/A</v>
      </c>
      <c r="U99" s="55" t="e">
        <f t="shared" ca="1" si="28"/>
        <v>#N/A</v>
      </c>
      <c r="V99" s="55" t="e">
        <f t="shared" ca="1" si="29"/>
        <v>#N/A</v>
      </c>
      <c r="W99" s="55" t="e">
        <f t="shared" ca="1" si="34"/>
        <v>#N/A</v>
      </c>
      <c r="X99" s="55" t="e">
        <f t="shared" ca="1" si="35"/>
        <v>#N/A</v>
      </c>
      <c r="Y99" s="55" t="e">
        <f t="shared" ca="1" si="36"/>
        <v>#N/A</v>
      </c>
      <c r="Z99" t="e">
        <f t="shared" ca="1" si="30"/>
        <v>#N/A</v>
      </c>
      <c r="AA99" t="e">
        <f t="shared" ca="1" si="37"/>
        <v>#N/A</v>
      </c>
      <c r="AB99" t="e">
        <f t="shared" ca="1" si="31"/>
        <v>#N/A</v>
      </c>
      <c r="AC99" t="e">
        <f t="shared" ca="1" si="32"/>
        <v>#N/A</v>
      </c>
      <c r="AD99" s="83">
        <f ca="1"/>
        <v>45383</v>
      </c>
      <c r="AE99" s="55">
        <f t="shared" ca="1" si="41"/>
        <v>45383</v>
      </c>
      <c r="AF99" s="55">
        <f t="shared" ca="1" si="42"/>
        <v>16.268295780844639</v>
      </c>
      <c r="AG99" s="55">
        <f t="shared" ca="1" si="43"/>
        <v>38.868824338567869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16.621100655997814</v>
      </c>
      <c r="AK99" s="55">
        <f t="shared" ca="1" si="40"/>
        <v>9.332883235766781</v>
      </c>
    </row>
    <row r="100" spans="18:37">
      <c r="R100" s="83" t="e">
        <f ca="1"/>
        <v>#N/A</v>
      </c>
      <c r="S100" s="55" t="e">
        <f t="shared" ca="1" si="33"/>
        <v>#N/A</v>
      </c>
      <c r="T100" s="55" t="e">
        <f t="shared" ca="1" si="27"/>
        <v>#N/A</v>
      </c>
      <c r="U100" s="55" t="e">
        <f t="shared" ca="1" si="28"/>
        <v>#N/A</v>
      </c>
      <c r="V100" s="55" t="e">
        <f t="shared" ca="1" si="29"/>
        <v>#N/A</v>
      </c>
      <c r="W100" s="55" t="e">
        <f t="shared" ca="1" si="34"/>
        <v>#N/A</v>
      </c>
      <c r="X100" s="55" t="e">
        <f t="shared" ca="1" si="35"/>
        <v>#N/A</v>
      </c>
      <c r="Y100" s="55" t="e">
        <f t="shared" ca="1" si="36"/>
        <v>#N/A</v>
      </c>
      <c r="Z100" t="e">
        <f t="shared" ca="1" si="30"/>
        <v>#N/A</v>
      </c>
      <c r="AA100" t="e">
        <f t="shared" ca="1" si="37"/>
        <v>#N/A</v>
      </c>
      <c r="AB100" t="e">
        <f t="shared" ca="1" si="31"/>
        <v>#N/A</v>
      </c>
      <c r="AC100" t="e">
        <f t="shared" ca="1" si="32"/>
        <v>#N/A</v>
      </c>
      <c r="AD100" s="83">
        <f ca="1"/>
        <v>45384</v>
      </c>
      <c r="AE100" s="55">
        <f t="shared" ca="1" si="41"/>
        <v>45384</v>
      </c>
      <c r="AF100" s="55">
        <f t="shared" ca="1" si="42"/>
        <v>14.915024241588579</v>
      </c>
      <c r="AG100" s="55">
        <f t="shared" ca="1" si="43"/>
        <v>40.385896647869679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16.774963346176211</v>
      </c>
      <c r="AK100" s="55">
        <f t="shared" ca="1" si="40"/>
        <v>9.3428213156341364</v>
      </c>
    </row>
    <row r="101" spans="18:37">
      <c r="R101" s="83" t="e">
        <f ca="1"/>
        <v>#N/A</v>
      </c>
      <c r="S101" s="55" t="e">
        <f t="shared" ca="1" si="33"/>
        <v>#N/A</v>
      </c>
      <c r="T101" s="55" t="e">
        <f t="shared" ca="1" si="27"/>
        <v>#N/A</v>
      </c>
      <c r="U101" s="55" t="e">
        <f t="shared" ca="1" si="28"/>
        <v>#N/A</v>
      </c>
      <c r="V101" s="55" t="e">
        <f t="shared" ca="1" si="29"/>
        <v>#N/A</v>
      </c>
      <c r="W101" s="55" t="e">
        <f t="shared" ca="1" si="34"/>
        <v>#N/A</v>
      </c>
      <c r="X101" s="55" t="e">
        <f t="shared" ca="1" si="35"/>
        <v>#N/A</v>
      </c>
      <c r="Y101" s="55" t="e">
        <f t="shared" ca="1" si="36"/>
        <v>#N/A</v>
      </c>
      <c r="Z101" t="e">
        <f t="shared" ca="1" si="30"/>
        <v>#N/A</v>
      </c>
      <c r="AA101" t="e">
        <f t="shared" ca="1" si="37"/>
        <v>#N/A</v>
      </c>
      <c r="AB101" t="e">
        <f t="shared" ca="1" si="31"/>
        <v>#N/A</v>
      </c>
      <c r="AC101" t="e">
        <f t="shared" ca="1" si="32"/>
        <v>#N/A</v>
      </c>
      <c r="AD101" s="83">
        <f ca="1"/>
        <v>45385</v>
      </c>
      <c r="AE101" s="55">
        <f t="shared" ca="1" si="41"/>
        <v>45385</v>
      </c>
      <c r="AF101" s="55">
        <f t="shared" ca="1" si="42"/>
        <v>13.548216657504504</v>
      </c>
      <c r="AG101" s="55">
        <f t="shared" ca="1" si="43"/>
        <v>41.908158358379957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16.921236871921817</v>
      </c>
      <c r="AK101" s="55">
        <f t="shared" ca="1" si="40"/>
        <v>9.3520019163147339</v>
      </c>
    </row>
    <row r="102" spans="18:37">
      <c r="R102" s="83" t="e">
        <f ca="1"/>
        <v>#N/A</v>
      </c>
      <c r="S102" s="55" t="e">
        <f t="shared" ca="1" si="33"/>
        <v>#N/A</v>
      </c>
      <c r="T102" s="55" t="e">
        <f t="shared" ca="1" si="27"/>
        <v>#N/A</v>
      </c>
      <c r="U102" s="55" t="e">
        <f t="shared" ca="1" si="28"/>
        <v>#N/A</v>
      </c>
      <c r="V102" s="55" t="e">
        <f t="shared" ca="1" si="29"/>
        <v>#N/A</v>
      </c>
      <c r="W102" s="55" t="e">
        <f t="shared" ca="1" si="34"/>
        <v>#N/A</v>
      </c>
      <c r="X102" s="55" t="e">
        <f t="shared" ca="1" si="35"/>
        <v>#N/A</v>
      </c>
      <c r="Y102" s="55" t="e">
        <f t="shared" ca="1" si="36"/>
        <v>#N/A</v>
      </c>
      <c r="Z102" t="e">
        <f t="shared" ca="1" si="30"/>
        <v>#N/A</v>
      </c>
      <c r="AA102" t="e">
        <f t="shared" ca="1" si="37"/>
        <v>#N/A</v>
      </c>
      <c r="AB102" t="e">
        <f t="shared" ca="1" si="31"/>
        <v>#N/A</v>
      </c>
      <c r="AC102" t="e">
        <f t="shared" ca="1" si="32"/>
        <v>#N/A</v>
      </c>
      <c r="AD102" s="83">
        <f ca="1"/>
        <v>45386</v>
      </c>
      <c r="AE102" s="55">
        <f t="shared" ca="1" si="41"/>
        <v>45386</v>
      </c>
      <c r="AF102" s="55">
        <f t="shared" ca="1" si="42"/>
        <v>12.139058265572899</v>
      </c>
      <c r="AG102" s="55">
        <f t="shared" ca="1" si="43"/>
        <v>43.470468849243169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17.065559412000979</v>
      </c>
      <c r="AK102" s="55">
        <f t="shared" ca="1" si="40"/>
        <v>9.3608314751671813</v>
      </c>
    </row>
    <row r="103" spans="18:37">
      <c r="R103" s="83" t="e">
        <f ca="1"/>
        <v>#N/A</v>
      </c>
      <c r="S103" s="55" t="e">
        <f t="shared" ca="1" si="33"/>
        <v>#N/A</v>
      </c>
      <c r="T103" s="55" t="e">
        <f t="shared" ca="1" si="27"/>
        <v>#N/A</v>
      </c>
      <c r="U103" s="55" t="e">
        <f t="shared" ca="1" si="28"/>
        <v>#N/A</v>
      </c>
      <c r="V103" s="55" t="e">
        <f t="shared" ca="1" si="29"/>
        <v>#N/A</v>
      </c>
      <c r="W103" s="55" t="e">
        <f t="shared" ca="1" si="34"/>
        <v>#N/A</v>
      </c>
      <c r="X103" s="55" t="e">
        <f t="shared" ca="1" si="35"/>
        <v>#N/A</v>
      </c>
      <c r="Y103" s="55" t="e">
        <f t="shared" ca="1" si="36"/>
        <v>#N/A</v>
      </c>
      <c r="Z103" t="e">
        <f t="shared" ca="1" si="30"/>
        <v>#N/A</v>
      </c>
      <c r="AA103" t="e">
        <f t="shared" ca="1" si="37"/>
        <v>#N/A</v>
      </c>
      <c r="AB103" t="e">
        <f t="shared" ca="1" si="31"/>
        <v>#N/A</v>
      </c>
      <c r="AC103" t="e">
        <f t="shared" ca="1" si="32"/>
        <v>#N/A</v>
      </c>
      <c r="AD103" s="83">
        <f ca="1"/>
        <v>45387</v>
      </c>
      <c r="AE103" s="55">
        <f t="shared" ca="1" si="41"/>
        <v>45387</v>
      </c>
      <c r="AF103" s="55">
        <f t="shared" ca="1" si="42"/>
        <v>10.690590101099795</v>
      </c>
      <c r="AG103" s="55">
        <f t="shared" ca="1" si="43"/>
        <v>45.07462940666241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17.212181208079844</v>
      </c>
      <c r="AK103" s="55">
        <f t="shared" ca="1" si="40"/>
        <v>9.3699020720344564</v>
      </c>
    </row>
    <row r="104" spans="18:37">
      <c r="R104" s="83" t="e">
        <f ca="1"/>
        <v>#N/A</v>
      </c>
      <c r="S104" s="55" t="e">
        <f t="shared" ca="1" si="33"/>
        <v>#N/A</v>
      </c>
      <c r="T104" s="55" t="e">
        <f t="shared" ca="1" si="27"/>
        <v>#N/A</v>
      </c>
      <c r="U104" s="55" t="e">
        <f t="shared" ca="1" si="28"/>
        <v>#N/A</v>
      </c>
      <c r="V104" s="55" t="e">
        <f t="shared" ca="1" si="29"/>
        <v>#N/A</v>
      </c>
      <c r="W104" s="55" t="e">
        <f t="shared" ca="1" si="34"/>
        <v>#N/A</v>
      </c>
      <c r="X104" s="55" t="e">
        <f t="shared" ca="1" si="35"/>
        <v>#N/A</v>
      </c>
      <c r="Y104" s="55" t="e">
        <f t="shared" ca="1" si="36"/>
        <v>#N/A</v>
      </c>
      <c r="Z104" t="e">
        <f t="shared" ca="1" si="30"/>
        <v>#N/A</v>
      </c>
      <c r="AA104" t="e">
        <f t="shared" ca="1" si="37"/>
        <v>#N/A</v>
      </c>
      <c r="AB104" t="e">
        <f t="shared" ca="1" si="31"/>
        <v>#N/A</v>
      </c>
      <c r="AC104" t="e">
        <f t="shared" ca="1" si="32"/>
        <v>#N/A</v>
      </c>
      <c r="AD104" s="83">
        <f ca="1"/>
        <v>45388</v>
      </c>
      <c r="AE104" s="55">
        <f t="shared" ca="1" si="41"/>
        <v>45388</v>
      </c>
      <c r="AF104" s="55">
        <f t="shared" ca="1" si="42"/>
        <v>9.2047192426781397</v>
      </c>
      <c r="AG104" s="55">
        <f t="shared" ca="1" si="43"/>
        <v>46.715387369795437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17.358132444778931</v>
      </c>
      <c r="AK104" s="55">
        <f t="shared" ca="1" si="40"/>
        <v>9.3788379400467417</v>
      </c>
    </row>
    <row r="105" spans="18:37">
      <c r="R105" s="83" t="e">
        <f ca="1"/>
        <v>#N/A</v>
      </c>
      <c r="S105" s="55" t="e">
        <f t="shared" ca="1" si="33"/>
        <v>#N/A</v>
      </c>
      <c r="T105" s="55" t="e">
        <f t="shared" ca="1" si="27"/>
        <v>#N/A</v>
      </c>
      <c r="U105" s="55" t="e">
        <f t="shared" ca="1" si="28"/>
        <v>#N/A</v>
      </c>
      <c r="V105" s="55" t="e">
        <f t="shared" ca="1" si="29"/>
        <v>#N/A</v>
      </c>
      <c r="W105" s="55" t="e">
        <f t="shared" ca="1" si="34"/>
        <v>#N/A</v>
      </c>
      <c r="X105" s="55" t="e">
        <f t="shared" ca="1" si="35"/>
        <v>#N/A</v>
      </c>
      <c r="Y105" s="55" t="e">
        <f t="shared" ca="1" si="36"/>
        <v>#N/A</v>
      </c>
      <c r="Z105" t="e">
        <f t="shared" ca="1" si="30"/>
        <v>#N/A</v>
      </c>
      <c r="AA105" t="e">
        <f t="shared" ca="1" si="37"/>
        <v>#N/A</v>
      </c>
      <c r="AB105" t="e">
        <f t="shared" ca="1" si="31"/>
        <v>#N/A</v>
      </c>
      <c r="AC105" t="e">
        <f t="shared" ca="1" si="32"/>
        <v>#N/A</v>
      </c>
      <c r="AD105" s="83">
        <f ca="1"/>
        <v>45389</v>
      </c>
      <c r="AE105" s="55">
        <f t="shared" ca="1" si="41"/>
        <v>45389</v>
      </c>
      <c r="AF105" s="55">
        <f t="shared" ca="1" si="42"/>
        <v>7.7046981615674746</v>
      </c>
      <c r="AG105" s="55">
        <f t="shared" ca="1" si="43"/>
        <v>48.369104774461903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17.502883305448712</v>
      </c>
      <c r="AK105" s="55">
        <f t="shared" ca="1" si="40"/>
        <v>9.3877834029327616</v>
      </c>
    </row>
    <row r="106" spans="18:37">
      <c r="R106" s="83" t="e">
        <f ca="1"/>
        <v>#N/A</v>
      </c>
      <c r="S106" s="55" t="e">
        <f t="shared" ca="1" si="33"/>
        <v>#N/A</v>
      </c>
      <c r="T106" s="55" t="e">
        <f t="shared" ca="1" si="27"/>
        <v>#N/A</v>
      </c>
      <c r="U106" s="55" t="e">
        <f t="shared" ca="1" si="28"/>
        <v>#N/A</v>
      </c>
      <c r="V106" s="55" t="e">
        <f t="shared" ca="1" si="29"/>
        <v>#N/A</v>
      </c>
      <c r="W106" s="55" t="e">
        <f t="shared" ca="1" si="34"/>
        <v>#N/A</v>
      </c>
      <c r="X106" s="55" t="e">
        <f t="shared" ca="1" si="35"/>
        <v>#N/A</v>
      </c>
      <c r="Y106" s="55" t="e">
        <f t="shared" ca="1" si="36"/>
        <v>#N/A</v>
      </c>
      <c r="Z106" t="e">
        <f t="shared" ca="1" si="30"/>
        <v>#N/A</v>
      </c>
      <c r="AA106" t="e">
        <f t="shared" ca="1" si="37"/>
        <v>#N/A</v>
      </c>
      <c r="AB106" t="e">
        <f t="shared" ca="1" si="31"/>
        <v>#N/A</v>
      </c>
      <c r="AC106" t="e">
        <f t="shared" ca="1" si="32"/>
        <v>#N/A</v>
      </c>
      <c r="AD106" s="83">
        <f ca="1"/>
        <v>45390</v>
      </c>
      <c r="AE106" s="55">
        <f t="shared" ca="1" si="41"/>
        <v>45390</v>
      </c>
      <c r="AF106" s="55">
        <f t="shared" ca="1" si="42"/>
        <v>6.2005137909378583</v>
      </c>
      <c r="AG106" s="55">
        <f t="shared" ca="1" si="43"/>
        <v>50.030282036213464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17.650390880289962</v>
      </c>
      <c r="AK106" s="55">
        <f t="shared" ca="1" si="40"/>
        <v>9.3972687192134572</v>
      </c>
    </row>
    <row r="107" spans="18:37">
      <c r="R107" s="83" t="e">
        <f ca="1"/>
        <v>#N/A</v>
      </c>
      <c r="S107" s="55" t="e">
        <f t="shared" ca="1" si="33"/>
        <v>#N/A</v>
      </c>
      <c r="T107" s="55" t="e">
        <f t="shared" ca="1" si="27"/>
        <v>#N/A</v>
      </c>
      <c r="U107" s="55" t="e">
        <f t="shared" ca="1" si="28"/>
        <v>#N/A</v>
      </c>
      <c r="V107" s="55" t="e">
        <f t="shared" ca="1" si="29"/>
        <v>#N/A</v>
      </c>
      <c r="W107" s="55" t="e">
        <f t="shared" ca="1" si="34"/>
        <v>#N/A</v>
      </c>
      <c r="X107" s="55" t="e">
        <f t="shared" ca="1" si="35"/>
        <v>#N/A</v>
      </c>
      <c r="Y107" s="55" t="e">
        <f t="shared" ca="1" si="36"/>
        <v>#N/A</v>
      </c>
      <c r="Z107" t="e">
        <f t="shared" ca="1" si="30"/>
        <v>#N/A</v>
      </c>
      <c r="AA107" t="e">
        <f t="shared" ca="1" si="37"/>
        <v>#N/A</v>
      </c>
      <c r="AB107" t="e">
        <f t="shared" ca="1" si="31"/>
        <v>#N/A</v>
      </c>
      <c r="AC107" t="e">
        <f t="shared" ca="1" si="32"/>
        <v>#N/A</v>
      </c>
      <c r="AD107" s="83">
        <f ca="1"/>
        <v>45391</v>
      </c>
      <c r="AE107" s="55">
        <f t="shared" ca="1" si="41"/>
        <v>45391</v>
      </c>
      <c r="AF107" s="55">
        <f t="shared" ca="1" si="42"/>
        <v>4.6692934772550734</v>
      </c>
      <c r="AG107" s="55">
        <f t="shared" ca="1" si="43"/>
        <v>51.718252003719755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17.797697851459152</v>
      </c>
      <c r="AK107" s="55">
        <f t="shared" ca="1" si="40"/>
        <v>9.4067114018677707</v>
      </c>
    </row>
    <row r="108" spans="18:37">
      <c r="R108" s="83" t="e">
        <f ca="1"/>
        <v>#N/A</v>
      </c>
      <c r="S108" s="55" t="e">
        <f t="shared" ca="1" si="33"/>
        <v>#N/A</v>
      </c>
      <c r="T108" s="55" t="e">
        <f t="shared" ca="1" si="27"/>
        <v>#N/A</v>
      </c>
      <c r="U108" s="55" t="e">
        <f t="shared" ca="1" si="28"/>
        <v>#N/A</v>
      </c>
      <c r="V108" s="55" t="e">
        <f t="shared" ca="1" si="29"/>
        <v>#N/A</v>
      </c>
      <c r="W108" s="55" t="e">
        <f t="shared" ca="1" si="34"/>
        <v>#N/A</v>
      </c>
      <c r="X108" s="55" t="e">
        <f t="shared" ca="1" si="35"/>
        <v>#N/A</v>
      </c>
      <c r="Y108" s="55" t="e">
        <f t="shared" ca="1" si="36"/>
        <v>#N/A</v>
      </c>
      <c r="Z108" t="e">
        <f t="shared" ca="1" si="30"/>
        <v>#N/A</v>
      </c>
      <c r="AA108" t="e">
        <f t="shared" ca="1" si="37"/>
        <v>#N/A</v>
      </c>
      <c r="AB108" t="e">
        <f t="shared" ca="1" si="31"/>
        <v>#N/A</v>
      </c>
      <c r="AC108" t="e">
        <f t="shared" ca="1" si="32"/>
        <v>#N/A</v>
      </c>
      <c r="AD108" s="83">
        <f ca="1"/>
        <v>45392</v>
      </c>
      <c r="AE108" s="55">
        <f t="shared" ca="1" si="41"/>
        <v>45392</v>
      </c>
      <c r="AF108" s="55">
        <f t="shared" ca="1" si="42"/>
        <v>3.1298077788746586</v>
      </c>
      <c r="AG108" s="55">
        <f t="shared" ca="1" si="43"/>
        <v>53.411753652251527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17.942456367580331</v>
      </c>
      <c r="AK108" s="55">
        <f t="shared" ca="1" si="40"/>
        <v>9.4159688358979494</v>
      </c>
    </row>
    <row r="109" spans="18:37">
      <c r="R109" s="83" t="e">
        <f ca="1"/>
        <v>#N/A</v>
      </c>
      <c r="S109" s="55" t="e">
        <f t="shared" ca="1" si="33"/>
        <v>#N/A</v>
      </c>
      <c r="T109" s="55" t="e">
        <f t="shared" ca="1" si="27"/>
        <v>#N/A</v>
      </c>
      <c r="U109" s="55" t="e">
        <f t="shared" ca="1" si="28"/>
        <v>#N/A</v>
      </c>
      <c r="V109" s="55" t="e">
        <f t="shared" ca="1" si="29"/>
        <v>#N/A</v>
      </c>
      <c r="W109" s="55" t="e">
        <f t="shared" ca="1" si="34"/>
        <v>#N/A</v>
      </c>
      <c r="X109" s="55" t="e">
        <f t="shared" ca="1" si="35"/>
        <v>#N/A</v>
      </c>
      <c r="Y109" s="55" t="e">
        <f t="shared" ca="1" si="36"/>
        <v>#N/A</v>
      </c>
      <c r="Z109" t="e">
        <f t="shared" ca="1" si="30"/>
        <v>#N/A</v>
      </c>
      <c r="AA109" t="e">
        <f t="shared" ca="1" si="37"/>
        <v>#N/A</v>
      </c>
      <c r="AB109" t="e">
        <f t="shared" ca="1" si="31"/>
        <v>#N/A</v>
      </c>
      <c r="AC109" t="e">
        <f t="shared" ca="1" si="32"/>
        <v>#N/A</v>
      </c>
      <c r="AD109" s="83">
        <f ca="1"/>
        <v>45393</v>
      </c>
      <c r="AE109" s="55">
        <f t="shared" ca="1" si="41"/>
        <v>45393</v>
      </c>
      <c r="AF109" s="55">
        <f t="shared" ca="1" si="42"/>
        <v>1.5562830670580121</v>
      </c>
      <c r="AG109" s="55">
        <f t="shared" ca="1" si="43"/>
        <v>55.144731700580152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18.092192363120027</v>
      </c>
      <c r="AK109" s="55">
        <f t="shared" ca="1" si="40"/>
        <v>9.4256861768702329</v>
      </c>
    </row>
    <row r="110" spans="18:37">
      <c r="R110" s="83" t="e">
        <f ca="1"/>
        <v>#N/A</v>
      </c>
      <c r="S110" s="55" t="e">
        <f t="shared" ca="1" si="33"/>
        <v>#N/A</v>
      </c>
      <c r="T110" s="55" t="e">
        <f t="shared" ca="1" si="27"/>
        <v>#N/A</v>
      </c>
      <c r="U110" s="55" t="e">
        <f t="shared" ca="1" si="28"/>
        <v>#N/A</v>
      </c>
      <c r="V110" s="55" t="e">
        <f t="shared" ca="1" si="29"/>
        <v>#N/A</v>
      </c>
      <c r="W110" s="55" t="e">
        <f t="shared" ca="1" si="34"/>
        <v>#N/A</v>
      </c>
      <c r="X110" s="55" t="e">
        <f t="shared" ca="1" si="35"/>
        <v>#N/A</v>
      </c>
      <c r="Y110" s="55" t="e">
        <f t="shared" ca="1" si="36"/>
        <v>#N/A</v>
      </c>
      <c r="Z110" t="e">
        <f t="shared" ca="1" si="30"/>
        <v>#N/A</v>
      </c>
      <c r="AA110" t="e">
        <f t="shared" ca="1" si="37"/>
        <v>#N/A</v>
      </c>
      <c r="AB110" t="e">
        <f t="shared" ca="1" si="31"/>
        <v>#N/A</v>
      </c>
      <c r="AC110" t="e">
        <f t="shared" ca="1" si="32"/>
        <v>#N/A</v>
      </c>
      <c r="AD110" s="83">
        <f ca="1"/>
        <v>45394</v>
      </c>
      <c r="AE110" s="55">
        <f t="shared" ca="1" si="41"/>
        <v>45394</v>
      </c>
      <c r="AF110" s="55">
        <f t="shared" ca="1" si="42"/>
        <v>-7.7610259366422518E-2</v>
      </c>
      <c r="AG110" s="55">
        <f t="shared" ca="1" si="43"/>
        <v>56.941112960097378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18.244917069440604</v>
      </c>
      <c r="AK110" s="55">
        <f t="shared" ca="1" si="40"/>
        <v>9.4354494036424477</v>
      </c>
    </row>
    <row r="111" spans="18:37">
      <c r="R111" s="83" t="e">
        <f ca="1"/>
        <v>#N/A</v>
      </c>
      <c r="S111" s="55" t="e">
        <f t="shared" ca="1" si="33"/>
        <v>#N/A</v>
      </c>
      <c r="T111" s="55" t="e">
        <f t="shared" ca="1" si="27"/>
        <v>#N/A</v>
      </c>
      <c r="U111" s="55" t="e">
        <f t="shared" ca="1" si="28"/>
        <v>#N/A</v>
      </c>
      <c r="V111" s="55" t="e">
        <f t="shared" ca="1" si="29"/>
        <v>#N/A</v>
      </c>
      <c r="W111" s="55" t="e">
        <f t="shared" ca="1" si="34"/>
        <v>#N/A</v>
      </c>
      <c r="X111" s="55" t="e">
        <f t="shared" ca="1" si="35"/>
        <v>#N/A</v>
      </c>
      <c r="Y111" s="55" t="e">
        <f t="shared" ca="1" si="36"/>
        <v>#N/A</v>
      </c>
      <c r="Z111" t="e">
        <f t="shared" ca="1" si="30"/>
        <v>#N/A</v>
      </c>
      <c r="AA111" t="e">
        <f t="shared" ca="1" si="37"/>
        <v>#N/A</v>
      </c>
      <c r="AB111" t="e">
        <f t="shared" ca="1" si="31"/>
        <v>#N/A</v>
      </c>
      <c r="AC111" t="e">
        <f t="shared" ca="1" si="32"/>
        <v>#N/A</v>
      </c>
      <c r="AD111" s="83">
        <f ca="1"/>
        <v>45395</v>
      </c>
      <c r="AE111" s="55">
        <f t="shared" ca="1" si="41"/>
        <v>45395</v>
      </c>
      <c r="AF111" s="55">
        <f t="shared" ca="1" si="42"/>
        <v>-1.709258767267462</v>
      </c>
      <c r="AG111" s="55">
        <f t="shared" ca="1" si="43"/>
        <v>58.734474670845451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18.396838837985097</v>
      </c>
      <c r="AK111" s="55">
        <f t="shared" ca="1" si="40"/>
        <v>9.4452408379449864</v>
      </c>
    </row>
    <row r="112" spans="18:37">
      <c r="R112" s="83" t="e">
        <f ca="1"/>
        <v>#N/A</v>
      </c>
      <c r="S112" s="55" t="e">
        <f t="shared" ca="1" si="33"/>
        <v>#N/A</v>
      </c>
      <c r="T112" s="55" t="e">
        <f t="shared" ca="1" si="27"/>
        <v>#N/A</v>
      </c>
      <c r="U112" s="55" t="e">
        <f t="shared" ca="1" si="28"/>
        <v>#N/A</v>
      </c>
      <c r="V112" s="55" t="e">
        <f t="shared" ca="1" si="29"/>
        <v>#N/A</v>
      </c>
      <c r="W112" s="55" t="e">
        <f t="shared" ca="1" si="34"/>
        <v>#N/A</v>
      </c>
      <c r="X112" s="55" t="e">
        <f t="shared" ca="1" si="35"/>
        <v>#N/A</v>
      </c>
      <c r="Y112" s="55" t="e">
        <f t="shared" ca="1" si="36"/>
        <v>#N/A</v>
      </c>
      <c r="Z112" t="e">
        <f t="shared" ca="1" si="30"/>
        <v>#N/A</v>
      </c>
      <c r="AA112" t="e">
        <f t="shared" ca="1" si="37"/>
        <v>#N/A</v>
      </c>
      <c r="AB112" t="e">
        <f t="shared" ca="1" si="31"/>
        <v>#N/A</v>
      </c>
      <c r="AC112" t="e">
        <f t="shared" ca="1" si="32"/>
        <v>#N/A</v>
      </c>
      <c r="AD112" s="83">
        <f ca="1"/>
        <v>45396</v>
      </c>
      <c r="AE112" s="55">
        <f t="shared" ca="1" si="41"/>
        <v>45396</v>
      </c>
      <c r="AF112" s="55">
        <f t="shared" ca="1" si="42"/>
        <v>-3.3514457839790994</v>
      </c>
      <c r="AG112" s="55">
        <f t="shared" ca="1" si="43"/>
        <v>60.537566601251598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18.548017669708159</v>
      </c>
      <c r="AK112" s="55">
        <f t="shared" ca="1" si="40"/>
        <v>9.4549669199164335</v>
      </c>
    </row>
    <row r="113" spans="18:37">
      <c r="R113" s="83" t="e">
        <f ca="1"/>
        <v>#N/A</v>
      </c>
      <c r="S113" s="55" t="e">
        <f t="shared" ca="1" si="33"/>
        <v>#N/A</v>
      </c>
      <c r="T113" s="55" t="e">
        <f t="shared" ca="1" si="27"/>
        <v>#N/A</v>
      </c>
      <c r="U113" s="55" t="e">
        <f t="shared" ca="1" si="28"/>
        <v>#N/A</v>
      </c>
      <c r="V113" s="55" t="e">
        <f t="shared" ca="1" si="29"/>
        <v>#N/A</v>
      </c>
      <c r="W113" s="55" t="e">
        <f t="shared" ca="1" si="34"/>
        <v>#N/A</v>
      </c>
      <c r="X113" s="55" t="e">
        <f t="shared" ca="1" si="35"/>
        <v>#N/A</v>
      </c>
      <c r="Y113" s="55" t="e">
        <f t="shared" ca="1" si="36"/>
        <v>#N/A</v>
      </c>
      <c r="Z113" t="e">
        <f t="shared" ca="1" si="30"/>
        <v>#N/A</v>
      </c>
      <c r="AA113" t="e">
        <f t="shared" ca="1" si="37"/>
        <v>#N/A</v>
      </c>
      <c r="AB113" t="e">
        <f t="shared" ca="1" si="31"/>
        <v>#N/A</v>
      </c>
      <c r="AC113" t="e">
        <f t="shared" ca="1" si="32"/>
        <v>#N/A</v>
      </c>
      <c r="AD113" s="83">
        <f ca="1"/>
        <v>45397</v>
      </c>
      <c r="AE113" s="55">
        <f t="shared" ca="1" si="41"/>
        <v>45397</v>
      </c>
      <c r="AF113" s="55">
        <f t="shared" ca="1" si="42"/>
        <v>-5.0726612401278564</v>
      </c>
      <c r="AG113" s="55">
        <f t="shared" ca="1" si="43"/>
        <v>62.431212454668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18.710021460781611</v>
      </c>
      <c r="AK113" s="55">
        <f t="shared" ca="1" si="40"/>
        <v>9.4653935261106259</v>
      </c>
    </row>
    <row r="114" spans="18:37">
      <c r="R114" s="83" t="e">
        <f ca="1"/>
        <v>#N/A</v>
      </c>
      <c r="S114" s="55" t="e">
        <f t="shared" ca="1" si="33"/>
        <v>#N/A</v>
      </c>
      <c r="T114" s="55" t="e">
        <f t="shared" ca="1" si="27"/>
        <v>#N/A</v>
      </c>
      <c r="U114" s="55" t="e">
        <f t="shared" ca="1" si="28"/>
        <v>#N/A</v>
      </c>
      <c r="V114" s="55" t="e">
        <f t="shared" ca="1" si="29"/>
        <v>#N/A</v>
      </c>
      <c r="W114" s="55" t="e">
        <f t="shared" ca="1" si="34"/>
        <v>#N/A</v>
      </c>
      <c r="X114" s="55" t="e">
        <f t="shared" ca="1" si="35"/>
        <v>#N/A</v>
      </c>
      <c r="Y114" s="55" t="e">
        <f t="shared" ca="1" si="36"/>
        <v>#N/A</v>
      </c>
      <c r="Z114" t="e">
        <f t="shared" ca="1" si="30"/>
        <v>#N/A</v>
      </c>
      <c r="AA114" t="e">
        <f t="shared" ca="1" si="37"/>
        <v>#N/A</v>
      </c>
      <c r="AB114" t="e">
        <f t="shared" ca="1" si="31"/>
        <v>#N/A</v>
      </c>
      <c r="AC114" t="e">
        <f t="shared" ca="1" si="32"/>
        <v>#N/A</v>
      </c>
      <c r="AD114" s="83">
        <f ca="1"/>
        <v>45398</v>
      </c>
      <c r="AE114" s="55">
        <f t="shared" ca="1" si="41"/>
        <v>45398</v>
      </c>
      <c r="AF114" s="55">
        <f t="shared" ca="1" si="42"/>
        <v>-6.7948224264191301</v>
      </c>
      <c r="AG114" s="55">
        <f t="shared" ca="1" si="43"/>
        <v>64.324338054713422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18.870669873967085</v>
      </c>
      <c r="AK114" s="55">
        <f t="shared" ca="1" si="40"/>
        <v>9.475709526679303</v>
      </c>
    </row>
    <row r="115" spans="18:37">
      <c r="R115" s="83" t="e">
        <f ca="1"/>
        <v>#N/A</v>
      </c>
      <c r="S115" s="55" t="e">
        <f t="shared" ca="1" si="33"/>
        <v>#N/A</v>
      </c>
      <c r="T115" s="55" t="e">
        <f t="shared" ca="1" si="27"/>
        <v>#N/A</v>
      </c>
      <c r="U115" s="55" t="e">
        <f t="shared" ca="1" si="28"/>
        <v>#N/A</v>
      </c>
      <c r="V115" s="55" t="e">
        <f t="shared" ca="1" si="29"/>
        <v>#N/A</v>
      </c>
      <c r="W115" s="55" t="e">
        <f t="shared" ca="1" si="34"/>
        <v>#N/A</v>
      </c>
      <c r="X115" s="55" t="e">
        <f t="shared" ca="1" si="35"/>
        <v>#N/A</v>
      </c>
      <c r="Y115" s="55" t="e">
        <f t="shared" ca="1" si="36"/>
        <v>#N/A</v>
      </c>
      <c r="Z115" t="e">
        <f t="shared" ca="1" si="30"/>
        <v>#N/A</v>
      </c>
      <c r="AA115" t="e">
        <f t="shared" ca="1" si="37"/>
        <v>#N/A</v>
      </c>
      <c r="AB115" t="e">
        <f t="shared" ca="1" si="31"/>
        <v>#N/A</v>
      </c>
      <c r="AC115" t="e">
        <f t="shared" ca="1" si="32"/>
        <v>#N/A</v>
      </c>
      <c r="AD115" s="83">
        <f ca="1"/>
        <v>45399</v>
      </c>
      <c r="AE115" s="55">
        <f t="shared" ca="1" si="41"/>
        <v>45399</v>
      </c>
      <c r="AF115" s="55">
        <f t="shared" ca="1" si="42"/>
        <v>-8.5440669753747365</v>
      </c>
      <c r="AG115" s="55">
        <f t="shared" ca="1" si="43"/>
        <v>66.246971670304291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19.033647561309817</v>
      </c>
      <c r="AK115" s="55">
        <f t="shared" ca="1" si="40"/>
        <v>9.4861209059718306</v>
      </c>
    </row>
    <row r="116" spans="18:37">
      <c r="R116" s="83" t="e">
        <f ca="1"/>
        <v>#N/A</v>
      </c>
      <c r="S116" s="55" t="e">
        <f t="shared" ca="1" si="33"/>
        <v>#N/A</v>
      </c>
      <c r="T116" s="55" t="e">
        <f t="shared" ca="1" si="27"/>
        <v>#N/A</v>
      </c>
      <c r="U116" s="55" t="e">
        <f t="shared" ca="1" si="28"/>
        <v>#N/A</v>
      </c>
      <c r="V116" s="55" t="e">
        <f t="shared" ca="1" si="29"/>
        <v>#N/A</v>
      </c>
      <c r="W116" s="55" t="e">
        <f t="shared" ca="1" si="34"/>
        <v>#N/A</v>
      </c>
      <c r="X116" s="55" t="e">
        <f t="shared" ca="1" si="35"/>
        <v>#N/A</v>
      </c>
      <c r="Y116" s="55" t="e">
        <f t="shared" ca="1" si="36"/>
        <v>#N/A</v>
      </c>
      <c r="Z116" t="e">
        <f t="shared" ca="1" si="30"/>
        <v>#N/A</v>
      </c>
      <c r="AA116" t="e">
        <f t="shared" ca="1" si="37"/>
        <v>#N/A</v>
      </c>
      <c r="AB116" t="e">
        <f t="shared" ca="1" si="31"/>
        <v>#N/A</v>
      </c>
      <c r="AC116" t="e">
        <f t="shared" ca="1" si="32"/>
        <v>#N/A</v>
      </c>
      <c r="AD116" s="83">
        <f ca="1"/>
        <v>45400</v>
      </c>
      <c r="AE116" s="55">
        <f t="shared" ca="1" si="41"/>
        <v>45400</v>
      </c>
      <c r="AF116" s="55">
        <f t="shared" ca="1" si="42"/>
        <v>-10.293896514150049</v>
      </c>
      <c r="AG116" s="55">
        <f t="shared" ca="1" si="43"/>
        <v>68.167314275373428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19.194002292146077</v>
      </c>
      <c r="AK116" s="55">
        <f t="shared" ca="1" si="40"/>
        <v>9.4962792414293951</v>
      </c>
    </row>
    <row r="117" spans="18:37">
      <c r="R117" s="83" t="e">
        <f ca="1"/>
        <v>#N/A</v>
      </c>
      <c r="S117" s="55" t="e">
        <f t="shared" ca="1" si="33"/>
        <v>#N/A</v>
      </c>
      <c r="T117" s="55" t="e">
        <f t="shared" ca="1" si="27"/>
        <v>#N/A</v>
      </c>
      <c r="U117" s="55" t="e">
        <f t="shared" ca="1" si="28"/>
        <v>#N/A</v>
      </c>
      <c r="V117" s="55" t="e">
        <f t="shared" ca="1" si="29"/>
        <v>#N/A</v>
      </c>
      <c r="W117" s="55" t="e">
        <f t="shared" ca="1" si="34"/>
        <v>#N/A</v>
      </c>
      <c r="X117" s="55" t="e">
        <f t="shared" ca="1" si="35"/>
        <v>#N/A</v>
      </c>
      <c r="Y117" s="55" t="e">
        <f t="shared" ca="1" si="36"/>
        <v>#N/A</v>
      </c>
      <c r="Z117" t="e">
        <f t="shared" ca="1" si="30"/>
        <v>#N/A</v>
      </c>
      <c r="AA117" t="e">
        <f t="shared" ca="1" si="37"/>
        <v>#N/A</v>
      </c>
      <c r="AB117" t="e">
        <f t="shared" ca="1" si="31"/>
        <v>#N/A</v>
      </c>
      <c r="AC117" t="e">
        <f t="shared" ca="1" si="32"/>
        <v>#N/A</v>
      </c>
      <c r="AD117" s="83">
        <f ca="1"/>
        <v>45401</v>
      </c>
      <c r="AE117" s="55">
        <f t="shared" ca="1" si="41"/>
        <v>45401</v>
      </c>
      <c r="AF117" s="55">
        <f t="shared" ca="1" si="42"/>
        <v>-12.096049929494161</v>
      </c>
      <c r="AG117" s="55">
        <f t="shared" ca="1" si="43"/>
        <v>70.14084934141701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19.355381558496731</v>
      </c>
      <c r="AK117" s="55">
        <f t="shared" ca="1" si="40"/>
        <v>9.506281625778211</v>
      </c>
    </row>
    <row r="118" spans="18:37">
      <c r="R118" s="83" t="e">
        <f ca="1"/>
        <v>#N/A</v>
      </c>
      <c r="S118" s="55" t="e">
        <f t="shared" ca="1" si="33"/>
        <v>#N/A</v>
      </c>
      <c r="T118" s="55" t="e">
        <f t="shared" ca="1" si="27"/>
        <v>#N/A</v>
      </c>
      <c r="U118" s="55" t="e">
        <f t="shared" ca="1" si="28"/>
        <v>#N/A</v>
      </c>
      <c r="V118" s="55" t="e">
        <f t="shared" ca="1" si="29"/>
        <v>#N/A</v>
      </c>
      <c r="W118" s="55" t="e">
        <f t="shared" ca="1" si="34"/>
        <v>#N/A</v>
      </c>
      <c r="X118" s="55" t="e">
        <f t="shared" ca="1" si="35"/>
        <v>#N/A</v>
      </c>
      <c r="Y118" s="55" t="e">
        <f t="shared" ca="1" si="36"/>
        <v>#N/A</v>
      </c>
      <c r="Z118" t="e">
        <f t="shared" ca="1" si="30"/>
        <v>#N/A</v>
      </c>
      <c r="AA118" t="e">
        <f t="shared" ca="1" si="37"/>
        <v>#N/A</v>
      </c>
      <c r="AB118" t="e">
        <f t="shared" ca="1" si="31"/>
        <v>#N/A</v>
      </c>
      <c r="AC118" t="e">
        <f t="shared" ca="1" si="32"/>
        <v>#N/A</v>
      </c>
      <c r="AD118" s="83">
        <f ca="1"/>
        <v>45402</v>
      </c>
      <c r="AE118" s="55">
        <f t="shared" ca="1" si="41"/>
        <v>45402</v>
      </c>
      <c r="AF118" s="55">
        <f t="shared" ca="1" si="42"/>
        <v>-13.899255676736402</v>
      </c>
      <c r="AG118" s="55">
        <f t="shared" ca="1" si="43"/>
        <v>72.118913683071696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19.520258934351663</v>
      </c>
      <c r="AK118" s="55">
        <f t="shared" ca="1" si="40"/>
        <v>9.5162628443357242</v>
      </c>
    </row>
    <row r="119" spans="18:37">
      <c r="R119" s="83" t="e">
        <f ca="1"/>
        <v>#N/A</v>
      </c>
      <c r="S119" s="55" t="e">
        <f t="shared" ca="1" si="33"/>
        <v>#N/A</v>
      </c>
      <c r="T119" s="55" t="e">
        <f t="shared" ca="1" si="27"/>
        <v>#N/A</v>
      </c>
      <c r="U119" s="55" t="e">
        <f t="shared" ca="1" si="28"/>
        <v>#N/A</v>
      </c>
      <c r="V119" s="55" t="e">
        <f t="shared" ca="1" si="29"/>
        <v>#N/A</v>
      </c>
      <c r="W119" s="55" t="e">
        <f t="shared" ca="1" si="34"/>
        <v>#N/A</v>
      </c>
      <c r="X119" s="55" t="e">
        <f t="shared" ca="1" si="35"/>
        <v>#N/A</v>
      </c>
      <c r="Y119" s="55" t="e">
        <f t="shared" ca="1" si="36"/>
        <v>#N/A</v>
      </c>
      <c r="Z119" t="e">
        <f t="shared" ca="1" si="30"/>
        <v>#N/A</v>
      </c>
      <c r="AA119" t="e">
        <f t="shared" ca="1" si="37"/>
        <v>#N/A</v>
      </c>
      <c r="AB119" t="e">
        <f t="shared" ca="1" si="31"/>
        <v>#N/A</v>
      </c>
      <c r="AC119" t="e">
        <f t="shared" ca="1" si="32"/>
        <v>#N/A</v>
      </c>
      <c r="AD119" s="83">
        <f ca="1"/>
        <v>45403</v>
      </c>
      <c r="AE119" s="55">
        <f t="shared" ca="1" si="41"/>
        <v>45403</v>
      </c>
      <c r="AF119" s="55">
        <f t="shared" ca="1" si="42"/>
        <v>-15.634584137786074</v>
      </c>
      <c r="AG119" s="55">
        <f t="shared" ca="1" si="43"/>
        <v>74.022911507518117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19.679559037700919</v>
      </c>
      <c r="AK119" s="55">
        <f t="shared" ca="1" si="40"/>
        <v>9.5256321043832131</v>
      </c>
    </row>
    <row r="120" spans="18:37">
      <c r="R120" s="83" t="e">
        <f ca="1"/>
        <v>#N/A</v>
      </c>
      <c r="S120" s="55" t="e">
        <f t="shared" ca="1" si="33"/>
        <v>#N/A</v>
      </c>
      <c r="T120" s="55" t="e">
        <f t="shared" ca="1" si="27"/>
        <v>#N/A</v>
      </c>
      <c r="U120" s="55" t="e">
        <f t="shared" ca="1" si="28"/>
        <v>#N/A</v>
      </c>
      <c r="V120" s="55" t="e">
        <f t="shared" ca="1" si="29"/>
        <v>#N/A</v>
      </c>
      <c r="W120" s="55" t="e">
        <f t="shared" ca="1" si="34"/>
        <v>#N/A</v>
      </c>
      <c r="X120" s="55" t="e">
        <f t="shared" ca="1" si="35"/>
        <v>#N/A</v>
      </c>
      <c r="Y120" s="55" t="e">
        <f t="shared" ca="1" si="36"/>
        <v>#N/A</v>
      </c>
      <c r="Z120" t="e">
        <f t="shared" ca="1" si="30"/>
        <v>#N/A</v>
      </c>
      <c r="AA120" t="e">
        <f t="shared" ca="1" si="37"/>
        <v>#N/A</v>
      </c>
      <c r="AB120" t="e">
        <f t="shared" ca="1" si="31"/>
        <v>#N/A</v>
      </c>
      <c r="AC120" t="e">
        <f t="shared" ca="1" si="32"/>
        <v>#N/A</v>
      </c>
      <c r="AD120" s="83">
        <f ca="1"/>
        <v>45404</v>
      </c>
      <c r="AE120" s="55">
        <f t="shared" ca="1" si="41"/>
        <v>45404</v>
      </c>
      <c r="AF120" s="55">
        <f t="shared" ca="1" si="42"/>
        <v>-17.406372134845043</v>
      </c>
      <c r="AG120" s="55">
        <f t="shared" ca="1" si="43"/>
        <v>75.965503148062069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19.84101301856618</v>
      </c>
      <c r="AK120" s="55">
        <f t="shared" ca="1" si="40"/>
        <v>9.534981767002936</v>
      </c>
    </row>
    <row r="121" spans="18:37">
      <c r="R121" s="83" t="e">
        <f ca="1"/>
        <v>#N/A</v>
      </c>
      <c r="S121" s="55" t="e">
        <f t="shared" ca="1" si="33"/>
        <v>#N/A</v>
      </c>
      <c r="T121" s="55" t="e">
        <f t="shared" ca="1" si="27"/>
        <v>#N/A</v>
      </c>
      <c r="U121" s="55" t="e">
        <f t="shared" ca="1" si="28"/>
        <v>#N/A</v>
      </c>
      <c r="V121" s="55" t="e">
        <f t="shared" ca="1" si="29"/>
        <v>#N/A</v>
      </c>
      <c r="W121" s="55" t="e">
        <f t="shared" ca="1" si="34"/>
        <v>#N/A</v>
      </c>
      <c r="X121" s="55" t="e">
        <f t="shared" ca="1" si="35"/>
        <v>#N/A</v>
      </c>
      <c r="Y121" s="55" t="e">
        <f t="shared" ca="1" si="36"/>
        <v>#N/A</v>
      </c>
      <c r="Z121" t="e">
        <f t="shared" ca="1" si="30"/>
        <v>#N/A</v>
      </c>
      <c r="AA121" t="e">
        <f t="shared" ca="1" si="37"/>
        <v>#N/A</v>
      </c>
      <c r="AB121" t="e">
        <f t="shared" ca="1" si="31"/>
        <v>#N/A</v>
      </c>
      <c r="AC121" t="e">
        <f t="shared" ca="1" si="32"/>
        <v>#N/A</v>
      </c>
      <c r="AD121" s="83">
        <f ca="1"/>
        <v>45405</v>
      </c>
      <c r="AE121" s="55">
        <f t="shared" ca="1" si="41"/>
        <v>45405</v>
      </c>
      <c r="AF121" s="55">
        <f t="shared" ca="1" si="42"/>
        <v>-19.166167343826316</v>
      </c>
      <c r="AG121" s="55">
        <f t="shared" ca="1" si="43"/>
        <v>77.900173940171513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20.00677632254941</v>
      </c>
      <c r="AK121" s="55">
        <f t="shared" ca="1" si="40"/>
        <v>9.544094046147876</v>
      </c>
    </row>
    <row r="122" spans="18:37">
      <c r="R122" s="83" t="e">
        <f ca="1"/>
        <v>#N/A</v>
      </c>
      <c r="S122" s="55" t="e">
        <f t="shared" ca="1" si="33"/>
        <v>#N/A</v>
      </c>
      <c r="T122" s="55" t="e">
        <f t="shared" ca="1" si="27"/>
        <v>#N/A</v>
      </c>
      <c r="U122" s="55" t="e">
        <f t="shared" ca="1" si="28"/>
        <v>#N/A</v>
      </c>
      <c r="V122" s="55" t="e">
        <f t="shared" ca="1" si="29"/>
        <v>#N/A</v>
      </c>
      <c r="W122" s="55" t="e">
        <f t="shared" ca="1" si="34"/>
        <v>#N/A</v>
      </c>
      <c r="X122" s="55" t="e">
        <f t="shared" ca="1" si="35"/>
        <v>#N/A</v>
      </c>
      <c r="Y122" s="55" t="e">
        <f t="shared" ca="1" si="36"/>
        <v>#N/A</v>
      </c>
      <c r="Z122" t="e">
        <f t="shared" ca="1" si="30"/>
        <v>#N/A</v>
      </c>
      <c r="AA122" t="e">
        <f t="shared" ca="1" si="37"/>
        <v>#N/A</v>
      </c>
      <c r="AB122" t="e">
        <f t="shared" ca="1" si="31"/>
        <v>#N/A</v>
      </c>
      <c r="AC122" t="e">
        <f t="shared" ca="1" si="32"/>
        <v>#N/A</v>
      </c>
      <c r="AD122" s="83">
        <f ca="1"/>
        <v>45406</v>
      </c>
      <c r="AE122" s="55">
        <f t="shared" ca="1" si="41"/>
        <v>45406</v>
      </c>
      <c r="AF122" s="55">
        <f t="shared" ca="1" si="42"/>
        <v>-20.959440439827901</v>
      </c>
      <c r="AG122" s="55">
        <f t="shared" ca="1" si="43"/>
        <v>79.888293612159075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20.192448912768434</v>
      </c>
      <c r="AK122" s="55">
        <f t="shared" ca="1" si="40"/>
        <v>9.5532680319148291</v>
      </c>
    </row>
    <row r="123" spans="18:37">
      <c r="R123" s="83" t="e">
        <f ca="1"/>
        <v>#N/A</v>
      </c>
      <c r="S123" s="55" t="e">
        <f t="shared" ca="1" si="33"/>
        <v>#N/A</v>
      </c>
      <c r="T123" s="55" t="e">
        <f t="shared" ca="1" si="27"/>
        <v>#N/A</v>
      </c>
      <c r="U123" s="55" t="e">
        <f t="shared" ca="1" si="28"/>
        <v>#N/A</v>
      </c>
      <c r="V123" s="55" t="e">
        <f t="shared" ca="1" si="29"/>
        <v>#N/A</v>
      </c>
      <c r="W123" s="55" t="e">
        <f t="shared" ca="1" si="34"/>
        <v>#N/A</v>
      </c>
      <c r="X123" s="55" t="e">
        <f t="shared" ca="1" si="35"/>
        <v>#N/A</v>
      </c>
      <c r="Y123" s="55" t="e">
        <f t="shared" ca="1" si="36"/>
        <v>#N/A</v>
      </c>
      <c r="Z123" t="e">
        <f t="shared" ca="1" si="30"/>
        <v>#N/A</v>
      </c>
      <c r="AA123" t="e">
        <f t="shared" ca="1" si="37"/>
        <v>#N/A</v>
      </c>
      <c r="AB123" t="e">
        <f t="shared" ca="1" si="31"/>
        <v>#N/A</v>
      </c>
      <c r="AC123" t="e">
        <f t="shared" ca="1" si="32"/>
        <v>#N/A</v>
      </c>
      <c r="AD123" s="83">
        <f ca="1"/>
        <v>45407</v>
      </c>
      <c r="AE123" s="55">
        <f t="shared" ca="1" si="41"/>
        <v>45407</v>
      </c>
      <c r="AF123" s="55">
        <f t="shared" ca="1" si="42"/>
        <v>-22.790891815677192</v>
      </c>
      <c r="AG123" s="55">
        <f t="shared" ca="1" si="43"/>
        <v>81.922306464334952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20.385808977758874</v>
      </c>
      <c r="AK123" s="55">
        <f t="shared" ca="1" si="40"/>
        <v>9.5624694432509756</v>
      </c>
    </row>
    <row r="124" spans="18:37">
      <c r="R124" s="83" t="e">
        <f ca="1"/>
        <v>#N/A</v>
      </c>
      <c r="S124" s="55" t="e">
        <f t="shared" ca="1" si="33"/>
        <v>#N/A</v>
      </c>
      <c r="T124" s="55" t="e">
        <f t="shared" ca="1" si="27"/>
        <v>#N/A</v>
      </c>
      <c r="U124" s="55" t="e">
        <f t="shared" ca="1" si="28"/>
        <v>#N/A</v>
      </c>
      <c r="V124" s="55" t="e">
        <f t="shared" ca="1" si="29"/>
        <v>#N/A</v>
      </c>
      <c r="W124" s="55" t="e">
        <f t="shared" ca="1" si="34"/>
        <v>#N/A</v>
      </c>
      <c r="X124" s="55" t="e">
        <f t="shared" ca="1" si="35"/>
        <v>#N/A</v>
      </c>
      <c r="Y124" s="55" t="e">
        <f t="shared" ca="1" si="36"/>
        <v>#N/A</v>
      </c>
      <c r="Z124" t="e">
        <f t="shared" ca="1" si="30"/>
        <v>#N/A</v>
      </c>
      <c r="AA124" t="e">
        <f t="shared" ca="1" si="37"/>
        <v>#N/A</v>
      </c>
      <c r="AB124" t="e">
        <f t="shared" ca="1" si="31"/>
        <v>#N/A</v>
      </c>
      <c r="AC124" t="e">
        <f t="shared" ca="1" si="32"/>
        <v>#N/A</v>
      </c>
      <c r="AD124" s="83">
        <f ca="1"/>
        <v>45408</v>
      </c>
      <c r="AE124" s="55">
        <f t="shared" ca="1" si="41"/>
        <v>45408</v>
      </c>
      <c r="AF124" s="55">
        <f t="shared" ca="1" si="42"/>
        <v>-24.680866494638796</v>
      </c>
      <c r="AG124" s="55">
        <f t="shared" ca="1" si="43"/>
        <v>84.02437953234849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20.588572424080198</v>
      </c>
      <c r="AK124" s="55">
        <f t="shared" ca="1" si="40"/>
        <v>9.5718043859815864</v>
      </c>
    </row>
    <row r="125" spans="18:37">
      <c r="R125" s="83" t="e">
        <f ca="1"/>
        <v>#N/A</v>
      </c>
      <c r="S125" s="55" t="e">
        <f t="shared" ca="1" si="33"/>
        <v>#N/A</v>
      </c>
      <c r="T125" s="55" t="e">
        <f t="shared" ca="1" si="27"/>
        <v>#N/A</v>
      </c>
      <c r="U125" s="55" t="e">
        <f t="shared" ca="1" si="28"/>
        <v>#N/A</v>
      </c>
      <c r="V125" s="55" t="e">
        <f t="shared" ca="1" si="29"/>
        <v>#N/A</v>
      </c>
      <c r="W125" s="55" t="e">
        <f t="shared" ca="1" si="34"/>
        <v>#N/A</v>
      </c>
      <c r="X125" s="55" t="e">
        <f t="shared" ca="1" si="35"/>
        <v>#N/A</v>
      </c>
      <c r="Y125" s="55" t="e">
        <f t="shared" ca="1" si="36"/>
        <v>#N/A</v>
      </c>
      <c r="Z125" t="e">
        <f t="shared" ca="1" si="30"/>
        <v>#N/A</v>
      </c>
      <c r="AA125" t="e">
        <f t="shared" ca="1" si="37"/>
        <v>#N/A</v>
      </c>
      <c r="AB125" t="e">
        <f t="shared" ca="1" si="31"/>
        <v>#N/A</v>
      </c>
      <c r="AC125" t="e">
        <f t="shared" ca="1" si="32"/>
        <v>#N/A</v>
      </c>
      <c r="AD125" s="83">
        <f ca="1"/>
        <v>45409</v>
      </c>
      <c r="AE125" s="55">
        <f t="shared" ca="1" si="41"/>
        <v>45409</v>
      </c>
      <c r="AF125" s="55">
        <f t="shared" ca="1" si="42"/>
        <v>-26.604692096350377</v>
      </c>
      <c r="AG125" s="55">
        <f t="shared" ca="1" si="43"/>
        <v>86.171547813079528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20.802552638382561</v>
      </c>
      <c r="AK125" s="55">
        <f t="shared" ca="1" si="40"/>
        <v>9.5811668506986791</v>
      </c>
    </row>
    <row r="126" spans="18:37">
      <c r="R126" s="83" t="e">
        <f ca="1"/>
        <v>#N/A</v>
      </c>
      <c r="S126" s="55" t="e">
        <f t="shared" ca="1" si="33"/>
        <v>#N/A</v>
      </c>
      <c r="T126" s="55" t="e">
        <f t="shared" ca="1" si="27"/>
        <v>#N/A</v>
      </c>
      <c r="U126" s="55" t="e">
        <f t="shared" ca="1" si="28"/>
        <v>#N/A</v>
      </c>
      <c r="V126" s="55" t="e">
        <f t="shared" ca="1" si="29"/>
        <v>#N/A</v>
      </c>
      <c r="W126" s="55" t="e">
        <f t="shared" ca="1" si="34"/>
        <v>#N/A</v>
      </c>
      <c r="X126" s="55" t="e">
        <f t="shared" ca="1" si="35"/>
        <v>#N/A</v>
      </c>
      <c r="Y126" s="55" t="e">
        <f t="shared" ca="1" si="36"/>
        <v>#N/A</v>
      </c>
      <c r="Z126" t="e">
        <f t="shared" ca="1" si="30"/>
        <v>#N/A</v>
      </c>
      <c r="AA126" t="e">
        <f t="shared" ca="1" si="37"/>
        <v>#N/A</v>
      </c>
      <c r="AB126" t="e">
        <f t="shared" ca="1" si="31"/>
        <v>#N/A</v>
      </c>
      <c r="AC126" t="e">
        <f t="shared" ca="1" si="32"/>
        <v>#N/A</v>
      </c>
      <c r="AD126" s="83">
        <f ca="1"/>
        <v>45410</v>
      </c>
      <c r="AE126" s="55">
        <f t="shared" ca="1" si="41"/>
        <v>45410</v>
      </c>
      <c r="AF126" s="55">
        <f t="shared" ca="1" si="42"/>
        <v>-28.42441452655747</v>
      </c>
      <c r="AG126" s="55">
        <f t="shared" ca="1" si="43"/>
        <v>88.203281586488629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21.005891318487755</v>
      </c>
      <c r="AK126" s="55">
        <f t="shared" ca="1" si="40"/>
        <v>9.5898395137954928</v>
      </c>
    </row>
    <row r="127" spans="18:37">
      <c r="R127" s="83" t="e">
        <f ca="1"/>
        <v>#N/A</v>
      </c>
      <c r="S127" s="55" t="e">
        <f t="shared" ca="1" si="33"/>
        <v>#N/A</v>
      </c>
      <c r="T127" s="55" t="e">
        <f t="shared" ca="1" si="27"/>
        <v>#N/A</v>
      </c>
      <c r="U127" s="55" t="e">
        <f t="shared" ca="1" si="28"/>
        <v>#N/A</v>
      </c>
      <c r="V127" s="55" t="e">
        <f t="shared" ca="1" si="29"/>
        <v>#N/A</v>
      </c>
      <c r="W127" s="55" t="e">
        <f t="shared" ca="1" si="34"/>
        <v>#N/A</v>
      </c>
      <c r="X127" s="55" t="e">
        <f t="shared" ca="1" si="35"/>
        <v>#N/A</v>
      </c>
      <c r="Y127" s="55" t="e">
        <f t="shared" ca="1" si="36"/>
        <v>#N/A</v>
      </c>
      <c r="Z127" t="e">
        <f t="shared" ca="1" si="30"/>
        <v>#N/A</v>
      </c>
      <c r="AA127" t="e">
        <f t="shared" ca="1" si="37"/>
        <v>#N/A</v>
      </c>
      <c r="AB127" t="e">
        <f t="shared" ca="1" si="31"/>
        <v>#N/A</v>
      </c>
      <c r="AC127" t="e">
        <f t="shared" ca="1" si="32"/>
        <v>#N/A</v>
      </c>
      <c r="AD127" s="83">
        <f ca="1"/>
        <v>45411</v>
      </c>
      <c r="AE127" s="55">
        <f t="shared" ca="1" si="41"/>
        <v>45411</v>
      </c>
      <c r="AF127" s="55">
        <f t="shared" ca="1" si="42"/>
        <v>-30.192219634662525</v>
      </c>
      <c r="AG127" s="55">
        <f t="shared" ca="1" si="43"/>
        <v>90.186949926576219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21.213427314583011</v>
      </c>
      <c r="AK127" s="55">
        <f t="shared" ca="1" si="40"/>
        <v>9.5981667496827718</v>
      </c>
    </row>
    <row r="128" spans="18:37">
      <c r="R128" s="83" t="e">
        <f ca="1"/>
        <v>#N/A</v>
      </c>
      <c r="S128" s="55" t="e">
        <f t="shared" ca="1" si="33"/>
        <v>#N/A</v>
      </c>
      <c r="T128" s="55" t="e">
        <f t="shared" ca="1" si="27"/>
        <v>#N/A</v>
      </c>
      <c r="U128" s="55" t="e">
        <f t="shared" ca="1" si="28"/>
        <v>#N/A</v>
      </c>
      <c r="V128" s="55" t="e">
        <f t="shared" ca="1" si="29"/>
        <v>#N/A</v>
      </c>
      <c r="W128" s="55" t="e">
        <f t="shared" ca="1" si="34"/>
        <v>#N/A</v>
      </c>
      <c r="X128" s="55" t="e">
        <f t="shared" ca="1" si="35"/>
        <v>#N/A</v>
      </c>
      <c r="Y128" s="55" t="e">
        <f t="shared" ca="1" si="36"/>
        <v>#N/A</v>
      </c>
      <c r="Z128" t="e">
        <f t="shared" ca="1" si="30"/>
        <v>#N/A</v>
      </c>
      <c r="AA128" t="e">
        <f t="shared" ca="1" si="37"/>
        <v>#N/A</v>
      </c>
      <c r="AB128" t="e">
        <f t="shared" ca="1" si="31"/>
        <v>#N/A</v>
      </c>
      <c r="AC128" t="e">
        <f t="shared" ca="1" si="32"/>
        <v>#N/A</v>
      </c>
      <c r="AD128" s="83">
        <f ca="1"/>
        <v>45412</v>
      </c>
      <c r="AE128" s="55">
        <f t="shared" ca="1" si="41"/>
        <v>45412</v>
      </c>
      <c r="AF128" s="55">
        <f t="shared" ca="1" si="42"/>
        <v>-31.968684459589841</v>
      </c>
      <c r="AG128" s="55">
        <f t="shared" ca="1" si="43"/>
        <v>92.185670123784362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21.427421628719745</v>
      </c>
      <c r="AK128" s="55">
        <f t="shared" ca="1" si="40"/>
        <v>9.606427807826865</v>
      </c>
    </row>
    <row r="129" spans="18:37">
      <c r="R129" s="83" t="e">
        <f ca="1"/>
        <v>#N/A</v>
      </c>
      <c r="S129" s="55" t="e">
        <f t="shared" ca="1" si="33"/>
        <v>#N/A</v>
      </c>
      <c r="T129" s="55" t="e">
        <f t="shared" ca="1" si="27"/>
        <v>#N/A</v>
      </c>
      <c r="U129" s="55" t="e">
        <f t="shared" ca="1" si="28"/>
        <v>#N/A</v>
      </c>
      <c r="V129" s="55" t="e">
        <f t="shared" ca="1" si="29"/>
        <v>#N/A</v>
      </c>
      <c r="W129" s="55" t="e">
        <f t="shared" ca="1" si="34"/>
        <v>#N/A</v>
      </c>
      <c r="X129" s="55" t="e">
        <f t="shared" ca="1" si="35"/>
        <v>#N/A</v>
      </c>
      <c r="Y129" s="55" t="e">
        <f t="shared" ca="1" si="36"/>
        <v>#N/A</v>
      </c>
      <c r="Z129" t="e">
        <f t="shared" ca="1" si="30"/>
        <v>#N/A</v>
      </c>
      <c r="AA129" t="e">
        <f t="shared" ca="1" si="37"/>
        <v>#N/A</v>
      </c>
      <c r="AB129" t="e">
        <f t="shared" ca="1" si="31"/>
        <v>#N/A</v>
      </c>
      <c r="AC129" t="e">
        <f t="shared" ca="1" si="32"/>
        <v>#N/A</v>
      </c>
      <c r="AD129" s="83">
        <f ca="1"/>
        <v>45413</v>
      </c>
      <c r="AE129" s="55">
        <f t="shared" ca="1" si="41"/>
        <v>45413</v>
      </c>
      <c r="AF129" s="55">
        <f t="shared" ca="1" si="42"/>
        <v>-33.716601963788975</v>
      </c>
      <c r="AG129" s="55">
        <f t="shared" ca="1" si="43"/>
        <v>94.174142477177782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21.659877446437157</v>
      </c>
      <c r="AK129" s="55">
        <f t="shared" ca="1" si="40"/>
        <v>9.6145268393037355</v>
      </c>
    </row>
    <row r="130" spans="18:37">
      <c r="R130" s="83" t="e">
        <f ca="1"/>
        <v>#N/A</v>
      </c>
      <c r="S130" s="55" t="e">
        <f t="shared" ca="1" si="33"/>
        <v>#N/A</v>
      </c>
      <c r="T130" s="55" t="e">
        <f t="shared" ca="1" si="27"/>
        <v>#N/A</v>
      </c>
      <c r="U130" s="55" t="e">
        <f t="shared" ca="1" si="28"/>
        <v>#N/A</v>
      </c>
      <c r="V130" s="55" t="e">
        <f t="shared" ca="1" si="29"/>
        <v>#N/A</v>
      </c>
      <c r="W130" s="55" t="e">
        <f t="shared" ca="1" si="34"/>
        <v>#N/A</v>
      </c>
      <c r="X130" s="55" t="e">
        <f t="shared" ca="1" si="35"/>
        <v>#N/A</v>
      </c>
      <c r="Y130" s="55" t="e">
        <f t="shared" ca="1" si="36"/>
        <v>#N/A</v>
      </c>
      <c r="Z130" t="e">
        <f t="shared" ca="1" si="30"/>
        <v>#N/A</v>
      </c>
      <c r="AA130" t="e">
        <f t="shared" ca="1" si="37"/>
        <v>#N/A</v>
      </c>
      <c r="AB130" t="e">
        <f t="shared" ca="1" si="31"/>
        <v>#N/A</v>
      </c>
      <c r="AC130" t="e">
        <f t="shared" ca="1" si="32"/>
        <v>#N/A</v>
      </c>
      <c r="AD130" s="83">
        <f ca="1"/>
        <v>45414</v>
      </c>
      <c r="AE130" s="55">
        <f t="shared" ca="1" si="41"/>
        <v>45414</v>
      </c>
      <c r="AF130" s="55">
        <f t="shared" ca="1" si="42"/>
        <v>-35.45019392288269</v>
      </c>
      <c r="AG130" s="55">
        <f t="shared" ca="1" si="43"/>
        <v>96.149228232928934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21.893436273496224</v>
      </c>
      <c r="AK130" s="55">
        <f t="shared" ca="1" si="40"/>
        <v>9.6224618089021003</v>
      </c>
    </row>
    <row r="131" spans="18:37">
      <c r="R131" s="83" t="e">
        <f ca="1"/>
        <v>#N/A</v>
      </c>
      <c r="S131" s="55" t="e">
        <f t="shared" ca="1" si="33"/>
        <v>#N/A</v>
      </c>
      <c r="T131" s="55" t="e">
        <f t="shared" ca="1" si="27"/>
        <v>#N/A</v>
      </c>
      <c r="U131" s="55" t="e">
        <f t="shared" ca="1" si="28"/>
        <v>#N/A</v>
      </c>
      <c r="V131" s="55" t="e">
        <f t="shared" ca="1" si="29"/>
        <v>#N/A</v>
      </c>
      <c r="W131" s="55" t="e">
        <f t="shared" ca="1" si="34"/>
        <v>#N/A</v>
      </c>
      <c r="X131" s="55" t="e">
        <f t="shared" ca="1" si="35"/>
        <v>#N/A</v>
      </c>
      <c r="Y131" s="55" t="e">
        <f t="shared" ca="1" si="36"/>
        <v>#N/A</v>
      </c>
      <c r="Z131" t="e">
        <f t="shared" ca="1" si="30"/>
        <v>#N/A</v>
      </c>
      <c r="AA131" t="e">
        <f t="shared" ca="1" si="37"/>
        <v>#N/A</v>
      </c>
      <c r="AB131" t="e">
        <f t="shared" ca="1" si="31"/>
        <v>#N/A</v>
      </c>
      <c r="AC131" t="e">
        <f t="shared" ca="1" si="32"/>
        <v>#N/A</v>
      </c>
      <c r="AD131" s="83">
        <f ca="1"/>
        <v>45415</v>
      </c>
      <c r="AE131" s="55">
        <f t="shared" ca="1" si="41"/>
        <v>45415</v>
      </c>
      <c r="AF131" s="55">
        <f t="shared" ca="1" si="42"/>
        <v>-37.149092799657353</v>
      </c>
      <c r="AG131" s="55">
        <f t="shared" ca="1" si="43"/>
        <v>98.085586271653597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22.123211371975675</v>
      </c>
      <c r="AK131" s="55">
        <f t="shared" ca="1" si="40"/>
        <v>9.6301458723726476</v>
      </c>
    </row>
    <row r="132" spans="18:37">
      <c r="R132" s="83" t="e">
        <f ca="1"/>
        <v>#N/A</v>
      </c>
      <c r="S132" s="55" t="e">
        <f t="shared" ca="1" si="33"/>
        <v>#N/A</v>
      </c>
      <c r="T132" s="55" t="e">
        <f t="shared" ca="1" si="27"/>
        <v>#N/A</v>
      </c>
      <c r="U132" s="55" t="e">
        <f t="shared" ca="1" si="28"/>
        <v>#N/A</v>
      </c>
      <c r="V132" s="55" t="e">
        <f t="shared" ca="1" si="29"/>
        <v>#N/A</v>
      </c>
      <c r="W132" s="55" t="e">
        <f t="shared" ca="1" si="34"/>
        <v>#N/A</v>
      </c>
      <c r="X132" s="55" t="e">
        <f t="shared" ca="1" si="35"/>
        <v>#N/A</v>
      </c>
      <c r="Y132" s="55" t="e">
        <f t="shared" ca="1" si="36"/>
        <v>#N/A</v>
      </c>
      <c r="Z132" t="e">
        <f t="shared" ca="1" si="30"/>
        <v>#N/A</v>
      </c>
      <c r="AA132" t="e">
        <f t="shared" ca="1" si="37"/>
        <v>#N/A</v>
      </c>
      <c r="AB132" t="e">
        <f t="shared" ca="1" si="31"/>
        <v>#N/A</v>
      </c>
      <c r="AC132" t="e">
        <f t="shared" ca="1" si="32"/>
        <v>#N/A</v>
      </c>
      <c r="AD132" s="83">
        <f ca="1"/>
        <v>45416</v>
      </c>
      <c r="AE132" s="55">
        <f t="shared" ca="1" si="41"/>
        <v>45416</v>
      </c>
      <c r="AF132" s="55">
        <f t="shared" ca="1" si="42"/>
        <v>-38.851655403674364</v>
      </c>
      <c r="AG132" s="55">
        <f t="shared" ca="1" si="43"/>
        <v>100.03312792478918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22.360555779349859</v>
      </c>
      <c r="AK132" s="55">
        <f t="shared" ca="1" si="40"/>
        <v>9.6377805141170469</v>
      </c>
    </row>
    <row r="133" spans="18:37">
      <c r="R133" s="83" t="e">
        <f ca="1"/>
        <v>#N/A</v>
      </c>
      <c r="S133" s="55" t="e">
        <f t="shared" ca="1" si="33"/>
        <v>#N/A</v>
      </c>
      <c r="T133" s="55" t="e">
        <f t="shared" ca="1" si="27"/>
        <v>#N/A</v>
      </c>
      <c r="U133" s="55" t="e">
        <f t="shared" ca="1" si="28"/>
        <v>#N/A</v>
      </c>
      <c r="V133" s="55" t="e">
        <f t="shared" ca="1" si="29"/>
        <v>#N/A</v>
      </c>
      <c r="W133" s="55" t="e">
        <f t="shared" ca="1" si="34"/>
        <v>#N/A</v>
      </c>
      <c r="X133" s="55" t="e">
        <f t="shared" ca="1" si="35"/>
        <v>#N/A</v>
      </c>
      <c r="Y133" s="55" t="e">
        <f t="shared" ca="1" si="36"/>
        <v>#N/A</v>
      </c>
      <c r="Z133" t="e">
        <f t="shared" ca="1" si="30"/>
        <v>#N/A</v>
      </c>
      <c r="AA133" t="e">
        <f t="shared" ca="1" si="37"/>
        <v>#N/A</v>
      </c>
      <c r="AB133" t="e">
        <f t="shared" ca="1" si="31"/>
        <v>#N/A</v>
      </c>
      <c r="AC133" t="e">
        <f t="shared" ca="1" si="32"/>
        <v>#N/A</v>
      </c>
      <c r="AD133" s="83">
        <f ca="1"/>
        <v>45417</v>
      </c>
      <c r="AE133" s="55">
        <f t="shared" ca="1" si="41"/>
        <v>45417</v>
      </c>
      <c r="AF133" s="55">
        <f t="shared" ca="1" si="42"/>
        <v>-40.562392208606099</v>
      </c>
      <c r="AG133" s="55">
        <f t="shared" ca="1" si="43"/>
        <v>101.99993784553841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22.60900769722917</v>
      </c>
      <c r="AK133" s="55">
        <f t="shared" ca="1" si="40"/>
        <v>9.6454017120552358</v>
      </c>
    </row>
    <row r="134" spans="18:37">
      <c r="R134" s="83" t="e">
        <f ca="1"/>
        <v>#N/A</v>
      </c>
      <c r="S134" s="55" t="e">
        <f t="shared" ca="1" si="33"/>
        <v>#N/A</v>
      </c>
      <c r="T134" s="55" t="e">
        <f t="shared" ca="1" si="27"/>
        <v>#N/A</v>
      </c>
      <c r="U134" s="55" t="e">
        <f t="shared" ca="1" si="28"/>
        <v>#N/A</v>
      </c>
      <c r="V134" s="55" t="e">
        <f t="shared" ca="1" si="29"/>
        <v>#N/A</v>
      </c>
      <c r="W134" s="55" t="e">
        <f t="shared" ca="1" si="34"/>
        <v>#N/A</v>
      </c>
      <c r="X134" s="55" t="e">
        <f t="shared" ca="1" si="35"/>
        <v>#N/A</v>
      </c>
      <c r="Y134" s="55" t="e">
        <f t="shared" ca="1" si="36"/>
        <v>#N/A</v>
      </c>
      <c r="Z134" t="e">
        <f t="shared" ca="1" si="30"/>
        <v>#N/A</v>
      </c>
      <c r="AA134" t="e">
        <f t="shared" ca="1" si="37"/>
        <v>#N/A</v>
      </c>
      <c r="AB134" t="e">
        <f t="shared" ca="1" si="31"/>
        <v>#N/A</v>
      </c>
      <c r="AC134" t="e">
        <f t="shared" ca="1" si="32"/>
        <v>#N/A</v>
      </c>
      <c r="AD134" s="83">
        <f ca="1"/>
        <v>45418</v>
      </c>
      <c r="AE134" s="55">
        <f t="shared" ca="1" si="41"/>
        <v>45418</v>
      </c>
      <c r="AF134" s="55">
        <f t="shared" ca="1" si="42"/>
        <v>-42.231382254707093</v>
      </c>
      <c r="AG134" s="55">
        <f t="shared" ca="1" si="43"/>
        <v>103.91783561826726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22.850556452578161</v>
      </c>
      <c r="AK134" s="55">
        <f t="shared" ca="1" si="40"/>
        <v>9.6527606833341064</v>
      </c>
    </row>
    <row r="135" spans="18:37">
      <c r="R135" s="83" t="e">
        <f ca="1"/>
        <v>#N/A</v>
      </c>
      <c r="S135" s="55" t="e">
        <f t="shared" ca="1" si="33"/>
        <v>#N/A</v>
      </c>
      <c r="T135" s="55" t="e">
        <f t="shared" ca="1" si="27"/>
        <v>#N/A</v>
      </c>
      <c r="U135" s="55" t="e">
        <f t="shared" ca="1" si="28"/>
        <v>#N/A</v>
      </c>
      <c r="V135" s="55" t="e">
        <f t="shared" ca="1" si="29"/>
        <v>#N/A</v>
      </c>
      <c r="W135" s="55" t="e">
        <f t="shared" ca="1" si="34"/>
        <v>#N/A</v>
      </c>
      <c r="X135" s="55" t="e">
        <f t="shared" ca="1" si="35"/>
        <v>#N/A</v>
      </c>
      <c r="Y135" s="55" t="e">
        <f t="shared" ca="1" si="36"/>
        <v>#N/A</v>
      </c>
      <c r="Z135" t="e">
        <f t="shared" ca="1" si="30"/>
        <v>#N/A</v>
      </c>
      <c r="AA135" t="e">
        <f t="shared" ca="1" si="37"/>
        <v>#N/A</v>
      </c>
      <c r="AB135" t="e">
        <f t="shared" ca="1" si="31"/>
        <v>#N/A</v>
      </c>
      <c r="AC135" t="e">
        <f t="shared" ca="1" si="32"/>
        <v>#N/A</v>
      </c>
      <c r="AD135" s="83">
        <f ca="1"/>
        <v>45419</v>
      </c>
      <c r="AE135" s="55">
        <f t="shared" ca="1" si="41"/>
        <v>45419</v>
      </c>
      <c r="AF135" s="55">
        <f t="shared" ca="1" si="42"/>
        <v>-43.857001870778795</v>
      </c>
      <c r="AG135" s="55">
        <f t="shared" ca="1" si="43"/>
        <v>105.79394401843092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23.093908369014589</v>
      </c>
      <c r="AK135" s="55">
        <f t="shared" ca="1" si="40"/>
        <v>9.6598975509896405</v>
      </c>
    </row>
    <row r="136" spans="18:37">
      <c r="R136" s="83" t="e">
        <f ca="1"/>
        <v>#N/A</v>
      </c>
      <c r="S136" s="55" t="e">
        <f t="shared" ca="1" si="33"/>
        <v>#N/A</v>
      </c>
      <c r="T136" s="55" t="e">
        <f t="shared" ca="1" si="27"/>
        <v>#N/A</v>
      </c>
      <c r="U136" s="55" t="e">
        <f t="shared" ca="1" si="28"/>
        <v>#N/A</v>
      </c>
      <c r="V136" s="55" t="e">
        <f t="shared" ca="1" si="29"/>
        <v>#N/A</v>
      </c>
      <c r="W136" s="55" t="e">
        <f t="shared" ca="1" si="34"/>
        <v>#N/A</v>
      </c>
      <c r="X136" s="55" t="e">
        <f t="shared" ca="1" si="35"/>
        <v>#N/A</v>
      </c>
      <c r="Y136" s="55" t="e">
        <f t="shared" ca="1" si="36"/>
        <v>#N/A</v>
      </c>
      <c r="Z136" t="e">
        <f t="shared" ca="1" si="30"/>
        <v>#N/A</v>
      </c>
      <c r="AA136" t="e">
        <f t="shared" ca="1" si="37"/>
        <v>#N/A</v>
      </c>
      <c r="AB136" t="e">
        <f t="shared" ca="1" si="31"/>
        <v>#N/A</v>
      </c>
      <c r="AC136" t="e">
        <f t="shared" ca="1" si="32"/>
        <v>#N/A</v>
      </c>
      <c r="AD136" s="83">
        <f ca="1"/>
        <v>45420</v>
      </c>
      <c r="AE136" s="55">
        <f t="shared" ca="1" si="41"/>
        <v>45420</v>
      </c>
      <c r="AF136" s="55">
        <f t="shared" ca="1" si="42"/>
        <v>-45.424183028158026</v>
      </c>
      <c r="AG136" s="55">
        <f t="shared" ca="1" si="43"/>
        <v>107.60524658688212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23.331182945811708</v>
      </c>
      <c r="AK136" s="55">
        <f t="shared" ca="1" si="40"/>
        <v>9.6667443852644901</v>
      </c>
    </row>
    <row r="137" spans="18:37">
      <c r="R137" s="83" t="e">
        <f ca="1"/>
        <v>#N/A</v>
      </c>
      <c r="S137" s="55" t="e">
        <f t="shared" ca="1" si="33"/>
        <v>#N/A</v>
      </c>
      <c r="T137" s="55" t="e">
        <f t="shared" ca="1" si="27"/>
        <v>#N/A</v>
      </c>
      <c r="U137" s="55" t="e">
        <f t="shared" ca="1" si="28"/>
        <v>#N/A</v>
      </c>
      <c r="V137" s="55" t="e">
        <f t="shared" ca="1" si="29"/>
        <v>#N/A</v>
      </c>
      <c r="W137" s="55" t="e">
        <f t="shared" ca="1" si="34"/>
        <v>#N/A</v>
      </c>
      <c r="X137" s="55" t="e">
        <f t="shared" ca="1" si="35"/>
        <v>#N/A</v>
      </c>
      <c r="Y137" s="55" t="e">
        <f t="shared" ca="1" si="36"/>
        <v>#N/A</v>
      </c>
      <c r="Z137" t="e">
        <f t="shared" ca="1" si="30"/>
        <v>#N/A</v>
      </c>
      <c r="AA137" t="e">
        <f t="shared" ca="1" si="37"/>
        <v>#N/A</v>
      </c>
      <c r="AB137" t="e">
        <f t="shared" ca="1" si="31"/>
        <v>#N/A</v>
      </c>
      <c r="AC137" t="e">
        <f t="shared" ca="1" si="32"/>
        <v>#N/A</v>
      </c>
      <c r="AD137" s="83">
        <f ca="1"/>
        <v>45421</v>
      </c>
      <c r="AE137" s="55">
        <f t="shared" ca="1" si="41"/>
        <v>45421</v>
      </c>
      <c r="AF137" s="55">
        <f t="shared" ca="1" si="42"/>
        <v>-46.991543720273825</v>
      </c>
      <c r="AG137" s="55">
        <f t="shared" ca="1" si="43"/>
        <v>109.42636800259606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23.578119264382046</v>
      </c>
      <c r="AK137" s="55">
        <f t="shared" ca="1" si="40"/>
        <v>9.6735687902922933</v>
      </c>
    </row>
    <row r="138" spans="18:37">
      <c r="R138" s="83" t="e">
        <f ca="1"/>
        <v>#N/A</v>
      </c>
      <c r="S138" s="55" t="e">
        <f t="shared" ca="1" si="33"/>
        <v>#N/A</v>
      </c>
      <c r="T138" s="55" t="e">
        <f t="shared" ca="1" si="27"/>
        <v>#N/A</v>
      </c>
      <c r="U138" s="55" t="e">
        <f t="shared" ca="1" si="28"/>
        <v>#N/A</v>
      </c>
      <c r="V138" s="55" t="e">
        <f t="shared" ca="1" si="29"/>
        <v>#N/A</v>
      </c>
      <c r="W138" s="55" t="e">
        <f t="shared" ca="1" si="34"/>
        <v>#N/A</v>
      </c>
      <c r="X138" s="55" t="e">
        <f t="shared" ca="1" si="35"/>
        <v>#N/A</v>
      </c>
      <c r="Y138" s="55" t="e">
        <f t="shared" ca="1" si="36"/>
        <v>#N/A</v>
      </c>
      <c r="Z138" t="e">
        <f t="shared" ca="1" si="30"/>
        <v>#N/A</v>
      </c>
      <c r="AA138" t="e">
        <f t="shared" ca="1" si="37"/>
        <v>#N/A</v>
      </c>
      <c r="AB138" t="e">
        <f t="shared" ca="1" si="31"/>
        <v>#N/A</v>
      </c>
      <c r="AC138" t="e">
        <f t="shared" ca="1" si="32"/>
        <v>#N/A</v>
      </c>
      <c r="AD138" s="83">
        <f ca="1"/>
        <v>45422</v>
      </c>
      <c r="AE138" s="55">
        <f t="shared" ca="1" si="41"/>
        <v>45422</v>
      </c>
      <c r="AF138" s="55">
        <f t="shared" ca="1" si="42"/>
        <v>-48.579702758576715</v>
      </c>
      <c r="AG138" s="55">
        <f t="shared" ca="1" si="43"/>
        <v>111.27752246490697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23.834238311575447</v>
      </c>
      <c r="AK138" s="55">
        <f t="shared" ca="1" si="40"/>
        <v>9.6804451671069067</v>
      </c>
    </row>
    <row r="139" spans="18:37">
      <c r="R139" s="83" t="e">
        <f ca="1"/>
        <v>#N/A</v>
      </c>
      <c r="S139" s="55" t="e">
        <f t="shared" ca="1" si="33"/>
        <v>#N/A</v>
      </c>
      <c r="T139" s="55" t="e">
        <f t="shared" ca="1" si="27"/>
        <v>#N/A</v>
      </c>
      <c r="U139" s="55" t="e">
        <f t="shared" ca="1" si="28"/>
        <v>#N/A</v>
      </c>
      <c r="V139" s="55" t="e">
        <f t="shared" ca="1" si="29"/>
        <v>#N/A</v>
      </c>
      <c r="W139" s="55" t="e">
        <f t="shared" ca="1" si="34"/>
        <v>#N/A</v>
      </c>
      <c r="X139" s="55" t="e">
        <f t="shared" ca="1" si="35"/>
        <v>#N/A</v>
      </c>
      <c r="Y139" s="55" t="e">
        <f t="shared" ca="1" si="36"/>
        <v>#N/A</v>
      </c>
      <c r="Z139" t="e">
        <f t="shared" ca="1" si="30"/>
        <v>#N/A</v>
      </c>
      <c r="AA139" t="e">
        <f t="shared" ca="1" si="37"/>
        <v>#N/A</v>
      </c>
      <c r="AB139" t="e">
        <f t="shared" ca="1" si="31"/>
        <v>#N/A</v>
      </c>
      <c r="AC139" t="e">
        <f t="shared" ca="1" si="32"/>
        <v>#N/A</v>
      </c>
      <c r="AD139" s="83">
        <f ca="1"/>
        <v>45423</v>
      </c>
      <c r="AE139" s="55">
        <f t="shared" ca="1" si="41"/>
        <v>45423</v>
      </c>
      <c r="AF139" s="55">
        <f t="shared" ca="1" si="42"/>
        <v>-50.192696307331957</v>
      </c>
      <c r="AG139" s="55">
        <f t="shared" ca="1" si="43"/>
        <v>113.16075618571858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24.097537467899823</v>
      </c>
      <c r="AK139" s="55">
        <f t="shared" ca="1" si="40"/>
        <v>9.6873861828389085</v>
      </c>
    </row>
    <row r="140" spans="18:37">
      <c r="R140" s="83" t="e">
        <f ca="1"/>
        <v>#N/A</v>
      </c>
      <c r="S140" s="55" t="e">
        <f t="shared" ca="1" si="33"/>
        <v>#N/A</v>
      </c>
      <c r="T140" s="55" t="e">
        <f t="shared" ca="1" si="27"/>
        <v>#N/A</v>
      </c>
      <c r="U140" s="55" t="e">
        <f t="shared" ca="1" si="28"/>
        <v>#N/A</v>
      </c>
      <c r="V140" s="55" t="e">
        <f t="shared" ca="1" si="29"/>
        <v>#N/A</v>
      </c>
      <c r="W140" s="55" t="e">
        <f t="shared" ca="1" si="34"/>
        <v>#N/A</v>
      </c>
      <c r="X140" s="55" t="e">
        <f t="shared" ca="1" si="35"/>
        <v>#N/A</v>
      </c>
      <c r="Y140" s="55" t="e">
        <f t="shared" ca="1" si="36"/>
        <v>#N/A</v>
      </c>
      <c r="Z140" t="e">
        <f t="shared" ca="1" si="30"/>
        <v>#N/A</v>
      </c>
      <c r="AA140" t="e">
        <f t="shared" ca="1" si="37"/>
        <v>#N/A</v>
      </c>
      <c r="AB140" t="e">
        <f t="shared" ca="1" si="31"/>
        <v>#N/A</v>
      </c>
      <c r="AC140" t="e">
        <f t="shared" ca="1" si="32"/>
        <v>#N/A</v>
      </c>
      <c r="AD140" s="83">
        <f ca="1"/>
        <v>45424</v>
      </c>
      <c r="AE140" s="55">
        <f t="shared" ca="1" si="41"/>
        <v>45424</v>
      </c>
      <c r="AF140" s="55">
        <f t="shared" ca="1" si="42"/>
        <v>-51.783840800453646</v>
      </c>
      <c r="AG140" s="55">
        <f t="shared" ca="1" si="43"/>
        <v>115.02020706306752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24.359030192217496</v>
      </c>
      <c r="AK140" s="55">
        <f t="shared" ca="1" si="40"/>
        <v>9.6941998427484801</v>
      </c>
    </row>
    <row r="141" spans="18:37">
      <c r="R141" s="83" t="e">
        <f ca="1"/>
        <v>#N/A</v>
      </c>
      <c r="S141" s="55" t="e">
        <f t="shared" ca="1" si="33"/>
        <v>#N/A</v>
      </c>
      <c r="T141" s="55" t="e">
        <f t="shared" ca="1" si="27"/>
        <v>#N/A</v>
      </c>
      <c r="U141" s="55" t="e">
        <f t="shared" ca="1" si="28"/>
        <v>#N/A</v>
      </c>
      <c r="V141" s="55" t="e">
        <f t="shared" ca="1" si="29"/>
        <v>#N/A</v>
      </c>
      <c r="W141" s="55" t="e">
        <f t="shared" ca="1" si="34"/>
        <v>#N/A</v>
      </c>
      <c r="X141" s="55" t="e">
        <f t="shared" ca="1" si="35"/>
        <v>#N/A</v>
      </c>
      <c r="Y141" s="55" t="e">
        <f t="shared" ca="1" si="36"/>
        <v>#N/A</v>
      </c>
      <c r="Z141" t="e">
        <f t="shared" ca="1" si="30"/>
        <v>#N/A</v>
      </c>
      <c r="AA141" t="e">
        <f t="shared" ca="1" si="37"/>
        <v>#N/A</v>
      </c>
      <c r="AB141" t="e">
        <f t="shared" ca="1" si="31"/>
        <v>#N/A</v>
      </c>
      <c r="AC141" t="e">
        <f t="shared" ca="1" si="32"/>
        <v>#N/A</v>
      </c>
      <c r="AD141" s="83">
        <f ca="1"/>
        <v>45425</v>
      </c>
      <c r="AE141" s="55">
        <f t="shared" ca="1" si="41"/>
        <v>45425</v>
      </c>
      <c r="AF141" s="55">
        <f t="shared" ca="1" si="42"/>
        <v>-53.324470313372736</v>
      </c>
      <c r="AG141" s="55">
        <f t="shared" ca="1" si="43"/>
        <v>116.82153277768407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24.613151730565033</v>
      </c>
      <c r="AK141" s="55">
        <f t="shared" ca="1" si="40"/>
        <v>9.7007745060984103</v>
      </c>
    </row>
    <row r="142" spans="18:37">
      <c r="R142" s="83" t="e">
        <f ca="1"/>
        <v>#N/A</v>
      </c>
      <c r="S142" s="55" t="e">
        <f t="shared" ca="1" si="33"/>
        <v>#N/A</v>
      </c>
      <c r="T142" s="55" t="e">
        <f t="shared" ca="1" si="27"/>
        <v>#N/A</v>
      </c>
      <c r="U142" s="55" t="e">
        <f t="shared" ca="1" si="28"/>
        <v>#N/A</v>
      </c>
      <c r="V142" s="55" t="e">
        <f t="shared" ca="1" si="29"/>
        <v>#N/A</v>
      </c>
      <c r="W142" s="55" t="e">
        <f t="shared" ca="1" si="34"/>
        <v>#N/A</v>
      </c>
      <c r="X142" s="55" t="e">
        <f t="shared" ca="1" si="35"/>
        <v>#N/A</v>
      </c>
      <c r="Y142" s="55" t="e">
        <f t="shared" ca="1" si="36"/>
        <v>#N/A</v>
      </c>
      <c r="Z142" t="e">
        <f t="shared" ca="1" si="30"/>
        <v>#N/A</v>
      </c>
      <c r="AA142" t="e">
        <f t="shared" ca="1" si="37"/>
        <v>#N/A</v>
      </c>
      <c r="AB142" t="e">
        <f t="shared" ca="1" si="31"/>
        <v>#N/A</v>
      </c>
      <c r="AC142" t="e">
        <f t="shared" ca="1" si="32"/>
        <v>#N/A</v>
      </c>
      <c r="AD142" s="83">
        <f ca="1"/>
        <v>45426</v>
      </c>
      <c r="AE142" s="55">
        <f t="shared" ca="1" si="41"/>
        <v>45426</v>
      </c>
      <c r="AF142" s="55">
        <f t="shared" ca="1" si="42"/>
        <v>-54.841669891710431</v>
      </c>
      <c r="AG142" s="55">
        <f t="shared" ca="1" si="43"/>
        <v>118.59754225661007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24.865505763807523</v>
      </c>
      <c r="AK142" s="55">
        <f t="shared" ca="1" si="40"/>
        <v>9.7072303734442258</v>
      </c>
    </row>
    <row r="143" spans="18:37">
      <c r="R143" s="83" t="e">
        <f ca="1"/>
        <v>#N/A</v>
      </c>
      <c r="S143" s="55" t="e">
        <f t="shared" ca="1" si="33"/>
        <v>#N/A</v>
      </c>
      <c r="T143" s="55" t="e">
        <f t="shared" ca="1" si="27"/>
        <v>#N/A</v>
      </c>
      <c r="U143" s="55" t="e">
        <f t="shared" ca="1" si="28"/>
        <v>#N/A</v>
      </c>
      <c r="V143" s="55" t="e">
        <f t="shared" ca="1" si="29"/>
        <v>#N/A</v>
      </c>
      <c r="W143" s="55" t="e">
        <f t="shared" ca="1" si="34"/>
        <v>#N/A</v>
      </c>
      <c r="X143" s="55" t="e">
        <f t="shared" ca="1" si="35"/>
        <v>#N/A</v>
      </c>
      <c r="Y143" s="55" t="e">
        <f t="shared" ca="1" si="36"/>
        <v>#N/A</v>
      </c>
      <c r="Z143" t="e">
        <f t="shared" ca="1" si="30"/>
        <v>#N/A</v>
      </c>
      <c r="AA143" t="e">
        <f t="shared" ca="1" si="37"/>
        <v>#N/A</v>
      </c>
      <c r="AB143" t="e">
        <f t="shared" ca="1" si="31"/>
        <v>#N/A</v>
      </c>
      <c r="AC143" t="e">
        <f t="shared" ca="1" si="32"/>
        <v>#N/A</v>
      </c>
      <c r="AD143" s="83">
        <f ca="1"/>
        <v>45427</v>
      </c>
      <c r="AE143" s="55">
        <f t="shared" ca="1" si="41"/>
        <v>45427</v>
      </c>
      <c r="AF143" s="55">
        <f t="shared" ca="1" si="42"/>
        <v>-56.344303356270501</v>
      </c>
      <c r="AG143" s="55">
        <f t="shared" ca="1" si="43"/>
        <v>120.35912912418124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25.11808032062968</v>
      </c>
      <c r="AK143" s="55">
        <f t="shared" ca="1" si="40"/>
        <v>9.7136092196331667</v>
      </c>
    </row>
    <row r="144" spans="18:37">
      <c r="R144" s="83" t="e">
        <f ca="1"/>
        <v>#N/A</v>
      </c>
      <c r="S144" s="55" t="e">
        <f t="shared" ca="1" si="33"/>
        <v>#N/A</v>
      </c>
      <c r="T144" s="55" t="e">
        <f t="shared" ca="1" si="27"/>
        <v>#N/A</v>
      </c>
      <c r="U144" s="55" t="e">
        <f t="shared" ca="1" si="28"/>
        <v>#N/A</v>
      </c>
      <c r="V144" s="55" t="e">
        <f t="shared" ca="1" si="29"/>
        <v>#N/A</v>
      </c>
      <c r="W144" s="55" t="e">
        <f t="shared" ca="1" si="34"/>
        <v>#N/A</v>
      </c>
      <c r="X144" s="55" t="e">
        <f t="shared" ca="1" si="35"/>
        <v>#N/A</v>
      </c>
      <c r="Y144" s="55" t="e">
        <f t="shared" ca="1" si="36"/>
        <v>#N/A</v>
      </c>
      <c r="Z144" t="e">
        <f t="shared" ca="1" si="30"/>
        <v>#N/A</v>
      </c>
      <c r="AA144" t="e">
        <f t="shared" ca="1" si="37"/>
        <v>#N/A</v>
      </c>
      <c r="AB144" t="e">
        <f t="shared" ca="1" si="31"/>
        <v>#N/A</v>
      </c>
      <c r="AC144" t="e">
        <f t="shared" ca="1" si="32"/>
        <v>#N/A</v>
      </c>
      <c r="AD144" s="83">
        <f ca="1"/>
        <v>45428</v>
      </c>
      <c r="AE144" s="55">
        <f t="shared" ca="1" si="41"/>
        <v>45428</v>
      </c>
      <c r="AF144" s="55">
        <f t="shared" ca="1" si="42"/>
        <v>-57.787318794159077</v>
      </c>
      <c r="AG144" s="55">
        <f t="shared" ca="1" si="43"/>
        <v>122.05211738689098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25.361926181923536</v>
      </c>
      <c r="AK144" s="55">
        <f t="shared" ca="1" si="40"/>
        <v>9.7197361831604816</v>
      </c>
    </row>
    <row r="145" spans="18:37">
      <c r="R145" s="83" t="e">
        <f ca="1"/>
        <v>#N/A</v>
      </c>
      <c r="S145" s="55" t="e">
        <f t="shared" ca="1" si="33"/>
        <v>#N/A</v>
      </c>
      <c r="T145" s="55" t="e">
        <f t="shared" ca="1" si="27"/>
        <v>#N/A</v>
      </c>
      <c r="U145" s="55" t="e">
        <f t="shared" ca="1" si="28"/>
        <v>#N/A</v>
      </c>
      <c r="V145" s="55" t="e">
        <f t="shared" ca="1" si="29"/>
        <v>#N/A</v>
      </c>
      <c r="W145" s="55" t="e">
        <f t="shared" ca="1" si="34"/>
        <v>#N/A</v>
      </c>
      <c r="X145" s="55" t="e">
        <f t="shared" ca="1" si="35"/>
        <v>#N/A</v>
      </c>
      <c r="Y145" s="55" t="e">
        <f t="shared" ca="1" si="36"/>
        <v>#N/A</v>
      </c>
      <c r="Z145" t="e">
        <f t="shared" ca="1" si="30"/>
        <v>#N/A</v>
      </c>
      <c r="AA145" t="e">
        <f t="shared" ca="1" si="37"/>
        <v>#N/A</v>
      </c>
      <c r="AB145" t="e">
        <f t="shared" ca="1" si="31"/>
        <v>#N/A</v>
      </c>
      <c r="AC145" t="e">
        <f t="shared" ca="1" si="32"/>
        <v>#N/A</v>
      </c>
      <c r="AD145" s="83">
        <f ca="1"/>
        <v>45429</v>
      </c>
      <c r="AE145" s="55">
        <f t="shared" ca="1" si="41"/>
        <v>45429</v>
      </c>
      <c r="AF145" s="55">
        <f t="shared" ca="1" si="42"/>
        <v>-59.198729529991418</v>
      </c>
      <c r="AG145" s="55">
        <f t="shared" ca="1" si="43"/>
        <v>123.71035681517967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25.602761625881907</v>
      </c>
      <c r="AK145" s="55">
        <f t="shared" ca="1" si="40"/>
        <v>9.7257294316584524</v>
      </c>
    </row>
    <row r="146" spans="18:37">
      <c r="R146" s="83" t="e">
        <f ca="1"/>
        <v>#N/A</v>
      </c>
      <c r="S146" s="55" t="e">
        <f t="shared" ca="1" si="33"/>
        <v>#N/A</v>
      </c>
      <c r="T146" s="55" t="e">
        <f t="shared" ref="T146:T209" ca="1" si="45">VLOOKUP(S146,ModelOutputs,2,FALSE)</f>
        <v>#N/A</v>
      </c>
      <c r="U146" s="55" t="e">
        <f t="shared" ref="U146:U209" ca="1" si="46">VLOOKUP(S146,ModelOutputs,7,FALSE)</f>
        <v>#N/A</v>
      </c>
      <c r="V146" s="55" t="e">
        <f t="shared" ref="V146:V209" ca="1" si="47">VLOOKUP(S146,ModelOutputs,6,FALSE)</f>
        <v>#N/A</v>
      </c>
      <c r="W146" s="55" t="e">
        <f t="shared" ca="1" si="34"/>
        <v>#N/A</v>
      </c>
      <c r="X146" s="55" t="e">
        <f t="shared" ca="1" si="35"/>
        <v>#N/A</v>
      </c>
      <c r="Y146" s="55" t="e">
        <f t="shared" ca="1" si="36"/>
        <v>#N/A</v>
      </c>
      <c r="Z146" t="e">
        <f t="shared" ref="Z146:Z209" ca="1" si="48">VLOOKUP(S146,ModelOutputs,10,FALSE)*AWC</f>
        <v>#N/A</v>
      </c>
      <c r="AA146" t="e">
        <f t="shared" ca="1" si="37"/>
        <v>#N/A</v>
      </c>
      <c r="AB146" t="e">
        <f t="shared" ref="AB146:AB209" ca="1" si="49">VLOOKUP(S146,ModelOutputs,12,FALSE)</f>
        <v>#N/A</v>
      </c>
      <c r="AC146" t="e">
        <f t="shared" ref="AC146:AC209" ca="1" si="50">VLOOKUP(S146,ModelOutputs,13,FALSE)</f>
        <v>#N/A</v>
      </c>
      <c r="AD146" s="83">
        <f ca="1"/>
        <v>45430</v>
      </c>
      <c r="AE146" s="55">
        <f t="shared" ca="1" si="41"/>
        <v>45430</v>
      </c>
      <c r="AF146" s="55">
        <f t="shared" ca="1" si="42"/>
        <v>-60.643055486582867</v>
      </c>
      <c r="AG146" s="55">
        <f t="shared" ca="1" si="43"/>
        <v>125.41205473941636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25.854014817174335</v>
      </c>
      <c r="AK146" s="55">
        <f t="shared" ca="1" si="40"/>
        <v>9.7318482080112751</v>
      </c>
    </row>
    <row r="147" spans="18:37">
      <c r="R147" s="83" t="e">
        <f ca="1"/>
        <v>#N/A</v>
      </c>
      <c r="S147" s="55" t="e">
        <f t="shared" ref="S147:S210" ca="1" si="51">IF(R147&gt;1,R147,"")</f>
        <v>#N/A</v>
      </c>
      <c r="T147" s="55" t="e">
        <f t="shared" ca="1" si="45"/>
        <v>#N/A</v>
      </c>
      <c r="U147" s="55" t="e">
        <f t="shared" ca="1" si="46"/>
        <v>#N/A</v>
      </c>
      <c r="V147" s="55" t="e">
        <f t="shared" ca="1" si="47"/>
        <v>#N/A</v>
      </c>
      <c r="W147" s="55" t="e">
        <f t="shared" ref="W147:W210" ca="1" si="52">-VLOOKUP(S147,ModelOutputs,9,FALSE)+W146</f>
        <v>#N/A</v>
      </c>
      <c r="X147" s="55" t="e">
        <f t="shared" ref="X147:X210" ca="1" si="53">VLOOKUP(S147,ModelOutputs,5,FALSE)+X146</f>
        <v>#N/A</v>
      </c>
      <c r="Y147" s="55" t="e">
        <f t="shared" ref="Y147:Y210" ca="1" si="54">VLOOKUP(S147,ModelOutputs,4,FALSE)+Y146</f>
        <v>#N/A</v>
      </c>
      <c r="Z147" t="e">
        <f t="shared" ca="1" si="48"/>
        <v>#N/A</v>
      </c>
      <c r="AA147" t="e">
        <f t="shared" ref="AA147:AA210" ca="1" si="55">VLOOKUP(S147,ModelOutputs,11,FALSE)+AA146</f>
        <v>#N/A</v>
      </c>
      <c r="AB147" t="e">
        <f t="shared" ca="1" si="49"/>
        <v>#N/A</v>
      </c>
      <c r="AC147" t="e">
        <f t="shared" ca="1" si="50"/>
        <v>#N/A</v>
      </c>
      <c r="AD147" s="83">
        <f ca="1"/>
        <v>45431</v>
      </c>
      <c r="AE147" s="55">
        <f t="shared" ca="1" si="41"/>
        <v>45431</v>
      </c>
      <c r="AF147" s="55">
        <f t="shared" ca="1" si="42"/>
        <v>-62.062714507864897</v>
      </c>
      <c r="AG147" s="55">
        <f t="shared" ca="1" si="43"/>
        <v>127.08788934751173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26.104170125390826</v>
      </c>
      <c r="AK147" s="55">
        <f t="shared" ref="AK147:AK210" ca="1" si="58">VLOOKUP(AE147,ModelOutputs,4,FALSE)+AK146</f>
        <v>9.7378684866081269</v>
      </c>
    </row>
    <row r="148" spans="18:37">
      <c r="R148" s="83" t="e">
        <f ca="1"/>
        <v>#N/A</v>
      </c>
      <c r="S148" s="55" t="e">
        <f t="shared" ca="1" si="51"/>
        <v>#N/A</v>
      </c>
      <c r="T148" s="55" t="e">
        <f t="shared" ca="1" si="45"/>
        <v>#N/A</v>
      </c>
      <c r="U148" s="55" t="e">
        <f t="shared" ca="1" si="46"/>
        <v>#N/A</v>
      </c>
      <c r="V148" s="55" t="e">
        <f t="shared" ca="1" si="47"/>
        <v>#N/A</v>
      </c>
      <c r="W148" s="55" t="e">
        <f t="shared" ca="1" si="52"/>
        <v>#N/A</v>
      </c>
      <c r="X148" s="55" t="e">
        <f t="shared" ca="1" si="53"/>
        <v>#N/A</v>
      </c>
      <c r="Y148" s="55" t="e">
        <f t="shared" ca="1" si="54"/>
        <v>#N/A</v>
      </c>
      <c r="Z148" t="e">
        <f t="shared" ca="1" si="48"/>
        <v>#N/A</v>
      </c>
      <c r="AA148" t="e">
        <f t="shared" ca="1" si="55"/>
        <v>#N/A</v>
      </c>
      <c r="AB148" t="e">
        <f t="shared" ca="1" si="49"/>
        <v>#N/A</v>
      </c>
      <c r="AC148" t="e">
        <f t="shared" ca="1" si="50"/>
        <v>#N/A</v>
      </c>
      <c r="AD148" s="83">
        <f ca="1"/>
        <v>45432</v>
      </c>
      <c r="AE148" s="55">
        <f t="shared" ca="1" si="41"/>
        <v>45432</v>
      </c>
      <c r="AF148" s="55">
        <f t="shared" ca="1" si="42"/>
        <v>-63.491416696793827</v>
      </c>
      <c r="AG148" s="55">
        <f t="shared" ca="1" si="43"/>
        <v>128.77921954870092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26.360734367757868</v>
      </c>
      <c r="AK148" s="55">
        <f t="shared" ca="1" si="58"/>
        <v>9.743932256501342</v>
      </c>
    </row>
    <row r="149" spans="18:37">
      <c r="R149" s="83" t="e">
        <f ca="1"/>
        <v>#N/A</v>
      </c>
      <c r="S149" s="55" t="e">
        <f t="shared" ca="1" si="51"/>
        <v>#N/A</v>
      </c>
      <c r="T149" s="55" t="e">
        <f t="shared" ca="1" si="45"/>
        <v>#N/A</v>
      </c>
      <c r="U149" s="55" t="e">
        <f t="shared" ca="1" si="46"/>
        <v>#N/A</v>
      </c>
      <c r="V149" s="55" t="e">
        <f t="shared" ca="1" si="47"/>
        <v>#N/A</v>
      </c>
      <c r="W149" s="55" t="e">
        <f t="shared" ca="1" si="52"/>
        <v>#N/A</v>
      </c>
      <c r="X149" s="55" t="e">
        <f t="shared" ca="1" si="53"/>
        <v>#N/A</v>
      </c>
      <c r="Y149" s="55" t="e">
        <f t="shared" ca="1" si="54"/>
        <v>#N/A</v>
      </c>
      <c r="Z149" t="e">
        <f t="shared" ca="1" si="48"/>
        <v>#N/A</v>
      </c>
      <c r="AA149" t="e">
        <f t="shared" ca="1" si="55"/>
        <v>#N/A</v>
      </c>
      <c r="AB149" t="e">
        <f t="shared" ca="1" si="49"/>
        <v>#N/A</v>
      </c>
      <c r="AC149" t="e">
        <f t="shared" ca="1" si="50"/>
        <v>#N/A</v>
      </c>
      <c r="AD149" s="83">
        <f ca="1"/>
        <v>45433</v>
      </c>
      <c r="AE149" s="55">
        <f t="shared" ref="AE149:AE212" ca="1" si="59">IF(AD149&gt;1,AD149,"")</f>
        <v>45433</v>
      </c>
      <c r="AF149" s="55">
        <f t="shared" ref="AF149:AF212" ca="1" si="60">VLOOKUP(AE149,ModelOutputs,2,FALSE)</f>
        <v>-64.845300391136476</v>
      </c>
      <c r="AG149" s="55">
        <f t="shared" ref="AG149:AG212" ca="1" si="61">VLOOKUP(AE149,ModelOutputs,7,FALSE)</f>
        <v>130.38380038665105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26.605660979257301</v>
      </c>
      <c r="AK149" s="55">
        <f t="shared" ca="1" si="58"/>
        <v>9.7497027886093797</v>
      </c>
    </row>
    <row r="150" spans="18:37">
      <c r="R150" s="83" t="e">
        <f ca="1"/>
        <v>#N/A</v>
      </c>
      <c r="S150" s="55" t="e">
        <f t="shared" ca="1" si="51"/>
        <v>#N/A</v>
      </c>
      <c r="T150" s="55" t="e">
        <f t="shared" ca="1" si="45"/>
        <v>#N/A</v>
      </c>
      <c r="U150" s="55" t="e">
        <f t="shared" ca="1" si="46"/>
        <v>#N/A</v>
      </c>
      <c r="V150" s="55" t="e">
        <f t="shared" ca="1" si="47"/>
        <v>#N/A</v>
      </c>
      <c r="W150" s="55" t="e">
        <f t="shared" ca="1" si="52"/>
        <v>#N/A</v>
      </c>
      <c r="X150" s="55" t="e">
        <f t="shared" ca="1" si="53"/>
        <v>#N/A</v>
      </c>
      <c r="Y150" s="55" t="e">
        <f t="shared" ca="1" si="54"/>
        <v>#N/A</v>
      </c>
      <c r="Z150" t="e">
        <f t="shared" ca="1" si="48"/>
        <v>#N/A</v>
      </c>
      <c r="AA150" t="e">
        <f t="shared" ca="1" si="55"/>
        <v>#N/A</v>
      </c>
      <c r="AB150" t="e">
        <f t="shared" ca="1" si="49"/>
        <v>#N/A</v>
      </c>
      <c r="AC150" t="e">
        <f t="shared" ca="1" si="50"/>
        <v>#N/A</v>
      </c>
      <c r="AD150" s="83">
        <f ca="1"/>
        <v>45434</v>
      </c>
      <c r="AE150" s="55">
        <f t="shared" ca="1" si="59"/>
        <v>45434</v>
      </c>
      <c r="AF150" s="55">
        <f t="shared" ca="1" si="60"/>
        <v>-66.154458901767512</v>
      </c>
      <c r="AG150" s="55">
        <f t="shared" ca="1" si="61"/>
        <v>131.93832950133387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26.845426870662529</v>
      </c>
      <c r="AK150" s="55">
        <f t="shared" ca="1" si="58"/>
        <v>9.7553075012559418</v>
      </c>
    </row>
    <row r="151" spans="18:37">
      <c r="R151" s="83" t="e">
        <f ca="1"/>
        <v>#N/A</v>
      </c>
      <c r="S151" s="55" t="e">
        <f t="shared" ca="1" si="51"/>
        <v>#N/A</v>
      </c>
      <c r="T151" s="55" t="e">
        <f t="shared" ca="1" si="45"/>
        <v>#N/A</v>
      </c>
      <c r="U151" s="55" t="e">
        <f t="shared" ca="1" si="46"/>
        <v>#N/A</v>
      </c>
      <c r="V151" s="55" t="e">
        <f t="shared" ca="1" si="47"/>
        <v>#N/A</v>
      </c>
      <c r="W151" s="55" t="e">
        <f t="shared" ca="1" si="52"/>
        <v>#N/A</v>
      </c>
      <c r="X151" s="55" t="e">
        <f t="shared" ca="1" si="53"/>
        <v>#N/A</v>
      </c>
      <c r="Y151" s="55" t="e">
        <f t="shared" ca="1" si="54"/>
        <v>#N/A</v>
      </c>
      <c r="Z151" t="e">
        <f t="shared" ca="1" si="48"/>
        <v>#N/A</v>
      </c>
      <c r="AA151" t="e">
        <f t="shared" ca="1" si="55"/>
        <v>#N/A</v>
      </c>
      <c r="AB151" t="e">
        <f t="shared" ca="1" si="49"/>
        <v>#N/A</v>
      </c>
      <c r="AC151" t="e">
        <f t="shared" ca="1" si="50"/>
        <v>#N/A</v>
      </c>
      <c r="AD151" s="83">
        <f ca="1"/>
        <v>45435</v>
      </c>
      <c r="AE151" s="55">
        <f t="shared" ca="1" si="59"/>
        <v>45435</v>
      </c>
      <c r="AF151" s="55">
        <f t="shared" ca="1" si="60"/>
        <v>-67.435844959392128</v>
      </c>
      <c r="AG151" s="55">
        <f t="shared" ca="1" si="61"/>
        <v>133.46349778601035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27.083700332445773</v>
      </c>
      <c r="AK151" s="55">
        <f t="shared" ca="1" si="58"/>
        <v>9.7608162665245679</v>
      </c>
    </row>
    <row r="152" spans="18:37">
      <c r="R152" s="83" t="e">
        <f ca="1"/>
        <v>#N/A</v>
      </c>
      <c r="S152" s="55" t="e">
        <f t="shared" ca="1" si="51"/>
        <v>#N/A</v>
      </c>
      <c r="T152" s="55" t="e">
        <f t="shared" ca="1" si="45"/>
        <v>#N/A</v>
      </c>
      <c r="U152" s="55" t="e">
        <f t="shared" ca="1" si="46"/>
        <v>#N/A</v>
      </c>
      <c r="V152" s="55" t="e">
        <f t="shared" ca="1" si="47"/>
        <v>#N/A</v>
      </c>
      <c r="W152" s="55" t="e">
        <f t="shared" ca="1" si="52"/>
        <v>#N/A</v>
      </c>
      <c r="X152" s="55" t="e">
        <f t="shared" ca="1" si="53"/>
        <v>#N/A</v>
      </c>
      <c r="Y152" s="55" t="e">
        <f t="shared" ca="1" si="54"/>
        <v>#N/A</v>
      </c>
      <c r="Z152" t="e">
        <f t="shared" ca="1" si="48"/>
        <v>#N/A</v>
      </c>
      <c r="AA152" t="e">
        <f t="shared" ca="1" si="55"/>
        <v>#N/A</v>
      </c>
      <c r="AB152" t="e">
        <f t="shared" ca="1" si="49"/>
        <v>#N/A</v>
      </c>
      <c r="AC152" t="e">
        <f t="shared" ca="1" si="50"/>
        <v>#N/A</v>
      </c>
      <c r="AD152" s="83">
        <f ca="1"/>
        <v>45436</v>
      </c>
      <c r="AE152" s="55">
        <f t="shared" ca="1" si="59"/>
        <v>45436</v>
      </c>
      <c r="AF152" s="55">
        <f t="shared" ca="1" si="60"/>
        <v>-68.722522604159934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27.327978139870115</v>
      </c>
      <c r="AK152" s="55">
        <f t="shared" ca="1" si="58"/>
        <v>9.7663630283220755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topLeftCell="B1" zoomScale="105" workbookViewId="0">
      <selection activeCell="H2" sqref="H2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247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226</v>
      </c>
      <c r="B3" s="13" t="str">
        <f>SoilOrder</f>
        <v>SiltLoam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45231</v>
      </c>
      <c r="K3" s="3">
        <v>50</v>
      </c>
      <c r="L3" s="3"/>
      <c r="M3" s="3">
        <f ca="1">SUMIF($I$8:$I$1001,TRUE,M8:M1001)</f>
        <v>-6.3218692418788516</v>
      </c>
      <c r="N3" s="3">
        <f ca="1">SUMIF($I$8:$I$1001,TRUE,N8:N1001)</f>
        <v>16.228645129920825</v>
      </c>
      <c r="O3" s="3">
        <f ca="1">SUMIF($I$8:$I$1001,TRUE,O8:O1001)</f>
        <v>62.602339078583221</v>
      </c>
      <c r="P3" s="3">
        <f ca="1">VLOOKUP(B32,ModelOutputs,P5,FALSE)-Q3</f>
        <v>0.4928567913087778</v>
      </c>
      <c r="Q3">
        <f ca="1">VLOOKUP(B32,ModelOutputs,Q5,FALSE)</f>
        <v>1.7468341970437682</v>
      </c>
      <c r="R3" s="13"/>
      <c r="W3" s="3">
        <f ca="1">MAX(0,X4-X3)</f>
        <v>0</v>
      </c>
      <c r="X3" s="3">
        <f ca="1">SUM(K3:R3)</f>
        <v>124.74880595497774</v>
      </c>
      <c r="AA3" s="3"/>
    </row>
    <row r="4" spans="1:31" ht="15" thickBot="1">
      <c r="A4" s="12" t="s">
        <v>208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45301</v>
      </c>
      <c r="K4" s="24">
        <f ca="1">VLOOKUP(J4,ModelOutputs,2,FALSE)</f>
        <v>27.818805954977659</v>
      </c>
      <c r="L4" s="27"/>
      <c r="M4" s="25"/>
      <c r="N4" s="25"/>
      <c r="O4" s="25"/>
      <c r="P4" s="24">
        <f ca="1">(VLOOKUP($J$4,ModelOutputs,P5,FALSE)-VLOOKUP($J$3+1,ModelOutputs,P5,FALSE))-Q4</f>
        <v>20.811587238045703</v>
      </c>
      <c r="Q4" s="26">
        <f ca="1">VLOOKUP($J$4,ModelOutputs,Q5,FALSE)-VLOOKUP($J$3+1,ModelOutputs,Q5,FALSE)</f>
        <v>73.762587679149291</v>
      </c>
      <c r="R4" s="27">
        <f ca="1">SUMIF($I$8:$I$1001,TRUE,R8:R1001)</f>
        <v>0</v>
      </c>
      <c r="S4" s="3"/>
      <c r="T4" s="3"/>
      <c r="U4" s="3"/>
      <c r="V4" s="3"/>
      <c r="W4" s="3">
        <f ca="1">MAX(0,X3-X4)</f>
        <v>2.3558250828050831</v>
      </c>
      <c r="X4" s="3">
        <f ca="1">SUM(K4:R4)</f>
        <v>122.39298087217266</v>
      </c>
    </row>
    <row r="5" spans="1:31">
      <c r="A5" s="12" t="s">
        <v>236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137.29858923228588</v>
      </c>
      <c r="M5">
        <f ca="1">SUMIF(H7:H1000,TRUE,M7:M1000)</f>
        <v>-6.3338499274880249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45230</v>
      </c>
      <c r="K7">
        <f ca="1"/>
        <v>0</v>
      </c>
      <c r="L7">
        <f ca="1"/>
        <v>3.6524229784547657</v>
      </c>
      <c r="M7">
        <f ca="1"/>
        <v>0</v>
      </c>
      <c r="N7" s="4">
        <f ca="1"/>
        <v>0.25742912124832429</v>
      </c>
      <c r="O7">
        <f ca="1"/>
        <v>0</v>
      </c>
      <c r="P7">
        <f ca="1"/>
        <v>108.00000000000001</v>
      </c>
      <c r="Q7">
        <f ca="1"/>
        <v>98.8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45230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227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45231</v>
      </c>
      <c r="K8">
        <f ca="1"/>
        <v>49.901073117640735</v>
      </c>
      <c r="L8">
        <f ca="1"/>
        <v>0</v>
      </c>
      <c r="M8">
        <f ca="1"/>
        <v>-0.34000963486259028</v>
      </c>
      <c r="N8" s="4">
        <f ca="1"/>
        <v>0.24108275250332059</v>
      </c>
      <c r="O8">
        <f ca="1"/>
        <v>0</v>
      </c>
      <c r="P8">
        <f ca="1"/>
        <v>2.239690988352546</v>
      </c>
      <c r="Q8">
        <f ca="1"/>
        <v>1.7468341970437682</v>
      </c>
      <c r="R8">
        <f ca="1"/>
        <v>0</v>
      </c>
      <c r="S8">
        <f ca="1"/>
        <v>0.88111793303379138</v>
      </c>
      <c r="T8">
        <f ca="1"/>
        <v>0</v>
      </c>
      <c r="U8">
        <f ca="1"/>
        <v>0</v>
      </c>
      <c r="V8">
        <f ca="1"/>
        <v>2.4708900187025557E-2</v>
      </c>
      <c r="X8" s="2">
        <f t="shared" ca="1" si="1"/>
        <v>45231</v>
      </c>
      <c r="Y8">
        <f t="shared" ca="1" si="2"/>
        <v>0</v>
      </c>
      <c r="Z8" s="3"/>
      <c r="AA8" s="63">
        <f ca="1">K7+M8+N8+O8</f>
        <v>-9.8926882359269691E-2</v>
      </c>
      <c r="AB8" s="63">
        <f ca="1">K8+L8+R8</f>
        <v>49.901073117640735</v>
      </c>
      <c r="AC8" s="3">
        <f ca="1">AB8-AA8</f>
        <v>50.000000000000007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45232</v>
      </c>
      <c r="K9">
        <f ca="1"/>
        <v>49.690090131295634</v>
      </c>
      <c r="L9">
        <f ca="1"/>
        <v>0.11613409445254819</v>
      </c>
      <c r="M9">
        <f ca="1"/>
        <v>-0.32623369540624148</v>
      </c>
      <c r="N9" s="4">
        <f ca="1"/>
        <v>0.23138480351368843</v>
      </c>
      <c r="O9">
        <f ca="1"/>
        <v>0</v>
      </c>
      <c r="P9">
        <f ca="1"/>
        <v>2.3558250828050942</v>
      </c>
      <c r="Q9">
        <f ca="1"/>
        <v>1.8374123208507698</v>
      </c>
      <c r="R9">
        <f ca="1"/>
        <v>0</v>
      </c>
      <c r="S9">
        <f ca="1"/>
        <v>0.84510783729655603</v>
      </c>
      <c r="T9">
        <f ca="1"/>
        <v>0</v>
      </c>
      <c r="U9">
        <f ca="1"/>
        <v>0</v>
      </c>
      <c r="V9">
        <f ca="1"/>
        <v>2.7980827496568911E-2</v>
      </c>
      <c r="X9" s="2">
        <f t="shared" ca="1" si="1"/>
        <v>45232</v>
      </c>
      <c r="Y9">
        <f t="shared" ca="1" si="2"/>
        <v>0</v>
      </c>
      <c r="AA9" s="63">
        <f t="shared" ref="AA9:AA72" ca="1" si="4">K8+M9+N9+O9</f>
        <v>49.806224225748181</v>
      </c>
      <c r="AB9" s="63">
        <f t="shared" ref="AB9:AB72" ca="1" si="5">K9+L9+R9</f>
        <v>49.806224225748181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45233</v>
      </c>
      <c r="K10">
        <f ca="1"/>
        <v>49.487913733210299</v>
      </c>
      <c r="L10">
        <f ca="1"/>
        <v>0.12056577612077701</v>
      </c>
      <c r="M10">
        <f ca="1"/>
        <v>-0.30929965241499169</v>
      </c>
      <c r="N10" s="4">
        <f ca="1"/>
        <v>0.22768903045043604</v>
      </c>
      <c r="O10">
        <f ca="1"/>
        <v>0</v>
      </c>
      <c r="P10">
        <f ca="1"/>
        <v>2.4763908589258712</v>
      </c>
      <c r="Q10">
        <f ca="1"/>
        <v>1.9314469094686459</v>
      </c>
      <c r="R10">
        <f ca="1"/>
        <v>0</v>
      </c>
      <c r="S10">
        <f ca="1"/>
        <v>0.83991814148379718</v>
      </c>
      <c r="T10">
        <f ca="1"/>
        <v>0</v>
      </c>
      <c r="U10">
        <f ca="1"/>
        <v>0</v>
      </c>
      <c r="V10">
        <f ca="1"/>
        <v>3.1623892192874641E-2</v>
      </c>
      <c r="X10" s="2">
        <f t="shared" ca="1" si="1"/>
        <v>45233</v>
      </c>
      <c r="Y10">
        <f t="shared" ca="1" si="2"/>
        <v>0</v>
      </c>
      <c r="AA10" s="63">
        <f t="shared" ca="1" si="4"/>
        <v>49.608479509331076</v>
      </c>
      <c r="AB10" s="63">
        <f t="shared" ca="1" si="5"/>
        <v>49.608479509331076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45234</v>
      </c>
      <c r="K11">
        <f ca="1"/>
        <v>49.291941212337953</v>
      </c>
      <c r="L11">
        <f ca="1"/>
        <v>0.12968582045461208</v>
      </c>
      <c r="M11">
        <f ca="1"/>
        <v>-0.2997008088950891</v>
      </c>
      <c r="N11" s="4">
        <f ca="1"/>
        <v>0.23341410847735461</v>
      </c>
      <c r="O11">
        <f ca="1"/>
        <v>0</v>
      </c>
      <c r="P11">
        <f ca="1"/>
        <v>2.6060766793804833</v>
      </c>
      <c r="Q11">
        <f ca="1"/>
        <v>2.0325946245864488</v>
      </c>
      <c r="R11">
        <f ca="1"/>
        <v>0</v>
      </c>
      <c r="S11">
        <f ca="1"/>
        <v>0.84527020730073765</v>
      </c>
      <c r="T11">
        <f ca="1"/>
        <v>0</v>
      </c>
      <c r="U11">
        <f ca="1"/>
        <v>0</v>
      </c>
      <c r="V11">
        <f ca="1"/>
        <v>3.5824511682542103E-2</v>
      </c>
      <c r="X11" s="2">
        <f t="shared" ca="1" si="1"/>
        <v>45234</v>
      </c>
      <c r="Y11">
        <f t="shared" ca="1" si="2"/>
        <v>0</v>
      </c>
      <c r="AA11" s="63">
        <f t="shared" ca="1" si="4"/>
        <v>49.421627032792564</v>
      </c>
      <c r="AB11" s="63">
        <f t="shared" ca="1" si="5"/>
        <v>49.421627032792564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Barley Fodder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45235</v>
      </c>
      <c r="K12">
        <f ca="1"/>
        <v>49.113409055146867</v>
      </c>
      <c r="L12">
        <f ca="1"/>
        <v>0.14170499636820111</v>
      </c>
      <c r="M12">
        <f ca="1"/>
        <v>-0.29288908917134893</v>
      </c>
      <c r="N12" s="4">
        <f ca="1"/>
        <v>0.25606192834845981</v>
      </c>
      <c r="O12">
        <f ca="1"/>
        <v>0</v>
      </c>
      <c r="P12">
        <f ca="1"/>
        <v>2.7477816757486844</v>
      </c>
      <c r="Q12">
        <f ca="1"/>
        <v>2.1431166273248792</v>
      </c>
      <c r="R12">
        <f ca="1"/>
        <v>0</v>
      </c>
      <c r="S12">
        <f ca="1"/>
        <v>0.89448235508251805</v>
      </c>
      <c r="T12">
        <f ca="1"/>
        <v>0</v>
      </c>
      <c r="U12">
        <f ca="1"/>
        <v>0</v>
      </c>
      <c r="V12">
        <f ca="1"/>
        <v>4.0749886352777882E-2</v>
      </c>
      <c r="X12" s="2">
        <f t="shared" ca="1" si="1"/>
        <v>45235</v>
      </c>
      <c r="Y12">
        <f t="shared" ca="1" si="2"/>
        <v>0</v>
      </c>
      <c r="AA12" s="63">
        <f t="shared" ca="1" si="4"/>
        <v>49.255114051515065</v>
      </c>
      <c r="AB12" s="63">
        <f t="shared" ca="1" si="5"/>
        <v>49.255114051515065</v>
      </c>
      <c r="AC12" s="3">
        <f t="shared" ca="1" si="6"/>
        <v>0</v>
      </c>
    </row>
    <row r="13" spans="1:31" ht="15" thickBot="1">
      <c r="A13" s="6" t="s">
        <v>237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45236</v>
      </c>
      <c r="K13">
        <f ca="1"/>
        <v>48.950745941002033</v>
      </c>
      <c r="L13">
        <f ca="1"/>
        <v>0.14304307557687013</v>
      </c>
      <c r="M13">
        <f ca="1"/>
        <v>-0.27186032440794428</v>
      </c>
      <c r="N13" s="4">
        <f ca="1"/>
        <v>0.25224028583997959</v>
      </c>
      <c r="O13">
        <f ca="1"/>
        <v>0</v>
      </c>
      <c r="P13">
        <f ca="1"/>
        <v>2.8908247513255545</v>
      </c>
      <c r="Q13">
        <f ca="1"/>
        <v>2.2546822573012677</v>
      </c>
      <c r="R13">
        <f ca="1"/>
        <v>0</v>
      </c>
      <c r="S13">
        <f ca="1"/>
        <v>0.90865478145824086</v>
      </c>
      <c r="T13">
        <f ca="1"/>
        <v>0</v>
      </c>
      <c r="U13">
        <f ca="1"/>
        <v>0</v>
      </c>
      <c r="V13">
        <f ca="1"/>
        <v>4.6077210604115078E-2</v>
      </c>
      <c r="X13" s="2">
        <f t="shared" ca="1" si="1"/>
        <v>45236</v>
      </c>
      <c r="Y13">
        <f t="shared" ca="1" si="2"/>
        <v>0</v>
      </c>
      <c r="AA13" s="63">
        <f t="shared" ca="1" si="4"/>
        <v>49.093789016578903</v>
      </c>
      <c r="AB13" s="63">
        <f t="shared" ca="1" si="5"/>
        <v>49.093789016578903</v>
      </c>
      <c r="AC13" s="3">
        <f t="shared" ca="1" si="6"/>
        <v>0</v>
      </c>
    </row>
    <row r="14" spans="1:31">
      <c r="A14" s="6" t="s">
        <v>230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45237</v>
      </c>
      <c r="K14">
        <f ca="1"/>
        <v>48.795007437712002</v>
      </c>
      <c r="L14">
        <f ca="1"/>
        <v>0.15559249499362693</v>
      </c>
      <c r="M14">
        <f ca="1"/>
        <v>-0.26484788037846485</v>
      </c>
      <c r="N14" s="4">
        <f ca="1"/>
        <v>0.26470187208205775</v>
      </c>
      <c r="O14">
        <f ca="1"/>
        <v>0</v>
      </c>
      <c r="P14">
        <f ca="1"/>
        <v>3.0464172463191814</v>
      </c>
      <c r="Q14">
        <f ca="1"/>
        <v>2.3760357352907264</v>
      </c>
      <c r="R14">
        <f ca="1"/>
        <v>0</v>
      </c>
      <c r="S14">
        <f ca="1"/>
        <v>0.92603982097384285</v>
      </c>
      <c r="T14">
        <f ca="1"/>
        <v>0</v>
      </c>
      <c r="U14">
        <f ca="1"/>
        <v>0</v>
      </c>
      <c r="V14">
        <f ca="1"/>
        <v>5.2275925969990804E-2</v>
      </c>
      <c r="X14" s="2">
        <f t="shared" ca="1" si="1"/>
        <v>45237</v>
      </c>
      <c r="Y14">
        <f t="shared" ca="1" si="2"/>
        <v>0</v>
      </c>
      <c r="AA14" s="63">
        <f t="shared" ca="1" si="4"/>
        <v>48.950599932705629</v>
      </c>
      <c r="AB14" s="63">
        <f t="shared" ca="1" si="5"/>
        <v>48.950599932705629</v>
      </c>
      <c r="AC14" s="3">
        <f t="shared" ca="1" si="6"/>
        <v>0</v>
      </c>
    </row>
    <row r="15" spans="1:31">
      <c r="A15" s="6" t="s">
        <v>231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45238</v>
      </c>
      <c r="K15">
        <f ca="1"/>
        <v>48.641125527411717</v>
      </c>
      <c r="L15">
        <f ca="1"/>
        <v>0.16844411198172127</v>
      </c>
      <c r="M15">
        <f ca="1"/>
        <v>-0.25680008480737504</v>
      </c>
      <c r="N15" s="4">
        <f ca="1"/>
        <v>0.2713622864888065</v>
      </c>
      <c r="O15">
        <f ca="1"/>
        <v>0</v>
      </c>
      <c r="P15">
        <f ca="1"/>
        <v>3.2148613583009027</v>
      </c>
      <c r="Q15">
        <f ca="1"/>
        <v>2.5074127585633779</v>
      </c>
      <c r="R15">
        <f ca="1"/>
        <v>0</v>
      </c>
      <c r="S15">
        <f ca="1"/>
        <v>0.9284388949186978</v>
      </c>
      <c r="T15">
        <f ca="1"/>
        <v>0</v>
      </c>
      <c r="U15">
        <f ca="1"/>
        <v>0</v>
      </c>
      <c r="V15">
        <f ca="1"/>
        <v>5.9457230884261018E-2</v>
      </c>
      <c r="X15" s="2">
        <f t="shared" ca="1" si="1"/>
        <v>45238</v>
      </c>
      <c r="Y15">
        <f t="shared" ca="1" si="2"/>
        <v>0</v>
      </c>
      <c r="AA15" s="63">
        <f t="shared" ca="1" si="4"/>
        <v>48.809569639393438</v>
      </c>
      <c r="AB15" s="63">
        <f t="shared" ca="1" si="5"/>
        <v>48.809569639393438</v>
      </c>
      <c r="AC15" s="3">
        <f t="shared" ca="1" si="6"/>
        <v>0</v>
      </c>
    </row>
    <row r="16" spans="1:31">
      <c r="A16" s="6" t="s">
        <v>113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45239</v>
      </c>
      <c r="K16">
        <f ca="1"/>
        <v>48.495963892050121</v>
      </c>
      <c r="L16">
        <f ca="1"/>
        <v>0.1708530172137448</v>
      </c>
      <c r="M16">
        <f ca="1"/>
        <v>-0.23848357491756245</v>
      </c>
      <c r="N16" s="4">
        <f ca="1"/>
        <v>0.26417495676970543</v>
      </c>
      <c r="O16">
        <f ca="1"/>
        <v>0</v>
      </c>
      <c r="P16">
        <f ca="1"/>
        <v>3.3857143755146475</v>
      </c>
      <c r="Q16">
        <f ca="1"/>
        <v>2.6406685937161591</v>
      </c>
      <c r="R16">
        <f ca="1"/>
        <v>0</v>
      </c>
      <c r="S16">
        <f ca="1"/>
        <v>0.93117070022594872</v>
      </c>
      <c r="T16">
        <f ca="1"/>
        <v>0</v>
      </c>
      <c r="U16">
        <f ca="1"/>
        <v>0</v>
      </c>
      <c r="V16">
        <f ca="1"/>
        <v>6.7234024817951418E-2</v>
      </c>
      <c r="X16" s="2">
        <f t="shared" ca="1" si="1"/>
        <v>45239</v>
      </c>
      <c r="Y16">
        <f t="shared" ca="1" si="2"/>
        <v>0</v>
      </c>
      <c r="AA16" s="63">
        <f t="shared" ca="1" si="4"/>
        <v>48.666816909263865</v>
      </c>
      <c r="AB16" s="63">
        <f t="shared" ca="1" si="5"/>
        <v>48.666816909263865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45240</v>
      </c>
      <c r="K17">
        <f ca="1"/>
        <v>48.344975428331495</v>
      </c>
      <c r="L17">
        <f ca="1"/>
        <v>0.18665631708817587</v>
      </c>
      <c r="M17">
        <f ca="1"/>
        <v>-0.2325729583384506</v>
      </c>
      <c r="N17" s="4">
        <f ca="1"/>
        <v>0.26824081170800623</v>
      </c>
      <c r="O17">
        <f ca="1"/>
        <v>0</v>
      </c>
      <c r="P17">
        <f ca="1"/>
        <v>3.5723706926028234</v>
      </c>
      <c r="Q17">
        <f ca="1"/>
        <v>2.786250122364319</v>
      </c>
      <c r="R17">
        <f ca="1"/>
        <v>0</v>
      </c>
      <c r="S17">
        <f ca="1"/>
        <v>0.91991798498873656</v>
      </c>
      <c r="T17">
        <f ca="1"/>
        <v>0</v>
      </c>
      <c r="U17">
        <f ca="1"/>
        <v>0</v>
      </c>
      <c r="V17">
        <f ca="1"/>
        <v>7.6285672236702101E-2</v>
      </c>
      <c r="X17" s="2">
        <f t="shared" ca="1" si="1"/>
        <v>45240</v>
      </c>
      <c r="Y17">
        <f t="shared" ca="1" si="2"/>
        <v>0</v>
      </c>
      <c r="AA17" s="63">
        <f t="shared" ca="1" si="4"/>
        <v>48.531631745419674</v>
      </c>
      <c r="AB17" s="63">
        <f t="shared" ca="1" si="5"/>
        <v>48.531631745419674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45241</v>
      </c>
      <c r="K18">
        <f ca="1"/>
        <v>48.185378050521166</v>
      </c>
      <c r="L18">
        <f ca="1"/>
        <v>0.19882148021501855</v>
      </c>
      <c r="M18">
        <f ca="1"/>
        <v>-0.22265902732648701</v>
      </c>
      <c r="N18" s="4">
        <f ca="1"/>
        <v>0.26188312973117711</v>
      </c>
      <c r="O18">
        <f ca="1"/>
        <v>0</v>
      </c>
      <c r="P18">
        <f ca="1"/>
        <v>3.7711921728178419</v>
      </c>
      <c r="Q18">
        <f ca="1"/>
        <v>2.94131980052645</v>
      </c>
      <c r="R18">
        <f ca="1"/>
        <v>0</v>
      </c>
      <c r="S18">
        <f ca="1"/>
        <v>0.89438110614095823</v>
      </c>
      <c r="T18">
        <f ca="1"/>
        <v>0</v>
      </c>
      <c r="U18">
        <f ca="1"/>
        <v>0</v>
      </c>
      <c r="V18">
        <f ca="1"/>
        <v>8.654710700058299E-2</v>
      </c>
      <c r="X18" s="2">
        <f t="shared" ca="1" si="1"/>
        <v>45241</v>
      </c>
      <c r="Y18">
        <f t="shared" ca="1" si="2"/>
        <v>0</v>
      </c>
      <c r="AA18" s="63">
        <f t="shared" ca="1" si="4"/>
        <v>48.384199530736183</v>
      </c>
      <c r="AB18" s="63">
        <f t="shared" ca="1" si="5"/>
        <v>48.384199530736183</v>
      </c>
      <c r="AC18" s="3">
        <f t="shared" ca="1" si="6"/>
        <v>0</v>
      </c>
    </row>
    <row r="19" spans="1:29" ht="15" thickBot="1">
      <c r="A19" s="6" t="s">
        <v>116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45242</v>
      </c>
      <c r="K19">
        <f ca="1"/>
        <v>48.028698779495386</v>
      </c>
      <c r="L19">
        <f ca="1"/>
        <v>0.2089979057134097</v>
      </c>
      <c r="M19">
        <f ca="1"/>
        <v>-0.21114841329983225</v>
      </c>
      <c r="N19" s="4">
        <f ca="1"/>
        <v>0.26346704798746495</v>
      </c>
      <c r="O19">
        <f ca="1"/>
        <v>0</v>
      </c>
      <c r="P19">
        <f ca="1"/>
        <v>3.9801900785312516</v>
      </c>
      <c r="Q19">
        <f ca="1"/>
        <v>3.1043265236455442</v>
      </c>
      <c r="R19">
        <f ca="1"/>
        <v>0</v>
      </c>
      <c r="S19">
        <f ca="1"/>
        <v>0.90109989391238665</v>
      </c>
      <c r="T19">
        <f ca="1"/>
        <v>0</v>
      </c>
      <c r="U19">
        <f ca="1"/>
        <v>0</v>
      </c>
      <c r="V19">
        <f ca="1"/>
        <v>9.7996902607000752E-2</v>
      </c>
      <c r="X19" s="2">
        <f t="shared" ca="1" si="1"/>
        <v>45242</v>
      </c>
      <c r="Y19">
        <f t="shared" ca="1" si="2"/>
        <v>0</v>
      </c>
      <c r="AA19" s="63">
        <f t="shared" ca="1" si="4"/>
        <v>48.237696685208796</v>
      </c>
      <c r="AB19" s="63">
        <f t="shared" ca="1" si="5"/>
        <v>48.237696685208796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45243</v>
      </c>
      <c r="K20">
        <f ca="1"/>
        <v>47.872447863387677</v>
      </c>
      <c r="L20">
        <f ca="1"/>
        <v>0.215014079023367</v>
      </c>
      <c r="M20">
        <f ca="1"/>
        <v>-0.19748746779129966</v>
      </c>
      <c r="N20" s="4">
        <f ca="1"/>
        <v>0.25625063070695708</v>
      </c>
      <c r="O20">
        <f ca="1"/>
        <v>0</v>
      </c>
      <c r="P20">
        <f ca="1"/>
        <v>4.1952041575546186</v>
      </c>
      <c r="Q20">
        <f ca="1"/>
        <v>3.2720255267835463</v>
      </c>
      <c r="R20">
        <f ca="1"/>
        <v>0</v>
      </c>
      <c r="S20">
        <f ca="1"/>
        <v>0.89440034304872174</v>
      </c>
      <c r="T20">
        <f ca="1"/>
        <v>0</v>
      </c>
      <c r="U20">
        <f ca="1"/>
        <v>0</v>
      </c>
      <c r="V20">
        <f ca="1"/>
        <v>0.11045121172244535</v>
      </c>
      <c r="X20" s="2">
        <f t="shared" ca="1" si="1"/>
        <v>45243</v>
      </c>
      <c r="Y20">
        <f t="shared" ca="1" si="2"/>
        <v>0</v>
      </c>
      <c r="AA20" s="63">
        <f t="shared" ca="1" si="4"/>
        <v>48.087461942411046</v>
      </c>
      <c r="AB20" s="63">
        <f t="shared" ca="1" si="5"/>
        <v>48.087461942411046</v>
      </c>
      <c r="AC20" s="3">
        <f t="shared" ca="1" si="6"/>
        <v>0</v>
      </c>
    </row>
    <row r="21" spans="1:29">
      <c r="A21" s="6" t="s">
        <v>118</v>
      </c>
      <c r="B21" s="34">
        <f>PriorHarvestDate</f>
        <v>45230</v>
      </c>
      <c r="H21" t="b">
        <f t="shared" ca="1" si="3"/>
        <v>1</v>
      </c>
      <c r="I21" t="b">
        <f t="shared" ca="1" si="0"/>
        <v>1</v>
      </c>
      <c r="J21" s="2">
        <f ca="1"/>
        <v>45244</v>
      </c>
      <c r="K21">
        <f ca="1"/>
        <v>47.714031546439031</v>
      </c>
      <c r="L21">
        <f ca="1"/>
        <v>0.22514452165680332</v>
      </c>
      <c r="M21">
        <f ca="1"/>
        <v>-0.18704588408267586</v>
      </c>
      <c r="N21" s="4">
        <f ca="1"/>
        <v>0.25377408879083407</v>
      </c>
      <c r="O21">
        <f ca="1"/>
        <v>0</v>
      </c>
      <c r="P21">
        <f ca="1"/>
        <v>4.4203486792114219</v>
      </c>
      <c r="Q21">
        <f ca="1"/>
        <v>3.4476257108055659</v>
      </c>
      <c r="R21">
        <f ca="1"/>
        <v>0</v>
      </c>
      <c r="S21">
        <f ca="1"/>
        <v>0.89007299942010365</v>
      </c>
      <c r="T21">
        <f ca="1"/>
        <v>0</v>
      </c>
      <c r="U21">
        <f ca="1"/>
        <v>0</v>
      </c>
      <c r="V21">
        <f ca="1"/>
        <v>0.12418160600814997</v>
      </c>
      <c r="X21" s="2">
        <f t="shared" ca="1" si="1"/>
        <v>45244</v>
      </c>
      <c r="Y21">
        <f t="shared" ca="1" si="2"/>
        <v>0</v>
      </c>
      <c r="AA21" s="63">
        <f t="shared" ca="1" si="4"/>
        <v>47.939176068095833</v>
      </c>
      <c r="AB21" s="63">
        <f t="shared" ca="1" si="5"/>
        <v>47.939176068095833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45245</v>
      </c>
      <c r="K22">
        <f ca="1"/>
        <v>47.5405813976354</v>
      </c>
      <c r="L22">
        <f ca="1"/>
        <v>0.24588288629774357</v>
      </c>
      <c r="M22">
        <f ca="1"/>
        <v>-0.18196179059204542</v>
      </c>
      <c r="N22" s="4">
        <f ca="1"/>
        <v>0.25439452808615676</v>
      </c>
      <c r="O22">
        <f ca="1"/>
        <v>0</v>
      </c>
      <c r="P22">
        <f ca="1"/>
        <v>4.6662315655091655</v>
      </c>
      <c r="Q22">
        <f ca="1"/>
        <v>3.6394006639068697</v>
      </c>
      <c r="R22">
        <f ca="1"/>
        <v>0</v>
      </c>
      <c r="S22">
        <f ca="1"/>
        <v>0.86903004723435506</v>
      </c>
      <c r="T22">
        <f ca="1"/>
        <v>0</v>
      </c>
      <c r="U22">
        <f ca="1"/>
        <v>0</v>
      </c>
      <c r="V22">
        <f ca="1"/>
        <v>0.13992147707698785</v>
      </c>
      <c r="X22" s="2">
        <f t="shared" ca="1" si="1"/>
        <v>45245</v>
      </c>
      <c r="Y22">
        <f t="shared" ca="1" si="2"/>
        <v>0</v>
      </c>
      <c r="AA22" s="63">
        <f t="shared" ca="1" si="4"/>
        <v>47.786464283933142</v>
      </c>
      <c r="AB22" s="63">
        <f t="shared" ca="1" si="5"/>
        <v>47.786464283933142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45246</v>
      </c>
      <c r="K23">
        <f ca="1"/>
        <v>47.362715129117696</v>
      </c>
      <c r="L23">
        <f ca="1"/>
        <v>0.26811806152718543</v>
      </c>
      <c r="M23">
        <f ca="1"/>
        <v>-0.17646905814831282</v>
      </c>
      <c r="N23" s="4">
        <f ca="1"/>
        <v>0.26672085115779071</v>
      </c>
      <c r="O23">
        <f ca="1"/>
        <v>0</v>
      </c>
      <c r="P23">
        <f ca="1"/>
        <v>4.9343496270363509</v>
      </c>
      <c r="Q23">
        <f ca="1"/>
        <v>3.8485178149587136</v>
      </c>
      <c r="R23">
        <f ca="1"/>
        <v>0</v>
      </c>
      <c r="S23">
        <f ca="1"/>
        <v>0.88467719778696008</v>
      </c>
      <c r="T23">
        <f ca="1"/>
        <v>0</v>
      </c>
      <c r="U23">
        <f ca="1"/>
        <v>0</v>
      </c>
      <c r="V23">
        <f ca="1"/>
        <v>0.1578860493226944</v>
      </c>
      <c r="X23" s="2">
        <f t="shared" ca="1" si="1"/>
        <v>45246</v>
      </c>
      <c r="Y23">
        <f t="shared" ca="1" si="2"/>
        <v>0</v>
      </c>
      <c r="AA23" s="63">
        <f t="shared" ca="1" si="4"/>
        <v>47.630833190644879</v>
      </c>
      <c r="AB23" s="63">
        <f t="shared" ca="1" si="5"/>
        <v>47.630833190644879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45247</v>
      </c>
      <c r="K24">
        <f ca="1"/>
        <v>47.179784105485133</v>
      </c>
      <c r="L24">
        <f ca="1"/>
        <v>0.27226383762779438</v>
      </c>
      <c r="M24">
        <f ca="1"/>
        <v>-0.16285519437819751</v>
      </c>
      <c r="N24" s="4">
        <f ca="1"/>
        <v>0.25218800837342881</v>
      </c>
      <c r="O24">
        <f ca="1"/>
        <v>0</v>
      </c>
      <c r="P24">
        <f ca="1"/>
        <v>5.2066134646641453</v>
      </c>
      <c r="Q24">
        <f ca="1"/>
        <v>4.0608684404065754</v>
      </c>
      <c r="R24">
        <f ca="1"/>
        <v>0</v>
      </c>
      <c r="S24">
        <f ca="1"/>
        <v>0.86548202571825572</v>
      </c>
      <c r="T24">
        <f ca="1"/>
        <v>0</v>
      </c>
      <c r="U24">
        <f ca="1"/>
        <v>0</v>
      </c>
      <c r="V24">
        <f ca="1"/>
        <v>0.17688120040969907</v>
      </c>
      <c r="X24" s="2">
        <f t="shared" ca="1" si="1"/>
        <v>45247</v>
      </c>
      <c r="Y24">
        <f t="shared" ca="1" si="2"/>
        <v>0</v>
      </c>
      <c r="AA24" s="63">
        <f t="shared" ca="1" si="4"/>
        <v>47.45204794311293</v>
      </c>
      <c r="AB24" s="63">
        <f t="shared" ca="1" si="5"/>
        <v>47.45204794311293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Lettuce Vegetable Ice berg</v>
      </c>
      <c r="H25" t="b">
        <f t="shared" ca="1" si="3"/>
        <v>1</v>
      </c>
      <c r="I25" t="b">
        <f t="shared" ca="1" si="0"/>
        <v>1</v>
      </c>
      <c r="J25" s="2">
        <f ca="1"/>
        <v>45248</v>
      </c>
      <c r="K25">
        <f ca="1"/>
        <v>46.992241146289899</v>
      </c>
      <c r="L25">
        <f ca="1"/>
        <v>0.27575749513727477</v>
      </c>
      <c r="M25">
        <f ca="1"/>
        <v>-0.150527821545694</v>
      </c>
      <c r="N25" s="4">
        <f ca="1"/>
        <v>0.23874235748773862</v>
      </c>
      <c r="O25">
        <f ca="1"/>
        <v>0</v>
      </c>
      <c r="P25">
        <f ca="1"/>
        <v>5.4823709598014201</v>
      </c>
      <c r="Q25">
        <f ca="1"/>
        <v>4.2759439240791011</v>
      </c>
      <c r="R25">
        <f ca="1"/>
        <v>0</v>
      </c>
      <c r="S25">
        <f ca="1"/>
        <v>0.84700180453274931</v>
      </c>
      <c r="T25">
        <f ca="1"/>
        <v>0</v>
      </c>
      <c r="U25">
        <f ca="1"/>
        <v>0</v>
      </c>
      <c r="V25">
        <f ca="1"/>
        <v>0.19677900520832337</v>
      </c>
      <c r="X25" s="2">
        <f t="shared" ca="1" si="1"/>
        <v>45248</v>
      </c>
      <c r="Y25">
        <f t="shared" ca="1" si="2"/>
        <v>0</v>
      </c>
      <c r="AA25" s="63">
        <f t="shared" ca="1" si="4"/>
        <v>47.267998641427177</v>
      </c>
      <c r="AB25" s="63">
        <f t="shared" ca="1" si="5"/>
        <v>47.267998641427177</v>
      </c>
      <c r="AC25" s="3">
        <f t="shared" ca="1" si="6"/>
        <v>0</v>
      </c>
    </row>
    <row r="26" spans="1:29">
      <c r="A26" s="9" t="s">
        <v>238</v>
      </c>
      <c r="B26" s="11">
        <f>CurrentYield</f>
        <v>0.9</v>
      </c>
      <c r="H26" t="b">
        <f t="shared" ca="1" si="3"/>
        <v>1</v>
      </c>
      <c r="I26" t="b">
        <f t="shared" ca="1" si="0"/>
        <v>1</v>
      </c>
      <c r="J26" s="2">
        <f ca="1"/>
        <v>45249</v>
      </c>
      <c r="K26">
        <f ca="1"/>
        <v>46.790754836161121</v>
      </c>
      <c r="L26">
        <f ca="1"/>
        <v>0.28897107274903</v>
      </c>
      <c r="M26">
        <f ca="1"/>
        <v>-0.14248329146012839</v>
      </c>
      <c r="N26" s="4">
        <f ca="1"/>
        <v>0.22996805408038179</v>
      </c>
      <c r="O26">
        <f ca="1"/>
        <v>0</v>
      </c>
      <c r="P26">
        <f ca="1"/>
        <v>5.7713420325504501</v>
      </c>
      <c r="Q26">
        <f ca="1"/>
        <v>4.5013252621563398</v>
      </c>
      <c r="R26">
        <f ca="1"/>
        <v>0</v>
      </c>
      <c r="S26">
        <f ca="1"/>
        <v>0.81999700662714436</v>
      </c>
      <c r="T26">
        <f ca="1"/>
        <v>0</v>
      </c>
      <c r="U26">
        <f ca="1"/>
        <v>0</v>
      </c>
      <c r="V26">
        <f ca="1"/>
        <v>0.21821230244629108</v>
      </c>
      <c r="X26" s="2">
        <f t="shared" ca="1" si="1"/>
        <v>45249</v>
      </c>
      <c r="Y26">
        <f t="shared" ca="1" si="2"/>
        <v>0</v>
      </c>
      <c r="AA26" s="63">
        <f t="shared" ca="1" si="4"/>
        <v>47.079725908910149</v>
      </c>
      <c r="AB26" s="63">
        <f t="shared" ca="1" si="5"/>
        <v>47.079725908910149</v>
      </c>
      <c r="AC26" s="3">
        <f t="shared" ca="1" si="6"/>
        <v>0</v>
      </c>
    </row>
    <row r="27" spans="1:29">
      <c r="A27" s="9" t="s">
        <v>232</v>
      </c>
      <c r="B27" s="13">
        <f>CurrentPopulation</f>
        <v>60000</v>
      </c>
      <c r="H27" t="b">
        <f t="shared" ca="1" si="3"/>
        <v>1</v>
      </c>
      <c r="I27" t="b">
        <f t="shared" ca="1" si="0"/>
        <v>1</v>
      </c>
      <c r="J27" s="2">
        <f ca="1"/>
        <v>45250</v>
      </c>
      <c r="K27">
        <f ca="1"/>
        <v>46.56853806074777</v>
      </c>
      <c r="L27">
        <f ca="1"/>
        <v>0.31762158210293645</v>
      </c>
      <c r="M27">
        <f ca="1"/>
        <v>-0.13896521282980334</v>
      </c>
      <c r="N27" s="4">
        <f ca="1"/>
        <v>0.23437001951939199</v>
      </c>
      <c r="O27">
        <f ca="1"/>
        <v>0</v>
      </c>
      <c r="P27">
        <f ca="1"/>
        <v>6.0889636146533865</v>
      </c>
      <c r="Q27">
        <f ca="1"/>
        <v>4.7490524014009692</v>
      </c>
      <c r="R27">
        <f ca="1"/>
        <v>0</v>
      </c>
      <c r="S27">
        <f ca="1"/>
        <v>0.80746401155883285</v>
      </c>
      <c r="T27">
        <f ca="1"/>
        <v>0</v>
      </c>
      <c r="U27">
        <f ca="1"/>
        <v>0</v>
      </c>
      <c r="V27">
        <f ca="1"/>
        <v>0.24229639852937807</v>
      </c>
      <c r="X27" s="2">
        <f t="shared" ca="1" si="1"/>
        <v>45250</v>
      </c>
      <c r="Y27">
        <f t="shared" ca="1" si="2"/>
        <v>0</v>
      </c>
      <c r="AA27" s="63">
        <f t="shared" ca="1" si="4"/>
        <v>46.886159642850707</v>
      </c>
      <c r="AB27" s="63">
        <f t="shared" ca="1" si="5"/>
        <v>46.886159642850707</v>
      </c>
      <c r="AC27" s="3">
        <f t="shared" ca="1" si="6"/>
        <v>0</v>
      </c>
    </row>
    <row r="28" spans="1:29">
      <c r="A28" s="9" t="s">
        <v>233</v>
      </c>
      <c r="B28" s="13" t="str">
        <f>CurrentUnits</f>
        <v>kg/head</v>
      </c>
      <c r="H28" t="b">
        <f t="shared" ca="1" si="3"/>
        <v>1</v>
      </c>
      <c r="I28" t="b">
        <f t="shared" ca="1" si="0"/>
        <v>1</v>
      </c>
      <c r="J28" s="2">
        <f ca="1"/>
        <v>45251</v>
      </c>
      <c r="K28">
        <f ca="1"/>
        <v>46.334271072062528</v>
      </c>
      <c r="L28">
        <f ca="1"/>
        <v>0.33694922665164118</v>
      </c>
      <c r="M28">
        <f ca="1"/>
        <v>-0.13208375740266121</v>
      </c>
      <c r="N28" s="4">
        <f ca="1"/>
        <v>0.2347659953690597</v>
      </c>
      <c r="O28">
        <f ca="1"/>
        <v>0</v>
      </c>
      <c r="P28">
        <f ca="1"/>
        <v>6.4259128413050277</v>
      </c>
      <c r="Q28">
        <f ca="1"/>
        <v>5.0118540266445892</v>
      </c>
      <c r="R28">
        <f ca="1"/>
        <v>0</v>
      </c>
      <c r="S28">
        <f ca="1"/>
        <v>0.8042844693570923</v>
      </c>
      <c r="T28">
        <f ca="1"/>
        <v>0</v>
      </c>
      <c r="U28">
        <f ca="1"/>
        <v>0</v>
      </c>
      <c r="V28">
        <f ca="1"/>
        <v>0.26825428555453751</v>
      </c>
      <c r="X28" s="2">
        <f t="shared" ca="1" si="1"/>
        <v>45251</v>
      </c>
      <c r="Y28">
        <f t="shared" ca="1" si="2"/>
        <v>0</v>
      </c>
      <c r="AA28" s="63">
        <f t="shared" ca="1" si="4"/>
        <v>46.671220298714168</v>
      </c>
      <c r="AB28" s="63">
        <f t="shared" ca="1" si="5"/>
        <v>46.671220298714168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45252</v>
      </c>
      <c r="K29">
        <f ca="1"/>
        <v>46.087702056492262</v>
      </c>
      <c r="L29">
        <f ca="1"/>
        <v>0.36338816133423535</v>
      </c>
      <c r="M29">
        <f ca="1"/>
        <v>-0.1267870134890936</v>
      </c>
      <c r="N29" s="4">
        <f ca="1"/>
        <v>0.24360615925306048</v>
      </c>
      <c r="O29">
        <f ca="1"/>
        <v>0</v>
      </c>
      <c r="P29">
        <f ca="1"/>
        <v>6.7893010026392631</v>
      </c>
      <c r="Q29">
        <f ca="1"/>
        <v>5.2952765480194808</v>
      </c>
      <c r="R29">
        <f ca="1"/>
        <v>0</v>
      </c>
      <c r="S29">
        <f ca="1"/>
        <v>0.81806394373811564</v>
      </c>
      <c r="T29">
        <f ca="1"/>
        <v>0</v>
      </c>
      <c r="U29">
        <f ca="1"/>
        <v>0</v>
      </c>
      <c r="V29">
        <f ca="1"/>
        <v>0.29648954817774226</v>
      </c>
      <c r="X29" s="2">
        <f t="shared" ca="1" si="1"/>
        <v>45252</v>
      </c>
      <c r="Y29">
        <f t="shared" ca="1" si="2"/>
        <v>0</v>
      </c>
      <c r="AA29" s="63">
        <f t="shared" ca="1" si="4"/>
        <v>46.451090217826497</v>
      </c>
      <c r="AB29" s="63">
        <f t="shared" ca="1" si="5"/>
        <v>46.451090217826497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45253</v>
      </c>
      <c r="K30">
        <f ca="1"/>
        <v>45.820333173262981</v>
      </c>
      <c r="L30">
        <f ca="1"/>
        <v>0.39208803011345328</v>
      </c>
      <c r="M30">
        <f ca="1"/>
        <v>-0.12150537450110388</v>
      </c>
      <c r="N30" s="4">
        <f ca="1"/>
        <v>0.24622452138528161</v>
      </c>
      <c r="O30">
        <f ca="1"/>
        <v>0</v>
      </c>
      <c r="P30">
        <f ca="1"/>
        <v>7.1813890327527163</v>
      </c>
      <c r="Q30">
        <f ca="1"/>
        <v>5.6010833681636774</v>
      </c>
      <c r="R30">
        <f ca="1"/>
        <v>0</v>
      </c>
      <c r="S30">
        <f ca="1"/>
        <v>0.81173740998827526</v>
      </c>
      <c r="T30">
        <f ca="1"/>
        <v>0</v>
      </c>
      <c r="U30">
        <f ca="1"/>
        <v>0</v>
      </c>
      <c r="V30">
        <f ca="1"/>
        <v>0.32696723481312573</v>
      </c>
      <c r="X30" s="2">
        <f t="shared" ca="1" si="1"/>
        <v>45253</v>
      </c>
      <c r="Y30">
        <f t="shared" ca="1" si="2"/>
        <v>0</v>
      </c>
      <c r="AA30" s="63">
        <f t="shared" ca="1" si="4"/>
        <v>46.212421203376437</v>
      </c>
      <c r="AB30" s="63">
        <f t="shared" ca="1" si="5"/>
        <v>46.212421203376437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96</v>
      </c>
      <c r="H31" t="b">
        <f t="shared" ca="1" si="3"/>
        <v>1</v>
      </c>
      <c r="I31" t="b">
        <f t="shared" ca="1" si="0"/>
        <v>1</v>
      </c>
      <c r="J31" s="2">
        <f ca="1"/>
        <v>45254</v>
      </c>
      <c r="K31">
        <f ca="1"/>
        <v>45.538637057683509</v>
      </c>
      <c r="L31">
        <f ca="1"/>
        <v>0.40766051557920591</v>
      </c>
      <c r="M31">
        <f ca="1"/>
        <v>-0.11331144155690964</v>
      </c>
      <c r="N31" s="4">
        <f ca="1"/>
        <v>0.23927584155664539</v>
      </c>
      <c r="O31">
        <f ca="1"/>
        <v>0</v>
      </c>
      <c r="P31">
        <f ca="1"/>
        <v>7.5890495483319222</v>
      </c>
      <c r="Q31">
        <f ca="1"/>
        <v>5.9190358594232251</v>
      </c>
      <c r="R31">
        <f ca="1"/>
        <v>0</v>
      </c>
      <c r="S31">
        <f ca="1"/>
        <v>0.79920663833973571</v>
      </c>
      <c r="T31">
        <f ca="1"/>
        <v>0</v>
      </c>
      <c r="U31">
        <f ca="1"/>
        <v>0</v>
      </c>
      <c r="V31">
        <f ca="1"/>
        <v>0.35838685576611323</v>
      </c>
      <c r="X31" s="2">
        <f t="shared" ca="1" si="1"/>
        <v>45254</v>
      </c>
      <c r="Y31">
        <f t="shared" ca="1" si="2"/>
        <v>0</v>
      </c>
      <c r="AA31" s="63">
        <f t="shared" ca="1" si="4"/>
        <v>45.946297573262719</v>
      </c>
      <c r="AB31" s="63">
        <f t="shared" ca="1" si="5"/>
        <v>45.946297573262711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45231</v>
      </c>
      <c r="H32" t="b">
        <f t="shared" ca="1" si="3"/>
        <v>1</v>
      </c>
      <c r="I32" t="b">
        <f t="shared" ca="1" si="0"/>
        <v>1</v>
      </c>
      <c r="J32" s="2">
        <f ca="1"/>
        <v>45255</v>
      </c>
      <c r="K32">
        <f ca="1"/>
        <v>45.218408636439868</v>
      </c>
      <c r="L32">
        <f ca="1"/>
        <v>0.45664494980756754</v>
      </c>
      <c r="M32">
        <f ca="1"/>
        <v>-0.11126187437149238</v>
      </c>
      <c r="N32" s="4">
        <f ca="1"/>
        <v>0.2476784029354181</v>
      </c>
      <c r="O32">
        <f ca="1"/>
        <v>0</v>
      </c>
      <c r="P32">
        <f ca="1"/>
        <v>8.0456944981394898</v>
      </c>
      <c r="Q32">
        <f ca="1"/>
        <v>6.2751934804430558</v>
      </c>
      <c r="R32">
        <f ca="1"/>
        <v>0</v>
      </c>
      <c r="S32">
        <f ca="1"/>
        <v>0.78694883252851322</v>
      </c>
      <c r="T32">
        <f ca="1"/>
        <v>0</v>
      </c>
      <c r="U32">
        <f ca="1"/>
        <v>0</v>
      </c>
      <c r="V32">
        <f ca="1"/>
        <v>0.39293752084751288</v>
      </c>
      <c r="X32" s="2">
        <f t="shared" ca="1" si="1"/>
        <v>45255</v>
      </c>
      <c r="Y32">
        <f t="shared" ca="1" si="2"/>
        <v>0</v>
      </c>
      <c r="AA32" s="63">
        <f t="shared" ca="1" si="4"/>
        <v>45.675053586247436</v>
      </c>
      <c r="AB32" s="63">
        <f t="shared" ca="1" si="5"/>
        <v>45.675053586247436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Seedling</v>
      </c>
      <c r="H33" t="b">
        <f t="shared" ca="1" si="3"/>
        <v>1</v>
      </c>
      <c r="I33" t="b">
        <f t="shared" ca="1" si="0"/>
        <v>1</v>
      </c>
      <c r="J33" s="2">
        <f ca="1"/>
        <v>45256</v>
      </c>
      <c r="K33">
        <f ca="1"/>
        <v>44.870762951486874</v>
      </c>
      <c r="L33">
        <f ca="1"/>
        <v>0.48515609673292381</v>
      </c>
      <c r="M33">
        <f ca="1"/>
        <v>-0.10476972537928653</v>
      </c>
      <c r="N33" s="4">
        <f ca="1"/>
        <v>0.24228013715921076</v>
      </c>
      <c r="O33">
        <f ca="1"/>
        <v>0</v>
      </c>
      <c r="P33">
        <f ca="1"/>
        <v>8.5308505948724136</v>
      </c>
      <c r="Q33">
        <f ca="1"/>
        <v>6.6535882076999329</v>
      </c>
      <c r="R33">
        <f ca="1"/>
        <v>0</v>
      </c>
      <c r="S33">
        <f ca="1"/>
        <v>0.76705054106160953</v>
      </c>
      <c r="T33">
        <f ca="1"/>
        <v>0</v>
      </c>
      <c r="U33">
        <f ca="1"/>
        <v>0</v>
      </c>
      <c r="V33">
        <f ca="1"/>
        <v>0.42857236712310354</v>
      </c>
      <c r="X33" s="2">
        <f t="shared" ca="1" si="1"/>
        <v>45256</v>
      </c>
      <c r="Y33">
        <f t="shared" ca="1" si="2"/>
        <v>0</v>
      </c>
      <c r="AA33" s="63">
        <f t="shared" ca="1" si="4"/>
        <v>45.355919048219796</v>
      </c>
      <c r="AB33" s="63">
        <f t="shared" ca="1" si="5"/>
        <v>45.355919048219796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45301</v>
      </c>
      <c r="H34" t="b">
        <f t="shared" ca="1" si="3"/>
        <v>1</v>
      </c>
      <c r="I34" t="b">
        <f t="shared" ca="1" si="0"/>
        <v>1</v>
      </c>
      <c r="J34" s="2">
        <f ca="1"/>
        <v>45257</v>
      </c>
      <c r="K34">
        <f ca="1"/>
        <v>44.514325271566634</v>
      </c>
      <c r="L34">
        <f ca="1"/>
        <v>0.49555336442940146</v>
      </c>
      <c r="M34">
        <f ca="1"/>
        <v>-9.5861717700972626E-2</v>
      </c>
      <c r="N34" s="4">
        <f ca="1"/>
        <v>0.23497740221013019</v>
      </c>
      <c r="O34">
        <f ca="1"/>
        <v>0</v>
      </c>
      <c r="P34">
        <f ca="1"/>
        <v>9.026403959301815</v>
      </c>
      <c r="Q34">
        <f ca="1"/>
        <v>7.0400922245250923</v>
      </c>
      <c r="R34">
        <f ca="1"/>
        <v>0</v>
      </c>
      <c r="S34">
        <f ca="1"/>
        <v>0.76594994946118722</v>
      </c>
      <c r="T34">
        <f ca="1"/>
        <v>0</v>
      </c>
      <c r="U34">
        <f ca="1"/>
        <v>0</v>
      </c>
      <c r="V34">
        <f ca="1"/>
        <v>0.46354172970832391</v>
      </c>
      <c r="X34" s="2">
        <f t="shared" ca="1" si="1"/>
        <v>45257</v>
      </c>
      <c r="Y34">
        <f t="shared" ca="1" si="2"/>
        <v>0</v>
      </c>
      <c r="AA34" s="63">
        <f t="shared" ca="1" si="4"/>
        <v>45.009878635996031</v>
      </c>
      <c r="AB34" s="63">
        <f t="shared" ca="1" si="5"/>
        <v>45.009878635996031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Vegetative</v>
      </c>
      <c r="H35" t="b">
        <f t="shared" ca="1" si="3"/>
        <v>1</v>
      </c>
      <c r="I35" t="b">
        <f t="shared" ca="1" si="0"/>
        <v>1</v>
      </c>
      <c r="J35" s="2">
        <f ca="1"/>
        <v>45258</v>
      </c>
      <c r="K35">
        <f ca="1"/>
        <v>44.145416687661786</v>
      </c>
      <c r="L35">
        <f ca="1"/>
        <v>0.51877416951913702</v>
      </c>
      <c r="M35">
        <f ca="1"/>
        <v>-8.9425693268232465E-2</v>
      </c>
      <c r="N35" s="4">
        <f ca="1"/>
        <v>0.23929127888252433</v>
      </c>
      <c r="O35">
        <f ca="1"/>
        <v>0</v>
      </c>
      <c r="P35">
        <f ca="1"/>
        <v>9.5451781288209521</v>
      </c>
      <c r="Q35">
        <f ca="1"/>
        <v>7.4447071756820797</v>
      </c>
      <c r="R35">
        <f ca="1"/>
        <v>0</v>
      </c>
      <c r="S35">
        <f ca="1"/>
        <v>0.7848131501641693</v>
      </c>
      <c r="T35">
        <f ca="1"/>
        <v>0</v>
      </c>
      <c r="U35">
        <f ca="1"/>
        <v>0</v>
      </c>
      <c r="V35">
        <f ca="1"/>
        <v>0.49836942547914392</v>
      </c>
      <c r="X35" s="2">
        <f t="shared" ca="1" si="1"/>
        <v>45258</v>
      </c>
      <c r="Y35">
        <f t="shared" ca="1" si="2"/>
        <v>0</v>
      </c>
      <c r="AA35" s="63">
        <f t="shared" ca="1" si="4"/>
        <v>44.664190857180927</v>
      </c>
      <c r="AB35" s="63">
        <f t="shared" ca="1" si="5"/>
        <v>44.664190857180927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45259</v>
      </c>
      <c r="K36">
        <f ca="1"/>
        <v>43.745340247679756</v>
      </c>
      <c r="L36">
        <f ca="1"/>
        <v>0.55287950978931732</v>
      </c>
      <c r="M36">
        <f ca="1"/>
        <v>-8.4430000525666848E-2</v>
      </c>
      <c r="N36" s="4">
        <f ca="1"/>
        <v>0.23723307033295185</v>
      </c>
      <c r="O36">
        <f ca="1"/>
        <v>0</v>
      </c>
      <c r="P36">
        <f ca="1"/>
        <v>10.098057638610269</v>
      </c>
      <c r="Q36">
        <f ca="1"/>
        <v>7.8759223922308497</v>
      </c>
      <c r="R36">
        <f ca="1"/>
        <v>0</v>
      </c>
      <c r="S36">
        <f ca="1"/>
        <v>0.77136868002345471</v>
      </c>
      <c r="T36">
        <f ca="1"/>
        <v>0</v>
      </c>
      <c r="U36">
        <f ca="1"/>
        <v>0</v>
      </c>
      <c r="V36">
        <f ca="1"/>
        <v>0.53330873244187915</v>
      </c>
      <c r="X36" s="2">
        <f t="shared" ca="1" si="1"/>
        <v>45259</v>
      </c>
      <c r="Y36">
        <f t="shared" ca="1" si="2"/>
        <v>0</v>
      </c>
      <c r="AA36" s="63">
        <f t="shared" ca="1" si="4"/>
        <v>44.298219757469077</v>
      </c>
      <c r="AB36" s="63">
        <f t="shared" ca="1" si="5"/>
        <v>44.29821975746907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45260</v>
      </c>
      <c r="K37">
        <f ca="1"/>
        <v>43.305307185898009</v>
      </c>
      <c r="L37">
        <f ca="1"/>
        <v>0.59894605518502431</v>
      </c>
      <c r="M37">
        <f ca="1"/>
        <v>-8.0490242450366623E-2</v>
      </c>
      <c r="N37">
        <f ca="1"/>
        <v>0.2394032358536447</v>
      </c>
      <c r="O37">
        <f ca="1"/>
        <v>0</v>
      </c>
      <c r="P37">
        <f ca="1"/>
        <v>10.697003693795294</v>
      </c>
      <c r="Q37">
        <f ca="1"/>
        <v>8.3430669478069142</v>
      </c>
      <c r="R37">
        <f ca="1"/>
        <v>0</v>
      </c>
      <c r="S37">
        <f ca="1"/>
        <v>0.76102397216011697</v>
      </c>
      <c r="T37">
        <f ca="1"/>
        <v>0</v>
      </c>
      <c r="U37">
        <f ca="1"/>
        <v>0</v>
      </c>
      <c r="V37">
        <f ca="1"/>
        <v>0.56851771692445874</v>
      </c>
      <c r="X37" s="2">
        <f t="shared" ca="1" si="1"/>
        <v>45260</v>
      </c>
      <c r="Y37">
        <f t="shared" ca="1" si="2"/>
        <v>0</v>
      </c>
      <c r="AA37" s="63">
        <f t="shared" ca="1" si="4"/>
        <v>43.904253241083033</v>
      </c>
      <c r="AB37" s="63">
        <f t="shared" ca="1" si="5"/>
        <v>43.904253241083033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45261</v>
      </c>
      <c r="K38">
        <f ca="1"/>
        <v>42.816832571191959</v>
      </c>
      <c r="L38">
        <f ca="1"/>
        <v>0.64728294175429113</v>
      </c>
      <c r="M38">
        <f ca="1"/>
        <v>-7.6377278299072593E-2</v>
      </c>
      <c r="N38">
        <f ca="1"/>
        <v>0.23518560534731078</v>
      </c>
      <c r="O38">
        <f ca="1"/>
        <v>0</v>
      </c>
      <c r="P38">
        <f ca="1"/>
        <v>11.344286635549585</v>
      </c>
      <c r="Q38">
        <f ca="1"/>
        <v>8.8479115820442438</v>
      </c>
      <c r="R38">
        <f ca="1"/>
        <v>0</v>
      </c>
      <c r="S38">
        <f ca="1"/>
        <v>0.73229351059424852</v>
      </c>
      <c r="T38">
        <f ca="1"/>
        <v>0</v>
      </c>
      <c r="U38">
        <f ca="1"/>
        <v>0</v>
      </c>
      <c r="V38">
        <f ca="1"/>
        <v>0.60346295227691105</v>
      </c>
      <c r="X38" s="2">
        <f t="shared" ca="1" si="1"/>
        <v>45261</v>
      </c>
      <c r="Y38">
        <f t="shared" ca="1" si="2"/>
        <v>0</v>
      </c>
      <c r="AA38" s="63">
        <f t="shared" ca="1" si="4"/>
        <v>43.46411551294625</v>
      </c>
      <c r="AB38" s="63">
        <f t="shared" ca="1" si="5"/>
        <v>43.46411551294625</v>
      </c>
      <c r="AC38" s="3">
        <f t="shared" ca="1" si="6"/>
        <v>0</v>
      </c>
    </row>
    <row r="39" spans="1:29">
      <c r="A39" s="6" t="s">
        <v>239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45262</v>
      </c>
      <c r="K39">
        <f ca="1"/>
        <v>42.286486722021735</v>
      </c>
      <c r="L39">
        <f ca="1"/>
        <v>0.7099091474667496</v>
      </c>
      <c r="M39">
        <f ca="1"/>
        <v>-7.3053702085661421E-2</v>
      </c>
      <c r="N39">
        <f ca="1"/>
        <v>0.25261700038218199</v>
      </c>
      <c r="O39">
        <f ca="1"/>
        <v>0</v>
      </c>
      <c r="P39">
        <f ca="1"/>
        <v>12.054195783016334</v>
      </c>
      <c r="Q39">
        <f ca="1"/>
        <v>9.4016011678121814</v>
      </c>
      <c r="R39">
        <f ca="1"/>
        <v>0</v>
      </c>
      <c r="S39">
        <f ca="1"/>
        <v>0.76182407786903128</v>
      </c>
      <c r="T39">
        <f ca="1"/>
        <v>0</v>
      </c>
      <c r="U39">
        <f ca="1"/>
        <v>0</v>
      </c>
      <c r="V39">
        <f ca="1"/>
        <v>0.63817789412554093</v>
      </c>
      <c r="X39" s="2">
        <f t="shared" ca="1" si="1"/>
        <v>45262</v>
      </c>
      <c r="Y39">
        <f t="shared" ca="1" si="2"/>
        <v>0</v>
      </c>
      <c r="AA39" s="63">
        <f t="shared" ca="1" si="4"/>
        <v>42.996395869488481</v>
      </c>
      <c r="AB39" s="63">
        <f t="shared" ca="1" si="5"/>
        <v>42.996395869488481</v>
      </c>
      <c r="AC39" s="3">
        <f t="shared" ca="1" si="6"/>
        <v>0</v>
      </c>
    </row>
    <row r="40" spans="1:29">
      <c r="A40" s="6" t="s">
        <v>234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45263</v>
      </c>
      <c r="K40">
        <f ca="1"/>
        <v>41.69569302979059</v>
      </c>
      <c r="L40">
        <f ca="1"/>
        <v>0.77072944531627741</v>
      </c>
      <c r="M40">
        <f ca="1"/>
        <v>-6.905261367664739E-2</v>
      </c>
      <c r="N40">
        <f ca="1"/>
        <v>0.24898836676177899</v>
      </c>
      <c r="O40">
        <f ca="1"/>
        <v>0</v>
      </c>
      <c r="P40">
        <f ca="1"/>
        <v>12.824925228332612</v>
      </c>
      <c r="Q40">
        <f ca="1"/>
        <v>10.002727197585322</v>
      </c>
      <c r="R40">
        <f ca="1"/>
        <v>0</v>
      </c>
      <c r="S40">
        <f ca="1"/>
        <v>0.73354034416045244</v>
      </c>
      <c r="T40">
        <f ca="1"/>
        <v>0</v>
      </c>
      <c r="U40">
        <f ca="1"/>
        <v>0</v>
      </c>
      <c r="V40">
        <f ca="1"/>
        <v>0.67182538064007458</v>
      </c>
      <c r="X40" s="2">
        <f t="shared" ca="1" si="1"/>
        <v>45263</v>
      </c>
      <c r="Y40">
        <f t="shared" ca="1" si="2"/>
        <v>0</v>
      </c>
      <c r="AA40" s="63">
        <f t="shared" ca="1" si="4"/>
        <v>42.466422475106867</v>
      </c>
      <c r="AB40" s="63">
        <f t="shared" ca="1" si="5"/>
        <v>42.466422475106867</v>
      </c>
      <c r="AC40" s="3">
        <f t="shared" ca="1" si="6"/>
        <v>0</v>
      </c>
    </row>
    <row r="41" spans="1:29">
      <c r="A41" s="6" t="s">
        <v>235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45264</v>
      </c>
      <c r="K41">
        <f ca="1"/>
        <v>41.075577928694635</v>
      </c>
      <c r="L41">
        <f ca="1"/>
        <v>0.81987644416079064</v>
      </c>
      <c r="M41">
        <f ca="1"/>
        <v>-6.4010771562630353E-2</v>
      </c>
      <c r="N41">
        <f ca="1"/>
        <v>0.26377211462746392</v>
      </c>
      <c r="O41">
        <f ca="1"/>
        <v>0</v>
      </c>
      <c r="P41">
        <f ca="1"/>
        <v>13.644801672493402</v>
      </c>
      <c r="Q41">
        <f ca="1"/>
        <v>10.64218514846282</v>
      </c>
      <c r="R41">
        <f ca="1"/>
        <v>0</v>
      </c>
      <c r="S41">
        <f ca="1"/>
        <v>0.7744026287875615</v>
      </c>
      <c r="T41">
        <f ca="1"/>
        <v>0</v>
      </c>
      <c r="U41">
        <f ca="1"/>
        <v>0</v>
      </c>
      <c r="V41">
        <f ca="1"/>
        <v>0.70337429279962482</v>
      </c>
      <c r="X41" s="2">
        <f t="shared" ca="1" si="1"/>
        <v>45264</v>
      </c>
      <c r="Y41">
        <f t="shared" ca="1" si="2"/>
        <v>0</v>
      </c>
      <c r="AA41" s="63">
        <f t="shared" ca="1" si="4"/>
        <v>41.895454372855426</v>
      </c>
      <c r="AB41" s="63">
        <f t="shared" ca="1" si="5"/>
        <v>41.895454372855426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45265</v>
      </c>
      <c r="K42">
        <f ca="1"/>
        <v>40.429700353852496</v>
      </c>
      <c r="L42">
        <f ca="1"/>
        <v>0.85450709401734137</v>
      </c>
      <c r="M42">
        <f ca="1"/>
        <v>-5.8294148202406859E-2</v>
      </c>
      <c r="N42">
        <f ca="1"/>
        <v>0.26692366737761358</v>
      </c>
      <c r="O42">
        <f ca="1"/>
        <v>0</v>
      </c>
      <c r="P42">
        <f ca="1"/>
        <v>14.499308766510744</v>
      </c>
      <c r="Q42">
        <f ca="1"/>
        <v>11.308653076944312</v>
      </c>
      <c r="R42">
        <f ca="1"/>
        <v>0</v>
      </c>
      <c r="S42">
        <f ca="1"/>
        <v>0.79426459156573692</v>
      </c>
      <c r="T42">
        <f ca="1"/>
        <v>0</v>
      </c>
      <c r="U42">
        <f ca="1"/>
        <v>0</v>
      </c>
      <c r="V42">
        <f ca="1"/>
        <v>0.7320789310941499</v>
      </c>
      <c r="X42" s="2">
        <f t="shared" ca="1" si="1"/>
        <v>45265</v>
      </c>
      <c r="Y42">
        <f t="shared" ca="1" si="2"/>
        <v>0</v>
      </c>
      <c r="AA42" s="63">
        <f t="shared" ca="1" si="4"/>
        <v>41.284207447869839</v>
      </c>
      <c r="AB42" s="63">
        <f t="shared" ca="1" si="5"/>
        <v>41.284207447869839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45266</v>
      </c>
      <c r="K43">
        <f ca="1"/>
        <v>39.737375431044157</v>
      </c>
      <c r="L43">
        <f ca="1"/>
        <v>0.9058385053800837</v>
      </c>
      <c r="M43">
        <f ca="1"/>
        <v>-5.3763661263112716E-2</v>
      </c>
      <c r="N43">
        <f ca="1"/>
        <v>0.26727724383485307</v>
      </c>
      <c r="O43">
        <f ca="1"/>
        <v>0</v>
      </c>
      <c r="P43">
        <f ca="1"/>
        <v>15.405147271890828</v>
      </c>
      <c r="Q43">
        <f ca="1"/>
        <v>12.015156646600087</v>
      </c>
      <c r="R43">
        <f ca="1"/>
        <v>0</v>
      </c>
      <c r="S43">
        <f ca="1"/>
        <v>0.79347389918945754</v>
      </c>
      <c r="T43">
        <f ca="1"/>
        <v>0</v>
      </c>
      <c r="U43">
        <f ca="1"/>
        <v>0</v>
      </c>
      <c r="V43">
        <f ca="1"/>
        <v>0.7584174420885631</v>
      </c>
      <c r="X43" s="2">
        <f t="shared" ca="1" si="1"/>
        <v>45266</v>
      </c>
      <c r="Y43">
        <f t="shared" ca="1" si="2"/>
        <v>0</v>
      </c>
      <c r="AA43" s="63">
        <f t="shared" ca="1" si="4"/>
        <v>40.643213936424239</v>
      </c>
      <c r="AB43" s="63">
        <f t="shared" ca="1" si="5"/>
        <v>40.643213936424239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45267</v>
      </c>
      <c r="K44">
        <f ca="1"/>
        <v>39.033441245930206</v>
      </c>
      <c r="L44">
        <f ca="1"/>
        <v>0.91352447916900381</v>
      </c>
      <c r="M44">
        <f ca="1"/>
        <v>-4.767570157398282E-2</v>
      </c>
      <c r="N44">
        <f ca="1"/>
        <v>0.25726599562904418</v>
      </c>
      <c r="O44">
        <f ca="1"/>
        <v>0</v>
      </c>
      <c r="P44">
        <f ca="1"/>
        <v>16.318671751059831</v>
      </c>
      <c r="Q44">
        <f ca="1"/>
        <v>12.727654847623265</v>
      </c>
      <c r="R44">
        <f ca="1"/>
        <v>0</v>
      </c>
      <c r="S44">
        <f ca="1"/>
        <v>0.79575688637704445</v>
      </c>
      <c r="T44">
        <f ca="1"/>
        <v>0</v>
      </c>
      <c r="U44">
        <f ca="1"/>
        <v>0</v>
      </c>
      <c r="V44">
        <f ca="1"/>
        <v>0.78129016904928206</v>
      </c>
      <c r="X44" s="2">
        <f t="shared" ca="1" si="1"/>
        <v>45267</v>
      </c>
      <c r="Y44">
        <f t="shared" ca="1" si="2"/>
        <v>0</v>
      </c>
      <c r="AA44" s="63">
        <f t="shared" ca="1" si="4"/>
        <v>39.946965725099219</v>
      </c>
      <c r="AB44" s="63">
        <f t="shared" ca="1" si="5"/>
        <v>39.946965725099211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45316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45268</v>
      </c>
      <c r="K45">
        <f ca="1"/>
        <v>38.28064040940852</v>
      </c>
      <c r="L45">
        <f ca="1"/>
        <v>0.95802644751721999</v>
      </c>
      <c r="M45">
        <f ca="1"/>
        <v>-4.3632349928370395E-2</v>
      </c>
      <c r="N45">
        <f ca="1"/>
        <v>0.2488579609239065</v>
      </c>
      <c r="O45">
        <f ca="1"/>
        <v>0</v>
      </c>
      <c r="P45">
        <f ca="1"/>
        <v>17.276698198577051</v>
      </c>
      <c r="Q45">
        <f ca="1"/>
        <v>13.474862104739762</v>
      </c>
      <c r="R45">
        <f ca="1"/>
        <v>0</v>
      </c>
      <c r="S45">
        <f ca="1"/>
        <v>0.77340375499311298</v>
      </c>
      <c r="T45">
        <f ca="1"/>
        <v>0</v>
      </c>
      <c r="U45">
        <f ca="1"/>
        <v>0</v>
      </c>
      <c r="V45">
        <f ca="1"/>
        <v>0.80187732844798809</v>
      </c>
      <c r="X45" s="2">
        <f t="shared" ca="1" si="1"/>
        <v>45268</v>
      </c>
      <c r="Y45">
        <f t="shared" ca="1" si="2"/>
        <v>0</v>
      </c>
      <c r="AA45" s="63">
        <f t="shared" ca="1" si="4"/>
        <v>39.23866685692574</v>
      </c>
      <c r="AB45" s="63">
        <f t="shared" ca="1" si="5"/>
        <v>39.23866685692574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45269</v>
      </c>
      <c r="K46">
        <f ca="1"/>
        <v>37.433293332922801</v>
      </c>
      <c r="L46">
        <f ca="1"/>
        <v>1.0513487831969535</v>
      </c>
      <c r="M46">
        <f ca="1"/>
        <v>-4.1192845610762419E-2</v>
      </c>
      <c r="N46">
        <f ca="1"/>
        <v>0.2451945523219958</v>
      </c>
      <c r="O46">
        <f ca="1"/>
        <v>0</v>
      </c>
      <c r="P46">
        <f ca="1"/>
        <v>18.328046981774005</v>
      </c>
      <c r="Q46">
        <f ca="1"/>
        <v>14.294855584670531</v>
      </c>
      <c r="R46">
        <f ca="1"/>
        <v>0</v>
      </c>
      <c r="S46">
        <f ca="1"/>
        <v>0.73439676289674338</v>
      </c>
      <c r="T46">
        <f ca="1"/>
        <v>0</v>
      </c>
      <c r="U46">
        <f ca="1"/>
        <v>0</v>
      </c>
      <c r="V46">
        <f ca="1"/>
        <v>0.82109114702923114</v>
      </c>
      <c r="X46" s="2">
        <f t="shared" ca="1" si="1"/>
        <v>45269</v>
      </c>
      <c r="Y46">
        <f t="shared" ca="1" si="2"/>
        <v>0</v>
      </c>
      <c r="AA46" s="63">
        <f t="shared" ca="1" si="4"/>
        <v>38.484642116119751</v>
      </c>
      <c r="AB46" s="63">
        <f t="shared" ca="1" si="5"/>
        <v>38.484642116119758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45436</v>
      </c>
      <c r="H47" t="b">
        <f t="shared" ca="1" si="3"/>
        <v>1</v>
      </c>
      <c r="I47" t="b">
        <f t="shared" ca="1" si="0"/>
        <v>1</v>
      </c>
      <c r="J47" s="2">
        <f ca="1"/>
        <v>45270</v>
      </c>
      <c r="K47">
        <f ca="1"/>
        <v>36.535677095064287</v>
      </c>
      <c r="L47">
        <f ca="1"/>
        <v>1.0994386180462961</v>
      </c>
      <c r="M47">
        <f ca="1"/>
        <v>-3.7260454231782703E-2</v>
      </c>
      <c r="N47">
        <f ca="1"/>
        <v>0.23908283441955983</v>
      </c>
      <c r="O47">
        <f ca="1"/>
        <v>0</v>
      </c>
      <c r="P47">
        <f ca="1"/>
        <v>19.427485599820301</v>
      </c>
      <c r="Q47">
        <f ca="1"/>
        <v>15.152356456684357</v>
      </c>
      <c r="R47">
        <f ca="1"/>
        <v>0</v>
      </c>
      <c r="S47">
        <f ca="1"/>
        <v>0.7206728876886821</v>
      </c>
      <c r="T47">
        <f ca="1"/>
        <v>0</v>
      </c>
      <c r="U47">
        <f ca="1"/>
        <v>0</v>
      </c>
      <c r="V47">
        <f ca="1"/>
        <v>0.83803537030694863</v>
      </c>
      <c r="X47" s="2">
        <f t="shared" ca="1" si="1"/>
        <v>45270</v>
      </c>
      <c r="Y47">
        <f t="shared" ca="1" si="2"/>
        <v>0</v>
      </c>
      <c r="AA47" s="63">
        <f t="shared" ca="1" si="4"/>
        <v>37.635115713110579</v>
      </c>
      <c r="AB47" s="63">
        <f t="shared" ca="1" si="5"/>
        <v>37.635115713110579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45271</v>
      </c>
      <c r="K48">
        <f ca="1"/>
        <v>35.522602151994832</v>
      </c>
      <c r="L48">
        <f ca="1"/>
        <v>1.2135798995514762</v>
      </c>
      <c r="M48">
        <f ca="1"/>
        <v>-3.5011731254531497E-2</v>
      </c>
      <c r="N48">
        <f ca="1"/>
        <v>0.23551668773655449</v>
      </c>
      <c r="O48">
        <f ca="1"/>
        <v>0</v>
      </c>
      <c r="P48">
        <f ca="1"/>
        <v>20.641065499371777</v>
      </c>
      <c r="Q48">
        <f ca="1"/>
        <v>16.098881169426452</v>
      </c>
      <c r="R48">
        <f ca="1"/>
        <v>0</v>
      </c>
      <c r="S48">
        <f ca="1"/>
        <v>0.67748533839198988</v>
      </c>
      <c r="T48">
        <f ca="1"/>
        <v>0</v>
      </c>
      <c r="U48">
        <f ca="1"/>
        <v>0</v>
      </c>
      <c r="V48">
        <f ca="1"/>
        <v>0.85367439042307525</v>
      </c>
      <c r="X48" s="2">
        <f t="shared" ca="1" si="1"/>
        <v>45271</v>
      </c>
      <c r="Y48">
        <f t="shared" ca="1" si="2"/>
        <v>0</v>
      </c>
      <c r="AA48" s="63">
        <f t="shared" ca="1" si="4"/>
        <v>36.736182051546315</v>
      </c>
      <c r="AB48" s="63">
        <f t="shared" ca="1" si="5"/>
        <v>36.736182051546308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45272</v>
      </c>
      <c r="K49">
        <f ca="1"/>
        <v>34.395264021129108</v>
      </c>
      <c r="L49">
        <f ca="1"/>
        <v>1.330191250099368</v>
      </c>
      <c r="M49">
        <f ca="1"/>
        <v>-3.2439335148209736E-2</v>
      </c>
      <c r="N49">
        <f ca="1"/>
        <v>0.23529245438185933</v>
      </c>
      <c r="O49">
        <f ca="1"/>
        <v>0</v>
      </c>
      <c r="P49">
        <f ca="1"/>
        <v>21.971256749471145</v>
      </c>
      <c r="Q49">
        <f ca="1"/>
        <v>17.136356239141836</v>
      </c>
      <c r="R49">
        <f ca="1"/>
        <v>0</v>
      </c>
      <c r="S49">
        <f ca="1"/>
        <v>0.65014922972848499</v>
      </c>
      <c r="T49">
        <f ca="1"/>
        <v>0</v>
      </c>
      <c r="U49">
        <f ca="1"/>
        <v>0</v>
      </c>
      <c r="V49">
        <f ca="1"/>
        <v>0.86783101960612674</v>
      </c>
      <c r="X49" s="2">
        <f t="shared" ca="1" si="1"/>
        <v>45272</v>
      </c>
      <c r="Y49">
        <f t="shared" ca="1" si="2"/>
        <v>0</v>
      </c>
      <c r="AA49" s="63">
        <f t="shared" ca="1" si="4"/>
        <v>35.725455271228476</v>
      </c>
      <c r="AB49" s="63">
        <f t="shared" ca="1" si="5"/>
        <v>35.725455271228476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45273</v>
      </c>
      <c r="K50">
        <f ca="1"/>
        <v>33.209854043220645</v>
      </c>
      <c r="L50">
        <f ca="1"/>
        <v>1.3777779229582485</v>
      </c>
      <c r="M50">
        <f ca="1"/>
        <v>-2.8456172293120474E-2</v>
      </c>
      <c r="N50">
        <f ca="1"/>
        <v>0.22082411734291046</v>
      </c>
      <c r="O50">
        <f ca="1"/>
        <v>0</v>
      </c>
      <c r="P50">
        <f ca="1"/>
        <v>23.349034672429394</v>
      </c>
      <c r="Q50">
        <f ca="1"/>
        <v>18.210946262619021</v>
      </c>
      <c r="R50">
        <f ca="1"/>
        <v>0</v>
      </c>
      <c r="S50">
        <f ca="1"/>
        <v>0.6158171705824862</v>
      </c>
      <c r="T50">
        <f ca="1"/>
        <v>0</v>
      </c>
      <c r="U50">
        <f ca="1"/>
        <v>0</v>
      </c>
      <c r="V50">
        <f ca="1"/>
        <v>0.87986782915871165</v>
      </c>
      <c r="X50" s="2">
        <f t="shared" ca="1" si="1"/>
        <v>45273</v>
      </c>
      <c r="Y50">
        <f t="shared" ca="1" si="2"/>
        <v>0</v>
      </c>
      <c r="AA50" s="63">
        <f t="shared" ca="1" si="4"/>
        <v>34.587631966178897</v>
      </c>
      <c r="AB50" s="63">
        <f t="shared" ca="1" si="5"/>
        <v>34.58763196617889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45274</v>
      </c>
      <c r="K51">
        <f ca="1"/>
        <v>31.963412153906955</v>
      </c>
      <c r="L51">
        <f ca="1"/>
        <v>1.4419844723210069</v>
      </c>
      <c r="M51">
        <f ca="1"/>
        <v>-2.5078978126295226E-2</v>
      </c>
      <c r="N51">
        <f ca="1"/>
        <v>0.22062156113361051</v>
      </c>
      <c r="O51">
        <f ca="1"/>
        <v>0</v>
      </c>
      <c r="P51">
        <f ca="1"/>
        <v>24.7910191447504</v>
      </c>
      <c r="Q51">
        <f ca="1"/>
        <v>19.335613817632623</v>
      </c>
      <c r="R51">
        <f ca="1"/>
        <v>0</v>
      </c>
      <c r="S51">
        <f ca="1"/>
        <v>0.61975654833813532</v>
      </c>
      <c r="T51">
        <f ca="1"/>
        <v>0</v>
      </c>
      <c r="U51">
        <f ca="1"/>
        <v>0</v>
      </c>
      <c r="V51">
        <f ca="1"/>
        <v>0.89019978365825958</v>
      </c>
      <c r="X51" s="2">
        <f t="shared" ca="1" si="1"/>
        <v>45274</v>
      </c>
      <c r="Y51">
        <f t="shared" ca="1" si="2"/>
        <v>0</v>
      </c>
      <c r="AA51" s="63">
        <f t="shared" ca="1" si="4"/>
        <v>33.405396626227962</v>
      </c>
      <c r="AB51" s="63">
        <f t="shared" ca="1" si="5"/>
        <v>33.405396626227962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45275</v>
      </c>
      <c r="K52">
        <f ca="1"/>
        <v>30.656391352174335</v>
      </c>
      <c r="L52">
        <f ca="1"/>
        <v>1.4968517142875832</v>
      </c>
      <c r="M52">
        <f ca="1"/>
        <v>-2.182338966930697E-2</v>
      </c>
      <c r="N52">
        <f ca="1"/>
        <v>0.21165430222427425</v>
      </c>
      <c r="O52">
        <f ca="1"/>
        <v>0</v>
      </c>
      <c r="P52">
        <f ca="1"/>
        <v>26.287870859037984</v>
      </c>
      <c r="Q52">
        <f ca="1"/>
        <v>20.503074764709289</v>
      </c>
      <c r="R52">
        <f ca="1"/>
        <v>0</v>
      </c>
      <c r="S52">
        <f ca="1"/>
        <v>0.59794667389373779</v>
      </c>
      <c r="T52">
        <f ca="1"/>
        <v>0</v>
      </c>
      <c r="U52">
        <f ca="1"/>
        <v>0</v>
      </c>
      <c r="V52">
        <f ca="1"/>
        <v>0.89898923741195802</v>
      </c>
      <c r="X52" s="2">
        <f t="shared" ca="1" si="1"/>
        <v>45275</v>
      </c>
      <c r="Y52">
        <f t="shared" ca="1" si="2"/>
        <v>0</v>
      </c>
      <c r="AA52" s="63">
        <f t="shared" ca="1" si="4"/>
        <v>32.153243066461918</v>
      </c>
      <c r="AB52" s="63">
        <f t="shared" ca="1" si="5"/>
        <v>32.153243066461918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45276</v>
      </c>
      <c r="K53">
        <f ca="1"/>
        <v>50.556126672002954</v>
      </c>
      <c r="L53">
        <f ca="1"/>
        <v>1.5857512573597603</v>
      </c>
      <c r="M53">
        <f ca="1"/>
        <v>-1.9152172783443611E-2</v>
      </c>
      <c r="N53">
        <f ca="1"/>
        <v>0.21991434383177541</v>
      </c>
      <c r="O53">
        <f ca="1"/>
        <v>21.284724406140047</v>
      </c>
      <c r="P53">
        <f ca="1"/>
        <v>27.873622116397744</v>
      </c>
      <c r="Q53">
        <f ca="1"/>
        <v>21.73987240276147</v>
      </c>
      <c r="R53">
        <f ca="1"/>
        <v>0</v>
      </c>
      <c r="S53">
        <f ca="1"/>
        <v>0.62082840242174242</v>
      </c>
      <c r="T53">
        <f ca="1"/>
        <v>0</v>
      </c>
      <c r="U53">
        <f ca="1"/>
        <v>0</v>
      </c>
      <c r="V53">
        <f ca="1"/>
        <v>0.90660810824344962</v>
      </c>
      <c r="X53" s="2">
        <f t="shared" ca="1" si="1"/>
        <v>45276</v>
      </c>
      <c r="Y53">
        <f t="shared" ca="1" si="2"/>
        <v>21.284724406140047</v>
      </c>
      <c r="AA53" s="63">
        <f t="shared" ca="1" si="4"/>
        <v>52.141877929362714</v>
      </c>
      <c r="AB53" s="63">
        <f t="shared" ca="1" si="5"/>
        <v>52.141877929362714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45277</v>
      </c>
      <c r="K54">
        <f ca="1"/>
        <v>49.093627591060745</v>
      </c>
      <c r="L54">
        <f ca="1"/>
        <v>1.670177073526915</v>
      </c>
      <c r="M54">
        <f ca="1"/>
        <v>-1.6523941724472024E-2</v>
      </c>
      <c r="N54">
        <f ca="1"/>
        <v>0.22420193430917951</v>
      </c>
      <c r="O54">
        <f ca="1"/>
        <v>0</v>
      </c>
      <c r="P54">
        <f ca="1"/>
        <v>29.543799189924659</v>
      </c>
      <c r="Q54">
        <f ca="1"/>
        <v>23.042517474035943</v>
      </c>
      <c r="R54">
        <f ca="1"/>
        <v>0</v>
      </c>
      <c r="S54">
        <f ca="1"/>
        <v>0.63298059913013782</v>
      </c>
      <c r="T54">
        <f ca="1"/>
        <v>0</v>
      </c>
      <c r="U54">
        <f ca="1"/>
        <v>0</v>
      </c>
      <c r="V54">
        <f ca="1"/>
        <v>0.91315561716545079</v>
      </c>
      <c r="X54" s="2">
        <f t="shared" ca="1" si="1"/>
        <v>45277</v>
      </c>
      <c r="Y54">
        <f t="shared" ca="1" si="2"/>
        <v>0</v>
      </c>
      <c r="AA54" s="63">
        <f t="shared" ca="1" si="4"/>
        <v>50.76380466458766</v>
      </c>
      <c r="AB54" s="63">
        <f t="shared" ca="1" si="5"/>
        <v>50.76380466458766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45278</v>
      </c>
      <c r="K55">
        <f ca="1"/>
        <v>47.594748771871927</v>
      </c>
      <c r="L55">
        <f ca="1"/>
        <v>1.7071493008674956</v>
      </c>
      <c r="M55">
        <f ca="1"/>
        <v>-1.3731152225579635E-2</v>
      </c>
      <c r="N55">
        <f ca="1"/>
        <v>0.22200163390426292</v>
      </c>
      <c r="O55">
        <f ca="1"/>
        <v>0</v>
      </c>
      <c r="P55">
        <f ca="1"/>
        <v>31.250948490792155</v>
      </c>
      <c r="Q55">
        <f ca="1"/>
        <v>24.373998822901957</v>
      </c>
      <c r="R55">
        <f ca="1"/>
        <v>0</v>
      </c>
      <c r="S55">
        <f ca="1"/>
        <v>0.6430607273867246</v>
      </c>
      <c r="T55">
        <f ca="1"/>
        <v>0</v>
      </c>
      <c r="U55">
        <f ca="1"/>
        <v>0</v>
      </c>
      <c r="V55">
        <f ca="1"/>
        <v>0.91862152820375409</v>
      </c>
      <c r="X55" s="2">
        <f t="shared" ca="1" si="1"/>
        <v>45278</v>
      </c>
      <c r="Y55">
        <f t="shared" ca="1" si="2"/>
        <v>0</v>
      </c>
      <c r="AA55" s="63">
        <f t="shared" ca="1" si="4"/>
        <v>49.301898072739426</v>
      </c>
      <c r="AB55" s="63">
        <f t="shared" ca="1" si="5"/>
        <v>49.301898072739419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45279</v>
      </c>
      <c r="K56">
        <f ca="1"/>
        <v>45.995854185374959</v>
      </c>
      <c r="L56">
        <f ca="1"/>
        <v>1.8137047927456322</v>
      </c>
      <c r="M56">
        <f ca="1"/>
        <v>-1.1574001950568125E-2</v>
      </c>
      <c r="N56">
        <f ca="1"/>
        <v>0.22638420819923341</v>
      </c>
      <c r="O56">
        <f ca="1"/>
        <v>0</v>
      </c>
      <c r="P56">
        <f ca="1"/>
        <v>33.064653283537787</v>
      </c>
      <c r="Q56">
        <f ca="1"/>
        <v>25.788587519193818</v>
      </c>
      <c r="R56">
        <f ca="1"/>
        <v>0</v>
      </c>
      <c r="S56">
        <f ca="1"/>
        <v>0.64721322884642019</v>
      </c>
      <c r="T56">
        <f ca="1"/>
        <v>0</v>
      </c>
      <c r="U56">
        <f ca="1"/>
        <v>0</v>
      </c>
      <c r="V56">
        <f ca="1"/>
        <v>0.92336584335702088</v>
      </c>
      <c r="X56" s="2">
        <f t="shared" ca="1" si="1"/>
        <v>45279</v>
      </c>
      <c r="Y56">
        <f t="shared" ca="1" si="2"/>
        <v>0</v>
      </c>
      <c r="AA56" s="63">
        <f t="shared" ca="1" si="4"/>
        <v>47.809558978120592</v>
      </c>
      <c r="AB56" s="63">
        <f t="shared" ca="1" si="5"/>
        <v>47.809558978120592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45280</v>
      </c>
      <c r="K57">
        <f ca="1"/>
        <v>44.263680167346863</v>
      </c>
      <c r="L57">
        <f ca="1"/>
        <v>1.9414663341543701</v>
      </c>
      <c r="M57">
        <f ca="1"/>
        <v>-9.5293053033325137E-3</v>
      </c>
      <c r="N57">
        <f ca="1"/>
        <v>0.21882162142960504</v>
      </c>
      <c r="O57">
        <f ca="1"/>
        <v>0</v>
      </c>
      <c r="P57">
        <f ca="1"/>
        <v>35.006119617692157</v>
      </c>
      <c r="Q57">
        <f ca="1"/>
        <v>27.302823100149869</v>
      </c>
      <c r="R57">
        <f ca="1"/>
        <v>0</v>
      </c>
      <c r="S57">
        <f ca="1"/>
        <v>0.60552696792423966</v>
      </c>
      <c r="T57">
        <f ca="1"/>
        <v>0</v>
      </c>
      <c r="U57">
        <f ca="1"/>
        <v>0</v>
      </c>
      <c r="V57">
        <f ca="1"/>
        <v>0.92749709521295587</v>
      </c>
      <c r="X57" s="2">
        <f t="shared" ca="1" si="1"/>
        <v>45280</v>
      </c>
      <c r="Y57">
        <f t="shared" ca="1" si="2"/>
        <v>0</v>
      </c>
      <c r="AA57" s="63">
        <f t="shared" ca="1" si="4"/>
        <v>46.205146501501233</v>
      </c>
      <c r="AB57" s="63">
        <f t="shared" ca="1" si="5"/>
        <v>46.205146501501233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45281</v>
      </c>
      <c r="K58">
        <f ca="1"/>
        <v>42.445286942879591</v>
      </c>
      <c r="L58">
        <f ca="1"/>
        <v>2.0292073480636006</v>
      </c>
      <c r="M58">
        <f ca="1"/>
        <v>-7.373334545787813E-3</v>
      </c>
      <c r="N58">
        <f ca="1"/>
        <v>0.21818745814211674</v>
      </c>
      <c r="O58">
        <f ca="1"/>
        <v>0</v>
      </c>
      <c r="P58">
        <f ca="1"/>
        <v>37.035326965755758</v>
      </c>
      <c r="Q58">
        <f ca="1"/>
        <v>28.885491783876351</v>
      </c>
      <c r="R58">
        <f ca="1"/>
        <v>0</v>
      </c>
      <c r="S58">
        <f ca="1"/>
        <v>0.60335157025979425</v>
      </c>
      <c r="T58">
        <f ca="1"/>
        <v>0</v>
      </c>
      <c r="U58">
        <f ca="1"/>
        <v>0</v>
      </c>
      <c r="V58">
        <f ca="1"/>
        <v>0.93100072950255408</v>
      </c>
      <c r="X58" s="2">
        <f t="shared" ca="1" si="1"/>
        <v>45281</v>
      </c>
      <c r="Y58">
        <f t="shared" ca="1" si="2"/>
        <v>0</v>
      </c>
      <c r="AA58" s="63">
        <f t="shared" ca="1" si="4"/>
        <v>44.474494290943191</v>
      </c>
      <c r="AB58" s="63">
        <f t="shared" ca="1" si="5"/>
        <v>44.474494290943191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45282</v>
      </c>
      <c r="K59">
        <f ca="1"/>
        <v>40.504681273463774</v>
      </c>
      <c r="L59">
        <f ca="1"/>
        <v>2.1459559386148115</v>
      </c>
      <c r="M59">
        <f ca="1"/>
        <v>-5.3975782188793175E-3</v>
      </c>
      <c r="N59">
        <f ca="1"/>
        <v>0.2107478474178808</v>
      </c>
      <c r="O59">
        <f ca="1"/>
        <v>0</v>
      </c>
      <c r="P59">
        <f ca="1"/>
        <v>39.181282904370569</v>
      </c>
      <c r="Q59">
        <f ca="1"/>
        <v>30.559217864133029</v>
      </c>
      <c r="R59">
        <f ca="1"/>
        <v>0</v>
      </c>
      <c r="S59">
        <f ca="1"/>
        <v>0.56811322027725886</v>
      </c>
      <c r="T59">
        <f ca="1"/>
        <v>0</v>
      </c>
      <c r="U59">
        <f ca="1"/>
        <v>0</v>
      </c>
      <c r="V59">
        <f ca="1"/>
        <v>0.93400369219107271</v>
      </c>
      <c r="X59" s="2">
        <f t="shared" ca="1" si="1"/>
        <v>45282</v>
      </c>
      <c r="Y59">
        <f t="shared" ca="1" si="2"/>
        <v>0</v>
      </c>
      <c r="AA59" s="63">
        <f t="shared" ca="1" si="4"/>
        <v>42.650637212078593</v>
      </c>
      <c r="AB59" s="63">
        <f t="shared" ca="1" si="5"/>
        <v>42.650637212078585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45283</v>
      </c>
      <c r="K60">
        <f ca="1"/>
        <v>38.531232589368777</v>
      </c>
      <c r="L60">
        <f ca="1"/>
        <v>2.1679232485933326</v>
      </c>
      <c r="M60">
        <f ca="1"/>
        <v>-3.3903761840594626E-3</v>
      </c>
      <c r="N60">
        <f ca="1"/>
        <v>0.19786494068239638</v>
      </c>
      <c r="O60">
        <f ca="1"/>
        <v>0</v>
      </c>
      <c r="P60">
        <f ca="1"/>
        <v>41.349206152963902</v>
      </c>
      <c r="Q60">
        <f ca="1"/>
        <v>32.250077222367388</v>
      </c>
      <c r="R60">
        <f ca="1"/>
        <v>0</v>
      </c>
      <c r="S60">
        <f ca="1"/>
        <v>0.54267421687245976</v>
      </c>
      <c r="T60">
        <f ca="1"/>
        <v>0</v>
      </c>
      <c r="U60">
        <f ca="1"/>
        <v>0</v>
      </c>
      <c r="V60">
        <f ca="1"/>
        <v>0.93646782025053432</v>
      </c>
      <c r="X60" s="2">
        <f t="shared" ca="1" si="1"/>
        <v>45283</v>
      </c>
      <c r="Y60">
        <f t="shared" ca="1" si="2"/>
        <v>0</v>
      </c>
      <c r="AA60" s="63">
        <f t="shared" ca="1" si="4"/>
        <v>40.69915583796211</v>
      </c>
      <c r="AB60" s="63">
        <f t="shared" ca="1" si="5"/>
        <v>40.69915583796211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45284</v>
      </c>
      <c r="K61">
        <f ca="1"/>
        <v>36.446501332078917</v>
      </c>
      <c r="L61">
        <f ca="1"/>
        <v>2.280667069268425</v>
      </c>
      <c r="M61">
        <f ca="1"/>
        <v>-1.6703248723910491E-3</v>
      </c>
      <c r="N61">
        <f ca="1"/>
        <v>0.19760613685095665</v>
      </c>
      <c r="O61">
        <f ca="1"/>
        <v>0</v>
      </c>
      <c r="P61">
        <f ca="1"/>
        <v>43.629873222232327</v>
      </c>
      <c r="Q61">
        <f ca="1"/>
        <v>34.028870479735517</v>
      </c>
      <c r="R61">
        <f ca="1"/>
        <v>0</v>
      </c>
      <c r="S61">
        <f ca="1"/>
        <v>0.53352539179213565</v>
      </c>
      <c r="T61">
        <f ca="1"/>
        <v>0</v>
      </c>
      <c r="U61">
        <f ca="1"/>
        <v>0</v>
      </c>
      <c r="V61">
        <f ca="1"/>
        <v>0.93857923918651687</v>
      </c>
      <c r="X61" s="2">
        <f t="shared" ca="1" si="1"/>
        <v>45284</v>
      </c>
      <c r="Y61">
        <f t="shared" ca="1" si="2"/>
        <v>0</v>
      </c>
      <c r="AA61" s="63">
        <f t="shared" ca="1" si="4"/>
        <v>38.727168401347342</v>
      </c>
      <c r="AB61" s="63">
        <f t="shared" ca="1" si="5"/>
        <v>38.727168401347342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45285</v>
      </c>
      <c r="K62">
        <f ca="1"/>
        <v>34.233462950201833</v>
      </c>
      <c r="L62">
        <f ca="1"/>
        <v>2.4178480375314351</v>
      </c>
      <c r="M62">
        <f ca="1"/>
        <v>-5.2147910398758768E-6</v>
      </c>
      <c r="N62">
        <f ca="1"/>
        <v>0.2048148704453901</v>
      </c>
      <c r="O62">
        <f ca="1"/>
        <v>0</v>
      </c>
      <c r="P62">
        <f ca="1"/>
        <v>46.047721259763762</v>
      </c>
      <c r="Q62">
        <f ca="1"/>
        <v>35.91465724995502</v>
      </c>
      <c r="R62">
        <f ca="1"/>
        <v>0</v>
      </c>
      <c r="S62">
        <f ca="1"/>
        <v>0.54605962914550521</v>
      </c>
      <c r="T62">
        <f ca="1"/>
        <v>0</v>
      </c>
      <c r="U62">
        <f ca="1"/>
        <v>0</v>
      </c>
      <c r="V62">
        <f ca="1"/>
        <v>0.94039805901895424</v>
      </c>
      <c r="X62" s="2">
        <f t="shared" ca="1" si="1"/>
        <v>45285</v>
      </c>
      <c r="Y62">
        <f t="shared" ca="1" si="2"/>
        <v>0</v>
      </c>
      <c r="AA62" s="63">
        <f t="shared" ca="1" si="4"/>
        <v>36.651310987733268</v>
      </c>
      <c r="AB62" s="63">
        <f t="shared" ca="1" si="5"/>
        <v>36.651310987733268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45286</v>
      </c>
      <c r="K63">
        <f ca="1"/>
        <v>31.976123241164302</v>
      </c>
      <c r="L63">
        <f ca="1"/>
        <v>2.4492196653784646</v>
      </c>
      <c r="M63">
        <f ca="1"/>
        <v>1.5472881485001366E-3</v>
      </c>
      <c r="N63">
        <f ca="1"/>
        <v>0.19033266819243247</v>
      </c>
      <c r="O63">
        <f ca="1"/>
        <v>0</v>
      </c>
      <c r="P63">
        <f ca="1"/>
        <v>48.496940925142226</v>
      </c>
      <c r="Q63">
        <f ca="1"/>
        <v>37.824912142172209</v>
      </c>
      <c r="R63">
        <f ca="1"/>
        <v>0</v>
      </c>
      <c r="S63">
        <f ca="1"/>
        <v>0.50748184762807291</v>
      </c>
      <c r="T63">
        <f ca="1"/>
        <v>0</v>
      </c>
      <c r="U63">
        <f ca="1"/>
        <v>0</v>
      </c>
      <c r="V63">
        <f ca="1"/>
        <v>0.94189703270273173</v>
      </c>
      <c r="X63" s="2">
        <f t="shared" ca="1" si="1"/>
        <v>45286</v>
      </c>
      <c r="Y63">
        <f t="shared" ca="1" si="2"/>
        <v>0</v>
      </c>
      <c r="AA63" s="63">
        <f t="shared" ca="1" si="4"/>
        <v>34.425342906542767</v>
      </c>
      <c r="AB63" s="63">
        <f t="shared" ca="1" si="5"/>
        <v>34.425342906542767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45287</v>
      </c>
      <c r="K64">
        <f ca="1"/>
        <v>51.078119852890268</v>
      </c>
      <c r="L64">
        <f ca="1"/>
        <v>2.5493126211168402</v>
      </c>
      <c r="M64">
        <f ca="1"/>
        <v>2.8868469605276559E-3</v>
      </c>
      <c r="N64">
        <f ca="1"/>
        <v>0.18561271712578134</v>
      </c>
      <c r="O64">
        <f ca="1"/>
        <v>21.462809668756496</v>
      </c>
      <c r="P64">
        <f ca="1"/>
        <v>51.046253546259067</v>
      </c>
      <c r="Q64">
        <f ca="1"/>
        <v>39.813233963656096</v>
      </c>
      <c r="R64">
        <f ca="1"/>
        <v>0</v>
      </c>
      <c r="S64">
        <f ca="1"/>
        <v>0.48425300204463961</v>
      </c>
      <c r="T64">
        <f ca="1"/>
        <v>0</v>
      </c>
      <c r="U64">
        <f ca="1"/>
        <v>0</v>
      </c>
      <c r="V64">
        <f ca="1"/>
        <v>0.94317037459408382</v>
      </c>
      <c r="X64" s="2">
        <f t="shared" ca="1" si="1"/>
        <v>45287</v>
      </c>
      <c r="Y64">
        <f t="shared" ca="1" si="2"/>
        <v>21.462809668756496</v>
      </c>
      <c r="AA64" s="63">
        <f t="shared" ca="1" si="4"/>
        <v>53.627432474007108</v>
      </c>
      <c r="AB64" s="63">
        <f t="shared" ca="1" si="5"/>
        <v>53.627432474007108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45288</v>
      </c>
      <c r="K65">
        <f ca="1"/>
        <v>48.461351382133863</v>
      </c>
      <c r="L65">
        <f ca="1"/>
        <v>2.8085850179968475</v>
      </c>
      <c r="M65">
        <f ca="1"/>
        <v>4.0396121269052898E-3</v>
      </c>
      <c r="N65">
        <f ca="1"/>
        <v>0.18777693511353827</v>
      </c>
      <c r="O65">
        <f ca="1"/>
        <v>0</v>
      </c>
      <c r="P65">
        <f ca="1"/>
        <v>53.854838564255914</v>
      </c>
      <c r="Q65">
        <f ca="1"/>
        <v>42.003773810561711</v>
      </c>
      <c r="R65">
        <f ca="1"/>
        <v>0</v>
      </c>
      <c r="S65">
        <f ca="1"/>
        <v>0.44635155432085327</v>
      </c>
      <c r="T65">
        <f ca="1"/>
        <v>0</v>
      </c>
      <c r="U65">
        <f ca="1"/>
        <v>0</v>
      </c>
      <c r="V65">
        <f ca="1"/>
        <v>0.94430880168632725</v>
      </c>
      <c r="X65" s="2">
        <f t="shared" ca="1" si="1"/>
        <v>45288</v>
      </c>
      <c r="Y65">
        <f t="shared" ca="1" si="2"/>
        <v>0</v>
      </c>
      <c r="AA65" s="63">
        <f t="shared" ca="1" si="4"/>
        <v>51.26993640013071</v>
      </c>
      <c r="AB65" s="63">
        <f t="shared" ca="1" si="5"/>
        <v>51.26993640013071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45289</v>
      </c>
      <c r="K66">
        <f ca="1"/>
        <v>45.682767496064962</v>
      </c>
      <c r="L66">
        <f ca="1"/>
        <v>2.9761992401950792</v>
      </c>
      <c r="M66">
        <f ca="1"/>
        <v>5.298590558097338E-3</v>
      </c>
      <c r="N66">
        <f ca="1"/>
        <v>0.19231676356807925</v>
      </c>
      <c r="O66">
        <f ca="1"/>
        <v>0</v>
      </c>
      <c r="P66">
        <f ca="1"/>
        <v>56.831037804450993</v>
      </c>
      <c r="Q66">
        <f ca="1"/>
        <v>44.325043412942279</v>
      </c>
      <c r="R66">
        <f ca="1"/>
        <v>0</v>
      </c>
      <c r="S66">
        <f ca="1"/>
        <v>0.44574598549151678</v>
      </c>
      <c r="T66">
        <f ca="1"/>
        <v>0</v>
      </c>
      <c r="U66">
        <f ca="1"/>
        <v>0</v>
      </c>
      <c r="V66">
        <f ca="1"/>
        <v>0.94528025076804012</v>
      </c>
      <c r="X66" s="2">
        <f t="shared" ca="1" si="1"/>
        <v>45289</v>
      </c>
      <c r="Y66">
        <f t="shared" ca="1" si="2"/>
        <v>0</v>
      </c>
      <c r="AA66" s="63">
        <f t="shared" ca="1" si="4"/>
        <v>48.658966736260041</v>
      </c>
      <c r="AB66" s="63">
        <f t="shared" ca="1" si="5"/>
        <v>48.658966736260041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45290</v>
      </c>
      <c r="K67">
        <f ca="1"/>
        <v>42.866852392882393</v>
      </c>
      <c r="L67">
        <f ca="1"/>
        <v>3.0167947459266529</v>
      </c>
      <c r="M67">
        <f ca="1"/>
        <v>6.6184069182124716E-3</v>
      </c>
      <c r="N67">
        <f ca="1"/>
        <v>0.19426123582587126</v>
      </c>
      <c r="O67">
        <f ca="1"/>
        <v>0</v>
      </c>
      <c r="P67">
        <f ca="1"/>
        <v>59.847832550377646</v>
      </c>
      <c r="Q67">
        <f ca="1"/>
        <v>46.677975248205399</v>
      </c>
      <c r="R67">
        <f ca="1"/>
        <v>0</v>
      </c>
      <c r="S67">
        <f ca="1"/>
        <v>0.46675711694967675</v>
      </c>
      <c r="T67">
        <f ca="1"/>
        <v>0</v>
      </c>
      <c r="U67">
        <f ca="1"/>
        <v>0</v>
      </c>
      <c r="V67">
        <f ca="1"/>
        <v>0.9460739485984716</v>
      </c>
      <c r="X67" s="2">
        <f t="shared" ca="1" si="1"/>
        <v>45290</v>
      </c>
      <c r="Y67">
        <f t="shared" ca="1" si="2"/>
        <v>0</v>
      </c>
      <c r="AA67" s="63">
        <f t="shared" ca="1" si="4"/>
        <v>45.883647138809046</v>
      </c>
      <c r="AB67" s="63">
        <f t="shared" ca="1" si="5"/>
        <v>45.883647138809046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45291</v>
      </c>
      <c r="K68">
        <f ca="1"/>
        <v>40.066829453700656</v>
      </c>
      <c r="L68">
        <f ca="1"/>
        <v>3.0197520889169596</v>
      </c>
      <c r="M68">
        <f ca="1"/>
        <v>8.0907041795814649E-3</v>
      </c>
      <c r="N68">
        <f ca="1"/>
        <v>0.21163844555564465</v>
      </c>
      <c r="O68">
        <f ca="1"/>
        <v>0</v>
      </c>
      <c r="P68">
        <f ca="1"/>
        <v>62.867584639294606</v>
      </c>
      <c r="Q68">
        <f ca="1"/>
        <v>49.033213646246487</v>
      </c>
      <c r="R68">
        <f ca="1"/>
        <v>0</v>
      </c>
      <c r="S68">
        <f ca="1"/>
        <v>0.55182004008440311</v>
      </c>
      <c r="T68">
        <f ca="1"/>
        <v>0</v>
      </c>
      <c r="U68">
        <f ca="1"/>
        <v>0</v>
      </c>
      <c r="V68">
        <f ca="1"/>
        <v>0.94671858826037469</v>
      </c>
      <c r="X68" s="2">
        <f t="shared" ca="1" si="1"/>
        <v>45291</v>
      </c>
      <c r="Y68">
        <f t="shared" ca="1" si="2"/>
        <v>0</v>
      </c>
      <c r="AA68" s="63">
        <f t="shared" ca="1" si="4"/>
        <v>43.086581542617616</v>
      </c>
      <c r="AB68" s="63">
        <f t="shared" ca="1" si="5"/>
        <v>43.086581542617616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45292</v>
      </c>
      <c r="K69">
        <f ca="1"/>
        <v>37.226014993555104</v>
      </c>
      <c r="L69">
        <f ca="1"/>
        <v>3.0555344478820388</v>
      </c>
      <c r="M69">
        <f ca="1"/>
        <v>9.0884521665648421E-3</v>
      </c>
      <c r="N69">
        <f ca="1"/>
        <v>0.20563153556991937</v>
      </c>
      <c r="O69">
        <f ca="1"/>
        <v>0</v>
      </c>
      <c r="P69">
        <f ca="1"/>
        <v>65.923119087176644</v>
      </c>
      <c r="Q69">
        <f ca="1"/>
        <v>51.416360290834149</v>
      </c>
      <c r="R69">
        <f ca="1"/>
        <v>0</v>
      </c>
      <c r="S69">
        <f ca="1"/>
        <v>0.53985500205363524</v>
      </c>
      <c r="T69">
        <f ca="1"/>
        <v>0</v>
      </c>
      <c r="U69">
        <f ca="1"/>
        <v>0</v>
      </c>
      <c r="V69">
        <f ca="1"/>
        <v>0.94725114676359412</v>
      </c>
      <c r="X69" s="2">
        <f t="shared" ca="1" si="1"/>
        <v>45292</v>
      </c>
      <c r="Y69">
        <f t="shared" ca="1" si="2"/>
        <v>0</v>
      </c>
      <c r="AA69" s="63">
        <f t="shared" ca="1" si="4"/>
        <v>40.281549441437143</v>
      </c>
      <c r="AB69" s="63">
        <f t="shared" ca="1" si="5"/>
        <v>40.281549441437143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45293</v>
      </c>
      <c r="K70">
        <f ca="1"/>
        <v>34.220293933849476</v>
      </c>
      <c r="L70">
        <f ca="1"/>
        <v>3.2182593491649101</v>
      </c>
      <c r="M70">
        <f ca="1"/>
        <v>1.0370154538547283E-2</v>
      </c>
      <c r="N70">
        <f ca="1"/>
        <v>0.20216813492073335</v>
      </c>
      <c r="O70">
        <f ca="1"/>
        <v>0</v>
      </c>
      <c r="P70">
        <f ca="1"/>
        <v>69.141378436341554</v>
      </c>
      <c r="Q70">
        <f ca="1"/>
        <v>53.926423292968337</v>
      </c>
      <c r="R70">
        <f ca="1"/>
        <v>0</v>
      </c>
      <c r="S70">
        <f ca="1"/>
        <v>0.50582037305041527</v>
      </c>
      <c r="T70">
        <f ca="1"/>
        <v>0</v>
      </c>
      <c r="U70">
        <f ca="1"/>
        <v>0</v>
      </c>
      <c r="V70">
        <f ca="1"/>
        <v>0.94770939742621485</v>
      </c>
      <c r="X70" s="2">
        <f t="shared" ca="1" si="1"/>
        <v>45293</v>
      </c>
      <c r="Y70">
        <f t="shared" ca="1" si="2"/>
        <v>0</v>
      </c>
      <c r="AA70" s="63">
        <f t="shared" ca="1" si="4"/>
        <v>37.438553283014386</v>
      </c>
      <c r="AB70" s="63">
        <f t="shared" ca="1" si="5"/>
        <v>37.438553283014386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45294</v>
      </c>
      <c r="K71">
        <f ca="1"/>
        <v>31.18130121323594</v>
      </c>
      <c r="L71">
        <f ca="1"/>
        <v>3.2405219823615141</v>
      </c>
      <c r="M71">
        <f ca="1"/>
        <v>1.0567291524671951E-2</v>
      </c>
      <c r="N71">
        <f ca="1"/>
        <v>0.19096197022330683</v>
      </c>
      <c r="O71">
        <f ca="1"/>
        <v>0</v>
      </c>
      <c r="P71">
        <f ca="1"/>
        <v>72.381900418703069</v>
      </c>
      <c r="Q71">
        <f ca="1"/>
        <v>56.453849908737766</v>
      </c>
      <c r="R71">
        <f ca="1"/>
        <v>0</v>
      </c>
      <c r="S71">
        <f ca="1"/>
        <v>0.47268242570250496</v>
      </c>
      <c r="T71">
        <f ca="1"/>
        <v>0</v>
      </c>
      <c r="U71">
        <f ca="1"/>
        <v>0</v>
      </c>
      <c r="V71">
        <f ca="1"/>
        <v>0.9480865839794822</v>
      </c>
      <c r="X71" s="2">
        <f t="shared" ref="X71:X134" ca="1" si="8">IFERROR(J71,$X$5)</f>
        <v>45294</v>
      </c>
      <c r="Y71">
        <f t="shared" ref="Y71:Y134" ca="1" si="9">IFERROR(O71,0)</f>
        <v>0</v>
      </c>
      <c r="AA71" s="63">
        <f t="shared" ca="1" si="4"/>
        <v>34.421823195597455</v>
      </c>
      <c r="AB71" s="63">
        <f t="shared" ca="1" si="5"/>
        <v>34.421823195597455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45295</v>
      </c>
      <c r="K72">
        <f ca="1"/>
        <v>47.871712911950908</v>
      </c>
      <c r="L72">
        <f ca="1"/>
        <v>3.3624952582582921</v>
      </c>
      <c r="M72">
        <f ca="1"/>
        <v>1.0824635342607358E-2</v>
      </c>
      <c r="N72">
        <f ca="1"/>
        <v>0.1872773179439704</v>
      </c>
      <c r="O72">
        <f ca="1"/>
        <v>19.854805003686678</v>
      </c>
      <c r="P72">
        <f ca="1"/>
        <v>75.744395676961361</v>
      </c>
      <c r="Q72">
        <f ca="1"/>
        <v>59.076408884538104</v>
      </c>
      <c r="R72">
        <f ca="1"/>
        <v>0</v>
      </c>
      <c r="S72">
        <f ca="1"/>
        <v>0.44370339538804815</v>
      </c>
      <c r="T72">
        <f ca="1"/>
        <v>0</v>
      </c>
      <c r="U72">
        <f ca="1"/>
        <v>0</v>
      </c>
      <c r="V72">
        <f ca="1"/>
        <v>0.94840713808635579</v>
      </c>
      <c r="X72" s="2">
        <f t="shared" ca="1" si="8"/>
        <v>45295</v>
      </c>
      <c r="Y72">
        <f t="shared" ca="1" si="9"/>
        <v>19.854805003686678</v>
      </c>
      <c r="AA72" s="63">
        <f t="shared" ca="1" si="4"/>
        <v>51.2342081702092</v>
      </c>
      <c r="AB72" s="63">
        <f t="shared" ca="1" si="5"/>
        <v>51.2342081702092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45296</v>
      </c>
      <c r="K73">
        <f ca="1"/>
        <v>44.750055182720821</v>
      </c>
      <c r="L73">
        <f ca="1"/>
        <v>3.3089747984662239</v>
      </c>
      <c r="M73">
        <f ca="1"/>
        <v>1.0617274541126598E-2</v>
      </c>
      <c r="N73">
        <f ca="1"/>
        <v>0.1766997946950099</v>
      </c>
      <c r="O73">
        <f ca="1"/>
        <v>0</v>
      </c>
      <c r="P73">
        <f ca="1"/>
        <v>79.053370475427585</v>
      </c>
      <c r="Q73">
        <f ca="1"/>
        <v>61.65722488334184</v>
      </c>
      <c r="R73">
        <f ca="1"/>
        <v>0</v>
      </c>
      <c r="S73">
        <f ca="1"/>
        <v>0.42254229505348279</v>
      </c>
      <c r="T73">
        <f ca="1"/>
        <v>0</v>
      </c>
      <c r="U73">
        <f ca="1"/>
        <v>0</v>
      </c>
      <c r="V73">
        <f ca="1"/>
        <v>0.94866641300673826</v>
      </c>
      <c r="X73" s="2">
        <f t="shared" ca="1" si="8"/>
        <v>45296</v>
      </c>
      <c r="Y73">
        <f t="shared" ca="1" si="9"/>
        <v>0</v>
      </c>
      <c r="AA73" s="63">
        <f t="shared" ref="AA73:AA136" ca="1" si="11">K72+M73+N73+O73</f>
        <v>48.059029981187045</v>
      </c>
      <c r="AB73" s="63">
        <f t="shared" ref="AB73:AB136" ca="1" si="12">K73+L73+R73</f>
        <v>48.059029981187045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45297</v>
      </c>
      <c r="K74">
        <f ca="1"/>
        <v>41.561007893998273</v>
      </c>
      <c r="L74">
        <f ca="1"/>
        <v>3.3739866226596149</v>
      </c>
      <c r="M74">
        <f ca="1"/>
        <v>1.0776770707202843E-2</v>
      </c>
      <c r="N74">
        <f ca="1"/>
        <v>0.17416256322986293</v>
      </c>
      <c r="O74">
        <f ca="1"/>
        <v>0</v>
      </c>
      <c r="P74">
        <f ca="1"/>
        <v>82.427357098087199</v>
      </c>
      <c r="Q74">
        <f ca="1"/>
        <v>64.288746483187779</v>
      </c>
      <c r="R74">
        <f ca="1"/>
        <v>0</v>
      </c>
      <c r="S74">
        <f ca="1"/>
        <v>0.40636830176687572</v>
      </c>
      <c r="T74">
        <f ca="1"/>
        <v>0</v>
      </c>
      <c r="U74">
        <f ca="1"/>
        <v>0</v>
      </c>
      <c r="V74">
        <f ca="1"/>
        <v>0.94888478780532359</v>
      </c>
      <c r="X74" s="2">
        <f t="shared" ca="1" si="8"/>
        <v>45297</v>
      </c>
      <c r="Y74">
        <f t="shared" ca="1" si="9"/>
        <v>0</v>
      </c>
      <c r="AA74" s="63">
        <f t="shared" ca="1" si="11"/>
        <v>44.934994516657888</v>
      </c>
      <c r="AB74" s="63">
        <f t="shared" ca="1" si="12"/>
        <v>44.934994516657888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45298</v>
      </c>
      <c r="K75">
        <f ca="1"/>
        <v>38.219102404377608</v>
      </c>
      <c r="L75">
        <f ca="1"/>
        <v>3.5286538541282937</v>
      </c>
      <c r="M75">
        <f ca="1"/>
        <v>1.1036045982376841E-2</v>
      </c>
      <c r="N75">
        <f ca="1"/>
        <v>0.17571231852524674</v>
      </c>
      <c r="O75">
        <f ca="1"/>
        <v>0</v>
      </c>
      <c r="P75">
        <f ca="1"/>
        <v>85.956010952215493</v>
      </c>
      <c r="Q75">
        <f ca="1"/>
        <v>67.040899907020432</v>
      </c>
      <c r="R75">
        <f ca="1"/>
        <v>0</v>
      </c>
      <c r="S75">
        <f ca="1"/>
        <v>0.38702476354030946</v>
      </c>
      <c r="T75">
        <f ca="1"/>
        <v>0</v>
      </c>
      <c r="U75">
        <f ca="1"/>
        <v>0</v>
      </c>
      <c r="V75">
        <f ca="1"/>
        <v>0.94907318253985551</v>
      </c>
      <c r="X75" s="2">
        <f t="shared" ca="1" si="8"/>
        <v>45298</v>
      </c>
      <c r="Y75">
        <f t="shared" ca="1" si="9"/>
        <v>0</v>
      </c>
      <c r="AA75" s="63">
        <f t="shared" ca="1" si="11"/>
        <v>41.747756258505902</v>
      </c>
      <c r="AB75" s="63">
        <f t="shared" ca="1" si="12"/>
        <v>41.747756258505902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45299</v>
      </c>
      <c r="K76">
        <f ca="1"/>
        <v>34.79421945578067</v>
      </c>
      <c r="L76">
        <f ca="1"/>
        <v>3.6152519207456635</v>
      </c>
      <c r="M76">
        <f ca="1"/>
        <v>1.1657571891783292E-2</v>
      </c>
      <c r="N76">
        <f ca="1"/>
        <v>0.17871140025694082</v>
      </c>
      <c r="O76">
        <f ca="1"/>
        <v>0</v>
      </c>
      <c r="P76">
        <f ca="1"/>
        <v>89.571262872961157</v>
      </c>
      <c r="Q76">
        <f ca="1"/>
        <v>69.860594998409809</v>
      </c>
      <c r="R76">
        <f ca="1"/>
        <v>0</v>
      </c>
      <c r="S76">
        <f ca="1"/>
        <v>0.38802865444769863</v>
      </c>
      <c r="T76">
        <f ca="1"/>
        <v>0</v>
      </c>
      <c r="U76">
        <f ca="1"/>
        <v>0</v>
      </c>
      <c r="V76">
        <f ca="1"/>
        <v>0.94923204538507788</v>
      </c>
      <c r="X76" s="2">
        <f t="shared" ca="1" si="8"/>
        <v>45299</v>
      </c>
      <c r="Y76">
        <f t="shared" ca="1" si="9"/>
        <v>0</v>
      </c>
      <c r="AA76" s="63">
        <f t="shared" ca="1" si="11"/>
        <v>38.409471376526334</v>
      </c>
      <c r="AB76" s="63">
        <f t="shared" ca="1" si="12"/>
        <v>38.409471376526334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45300</v>
      </c>
      <c r="K77">
        <f ca="1"/>
        <v>31.293749977768954</v>
      </c>
      <c r="L77">
        <f ca="1"/>
        <v>3.6958176220828705</v>
      </c>
      <c r="M77">
        <f ca="1"/>
        <v>1.2428668151037492E-2</v>
      </c>
      <c r="N77">
        <f ca="1"/>
        <v>0.18291947592011915</v>
      </c>
      <c r="O77">
        <f ca="1"/>
        <v>0</v>
      </c>
      <c r="P77">
        <f ca="1"/>
        <v>93.267080495044027</v>
      </c>
      <c r="Q77">
        <f ca="1"/>
        <v>72.7431268485023</v>
      </c>
      <c r="R77">
        <f ca="1"/>
        <v>0</v>
      </c>
      <c r="S77">
        <f ca="1"/>
        <v>0.3935934570006786</v>
      </c>
      <c r="T77">
        <f ca="1"/>
        <v>0</v>
      </c>
      <c r="U77">
        <f ca="1"/>
        <v>0</v>
      </c>
      <c r="V77">
        <f ca="1"/>
        <v>0.94936565944166018</v>
      </c>
      <c r="X77" s="2">
        <f t="shared" ca="1" si="8"/>
        <v>45300</v>
      </c>
      <c r="Y77">
        <f t="shared" ca="1" si="9"/>
        <v>0</v>
      </c>
      <c r="AA77" s="63">
        <f t="shared" ca="1" si="11"/>
        <v>34.989567599851824</v>
      </c>
      <c r="AB77" s="63">
        <f t="shared" ca="1" si="12"/>
        <v>34.989567599851824</v>
      </c>
      <c r="AC77" s="3">
        <f t="shared" ca="1" si="13"/>
        <v>0</v>
      </c>
    </row>
    <row r="78" spans="8:29">
      <c r="H78" t="b">
        <f t="shared" ca="1" si="10"/>
        <v>0</v>
      </c>
      <c r="I78" t="b">
        <f t="shared" ca="1" si="7"/>
        <v>1</v>
      </c>
      <c r="J78" s="2">
        <f ca="1"/>
        <v>45301</v>
      </c>
      <c r="K78">
        <f ca="1"/>
        <v>27.818805954977659</v>
      </c>
      <c r="L78">
        <f ca="1"/>
        <v>3.662919504956065</v>
      </c>
      <c r="M78">
        <f ca="1"/>
        <v>1.1980685609173314E-2</v>
      </c>
      <c r="N78">
        <f ca="1"/>
        <v>0.17599479655559713</v>
      </c>
      <c r="O78">
        <f ca="1"/>
        <v>0</v>
      </c>
      <c r="P78">
        <f ca="1"/>
        <v>96.930000000000092</v>
      </c>
      <c r="Q78">
        <f ca="1"/>
        <v>75.600000000000065</v>
      </c>
      <c r="R78">
        <f ca="1"/>
        <v>0</v>
      </c>
      <c r="S78">
        <f ca="1"/>
        <v>0.37211462089005198</v>
      </c>
      <c r="T78">
        <f ca="1"/>
        <v>0</v>
      </c>
      <c r="U78">
        <f ca="1"/>
        <v>0</v>
      </c>
      <c r="V78">
        <f ca="1"/>
        <v>0.94947486029492256</v>
      </c>
      <c r="X78" s="2">
        <f t="shared" ca="1" si="8"/>
        <v>45301</v>
      </c>
      <c r="Y78">
        <f t="shared" ca="1" si="9"/>
        <v>0</v>
      </c>
      <c r="AA78" s="63">
        <f t="shared" ca="1" si="11"/>
        <v>31.481725459933724</v>
      </c>
      <c r="AB78" s="63">
        <f t="shared" ca="1" si="12"/>
        <v>31.481725459933724</v>
      </c>
      <c r="AC78" s="3">
        <f t="shared" ca="1" si="13"/>
        <v>0</v>
      </c>
    </row>
    <row r="79" spans="8:29">
      <c r="H79" t="b">
        <f t="shared" ca="1" si="10"/>
        <v>0</v>
      </c>
      <c r="I79" t="b">
        <f t="shared" ca="1" si="7"/>
        <v>0</v>
      </c>
      <c r="J79" s="2">
        <f ca="1"/>
        <v>45302</v>
      </c>
      <c r="K79">
        <f ca="1"/>
        <v>28.635677357760713</v>
      </c>
      <c r="L79">
        <f ca="1"/>
        <v>0</v>
      </c>
      <c r="M79">
        <f ca="1"/>
        <v>0.64536577269069362</v>
      </c>
      <c r="N79">
        <f ca="1"/>
        <v>0.17150563009236167</v>
      </c>
      <c r="O79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0.36687705675926507</v>
      </c>
      <c r="T79">
        <f ca="1"/>
        <v>0</v>
      </c>
      <c r="U79">
        <f ca="1"/>
        <v>0</v>
      </c>
      <c r="V79">
        <f ca="1"/>
        <v>0</v>
      </c>
      <c r="X79" s="2">
        <f t="shared" ca="1" si="8"/>
        <v>45302</v>
      </c>
      <c r="Y79">
        <f t="shared" ca="1" si="9"/>
        <v>0</v>
      </c>
      <c r="AA79" s="63">
        <f t="shared" ca="1" si="11"/>
        <v>28.635677357760713</v>
      </c>
      <c r="AB79" s="63">
        <f t="shared" ca="1" si="12"/>
        <v>28.635677357760713</v>
      </c>
      <c r="AC79" s="3">
        <f t="shared" ca="1" si="13"/>
        <v>0</v>
      </c>
    </row>
    <row r="80" spans="8:29">
      <c r="H80" t="b">
        <f t="shared" ca="1" si="10"/>
        <v>0</v>
      </c>
      <c r="I80" t="b">
        <f t="shared" ca="1" si="7"/>
        <v>0</v>
      </c>
      <c r="J80" s="2">
        <f ca="1"/>
        <v>45303</v>
      </c>
      <c r="K80">
        <f ca="1"/>
        <v>29.396200873800485</v>
      </c>
      <c r="L80">
        <f ca="1"/>
        <v>0</v>
      </c>
      <c r="M80">
        <f ca="1"/>
        <v>0.58924671346313406</v>
      </c>
      <c r="N80">
        <f ca="1"/>
        <v>0.17127680257663913</v>
      </c>
      <c r="O80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0.35848014868785616</v>
      </c>
      <c r="T80">
        <f ca="1"/>
        <v>0</v>
      </c>
      <c r="U80">
        <f ca="1"/>
        <v>0</v>
      </c>
      <c r="V80">
        <f ca="1"/>
        <v>0</v>
      </c>
      <c r="X80" s="2">
        <f t="shared" ca="1" si="8"/>
        <v>45303</v>
      </c>
      <c r="Y80">
        <f t="shared" ca="1" si="9"/>
        <v>0</v>
      </c>
      <c r="AA80" s="63">
        <f t="shared" ca="1" si="11"/>
        <v>29.396200873800485</v>
      </c>
      <c r="AB80" s="63">
        <f t="shared" ca="1" si="12"/>
        <v>29.396200873800485</v>
      </c>
      <c r="AC80" s="3">
        <f t="shared" ca="1" si="13"/>
        <v>0</v>
      </c>
    </row>
    <row r="81" spans="8:29">
      <c r="H81" t="b">
        <f t="shared" ca="1" si="10"/>
        <v>0</v>
      </c>
      <c r="I81" t="b">
        <f t="shared" ca="1" si="7"/>
        <v>0</v>
      </c>
      <c r="J81" s="2">
        <f ca="1"/>
        <v>45304</v>
      </c>
      <c r="K81">
        <f ca="1"/>
        <v>30.176898122578415</v>
      </c>
      <c r="L81">
        <f ca="1"/>
        <v>0</v>
      </c>
      <c r="M81">
        <f ca="1"/>
        <v>0.6002145397791887</v>
      </c>
      <c r="N81">
        <f ca="1"/>
        <v>0.18048270899874036</v>
      </c>
      <c r="O81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0.39116236916847658</v>
      </c>
      <c r="T81">
        <f ca="1"/>
        <v>0</v>
      </c>
      <c r="U81">
        <f ca="1"/>
        <v>0</v>
      </c>
      <c r="V81">
        <f ca="1"/>
        <v>0</v>
      </c>
      <c r="X81" s="2">
        <f t="shared" ca="1" si="8"/>
        <v>45304</v>
      </c>
      <c r="Y81">
        <f t="shared" ca="1" si="9"/>
        <v>0</v>
      </c>
      <c r="AA81" s="63">
        <f t="shared" ca="1" si="11"/>
        <v>30.176898122578415</v>
      </c>
      <c r="AB81" s="63">
        <f t="shared" ca="1" si="12"/>
        <v>30.176898122578415</v>
      </c>
      <c r="AC81" s="3">
        <f t="shared" ca="1" si="13"/>
        <v>0</v>
      </c>
    </row>
    <row r="82" spans="8:29">
      <c r="H82" t="b">
        <f t="shared" ca="1" si="10"/>
        <v>0</v>
      </c>
      <c r="I82" t="b">
        <f t="shared" ca="1" si="7"/>
        <v>0</v>
      </c>
      <c r="J82" s="2">
        <f ca="1"/>
        <v>45305</v>
      </c>
      <c r="K82">
        <f ca="1"/>
        <v>30.931997360276576</v>
      </c>
      <c r="L82">
        <f ca="1"/>
        <v>0</v>
      </c>
      <c r="M82">
        <f ca="1"/>
        <v>0.56993992450362052</v>
      </c>
      <c r="N82">
        <f ca="1"/>
        <v>0.18515931319453857</v>
      </c>
      <c r="O82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0.39858311672517133</v>
      </c>
      <c r="T82">
        <f ca="1"/>
        <v>0</v>
      </c>
      <c r="U82">
        <f ca="1"/>
        <v>0</v>
      </c>
      <c r="V82">
        <f ca="1"/>
        <v>0</v>
      </c>
      <c r="X82" s="2">
        <f t="shared" ca="1" si="8"/>
        <v>45305</v>
      </c>
      <c r="Y82">
        <f t="shared" ca="1" si="9"/>
        <v>0</v>
      </c>
      <c r="AA82" s="63">
        <f t="shared" ca="1" si="11"/>
        <v>30.931997360276576</v>
      </c>
      <c r="AB82" s="63">
        <f t="shared" ca="1" si="12"/>
        <v>30.931997360276576</v>
      </c>
      <c r="AC82" s="3">
        <f t="shared" ca="1" si="13"/>
        <v>0</v>
      </c>
    </row>
    <row r="83" spans="8:29">
      <c r="H83" t="b">
        <f t="shared" ca="1" si="10"/>
        <v>0</v>
      </c>
      <c r="I83" t="b">
        <f t="shared" ca="1" si="7"/>
        <v>0</v>
      </c>
      <c r="J83" s="2">
        <f ca="1"/>
        <v>45306</v>
      </c>
      <c r="K83">
        <f ca="1"/>
        <v>31.626101725378891</v>
      </c>
      <c r="L83">
        <f ca="1"/>
        <v>0</v>
      </c>
      <c r="M83">
        <f ca="1"/>
        <v>0.51117000801953072</v>
      </c>
      <c r="N83">
        <f ca="1"/>
        <v>0.18293435708278682</v>
      </c>
      <c r="O83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0.39071303094328058</v>
      </c>
      <c r="T83">
        <f ca="1"/>
        <v>0</v>
      </c>
      <c r="U83">
        <f ca="1"/>
        <v>0</v>
      </c>
      <c r="V83">
        <f ca="1"/>
        <v>0</v>
      </c>
      <c r="X83" s="2">
        <f t="shared" ca="1" si="8"/>
        <v>45306</v>
      </c>
      <c r="Y83">
        <f t="shared" ca="1" si="9"/>
        <v>0</v>
      </c>
      <c r="AA83" s="63">
        <f t="shared" ca="1" si="11"/>
        <v>31.626101725378891</v>
      </c>
      <c r="AB83" s="63">
        <f t="shared" ca="1" si="12"/>
        <v>31.626101725378891</v>
      </c>
      <c r="AC83" s="3">
        <f t="shared" ca="1" si="13"/>
        <v>0</v>
      </c>
    </row>
    <row r="84" spans="8:29">
      <c r="H84" t="b">
        <f t="shared" ca="1" si="10"/>
        <v>0</v>
      </c>
      <c r="I84" t="b">
        <f t="shared" ca="1" si="7"/>
        <v>0</v>
      </c>
      <c r="J84" s="2">
        <f ca="1"/>
        <v>45307</v>
      </c>
      <c r="K84">
        <f ca="1"/>
        <v>32.303700384937642</v>
      </c>
      <c r="L84">
        <f ca="1"/>
        <v>0</v>
      </c>
      <c r="M84">
        <f ca="1"/>
        <v>0.49043399021518708</v>
      </c>
      <c r="N84">
        <f ca="1"/>
        <v>0.18716466934356565</v>
      </c>
      <c r="O84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0.41003476037679321</v>
      </c>
      <c r="T84">
        <f ca="1"/>
        <v>0</v>
      </c>
      <c r="U84">
        <f ca="1"/>
        <v>0</v>
      </c>
      <c r="V84">
        <f ca="1"/>
        <v>0</v>
      </c>
      <c r="X84" s="2">
        <f t="shared" ca="1" si="8"/>
        <v>45307</v>
      </c>
      <c r="Y84">
        <f t="shared" ca="1" si="9"/>
        <v>0</v>
      </c>
      <c r="AA84" s="63">
        <f t="shared" ca="1" si="11"/>
        <v>32.303700384937642</v>
      </c>
      <c r="AB84" s="63">
        <f t="shared" ca="1" si="12"/>
        <v>32.303700384937642</v>
      </c>
      <c r="AC84" s="3">
        <f t="shared" ca="1" si="13"/>
        <v>0</v>
      </c>
    </row>
    <row r="85" spans="8:29">
      <c r="H85" t="b">
        <f t="shared" ca="1" si="10"/>
        <v>0</v>
      </c>
      <c r="I85" t="b">
        <f t="shared" ca="1" si="7"/>
        <v>0</v>
      </c>
      <c r="J85" s="2">
        <f ca="1"/>
        <v>45308</v>
      </c>
      <c r="K85">
        <f ca="1"/>
        <v>32.950279184981255</v>
      </c>
      <c r="L85">
        <f ca="1"/>
        <v>0</v>
      </c>
      <c r="M85">
        <f ca="1"/>
        <v>0.45849471547460929</v>
      </c>
      <c r="N85">
        <f ca="1"/>
        <v>0.18808408456900905</v>
      </c>
      <c r="O85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0.42668411617156821</v>
      </c>
      <c r="T85">
        <f ca="1"/>
        <v>0</v>
      </c>
      <c r="U85">
        <f ca="1"/>
        <v>0</v>
      </c>
      <c r="V85">
        <f ca="1"/>
        <v>0</v>
      </c>
      <c r="X85" s="2">
        <f t="shared" ca="1" si="8"/>
        <v>45308</v>
      </c>
      <c r="Y85">
        <f t="shared" ca="1" si="9"/>
        <v>0</v>
      </c>
      <c r="AA85" s="63">
        <f t="shared" ca="1" si="11"/>
        <v>32.950279184981255</v>
      </c>
      <c r="AB85" s="63">
        <f t="shared" ca="1" si="12"/>
        <v>32.950279184981255</v>
      </c>
      <c r="AC85" s="3">
        <f t="shared" ca="1" si="13"/>
        <v>0</v>
      </c>
    </row>
    <row r="86" spans="8:29">
      <c r="H86" t="b">
        <f t="shared" ca="1" si="10"/>
        <v>0</v>
      </c>
      <c r="I86" t="b">
        <f t="shared" ca="1" si="7"/>
        <v>0</v>
      </c>
      <c r="J86" s="2">
        <f ca="1"/>
        <v>45309</v>
      </c>
      <c r="K86">
        <f ca="1"/>
        <v>33.563106185514783</v>
      </c>
      <c r="L86">
        <f ca="1"/>
        <v>0</v>
      </c>
      <c r="M86">
        <f ca="1"/>
        <v>0.4230059578465859</v>
      </c>
      <c r="N86">
        <f ca="1"/>
        <v>0.18982104268694752</v>
      </c>
      <c r="O86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0.43096578115406969</v>
      </c>
      <c r="T86">
        <f ca="1"/>
        <v>0</v>
      </c>
      <c r="U86">
        <f ca="1"/>
        <v>0</v>
      </c>
      <c r="V86">
        <f ca="1"/>
        <v>0</v>
      </c>
      <c r="X86" s="2">
        <f t="shared" ca="1" si="8"/>
        <v>45309</v>
      </c>
      <c r="Y86">
        <f t="shared" ca="1" si="9"/>
        <v>0</v>
      </c>
      <c r="AA86" s="63">
        <f t="shared" ca="1" si="11"/>
        <v>33.563106185514783</v>
      </c>
      <c r="AB86" s="63">
        <f t="shared" ca="1" si="12"/>
        <v>33.563106185514783</v>
      </c>
      <c r="AC86" s="3">
        <f t="shared" ca="1" si="13"/>
        <v>0</v>
      </c>
    </row>
    <row r="87" spans="8:29">
      <c r="H87" t="b">
        <f t="shared" ca="1" si="10"/>
        <v>0</v>
      </c>
      <c r="I87" t="b">
        <f t="shared" ca="1" si="7"/>
        <v>0</v>
      </c>
      <c r="J87" s="2">
        <f ca="1"/>
        <v>45310</v>
      </c>
      <c r="K87">
        <f ca="1"/>
        <v>34.153494043454629</v>
      </c>
      <c r="L87">
        <f ca="1"/>
        <v>0</v>
      </c>
      <c r="M87">
        <f ca="1"/>
        <v>0.39548933445688661</v>
      </c>
      <c r="N87">
        <f ca="1"/>
        <v>0.19489852348295877</v>
      </c>
      <c r="O87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0.43484724664368124</v>
      </c>
      <c r="T87">
        <f ca="1"/>
        <v>0</v>
      </c>
      <c r="U87">
        <f ca="1"/>
        <v>0</v>
      </c>
      <c r="V87">
        <f ca="1"/>
        <v>0</v>
      </c>
      <c r="X87" s="2">
        <f t="shared" ca="1" si="8"/>
        <v>45310</v>
      </c>
      <c r="Y87">
        <f t="shared" ca="1" si="9"/>
        <v>0</v>
      </c>
      <c r="AA87" s="63">
        <f t="shared" ca="1" si="11"/>
        <v>34.153494043454629</v>
      </c>
      <c r="AB87" s="63">
        <f t="shared" ca="1" si="12"/>
        <v>34.153494043454629</v>
      </c>
      <c r="AC87" s="3">
        <f t="shared" ca="1" si="13"/>
        <v>0</v>
      </c>
    </row>
    <row r="88" spans="8:29">
      <c r="H88" t="b">
        <f t="shared" ca="1" si="10"/>
        <v>0</v>
      </c>
      <c r="I88" t="b">
        <f t="shared" ca="1" si="7"/>
        <v>0</v>
      </c>
      <c r="J88" s="2">
        <f ca="1"/>
        <v>45311</v>
      </c>
      <c r="K88">
        <f ca="1"/>
        <v>34.691697071106233</v>
      </c>
      <c r="L88">
        <f ca="1"/>
        <v>0</v>
      </c>
      <c r="M88">
        <f ca="1"/>
        <v>0.34732566636963114</v>
      </c>
      <c r="N88">
        <f ca="1"/>
        <v>0.1908773612819725</v>
      </c>
      <c r="O88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0.42258355189666952</v>
      </c>
      <c r="T88">
        <f ca="1"/>
        <v>0</v>
      </c>
      <c r="U88">
        <f ca="1"/>
        <v>0</v>
      </c>
      <c r="V88">
        <f ca="1"/>
        <v>0</v>
      </c>
      <c r="X88" s="2">
        <f t="shared" ca="1" si="8"/>
        <v>45311</v>
      </c>
      <c r="Y88">
        <f t="shared" ca="1" si="9"/>
        <v>0</v>
      </c>
      <c r="AA88" s="63">
        <f t="shared" ca="1" si="11"/>
        <v>34.691697071106226</v>
      </c>
      <c r="AB88" s="63">
        <f t="shared" ca="1" si="12"/>
        <v>34.691697071106233</v>
      </c>
      <c r="AC88" s="3">
        <f t="shared" ca="1" si="13"/>
        <v>0</v>
      </c>
    </row>
    <row r="89" spans="8:29">
      <c r="H89" t="b">
        <f t="shared" ca="1" si="10"/>
        <v>0</v>
      </c>
      <c r="I89" t="b">
        <f t="shared" ca="1" si="7"/>
        <v>0</v>
      </c>
      <c r="J89" s="2">
        <f ca="1"/>
        <v>45312</v>
      </c>
      <c r="K89">
        <f ca="1"/>
        <v>35.289089378527379</v>
      </c>
      <c r="L89">
        <f ca="1"/>
        <v>0</v>
      </c>
      <c r="M89">
        <f ca="1"/>
        <v>0.37618167085559762</v>
      </c>
      <c r="N89">
        <f ca="1"/>
        <v>0.22121063656555082</v>
      </c>
      <c r="O89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0.52286000250209563</v>
      </c>
      <c r="T89">
        <f ca="1"/>
        <v>0</v>
      </c>
      <c r="U89">
        <f ca="1"/>
        <v>0</v>
      </c>
      <c r="V89">
        <f ca="1"/>
        <v>0</v>
      </c>
      <c r="X89" s="2">
        <f t="shared" ca="1" si="8"/>
        <v>45312</v>
      </c>
      <c r="Y89">
        <f t="shared" ca="1" si="9"/>
        <v>0</v>
      </c>
      <c r="AA89" s="63">
        <f t="shared" ca="1" si="11"/>
        <v>35.289089378527386</v>
      </c>
      <c r="AB89" s="63">
        <f t="shared" ca="1" si="12"/>
        <v>35.289089378527379</v>
      </c>
      <c r="AC89" s="3">
        <f t="shared" ca="1" si="13"/>
        <v>0</v>
      </c>
    </row>
    <row r="90" spans="8:29">
      <c r="H90" t="b">
        <f t="shared" ca="1" si="10"/>
        <v>0</v>
      </c>
      <c r="I90" t="b">
        <f t="shared" ca="1" si="7"/>
        <v>0</v>
      </c>
      <c r="J90" s="2">
        <f ca="1"/>
        <v>45313</v>
      </c>
      <c r="K90">
        <f ca="1"/>
        <v>35.856719899939868</v>
      </c>
      <c r="L90">
        <f ca="1"/>
        <v>0</v>
      </c>
      <c r="M90">
        <f ca="1"/>
        <v>0.33756298983654887</v>
      </c>
      <c r="N90">
        <f ca="1"/>
        <v>0.23006753157594262</v>
      </c>
      <c r="O90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0.54752129931863402</v>
      </c>
      <c r="T90">
        <f ca="1"/>
        <v>0</v>
      </c>
      <c r="U90">
        <f ca="1"/>
        <v>0</v>
      </c>
      <c r="V90">
        <f ca="1"/>
        <v>0</v>
      </c>
      <c r="X90" s="2">
        <f t="shared" ca="1" si="8"/>
        <v>45313</v>
      </c>
      <c r="Y90">
        <f t="shared" ca="1" si="9"/>
        <v>0</v>
      </c>
      <c r="AA90" s="63">
        <f t="shared" ca="1" si="11"/>
        <v>35.856719899939868</v>
      </c>
      <c r="AB90" s="63">
        <f t="shared" ca="1" si="12"/>
        <v>35.856719899939868</v>
      </c>
      <c r="AC90" s="3">
        <f t="shared" ca="1" si="13"/>
        <v>0</v>
      </c>
    </row>
    <row r="91" spans="8:29">
      <c r="H91" t="b">
        <f t="shared" ca="1" si="10"/>
        <v>0</v>
      </c>
      <c r="I91" t="b">
        <f t="shared" ca="1" si="7"/>
        <v>0</v>
      </c>
      <c r="J91" s="2">
        <f ca="1"/>
        <v>45314</v>
      </c>
      <c r="K91">
        <f ca="1"/>
        <v>36.38861779240338</v>
      </c>
      <c r="L91">
        <f ca="1"/>
        <v>0</v>
      </c>
      <c r="M91">
        <f ca="1"/>
        <v>0.30132135269845151</v>
      </c>
      <c r="N91">
        <f ca="1"/>
        <v>0.2305765397650627</v>
      </c>
      <c r="O91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0.54808693450011237</v>
      </c>
      <c r="T91">
        <f ca="1"/>
        <v>0</v>
      </c>
      <c r="U91">
        <f ca="1"/>
        <v>0</v>
      </c>
      <c r="V91">
        <f ca="1"/>
        <v>0</v>
      </c>
      <c r="X91" s="2">
        <f t="shared" ca="1" si="8"/>
        <v>45314</v>
      </c>
      <c r="Y91">
        <f t="shared" ca="1" si="9"/>
        <v>0</v>
      </c>
      <c r="AA91" s="63">
        <f t="shared" ca="1" si="11"/>
        <v>36.38861779240338</v>
      </c>
      <c r="AB91" s="63">
        <f t="shared" ca="1" si="12"/>
        <v>36.38861779240338</v>
      </c>
      <c r="AC91" s="3">
        <f t="shared" ca="1" si="13"/>
        <v>0</v>
      </c>
    </row>
    <row r="92" spans="8:29">
      <c r="H92" t="b">
        <f t="shared" ca="1" si="10"/>
        <v>0</v>
      </c>
      <c r="I92" t="b">
        <f t="shared" ca="1" si="7"/>
        <v>0</v>
      </c>
      <c r="J92" s="2">
        <f ca="1"/>
        <v>45315</v>
      </c>
      <c r="K92">
        <f ca="1"/>
        <v>36.89449240344581</v>
      </c>
      <c r="L92">
        <f ca="1"/>
        <v>0</v>
      </c>
      <c r="M92">
        <f ca="1"/>
        <v>0.26933168079787873</v>
      </c>
      <c r="N92">
        <f ca="1"/>
        <v>0.23654293024455408</v>
      </c>
      <c r="O92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0.5651099003250295</v>
      </c>
      <c r="T92">
        <f ca="1"/>
        <v>0</v>
      </c>
      <c r="U92">
        <f ca="1"/>
        <v>0</v>
      </c>
      <c r="V92">
        <f ca="1"/>
        <v>0</v>
      </c>
      <c r="X92" s="2">
        <f t="shared" ca="1" si="8"/>
        <v>45315</v>
      </c>
      <c r="Y92">
        <f t="shared" ca="1" si="9"/>
        <v>0</v>
      </c>
      <c r="AA92" s="63">
        <f t="shared" ca="1" si="11"/>
        <v>36.89449240344581</v>
      </c>
      <c r="AB92" s="63">
        <f t="shared" ca="1" si="12"/>
        <v>36.89449240344581</v>
      </c>
      <c r="AC92" s="3">
        <f t="shared" ca="1" si="13"/>
        <v>0</v>
      </c>
    </row>
    <row r="93" spans="8:29">
      <c r="H93" t="b">
        <f t="shared" ca="1" si="10"/>
        <v>0</v>
      </c>
      <c r="I93" t="b">
        <f t="shared" ca="1" si="7"/>
        <v>0</v>
      </c>
      <c r="J93" s="2">
        <f ca="1"/>
        <v>45316</v>
      </c>
      <c r="K93">
        <f ca="1"/>
        <v>37.384070976465097</v>
      </c>
      <c r="L93">
        <f ca="1"/>
        <v>0</v>
      </c>
      <c r="M93">
        <f ca="1"/>
        <v>0.24375753569599645</v>
      </c>
      <c r="N93">
        <f ca="1"/>
        <v>0.24582103732328706</v>
      </c>
      <c r="O93">
        <f ca="1"/>
        <v>0</v>
      </c>
      <c r="P93">
        <f ca="1"/>
        <v>1.3643302726702207</v>
      </c>
      <c r="Q93">
        <f ca="1"/>
        <v>1.2481095457390539</v>
      </c>
      <c r="R93">
        <f ca="1"/>
        <v>0</v>
      </c>
      <c r="S93">
        <f ca="1"/>
        <v>0.58146497510149153</v>
      </c>
      <c r="T93">
        <f ca="1"/>
        <v>0</v>
      </c>
      <c r="U93">
        <f ca="1"/>
        <v>0</v>
      </c>
      <c r="V93">
        <f ca="1"/>
        <v>7.6856000655110826E-3</v>
      </c>
      <c r="X93" s="2">
        <f t="shared" ca="1" si="8"/>
        <v>45316</v>
      </c>
      <c r="Y93">
        <f t="shared" ca="1" si="9"/>
        <v>0</v>
      </c>
      <c r="AA93" s="63">
        <f t="shared" ca="1" si="11"/>
        <v>37.384070976465097</v>
      </c>
      <c r="AB93" s="63">
        <f t="shared" ca="1" si="12"/>
        <v>37.384070976465097</v>
      </c>
      <c r="AC93" s="3">
        <f t="shared" ca="1" si="13"/>
        <v>0</v>
      </c>
    </row>
    <row r="94" spans="8:29">
      <c r="H94" t="b">
        <f t="shared" ca="1" si="10"/>
        <v>0</v>
      </c>
      <c r="I94" t="b">
        <f t="shared" ca="1" si="7"/>
        <v>0</v>
      </c>
      <c r="J94" s="2">
        <f ca="1"/>
        <v>45317</v>
      </c>
      <c r="K94">
        <f ca="1"/>
        <v>37.766051084755254</v>
      </c>
      <c r="L94">
        <f ca="1"/>
        <v>7.8094620946554061E-2</v>
      </c>
      <c r="M94">
        <f ca="1"/>
        <v>0.21874816515066087</v>
      </c>
      <c r="N94">
        <f ca="1"/>
        <v>0.24132656408604741</v>
      </c>
      <c r="O94">
        <f ca="1"/>
        <v>0</v>
      </c>
      <c r="P94">
        <f ca="1"/>
        <v>1.4424248936167747</v>
      </c>
      <c r="Q94">
        <f ca="1"/>
        <v>1.3195516619383088</v>
      </c>
      <c r="R94">
        <f ca="1"/>
        <v>0</v>
      </c>
      <c r="S94">
        <f ca="1"/>
        <v>0.56110181849211604</v>
      </c>
      <c r="T94">
        <f ca="1"/>
        <v>0</v>
      </c>
      <c r="U94">
        <f ca="1"/>
        <v>0</v>
      </c>
      <c r="V94">
        <f ca="1"/>
        <v>8.8318743904248764E-3</v>
      </c>
      <c r="X94" s="2">
        <f t="shared" ca="1" si="8"/>
        <v>45317</v>
      </c>
      <c r="Y94">
        <f t="shared" ca="1" si="9"/>
        <v>0</v>
      </c>
      <c r="AA94" s="63">
        <f t="shared" ca="1" si="11"/>
        <v>37.844145705701798</v>
      </c>
      <c r="AB94" s="63">
        <f t="shared" ca="1" si="12"/>
        <v>37.844145705701806</v>
      </c>
      <c r="AC94" s="3">
        <f t="shared" ca="1" si="13"/>
        <v>0</v>
      </c>
    </row>
    <row r="95" spans="8:29">
      <c r="H95" t="b">
        <f t="shared" ca="1" si="10"/>
        <v>0</v>
      </c>
      <c r="I95" t="b">
        <f t="shared" ca="1" si="7"/>
        <v>0</v>
      </c>
      <c r="J95" s="2">
        <f ca="1"/>
        <v>45318</v>
      </c>
      <c r="K95">
        <f ca="1"/>
        <v>38.111152410838351</v>
      </c>
      <c r="L95">
        <f ca="1"/>
        <v>8.1088395114433887E-2</v>
      </c>
      <c r="M95">
        <f ca="1"/>
        <v>0.19057345176891971</v>
      </c>
      <c r="N95">
        <f ca="1"/>
        <v>0.23561626942861394</v>
      </c>
      <c r="O95">
        <f ca="1"/>
        <v>0</v>
      </c>
      <c r="P95">
        <f ca="1"/>
        <v>1.5235132887312086</v>
      </c>
      <c r="Q95">
        <f ca="1"/>
        <v>1.3937325270985501</v>
      </c>
      <c r="R95">
        <f ca="1"/>
        <v>0</v>
      </c>
      <c r="S95">
        <f ca="1"/>
        <v>0.5610653639817349</v>
      </c>
      <c r="T95">
        <f ca="1"/>
        <v>0</v>
      </c>
      <c r="U95">
        <f ca="1"/>
        <v>0</v>
      </c>
      <c r="V95">
        <f ca="1"/>
        <v>1.0123464941384011E-2</v>
      </c>
      <c r="X95" s="2">
        <f t="shared" ca="1" si="8"/>
        <v>45318</v>
      </c>
      <c r="Y95">
        <f t="shared" ca="1" si="9"/>
        <v>0</v>
      </c>
      <c r="AA95" s="63">
        <f t="shared" ca="1" si="11"/>
        <v>38.192240805952785</v>
      </c>
      <c r="AB95" s="63">
        <f t="shared" ca="1" si="12"/>
        <v>38.192240805952785</v>
      </c>
      <c r="AC95" s="3">
        <f t="shared" ca="1" si="13"/>
        <v>0</v>
      </c>
    </row>
    <row r="96" spans="8:29">
      <c r="H96" t="b">
        <f t="shared" ca="1" si="10"/>
        <v>0</v>
      </c>
      <c r="I96" t="b">
        <f t="shared" ca="1" si="7"/>
        <v>0</v>
      </c>
      <c r="J96" s="2">
        <f ca="1"/>
        <v>45319</v>
      </c>
      <c r="K96">
        <f ca="1"/>
        <v>38.43091208103116</v>
      </c>
      <c r="L96">
        <f ca="1"/>
        <v>8.634590961511357E-2</v>
      </c>
      <c r="M96">
        <f ca="1"/>
        <v>0.17205322748378471</v>
      </c>
      <c r="N96">
        <f ca="1"/>
        <v>0.23405235232413535</v>
      </c>
      <c r="O96">
        <f ca="1"/>
        <v>0</v>
      </c>
      <c r="P96">
        <f ca="1"/>
        <v>1.6098591983463222</v>
      </c>
      <c r="Q96">
        <f ca="1"/>
        <v>1.4727230444131167</v>
      </c>
      <c r="R96">
        <f ca="1"/>
        <v>0</v>
      </c>
      <c r="S96">
        <f ca="1"/>
        <v>0.54731407324130255</v>
      </c>
      <c r="T96">
        <f ca="1"/>
        <v>0</v>
      </c>
      <c r="U96">
        <f ca="1"/>
        <v>0</v>
      </c>
      <c r="V96">
        <f ca="1"/>
        <v>1.1614980031632017E-2</v>
      </c>
      <c r="X96" s="2">
        <f t="shared" ca="1" si="8"/>
        <v>45319</v>
      </c>
      <c r="Y96">
        <f t="shared" ca="1" si="9"/>
        <v>0</v>
      </c>
      <c r="AA96" s="63">
        <f t="shared" ca="1" si="11"/>
        <v>38.517257990646272</v>
      </c>
      <c r="AB96" s="63">
        <f t="shared" ca="1" si="12"/>
        <v>38.517257990646272</v>
      </c>
      <c r="AC96" s="3">
        <f t="shared" ca="1" si="13"/>
        <v>0</v>
      </c>
    </row>
    <row r="97" spans="8:29">
      <c r="H97" t="b">
        <f t="shared" ca="1" si="10"/>
        <v>0</v>
      </c>
      <c r="I97" t="b">
        <f t="shared" ca="1" si="7"/>
        <v>0</v>
      </c>
      <c r="J97" s="2">
        <f ca="1"/>
        <v>45320</v>
      </c>
      <c r="K97">
        <f ca="1"/>
        <v>38.730202028303403</v>
      </c>
      <c r="L97">
        <f ca="1"/>
        <v>9.2364825318269617E-2</v>
      </c>
      <c r="M97">
        <f ca="1"/>
        <v>0.15614025866441228</v>
      </c>
      <c r="N97">
        <f ca="1"/>
        <v>0.23551451392609929</v>
      </c>
      <c r="O97">
        <f ca="1"/>
        <v>0</v>
      </c>
      <c r="P97">
        <f ca="1"/>
        <v>1.7022240236645918</v>
      </c>
      <c r="Q97">
        <f ca="1"/>
        <v>1.5572197549820523</v>
      </c>
      <c r="R97">
        <f ca="1"/>
        <v>0</v>
      </c>
      <c r="S97">
        <f ca="1"/>
        <v>0.53895588081115808</v>
      </c>
      <c r="T97">
        <f ca="1"/>
        <v>0</v>
      </c>
      <c r="U97">
        <f ca="1"/>
        <v>0</v>
      </c>
      <c r="V97">
        <f ca="1"/>
        <v>1.3346078082422649E-2</v>
      </c>
      <c r="X97" s="2">
        <f t="shared" ca="1" si="8"/>
        <v>45320</v>
      </c>
      <c r="Y97">
        <f t="shared" ca="1" si="9"/>
        <v>0</v>
      </c>
      <c r="AA97" s="63">
        <f t="shared" ca="1" si="11"/>
        <v>38.822566853621673</v>
      </c>
      <c r="AB97" s="63">
        <f t="shared" ca="1" si="12"/>
        <v>38.822566853621673</v>
      </c>
      <c r="AC97" s="3">
        <f t="shared" ca="1" si="13"/>
        <v>0</v>
      </c>
    </row>
    <row r="98" spans="8:29">
      <c r="H98" t="b">
        <f t="shared" ca="1" si="10"/>
        <v>0</v>
      </c>
      <c r="I98" t="b">
        <f t="shared" ca="1" si="7"/>
        <v>0</v>
      </c>
      <c r="J98" s="2">
        <f ca="1"/>
        <v>45321</v>
      </c>
      <c r="K98">
        <f ca="1"/>
        <v>39.015818263288665</v>
      </c>
      <c r="L98">
        <f ca="1"/>
        <v>9.8850290287640474E-2</v>
      </c>
      <c r="M98">
        <f ca="1"/>
        <v>0.1416438532304003</v>
      </c>
      <c r="N98">
        <f ca="1"/>
        <v>0.24282267204250516</v>
      </c>
      <c r="O98">
        <f ca="1"/>
        <v>0</v>
      </c>
      <c r="P98">
        <f ca="1"/>
        <v>1.8010743139522323</v>
      </c>
      <c r="Q98">
        <f ca="1"/>
        <v>1.647649464985931</v>
      </c>
      <c r="R98">
        <f ca="1"/>
        <v>0</v>
      </c>
      <c r="S98">
        <f ca="1"/>
        <v>0.54902676134385164</v>
      </c>
      <c r="T98">
        <f ca="1"/>
        <v>0</v>
      </c>
      <c r="U98">
        <f ca="1"/>
        <v>0</v>
      </c>
      <c r="V98">
        <f ca="1"/>
        <v>1.5357350726274137E-2</v>
      </c>
      <c r="X98" s="2">
        <f t="shared" ca="1" si="8"/>
        <v>45321</v>
      </c>
      <c r="Y98">
        <f t="shared" ca="1" si="9"/>
        <v>0</v>
      </c>
      <c r="AA98" s="63">
        <f t="shared" ca="1" si="11"/>
        <v>39.114668553576308</v>
      </c>
      <c r="AB98" s="63">
        <f t="shared" ca="1" si="12"/>
        <v>39.114668553576308</v>
      </c>
      <c r="AC98" s="3">
        <f t="shared" ca="1" si="13"/>
        <v>0</v>
      </c>
    </row>
    <row r="99" spans="8:29">
      <c r="H99" t="b">
        <f t="shared" ca="1" si="10"/>
        <v>0</v>
      </c>
      <c r="I99" t="b">
        <f t="shared" ca="1" si="7"/>
        <v>0</v>
      </c>
      <c r="J99" s="2">
        <f ca="1"/>
        <v>45322</v>
      </c>
      <c r="K99">
        <f ca="1"/>
        <v>39.281444214306738</v>
      </c>
      <c r="L99">
        <f ca="1"/>
        <v>0.10420660549848337</v>
      </c>
      <c r="M99">
        <f ca="1"/>
        <v>0.12598660871839051</v>
      </c>
      <c r="N99">
        <f ca="1"/>
        <v>0.24384594779816357</v>
      </c>
      <c r="O99">
        <f ca="1"/>
        <v>0</v>
      </c>
      <c r="P99">
        <f ca="1"/>
        <v>1.9052809194507156</v>
      </c>
      <c r="Q99">
        <f ca="1"/>
        <v>1.7429792114975065</v>
      </c>
      <c r="R99">
        <f ca="1"/>
        <v>0</v>
      </c>
      <c r="S99">
        <f ca="1"/>
        <v>0.55541736933239416</v>
      </c>
      <c r="T99">
        <f ca="1"/>
        <v>0</v>
      </c>
      <c r="U99">
        <f ca="1"/>
        <v>0</v>
      </c>
      <c r="V99">
        <f ca="1"/>
        <v>1.765878361383123E-2</v>
      </c>
      <c r="X99" s="2">
        <f t="shared" ca="1" si="8"/>
        <v>45322</v>
      </c>
      <c r="Y99">
        <f t="shared" ca="1" si="9"/>
        <v>0</v>
      </c>
      <c r="AA99" s="63">
        <f t="shared" ca="1" si="11"/>
        <v>39.385650819805221</v>
      </c>
      <c r="AB99" s="63">
        <f t="shared" ca="1" si="12"/>
        <v>39.385650819805221</v>
      </c>
      <c r="AC99" s="3">
        <f t="shared" ca="1" si="13"/>
        <v>0</v>
      </c>
    </row>
    <row r="100" spans="8:29">
      <c r="H100" t="b">
        <f t="shared" ca="1" si="10"/>
        <v>0</v>
      </c>
      <c r="I100" t="b">
        <f t="shared" ca="1" si="7"/>
        <v>0</v>
      </c>
      <c r="J100" s="2">
        <f ca="1"/>
        <v>45323</v>
      </c>
      <c r="K100">
        <f ca="1"/>
        <v>39.522620281525953</v>
      </c>
      <c r="L100">
        <f ca="1"/>
        <v>0.11074810459259932</v>
      </c>
      <c r="M100">
        <f ca="1"/>
        <v>0.11353636474541418</v>
      </c>
      <c r="N100">
        <f ca="1"/>
        <v>0.23838780706640345</v>
      </c>
      <c r="O100">
        <f ca="1"/>
        <v>0</v>
      </c>
      <c r="P100">
        <f ca="1"/>
        <v>2.016029024043315</v>
      </c>
      <c r="Q100">
        <f ca="1"/>
        <v>1.8442932182914769</v>
      </c>
      <c r="R100">
        <f ca="1"/>
        <v>0</v>
      </c>
      <c r="S100">
        <f ca="1"/>
        <v>0.5329807660947492</v>
      </c>
      <c r="T100">
        <f ca="1"/>
        <v>0</v>
      </c>
      <c r="U100">
        <f ca="1"/>
        <v>0</v>
      </c>
      <c r="V100">
        <f ca="1"/>
        <v>2.0312355311027739E-2</v>
      </c>
      <c r="X100" s="2">
        <f t="shared" ca="1" si="8"/>
        <v>45323</v>
      </c>
      <c r="Y100">
        <f t="shared" ca="1" si="9"/>
        <v>0</v>
      </c>
      <c r="AA100" s="63">
        <f t="shared" ca="1" si="11"/>
        <v>39.633368386118555</v>
      </c>
      <c r="AB100" s="63">
        <f t="shared" ca="1" si="12"/>
        <v>39.633368386118555</v>
      </c>
      <c r="AC100" s="3">
        <f t="shared" ca="1" si="13"/>
        <v>0</v>
      </c>
    </row>
    <row r="101" spans="8:29">
      <c r="H101" t="b">
        <f t="shared" ca="1" si="10"/>
        <v>0</v>
      </c>
      <c r="I101" t="b">
        <f t="shared" ca="1" si="7"/>
        <v>0</v>
      </c>
      <c r="J101" s="2">
        <f ca="1"/>
        <v>45324</v>
      </c>
      <c r="K101">
        <f ca="1"/>
        <v>39.749209374896949</v>
      </c>
      <c r="L101">
        <f ca="1"/>
        <v>0.11577409654873616</v>
      </c>
      <c r="M101">
        <f ca="1"/>
        <v>0.10035995989924373</v>
      </c>
      <c r="N101">
        <f ca="1"/>
        <v>0.2420032300204841</v>
      </c>
      <c r="O101">
        <f ca="1"/>
        <v>0</v>
      </c>
      <c r="P101">
        <f ca="1"/>
        <v>2.1318031205920511</v>
      </c>
      <c r="Q101">
        <f ca="1"/>
        <v>1.9502050769860617</v>
      </c>
      <c r="R101">
        <f ca="1"/>
        <v>0</v>
      </c>
      <c r="S101">
        <f ca="1"/>
        <v>0.55617772020059508</v>
      </c>
      <c r="T101">
        <f ca="1"/>
        <v>0</v>
      </c>
      <c r="U101">
        <f ca="1"/>
        <v>0</v>
      </c>
      <c r="V101">
        <f ca="1"/>
        <v>2.3319003051522038E-2</v>
      </c>
      <c r="X101" s="2">
        <f t="shared" ca="1" si="8"/>
        <v>45324</v>
      </c>
      <c r="Y101">
        <f t="shared" ca="1" si="9"/>
        <v>0</v>
      </c>
      <c r="AA101" s="63">
        <f t="shared" ca="1" si="11"/>
        <v>39.864983471445683</v>
      </c>
      <c r="AB101" s="63">
        <f t="shared" ca="1" si="12"/>
        <v>39.864983471445683</v>
      </c>
      <c r="AC101" s="3">
        <f t="shared" ca="1" si="13"/>
        <v>0</v>
      </c>
    </row>
    <row r="102" spans="8:29">
      <c r="H102" t="b">
        <f t="shared" ca="1" si="10"/>
        <v>0</v>
      </c>
      <c r="I102" t="b">
        <f t="shared" ca="1" si="7"/>
        <v>0</v>
      </c>
      <c r="J102" s="2">
        <f ca="1"/>
        <v>45325</v>
      </c>
      <c r="K102">
        <f ca="1"/>
        <v>39.948871055394257</v>
      </c>
      <c r="L102">
        <f ca="1"/>
        <v>0.12092947281792732</v>
      </c>
      <c r="M102">
        <f ca="1"/>
        <v>8.9097517696643536E-2</v>
      </c>
      <c r="N102">
        <f ca="1"/>
        <v>0.23149363561859237</v>
      </c>
      <c r="O102">
        <f ca="1"/>
        <v>0</v>
      </c>
      <c r="P102">
        <f ca="1"/>
        <v>2.2527325934099784</v>
      </c>
      <c r="Q102">
        <f ca="1"/>
        <v>2.0608331502676469</v>
      </c>
      <c r="R102">
        <f ca="1"/>
        <v>0</v>
      </c>
      <c r="S102">
        <f ca="1"/>
        <v>0.53466513119736436</v>
      </c>
      <c r="T102">
        <f ca="1"/>
        <v>0</v>
      </c>
      <c r="U102">
        <f ca="1"/>
        <v>0</v>
      </c>
      <c r="V102">
        <f ca="1"/>
        <v>2.6717217276116829E-2</v>
      </c>
      <c r="X102" s="2">
        <f t="shared" ca="1" si="8"/>
        <v>45325</v>
      </c>
      <c r="Y102">
        <f t="shared" ca="1" si="9"/>
        <v>0</v>
      </c>
      <c r="AA102" s="63">
        <f t="shared" ca="1" si="11"/>
        <v>40.069800528212184</v>
      </c>
      <c r="AB102" s="63">
        <f t="shared" ca="1" si="12"/>
        <v>40.069800528212184</v>
      </c>
      <c r="AC102" s="3">
        <f t="shared" ca="1" si="13"/>
        <v>0</v>
      </c>
    </row>
    <row r="103" spans="8:29">
      <c r="H103" t="b">
        <f t="shared" ca="1" si="10"/>
        <v>0</v>
      </c>
      <c r="I103" t="b">
        <f t="shared" ca="1" si="7"/>
        <v>0</v>
      </c>
      <c r="J103" s="2">
        <f ca="1"/>
        <v>45326</v>
      </c>
      <c r="K103">
        <f ca="1"/>
        <v>40.136590403847705</v>
      </c>
      <c r="L103">
        <f ca="1"/>
        <v>0.12349885035942076</v>
      </c>
      <c r="M103">
        <f ca="1"/>
        <v>7.7381794973524265E-2</v>
      </c>
      <c r="N103">
        <f ca="1"/>
        <v>0.23383640383934234</v>
      </c>
      <c r="O103">
        <f ca="1"/>
        <v>0</v>
      </c>
      <c r="P103">
        <f ca="1"/>
        <v>2.3762314437693992</v>
      </c>
      <c r="Q103">
        <f ca="1"/>
        <v>2.173811728189043</v>
      </c>
      <c r="R103">
        <f ca="1"/>
        <v>0</v>
      </c>
      <c r="S103">
        <f ca="1"/>
        <v>0.57626748642783443</v>
      </c>
      <c r="T103">
        <f ca="1"/>
        <v>0</v>
      </c>
      <c r="U103">
        <f ca="1"/>
        <v>0</v>
      </c>
      <c r="V103">
        <f ca="1"/>
        <v>3.0462679453284233E-2</v>
      </c>
      <c r="X103" s="2">
        <f t="shared" ca="1" si="8"/>
        <v>45326</v>
      </c>
      <c r="Y103">
        <f t="shared" ca="1" si="9"/>
        <v>0</v>
      </c>
      <c r="AA103" s="63">
        <f t="shared" ca="1" si="11"/>
        <v>40.260089254207124</v>
      </c>
      <c r="AB103" s="63">
        <f t="shared" ca="1" si="12"/>
        <v>40.260089254207124</v>
      </c>
      <c r="AC103" s="3">
        <f t="shared" ca="1" si="13"/>
        <v>0</v>
      </c>
    </row>
    <row r="104" spans="8:29">
      <c r="H104" t="b">
        <f t="shared" ca="1" si="10"/>
        <v>0</v>
      </c>
      <c r="I104" t="b">
        <f t="shared" ca="1" si="7"/>
        <v>0</v>
      </c>
      <c r="J104" s="2">
        <f ca="1"/>
        <v>45327</v>
      </c>
      <c r="K104">
        <f ca="1"/>
        <v>40.317282852868445</v>
      </c>
      <c r="L104">
        <f ca="1"/>
        <v>0.13353946497669478</v>
      </c>
      <c r="M104">
        <f ca="1"/>
        <v>7.2746373275240472E-2</v>
      </c>
      <c r="N104">
        <f ca="1"/>
        <v>0.24148554072218673</v>
      </c>
      <c r="O104">
        <f ca="1"/>
        <v>0</v>
      </c>
      <c r="P104">
        <f ca="1"/>
        <v>2.509770908746094</v>
      </c>
      <c r="Q104">
        <f ca="1"/>
        <v>2.2959756091121677</v>
      </c>
      <c r="R104">
        <f ca="1"/>
        <v>0</v>
      </c>
      <c r="S104">
        <f ca="1"/>
        <v>0.57463502321344184</v>
      </c>
      <c r="T104">
        <f ca="1"/>
        <v>0</v>
      </c>
      <c r="U104">
        <f ca="1"/>
        <v>0</v>
      </c>
      <c r="V104">
        <f ca="1"/>
        <v>3.4828346292736442E-2</v>
      </c>
      <c r="X104" s="2">
        <f t="shared" ca="1" si="8"/>
        <v>45327</v>
      </c>
      <c r="Y104">
        <f t="shared" ca="1" si="9"/>
        <v>0</v>
      </c>
      <c r="AA104" s="63">
        <f t="shared" ca="1" si="11"/>
        <v>40.45082231784513</v>
      </c>
      <c r="AB104" s="63">
        <f t="shared" ca="1" si="12"/>
        <v>40.450822317845137</v>
      </c>
      <c r="AC104" s="3">
        <f t="shared" ca="1" si="13"/>
        <v>0</v>
      </c>
    </row>
    <row r="105" spans="8:29">
      <c r="H105" t="b">
        <f t="shared" ca="1" si="10"/>
        <v>0</v>
      </c>
      <c r="I105" t="b">
        <f t="shared" ca="1" si="7"/>
        <v>0</v>
      </c>
      <c r="J105" s="2">
        <f ca="1"/>
        <v>45328</v>
      </c>
      <c r="K105">
        <f ca="1"/>
        <v>40.471318451754655</v>
      </c>
      <c r="L105">
        <f ca="1"/>
        <v>0.14003408326699862</v>
      </c>
      <c r="M105">
        <f ca="1"/>
        <v>6.5792215450034774E-2</v>
      </c>
      <c r="N105">
        <f ca="1"/>
        <v>0.22827746670317073</v>
      </c>
      <c r="O105">
        <f ca="1"/>
        <v>0</v>
      </c>
      <c r="P105">
        <f ca="1"/>
        <v>2.6498049920130926</v>
      </c>
      <c r="Q105">
        <f ca="1"/>
        <v>2.4240808630638297</v>
      </c>
      <c r="R105">
        <f ca="1"/>
        <v>0</v>
      </c>
      <c r="S105">
        <f ca="1"/>
        <v>0.53888821310250234</v>
      </c>
      <c r="T105">
        <f ca="1"/>
        <v>0</v>
      </c>
      <c r="U105">
        <f ca="1"/>
        <v>0</v>
      </c>
      <c r="V105">
        <f ca="1"/>
        <v>3.9760902610243232E-2</v>
      </c>
      <c r="X105" s="2">
        <f t="shared" ca="1" si="8"/>
        <v>45328</v>
      </c>
      <c r="Y105">
        <f t="shared" ca="1" si="9"/>
        <v>0</v>
      </c>
      <c r="AA105" s="63">
        <f t="shared" ca="1" si="11"/>
        <v>40.611352535021645</v>
      </c>
      <c r="AB105" s="63">
        <f t="shared" ca="1" si="12"/>
        <v>40.611352535021652</v>
      </c>
      <c r="AC105" s="3">
        <f t="shared" ca="1" si="13"/>
        <v>0</v>
      </c>
    </row>
    <row r="106" spans="8:29">
      <c r="H106" t="b">
        <f t="shared" ca="1" si="10"/>
        <v>0</v>
      </c>
      <c r="I106" t="b">
        <f t="shared" ca="1" si="7"/>
        <v>0</v>
      </c>
      <c r="J106" s="2">
        <f ca="1"/>
        <v>45329</v>
      </c>
      <c r="K106">
        <f ca="1"/>
        <v>40.606301945799309</v>
      </c>
      <c r="L106">
        <f ca="1"/>
        <v>0.14860827283607936</v>
      </c>
      <c r="M106">
        <f ca="1"/>
        <v>6.0682453668309932E-2</v>
      </c>
      <c r="N106">
        <f ca="1"/>
        <v>0.22290931321241994</v>
      </c>
      <c r="O106">
        <f ca="1"/>
        <v>0</v>
      </c>
      <c r="P106">
        <f ca="1"/>
        <v>2.798413264849172</v>
      </c>
      <c r="Q106">
        <f ca="1"/>
        <v>2.560029912658317</v>
      </c>
      <c r="R106">
        <f ca="1"/>
        <v>0</v>
      </c>
      <c r="S106">
        <f ca="1"/>
        <v>0.51485747880403221</v>
      </c>
      <c r="T106">
        <f ca="1"/>
        <v>0</v>
      </c>
      <c r="U106">
        <f ca="1"/>
        <v>0</v>
      </c>
      <c r="V106">
        <f ca="1"/>
        <v>4.5393594354746471E-2</v>
      </c>
      <c r="X106" s="2">
        <f t="shared" ca="1" si="8"/>
        <v>45329</v>
      </c>
      <c r="Y106">
        <f t="shared" ca="1" si="9"/>
        <v>0</v>
      </c>
      <c r="AA106" s="63">
        <f t="shared" ca="1" si="11"/>
        <v>40.754910218635381</v>
      </c>
      <c r="AB106" s="63">
        <f t="shared" ca="1" si="12"/>
        <v>40.754910218635388</v>
      </c>
      <c r="AC106" s="3">
        <f t="shared" ca="1" si="13"/>
        <v>0</v>
      </c>
    </row>
    <row r="107" spans="8:29">
      <c r="H107" t="b">
        <f t="shared" ca="1" si="10"/>
        <v>0</v>
      </c>
      <c r="I107" t="b">
        <f t="shared" ca="1" si="7"/>
        <v>0</v>
      </c>
      <c r="J107" s="2">
        <f ca="1"/>
        <v>45330</v>
      </c>
      <c r="K107">
        <f ca="1"/>
        <v>40.72749607713088</v>
      </c>
      <c r="L107">
        <f ca="1"/>
        <v>0.15664512248240037</v>
      </c>
      <c r="M107">
        <f ca="1"/>
        <v>5.5667471337226715E-2</v>
      </c>
      <c r="N107">
        <f ca="1"/>
        <v>0.22217178247674244</v>
      </c>
      <c r="O107">
        <f ca="1"/>
        <v>0</v>
      </c>
      <c r="P107">
        <f ca="1"/>
        <v>2.9550583873315723</v>
      </c>
      <c r="Q107">
        <f ca="1"/>
        <v>2.7033311913736977</v>
      </c>
      <c r="R107">
        <f ca="1"/>
        <v>0</v>
      </c>
      <c r="S107">
        <f ca="1"/>
        <v>0.5134468841707468</v>
      </c>
      <c r="T107">
        <f ca="1"/>
        <v>0</v>
      </c>
      <c r="U107">
        <f ca="1"/>
        <v>0</v>
      </c>
      <c r="V107">
        <f ca="1"/>
        <v>5.1774118822671508E-2</v>
      </c>
      <c r="X107" s="2">
        <f t="shared" ca="1" si="8"/>
        <v>45330</v>
      </c>
      <c r="Y107">
        <f t="shared" ca="1" si="9"/>
        <v>0</v>
      </c>
      <c r="AA107" s="63">
        <f t="shared" ca="1" si="11"/>
        <v>40.884141199613275</v>
      </c>
      <c r="AB107" s="63">
        <f t="shared" ca="1" si="12"/>
        <v>40.884141199613282</v>
      </c>
      <c r="AC107" s="3">
        <f t="shared" ca="1" si="13"/>
        <v>0</v>
      </c>
    </row>
    <row r="108" spans="8:29">
      <c r="H108" t="b">
        <f t="shared" ca="1" si="10"/>
        <v>0</v>
      </c>
      <c r="I108" t="b">
        <f t="shared" ca="1" si="7"/>
        <v>0</v>
      </c>
      <c r="J108" s="2">
        <f ca="1"/>
        <v>45331</v>
      </c>
      <c r="K108">
        <f ca="1"/>
        <v>40.83143086102082</v>
      </c>
      <c r="L108">
        <f ca="1"/>
        <v>0.16642205155038692</v>
      </c>
      <c r="M108">
        <f ca="1"/>
        <v>5.1340677671944945E-2</v>
      </c>
      <c r="N108">
        <f ca="1"/>
        <v>0.21901615776838029</v>
      </c>
      <c r="O108">
        <f ca="1"/>
        <v>0</v>
      </c>
      <c r="P108">
        <f ca="1"/>
        <v>3.1214804388819593</v>
      </c>
      <c r="Q108">
        <f ca="1"/>
        <v>2.8555765496438661</v>
      </c>
      <c r="R108">
        <f ca="1"/>
        <v>0</v>
      </c>
      <c r="S108">
        <f ca="1"/>
        <v>0.49542152287038838</v>
      </c>
      <c r="T108">
        <f ca="1"/>
        <v>0</v>
      </c>
      <c r="U108">
        <f ca="1"/>
        <v>0</v>
      </c>
      <c r="V108">
        <f ca="1"/>
        <v>5.9048177903086342E-2</v>
      </c>
      <c r="X108" s="2">
        <f t="shared" ca="1" si="8"/>
        <v>45331</v>
      </c>
      <c r="Y108">
        <f t="shared" ca="1" si="9"/>
        <v>0</v>
      </c>
      <c r="AA108" s="63">
        <f t="shared" ca="1" si="11"/>
        <v>40.997852912571204</v>
      </c>
      <c r="AB108" s="63">
        <f t="shared" ca="1" si="12"/>
        <v>40.997852912571204</v>
      </c>
      <c r="AC108" s="3">
        <f t="shared" ca="1" si="13"/>
        <v>0</v>
      </c>
    </row>
    <row r="109" spans="8:29">
      <c r="H109" t="b">
        <f t="shared" ca="1" si="10"/>
        <v>0</v>
      </c>
      <c r="I109" t="b">
        <f t="shared" ca="1" si="7"/>
        <v>0</v>
      </c>
      <c r="J109" s="2">
        <f ca="1"/>
        <v>45332</v>
      </c>
      <c r="K109">
        <f ca="1"/>
        <v>40.923001587210841</v>
      </c>
      <c r="L109">
        <f ca="1"/>
        <v>0.17909563315367416</v>
      </c>
      <c r="M109">
        <f ca="1"/>
        <v>4.8015532981290576E-2</v>
      </c>
      <c r="N109">
        <f ca="1"/>
        <v>0.2226508263624013</v>
      </c>
      <c r="O109">
        <f ca="1"/>
        <v>0</v>
      </c>
      <c r="P109">
        <f ca="1"/>
        <v>3.3005760720356334</v>
      </c>
      <c r="Q109">
        <f ca="1"/>
        <v>3.019415888121487</v>
      </c>
      <c r="R109">
        <f ca="1"/>
        <v>0</v>
      </c>
      <c r="S109">
        <f ca="1"/>
        <v>0.48767423314555008</v>
      </c>
      <c r="T109">
        <f ca="1"/>
        <v>0</v>
      </c>
      <c r="U109">
        <f ca="1"/>
        <v>0</v>
      </c>
      <c r="V109">
        <f ca="1"/>
        <v>6.7439478504547221E-2</v>
      </c>
      <c r="X109" s="2">
        <f t="shared" ca="1" si="8"/>
        <v>45332</v>
      </c>
      <c r="Y109">
        <f t="shared" ca="1" si="9"/>
        <v>0</v>
      </c>
      <c r="AA109" s="63">
        <f t="shared" ca="1" si="11"/>
        <v>41.102097220364513</v>
      </c>
      <c r="AB109" s="63">
        <f t="shared" ca="1" si="12"/>
        <v>41.102097220364513</v>
      </c>
      <c r="AC109" s="3">
        <f t="shared" ca="1" si="13"/>
        <v>0</v>
      </c>
    </row>
    <row r="110" spans="8:29">
      <c r="H110" t="b">
        <f t="shared" ca="1" si="10"/>
        <v>0</v>
      </c>
      <c r="I110" t="b">
        <f t="shared" ca="1" si="7"/>
        <v>0</v>
      </c>
      <c r="J110" s="2">
        <f ca="1"/>
        <v>45333</v>
      </c>
      <c r="K110">
        <f ca="1"/>
        <v>41.005193825224879</v>
      </c>
      <c r="L110">
        <f ca="1"/>
        <v>0.19106254829894409</v>
      </c>
      <c r="M110">
        <f ca="1"/>
        <v>4.5758582156512517E-2</v>
      </c>
      <c r="N110">
        <f ca="1"/>
        <v>0.22749620415647243</v>
      </c>
      <c r="O110">
        <f ca="1"/>
        <v>0</v>
      </c>
      <c r="P110">
        <f ca="1"/>
        <v>3.4916386203345775</v>
      </c>
      <c r="Q110">
        <f ca="1"/>
        <v>3.194202737861632</v>
      </c>
      <c r="R110">
        <f ca="1"/>
        <v>0</v>
      </c>
      <c r="S110">
        <f ca="1"/>
        <v>0.49375344281888989</v>
      </c>
      <c r="T110">
        <f ca="1"/>
        <v>0</v>
      </c>
      <c r="U110">
        <f ca="1"/>
        <v>0</v>
      </c>
      <c r="V110">
        <f ca="1"/>
        <v>7.7023211845059517E-2</v>
      </c>
      <c r="X110" s="2">
        <f t="shared" ca="1" si="8"/>
        <v>45333</v>
      </c>
      <c r="Y110">
        <f t="shared" ca="1" si="9"/>
        <v>0</v>
      </c>
      <c r="AA110" s="63">
        <f t="shared" ca="1" si="11"/>
        <v>41.196256373523831</v>
      </c>
      <c r="AB110" s="63">
        <f t="shared" ca="1" si="12"/>
        <v>41.196256373523823</v>
      </c>
      <c r="AC110" s="3">
        <f t="shared" ca="1" si="13"/>
        <v>0</v>
      </c>
    </row>
    <row r="111" spans="8:29">
      <c r="H111" t="b">
        <f t="shared" ca="1" si="10"/>
        <v>0</v>
      </c>
      <c r="I111" t="b">
        <f t="shared" ca="1" si="7"/>
        <v>0</v>
      </c>
      <c r="J111" s="2">
        <f ca="1"/>
        <v>45334</v>
      </c>
      <c r="K111">
        <f ca="1"/>
        <v>41.076176285677654</v>
      </c>
      <c r="L111">
        <f ca="1"/>
        <v>0.2011750982228353</v>
      </c>
      <c r="M111">
        <f ca="1"/>
        <v>4.2986166387911418E-2</v>
      </c>
      <c r="N111">
        <f ca="1"/>
        <v>0.22917139228769348</v>
      </c>
      <c r="O111">
        <f ca="1"/>
        <v>0</v>
      </c>
      <c r="P111">
        <f ca="1"/>
        <v>3.6928137185574128</v>
      </c>
      <c r="Q111">
        <f ca="1"/>
        <v>3.378240698087708</v>
      </c>
      <c r="R111">
        <f ca="1"/>
        <v>0</v>
      </c>
      <c r="S111">
        <f ca="1"/>
        <v>0.50312696988654826</v>
      </c>
      <c r="T111">
        <f ca="1"/>
        <v>0</v>
      </c>
      <c r="U111">
        <f ca="1"/>
        <v>0</v>
      </c>
      <c r="V111">
        <f ca="1"/>
        <v>8.7800116671487682E-2</v>
      </c>
      <c r="X111" s="2">
        <f t="shared" ca="1" si="8"/>
        <v>45334</v>
      </c>
      <c r="Y111">
        <f t="shared" ca="1" si="9"/>
        <v>0</v>
      </c>
      <c r="AA111" s="63">
        <f t="shared" ca="1" si="11"/>
        <v>41.277351383900488</v>
      </c>
      <c r="AB111" s="63">
        <f t="shared" ca="1" si="12"/>
        <v>41.277351383900488</v>
      </c>
      <c r="AC111" s="3">
        <f t="shared" ca="1" si="13"/>
        <v>0</v>
      </c>
    </row>
    <row r="112" spans="8:29">
      <c r="H112" t="b">
        <f t="shared" ca="1" si="10"/>
        <v>0</v>
      </c>
      <c r="I112" t="b">
        <f t="shared" ca="1" si="7"/>
        <v>0</v>
      </c>
      <c r="J112" s="2">
        <f ca="1"/>
        <v>45335</v>
      </c>
      <c r="K112">
        <f ca="1"/>
        <v>41.122434726944419</v>
      </c>
      <c r="L112">
        <f ca="1"/>
        <v>0.21031818625118426</v>
      </c>
      <c r="M112">
        <f ca="1"/>
        <v>3.8011649109214396E-2</v>
      </c>
      <c r="N112">
        <f ca="1"/>
        <v>0.21856497840873618</v>
      </c>
      <c r="O112">
        <f ca="1"/>
        <v>0</v>
      </c>
      <c r="P112">
        <f ca="1"/>
        <v>3.9031319048085971</v>
      </c>
      <c r="Q112">
        <f ca="1"/>
        <v>3.5706428906952725</v>
      </c>
      <c r="R112">
        <f ca="1"/>
        <v>0</v>
      </c>
      <c r="S112">
        <f ca="1"/>
        <v>0.47789878262140306</v>
      </c>
      <c r="T112">
        <f ca="1"/>
        <v>0</v>
      </c>
      <c r="U112">
        <f ca="1"/>
        <v>0</v>
      </c>
      <c r="V112">
        <f ca="1"/>
        <v>9.9791897597056464E-2</v>
      </c>
      <c r="X112" s="2">
        <f t="shared" ca="1" si="8"/>
        <v>45335</v>
      </c>
      <c r="Y112">
        <f t="shared" ca="1" si="9"/>
        <v>0</v>
      </c>
      <c r="AA112" s="63">
        <f t="shared" ca="1" si="11"/>
        <v>41.332752913195606</v>
      </c>
      <c r="AB112" s="63">
        <f t="shared" ca="1" si="12"/>
        <v>41.332752913195606</v>
      </c>
      <c r="AC112" s="3">
        <f t="shared" ca="1" si="13"/>
        <v>0</v>
      </c>
    </row>
    <row r="113" spans="8:29">
      <c r="H113" t="b">
        <f t="shared" ca="1" si="10"/>
        <v>0</v>
      </c>
      <c r="I113" t="b">
        <f t="shared" ca="1" si="7"/>
        <v>0</v>
      </c>
      <c r="J113" s="2">
        <f ca="1"/>
        <v>45336</v>
      </c>
      <c r="K113">
        <f ca="1"/>
        <v>41.153233469488001</v>
      </c>
      <c r="L113">
        <f ca="1"/>
        <v>0.22226844148239078</v>
      </c>
      <c r="M113">
        <f ca="1"/>
        <v>3.5573813453434688E-2</v>
      </c>
      <c r="N113">
        <f ca="1"/>
        <v>0.21749337057254012</v>
      </c>
      <c r="O113">
        <f ca="1"/>
        <v>0</v>
      </c>
      <c r="P113">
        <f ca="1"/>
        <v>4.1254003462909878</v>
      </c>
      <c r="Q113">
        <f ca="1"/>
        <v>3.7739773538291632</v>
      </c>
      <c r="R113">
        <f ca="1"/>
        <v>0</v>
      </c>
      <c r="S113">
        <f ca="1"/>
        <v>0.47303465621644236</v>
      </c>
      <c r="T113">
        <f ca="1"/>
        <v>0</v>
      </c>
      <c r="U113">
        <f ca="1"/>
        <v>0</v>
      </c>
      <c r="V113">
        <f ca="1"/>
        <v>0.11323273432700204</v>
      </c>
      <c r="X113" s="2">
        <f t="shared" ca="1" si="8"/>
        <v>45336</v>
      </c>
      <c r="Y113">
        <f t="shared" ca="1" si="9"/>
        <v>0</v>
      </c>
      <c r="AA113" s="63">
        <f t="shared" ca="1" si="11"/>
        <v>41.375501910970392</v>
      </c>
      <c r="AB113" s="63">
        <f t="shared" ca="1" si="12"/>
        <v>41.375501910970392</v>
      </c>
      <c r="AC113" s="3">
        <f t="shared" ca="1" si="13"/>
        <v>0</v>
      </c>
    </row>
    <row r="114" spans="8:29">
      <c r="H114" t="b">
        <f t="shared" ca="1" si="10"/>
        <v>0</v>
      </c>
      <c r="I114" t="b">
        <f t="shared" ca="1" si="7"/>
        <v>0</v>
      </c>
      <c r="J114" s="2">
        <f ca="1"/>
        <v>45337</v>
      </c>
      <c r="K114">
        <f ca="1"/>
        <v>41.171535801426344</v>
      </c>
      <c r="L114">
        <f ca="1"/>
        <v>0.23180476203533651</v>
      </c>
      <c r="M114">
        <f ca="1"/>
        <v>3.3795667829779497E-2</v>
      </c>
      <c r="N114">
        <f ca="1"/>
        <v>0.21631142614390275</v>
      </c>
      <c r="O114">
        <f ca="1"/>
        <v>0</v>
      </c>
      <c r="P114">
        <f ca="1"/>
        <v>4.3572051083263243</v>
      </c>
      <c r="Q114">
        <f ca="1"/>
        <v>3.9860357842837111</v>
      </c>
      <c r="R114">
        <f ca="1"/>
        <v>0</v>
      </c>
      <c r="S114">
        <f ca="1"/>
        <v>0.48152978095496884</v>
      </c>
      <c r="T114">
        <f ca="1"/>
        <v>0</v>
      </c>
      <c r="U114">
        <f ca="1"/>
        <v>0</v>
      </c>
      <c r="V114">
        <f ca="1"/>
        <v>0.12804057117194481</v>
      </c>
      <c r="X114" s="2">
        <f t="shared" ca="1" si="8"/>
        <v>45337</v>
      </c>
      <c r="Y114">
        <f t="shared" ca="1" si="9"/>
        <v>0</v>
      </c>
      <c r="AA114" s="63">
        <f t="shared" ca="1" si="11"/>
        <v>41.403340563461683</v>
      </c>
      <c r="AB114" s="63">
        <f t="shared" ca="1" si="12"/>
        <v>41.403340563461683</v>
      </c>
      <c r="AC114" s="3">
        <f t="shared" ca="1" si="13"/>
        <v>0</v>
      </c>
    </row>
    <row r="115" spans="8:29">
      <c r="H115" t="b">
        <f t="shared" ca="1" si="10"/>
        <v>0</v>
      </c>
      <c r="I115" t="b">
        <f t="shared" ca="1" si="7"/>
        <v>0</v>
      </c>
      <c r="J115" s="2">
        <f ca="1"/>
        <v>45338</v>
      </c>
      <c r="K115">
        <f ca="1"/>
        <v>41.173243286821354</v>
      </c>
      <c r="L115">
        <f ca="1"/>
        <v>0.24321549622290917</v>
      </c>
      <c r="M115">
        <f ca="1"/>
        <v>3.1619447733211459E-2</v>
      </c>
      <c r="N115">
        <f ca="1"/>
        <v>0.21330353388470613</v>
      </c>
      <c r="O115">
        <f ca="1"/>
        <v>0</v>
      </c>
      <c r="P115">
        <f ca="1"/>
        <v>4.6004206045492335</v>
      </c>
      <c r="Q115">
        <f ca="1"/>
        <v>4.2085329234209654</v>
      </c>
      <c r="R115">
        <f ca="1"/>
        <v>0</v>
      </c>
      <c r="S115">
        <f ca="1"/>
        <v>0.47634662220188861</v>
      </c>
      <c r="T115">
        <f ca="1"/>
        <v>0</v>
      </c>
      <c r="U115">
        <f ca="1"/>
        <v>0</v>
      </c>
      <c r="V115">
        <f ca="1"/>
        <v>0.14438020522795056</v>
      </c>
      <c r="X115" s="2">
        <f t="shared" ca="1" si="8"/>
        <v>45338</v>
      </c>
      <c r="Y115">
        <f t="shared" ca="1" si="9"/>
        <v>0</v>
      </c>
      <c r="AA115" s="63">
        <f t="shared" ca="1" si="11"/>
        <v>41.416458783044263</v>
      </c>
      <c r="AB115" s="63">
        <f t="shared" ca="1" si="12"/>
        <v>41.416458783044263</v>
      </c>
      <c r="AC115" s="3">
        <f t="shared" ca="1" si="13"/>
        <v>0</v>
      </c>
    </row>
    <row r="116" spans="8:29">
      <c r="H116" t="b">
        <f t="shared" ca="1" si="10"/>
        <v>0</v>
      </c>
      <c r="I116" t="b">
        <f t="shared" ca="1" si="7"/>
        <v>0</v>
      </c>
      <c r="J116" s="2">
        <f ca="1"/>
        <v>45339</v>
      </c>
      <c r="K116">
        <f ca="1"/>
        <v>41.172312124537612</v>
      </c>
      <c r="L116">
        <f ca="1"/>
        <v>0.25671521364425587</v>
      </c>
      <c r="M116">
        <f ca="1"/>
        <v>3.1749694426685515E-2</v>
      </c>
      <c r="N116">
        <f ca="1"/>
        <v>0.22403435693382676</v>
      </c>
      <c r="O116">
        <f ca="1"/>
        <v>0</v>
      </c>
      <c r="P116">
        <f ca="1"/>
        <v>4.8571358181934894</v>
      </c>
      <c r="Q116">
        <f ca="1"/>
        <v>4.443379804051081</v>
      </c>
      <c r="R116">
        <f ca="1"/>
        <v>0</v>
      </c>
      <c r="S116">
        <f ca="1"/>
        <v>0.51263032077014425</v>
      </c>
      <c r="T116">
        <f ca="1"/>
        <v>0</v>
      </c>
      <c r="U116">
        <f ca="1"/>
        <v>0</v>
      </c>
      <c r="V116">
        <f ca="1"/>
        <v>0.16243623473695545</v>
      </c>
      <c r="X116" s="2">
        <f t="shared" ca="1" si="8"/>
        <v>45339</v>
      </c>
      <c r="Y116">
        <f t="shared" ca="1" si="9"/>
        <v>0</v>
      </c>
      <c r="AA116" s="63">
        <f t="shared" ca="1" si="11"/>
        <v>41.429027338181868</v>
      </c>
      <c r="AB116" s="63">
        <f t="shared" ca="1" si="12"/>
        <v>41.429027338181868</v>
      </c>
      <c r="AC116" s="3">
        <f t="shared" ca="1" si="13"/>
        <v>0</v>
      </c>
    </row>
    <row r="117" spans="8:29">
      <c r="H117" t="b">
        <f t="shared" ca="1" si="10"/>
        <v>0</v>
      </c>
      <c r="I117" t="b">
        <f t="shared" ca="1" si="7"/>
        <v>0</v>
      </c>
      <c r="J117" s="2">
        <f ca="1"/>
        <v>45340</v>
      </c>
      <c r="K117">
        <f ca="1"/>
        <v>41.152417628234943</v>
      </c>
      <c r="L117">
        <f ca="1"/>
        <v>0.27266840444560891</v>
      </c>
      <c r="M117">
        <f ca="1"/>
        <v>3.061512673243616E-2</v>
      </c>
      <c r="N117">
        <f ca="1"/>
        <v>0.22215878141050649</v>
      </c>
      <c r="O117">
        <f ca="1"/>
        <v>0</v>
      </c>
      <c r="P117">
        <f ca="1"/>
        <v>5.1298042226390983</v>
      </c>
      <c r="Q117">
        <f ca="1"/>
        <v>4.692820899969842</v>
      </c>
      <c r="R117">
        <f ca="1"/>
        <v>0</v>
      </c>
      <c r="S117">
        <f ca="1"/>
        <v>0.49857054177885224</v>
      </c>
      <c r="T117">
        <f ca="1"/>
        <v>0</v>
      </c>
      <c r="U117">
        <f ca="1"/>
        <v>0</v>
      </c>
      <c r="V117">
        <f ca="1"/>
        <v>0.1824199689836577</v>
      </c>
      <c r="X117" s="2">
        <f t="shared" ca="1" si="8"/>
        <v>45340</v>
      </c>
      <c r="Y117">
        <f t="shared" ca="1" si="9"/>
        <v>0</v>
      </c>
      <c r="AA117" s="63">
        <f t="shared" ca="1" si="11"/>
        <v>41.425086032680554</v>
      </c>
      <c r="AB117" s="63">
        <f t="shared" ca="1" si="12"/>
        <v>41.425086032680554</v>
      </c>
      <c r="AC117" s="3">
        <f t="shared" ca="1" si="13"/>
        <v>0</v>
      </c>
    </row>
    <row r="118" spans="8:29">
      <c r="H118" t="b">
        <f t="shared" ca="1" si="10"/>
        <v>0</v>
      </c>
      <c r="I118" t="b">
        <f t="shared" ca="1" si="7"/>
        <v>0</v>
      </c>
      <c r="J118" s="2">
        <f ca="1"/>
        <v>45341</v>
      </c>
      <c r="K118">
        <f ca="1"/>
        <v>41.112781442682873</v>
      </c>
      <c r="L118">
        <f ca="1"/>
        <v>0.28753434020714153</v>
      </c>
      <c r="M118">
        <f ca="1"/>
        <v>2.8808919732971283E-2</v>
      </c>
      <c r="N118">
        <f ca="1"/>
        <v>0.21908923492209326</v>
      </c>
      <c r="O118">
        <f ca="1"/>
        <v>0</v>
      </c>
      <c r="P118">
        <f ca="1"/>
        <v>5.4173385628462398</v>
      </c>
      <c r="Q118">
        <f ca="1"/>
        <v>4.9558615741593375</v>
      </c>
      <c r="R118">
        <f ca="1"/>
        <v>0</v>
      </c>
      <c r="S118">
        <f ca="1"/>
        <v>0.48797072704906752</v>
      </c>
      <c r="T118">
        <f ca="1"/>
        <v>0</v>
      </c>
      <c r="U118">
        <f ca="1"/>
        <v>0</v>
      </c>
      <c r="V118">
        <f ca="1"/>
        <v>0.20426263205537828</v>
      </c>
      <c r="X118" s="2">
        <f t="shared" ca="1" si="8"/>
        <v>45341</v>
      </c>
      <c r="Y118">
        <f t="shared" ca="1" si="9"/>
        <v>0</v>
      </c>
      <c r="AA118" s="63">
        <f t="shared" ca="1" si="11"/>
        <v>41.400315782890011</v>
      </c>
      <c r="AB118" s="63">
        <f t="shared" ca="1" si="12"/>
        <v>41.400315782890019</v>
      </c>
      <c r="AC118" s="3">
        <f t="shared" ca="1" si="13"/>
        <v>0</v>
      </c>
    </row>
    <row r="119" spans="8:29">
      <c r="H119" t="b">
        <f t="shared" ca="1" si="10"/>
        <v>0</v>
      </c>
      <c r="I119" t="b">
        <f t="shared" ca="1" si="7"/>
        <v>0</v>
      </c>
      <c r="J119" s="2">
        <f ca="1"/>
        <v>45342</v>
      </c>
      <c r="K119">
        <f ca="1"/>
        <v>41.064761192933879</v>
      </c>
      <c r="L119">
        <f ca="1"/>
        <v>0.30460262226088286</v>
      </c>
      <c r="M119">
        <f ca="1"/>
        <v>2.8650178895735401E-2</v>
      </c>
      <c r="N119">
        <f ca="1"/>
        <v>0.22793219361615052</v>
      </c>
      <c r="O119">
        <f ca="1"/>
        <v>0</v>
      </c>
      <c r="P119">
        <f ca="1"/>
        <v>5.7219411851071227</v>
      </c>
      <c r="Q119">
        <f ca="1"/>
        <v>5.234516565635035</v>
      </c>
      <c r="R119">
        <f ca="1"/>
        <v>0</v>
      </c>
      <c r="S119">
        <f ca="1"/>
        <v>0.51313347734318349</v>
      </c>
      <c r="T119">
        <f ca="1"/>
        <v>0</v>
      </c>
      <c r="U119">
        <f ca="1"/>
        <v>0</v>
      </c>
      <c r="V119">
        <f ca="1"/>
        <v>0.22810572597136444</v>
      </c>
      <c r="X119" s="2">
        <f t="shared" ca="1" si="8"/>
        <v>45342</v>
      </c>
      <c r="Y119">
        <f t="shared" ca="1" si="9"/>
        <v>0</v>
      </c>
      <c r="AA119" s="63">
        <f t="shared" ca="1" si="11"/>
        <v>41.36936381519476</v>
      </c>
      <c r="AB119" s="63">
        <f t="shared" ca="1" si="12"/>
        <v>41.36936381519476</v>
      </c>
      <c r="AC119" s="3">
        <f t="shared" ca="1" si="13"/>
        <v>0</v>
      </c>
    </row>
    <row r="120" spans="8:29">
      <c r="H120" t="b">
        <f t="shared" ca="1" si="10"/>
        <v>0</v>
      </c>
      <c r="I120" t="b">
        <f t="shared" ca="1" si="7"/>
        <v>0</v>
      </c>
      <c r="J120" s="2">
        <f ca="1"/>
        <v>45343</v>
      </c>
      <c r="K120">
        <f ca="1"/>
        <v>41.001983390086814</v>
      </c>
      <c r="L120">
        <f ca="1"/>
        <v>0.31999452451323585</v>
      </c>
      <c r="M120">
        <f ca="1"/>
        <v>2.7574068952476161E-2</v>
      </c>
      <c r="N120">
        <f ca="1"/>
        <v>0.22964265271369116</v>
      </c>
      <c r="O120">
        <f ca="1"/>
        <v>0</v>
      </c>
      <c r="P120">
        <f ca="1"/>
        <v>6.0419357096203585</v>
      </c>
      <c r="Q120">
        <f ca="1"/>
        <v>5.5272522973193654</v>
      </c>
      <c r="R120">
        <f ca="1"/>
        <v>0</v>
      </c>
      <c r="S120">
        <f ca="1"/>
        <v>0.52260623313729704</v>
      </c>
      <c r="T120">
        <f ca="1"/>
        <v>0</v>
      </c>
      <c r="U120">
        <f ca="1"/>
        <v>0</v>
      </c>
      <c r="V120">
        <f ca="1"/>
        <v>0.25374844121926943</v>
      </c>
      <c r="X120" s="2">
        <f t="shared" ca="1" si="8"/>
        <v>45343</v>
      </c>
      <c r="Y120">
        <f t="shared" ca="1" si="9"/>
        <v>0</v>
      </c>
      <c r="AA120" s="63">
        <f t="shared" ca="1" si="11"/>
        <v>41.321977914600048</v>
      </c>
      <c r="AB120" s="63">
        <f t="shared" ca="1" si="12"/>
        <v>41.321977914600048</v>
      </c>
      <c r="AC120" s="3">
        <f t="shared" ca="1" si="13"/>
        <v>0</v>
      </c>
    </row>
    <row r="121" spans="8:29">
      <c r="H121" t="b">
        <f t="shared" ca="1" si="10"/>
        <v>0</v>
      </c>
      <c r="I121" t="b">
        <f t="shared" ca="1" si="7"/>
        <v>0</v>
      </c>
      <c r="J121" s="2">
        <f ca="1"/>
        <v>45344</v>
      </c>
      <c r="K121">
        <f ca="1"/>
        <v>40.917162485459457</v>
      </c>
      <c r="L121">
        <f ca="1"/>
        <v>0.33354111983367485</v>
      </c>
      <c r="M121">
        <f ca="1"/>
        <v>2.6365729663408111E-2</v>
      </c>
      <c r="N121">
        <f ca="1"/>
        <v>0.22235448554290937</v>
      </c>
      <c r="O121">
        <f ca="1"/>
        <v>0</v>
      </c>
      <c r="P121">
        <f ca="1"/>
        <v>6.3754768294540334</v>
      </c>
      <c r="Q121">
        <f ca="1"/>
        <v>5.8323806550931341</v>
      </c>
      <c r="R121">
        <f ca="1"/>
        <v>0</v>
      </c>
      <c r="S121">
        <f ca="1"/>
        <v>0.50966875985922888</v>
      </c>
      <c r="T121">
        <f ca="1"/>
        <v>0</v>
      </c>
      <c r="U121">
        <f ca="1"/>
        <v>0</v>
      </c>
      <c r="V121">
        <f ca="1"/>
        <v>0.28091727699709496</v>
      </c>
      <c r="X121" s="2">
        <f t="shared" ca="1" si="8"/>
        <v>45344</v>
      </c>
      <c r="Y121">
        <f t="shared" ca="1" si="9"/>
        <v>0</v>
      </c>
      <c r="AA121" s="63">
        <f t="shared" ca="1" si="11"/>
        <v>41.250703605293133</v>
      </c>
      <c r="AB121" s="63">
        <f t="shared" ca="1" si="12"/>
        <v>41.250703605293133</v>
      </c>
      <c r="AC121" s="3">
        <f t="shared" ca="1" si="13"/>
        <v>0</v>
      </c>
    </row>
    <row r="122" spans="8:29">
      <c r="H122" t="b">
        <f t="shared" ca="1" si="10"/>
        <v>0</v>
      </c>
      <c r="I122" t="b">
        <f t="shared" ca="1" si="7"/>
        <v>0</v>
      </c>
      <c r="J122" s="2">
        <f ca="1"/>
        <v>45345</v>
      </c>
      <c r="K122">
        <f ca="1"/>
        <v>40.816890550355893</v>
      </c>
      <c r="L122">
        <f ca="1"/>
        <v>0.3511036552086173</v>
      </c>
      <c r="M122">
        <f ca="1"/>
        <v>2.5633254239565417E-2</v>
      </c>
      <c r="N122">
        <f ca="1"/>
        <v>0.22519846586549241</v>
      </c>
      <c r="O122">
        <f ca="1"/>
        <v>0</v>
      </c>
      <c r="P122">
        <f ca="1"/>
        <v>6.7265804846626507</v>
      </c>
      <c r="Q122">
        <f ca="1"/>
        <v>6.1535754804136102</v>
      </c>
      <c r="R122">
        <f ca="1"/>
        <v>0</v>
      </c>
      <c r="S122">
        <f ca="1"/>
        <v>0.51984708650558931</v>
      </c>
      <c r="T122">
        <f ca="1"/>
        <v>0</v>
      </c>
      <c r="U122">
        <f ca="1"/>
        <v>0</v>
      </c>
      <c r="V122">
        <f ca="1"/>
        <v>0.30977206171642885</v>
      </c>
      <c r="X122" s="2">
        <f t="shared" ca="1" si="8"/>
        <v>45345</v>
      </c>
      <c r="Y122">
        <f t="shared" ca="1" si="9"/>
        <v>0</v>
      </c>
      <c r="AA122" s="63">
        <f t="shared" ca="1" si="11"/>
        <v>41.167994205564511</v>
      </c>
      <c r="AB122" s="63">
        <f t="shared" ca="1" si="12"/>
        <v>41.167994205564511</v>
      </c>
      <c r="AC122" s="3">
        <f t="shared" ca="1" si="13"/>
        <v>0</v>
      </c>
    </row>
    <row r="123" spans="8:29">
      <c r="H123" t="b">
        <f t="shared" ca="1" si="10"/>
        <v>0</v>
      </c>
      <c r="I123" t="b">
        <f t="shared" ca="1" si="7"/>
        <v>0</v>
      </c>
      <c r="J123" s="2">
        <f ca="1"/>
        <v>45346</v>
      </c>
      <c r="K123">
        <f ca="1"/>
        <v>40.693883703624834</v>
      </c>
      <c r="L123">
        <f ca="1"/>
        <v>0.36122249704139797</v>
      </c>
      <c r="M123">
        <f ca="1"/>
        <v>2.4269620713713635E-2</v>
      </c>
      <c r="N123">
        <f ca="1"/>
        <v>0.21394602959662057</v>
      </c>
      <c r="O123">
        <f ca="1"/>
        <v>0</v>
      </c>
      <c r="P123">
        <f ca="1"/>
        <v>7.0878029817040487</v>
      </c>
      <c r="Q123">
        <f ca="1"/>
        <v>6.4840271721514808</v>
      </c>
      <c r="R123">
        <f ca="1"/>
        <v>0</v>
      </c>
      <c r="S123">
        <f ca="1"/>
        <v>0.5047775031748426</v>
      </c>
      <c r="T123">
        <f ca="1"/>
        <v>0</v>
      </c>
      <c r="U123">
        <f ca="1"/>
        <v>0</v>
      </c>
      <c r="V123">
        <f ca="1"/>
        <v>0.33949221597593476</v>
      </c>
      <c r="X123" s="2">
        <f t="shared" ca="1" si="8"/>
        <v>45346</v>
      </c>
      <c r="Y123">
        <f t="shared" ca="1" si="9"/>
        <v>0</v>
      </c>
      <c r="AA123" s="63">
        <f t="shared" ca="1" si="11"/>
        <v>41.055106200666224</v>
      </c>
      <c r="AB123" s="63">
        <f t="shared" ca="1" si="12"/>
        <v>41.055106200666231</v>
      </c>
      <c r="AC123" s="3">
        <f t="shared" ca="1" si="13"/>
        <v>0</v>
      </c>
    </row>
    <row r="124" spans="8:29">
      <c r="H124" t="b">
        <f t="shared" ca="1" si="10"/>
        <v>0</v>
      </c>
      <c r="I124" t="b">
        <f t="shared" ca="1" si="7"/>
        <v>0</v>
      </c>
      <c r="J124" s="2">
        <f ca="1"/>
        <v>45347</v>
      </c>
      <c r="K124">
        <f ca="1"/>
        <v>40.546631687971285</v>
      </c>
      <c r="L124">
        <f ca="1"/>
        <v>0.36969313920785662</v>
      </c>
      <c r="M124">
        <f ca="1"/>
        <v>2.2135970395792626E-2</v>
      </c>
      <c r="N124">
        <f ca="1"/>
        <v>0.20030515315850739</v>
      </c>
      <c r="O124">
        <f ca="1"/>
        <v>0</v>
      </c>
      <c r="P124">
        <f ca="1"/>
        <v>7.4574961209119053</v>
      </c>
      <c r="Q124">
        <f ca="1"/>
        <v>6.8222279328342239</v>
      </c>
      <c r="R124">
        <f ca="1"/>
        <v>0</v>
      </c>
      <c r="S124">
        <f ca="1"/>
        <v>0.48221813871081043</v>
      </c>
      <c r="T124">
        <f ca="1"/>
        <v>0</v>
      </c>
      <c r="U124">
        <f ca="1"/>
        <v>0</v>
      </c>
      <c r="V124">
        <f ca="1"/>
        <v>0.36970851686938266</v>
      </c>
      <c r="X124" s="2">
        <f t="shared" ca="1" si="8"/>
        <v>45347</v>
      </c>
      <c r="Y124">
        <f t="shared" ca="1" si="9"/>
        <v>0</v>
      </c>
      <c r="AA124" s="63">
        <f t="shared" ca="1" si="11"/>
        <v>40.916324827179139</v>
      </c>
      <c r="AB124" s="63">
        <f t="shared" ca="1" si="12"/>
        <v>40.916324827179139</v>
      </c>
      <c r="AC124" s="3">
        <f t="shared" ca="1" si="13"/>
        <v>0</v>
      </c>
    </row>
    <row r="125" spans="8:29">
      <c r="H125" t="b">
        <f t="shared" ca="1" si="10"/>
        <v>0</v>
      </c>
      <c r="I125" t="b">
        <f t="shared" ca="1" si="7"/>
        <v>0</v>
      </c>
      <c r="J125" s="2">
        <f ca="1"/>
        <v>45348</v>
      </c>
      <c r="K125">
        <f ca="1"/>
        <v>40.376274533192401</v>
      </c>
      <c r="L125">
        <f ca="1"/>
        <v>0.39055241062874835</v>
      </c>
      <c r="M125">
        <f ca="1"/>
        <v>2.1339564671562172E-2</v>
      </c>
      <c r="N125">
        <f ca="1"/>
        <v>0.19885569117830301</v>
      </c>
      <c r="O125">
        <f ca="1"/>
        <v>0</v>
      </c>
      <c r="P125">
        <f ca="1"/>
        <v>7.8480485315406536</v>
      </c>
      <c r="Q125">
        <f ca="1"/>
        <v>7.1795110640390423</v>
      </c>
      <c r="R125">
        <f ca="1"/>
        <v>0</v>
      </c>
      <c r="S125">
        <f ca="1"/>
        <v>0.47038256758487412</v>
      </c>
      <c r="T125">
        <f ca="1"/>
        <v>0</v>
      </c>
      <c r="U125">
        <f ca="1"/>
        <v>0</v>
      </c>
      <c r="V125">
        <f ca="1"/>
        <v>0.40117225526947742</v>
      </c>
      <c r="X125" s="2">
        <f t="shared" ca="1" si="8"/>
        <v>45348</v>
      </c>
      <c r="Y125">
        <f t="shared" ca="1" si="9"/>
        <v>0</v>
      </c>
      <c r="AA125" s="63">
        <f t="shared" ca="1" si="11"/>
        <v>40.766826943821151</v>
      </c>
      <c r="AB125" s="63">
        <f t="shared" ca="1" si="12"/>
        <v>40.766826943821151</v>
      </c>
      <c r="AC125" s="3">
        <f t="shared" ca="1" si="13"/>
        <v>0</v>
      </c>
    </row>
    <row r="126" spans="8:29">
      <c r="H126" t="b">
        <f t="shared" ca="1" si="10"/>
        <v>0</v>
      </c>
      <c r="I126" t="b">
        <f t="shared" ca="1" si="7"/>
        <v>0</v>
      </c>
      <c r="J126" s="2">
        <f ca="1"/>
        <v>45349</v>
      </c>
      <c r="K126">
        <f ca="1"/>
        <v>40.180095835869778</v>
      </c>
      <c r="L126">
        <f ca="1"/>
        <v>0.41260566553288669</v>
      </c>
      <c r="M126">
        <f ca="1"/>
        <v>2.0355108402974054E-2</v>
      </c>
      <c r="N126">
        <f ca="1"/>
        <v>0.19607185980729216</v>
      </c>
      <c r="O126">
        <f ca="1"/>
        <v>0</v>
      </c>
      <c r="P126">
        <f ca="1"/>
        <v>8.2606541970735403</v>
      </c>
      <c r="Q126">
        <f ca="1"/>
        <v>7.5569688395450543</v>
      </c>
      <c r="R126">
        <f ca="1"/>
        <v>0</v>
      </c>
      <c r="S126">
        <f ca="1"/>
        <v>0.45324270784162884</v>
      </c>
      <c r="T126">
        <f ca="1"/>
        <v>0</v>
      </c>
      <c r="U126">
        <f ca="1"/>
        <v>0</v>
      </c>
      <c r="V126">
        <f ca="1"/>
        <v>0.43366714270716705</v>
      </c>
      <c r="X126" s="2">
        <f t="shared" ca="1" si="8"/>
        <v>45349</v>
      </c>
      <c r="Y126">
        <f t="shared" ca="1" si="9"/>
        <v>0</v>
      </c>
      <c r="AA126" s="63">
        <f t="shared" ca="1" si="11"/>
        <v>40.592701501402665</v>
      </c>
      <c r="AB126" s="63">
        <f t="shared" ca="1" si="12"/>
        <v>40.592701501402665</v>
      </c>
      <c r="AC126" s="3">
        <f t="shared" ca="1" si="13"/>
        <v>0</v>
      </c>
    </row>
    <row r="127" spans="8:29">
      <c r="H127" t="b">
        <f t="shared" ca="1" si="10"/>
        <v>0</v>
      </c>
      <c r="I127" t="b">
        <f t="shared" ca="1" si="7"/>
        <v>0</v>
      </c>
      <c r="J127" s="2">
        <f ca="1"/>
        <v>45350</v>
      </c>
      <c r="K127">
        <f ca="1"/>
        <v>39.969654586621147</v>
      </c>
      <c r="L127">
        <f ca="1"/>
        <v>0.42680927786670253</v>
      </c>
      <c r="M127">
        <f ca="1"/>
        <v>2.0317156460103902E-2</v>
      </c>
      <c r="N127">
        <f ca="1"/>
        <v>0.19605087215797132</v>
      </c>
      <c r="O127">
        <f ca="1"/>
        <v>0</v>
      </c>
      <c r="P127">
        <f ca="1"/>
        <v>8.6874634749402428</v>
      </c>
      <c r="Q127">
        <f ca="1"/>
        <v>7.9474202900379254</v>
      </c>
      <c r="R127">
        <f ca="1"/>
        <v>0</v>
      </c>
      <c r="S127">
        <f ca="1"/>
        <v>0.4686299796589441</v>
      </c>
      <c r="T127">
        <f ca="1"/>
        <v>0</v>
      </c>
      <c r="U127">
        <f ca="1"/>
        <v>0</v>
      </c>
      <c r="V127">
        <f ca="1"/>
        <v>0.46625756412490033</v>
      </c>
      <c r="X127" s="2">
        <f t="shared" ca="1" si="8"/>
        <v>45350</v>
      </c>
      <c r="Y127">
        <f t="shared" ca="1" si="9"/>
        <v>0</v>
      </c>
      <c r="AA127" s="63">
        <f t="shared" ca="1" si="11"/>
        <v>40.396463864487849</v>
      </c>
      <c r="AB127" s="63">
        <f t="shared" ca="1" si="12"/>
        <v>40.396463864487849</v>
      </c>
      <c r="AC127" s="3">
        <f t="shared" ca="1" si="13"/>
        <v>0</v>
      </c>
    </row>
    <row r="128" spans="8:29">
      <c r="H128" t="b">
        <f t="shared" ca="1" si="10"/>
        <v>0</v>
      </c>
      <c r="I128" t="b">
        <f t="shared" ca="1" si="7"/>
        <v>0</v>
      </c>
      <c r="J128" s="2">
        <f ca="1"/>
        <v>45351</v>
      </c>
      <c r="K128">
        <f ca="1"/>
        <v>39.744163186618771</v>
      </c>
      <c r="L128">
        <f ca="1"/>
        <v>0.44927802516269111</v>
      </c>
      <c r="M128">
        <f ca="1"/>
        <v>2.1031057115640905E-2</v>
      </c>
      <c r="N128">
        <f ca="1"/>
        <v>0.20275556804467018</v>
      </c>
      <c r="O128">
        <f ca="1"/>
        <v>0</v>
      </c>
      <c r="P128">
        <f ca="1"/>
        <v>9.136741500102934</v>
      </c>
      <c r="Q128">
        <f ca="1"/>
        <v>8.3584264834274968</v>
      </c>
      <c r="R128">
        <f ca="1"/>
        <v>0</v>
      </c>
      <c r="S128">
        <f ca="1"/>
        <v>0.49093080441299969</v>
      </c>
      <c r="T128">
        <f ca="1"/>
        <v>0</v>
      </c>
      <c r="U128">
        <f ca="1"/>
        <v>0</v>
      </c>
      <c r="V128">
        <f ca="1"/>
        <v>0.49924684830285299</v>
      </c>
      <c r="X128" s="2">
        <f t="shared" ca="1" si="8"/>
        <v>45351</v>
      </c>
      <c r="Y128">
        <f t="shared" ca="1" si="9"/>
        <v>0</v>
      </c>
      <c r="AA128" s="63">
        <f t="shared" ca="1" si="11"/>
        <v>40.193441211781462</v>
      </c>
      <c r="AB128" s="63">
        <f t="shared" ca="1" si="12"/>
        <v>40.193441211781462</v>
      </c>
      <c r="AC128" s="3">
        <f t="shared" ca="1" si="13"/>
        <v>0</v>
      </c>
    </row>
    <row r="129" spans="8:29">
      <c r="H129" t="b">
        <f t="shared" ca="1" si="10"/>
        <v>0</v>
      </c>
      <c r="I129" t="b">
        <f t="shared" ca="1" si="7"/>
        <v>0</v>
      </c>
      <c r="J129" s="2">
        <f ca="1"/>
        <v>45352</v>
      </c>
      <c r="K129">
        <f ca="1"/>
        <v>39.490474981802024</v>
      </c>
      <c r="L129">
        <f ca="1"/>
        <v>0.48158579858311512</v>
      </c>
      <c r="M129">
        <f ca="1"/>
        <v>2.0985273779984936E-2</v>
      </c>
      <c r="N129">
        <f ca="1"/>
        <v>0.20691231998638729</v>
      </c>
      <c r="O129">
        <f ca="1"/>
        <v>0</v>
      </c>
      <c r="P129">
        <f ca="1"/>
        <v>9.6183272986860491</v>
      </c>
      <c r="Q129">
        <f ca="1"/>
        <v>8.7989883065757564</v>
      </c>
      <c r="R129">
        <f ca="1"/>
        <v>0</v>
      </c>
      <c r="S129">
        <f ca="1"/>
        <v>0.48436066266377809</v>
      </c>
      <c r="T129">
        <f ca="1"/>
        <v>0</v>
      </c>
      <c r="U129">
        <f ca="1"/>
        <v>0</v>
      </c>
      <c r="V129">
        <f ca="1"/>
        <v>0.53294346081220656</v>
      </c>
      <c r="X129" s="2">
        <f t="shared" ca="1" si="8"/>
        <v>45352</v>
      </c>
      <c r="Y129">
        <f t="shared" ca="1" si="9"/>
        <v>0</v>
      </c>
      <c r="AA129" s="63">
        <f t="shared" ca="1" si="11"/>
        <v>39.972060780385142</v>
      </c>
      <c r="AB129" s="63">
        <f t="shared" ca="1" si="12"/>
        <v>39.972060780385135</v>
      </c>
      <c r="AC129" s="3">
        <f t="shared" ca="1" si="13"/>
        <v>0</v>
      </c>
    </row>
    <row r="130" spans="8:29">
      <c r="H130" t="b">
        <f t="shared" ca="1" si="10"/>
        <v>0</v>
      </c>
      <c r="I130" t="b">
        <f t="shared" ca="1" si="7"/>
        <v>0</v>
      </c>
      <c r="J130" s="2">
        <f ca="1"/>
        <v>45353</v>
      </c>
      <c r="K130">
        <f ca="1"/>
        <v>39.215217897758265</v>
      </c>
      <c r="L130">
        <f ca="1"/>
        <v>0.50723279189123005</v>
      </c>
      <c r="M130">
        <f ca="1"/>
        <v>2.1212203623627524E-2</v>
      </c>
      <c r="N130">
        <f ca="1"/>
        <v>0.21076350422383827</v>
      </c>
      <c r="O130">
        <f ca="1"/>
        <v>0</v>
      </c>
      <c r="P130">
        <f ca="1"/>
        <v>10.125560090577279</v>
      </c>
      <c r="Q130">
        <f ca="1"/>
        <v>9.2630123791577343</v>
      </c>
      <c r="R130">
        <f ca="1"/>
        <v>0</v>
      </c>
      <c r="S130">
        <f ca="1"/>
        <v>0.49505733063969498</v>
      </c>
      <c r="T130">
        <f ca="1"/>
        <v>0</v>
      </c>
      <c r="U130">
        <f ca="1"/>
        <v>0</v>
      </c>
      <c r="V130">
        <f ca="1"/>
        <v>0.56644853898742564</v>
      </c>
      <c r="X130" s="2">
        <f t="shared" ca="1" si="8"/>
        <v>45353</v>
      </c>
      <c r="Y130">
        <f t="shared" ca="1" si="9"/>
        <v>0</v>
      </c>
      <c r="AA130" s="63">
        <f t="shared" ca="1" si="11"/>
        <v>39.722450689649492</v>
      </c>
      <c r="AB130" s="63">
        <f t="shared" ca="1" si="12"/>
        <v>39.722450689649492</v>
      </c>
      <c r="AC130" s="3">
        <f t="shared" ca="1" si="13"/>
        <v>0</v>
      </c>
    </row>
    <row r="131" spans="8:29">
      <c r="H131" t="b">
        <f t="shared" ca="1" si="10"/>
        <v>0</v>
      </c>
      <c r="I131" t="b">
        <f t="shared" ca="1" si="7"/>
        <v>0</v>
      </c>
      <c r="J131" s="2">
        <f ca="1"/>
        <v>45354</v>
      </c>
      <c r="K131">
        <f ca="1"/>
        <v>38.933584007382514</v>
      </c>
      <c r="L131">
        <f ca="1"/>
        <v>0.51122418184382212</v>
      </c>
      <c r="M131">
        <f ca="1"/>
        <v>2.007449404052597E-2</v>
      </c>
      <c r="N131">
        <f ca="1"/>
        <v>0.20951579742753881</v>
      </c>
      <c r="O131">
        <f ca="1"/>
        <v>0</v>
      </c>
      <c r="P131">
        <f ca="1"/>
        <v>10.636784272421101</v>
      </c>
      <c r="Q131">
        <f ca="1"/>
        <v>9.7306878344000456</v>
      </c>
      <c r="R131">
        <f ca="1"/>
        <v>0</v>
      </c>
      <c r="S131">
        <f ca="1"/>
        <v>0.53170660761258293</v>
      </c>
      <c r="T131">
        <f ca="1"/>
        <v>0</v>
      </c>
      <c r="U131">
        <f ca="1"/>
        <v>0</v>
      </c>
      <c r="V131">
        <f ca="1"/>
        <v>0.59809101178922397</v>
      </c>
      <c r="X131" s="2">
        <f t="shared" ca="1" si="8"/>
        <v>45354</v>
      </c>
      <c r="Y131">
        <f t="shared" ca="1" si="9"/>
        <v>0</v>
      </c>
      <c r="AA131" s="63">
        <f t="shared" ca="1" si="11"/>
        <v>39.444808189226336</v>
      </c>
      <c r="AB131" s="63">
        <f t="shared" ca="1" si="12"/>
        <v>39.444808189226336</v>
      </c>
      <c r="AC131" s="3">
        <f t="shared" ca="1" si="13"/>
        <v>0</v>
      </c>
    </row>
    <row r="132" spans="8:29">
      <c r="H132" t="b">
        <f t="shared" ca="1" si="10"/>
        <v>0</v>
      </c>
      <c r="I132" t="b">
        <f t="shared" ca="1" si="7"/>
        <v>0</v>
      </c>
      <c r="J132" s="2">
        <f ca="1"/>
        <v>45355</v>
      </c>
      <c r="K132">
        <f ca="1"/>
        <v>38.626581205308042</v>
      </c>
      <c r="L132">
        <f ca="1"/>
        <v>0.53302636618576571</v>
      </c>
      <c r="M132">
        <f ca="1"/>
        <v>1.9694248797723191E-2</v>
      </c>
      <c r="N132">
        <f ca="1"/>
        <v>0.20632931531356424</v>
      </c>
      <c r="O132">
        <f ca="1"/>
        <v>0</v>
      </c>
      <c r="P132">
        <f ca="1"/>
        <v>11.169810638606867</v>
      </c>
      <c r="Q132">
        <f ca="1"/>
        <v>10.21830825087369</v>
      </c>
      <c r="R132">
        <f ca="1"/>
        <v>0</v>
      </c>
      <c r="S132">
        <f ca="1"/>
        <v>0.5246795774315437</v>
      </c>
      <c r="T132">
        <f ca="1"/>
        <v>0</v>
      </c>
      <c r="U132">
        <f ca="1"/>
        <v>0</v>
      </c>
      <c r="V132">
        <f ca="1"/>
        <v>0.62880212870321173</v>
      </c>
      <c r="X132" s="2">
        <f t="shared" ca="1" si="8"/>
        <v>45355</v>
      </c>
      <c r="Y132">
        <f t="shared" ca="1" si="9"/>
        <v>0</v>
      </c>
      <c r="AA132" s="63">
        <f t="shared" ca="1" si="11"/>
        <v>39.159607571493808</v>
      </c>
      <c r="AB132" s="63">
        <f t="shared" ca="1" si="12"/>
        <v>39.159607571493808</v>
      </c>
      <c r="AC132" s="3">
        <f t="shared" ca="1" si="13"/>
        <v>0</v>
      </c>
    </row>
    <row r="133" spans="8:29">
      <c r="H133" t="b">
        <f t="shared" ca="1" si="10"/>
        <v>0</v>
      </c>
      <c r="I133" t="b">
        <f t="shared" ca="1" si="7"/>
        <v>0</v>
      </c>
      <c r="J133" s="2">
        <f ca="1"/>
        <v>45356</v>
      </c>
      <c r="K133">
        <f ca="1"/>
        <v>38.284412112001888</v>
      </c>
      <c r="L133">
        <f ca="1"/>
        <v>0.57106377887224546</v>
      </c>
      <c r="M133">
        <f ca="1"/>
        <v>1.9994664776135096E-2</v>
      </c>
      <c r="N133">
        <f ca="1"/>
        <v>0.20890002078995182</v>
      </c>
      <c r="O133">
        <f ca="1"/>
        <v>0</v>
      </c>
      <c r="P133">
        <f ca="1"/>
        <v>11.740874417479112</v>
      </c>
      <c r="Q133">
        <f ca="1"/>
        <v>10.740725855990151</v>
      </c>
      <c r="R133">
        <f ca="1"/>
        <v>0</v>
      </c>
      <c r="S133">
        <f ca="1"/>
        <v>0.51079640103431545</v>
      </c>
      <c r="T133">
        <f ca="1"/>
        <v>0</v>
      </c>
      <c r="U133">
        <f ca="1"/>
        <v>0</v>
      </c>
      <c r="V133">
        <f ca="1"/>
        <v>0.65917161846775862</v>
      </c>
      <c r="X133" s="2">
        <f t="shared" ca="1" si="8"/>
        <v>45356</v>
      </c>
      <c r="Y133">
        <f t="shared" ca="1" si="9"/>
        <v>0</v>
      </c>
      <c r="AA133" s="63">
        <f t="shared" ca="1" si="11"/>
        <v>38.855475890874132</v>
      </c>
      <c r="AB133" s="63">
        <f t="shared" ca="1" si="12"/>
        <v>38.855475890874132</v>
      </c>
      <c r="AC133" s="3">
        <f t="shared" ca="1" si="13"/>
        <v>0</v>
      </c>
    </row>
    <row r="134" spans="8:29">
      <c r="H134" t="b">
        <f t="shared" ca="1" si="10"/>
        <v>0</v>
      </c>
      <c r="I134" t="b">
        <f t="shared" ca="1" si="7"/>
        <v>0</v>
      </c>
      <c r="J134" s="2">
        <f ca="1"/>
        <v>45357</v>
      </c>
      <c r="K134">
        <f ca="1"/>
        <v>37.923984001934826</v>
      </c>
      <c r="L134">
        <f ca="1"/>
        <v>0.5792831608471527</v>
      </c>
      <c r="M134">
        <f ca="1"/>
        <v>1.8974815975463244E-2</v>
      </c>
      <c r="N134">
        <f ca="1"/>
        <v>0.19988023480462866</v>
      </c>
      <c r="O134">
        <f ca="1"/>
        <v>0</v>
      </c>
      <c r="P134">
        <f ca="1"/>
        <v>12.320157578326265</v>
      </c>
      <c r="Q134">
        <f ca="1"/>
        <v>11.27066267350588</v>
      </c>
      <c r="R134">
        <f ca="1"/>
        <v>0</v>
      </c>
      <c r="S134">
        <f ca="1"/>
        <v>0.50979186007665467</v>
      </c>
      <c r="T134">
        <f ca="1"/>
        <v>0</v>
      </c>
      <c r="U134">
        <f ca="1"/>
        <v>0</v>
      </c>
      <c r="V134">
        <f ca="1"/>
        <v>0.68740475035783644</v>
      </c>
      <c r="X134" s="2">
        <f t="shared" ca="1" si="8"/>
        <v>45357</v>
      </c>
      <c r="Y134">
        <f t="shared" ca="1" si="9"/>
        <v>0</v>
      </c>
      <c r="AA134" s="63">
        <f t="shared" ca="1" si="11"/>
        <v>38.503267162781981</v>
      </c>
      <c r="AB134" s="63">
        <f t="shared" ca="1" si="12"/>
        <v>38.503267162781981</v>
      </c>
      <c r="AC134" s="3">
        <f t="shared" ca="1" si="13"/>
        <v>0</v>
      </c>
    </row>
    <row r="135" spans="8:29">
      <c r="H135" t="b">
        <f t="shared" ca="1" si="10"/>
        <v>0</v>
      </c>
      <c r="I135" t="b">
        <f t="shared" ref="I135:I198" ca="1" si="14">AND(IF(J135&gt;($J$3-1),TRUE,FALSE),IF(J135&lt;($J$4+1),TRUE,FALSE))</f>
        <v>0</v>
      </c>
      <c r="J135" s="2">
        <f ca="1"/>
        <v>45358</v>
      </c>
      <c r="K135">
        <f ca="1"/>
        <v>37.520540658752175</v>
      </c>
      <c r="L135">
        <f ca="1"/>
        <v>0.61801682371524613</v>
      </c>
      <c r="M135">
        <f ca="1"/>
        <v>1.8279881277134535E-2</v>
      </c>
      <c r="N135">
        <f ca="1"/>
        <v>0.19629359925545356</v>
      </c>
      <c r="O135">
        <f ca="1"/>
        <v>0</v>
      </c>
      <c r="P135">
        <f ca="1"/>
        <v>12.938174402041511</v>
      </c>
      <c r="Q135">
        <f ca="1"/>
        <v>11.836033619645381</v>
      </c>
      <c r="R135">
        <f ca="1"/>
        <v>0</v>
      </c>
      <c r="S135">
        <f ca="1"/>
        <v>0.47589206771074299</v>
      </c>
      <c r="T135">
        <f ca="1"/>
        <v>0</v>
      </c>
      <c r="U135">
        <f ca="1"/>
        <v>0</v>
      </c>
      <c r="V135">
        <f ca="1"/>
        <v>0.71482802574522852</v>
      </c>
      <c r="X135" s="2">
        <f t="shared" ref="X135:X198" ca="1" si="15">IFERROR(J135,$X$5)</f>
        <v>45358</v>
      </c>
      <c r="Y135">
        <f t="shared" ref="Y135:Y198" ca="1" si="16">IFERROR(O135,0)</f>
        <v>0</v>
      </c>
      <c r="AA135" s="63">
        <f t="shared" ca="1" si="11"/>
        <v>38.138557482467419</v>
      </c>
      <c r="AB135" s="63">
        <f t="shared" ca="1" si="12"/>
        <v>38.138557482467419</v>
      </c>
      <c r="AC135" s="3">
        <f t="shared" ca="1" si="13"/>
        <v>0</v>
      </c>
    </row>
    <row r="136" spans="8:29">
      <c r="H136" t="b">
        <f t="shared" ref="H136:H199" ca="1" si="17">IF(J136&lt;$J$4,TRUE,FALSE)</f>
        <v>0</v>
      </c>
      <c r="I136" t="b">
        <f t="shared" ca="1" si="14"/>
        <v>0</v>
      </c>
      <c r="J136" s="2">
        <f ca="1"/>
        <v>45359</v>
      </c>
      <c r="K136">
        <f ca="1"/>
        <v>37.083998847739153</v>
      </c>
      <c r="L136">
        <f ca="1"/>
        <v>0.65543887099774878</v>
      </c>
      <c r="M136">
        <f ca="1"/>
        <v>1.8454731696671445E-2</v>
      </c>
      <c r="N136">
        <f ca="1"/>
        <v>0.20044232828805414</v>
      </c>
      <c r="O136">
        <f ca="1"/>
        <v>0</v>
      </c>
      <c r="P136">
        <f ca="1"/>
        <v>13.59361327303926</v>
      </c>
      <c r="Q136">
        <f ca="1"/>
        <v>12.435638809039618</v>
      </c>
      <c r="R136">
        <f ca="1"/>
        <v>0</v>
      </c>
      <c r="S136">
        <f ca="1"/>
        <v>0.47818344873843516</v>
      </c>
      <c r="T136">
        <f ca="1"/>
        <v>0</v>
      </c>
      <c r="U136">
        <f ca="1"/>
        <v>0</v>
      </c>
      <c r="V136">
        <f ca="1"/>
        <v>0.74108536859121121</v>
      </c>
      <c r="X136" s="2">
        <f t="shared" ca="1" si="15"/>
        <v>45359</v>
      </c>
      <c r="Y136">
        <f t="shared" ca="1" si="16"/>
        <v>0</v>
      </c>
      <c r="AA136" s="63">
        <f t="shared" ca="1" si="11"/>
        <v>37.739437718736902</v>
      </c>
      <c r="AB136" s="63">
        <f t="shared" ca="1" si="12"/>
        <v>37.739437718736902</v>
      </c>
      <c r="AC136" s="3">
        <f t="shared" ca="1" si="13"/>
        <v>0</v>
      </c>
    </row>
    <row r="137" spans="8:29">
      <c r="H137" t="b">
        <f t="shared" ca="1" si="17"/>
        <v>0</v>
      </c>
      <c r="I137" t="b">
        <f t="shared" ca="1" si="14"/>
        <v>0</v>
      </c>
      <c r="J137" s="2">
        <f ca="1"/>
        <v>45360</v>
      </c>
      <c r="K137">
        <f ca="1"/>
        <v>36.615475222933881</v>
      </c>
      <c r="L137">
        <f ca="1"/>
        <v>0.67532227712944604</v>
      </c>
      <c r="M137">
        <f ca="1"/>
        <v>1.6935488511863994E-2</v>
      </c>
      <c r="N137">
        <f ca="1"/>
        <v>0.18986316381231319</v>
      </c>
      <c r="O137">
        <f ca="1"/>
        <v>0</v>
      </c>
      <c r="P137">
        <f ca="1"/>
        <v>14.268935550168706</v>
      </c>
      <c r="Q137">
        <f ca="1"/>
        <v>13.05343363293211</v>
      </c>
      <c r="R137">
        <f ca="1"/>
        <v>0</v>
      </c>
      <c r="S137">
        <f ca="1"/>
        <v>0.45257696261121116</v>
      </c>
      <c r="T137">
        <f ca="1"/>
        <v>0</v>
      </c>
      <c r="U137">
        <f ca="1"/>
        <v>0</v>
      </c>
      <c r="V137">
        <f ca="1"/>
        <v>0.76535467319140615</v>
      </c>
      <c r="X137" s="2">
        <f t="shared" ca="1" si="15"/>
        <v>45360</v>
      </c>
      <c r="Y137">
        <f t="shared" ca="1" si="16"/>
        <v>0</v>
      </c>
      <c r="AA137" s="63">
        <f t="shared" ref="AA137:AA200" ca="1" si="18">K136+M137+N137+O137</f>
        <v>37.290797500063327</v>
      </c>
      <c r="AB137" s="63">
        <f t="shared" ref="AB137:AB200" ca="1" si="19">K137+L137+R137</f>
        <v>37.290797500063327</v>
      </c>
      <c r="AC137" s="3">
        <f t="shared" ref="AC137:AC200" ca="1" si="20">AB137-AA137</f>
        <v>0</v>
      </c>
    </row>
    <row r="138" spans="8:29">
      <c r="H138" t="b">
        <f t="shared" ca="1" si="17"/>
        <v>0</v>
      </c>
      <c r="I138" t="b">
        <f t="shared" ca="1" si="14"/>
        <v>0</v>
      </c>
      <c r="J138" s="2">
        <f ca="1"/>
        <v>45361</v>
      </c>
      <c r="K138">
        <f ca="1"/>
        <v>36.136903803322944</v>
      </c>
      <c r="L138">
        <f ca="1"/>
        <v>0.69929146280565213</v>
      </c>
      <c r="M138">
        <f ca="1"/>
        <v>1.8280656774980031E-2</v>
      </c>
      <c r="N138">
        <f ca="1"/>
        <v>0.20243938641973891</v>
      </c>
      <c r="O138">
        <f ca="1"/>
        <v>0</v>
      </c>
      <c r="P138">
        <f ca="1"/>
        <v>14.968227012974358</v>
      </c>
      <c r="Q138">
        <f ca="1"/>
        <v>13.693155822980247</v>
      </c>
      <c r="R138">
        <f ca="1"/>
        <v>0</v>
      </c>
      <c r="S138">
        <f ca="1"/>
        <v>0.51141175142110562</v>
      </c>
      <c r="T138">
        <f ca="1"/>
        <v>0</v>
      </c>
      <c r="U138">
        <f ca="1"/>
        <v>0</v>
      </c>
      <c r="V138">
        <f ca="1"/>
        <v>0.78779480582287542</v>
      </c>
      <c r="X138" s="2">
        <f t="shared" ca="1" si="15"/>
        <v>45361</v>
      </c>
      <c r="Y138">
        <f t="shared" ca="1" si="16"/>
        <v>0</v>
      </c>
      <c r="AA138" s="63">
        <f t="shared" ca="1" si="18"/>
        <v>36.836195266128598</v>
      </c>
      <c r="AB138" s="63">
        <f t="shared" ca="1" si="19"/>
        <v>36.836195266128598</v>
      </c>
      <c r="AC138" s="3">
        <f t="shared" ca="1" si="20"/>
        <v>0</v>
      </c>
    </row>
    <row r="139" spans="8:29">
      <c r="H139" t="b">
        <f t="shared" ca="1" si="17"/>
        <v>0</v>
      </c>
      <c r="I139" t="b">
        <f t="shared" ca="1" si="14"/>
        <v>0</v>
      </c>
      <c r="J139" s="2">
        <f ca="1"/>
        <v>45362</v>
      </c>
      <c r="K139">
        <f ca="1"/>
        <v>35.62169550808111</v>
      </c>
      <c r="L139">
        <f ca="1"/>
        <v>0.73804624897443283</v>
      </c>
      <c r="M139">
        <f ca="1"/>
        <v>1.8290472678639702E-2</v>
      </c>
      <c r="N139">
        <f ca="1"/>
        <v>0.20454748105396581</v>
      </c>
      <c r="O139">
        <f ca="1"/>
        <v>0</v>
      </c>
      <c r="P139">
        <f ca="1"/>
        <v>15.706273261948791</v>
      </c>
      <c r="Q139">
        <f ca="1"/>
        <v>14.36833146556056</v>
      </c>
      <c r="R139">
        <f ca="1"/>
        <v>0</v>
      </c>
      <c r="S139">
        <f ca="1"/>
        <v>0.50899742070905141</v>
      </c>
      <c r="T139">
        <f ca="1"/>
        <v>0</v>
      </c>
      <c r="U139">
        <f ca="1"/>
        <v>0</v>
      </c>
      <c r="V139">
        <f ca="1"/>
        <v>0.80882648346794106</v>
      </c>
      <c r="X139" s="2">
        <f t="shared" ca="1" si="15"/>
        <v>45362</v>
      </c>
      <c r="Y139">
        <f t="shared" ca="1" si="16"/>
        <v>0</v>
      </c>
      <c r="AA139" s="63">
        <f t="shared" ca="1" si="18"/>
        <v>36.359741757055545</v>
      </c>
      <c r="AB139" s="63">
        <f t="shared" ca="1" si="19"/>
        <v>36.359741757055545</v>
      </c>
      <c r="AC139" s="3">
        <f t="shared" ca="1" si="20"/>
        <v>0</v>
      </c>
    </row>
    <row r="140" spans="8:29">
      <c r="H140" t="b">
        <f t="shared" ca="1" si="17"/>
        <v>0</v>
      </c>
      <c r="I140" t="b">
        <f t="shared" ca="1" si="14"/>
        <v>0</v>
      </c>
      <c r="J140" s="2">
        <f ca="1"/>
        <v>45363</v>
      </c>
      <c r="K140">
        <f ca="1"/>
        <v>35.077416757344025</v>
      </c>
      <c r="L140">
        <f ca="1"/>
        <v>0.75497560941722597</v>
      </c>
      <c r="M140">
        <f ca="1"/>
        <v>1.7197248293172152E-2</v>
      </c>
      <c r="N140">
        <f ca="1"/>
        <v>0.1934996103869637</v>
      </c>
      <c r="O140">
        <f ca="1"/>
        <v>0</v>
      </c>
      <c r="P140">
        <f ca="1"/>
        <v>16.461248871366017</v>
      </c>
      <c r="Q140">
        <f ca="1"/>
        <v>15.05899433787928</v>
      </c>
      <c r="R140">
        <f ca="1"/>
        <v>0</v>
      </c>
      <c r="S140">
        <f ca="1"/>
        <v>0.48799758887371186</v>
      </c>
      <c r="T140">
        <f ca="1"/>
        <v>0</v>
      </c>
      <c r="U140">
        <f ca="1"/>
        <v>0</v>
      </c>
      <c r="V140">
        <f ca="1"/>
        <v>0.82784792519770978</v>
      </c>
      <c r="X140" s="2">
        <f t="shared" ca="1" si="15"/>
        <v>45363</v>
      </c>
      <c r="Y140">
        <f t="shared" ca="1" si="16"/>
        <v>0</v>
      </c>
      <c r="AA140" s="63">
        <f t="shared" ca="1" si="18"/>
        <v>35.832392366761248</v>
      </c>
      <c r="AB140" s="63">
        <f t="shared" ca="1" si="19"/>
        <v>35.832392366761255</v>
      </c>
      <c r="AC140" s="3">
        <f t="shared" ca="1" si="20"/>
        <v>0</v>
      </c>
    </row>
    <row r="141" spans="8:29">
      <c r="H141" t="b">
        <f t="shared" ca="1" si="17"/>
        <v>0</v>
      </c>
      <c r="I141" t="b">
        <f t="shared" ca="1" si="14"/>
        <v>0</v>
      </c>
      <c r="J141" s="2">
        <f ca="1"/>
        <v>45364</v>
      </c>
      <c r="K141">
        <f ca="1"/>
        <v>34.494744346279802</v>
      </c>
      <c r="L141">
        <f ca="1"/>
        <v>0.78773286836549161</v>
      </c>
      <c r="M141">
        <f ca="1"/>
        <v>1.6339293837612345E-2</v>
      </c>
      <c r="N141">
        <f ca="1"/>
        <v>0.18872116346365633</v>
      </c>
      <c r="O141">
        <f ca="1"/>
        <v>0</v>
      </c>
      <c r="P141">
        <f ca="1"/>
        <v>17.248981739731509</v>
      </c>
      <c r="Q141">
        <f ca="1"/>
        <v>15.779624035976603</v>
      </c>
      <c r="R141">
        <f ca="1"/>
        <v>0</v>
      </c>
      <c r="S141">
        <f ca="1"/>
        <v>0.46885910575045159</v>
      </c>
      <c r="T141">
        <f ca="1"/>
        <v>0</v>
      </c>
      <c r="U141">
        <f ca="1"/>
        <v>0</v>
      </c>
      <c r="V141">
        <f ca="1"/>
        <v>0.84533866308604988</v>
      </c>
      <c r="X141" s="2">
        <f t="shared" ca="1" si="15"/>
        <v>45364</v>
      </c>
      <c r="Y141">
        <f t="shared" ca="1" si="16"/>
        <v>0</v>
      </c>
      <c r="AA141" s="63">
        <f t="shared" ca="1" si="18"/>
        <v>35.28247721464529</v>
      </c>
      <c r="AB141" s="63">
        <f t="shared" ca="1" si="19"/>
        <v>35.282477214645297</v>
      </c>
      <c r="AC141" s="3">
        <f t="shared" ca="1" si="20"/>
        <v>0</v>
      </c>
    </row>
    <row r="142" spans="8:29">
      <c r="H142" t="b">
        <f t="shared" ca="1" si="17"/>
        <v>0</v>
      </c>
      <c r="I142" t="b">
        <f t="shared" ca="1" si="14"/>
        <v>0</v>
      </c>
      <c r="J142" s="2">
        <f ca="1"/>
        <v>45365</v>
      </c>
      <c r="K142">
        <f ca="1"/>
        <v>33.88411175058215</v>
      </c>
      <c r="L142">
        <f ca="1"/>
        <v>0.81400328069521777</v>
      </c>
      <c r="M142">
        <f ca="1"/>
        <v>1.6099865018386339E-2</v>
      </c>
      <c r="N142">
        <f ca="1"/>
        <v>0.1872708199791826</v>
      </c>
      <c r="O142">
        <f ca="1"/>
        <v>0</v>
      </c>
      <c r="P142">
        <f ca="1"/>
        <v>18.062985020426726</v>
      </c>
      <c r="Q142">
        <f ca="1"/>
        <v>16.524286296464449</v>
      </c>
      <c r="R142">
        <f ca="1"/>
        <v>0</v>
      </c>
      <c r="S142">
        <f ca="1"/>
        <v>0.47228169936959458</v>
      </c>
      <c r="T142">
        <f ca="1"/>
        <v>0</v>
      </c>
      <c r="U142">
        <f ca="1"/>
        <v>0</v>
      </c>
      <c r="V142">
        <f ca="1"/>
        <v>0.86121197935817517</v>
      </c>
      <c r="X142" s="2">
        <f t="shared" ca="1" si="15"/>
        <v>45365</v>
      </c>
      <c r="Y142">
        <f t="shared" ca="1" si="16"/>
        <v>0</v>
      </c>
      <c r="AA142" s="63">
        <f t="shared" ca="1" si="18"/>
        <v>34.698115031277375</v>
      </c>
      <c r="AB142" s="63">
        <f t="shared" ca="1" si="19"/>
        <v>34.698115031277368</v>
      </c>
      <c r="AC142" s="3">
        <f t="shared" ca="1" si="20"/>
        <v>0</v>
      </c>
    </row>
    <row r="143" spans="8:29">
      <c r="H143" t="b">
        <f t="shared" ca="1" si="17"/>
        <v>0</v>
      </c>
      <c r="I143" t="b">
        <f t="shared" ca="1" si="14"/>
        <v>0</v>
      </c>
      <c r="J143" s="2">
        <f ca="1"/>
        <v>45366</v>
      </c>
      <c r="K143">
        <f ca="1"/>
        <v>33.234360913992617</v>
      </c>
      <c r="L143">
        <f ca="1"/>
        <v>0.85517658202816094</v>
      </c>
      <c r="M143">
        <f ca="1"/>
        <v>1.6087156015153425E-2</v>
      </c>
      <c r="N143">
        <f ca="1"/>
        <v>0.18933858942347606</v>
      </c>
      <c r="O143">
        <f ca="1"/>
        <v>0</v>
      </c>
      <c r="P143">
        <f ca="1"/>
        <v>18.918161602454887</v>
      </c>
      <c r="Q143">
        <f ca="1"/>
        <v>17.306614502986509</v>
      </c>
      <c r="R143">
        <f ca="1"/>
        <v>0</v>
      </c>
      <c r="S143">
        <f ca="1"/>
        <v>0.47253093840048499</v>
      </c>
      <c r="T143">
        <f ca="1"/>
        <v>0</v>
      </c>
      <c r="U143">
        <f ca="1"/>
        <v>0</v>
      </c>
      <c r="V143">
        <f ca="1"/>
        <v>0.87580568768870581</v>
      </c>
      <c r="X143" s="2">
        <f t="shared" ca="1" si="15"/>
        <v>45366</v>
      </c>
      <c r="Y143">
        <f t="shared" ca="1" si="16"/>
        <v>0</v>
      </c>
      <c r="AA143" s="63">
        <f t="shared" ca="1" si="18"/>
        <v>34.089537496020782</v>
      </c>
      <c r="AB143" s="63">
        <f t="shared" ca="1" si="19"/>
        <v>34.089537496020782</v>
      </c>
      <c r="AC143" s="3">
        <f t="shared" ca="1" si="20"/>
        <v>0</v>
      </c>
    </row>
    <row r="144" spans="8:29">
      <c r="H144" t="b">
        <f t="shared" ca="1" si="17"/>
        <v>0</v>
      </c>
      <c r="I144" t="b">
        <f t="shared" ca="1" si="14"/>
        <v>0</v>
      </c>
      <c r="J144" s="2">
        <f ca="1"/>
        <v>45367</v>
      </c>
      <c r="K144">
        <f ca="1"/>
        <v>32.546761148725324</v>
      </c>
      <c r="L144">
        <f ca="1"/>
        <v>0.89004985314154439</v>
      </c>
      <c r="M144">
        <f ca="1"/>
        <v>1.558794366206584E-2</v>
      </c>
      <c r="N144">
        <f ca="1"/>
        <v>0.1868621442121883</v>
      </c>
      <c r="O144">
        <f ca="1"/>
        <v>0</v>
      </c>
      <c r="P144">
        <f ca="1"/>
        <v>19.808211455596432</v>
      </c>
      <c r="Q144">
        <f ca="1"/>
        <v>18.120845294564141</v>
      </c>
      <c r="R144">
        <f ca="1"/>
        <v>0</v>
      </c>
      <c r="S144">
        <f ca="1"/>
        <v>0.46358496058328269</v>
      </c>
      <c r="T144">
        <f ca="1"/>
        <v>0</v>
      </c>
      <c r="U144">
        <f ca="1"/>
        <v>0</v>
      </c>
      <c r="V144">
        <f ca="1"/>
        <v>0.88904828593656526</v>
      </c>
      <c r="X144" s="2">
        <f t="shared" ca="1" si="15"/>
        <v>45367</v>
      </c>
      <c r="Y144">
        <f t="shared" ca="1" si="16"/>
        <v>0</v>
      </c>
      <c r="AA144" s="63">
        <f t="shared" ca="1" si="18"/>
        <v>33.436811001866872</v>
      </c>
      <c r="AB144" s="63">
        <f t="shared" ca="1" si="19"/>
        <v>33.436811001866872</v>
      </c>
      <c r="AC144" s="3">
        <f t="shared" ca="1" si="20"/>
        <v>0</v>
      </c>
    </row>
    <row r="145" spans="8:29">
      <c r="H145" t="b">
        <f t="shared" ca="1" si="17"/>
        <v>0</v>
      </c>
      <c r="I145" t="b">
        <f t="shared" ca="1" si="14"/>
        <v>0</v>
      </c>
      <c r="J145" s="2">
        <f ca="1"/>
        <v>45368</v>
      </c>
      <c r="K145">
        <f ca="1"/>
        <v>31.819754085719154</v>
      </c>
      <c r="L145">
        <f ca="1"/>
        <v>0.92265894098004253</v>
      </c>
      <c r="M145">
        <f ca="1"/>
        <v>1.4674328691726579E-2</v>
      </c>
      <c r="N145">
        <f ca="1"/>
        <v>0.18097754928214585</v>
      </c>
      <c r="O145">
        <f ca="1"/>
        <v>0</v>
      </c>
      <c r="P145">
        <f ca="1"/>
        <v>20.730870396576474</v>
      </c>
      <c r="Q145">
        <f ca="1"/>
        <v>18.964907362794037</v>
      </c>
      <c r="R145">
        <f ca="1"/>
        <v>0</v>
      </c>
      <c r="S145">
        <f ca="1"/>
        <v>0.4435682412547316</v>
      </c>
      <c r="T145">
        <f ca="1"/>
        <v>0</v>
      </c>
      <c r="U145">
        <f ca="1"/>
        <v>0</v>
      </c>
      <c r="V145">
        <f ca="1"/>
        <v>0.9009869025625844</v>
      </c>
      <c r="X145" s="2">
        <f t="shared" ca="1" si="15"/>
        <v>45368</v>
      </c>
      <c r="Y145">
        <f t="shared" ca="1" si="16"/>
        <v>0</v>
      </c>
      <c r="AA145" s="63">
        <f t="shared" ca="1" si="18"/>
        <v>32.742413026699197</v>
      </c>
      <c r="AB145" s="63">
        <f t="shared" ca="1" si="19"/>
        <v>32.742413026699197</v>
      </c>
      <c r="AC145" s="3">
        <f t="shared" ca="1" si="20"/>
        <v>0</v>
      </c>
    </row>
    <row r="146" spans="8:29">
      <c r="H146" t="b">
        <f t="shared" ca="1" si="17"/>
        <v>0</v>
      </c>
      <c r="I146" t="b">
        <f t="shared" ca="1" si="14"/>
        <v>0</v>
      </c>
      <c r="J146" s="2">
        <f ca="1"/>
        <v>45369</v>
      </c>
      <c r="K146">
        <f ca="1"/>
        <v>31.067527772951141</v>
      </c>
      <c r="L146">
        <f ca="1"/>
        <v>0.93524938186760309</v>
      </c>
      <c r="M146">
        <f ca="1"/>
        <v>1.3340023963920089E-2</v>
      </c>
      <c r="N146">
        <f ca="1"/>
        <v>0.16968304513567195</v>
      </c>
      <c r="O146">
        <f ca="1"/>
        <v>0</v>
      </c>
      <c r="P146">
        <f ca="1"/>
        <v>21.666119778444077</v>
      </c>
      <c r="Q146">
        <f ca="1"/>
        <v>19.820487352872917</v>
      </c>
      <c r="R146">
        <f ca="1"/>
        <v>0</v>
      </c>
      <c r="S146">
        <f ca="1"/>
        <v>0.42023150100749601</v>
      </c>
      <c r="T146">
        <f ca="1"/>
        <v>0</v>
      </c>
      <c r="U146">
        <f ca="1"/>
        <v>0</v>
      </c>
      <c r="V146">
        <f ca="1"/>
        <v>0.91150673930191839</v>
      </c>
      <c r="X146" s="2">
        <f t="shared" ca="1" si="15"/>
        <v>45369</v>
      </c>
      <c r="Y146">
        <f t="shared" ca="1" si="16"/>
        <v>0</v>
      </c>
      <c r="AA146" s="63">
        <f t="shared" ca="1" si="18"/>
        <v>32.002777154818745</v>
      </c>
      <c r="AB146" s="63">
        <f t="shared" ca="1" si="19"/>
        <v>32.002777154818745</v>
      </c>
      <c r="AC146" s="3">
        <f t="shared" ca="1" si="20"/>
        <v>0</v>
      </c>
    </row>
    <row r="147" spans="8:29">
      <c r="H147" t="b">
        <f t="shared" ca="1" si="17"/>
        <v>0</v>
      </c>
      <c r="I147" t="b">
        <f t="shared" ca="1" si="14"/>
        <v>0</v>
      </c>
      <c r="J147" s="2">
        <f ca="1"/>
        <v>45370</v>
      </c>
      <c r="K147">
        <f ca="1"/>
        <v>30.278927090615205</v>
      </c>
      <c r="L147">
        <f ca="1"/>
        <v>0.97477809353750899</v>
      </c>
      <c r="M147">
        <f ca="1"/>
        <v>1.3579942892287811E-2</v>
      </c>
      <c r="N147">
        <f ca="1"/>
        <v>0.17259746830928438</v>
      </c>
      <c r="O147">
        <f ca="1"/>
        <v>0</v>
      </c>
      <c r="P147">
        <f ca="1"/>
        <v>22.640897871981586</v>
      </c>
      <c r="Q147">
        <f ca="1"/>
        <v>20.712228793997966</v>
      </c>
      <c r="R147">
        <f ca="1"/>
        <v>0</v>
      </c>
      <c r="S147">
        <f ca="1"/>
        <v>0.43053880570819325</v>
      </c>
      <c r="T147">
        <f ca="1"/>
        <v>0</v>
      </c>
      <c r="U147">
        <f ca="1"/>
        <v>0</v>
      </c>
      <c r="V147">
        <f ca="1"/>
        <v>0.92103312188496167</v>
      </c>
      <c r="X147" s="2">
        <f t="shared" ca="1" si="15"/>
        <v>45370</v>
      </c>
      <c r="Y147">
        <f t="shared" ca="1" si="16"/>
        <v>0</v>
      </c>
      <c r="AA147" s="63">
        <f t="shared" ca="1" si="18"/>
        <v>31.253705184152714</v>
      </c>
      <c r="AB147" s="63">
        <f t="shared" ca="1" si="19"/>
        <v>31.253705184152714</v>
      </c>
      <c r="AC147" s="3">
        <f t="shared" ca="1" si="20"/>
        <v>0</v>
      </c>
    </row>
    <row r="148" spans="8:29">
      <c r="H148" t="b">
        <f t="shared" ca="1" si="17"/>
        <v>0</v>
      </c>
      <c r="I148" t="b">
        <f t="shared" ca="1" si="14"/>
        <v>0</v>
      </c>
      <c r="J148" s="2">
        <f ca="1"/>
        <v>45371</v>
      </c>
      <c r="K148">
        <f ca="1"/>
        <v>29.431514235542995</v>
      </c>
      <c r="L148">
        <f ca="1"/>
        <v>1.0293572896259668</v>
      </c>
      <c r="M148">
        <f ca="1"/>
        <v>1.2682312250264616E-2</v>
      </c>
      <c r="N148">
        <f ca="1"/>
        <v>0.16926212230349472</v>
      </c>
      <c r="O148">
        <f ca="1"/>
        <v>0</v>
      </c>
      <c r="P148">
        <f ca="1"/>
        <v>23.670255161607553</v>
      </c>
      <c r="Q148">
        <f ca="1"/>
        <v>21.653900092285429</v>
      </c>
      <c r="R148">
        <f ca="1"/>
        <v>0</v>
      </c>
      <c r="S148">
        <f ca="1"/>
        <v>0.39823611780097096</v>
      </c>
      <c r="T148">
        <f ca="1"/>
        <v>0</v>
      </c>
      <c r="U148">
        <f ca="1"/>
        <v>0</v>
      </c>
      <c r="V148">
        <f ca="1"/>
        <v>0.92974529970634257</v>
      </c>
      <c r="X148" s="2">
        <f t="shared" ca="1" si="15"/>
        <v>45371</v>
      </c>
      <c r="Y148">
        <f t="shared" ca="1" si="16"/>
        <v>0</v>
      </c>
      <c r="AA148" s="63">
        <f t="shared" ca="1" si="18"/>
        <v>30.460871525168962</v>
      </c>
      <c r="AB148" s="63">
        <f t="shared" ca="1" si="19"/>
        <v>30.460871525168962</v>
      </c>
      <c r="AC148" s="3">
        <f t="shared" ca="1" si="20"/>
        <v>0</v>
      </c>
    </row>
    <row r="149" spans="8:29">
      <c r="H149" t="b">
        <f t="shared" ca="1" si="17"/>
        <v>0</v>
      </c>
      <c r="I149" t="b">
        <f t="shared" ca="1" si="14"/>
        <v>0</v>
      </c>
      <c r="J149" s="2">
        <f ca="1"/>
        <v>45372</v>
      </c>
      <c r="K149">
        <f ca="1"/>
        <v>28.549825881145793</v>
      </c>
      <c r="L149">
        <f ca="1"/>
        <v>1.0625067661228584</v>
      </c>
      <c r="M149">
        <f ca="1"/>
        <v>1.2531795661546496E-2</v>
      </c>
      <c r="N149">
        <f ca="1"/>
        <v>0.16828661606411205</v>
      </c>
      <c r="O149">
        <f ca="1"/>
        <v>0</v>
      </c>
      <c r="P149">
        <f ca="1"/>
        <v>24.732761927730412</v>
      </c>
      <c r="Q149">
        <f ca="1"/>
        <v>22.6258970227756</v>
      </c>
      <c r="R149">
        <f ca="1"/>
        <v>0</v>
      </c>
      <c r="S149">
        <f ca="1"/>
        <v>0.40033882327371029</v>
      </c>
      <c r="T149">
        <f ca="1"/>
        <v>0</v>
      </c>
      <c r="U149">
        <f ca="1"/>
        <v>0</v>
      </c>
      <c r="V149">
        <f ca="1"/>
        <v>0.9375149538584242</v>
      </c>
      <c r="X149" s="2">
        <f t="shared" ca="1" si="15"/>
        <v>45372</v>
      </c>
      <c r="Y149">
        <f t="shared" ca="1" si="16"/>
        <v>0</v>
      </c>
      <c r="AA149" s="63">
        <f t="shared" ca="1" si="18"/>
        <v>29.612332647268655</v>
      </c>
      <c r="AB149" s="63">
        <f t="shared" ca="1" si="19"/>
        <v>29.612332647268651</v>
      </c>
      <c r="AC149" s="3">
        <f t="shared" ca="1" si="20"/>
        <v>0</v>
      </c>
    </row>
    <row r="150" spans="8:29">
      <c r="H150" t="b">
        <f t="shared" ca="1" si="17"/>
        <v>0</v>
      </c>
      <c r="I150" t="b">
        <f t="shared" ca="1" si="14"/>
        <v>0</v>
      </c>
      <c r="J150" s="2">
        <f ca="1"/>
        <v>45373</v>
      </c>
      <c r="K150">
        <f ca="1"/>
        <v>27.645914630663146</v>
      </c>
      <c r="L150">
        <f ca="1"/>
        <v>1.0809614712699123</v>
      </c>
      <c r="M150">
        <f ca="1"/>
        <v>1.2250290548955434E-2</v>
      </c>
      <c r="N150">
        <f ca="1"/>
        <v>0.1647999302383098</v>
      </c>
      <c r="O150">
        <f ca="1"/>
        <v>0</v>
      </c>
      <c r="P150">
        <f ca="1"/>
        <v>25.813723399000324</v>
      </c>
      <c r="Q150">
        <f ca="1"/>
        <v>23.614776590937335</v>
      </c>
      <c r="R150">
        <f ca="1"/>
        <v>0</v>
      </c>
      <c r="S150">
        <f ca="1"/>
        <v>0.40453786913059991</v>
      </c>
      <c r="T150">
        <f ca="1"/>
        <v>0</v>
      </c>
      <c r="U150">
        <f ca="1"/>
        <v>0</v>
      </c>
      <c r="V150">
        <f ca="1"/>
        <v>0.94434781899596243</v>
      </c>
      <c r="X150" s="2">
        <f t="shared" ca="1" si="15"/>
        <v>45373</v>
      </c>
      <c r="Y150">
        <f t="shared" ca="1" si="16"/>
        <v>0</v>
      </c>
      <c r="AA150" s="63">
        <f t="shared" ca="1" si="18"/>
        <v>28.726876101933058</v>
      </c>
      <c r="AB150" s="63">
        <f t="shared" ca="1" si="19"/>
        <v>28.726876101933058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0</v>
      </c>
      <c r="J151" s="2">
        <f ca="1"/>
        <v>45374</v>
      </c>
      <c r="K151">
        <f ca="1"/>
        <v>26.703310767360442</v>
      </c>
      <c r="L151">
        <f ca="1"/>
        <v>1.1152856141596459</v>
      </c>
      <c r="M151">
        <f ca="1"/>
        <v>1.1664846457654754E-2</v>
      </c>
      <c r="N151">
        <f ca="1"/>
        <v>0.16101690439928462</v>
      </c>
      <c r="O151">
        <f ca="1"/>
        <v>0</v>
      </c>
      <c r="P151">
        <f ca="1"/>
        <v>26.92900901315997</v>
      </c>
      <c r="Q151">
        <f ca="1"/>
        <v>24.635056393520415</v>
      </c>
      <c r="R151">
        <f ca="1"/>
        <v>0</v>
      </c>
      <c r="S151">
        <f ca="1"/>
        <v>0.39101217722951015</v>
      </c>
      <c r="T151">
        <f ca="1"/>
        <v>0</v>
      </c>
      <c r="U151">
        <f ca="1"/>
        <v>0</v>
      </c>
      <c r="V151">
        <f ca="1"/>
        <v>0.95044577928858343</v>
      </c>
      <c r="X151" s="2">
        <f t="shared" ca="1" si="15"/>
        <v>45374</v>
      </c>
      <c r="Y151">
        <f t="shared" ca="1" si="16"/>
        <v>0</v>
      </c>
      <c r="AA151" s="63">
        <f t="shared" ca="1" si="18"/>
        <v>27.818596381520088</v>
      </c>
      <c r="AB151" s="63">
        <f t="shared" ca="1" si="19"/>
        <v>27.818596381520088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45375</v>
      </c>
      <c r="K152">
        <f ca="1"/>
        <v>25.716403674718389</v>
      </c>
      <c r="L152">
        <f ca="1"/>
        <v>1.1567567890590773</v>
      </c>
      <c r="M152">
        <f ca="1"/>
        <v>1.1187727300966621E-2</v>
      </c>
      <c r="N152">
        <f ca="1"/>
        <v>0.15866196911605676</v>
      </c>
      <c r="O152">
        <f ca="1"/>
        <v>0</v>
      </c>
      <c r="P152">
        <f ca="1"/>
        <v>28.085765802219047</v>
      </c>
      <c r="Q152">
        <f ca="1"/>
        <v>25.693274641289275</v>
      </c>
      <c r="R152">
        <f ca="1"/>
        <v>0</v>
      </c>
      <c r="S152">
        <f ca="1"/>
        <v>0.37794556806154389</v>
      </c>
      <c r="T152">
        <f ca="1"/>
        <v>0</v>
      </c>
      <c r="U152">
        <f ca="1"/>
        <v>0</v>
      </c>
      <c r="V152">
        <f ca="1"/>
        <v>0.95591285183883712</v>
      </c>
      <c r="X152" s="2">
        <f t="shared" ca="1" si="15"/>
        <v>45375</v>
      </c>
      <c r="Y152">
        <f t="shared" ca="1" si="16"/>
        <v>0</v>
      </c>
      <c r="AA152" s="63">
        <f t="shared" ca="1" si="18"/>
        <v>26.873160463777467</v>
      </c>
      <c r="AB152" s="63">
        <f t="shared" ca="1" si="19"/>
        <v>26.873160463777467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45376</v>
      </c>
      <c r="K153">
        <f ca="1"/>
        <v>24.687504644866575</v>
      </c>
      <c r="L153">
        <f ca="1"/>
        <v>1.202697917568667</v>
      </c>
      <c r="M153">
        <f ca="1"/>
        <v>1.1539831808471845E-2</v>
      </c>
      <c r="N153">
        <f ca="1"/>
        <v>0.16225905590838108</v>
      </c>
      <c r="O153">
        <f ca="1"/>
        <v>0</v>
      </c>
      <c r="P153">
        <f ca="1"/>
        <v>29.288463719787714</v>
      </c>
      <c r="Q153">
        <f ca="1"/>
        <v>26.793520514028021</v>
      </c>
      <c r="R153">
        <f ca="1"/>
        <v>0</v>
      </c>
      <c r="S153">
        <f ca="1"/>
        <v>0.39156773800196826</v>
      </c>
      <c r="T153">
        <f ca="1"/>
        <v>0</v>
      </c>
      <c r="U153">
        <f ca="1"/>
        <v>0</v>
      </c>
      <c r="V153">
        <f ca="1"/>
        <v>0.96082066936987598</v>
      </c>
      <c r="X153" s="2">
        <f t="shared" ca="1" si="15"/>
        <v>45376</v>
      </c>
      <c r="Y153">
        <f t="shared" ca="1" si="16"/>
        <v>0</v>
      </c>
      <c r="AA153" s="63">
        <f t="shared" ca="1" si="18"/>
        <v>25.890202562435245</v>
      </c>
      <c r="AB153" s="63">
        <f t="shared" ca="1" si="19"/>
        <v>25.890202562435242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45377</v>
      </c>
      <c r="K154">
        <f ca="1"/>
        <v>23.601642207255772</v>
      </c>
      <c r="L154">
        <f ca="1"/>
        <v>1.2557892477989796</v>
      </c>
      <c r="M154">
        <f ca="1"/>
        <v>1.0812021322459842E-2</v>
      </c>
      <c r="N154">
        <f ca="1"/>
        <v>0.15911478886571767</v>
      </c>
      <c r="O154">
        <f ca="1"/>
        <v>0</v>
      </c>
      <c r="P154">
        <f ca="1"/>
        <v>30.544252967586694</v>
      </c>
      <c r="Q154">
        <f ca="1"/>
        <v>27.94233512219968</v>
      </c>
      <c r="R154">
        <f ca="1"/>
        <v>0</v>
      </c>
      <c r="S154">
        <f ca="1"/>
        <v>0.36646241744688979</v>
      </c>
      <c r="T154">
        <f ca="1"/>
        <v>0</v>
      </c>
      <c r="U154">
        <f ca="1"/>
        <v>0</v>
      </c>
      <c r="V154">
        <f ca="1"/>
        <v>0.96523837973442805</v>
      </c>
      <c r="X154" s="2">
        <f t="shared" ca="1" si="15"/>
        <v>45377</v>
      </c>
      <c r="Y154">
        <f t="shared" ca="1" si="16"/>
        <v>0</v>
      </c>
      <c r="AA154" s="63">
        <f t="shared" ca="1" si="18"/>
        <v>24.857431455054755</v>
      </c>
      <c r="AB154" s="63">
        <f t="shared" ca="1" si="19"/>
        <v>24.857431455054751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45378</v>
      </c>
      <c r="K155">
        <f ca="1"/>
        <v>22.476718656082351</v>
      </c>
      <c r="L155">
        <f ca="1"/>
        <v>1.2937791801976708</v>
      </c>
      <c r="M155">
        <f ca="1"/>
        <v>1.0654273178263729E-2</v>
      </c>
      <c r="N155">
        <f ca="1"/>
        <v>0.15820135584598638</v>
      </c>
      <c r="O155">
        <f ca="1"/>
        <v>0</v>
      </c>
      <c r="P155">
        <f ca="1"/>
        <v>31.838032147784364</v>
      </c>
      <c r="Q155">
        <f ca="1"/>
        <v>29.125903483343478</v>
      </c>
      <c r="R155">
        <f ca="1"/>
        <v>0</v>
      </c>
      <c r="S155">
        <f ca="1"/>
        <v>0.36617884772002496</v>
      </c>
      <c r="T155">
        <f ca="1"/>
        <v>0</v>
      </c>
      <c r="U155">
        <f ca="1"/>
        <v>0</v>
      </c>
      <c r="V155">
        <f ca="1"/>
        <v>0.96915884868970159</v>
      </c>
      <c r="X155" s="2">
        <f t="shared" ca="1" si="15"/>
        <v>45378</v>
      </c>
      <c r="Y155">
        <f t="shared" ca="1" si="16"/>
        <v>0</v>
      </c>
      <c r="AA155" s="63">
        <f t="shared" ca="1" si="18"/>
        <v>23.770497836280022</v>
      </c>
      <c r="AB155" s="63">
        <f t="shared" ca="1" si="19"/>
        <v>23.770497836280022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45379</v>
      </c>
      <c r="K156">
        <f ca="1"/>
        <v>21.296133092473568</v>
      </c>
      <c r="L156">
        <f ca="1"/>
        <v>1.3532455947657205</v>
      </c>
      <c r="M156">
        <f ca="1"/>
        <v>1.0869730740883377E-2</v>
      </c>
      <c r="N156">
        <f ca="1"/>
        <v>0.16179030041605547</v>
      </c>
      <c r="O156">
        <f ca="1"/>
        <v>0</v>
      </c>
      <c r="P156">
        <f ca="1"/>
        <v>33.191277742550085</v>
      </c>
      <c r="Q156">
        <f ca="1"/>
        <v>30.363872601518043</v>
      </c>
      <c r="R156">
        <f ca="1"/>
        <v>0</v>
      </c>
      <c r="S156">
        <f ca="1"/>
        <v>0.37186697923455803</v>
      </c>
      <c r="T156">
        <f ca="1"/>
        <v>0</v>
      </c>
      <c r="U156">
        <f ca="1"/>
        <v>0</v>
      </c>
      <c r="V156">
        <f ca="1"/>
        <v>0.9726880669038257</v>
      </c>
      <c r="X156" s="2">
        <f t="shared" ca="1" si="15"/>
        <v>45379</v>
      </c>
      <c r="Y156">
        <f t="shared" ca="1" si="16"/>
        <v>0</v>
      </c>
      <c r="AA156" s="63">
        <f t="shared" ca="1" si="18"/>
        <v>22.649378687239288</v>
      </c>
      <c r="AB156" s="63">
        <f t="shared" ca="1" si="19"/>
        <v>22.649378687239288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45380</v>
      </c>
      <c r="K157">
        <f ca="1"/>
        <v>20.079577598067029</v>
      </c>
      <c r="L157">
        <f ca="1"/>
        <v>1.3820208360194286</v>
      </c>
      <c r="M157">
        <f ca="1"/>
        <v>1.0045565139765067E-2</v>
      </c>
      <c r="N157">
        <f ca="1"/>
        <v>0.15541977647312283</v>
      </c>
      <c r="O157">
        <f ca="1"/>
        <v>0</v>
      </c>
      <c r="P157">
        <f ca="1"/>
        <v>34.573298578569513</v>
      </c>
      <c r="Q157">
        <f ca="1"/>
        <v>31.628165736691368</v>
      </c>
      <c r="R157">
        <f ca="1"/>
        <v>0</v>
      </c>
      <c r="S157">
        <f ca="1"/>
        <v>0.35167210142941757</v>
      </c>
      <c r="T157">
        <f ca="1"/>
        <v>0</v>
      </c>
      <c r="U157">
        <f ca="1"/>
        <v>0</v>
      </c>
      <c r="V157">
        <f ca="1"/>
        <v>0.97578942267359792</v>
      </c>
      <c r="X157" s="2">
        <f t="shared" ca="1" si="15"/>
        <v>45380</v>
      </c>
      <c r="Y157">
        <f t="shared" ca="1" si="16"/>
        <v>0</v>
      </c>
      <c r="AA157" s="63">
        <f t="shared" ca="1" si="18"/>
        <v>21.461598434086458</v>
      </c>
      <c r="AB157" s="63">
        <f t="shared" ca="1" si="19"/>
        <v>21.461598434086458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45381</v>
      </c>
      <c r="K158">
        <f ca="1"/>
        <v>18.836222042892935</v>
      </c>
      <c r="L158">
        <f ca="1"/>
        <v>1.4079973445353247</v>
      </c>
      <c r="M158">
        <f ca="1"/>
        <v>1.0070441961783416E-2</v>
      </c>
      <c r="N158">
        <f ca="1"/>
        <v>0.15457134739944689</v>
      </c>
      <c r="O158">
        <f ca="1"/>
        <v>0</v>
      </c>
      <c r="P158">
        <f ca="1"/>
        <v>35.981295923104838</v>
      </c>
      <c r="Q158">
        <f ca="1"/>
        <v>32.916222566692198</v>
      </c>
      <c r="R158">
        <f ca="1"/>
        <v>0</v>
      </c>
      <c r="S158">
        <f ca="1"/>
        <v>0.36117973825878835</v>
      </c>
      <c r="T158">
        <f ca="1"/>
        <v>0</v>
      </c>
      <c r="U158">
        <f ca="1"/>
        <v>0</v>
      </c>
      <c r="V158">
        <f ca="1"/>
        <v>0.97851301497065524</v>
      </c>
      <c r="X158" s="2">
        <f t="shared" ca="1" si="15"/>
        <v>45381</v>
      </c>
      <c r="Y158">
        <f t="shared" ca="1" si="16"/>
        <v>0</v>
      </c>
      <c r="AA158" s="63">
        <f t="shared" ca="1" si="18"/>
        <v>20.244219387428259</v>
      </c>
      <c r="AB158" s="63">
        <f t="shared" ca="1" si="19"/>
        <v>20.244219387428259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45382</v>
      </c>
      <c r="K159">
        <f ca="1"/>
        <v>17.568531026987998</v>
      </c>
      <c r="L159">
        <f ca="1"/>
        <v>1.4265257356153214</v>
      </c>
      <c r="M159">
        <f ca="1"/>
        <v>9.5187987767149096E-3</v>
      </c>
      <c r="N159">
        <f ca="1"/>
        <v>0.14931592093367149</v>
      </c>
      <c r="O159">
        <f ca="1"/>
        <v>0</v>
      </c>
      <c r="P159">
        <f ca="1"/>
        <v>37.40782165872016</v>
      </c>
      <c r="Q159">
        <f ca="1"/>
        <v>34.221229443347696</v>
      </c>
      <c r="R159">
        <f ca="1"/>
        <v>0</v>
      </c>
      <c r="S159">
        <f ca="1"/>
        <v>0.35142840257632663</v>
      </c>
      <c r="T159">
        <f ca="1"/>
        <v>0</v>
      </c>
      <c r="U159">
        <f ca="1"/>
        <v>0</v>
      </c>
      <c r="V159">
        <f ca="1"/>
        <v>0.98089701633748405</v>
      </c>
      <c r="X159" s="2">
        <f t="shared" ca="1" si="15"/>
        <v>45382</v>
      </c>
      <c r="Y159">
        <f t="shared" ca="1" si="16"/>
        <v>0</v>
      </c>
      <c r="AA159" s="63">
        <f t="shared" ca="1" si="18"/>
        <v>18.995056762603319</v>
      </c>
      <c r="AB159" s="63">
        <f t="shared" ca="1" si="19"/>
        <v>18.995056762603319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45383</v>
      </c>
      <c r="K160">
        <f ca="1"/>
        <v>16.268295780844639</v>
      </c>
      <c r="L160">
        <f ca="1"/>
        <v>1.4610026798477094</v>
      </c>
      <c r="M160">
        <f ca="1"/>
        <v>9.7743098198694867E-3</v>
      </c>
      <c r="N160">
        <f ca="1"/>
        <v>0.15099312388448435</v>
      </c>
      <c r="O160">
        <f ca="1"/>
        <v>0</v>
      </c>
      <c r="P160">
        <f ca="1"/>
        <v>38.868824338567869</v>
      </c>
      <c r="Q160">
        <f ca="1"/>
        <v>35.557776339356529</v>
      </c>
      <c r="R160">
        <f ca="1"/>
        <v>0</v>
      </c>
      <c r="S160">
        <f ca="1"/>
        <v>0.36635790728670248</v>
      </c>
      <c r="T160">
        <f ca="1"/>
        <v>0</v>
      </c>
      <c r="U160">
        <f ca="1"/>
        <v>0</v>
      </c>
      <c r="V160">
        <f ca="1"/>
        <v>0.98301025410690535</v>
      </c>
      <c r="X160" s="2">
        <f t="shared" ca="1" si="15"/>
        <v>45383</v>
      </c>
      <c r="Y160">
        <f t="shared" ca="1" si="16"/>
        <v>0</v>
      </c>
      <c r="AA160" s="63">
        <f t="shared" ca="1" si="18"/>
        <v>17.729298460692348</v>
      </c>
      <c r="AB160" s="63">
        <f t="shared" ca="1" si="19"/>
        <v>17.729298460692348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45384</v>
      </c>
      <c r="K161">
        <f ca="1"/>
        <v>14.915024241588579</v>
      </c>
      <c r="L161">
        <f ca="1"/>
        <v>1.5170723093018097</v>
      </c>
      <c r="M161">
        <f ca="1"/>
        <v>9.9380798673545101E-3</v>
      </c>
      <c r="N161">
        <f ca="1"/>
        <v>0.15386269017839674</v>
      </c>
      <c r="O161">
        <f ca="1"/>
        <v>0</v>
      </c>
      <c r="P161">
        <f ca="1"/>
        <v>40.385896647869679</v>
      </c>
      <c r="Q161">
        <f ca="1"/>
        <v>36.945616563051153</v>
      </c>
      <c r="R161">
        <f ca="1"/>
        <v>0</v>
      </c>
      <c r="S161">
        <f ca="1"/>
        <v>0.37205914113661021</v>
      </c>
      <c r="T161">
        <f ca="1"/>
        <v>0</v>
      </c>
      <c r="U161">
        <f ca="1"/>
        <v>0</v>
      </c>
      <c r="V161">
        <f ca="1"/>
        <v>0.98490941915287167</v>
      </c>
      <c r="X161" s="2">
        <f t="shared" ca="1" si="15"/>
        <v>45384</v>
      </c>
      <c r="Y161">
        <f t="shared" ca="1" si="16"/>
        <v>0</v>
      </c>
      <c r="AA161" s="63">
        <f t="shared" ca="1" si="18"/>
        <v>16.432096550890389</v>
      </c>
      <c r="AB161" s="63">
        <f t="shared" ca="1" si="19"/>
        <v>16.432096550890389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45385</v>
      </c>
      <c r="K162">
        <f ca="1"/>
        <v>13.548216657504504</v>
      </c>
      <c r="L162">
        <f ca="1"/>
        <v>1.5222617105102785</v>
      </c>
      <c r="M162">
        <f ca="1"/>
        <v>9.1806006805974505E-3</v>
      </c>
      <c r="N162">
        <f ca="1"/>
        <v>0.14627352574560679</v>
      </c>
      <c r="O162">
        <f ca="1"/>
        <v>0</v>
      </c>
      <c r="P162">
        <f ca="1"/>
        <v>41.908158358379957</v>
      </c>
      <c r="Q162">
        <f ca="1"/>
        <v>38.338204127851292</v>
      </c>
      <c r="R162">
        <f ca="1"/>
        <v>0</v>
      </c>
      <c r="S162">
        <f ca="1"/>
        <v>0.35659185790658671</v>
      </c>
      <c r="T162">
        <f ca="1"/>
        <v>0</v>
      </c>
      <c r="U162">
        <f ca="1"/>
        <v>0</v>
      </c>
      <c r="V162">
        <f ca="1"/>
        <v>0.98656095757167583</v>
      </c>
      <c r="X162" s="2">
        <f t="shared" ca="1" si="15"/>
        <v>45385</v>
      </c>
      <c r="Y162">
        <f t="shared" ca="1" si="16"/>
        <v>0</v>
      </c>
      <c r="AA162" s="63">
        <f t="shared" ca="1" si="18"/>
        <v>15.070478368014783</v>
      </c>
      <c r="AB162" s="63">
        <f t="shared" ca="1" si="19"/>
        <v>15.070478368014783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45386</v>
      </c>
      <c r="K163">
        <f ca="1"/>
        <v>12.139058265572899</v>
      </c>
      <c r="L163">
        <f ca="1"/>
        <v>1.5623104908632115</v>
      </c>
      <c r="M163">
        <f ca="1"/>
        <v>8.8295588524465174E-3</v>
      </c>
      <c r="N163">
        <f ca="1"/>
        <v>0.1443225400791612</v>
      </c>
      <c r="O163">
        <f ca="1"/>
        <v>0</v>
      </c>
      <c r="P163">
        <f ca="1"/>
        <v>43.470468849243169</v>
      </c>
      <c r="Q163">
        <f ca="1"/>
        <v>39.767428910233562</v>
      </c>
      <c r="R163">
        <f ca="1"/>
        <v>0</v>
      </c>
      <c r="S163">
        <f ca="1"/>
        <v>0.34619583553402578</v>
      </c>
      <c r="T163">
        <f ca="1"/>
        <v>0</v>
      </c>
      <c r="U163">
        <f ca="1"/>
        <v>0</v>
      </c>
      <c r="V163">
        <f ca="1"/>
        <v>0.98803309141972961</v>
      </c>
      <c r="X163" s="2">
        <f t="shared" ca="1" si="15"/>
        <v>45386</v>
      </c>
      <c r="Y163">
        <f t="shared" ca="1" si="16"/>
        <v>0</v>
      </c>
      <c r="AA163" s="63">
        <f t="shared" ca="1" si="18"/>
        <v>13.701368756436112</v>
      </c>
      <c r="AB163" s="63">
        <f t="shared" ca="1" si="19"/>
        <v>13.701368756436111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45387</v>
      </c>
      <c r="K164">
        <f ca="1"/>
        <v>10.690590101099795</v>
      </c>
      <c r="L164">
        <f ca="1"/>
        <v>1.6041605574192417</v>
      </c>
      <c r="M164">
        <f ca="1"/>
        <v>9.0705968672750714E-3</v>
      </c>
      <c r="N164">
        <f ca="1"/>
        <v>0.14662179607886366</v>
      </c>
      <c r="O164">
        <f ca="1"/>
        <v>0</v>
      </c>
      <c r="P164">
        <f ca="1"/>
        <v>45.07462940666241</v>
      </c>
      <c r="Q164">
        <f ca="1"/>
        <v>41.234938753502284</v>
      </c>
      <c r="R164">
        <f ca="1"/>
        <v>0</v>
      </c>
      <c r="S164">
        <f ca="1"/>
        <v>0.35853875937230084</v>
      </c>
      <c r="T164">
        <f ca="1"/>
        <v>0</v>
      </c>
      <c r="U164">
        <f ca="1"/>
        <v>0</v>
      </c>
      <c r="V164">
        <f ca="1"/>
        <v>0.98934646773674828</v>
      </c>
      <c r="X164" s="2">
        <f t="shared" ca="1" si="15"/>
        <v>45387</v>
      </c>
      <c r="Y164">
        <f t="shared" ca="1" si="16"/>
        <v>0</v>
      </c>
      <c r="AA164" s="63">
        <f t="shared" ca="1" si="18"/>
        <v>12.294750658519037</v>
      </c>
      <c r="AB164" s="63">
        <f t="shared" ca="1" si="19"/>
        <v>12.294750658519037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45388</v>
      </c>
      <c r="K165">
        <f ca="1"/>
        <v>9.2047192426781397</v>
      </c>
      <c r="L165">
        <f ca="1"/>
        <v>1.6407579631330265</v>
      </c>
      <c r="M165">
        <f ca="1"/>
        <v>8.9358680122852974E-3</v>
      </c>
      <c r="N165">
        <f ca="1"/>
        <v>0.14595123669908616</v>
      </c>
      <c r="O165">
        <f ca="1"/>
        <v>0</v>
      </c>
      <c r="P165">
        <f ca="1"/>
        <v>46.715387369795437</v>
      </c>
      <c r="Q165">
        <f ca="1"/>
        <v>42.735928445701752</v>
      </c>
      <c r="R165">
        <f ca="1"/>
        <v>0</v>
      </c>
      <c r="S165">
        <f ca="1"/>
        <v>0.35739063078906652</v>
      </c>
      <c r="T165">
        <f ca="1"/>
        <v>0</v>
      </c>
      <c r="U165">
        <f ca="1"/>
        <v>0</v>
      </c>
      <c r="V165">
        <f ca="1"/>
        <v>0.9905143712255291</v>
      </c>
      <c r="X165" s="2">
        <f t="shared" ca="1" si="15"/>
        <v>45388</v>
      </c>
      <c r="Y165">
        <f t="shared" ca="1" si="16"/>
        <v>0</v>
      </c>
      <c r="AA165" s="63">
        <f t="shared" ca="1" si="18"/>
        <v>10.845477205811166</v>
      </c>
      <c r="AB165" s="63">
        <f t="shared" ca="1" si="19"/>
        <v>10.845477205811166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45389</v>
      </c>
      <c r="K166">
        <f ca="1"/>
        <v>7.7046981615674746</v>
      </c>
      <c r="L166">
        <f ca="1"/>
        <v>1.653717404666466</v>
      </c>
      <c r="M166">
        <f ca="1"/>
        <v>8.9454628860199392E-3</v>
      </c>
      <c r="N166">
        <f ca="1"/>
        <v>0.14475086066978063</v>
      </c>
      <c r="O166">
        <f ca="1"/>
        <v>0</v>
      </c>
      <c r="P166">
        <f ca="1"/>
        <v>48.369104774461903</v>
      </c>
      <c r="Q166">
        <f ca="1"/>
        <v>44.248773627007736</v>
      </c>
      <c r="R166">
        <f ca="1"/>
        <v>0</v>
      </c>
      <c r="S166">
        <f ca="1"/>
        <v>0.36759809912006142</v>
      </c>
      <c r="T166">
        <f ca="1"/>
        <v>0</v>
      </c>
      <c r="U166">
        <f ca="1"/>
        <v>0</v>
      </c>
      <c r="V166">
        <f ca="1"/>
        <v>0.99153960630225291</v>
      </c>
      <c r="X166" s="2">
        <f t="shared" ca="1" si="15"/>
        <v>45389</v>
      </c>
      <c r="Y166">
        <f t="shared" ca="1" si="16"/>
        <v>0</v>
      </c>
      <c r="AA166" s="63">
        <f t="shared" ca="1" si="18"/>
        <v>9.3584155662339406</v>
      </c>
      <c r="AB166" s="63">
        <f t="shared" ca="1" si="19"/>
        <v>9.3584155662339406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45390</v>
      </c>
      <c r="K167">
        <f ca="1"/>
        <v>6.2005137909378583</v>
      </c>
      <c r="L167">
        <f ca="1"/>
        <v>1.6611772617515612</v>
      </c>
      <c r="M167">
        <f ca="1"/>
        <v>9.4853162806947111E-3</v>
      </c>
      <c r="N167">
        <f ca="1"/>
        <v>0.14750757484124991</v>
      </c>
      <c r="O167">
        <f ca="1"/>
        <v>0</v>
      </c>
      <c r="P167">
        <f ca="1"/>
        <v>50.030282036213464</v>
      </c>
      <c r="Q167">
        <f ca="1"/>
        <v>45.768443196091575</v>
      </c>
      <c r="R167">
        <f ca="1"/>
        <v>0</v>
      </c>
      <c r="S167">
        <f ca="1"/>
        <v>0.40149227132822185</v>
      </c>
      <c r="T167">
        <f ca="1"/>
        <v>0</v>
      </c>
      <c r="U167">
        <f ca="1"/>
        <v>0</v>
      </c>
      <c r="V167">
        <f ca="1"/>
        <v>0.99243918426640532</v>
      </c>
      <c r="X167" s="2">
        <f t="shared" ca="1" si="15"/>
        <v>45390</v>
      </c>
      <c r="Y167">
        <f t="shared" ca="1" si="16"/>
        <v>0</v>
      </c>
      <c r="AA167" s="63">
        <f t="shared" ca="1" si="18"/>
        <v>7.8616910526894195</v>
      </c>
      <c r="AB167" s="63">
        <f t="shared" ca="1" si="19"/>
        <v>7.8616910526894195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45391</v>
      </c>
      <c r="K168">
        <f ca="1"/>
        <v>4.6692934772550734</v>
      </c>
      <c r="L168">
        <f ca="1"/>
        <v>1.6879699675062909</v>
      </c>
      <c r="M168">
        <f ca="1"/>
        <v>9.4426826543143605E-3</v>
      </c>
      <c r="N168">
        <f ca="1"/>
        <v>0.14730697116919131</v>
      </c>
      <c r="O168">
        <f ca="1"/>
        <v>0</v>
      </c>
      <c r="P168">
        <f ca="1"/>
        <v>51.718252003719755</v>
      </c>
      <c r="Q168">
        <f ca="1"/>
        <v>47.312623129328806</v>
      </c>
      <c r="R168">
        <f ca="1"/>
        <v>0</v>
      </c>
      <c r="S168">
        <f ca="1"/>
        <v>0.40619773744806892</v>
      </c>
      <c r="T168">
        <f ca="1"/>
        <v>0</v>
      </c>
      <c r="U168">
        <f ca="1"/>
        <v>0</v>
      </c>
      <c r="V168">
        <f ca="1"/>
        <v>0.99323940276216283</v>
      </c>
      <c r="X168" s="2">
        <f t="shared" ca="1" si="15"/>
        <v>45391</v>
      </c>
      <c r="Y168">
        <f t="shared" ca="1" si="16"/>
        <v>0</v>
      </c>
      <c r="AA168" s="63">
        <f t="shared" ca="1" si="18"/>
        <v>6.3572634447613643</v>
      </c>
      <c r="AB168" s="63">
        <f t="shared" ca="1" si="19"/>
        <v>6.3572634447613643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45392</v>
      </c>
      <c r="K169">
        <f ca="1"/>
        <v>3.1298077788746586</v>
      </c>
      <c r="L169">
        <f ca="1"/>
        <v>1.6935016485317718</v>
      </c>
      <c r="M169">
        <f ca="1"/>
        <v>9.257434030177869E-3</v>
      </c>
      <c r="N169">
        <f ca="1"/>
        <v>0.1447585161211794</v>
      </c>
      <c r="O169">
        <f ca="1"/>
        <v>0</v>
      </c>
      <c r="P169">
        <f ca="1"/>
        <v>53.411753652251527</v>
      </c>
      <c r="Q169">
        <f ca="1"/>
        <v>48.861863526318992</v>
      </c>
      <c r="R169">
        <f ca="1"/>
        <v>0</v>
      </c>
      <c r="S169">
        <f ca="1"/>
        <v>0.40981608236987127</v>
      </c>
      <c r="T169">
        <f ca="1"/>
        <v>0</v>
      </c>
      <c r="U169">
        <f ca="1"/>
        <v>0</v>
      </c>
      <c r="V169">
        <f ca="1"/>
        <v>0.99394372373884587</v>
      </c>
      <c r="X169" s="2">
        <f t="shared" ca="1" si="15"/>
        <v>45392</v>
      </c>
      <c r="Y169">
        <f t="shared" ca="1" si="16"/>
        <v>0</v>
      </c>
      <c r="AA169" s="63">
        <f t="shared" ca="1" si="18"/>
        <v>4.8233094274064303</v>
      </c>
      <c r="AB169" s="63">
        <f t="shared" ca="1" si="19"/>
        <v>4.8233094274064303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45393</v>
      </c>
      <c r="K170">
        <f ca="1"/>
        <v>1.5562830670580121</v>
      </c>
      <c r="L170">
        <f ca="1"/>
        <v>1.7329780483286257</v>
      </c>
      <c r="M170">
        <f ca="1"/>
        <v>9.7173409722843829E-3</v>
      </c>
      <c r="N170">
        <f ca="1"/>
        <v>0.14973599553969494</v>
      </c>
      <c r="O170">
        <f ca="1"/>
        <v>0</v>
      </c>
      <c r="P170">
        <f ca="1"/>
        <v>55.144731700580152</v>
      </c>
      <c r="Q170">
        <f ca="1"/>
        <v>50.447217518678876</v>
      </c>
      <c r="R170">
        <f ca="1"/>
        <v>0</v>
      </c>
      <c r="S170">
        <f ca="1"/>
        <v>0.4331210735385515</v>
      </c>
      <c r="T170">
        <f ca="1"/>
        <v>0</v>
      </c>
      <c r="U170">
        <f ca="1"/>
        <v>0</v>
      </c>
      <c r="V170">
        <f ca="1"/>
        <v>0.99457701602716087</v>
      </c>
      <c r="X170" s="2">
        <f t="shared" ca="1" si="15"/>
        <v>45393</v>
      </c>
      <c r="Y170">
        <f t="shared" ca="1" si="16"/>
        <v>0</v>
      </c>
      <c r="AA170" s="63">
        <f t="shared" ca="1" si="18"/>
        <v>3.2892611153866378</v>
      </c>
      <c r="AB170" s="63">
        <f t="shared" ca="1" si="19"/>
        <v>3.2892611153866378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45394</v>
      </c>
      <c r="K171">
        <f ca="1"/>
        <v>-7.7610259366422518E-2</v>
      </c>
      <c r="L171">
        <f ca="1"/>
        <v>1.7963812595172257</v>
      </c>
      <c r="M171">
        <f ca="1"/>
        <v>9.7632267722147503E-3</v>
      </c>
      <c r="N171">
        <f ca="1"/>
        <v>0.15272470632057633</v>
      </c>
      <c r="O171">
        <f ca="1"/>
        <v>0</v>
      </c>
      <c r="P171">
        <f ca="1"/>
        <v>56.941112960097378</v>
      </c>
      <c r="Q171">
        <f ca="1"/>
        <v>52.090573707940933</v>
      </c>
      <c r="R171">
        <f ca="1"/>
        <v>0</v>
      </c>
      <c r="S171">
        <f ca="1"/>
        <v>0.43201343662809133</v>
      </c>
      <c r="T171">
        <f ca="1"/>
        <v>0</v>
      </c>
      <c r="U171">
        <f ca="1"/>
        <v>0</v>
      </c>
      <c r="V171">
        <f ca="1"/>
        <v>0.99515346954757844</v>
      </c>
      <c r="X171" s="2">
        <f t="shared" ca="1" si="15"/>
        <v>45394</v>
      </c>
      <c r="Y171">
        <f t="shared" ca="1" si="16"/>
        <v>0</v>
      </c>
      <c r="AA171" s="63">
        <f t="shared" ca="1" si="18"/>
        <v>1.7187710001508032</v>
      </c>
      <c r="AB171" s="63">
        <f t="shared" ca="1" si="19"/>
        <v>1.7187710001508032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45395</v>
      </c>
      <c r="K172">
        <f ca="1"/>
        <v>-1.709258767267462</v>
      </c>
      <c r="L172">
        <f ca="1"/>
        <v>1.7933617107480728</v>
      </c>
      <c r="M172">
        <f ca="1"/>
        <v>9.7914343025387041E-3</v>
      </c>
      <c r="N172">
        <f ca="1"/>
        <v>0.15192176854449474</v>
      </c>
      <c r="O172">
        <f ca="1"/>
        <v>0</v>
      </c>
      <c r="P172">
        <f ca="1"/>
        <v>58.734474670845451</v>
      </c>
      <c r="Q172">
        <f ca="1"/>
        <v>53.731167569254914</v>
      </c>
      <c r="R172">
        <f ca="1"/>
        <v>0</v>
      </c>
      <c r="S172">
        <f ca="1"/>
        <v>0.44756249235720413</v>
      </c>
      <c r="T172">
        <f ca="1"/>
        <v>0</v>
      </c>
      <c r="U172">
        <f ca="1"/>
        <v>0</v>
      </c>
      <c r="V172">
        <f ca="1"/>
        <v>0.99565925396393529</v>
      </c>
      <c r="X172" s="2">
        <f t="shared" ca="1" si="15"/>
        <v>45395</v>
      </c>
      <c r="Y172">
        <f t="shared" ca="1" si="16"/>
        <v>0</v>
      </c>
      <c r="AA172" s="63">
        <f t="shared" ca="1" si="18"/>
        <v>8.4102943480610926E-2</v>
      </c>
      <c r="AB172" s="63">
        <f t="shared" ca="1" si="19"/>
        <v>8.410294348061087E-2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45396</v>
      </c>
      <c r="K173">
        <f ca="1"/>
        <v>-3.3514457839790994</v>
      </c>
      <c r="L173">
        <f ca="1"/>
        <v>1.803091930406147</v>
      </c>
      <c r="M173">
        <f ca="1"/>
        <v>9.726081971447087E-3</v>
      </c>
      <c r="N173">
        <f ca="1"/>
        <v>0.15117883172306235</v>
      </c>
      <c r="O173">
        <f ca="1"/>
        <v>0</v>
      </c>
      <c r="P173">
        <f ca="1"/>
        <v>60.537566601251598</v>
      </c>
      <c r="Q173">
        <f ca="1"/>
        <v>55.380662779663496</v>
      </c>
      <c r="R173">
        <f ca="1"/>
        <v>0</v>
      </c>
      <c r="S173">
        <f ca="1"/>
        <v>0.45521155914912032</v>
      </c>
      <c r="T173">
        <f ca="1"/>
        <v>0</v>
      </c>
      <c r="U173">
        <f ca="1"/>
        <v>0</v>
      </c>
      <c r="V173">
        <f ca="1"/>
        <v>0.99610742637088046</v>
      </c>
      <c r="X173" s="2">
        <f t="shared" ca="1" si="15"/>
        <v>45396</v>
      </c>
      <c r="Y173">
        <f t="shared" ca="1" si="16"/>
        <v>0</v>
      </c>
      <c r="AA173" s="63">
        <f t="shared" ca="1" si="18"/>
        <v>-1.5483538535729524</v>
      </c>
      <c r="AB173" s="63">
        <f t="shared" ca="1" si="19"/>
        <v>-1.5483538535729524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45397</v>
      </c>
      <c r="K174">
        <f ca="1"/>
        <v>-5.0726612401278564</v>
      </c>
      <c r="L174">
        <f ca="1"/>
        <v>1.8936458534164018</v>
      </c>
      <c r="M174">
        <f ca="1"/>
        <v>1.0426606194192445E-2</v>
      </c>
      <c r="N174">
        <f ca="1"/>
        <v>0.16200379107345256</v>
      </c>
      <c r="O174">
        <f ca="1"/>
        <v>0</v>
      </c>
      <c r="P174">
        <f ca="1"/>
        <v>62.431212454668</v>
      </c>
      <c r="Q174">
        <f ca="1"/>
        <v>57.112998060381457</v>
      </c>
      <c r="R174">
        <f ca="1"/>
        <v>0</v>
      </c>
      <c r="S174">
        <f ca="1"/>
        <v>0.47694540380468647</v>
      </c>
      <c r="T174">
        <f ca="1"/>
        <v>0</v>
      </c>
      <c r="U174">
        <f ca="1"/>
        <v>0</v>
      </c>
      <c r="V174">
        <f ca="1"/>
        <v>0.99652201910430849</v>
      </c>
      <c r="X174" s="2">
        <f t="shared" ca="1" si="15"/>
        <v>45397</v>
      </c>
      <c r="Y174">
        <f t="shared" ca="1" si="16"/>
        <v>0</v>
      </c>
      <c r="AA174" s="63">
        <f t="shared" ca="1" si="18"/>
        <v>-3.1790153867114546</v>
      </c>
      <c r="AB174" s="63">
        <f t="shared" ca="1" si="19"/>
        <v>-3.1790153867114546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45398</v>
      </c>
      <c r="K175">
        <f ca="1"/>
        <v>-6.7948224264191301</v>
      </c>
      <c r="L175">
        <f ca="1"/>
        <v>1.8931256000454226</v>
      </c>
      <c r="M175">
        <f ca="1"/>
        <v>1.0316000568676209E-2</v>
      </c>
      <c r="N175">
        <f ca="1"/>
        <v>0.16064841318547263</v>
      </c>
      <c r="O175">
        <f ca="1"/>
        <v>0</v>
      </c>
      <c r="P175">
        <f ca="1"/>
        <v>64.324338054713422</v>
      </c>
      <c r="Q175">
        <f ca="1"/>
        <v>58.844857405608217</v>
      </c>
      <c r="R175">
        <f ca="1"/>
        <v>0</v>
      </c>
      <c r="S175">
        <f ca="1"/>
        <v>0.48608787479679555</v>
      </c>
      <c r="T175">
        <f ca="1"/>
        <v>0</v>
      </c>
      <c r="U175">
        <f ca="1"/>
        <v>0</v>
      </c>
      <c r="V175">
        <f ca="1"/>
        <v>0.99688699692908678</v>
      </c>
      <c r="X175" s="2">
        <f t="shared" ca="1" si="15"/>
        <v>45398</v>
      </c>
      <c r="Y175">
        <f t="shared" ca="1" si="16"/>
        <v>0</v>
      </c>
      <c r="AA175" s="63">
        <f t="shared" ca="1" si="18"/>
        <v>-4.9016968263737075</v>
      </c>
      <c r="AB175" s="63">
        <f t="shared" ca="1" si="19"/>
        <v>-4.9016968263737075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45399</v>
      </c>
      <c r="K176">
        <f ca="1"/>
        <v>-8.5440669753747365</v>
      </c>
      <c r="L176">
        <f ca="1"/>
        <v>1.9226336155908683</v>
      </c>
      <c r="M176">
        <f ca="1"/>
        <v>1.0411379292528444E-2</v>
      </c>
      <c r="N176">
        <f ca="1"/>
        <v>0.16297768734273266</v>
      </c>
      <c r="O176">
        <f ca="1"/>
        <v>0</v>
      </c>
      <c r="P176">
        <f ca="1"/>
        <v>66.246971670304291</v>
      </c>
      <c r="Q176">
        <f ca="1"/>
        <v>60.603711120611713</v>
      </c>
      <c r="R176">
        <f ca="1"/>
        <v>0</v>
      </c>
      <c r="S176">
        <f ca="1"/>
        <v>0.49643797991430577</v>
      </c>
      <c r="T176">
        <f ca="1"/>
        <v>0</v>
      </c>
      <c r="U176">
        <f ca="1"/>
        <v>0</v>
      </c>
      <c r="V176">
        <f ca="1"/>
        <v>0.99721398176694898</v>
      </c>
      <c r="X176" s="2">
        <f t="shared" ca="1" si="15"/>
        <v>45399</v>
      </c>
      <c r="Y176">
        <f t="shared" ca="1" si="16"/>
        <v>0</v>
      </c>
      <c r="AA176" s="63">
        <f t="shared" ca="1" si="18"/>
        <v>-6.621433359783869</v>
      </c>
      <c r="AB176" s="63">
        <f t="shared" ca="1" si="19"/>
        <v>-6.6214333597838682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45400</v>
      </c>
      <c r="K177">
        <f ca="1"/>
        <v>-10.293896514150049</v>
      </c>
      <c r="L177">
        <f ca="1"/>
        <v>1.9203426050691377</v>
      </c>
      <c r="M177">
        <f ca="1"/>
        <v>1.0158335457564505E-2</v>
      </c>
      <c r="N177">
        <f ca="1"/>
        <v>0.1603547308362599</v>
      </c>
      <c r="O177">
        <f ca="1"/>
        <v>0</v>
      </c>
      <c r="P177">
        <f ca="1"/>
        <v>68.167314275373428</v>
      </c>
      <c r="Q177">
        <f ca="1"/>
        <v>62.360468985249021</v>
      </c>
      <c r="R177">
        <f ca="1"/>
        <v>0</v>
      </c>
      <c r="S177">
        <f ca="1"/>
        <v>0.49845150264445059</v>
      </c>
      <c r="T177">
        <f ca="1"/>
        <v>0</v>
      </c>
      <c r="U177">
        <f ca="1"/>
        <v>0</v>
      </c>
      <c r="V177">
        <f ca="1"/>
        <v>0.997502574205544</v>
      </c>
      <c r="X177" s="2">
        <f t="shared" ca="1" si="15"/>
        <v>45400</v>
      </c>
      <c r="Y177">
        <f t="shared" ca="1" si="16"/>
        <v>0</v>
      </c>
      <c r="AA177" s="63">
        <f t="shared" ca="1" si="18"/>
        <v>-8.3735539090809112</v>
      </c>
      <c r="AB177" s="63">
        <f t="shared" ca="1" si="19"/>
        <v>-8.3735539090809112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45401</v>
      </c>
      <c r="K178">
        <f ca="1"/>
        <v>-12.096049929494161</v>
      </c>
      <c r="L178">
        <f ca="1"/>
        <v>1.9735350660435813</v>
      </c>
      <c r="M178">
        <f ca="1"/>
        <v>1.000238434881684E-2</v>
      </c>
      <c r="N178">
        <f ca="1"/>
        <v>0.16137926635065264</v>
      </c>
      <c r="O178">
        <f ca="1"/>
        <v>0</v>
      </c>
      <c r="P178">
        <f ca="1"/>
        <v>70.14084934141701</v>
      </c>
      <c r="Q178">
        <f ca="1"/>
        <v>64.165888101222222</v>
      </c>
      <c r="R178">
        <f ca="1"/>
        <v>0</v>
      </c>
      <c r="S178">
        <f ca="1"/>
        <v>0.4895515142275873</v>
      </c>
      <c r="T178">
        <f ca="1"/>
        <v>0</v>
      </c>
      <c r="U178">
        <f ca="1"/>
        <v>0</v>
      </c>
      <c r="V178">
        <f ca="1"/>
        <v>0.99776488379218631</v>
      </c>
      <c r="X178" s="2">
        <f t="shared" ca="1" si="15"/>
        <v>45401</v>
      </c>
      <c r="Y178">
        <f t="shared" ca="1" si="16"/>
        <v>0</v>
      </c>
      <c r="AA178" s="63">
        <f t="shared" ca="1" si="18"/>
        <v>-10.122514863450581</v>
      </c>
      <c r="AB178" s="63">
        <f t="shared" ca="1" si="19"/>
        <v>-10.122514863450579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45402</v>
      </c>
      <c r="K179">
        <f ca="1"/>
        <v>-13.899255676736402</v>
      </c>
      <c r="L179">
        <f ca="1"/>
        <v>1.9780643416546866</v>
      </c>
      <c r="M179">
        <f ca="1"/>
        <v>9.981218557512328E-3</v>
      </c>
      <c r="N179">
        <f ca="1"/>
        <v>0.16487737585493339</v>
      </c>
      <c r="O179">
        <f ca="1"/>
        <v>0</v>
      </c>
      <c r="P179">
        <f ca="1"/>
        <v>72.118913683071696</v>
      </c>
      <c r="Q179">
        <f ca="1"/>
        <v>65.975450665624848</v>
      </c>
      <c r="R179">
        <f ca="1"/>
        <v>0</v>
      </c>
      <c r="S179">
        <f ca="1"/>
        <v>0.51519366000784494</v>
      </c>
      <c r="T179">
        <f ca="1"/>
        <v>0</v>
      </c>
      <c r="U179">
        <f ca="1"/>
        <v>0</v>
      </c>
      <c r="V179">
        <f ca="1"/>
        <v>0.99799753515306766</v>
      </c>
      <c r="X179" s="2">
        <f t="shared" ca="1" si="15"/>
        <v>45402</v>
      </c>
      <c r="Y179">
        <f t="shared" ca="1" si="16"/>
        <v>0</v>
      </c>
      <c r="AA179" s="63">
        <f t="shared" ca="1" si="18"/>
        <v>-11.921191335081714</v>
      </c>
      <c r="AB179" s="63">
        <f t="shared" ca="1" si="19"/>
        <v>-11.921191335081716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45403</v>
      </c>
      <c r="K180">
        <f ca="1"/>
        <v>-15.634584137786074</v>
      </c>
      <c r="L180">
        <f ca="1"/>
        <v>1.9039978244464209</v>
      </c>
      <c r="M180">
        <f ca="1"/>
        <v>9.3692600474897247E-3</v>
      </c>
      <c r="N180">
        <f ca="1"/>
        <v>0.15930010334925751</v>
      </c>
      <c r="O180">
        <f ca="1"/>
        <v>0</v>
      </c>
      <c r="P180">
        <f ca="1"/>
        <v>74.022911507518117</v>
      </c>
      <c r="Q180">
        <f ca="1"/>
        <v>67.717256082803615</v>
      </c>
      <c r="R180">
        <f ca="1"/>
        <v>0</v>
      </c>
      <c r="S180">
        <f ca="1"/>
        <v>0.53507155388919048</v>
      </c>
      <c r="T180">
        <f ca="1"/>
        <v>0</v>
      </c>
      <c r="U180">
        <f ca="1"/>
        <v>0</v>
      </c>
      <c r="V180">
        <f ca="1"/>
        <v>0.99819655287806053</v>
      </c>
      <c r="X180" s="2">
        <f t="shared" ca="1" si="15"/>
        <v>45403</v>
      </c>
      <c r="Y180">
        <f t="shared" ca="1" si="16"/>
        <v>0</v>
      </c>
      <c r="AA180" s="63">
        <f t="shared" ca="1" si="18"/>
        <v>-13.730586313339655</v>
      </c>
      <c r="AB180" s="63">
        <f t="shared" ca="1" si="19"/>
        <v>-13.730586313339654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45404</v>
      </c>
      <c r="K181">
        <f ca="1"/>
        <v>-17.406372134845043</v>
      </c>
      <c r="L181">
        <f ca="1"/>
        <v>1.9425916405439523</v>
      </c>
      <c r="M181">
        <f ca="1"/>
        <v>9.3496626197220323E-3</v>
      </c>
      <c r="N181">
        <f ca="1"/>
        <v>0.16145398086526175</v>
      </c>
      <c r="O181">
        <f ca="1"/>
        <v>0</v>
      </c>
      <c r="P181">
        <f ca="1"/>
        <v>75.965503148062069</v>
      </c>
      <c r="Q181">
        <f ca="1"/>
        <v>69.494367694708629</v>
      </c>
      <c r="R181">
        <f ca="1"/>
        <v>0</v>
      </c>
      <c r="S181">
        <f ca="1"/>
        <v>0.5357033296160294</v>
      </c>
      <c r="T181">
        <f ca="1"/>
        <v>0</v>
      </c>
      <c r="U181">
        <f ca="1"/>
        <v>0</v>
      </c>
      <c r="V181">
        <f ca="1"/>
        <v>0.99837757784922043</v>
      </c>
      <c r="X181" s="2">
        <f t="shared" ca="1" si="15"/>
        <v>45404</v>
      </c>
      <c r="Y181">
        <f t="shared" ca="1" si="16"/>
        <v>0</v>
      </c>
      <c r="AA181" s="63">
        <f t="shared" ca="1" si="18"/>
        <v>-15.463780494301091</v>
      </c>
      <c r="AB181" s="63">
        <f t="shared" ca="1" si="19"/>
        <v>-15.463780494301091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45405</v>
      </c>
      <c r="K182">
        <f ca="1"/>
        <v>-19.166167343826316</v>
      </c>
      <c r="L182">
        <f ca="1"/>
        <v>1.9346707921094435</v>
      </c>
      <c r="M182">
        <f ca="1"/>
        <v>9.1122791449391727E-3</v>
      </c>
      <c r="N182">
        <f ca="1"/>
        <v>0.16576330398322811</v>
      </c>
      <c r="O182">
        <f ca="1"/>
        <v>0</v>
      </c>
      <c r="P182">
        <f ca="1"/>
        <v>77.900173940171513</v>
      </c>
      <c r="Q182">
        <f ca="1"/>
        <v>71.26423319711985</v>
      </c>
      <c r="R182">
        <f ca="1"/>
        <v>0</v>
      </c>
      <c r="S182">
        <f ca="1"/>
        <v>0.56754454232851437</v>
      </c>
      <c r="T182">
        <f ca="1"/>
        <v>0</v>
      </c>
      <c r="U182">
        <f ca="1"/>
        <v>0</v>
      </c>
      <c r="V182">
        <f ca="1"/>
        <v>0.99853845850447087</v>
      </c>
      <c r="X182" s="2">
        <f t="shared" ca="1" si="15"/>
        <v>45405</v>
      </c>
      <c r="Y182">
        <f t="shared" ca="1" si="16"/>
        <v>0</v>
      </c>
      <c r="AA182" s="63">
        <f t="shared" ca="1" si="18"/>
        <v>-17.231496551716873</v>
      </c>
      <c r="AB182" s="63">
        <f t="shared" ca="1" si="19"/>
        <v>-17.231496551716873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45406</v>
      </c>
      <c r="K183">
        <f ca="1"/>
        <v>-20.959440439827901</v>
      </c>
      <c r="L183">
        <f ca="1"/>
        <v>1.9881196719875618</v>
      </c>
      <c r="M183">
        <f ca="1"/>
        <v>9.1739857669521641E-3</v>
      </c>
      <c r="N183">
        <f ca="1"/>
        <v>0.18567259021902588</v>
      </c>
      <c r="O183">
        <f ca="1"/>
        <v>0</v>
      </c>
      <c r="P183">
        <f ca="1"/>
        <v>79.888293612159075</v>
      </c>
      <c r="Q183">
        <f ca="1"/>
        <v>73.08299452667886</v>
      </c>
      <c r="R183">
        <f ca="1"/>
        <v>0</v>
      </c>
      <c r="S183">
        <f ca="1"/>
        <v>0.63498608962587144</v>
      </c>
      <c r="T183">
        <f ca="1"/>
        <v>0</v>
      </c>
      <c r="U183">
        <f ca="1"/>
        <v>0</v>
      </c>
      <c r="V183">
        <f ca="1"/>
        <v>0.99868606187264775</v>
      </c>
      <c r="X183" s="2">
        <f t="shared" ca="1" si="15"/>
        <v>45406</v>
      </c>
      <c r="Y183">
        <f t="shared" ca="1" si="16"/>
        <v>0</v>
      </c>
      <c r="AA183" s="63">
        <f t="shared" ca="1" si="18"/>
        <v>-18.971320767840339</v>
      </c>
      <c r="AB183" s="63">
        <f t="shared" ca="1" si="19"/>
        <v>-18.971320767840339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45407</v>
      </c>
      <c r="K184">
        <f ca="1"/>
        <v>-22.790891815677192</v>
      </c>
      <c r="L184">
        <f ca="1"/>
        <v>2.0340128521758771</v>
      </c>
      <c r="M184">
        <f ca="1"/>
        <v>9.2014113361473804E-3</v>
      </c>
      <c r="N184">
        <f ca="1"/>
        <v>0.19336006499044103</v>
      </c>
      <c r="O184">
        <f ca="1"/>
        <v>0</v>
      </c>
      <c r="P184">
        <f ca="1"/>
        <v>81.922306464334952</v>
      </c>
      <c r="Q184">
        <f ca="1"/>
        <v>74.943739617373083</v>
      </c>
      <c r="R184">
        <f ca="1"/>
        <v>0</v>
      </c>
      <c r="S184">
        <f ca="1"/>
        <v>0.65106058744212492</v>
      </c>
      <c r="T184">
        <f ca="1"/>
        <v>0</v>
      </c>
      <c r="U184">
        <f ca="1"/>
        <v>0</v>
      </c>
      <c r="V184">
        <f ca="1"/>
        <v>0.99882073325342857</v>
      </c>
      <c r="X184" s="2">
        <f t="shared" ca="1" si="15"/>
        <v>45407</v>
      </c>
      <c r="Y184">
        <f t="shared" ca="1" si="16"/>
        <v>0</v>
      </c>
      <c r="AA184" s="63">
        <f t="shared" ca="1" si="18"/>
        <v>-20.756878963501315</v>
      </c>
      <c r="AB184" s="63">
        <f t="shared" ca="1" si="19"/>
        <v>-20.756878963501315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45408</v>
      </c>
      <c r="K185">
        <f ca="1"/>
        <v>-24.680866494638796</v>
      </c>
      <c r="L185">
        <f ca="1"/>
        <v>2.1020730680135387</v>
      </c>
      <c r="M185">
        <f ca="1"/>
        <v>9.3349427306117505E-3</v>
      </c>
      <c r="N185">
        <f ca="1"/>
        <v>0.2027634463213249</v>
      </c>
      <c r="O185">
        <f ca="1"/>
        <v>0</v>
      </c>
      <c r="P185">
        <f ca="1"/>
        <v>84.02437953234849</v>
      </c>
      <c r="Q185">
        <f ca="1"/>
        <v>76.866747201815102</v>
      </c>
      <c r="R185">
        <f ca="1"/>
        <v>0</v>
      </c>
      <c r="S185">
        <f ca="1"/>
        <v>0.66198156272496134</v>
      </c>
      <c r="T185">
        <f ca="1"/>
        <v>0</v>
      </c>
      <c r="U185">
        <f ca="1"/>
        <v>0</v>
      </c>
      <c r="V185">
        <f ca="1"/>
        <v>0.99894466435344009</v>
      </c>
      <c r="X185" s="2">
        <f t="shared" ca="1" si="15"/>
        <v>45408</v>
      </c>
      <c r="Y185">
        <f t="shared" ca="1" si="16"/>
        <v>0</v>
      </c>
      <c r="AA185" s="63">
        <f t="shared" ca="1" si="18"/>
        <v>-22.578793426625257</v>
      </c>
      <c r="AB185" s="63">
        <f t="shared" ca="1" si="19"/>
        <v>-22.578793426625257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45409</v>
      </c>
      <c r="K186">
        <f ca="1"/>
        <v>-26.604692096350377</v>
      </c>
      <c r="L186">
        <f ca="1"/>
        <v>2.1471682807310373</v>
      </c>
      <c r="M186">
        <f ca="1"/>
        <v>9.3624647170926778E-3</v>
      </c>
      <c r="N186">
        <f ca="1"/>
        <v>0.21398021430236472</v>
      </c>
      <c r="O186">
        <f ca="1"/>
        <v>0</v>
      </c>
      <c r="P186">
        <f ca="1"/>
        <v>86.171547813079528</v>
      </c>
      <c r="Q186">
        <f ca="1"/>
        <v>78.831008554928317</v>
      </c>
      <c r="R186">
        <f ca="1"/>
        <v>0</v>
      </c>
      <c r="S186">
        <f ca="1"/>
        <v>0.68774898853375832</v>
      </c>
      <c r="T186">
        <f ca="1"/>
        <v>0</v>
      </c>
      <c r="U186">
        <f ca="1"/>
        <v>0</v>
      </c>
      <c r="V186">
        <f ca="1"/>
        <v>0.99905721672961401</v>
      </c>
      <c r="X186" s="2">
        <f t="shared" ca="1" si="15"/>
        <v>45409</v>
      </c>
      <c r="Y186">
        <f t="shared" ca="1" si="16"/>
        <v>0</v>
      </c>
      <c r="AA186" s="63">
        <f t="shared" ca="1" si="18"/>
        <v>-24.457523815619339</v>
      </c>
      <c r="AB186" s="63">
        <f t="shared" ca="1" si="19"/>
        <v>-24.457523815619339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45410</v>
      </c>
      <c r="K187">
        <f ca="1"/>
        <v>-28.42441452655747</v>
      </c>
      <c r="L187">
        <f ca="1"/>
        <v>2.0317337734091012</v>
      </c>
      <c r="M187">
        <f ca="1"/>
        <v>8.6726630968128049E-3</v>
      </c>
      <c r="N187">
        <f ca="1"/>
        <v>0.20333868010519396</v>
      </c>
      <c r="O187">
        <f ca="1"/>
        <v>0</v>
      </c>
      <c r="P187">
        <f ca="1"/>
        <v>88.203281586488629</v>
      </c>
      <c r="Q187">
        <f ca="1"/>
        <v>80.689668710602561</v>
      </c>
      <c r="R187">
        <f ca="1"/>
        <v>0</v>
      </c>
      <c r="S187">
        <f ca="1"/>
        <v>0.70578779459795382</v>
      </c>
      <c r="T187">
        <f ca="1"/>
        <v>0</v>
      </c>
      <c r="U187">
        <f ca="1"/>
        <v>0</v>
      </c>
      <c r="V187">
        <f ca="1"/>
        <v>0.99915222983063223</v>
      </c>
      <c r="X187" s="2">
        <f t="shared" ca="1" si="15"/>
        <v>45410</v>
      </c>
      <c r="Y187">
        <f t="shared" ca="1" si="16"/>
        <v>0</v>
      </c>
      <c r="AA187" s="63">
        <f t="shared" ca="1" si="18"/>
        <v>-26.392680753148369</v>
      </c>
      <c r="AB187" s="63">
        <f t="shared" ca="1" si="19"/>
        <v>-26.392680753148369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45411</v>
      </c>
      <c r="K188">
        <f ca="1"/>
        <v>-30.192219634662525</v>
      </c>
      <c r="L188">
        <f ca="1"/>
        <v>1.9836683400875899</v>
      </c>
      <c r="M188">
        <f ca="1"/>
        <v>8.3272358872799046E-3</v>
      </c>
      <c r="N188">
        <f ca="1"/>
        <v>0.2075359960952545</v>
      </c>
      <c r="O188">
        <f ca="1"/>
        <v>0</v>
      </c>
      <c r="P188">
        <f ca="1"/>
        <v>90.186949926576219</v>
      </c>
      <c r="Q188">
        <f ca="1"/>
        <v>82.504357895793802</v>
      </c>
      <c r="R188">
        <f ca="1"/>
        <v>0</v>
      </c>
      <c r="S188">
        <f ca="1"/>
        <v>0.74670278148746205</v>
      </c>
      <c r="T188">
        <f ca="1"/>
        <v>0</v>
      </c>
      <c r="U188">
        <f ca="1"/>
        <v>0</v>
      </c>
      <c r="V188">
        <f ca="1"/>
        <v>0.9992354723807203</v>
      </c>
      <c r="X188" s="2">
        <f t="shared" ca="1" si="15"/>
        <v>45411</v>
      </c>
      <c r="Y188">
        <f t="shared" ca="1" si="16"/>
        <v>0</v>
      </c>
      <c r="AA188" s="63">
        <f t="shared" ca="1" si="18"/>
        <v>-28.208551294574935</v>
      </c>
      <c r="AB188" s="63">
        <f t="shared" ca="1" si="19"/>
        <v>-28.208551294574935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45412</v>
      </c>
      <c r="K189">
        <f ca="1"/>
        <v>-31.968684459589841</v>
      </c>
      <c r="L189">
        <f ca="1"/>
        <v>1.9987201972081436</v>
      </c>
      <c r="M189">
        <f ca="1"/>
        <v>8.2610581440931696E-3</v>
      </c>
      <c r="N189">
        <f ca="1"/>
        <v>0.21399431413673417</v>
      </c>
      <c r="O189">
        <f ca="1"/>
        <v>0</v>
      </c>
      <c r="P189">
        <f ca="1"/>
        <v>92.185670123784362</v>
      </c>
      <c r="Q189">
        <f ca="1"/>
        <v>84.332816742869412</v>
      </c>
      <c r="R189">
        <f ca="1"/>
        <v>0</v>
      </c>
      <c r="S189">
        <f ca="1"/>
        <v>0.76549579093974096</v>
      </c>
      <c r="T189">
        <f ca="1"/>
        <v>0</v>
      </c>
      <c r="U189">
        <f ca="1"/>
        <v>0</v>
      </c>
      <c r="V189">
        <f ca="1"/>
        <v>0.99931089501288661</v>
      </c>
      <c r="X189" s="2">
        <f t="shared" ca="1" si="15"/>
        <v>45412</v>
      </c>
      <c r="Y189">
        <f t="shared" ca="1" si="16"/>
        <v>0</v>
      </c>
      <c r="AA189" s="63">
        <f t="shared" ca="1" si="18"/>
        <v>-29.969964262381698</v>
      </c>
      <c r="AB189" s="63">
        <f t="shared" ca="1" si="19"/>
        <v>-29.969964262381698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45413</v>
      </c>
      <c r="K190">
        <f ca="1"/>
        <v>-33.716601963788975</v>
      </c>
      <c r="L190">
        <f ca="1"/>
        <v>1.9884723533934192</v>
      </c>
      <c r="M190">
        <f ca="1"/>
        <v>8.0990314768696337E-3</v>
      </c>
      <c r="N190">
        <f ca="1"/>
        <v>0.23245581771741181</v>
      </c>
      <c r="O190">
        <f ca="1"/>
        <v>0</v>
      </c>
      <c r="P190">
        <f ca="1"/>
        <v>94.174142477177782</v>
      </c>
      <c r="Q190">
        <f ca="1"/>
        <v>86.151900710603371</v>
      </c>
      <c r="R190">
        <f ca="1"/>
        <v>0</v>
      </c>
      <c r="S190">
        <f ca="1"/>
        <v>0.83549987663611436</v>
      </c>
      <c r="T190">
        <f ca="1"/>
        <v>0</v>
      </c>
      <c r="U190">
        <f ca="1"/>
        <v>0</v>
      </c>
      <c r="V190">
        <f ca="1"/>
        <v>0.99937843342212285</v>
      </c>
      <c r="X190" s="2">
        <f t="shared" ca="1" si="15"/>
        <v>45413</v>
      </c>
      <c r="Y190">
        <f t="shared" ca="1" si="16"/>
        <v>0</v>
      </c>
      <c r="AA190" s="63">
        <f t="shared" ca="1" si="18"/>
        <v>-31.728129610395559</v>
      </c>
      <c r="AB190" s="63">
        <f t="shared" ca="1" si="19"/>
        <v>-31.728129610395555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45414</v>
      </c>
      <c r="K191">
        <f ca="1"/>
        <v>-35.45019392288269</v>
      </c>
      <c r="L191">
        <f ca="1"/>
        <v>1.9750857557511523</v>
      </c>
      <c r="M191">
        <f ca="1"/>
        <v>7.9349695983648161E-3</v>
      </c>
      <c r="N191">
        <f ca="1"/>
        <v>0.23355882705906797</v>
      </c>
      <c r="O191">
        <f ca="1"/>
        <v>0</v>
      </c>
      <c r="P191">
        <f ca="1"/>
        <v>96.149228232928934</v>
      </c>
      <c r="Q191">
        <f ca="1"/>
        <v>87.958738420494228</v>
      </c>
      <c r="R191">
        <f ca="1"/>
        <v>0</v>
      </c>
      <c r="S191">
        <f ca="1"/>
        <v>0.84641158268896433</v>
      </c>
      <c r="T191">
        <f ca="1"/>
        <v>0</v>
      </c>
      <c r="U191">
        <f ca="1"/>
        <v>0</v>
      </c>
      <c r="V191">
        <f ca="1"/>
        <v>0.99943891111077421</v>
      </c>
      <c r="X191" s="2">
        <f t="shared" ca="1" si="15"/>
        <v>45414</v>
      </c>
      <c r="Y191">
        <f t="shared" ca="1" si="16"/>
        <v>0</v>
      </c>
      <c r="AA191" s="63">
        <f t="shared" ca="1" si="18"/>
        <v>-33.475108167131538</v>
      </c>
      <c r="AB191" s="63">
        <f t="shared" ca="1" si="19"/>
        <v>-33.475108167131538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45415</v>
      </c>
      <c r="K192">
        <f ca="1"/>
        <v>-37.149092799657353</v>
      </c>
      <c r="L192">
        <f ca="1"/>
        <v>1.9363580387246628</v>
      </c>
      <c r="M192">
        <f ca="1"/>
        <v>7.6840634705463984E-3</v>
      </c>
      <c r="N192">
        <f ca="1"/>
        <v>0.2297750984794513</v>
      </c>
      <c r="O192">
        <f ca="1"/>
        <v>0</v>
      </c>
      <c r="P192">
        <f ca="1"/>
        <v>98.085586271653597</v>
      </c>
      <c r="Q192">
        <f ca="1"/>
        <v>89.730147441105316</v>
      </c>
      <c r="R192">
        <f ca="1"/>
        <v>0</v>
      </c>
      <c r="S192">
        <f ca="1"/>
        <v>0.85232289395498062</v>
      </c>
      <c r="T192">
        <f ca="1"/>
        <v>0</v>
      </c>
      <c r="U192">
        <f ca="1"/>
        <v>0</v>
      </c>
      <c r="V192">
        <f ca="1"/>
        <v>0.99949248320976858</v>
      </c>
      <c r="X192" s="2">
        <f t="shared" ca="1" si="15"/>
        <v>45415</v>
      </c>
      <c r="Y192">
        <f t="shared" ca="1" si="16"/>
        <v>0</v>
      </c>
      <c r="AA192" s="63">
        <f t="shared" ca="1" si="18"/>
        <v>-35.21273476093269</v>
      </c>
      <c r="AB192" s="63">
        <f t="shared" ca="1" si="19"/>
        <v>-35.21273476093269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45416</v>
      </c>
      <c r="K193">
        <f ca="1"/>
        <v>-38.851655403674364</v>
      </c>
      <c r="L193">
        <f ca="1"/>
        <v>1.9475416531355876</v>
      </c>
      <c r="M193">
        <f ca="1"/>
        <v>7.6346417443984294E-3</v>
      </c>
      <c r="N193">
        <f ca="1"/>
        <v>0.23734440737418314</v>
      </c>
      <c r="O193">
        <f ca="1"/>
        <v>0</v>
      </c>
      <c r="P193">
        <f ca="1"/>
        <v>100.03312792478918</v>
      </c>
      <c r="Q193">
        <f ca="1"/>
        <v>91.511787397862719</v>
      </c>
      <c r="R193">
        <f ca="1"/>
        <v>0</v>
      </c>
      <c r="S193">
        <f ca="1"/>
        <v>0.87156735064504698</v>
      </c>
      <c r="T193">
        <f ca="1"/>
        <v>0</v>
      </c>
      <c r="U193">
        <f ca="1"/>
        <v>0</v>
      </c>
      <c r="V193">
        <f ca="1"/>
        <v>0.99954124063944261</v>
      </c>
      <c r="X193" s="2">
        <f t="shared" ca="1" si="15"/>
        <v>45416</v>
      </c>
      <c r="Y193">
        <f t="shared" ca="1" si="16"/>
        <v>0</v>
      </c>
      <c r="AA193" s="63">
        <f t="shared" ca="1" si="18"/>
        <v>-36.904113750538777</v>
      </c>
      <c r="AB193" s="63">
        <f t="shared" ca="1" si="19"/>
        <v>-36.904113750538777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45417</v>
      </c>
      <c r="K194">
        <f ca="1"/>
        <v>-40.562392208606099</v>
      </c>
      <c r="L194">
        <f ca="1"/>
        <v>1.9668099207492276</v>
      </c>
      <c r="M194">
        <f ca="1"/>
        <v>7.6211979381888284E-3</v>
      </c>
      <c r="N194">
        <f ca="1"/>
        <v>0.24845191787931029</v>
      </c>
      <c r="O194">
        <f ca="1"/>
        <v>0</v>
      </c>
      <c r="P194">
        <f ca="1"/>
        <v>101.99993784553841</v>
      </c>
      <c r="Q194">
        <f ca="1"/>
        <v>93.311054251288837</v>
      </c>
      <c r="R194">
        <f ca="1"/>
        <v>0</v>
      </c>
      <c r="S194">
        <f ca="1"/>
        <v>0.89672030857821305</v>
      </c>
      <c r="T194">
        <f ca="1"/>
        <v>0</v>
      </c>
      <c r="U194">
        <f ca="1"/>
        <v>0</v>
      </c>
      <c r="V194">
        <f ca="1"/>
        <v>0.9995857942976466</v>
      </c>
      <c r="X194" s="2">
        <f t="shared" ca="1" si="15"/>
        <v>45417</v>
      </c>
      <c r="Y194">
        <f t="shared" ca="1" si="16"/>
        <v>0</v>
      </c>
      <c r="AA194" s="63">
        <f t="shared" ca="1" si="18"/>
        <v>-38.595582287856871</v>
      </c>
      <c r="AB194" s="63">
        <f t="shared" ca="1" si="19"/>
        <v>-38.595582287856871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45418</v>
      </c>
      <c r="K195">
        <f ca="1"/>
        <v>-42.231382254707093</v>
      </c>
      <c r="L195">
        <f ca="1"/>
        <v>1.9178977727288498</v>
      </c>
      <c r="M195">
        <f ca="1"/>
        <v>7.3589712788706407E-3</v>
      </c>
      <c r="N195">
        <f ca="1"/>
        <v>0.24154875534898856</v>
      </c>
      <c r="O195">
        <f ca="1"/>
        <v>0</v>
      </c>
      <c r="P195">
        <f ca="1"/>
        <v>103.91783561826726</v>
      </c>
      <c r="Q195">
        <f ca="1"/>
        <v>95.065575547081536</v>
      </c>
      <c r="R195">
        <f ca="1"/>
        <v>0</v>
      </c>
      <c r="S195">
        <f ca="1"/>
        <v>0.89611535072178516</v>
      </c>
      <c r="T195">
        <f ca="1"/>
        <v>0</v>
      </c>
      <c r="U195">
        <f ca="1"/>
        <v>0</v>
      </c>
      <c r="V195">
        <f ca="1"/>
        <v>0.99962515814676878</v>
      </c>
      <c r="X195" s="2">
        <f t="shared" ca="1" si="15"/>
        <v>45418</v>
      </c>
      <c r="Y195">
        <f t="shared" ca="1" si="16"/>
        <v>0</v>
      </c>
      <c r="AA195" s="63">
        <f t="shared" ca="1" si="18"/>
        <v>-40.313484481978243</v>
      </c>
      <c r="AB195" s="63">
        <f t="shared" ca="1" si="19"/>
        <v>-40.313484481978243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45419</v>
      </c>
      <c r="K196">
        <f ca="1"/>
        <v>-43.857001870778795</v>
      </c>
      <c r="L196">
        <f ca="1"/>
        <v>1.876108400163659</v>
      </c>
      <c r="M196">
        <f ca="1"/>
        <v>7.1368676555341182E-3</v>
      </c>
      <c r="N196">
        <f ca="1"/>
        <v>0.24335191643642676</v>
      </c>
      <c r="O196">
        <f ca="1"/>
        <v>0</v>
      </c>
      <c r="P196">
        <f ca="1"/>
        <v>105.79394401843092</v>
      </c>
      <c r="Q196">
        <f ca="1"/>
        <v>96.78186730574977</v>
      </c>
      <c r="R196">
        <f ca="1"/>
        <v>0</v>
      </c>
      <c r="S196">
        <f ca="1"/>
        <v>0.91975270398708631</v>
      </c>
      <c r="T196">
        <f ca="1"/>
        <v>0</v>
      </c>
      <c r="U196">
        <f ca="1"/>
        <v>0</v>
      </c>
      <c r="V196">
        <f ca="1"/>
        <v>0.99966014535100434</v>
      </c>
      <c r="X196" s="2">
        <f t="shared" ca="1" si="15"/>
        <v>45419</v>
      </c>
      <c r="Y196">
        <f t="shared" ca="1" si="16"/>
        <v>0</v>
      </c>
      <c r="AA196" s="63">
        <f t="shared" ca="1" si="18"/>
        <v>-41.980893470615136</v>
      </c>
      <c r="AB196" s="63">
        <f t="shared" ca="1" si="19"/>
        <v>-41.980893470615136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45420</v>
      </c>
      <c r="K197">
        <f ca="1"/>
        <v>-45.424183028158026</v>
      </c>
      <c r="L197">
        <f ca="1"/>
        <v>1.8113025684511967</v>
      </c>
      <c r="M197">
        <f ca="1"/>
        <v>6.8468342748495559E-3</v>
      </c>
      <c r="N197">
        <f ca="1"/>
        <v>0.23727457679711836</v>
      </c>
      <c r="O197">
        <f ca="1"/>
        <v>0</v>
      </c>
      <c r="P197">
        <f ca="1"/>
        <v>107.60524658688212</v>
      </c>
      <c r="Q197">
        <f ca="1"/>
        <v>98.438873729481031</v>
      </c>
      <c r="R197">
        <f ca="1"/>
        <v>0</v>
      </c>
      <c r="S197">
        <f ca="1"/>
        <v>0.92884426318628488</v>
      </c>
      <c r="T197">
        <f ca="1"/>
        <v>0</v>
      </c>
      <c r="U197">
        <f ca="1"/>
        <v>0</v>
      </c>
      <c r="V197">
        <f ca="1"/>
        <v>0.99969093264980724</v>
      </c>
      <c r="X197" s="2">
        <f t="shared" ca="1" si="15"/>
        <v>45420</v>
      </c>
      <c r="Y197">
        <f t="shared" ca="1" si="16"/>
        <v>0</v>
      </c>
      <c r="AA197" s="63">
        <f t="shared" ca="1" si="18"/>
        <v>-43.61288045970683</v>
      </c>
      <c r="AB197" s="63">
        <f t="shared" ca="1" si="19"/>
        <v>-43.61288045970683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45421</v>
      </c>
      <c r="K198">
        <f ca="1"/>
        <v>-46.991543720273825</v>
      </c>
      <c r="L198">
        <f ca="1"/>
        <v>1.8211214157139466</v>
      </c>
      <c r="M198">
        <f ca="1"/>
        <v>6.8244050278041257E-3</v>
      </c>
      <c r="N198">
        <f ca="1"/>
        <v>0.24693631857033865</v>
      </c>
      <c r="O198">
        <f ca="1"/>
        <v>0</v>
      </c>
      <c r="P198">
        <f ca="1"/>
        <v>109.42636800259606</v>
      </c>
      <c r="Q198">
        <f ca="1"/>
        <v>100.1048625801527</v>
      </c>
      <c r="R198">
        <f ca="1"/>
        <v>0</v>
      </c>
      <c r="S198">
        <f ca="1"/>
        <v>0.9515720414900608</v>
      </c>
      <c r="T198">
        <f ca="1"/>
        <v>0</v>
      </c>
      <c r="U198">
        <f ca="1"/>
        <v>0</v>
      </c>
      <c r="V198">
        <f ca="1"/>
        <v>0.99971919526540109</v>
      </c>
      <c r="X198" s="2">
        <f t="shared" ca="1" si="15"/>
        <v>45421</v>
      </c>
      <c r="Y198">
        <f t="shared" ca="1" si="16"/>
        <v>0</v>
      </c>
      <c r="AA198" s="63">
        <f t="shared" ca="1" si="18"/>
        <v>-45.170422304559878</v>
      </c>
      <c r="AB198" s="63">
        <f t="shared" ca="1" si="19"/>
        <v>-45.170422304559878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45422</v>
      </c>
      <c r="K199">
        <f ca="1"/>
        <v>-48.579702758576715</v>
      </c>
      <c r="L199">
        <f ca="1"/>
        <v>1.8511544623109017</v>
      </c>
      <c r="M199">
        <f ca="1"/>
        <v>6.8763768146133941E-3</v>
      </c>
      <c r="N199">
        <f ca="1"/>
        <v>0.2561190471933999</v>
      </c>
      <c r="O199">
        <f ca="1"/>
        <v>0</v>
      </c>
      <c r="P199">
        <f ca="1"/>
        <v>111.27752246490697</v>
      </c>
      <c r="Q199">
        <f ca="1"/>
        <v>101.79832610678525</v>
      </c>
      <c r="R199">
        <f ca="1"/>
        <v>0</v>
      </c>
      <c r="S199">
        <f ca="1"/>
        <v>0.96066329057349242</v>
      </c>
      <c r="T199">
        <f ca="1"/>
        <v>0</v>
      </c>
      <c r="U199">
        <f ca="1"/>
        <v>0</v>
      </c>
      <c r="V199">
        <f ca="1"/>
        <v>0.99974540741450635</v>
      </c>
      <c r="X199" s="2">
        <f t="shared" ref="X199:X262" ca="1" si="22">IFERROR(J199,$X$5)</f>
        <v>45422</v>
      </c>
      <c r="Y199">
        <f t="shared" ref="Y199:Y262" ca="1" si="23">IFERROR(O199,0)</f>
        <v>0</v>
      </c>
      <c r="AA199" s="63">
        <f t="shared" ca="1" si="18"/>
        <v>-46.728548296265807</v>
      </c>
      <c r="AB199" s="63">
        <f t="shared" ca="1" si="19"/>
        <v>-46.728548296265814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45423</v>
      </c>
      <c r="K200">
        <f ca="1"/>
        <v>-50.192696307331957</v>
      </c>
      <c r="L200">
        <f ca="1"/>
        <v>1.8832337208116172</v>
      </c>
      <c r="M200">
        <f ca="1"/>
        <v>6.9410157320017873E-3</v>
      </c>
      <c r="N200">
        <f ca="1"/>
        <v>0.26329915632437428</v>
      </c>
      <c r="O200">
        <f ca="1"/>
        <v>0</v>
      </c>
      <c r="P200">
        <f ca="1"/>
        <v>113.16075618571858</v>
      </c>
      <c r="Q200">
        <f ca="1"/>
        <v>103.52113621434256</v>
      </c>
      <c r="R200">
        <f ca="1"/>
        <v>0</v>
      </c>
      <c r="S200">
        <f ca="1"/>
        <v>0.99066350744090648</v>
      </c>
      <c r="T200">
        <f ca="1"/>
        <v>0</v>
      </c>
      <c r="U200">
        <f ca="1"/>
        <v>0</v>
      </c>
      <c r="V200">
        <f ca="1"/>
        <v>0.99976970573566493</v>
      </c>
      <c r="X200" s="2">
        <f t="shared" ca="1" si="22"/>
        <v>45423</v>
      </c>
      <c r="Y200">
        <f t="shared" ca="1" si="23"/>
        <v>0</v>
      </c>
      <c r="AA200" s="63">
        <f t="shared" ca="1" si="18"/>
        <v>-48.30946258652034</v>
      </c>
      <c r="AB200" s="63">
        <f t="shared" ca="1" si="19"/>
        <v>-48.30946258652034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45424</v>
      </c>
      <c r="K201">
        <f ca="1"/>
        <v>-51.783840800453646</v>
      </c>
      <c r="L201">
        <f ca="1"/>
        <v>1.8594508773489338</v>
      </c>
      <c r="M201">
        <f ca="1"/>
        <v>6.8136599095716122E-3</v>
      </c>
      <c r="N201">
        <f ca="1"/>
        <v>0.26149272431767401</v>
      </c>
      <c r="O201">
        <f ca="1"/>
        <v>0</v>
      </c>
      <c r="P201">
        <f ca="1"/>
        <v>115.02020706306752</v>
      </c>
      <c r="Q201">
        <f ca="1"/>
        <v>105.22218942436176</v>
      </c>
      <c r="R201">
        <f ca="1"/>
        <v>0</v>
      </c>
      <c r="S201">
        <f ca="1"/>
        <v>1</v>
      </c>
      <c r="T201">
        <f ca="1"/>
        <v>1.0137946826216222</v>
      </c>
      <c r="U201">
        <f ca="1"/>
        <v>0</v>
      </c>
      <c r="V201">
        <f ca="1"/>
        <v>0.99979156520810863</v>
      </c>
      <c r="X201" s="2">
        <f t="shared" ca="1" si="22"/>
        <v>45424</v>
      </c>
      <c r="Y201">
        <f t="shared" ca="1" si="23"/>
        <v>0</v>
      </c>
      <c r="AA201" s="63">
        <f ca="1">K200+M201+N201+O201</f>
        <v>-49.924389923104712</v>
      </c>
      <c r="AB201" s="63">
        <f ca="1">K201+L201+R201</f>
        <v>-49.924389923104712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45425</v>
      </c>
      <c r="K202">
        <f ca="1"/>
        <v>-53.324470313372736</v>
      </c>
      <c r="L202">
        <f ca="1"/>
        <v>1.8013257146165529</v>
      </c>
      <c r="M202">
        <f ca="1"/>
        <v>6.5746633499301765E-3</v>
      </c>
      <c r="N202">
        <f ca="1"/>
        <v>0.25412153834753565</v>
      </c>
      <c r="O202">
        <f ca="1"/>
        <v>0</v>
      </c>
      <c r="P202">
        <f ca="1"/>
        <v>116.82153277768407</v>
      </c>
      <c r="Q202">
        <f ca="1"/>
        <v>106.87006887439986</v>
      </c>
      <c r="R202">
        <f ca="1"/>
        <v>0</v>
      </c>
      <c r="S202">
        <f ca="1"/>
        <v>1</v>
      </c>
      <c r="T202">
        <f ca="1"/>
        <v>1.2099999999999937</v>
      </c>
      <c r="U202">
        <f ca="1"/>
        <v>0</v>
      </c>
      <c r="V202">
        <f ca="1"/>
        <v>0.99981090037004172</v>
      </c>
      <c r="X202" s="2">
        <f t="shared" ca="1" si="22"/>
        <v>45425</v>
      </c>
      <c r="Y202">
        <f t="shared" ca="1" si="23"/>
        <v>0</v>
      </c>
      <c r="AA202" s="63">
        <f ca="1">K201+M202+N202+O202</f>
        <v>-51.523144598756183</v>
      </c>
      <c r="AB202" s="63">
        <f ca="1">K202+L202+R202</f>
        <v>-51.523144598756183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45426</v>
      </c>
      <c r="K203">
        <f ca="1"/>
        <v>-54.841669891710431</v>
      </c>
      <c r="L203">
        <f ca="1"/>
        <v>1.7760094789259995</v>
      </c>
      <c r="M203">
        <f ca="1"/>
        <v>6.4558673458163796E-3</v>
      </c>
      <c r="N203">
        <f ca="1"/>
        <v>0.25235403324249134</v>
      </c>
      <c r="O203">
        <f ca="1"/>
        <v>0</v>
      </c>
      <c r="P203">
        <f ca="1"/>
        <v>118.59754225661007</v>
      </c>
      <c r="Q203">
        <f ca="1"/>
        <v>108.4947886569729</v>
      </c>
      <c r="R203">
        <f ca="1"/>
        <v>0</v>
      </c>
      <c r="S203">
        <f ca="1"/>
        <v>1</v>
      </c>
      <c r="T203">
        <f ca="1"/>
        <v>2.3300000000000125</v>
      </c>
      <c r="U203">
        <f ca="1"/>
        <v>0</v>
      </c>
      <c r="V203">
        <f ca="1"/>
        <v>0.99982834316382496</v>
      </c>
      <c r="X203" s="2">
        <f t="shared" ca="1" si="22"/>
        <v>45426</v>
      </c>
      <c r="Y203">
        <f t="shared" ca="1" si="23"/>
        <v>0</v>
      </c>
      <c r="AA203" s="63">
        <f ca="1">K202+M203+N203+O203</f>
        <v>-53.065660412784432</v>
      </c>
      <c r="AB203" s="63">
        <f ca="1">K203+L203+R203</f>
        <v>-53.065660412784432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45427</v>
      </c>
      <c r="K204">
        <f ca="1"/>
        <v>-56.344303356270501</v>
      </c>
      <c r="L204">
        <f ca="1"/>
        <v>1.7615868675711681</v>
      </c>
      <c r="M204">
        <f ca="1"/>
        <v>6.378846188940912E-3</v>
      </c>
      <c r="N204">
        <f ca="1"/>
        <v>0.25257455682215685</v>
      </c>
      <c r="O204">
        <f ca="1"/>
        <v>0</v>
      </c>
      <c r="P204">
        <f ca="1"/>
        <v>120.35912912418124</v>
      </c>
      <c r="Q204">
        <f ca="1"/>
        <v>110.10631442101025</v>
      </c>
      <c r="R204">
        <f ca="1"/>
        <v>0</v>
      </c>
      <c r="S204">
        <f ca="1"/>
        <v>1</v>
      </c>
      <c r="T204">
        <f ca="1"/>
        <v>2.3400000000000034</v>
      </c>
      <c r="U204">
        <f ca="1"/>
        <v>0</v>
      </c>
      <c r="V204">
        <f ca="1"/>
        <v>0.9998441885077809</v>
      </c>
      <c r="X204" s="2">
        <f t="shared" ca="1" si="22"/>
        <v>45427</v>
      </c>
      <c r="Y204">
        <f t="shared" ca="1" si="23"/>
        <v>0</v>
      </c>
      <c r="AA204" s="63">
        <f t="shared" ref="AA204:AA267" ca="1" si="25">K203+M204+N204+O204</f>
        <v>-54.582716488699333</v>
      </c>
      <c r="AB204" s="63">
        <f t="shared" ref="AB204:AB267" ca="1" si="26">K204+L204+R204</f>
        <v>-54.582716488699333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45428</v>
      </c>
      <c r="K205">
        <f ca="1"/>
        <v>-57.787318794159077</v>
      </c>
      <c r="L205">
        <f ca="1"/>
        <v>1.692988262709747</v>
      </c>
      <c r="M205">
        <f ca="1"/>
        <v>6.1269635273157874E-3</v>
      </c>
      <c r="N205">
        <f ca="1"/>
        <v>0.24384586129385633</v>
      </c>
      <c r="O205">
        <f ca="1"/>
        <v>0</v>
      </c>
      <c r="P205">
        <f ca="1"/>
        <v>122.05211738689098</v>
      </c>
      <c r="Q205">
        <f ca="1"/>
        <v>111.65508516504471</v>
      </c>
      <c r="R205">
        <f ca="1"/>
        <v>0</v>
      </c>
      <c r="S205">
        <f ca="1"/>
        <v>1</v>
      </c>
      <c r="T205">
        <f ca="1"/>
        <v>2.1800000000000068</v>
      </c>
      <c r="U205">
        <f ca="1"/>
        <v>0</v>
      </c>
      <c r="V205">
        <f ca="1"/>
        <v>0.99985816253468518</v>
      </c>
      <c r="X205" s="2">
        <f t="shared" ca="1" si="22"/>
        <v>45428</v>
      </c>
      <c r="Y205">
        <f t="shared" ca="1" si="23"/>
        <v>0</v>
      </c>
      <c r="AA205" s="63">
        <f t="shared" ca="1" si="25"/>
        <v>-56.09433053144933</v>
      </c>
      <c r="AB205" s="63">
        <f t="shared" ca="1" si="26"/>
        <v>-56.09433053144933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45429</v>
      </c>
      <c r="K206">
        <f ca="1"/>
        <v>-59.198729529991418</v>
      </c>
      <c r="L206">
        <f ca="1"/>
        <v>1.658239428288681</v>
      </c>
      <c r="M206">
        <f ca="1"/>
        <v>5.9932484979707823E-3</v>
      </c>
      <c r="N206">
        <f ca="1"/>
        <v>0.2408354439583707</v>
      </c>
      <c r="O206">
        <f ca="1"/>
        <v>0</v>
      </c>
      <c r="P206">
        <f ca="1"/>
        <v>123.71035681517967</v>
      </c>
      <c r="Q206">
        <f ca="1"/>
        <v>113.17206716055327</v>
      </c>
      <c r="R206">
        <f ca="1"/>
        <v>0</v>
      </c>
      <c r="S206">
        <f ca="1"/>
        <v>1</v>
      </c>
      <c r="T206">
        <f ca="1"/>
        <v>2.039999999999992</v>
      </c>
      <c r="U206">
        <f ca="1"/>
        <v>0</v>
      </c>
      <c r="V206">
        <f ca="1"/>
        <v>0.99987075293134087</v>
      </c>
      <c r="X206" s="2">
        <f t="shared" ca="1" si="22"/>
        <v>45429</v>
      </c>
      <c r="Y206">
        <f t="shared" ca="1" si="23"/>
        <v>0</v>
      </c>
      <c r="AA206" s="63">
        <f t="shared" ca="1" si="25"/>
        <v>-57.540490101702737</v>
      </c>
      <c r="AB206" s="63">
        <f t="shared" ca="1" si="26"/>
        <v>-57.540490101702737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45430</v>
      </c>
      <c r="K207">
        <f ca="1"/>
        <v>-60.643055486582867</v>
      </c>
      <c r="L207">
        <f ca="1"/>
        <v>1.7016979242366972</v>
      </c>
      <c r="M207">
        <f ca="1"/>
        <v>6.1187763528227634E-3</v>
      </c>
      <c r="N207">
        <f ca="1"/>
        <v>0.25125319129242796</v>
      </c>
      <c r="O207">
        <f ca="1"/>
        <v>0</v>
      </c>
      <c r="P207">
        <f ca="1"/>
        <v>125.41205473941636</v>
      </c>
      <c r="Q207">
        <f ca="1"/>
        <v>114.7288056319846</v>
      </c>
      <c r="R207">
        <f ca="1"/>
        <v>0</v>
      </c>
      <c r="S207">
        <f ca="1"/>
        <v>0.99439393939393927</v>
      </c>
      <c r="T207">
        <f ca="1"/>
        <v>0</v>
      </c>
      <c r="U207">
        <f ca="1"/>
        <v>0</v>
      </c>
      <c r="V207">
        <f ca="1"/>
        <v>0.99988263315011572</v>
      </c>
      <c r="X207" s="2">
        <f t="shared" ca="1" si="22"/>
        <v>45430</v>
      </c>
      <c r="Y207">
        <f t="shared" ca="1" si="23"/>
        <v>0</v>
      </c>
      <c r="AA207" s="63">
        <f t="shared" ca="1" si="25"/>
        <v>-58.94135756234617</v>
      </c>
      <c r="AB207" s="63">
        <f t="shared" ca="1" si="26"/>
        <v>-58.94135756234617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45431</v>
      </c>
      <c r="K208">
        <f ca="1"/>
        <v>-62.062714507864897</v>
      </c>
      <c r="L208">
        <f ca="1"/>
        <v>1.6758346080953714</v>
      </c>
      <c r="M208">
        <f ca="1"/>
        <v>6.0202785968517247E-3</v>
      </c>
      <c r="N208">
        <f ca="1"/>
        <v>0.2501553082164929</v>
      </c>
      <c r="O208">
        <f ca="1"/>
        <v>0</v>
      </c>
      <c r="P208">
        <f ca="1"/>
        <v>127.08788934751173</v>
      </c>
      <c r="Q208">
        <f ca="1"/>
        <v>116.26188395864962</v>
      </c>
      <c r="R208">
        <f ca="1"/>
        <v>0</v>
      </c>
      <c r="S208">
        <f ca="1"/>
        <v>1</v>
      </c>
      <c r="T208">
        <f ca="1"/>
        <v>3.3900008726439523</v>
      </c>
      <c r="U208">
        <f ca="1"/>
        <v>0</v>
      </c>
      <c r="V208">
        <f ca="1"/>
        <v>0.99989338300404562</v>
      </c>
      <c r="X208" s="2">
        <f t="shared" ca="1" si="22"/>
        <v>45431</v>
      </c>
      <c r="Y208">
        <f t="shared" ca="1" si="23"/>
        <v>0</v>
      </c>
      <c r="AA208" s="63">
        <f t="shared" ca="1" si="25"/>
        <v>-60.386879899769525</v>
      </c>
      <c r="AB208" s="63">
        <f t="shared" ca="1" si="26"/>
        <v>-60.386879899769525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45432</v>
      </c>
      <c r="K209">
        <f ca="1"/>
        <v>-63.491416696793827</v>
      </c>
      <c r="L209">
        <f ca="1"/>
        <v>1.6913302011891886</v>
      </c>
      <c r="M209">
        <f ca="1"/>
        <v>6.0637698932142214E-3</v>
      </c>
      <c r="N209">
        <f ca="1"/>
        <v>0.25656424236704123</v>
      </c>
      <c r="O209">
        <f ca="1"/>
        <v>0</v>
      </c>
      <c r="P209">
        <f ca="1"/>
        <v>128.77921954870092</v>
      </c>
      <c r="Q209">
        <f ca="1"/>
        <v>117.80913788344122</v>
      </c>
      <c r="R209">
        <f ca="1"/>
        <v>0</v>
      </c>
      <c r="S209">
        <f ca="1"/>
        <v>1</v>
      </c>
      <c r="T209">
        <f ca="1"/>
        <v>3.6599999999999966</v>
      </c>
      <c r="U209">
        <f ca="1"/>
        <v>0</v>
      </c>
      <c r="V209">
        <f ca="1"/>
        <v>0.9999033508554368</v>
      </c>
      <c r="X209" s="2">
        <f t="shared" ca="1" si="22"/>
        <v>45432</v>
      </c>
      <c r="Y209">
        <f t="shared" ca="1" si="23"/>
        <v>0</v>
      </c>
      <c r="AA209" s="63">
        <f t="shared" ca="1" si="25"/>
        <v>-61.800086495604639</v>
      </c>
      <c r="AB209" s="63">
        <f t="shared" ca="1" si="26"/>
        <v>-61.800086495604639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45433</v>
      </c>
      <c r="K210">
        <f ca="1"/>
        <v>-64.845300391136476</v>
      </c>
      <c r="L210">
        <f ca="1"/>
        <v>1.6045808379501239</v>
      </c>
      <c r="M210">
        <f ca="1"/>
        <v>5.770532108038573E-3</v>
      </c>
      <c r="N210">
        <f ca="1"/>
        <v>0.24492661149943515</v>
      </c>
      <c r="O210">
        <f ca="1"/>
        <v>0</v>
      </c>
      <c r="P210">
        <f ca="1"/>
        <v>130.38380038665105</v>
      </c>
      <c r="Q210">
        <f ca="1"/>
        <v>119.27703220556594</v>
      </c>
      <c r="R210">
        <f ca="1"/>
        <v>0</v>
      </c>
      <c r="S210">
        <f ca="1"/>
        <v>1</v>
      </c>
      <c r="T210">
        <f ca="1"/>
        <v>3.3299999999999983</v>
      </c>
      <c r="U210">
        <f ca="1"/>
        <v>0</v>
      </c>
      <c r="V210">
        <f ca="1"/>
        <v>0.99991205109022563</v>
      </c>
      <c r="X210" s="2">
        <f t="shared" ca="1" si="22"/>
        <v>45433</v>
      </c>
      <c r="Y210">
        <f t="shared" ca="1" si="23"/>
        <v>0</v>
      </c>
      <c r="AA210" s="63">
        <f t="shared" ca="1" si="25"/>
        <v>-63.240719553186352</v>
      </c>
      <c r="AB210" s="63">
        <f t="shared" ca="1" si="26"/>
        <v>-63.240719553186352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45434</v>
      </c>
      <c r="K211">
        <f ca="1"/>
        <v>-66.154458901767512</v>
      </c>
      <c r="L211">
        <f ca="1"/>
        <v>1.554529114682822</v>
      </c>
      <c r="M211">
        <f ca="1"/>
        <v>5.604712646563037E-3</v>
      </c>
      <c r="N211">
        <f ca="1"/>
        <v>0.23976589140522842</v>
      </c>
      <c r="O211">
        <f ca="1"/>
        <v>0</v>
      </c>
      <c r="P211">
        <f ca="1"/>
        <v>131.93832950133387</v>
      </c>
      <c r="Q211">
        <f ca="1"/>
        <v>120.69913846973877</v>
      </c>
      <c r="R211">
        <f ca="1"/>
        <v>0</v>
      </c>
      <c r="S211">
        <f ca="1"/>
        <v>1</v>
      </c>
      <c r="T211">
        <f ca="1"/>
        <v>6.3599999999999994</v>
      </c>
      <c r="U211">
        <f ca="1"/>
        <v>0</v>
      </c>
      <c r="V211">
        <f ca="1"/>
        <v>0.99991982945270241</v>
      </c>
      <c r="X211" s="2">
        <f t="shared" ca="1" si="22"/>
        <v>45434</v>
      </c>
      <c r="Y211">
        <f t="shared" ca="1" si="23"/>
        <v>0</v>
      </c>
      <c r="AA211" s="63">
        <f t="shared" ca="1" si="25"/>
        <v>-64.59992978708469</v>
      </c>
      <c r="AB211" s="63">
        <f t="shared" ca="1" si="26"/>
        <v>-64.59992978708469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45435</v>
      </c>
      <c r="K212">
        <f ca="1"/>
        <v>-67.435844959392128</v>
      </c>
      <c r="L212">
        <f ca="1"/>
        <v>1.5251682846764822</v>
      </c>
      <c r="M212">
        <f ca="1"/>
        <v>5.5087652686252042E-3</v>
      </c>
      <c r="N212">
        <f ca="1"/>
        <v>0.23827346178324332</v>
      </c>
      <c r="O212">
        <f ca="1"/>
        <v>0</v>
      </c>
      <c r="P212">
        <f ca="1"/>
        <v>133.46349778601035</v>
      </c>
      <c r="Q212">
        <f ca="1"/>
        <v>122.09438501164651</v>
      </c>
      <c r="R212">
        <f ca="1"/>
        <v>0</v>
      </c>
      <c r="S212">
        <f ca="1"/>
        <v>1</v>
      </c>
      <c r="T212">
        <f ca="1"/>
        <v>3.8299999999999983</v>
      </c>
      <c r="U212">
        <f ca="1"/>
        <v>0</v>
      </c>
      <c r="V212">
        <f ca="1"/>
        <v>0.99992688300150445</v>
      </c>
      <c r="X212" s="2">
        <f t="shared" ca="1" si="22"/>
        <v>45435</v>
      </c>
      <c r="Y212">
        <f t="shared" ca="1" si="23"/>
        <v>0</v>
      </c>
      <c r="AA212" s="63">
        <f t="shared" ca="1" si="25"/>
        <v>-65.910676674715646</v>
      </c>
      <c r="AB212" s="63">
        <f t="shared" ca="1" si="26"/>
        <v>-65.910676674715646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45436</v>
      </c>
      <c r="K213">
        <f ca="1"/>
        <v>-68.722522604159934</v>
      </c>
      <c r="L213">
        <f ca="1"/>
        <v>1.5365022139896496</v>
      </c>
      <c r="M213">
        <f ca="1"/>
        <v>5.5467617975084593E-3</v>
      </c>
      <c r="N213">
        <f ca="1"/>
        <v>0.24427780742434133</v>
      </c>
      <c r="O213">
        <f ca="1"/>
        <v>0</v>
      </c>
      <c r="P213">
        <f ca="1"/>
        <v>135</v>
      </c>
      <c r="Q213">
        <f ca="1"/>
        <v>123.5</v>
      </c>
      <c r="R213">
        <f ca="1"/>
        <v>0</v>
      </c>
      <c r="S213">
        <f ca="1"/>
        <v>1</v>
      </c>
      <c r="T213">
        <f ca="1"/>
        <v>4.4699999999999989</v>
      </c>
      <c r="U213">
        <f ca="1"/>
        <v>0</v>
      </c>
      <c r="V213">
        <f ca="1"/>
        <v>0.99993345063478134</v>
      </c>
      <c r="X213" s="2">
        <f t="shared" ca="1" si="22"/>
        <v>45436</v>
      </c>
      <c r="Y213">
        <f t="shared" ca="1" si="23"/>
        <v>0</v>
      </c>
      <c r="AA213" s="63">
        <f t="shared" ca="1" si="25"/>
        <v>-67.186020390170285</v>
      </c>
      <c r="AB213" s="63">
        <f t="shared" ca="1" si="26"/>
        <v>-67.186020390170285</v>
      </c>
      <c r="AC213" s="3">
        <f t="shared" ca="1" si="27"/>
        <v>0</v>
      </c>
    </row>
    <row r="214" spans="8:29">
      <c r="H214" t="e">
        <f t="shared" ca="1" si="24"/>
        <v>#N/A</v>
      </c>
      <c r="I214" t="e">
        <f t="shared" ca="1" si="21"/>
        <v>#N/A</v>
      </c>
      <c r="J214" s="2" t="e">
        <f ca="1"/>
        <v>#N/A</v>
      </c>
      <c r="K214" t="e">
        <f ca="1"/>
        <v>#N/A</v>
      </c>
      <c r="L214" t="e">
        <f ca="1"/>
        <v>#N/A</v>
      </c>
      <c r="M214" t="e">
        <f ca="1"/>
        <v>#N/A</v>
      </c>
      <c r="N214" t="e">
        <f ca="1"/>
        <v>#N/A</v>
      </c>
      <c r="O214" t="e">
        <f ca="1"/>
        <v>#N/A</v>
      </c>
      <c r="P214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X214" s="2">
        <f t="shared" ca="1" si="22"/>
        <v>0</v>
      </c>
      <c r="Y214">
        <f t="shared" ca="1" si="23"/>
        <v>0</v>
      </c>
      <c r="AA214" s="63" t="e">
        <f t="shared" ca="1" si="25"/>
        <v>#N/A</v>
      </c>
      <c r="AB214" s="63" t="e">
        <f t="shared" ca="1" si="26"/>
        <v>#N/A</v>
      </c>
      <c r="AC214" s="3" t="e">
        <f t="shared" ca="1" si="27"/>
        <v>#N/A</v>
      </c>
    </row>
    <row r="215" spans="8:29">
      <c r="H215" t="e">
        <f t="shared" ca="1" si="24"/>
        <v>#N/A</v>
      </c>
      <c r="I215" t="e">
        <f t="shared" ca="1" si="21"/>
        <v>#N/A</v>
      </c>
      <c r="J215" s="2" t="e">
        <f ca="1"/>
        <v>#N/A</v>
      </c>
      <c r="K215" t="e">
        <f ca="1"/>
        <v>#N/A</v>
      </c>
      <c r="L215" t="e">
        <f ca="1"/>
        <v>#N/A</v>
      </c>
      <c r="M215" t="e">
        <f ca="1"/>
        <v>#N/A</v>
      </c>
      <c r="N215" t="e">
        <f ca="1"/>
        <v>#N/A</v>
      </c>
      <c r="O215" t="e">
        <f ca="1"/>
        <v>#N/A</v>
      </c>
      <c r="P215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X215" s="2">
        <f t="shared" ca="1" si="22"/>
        <v>0</v>
      </c>
      <c r="Y215">
        <f t="shared" ca="1" si="23"/>
        <v>0</v>
      </c>
      <c r="AA215" s="63" t="e">
        <f t="shared" ca="1" si="25"/>
        <v>#N/A</v>
      </c>
      <c r="AB215" s="63" t="e">
        <f t="shared" ca="1" si="26"/>
        <v>#N/A</v>
      </c>
      <c r="AC215" s="3" t="e">
        <f t="shared" ca="1" si="27"/>
        <v>#N/A</v>
      </c>
    </row>
    <row r="216" spans="8:29">
      <c r="H216" t="e">
        <f t="shared" ca="1" si="24"/>
        <v>#N/A</v>
      </c>
      <c r="I216" t="e">
        <f t="shared" ca="1" si="21"/>
        <v>#N/A</v>
      </c>
      <c r="J216" s="2" t="e">
        <f ca="1"/>
        <v>#N/A</v>
      </c>
      <c r="K216" t="e">
        <f ca="1"/>
        <v>#N/A</v>
      </c>
      <c r="L216" t="e">
        <f ca="1"/>
        <v>#N/A</v>
      </c>
      <c r="M216" t="e">
        <f ca="1"/>
        <v>#N/A</v>
      </c>
      <c r="N216" t="e">
        <f ca="1"/>
        <v>#N/A</v>
      </c>
      <c r="O216" t="e">
        <f ca="1"/>
        <v>#N/A</v>
      </c>
      <c r="P216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X216" s="2">
        <f t="shared" ca="1" si="22"/>
        <v>0</v>
      </c>
      <c r="Y216">
        <f t="shared" ca="1" si="23"/>
        <v>0</v>
      </c>
      <c r="AA216" s="63" t="e">
        <f t="shared" ca="1" si="25"/>
        <v>#N/A</v>
      </c>
      <c r="AB216" s="63" t="e">
        <f t="shared" ca="1" si="26"/>
        <v>#N/A</v>
      </c>
      <c r="AC216" s="3" t="e">
        <f t="shared" ca="1" si="27"/>
        <v>#N/A</v>
      </c>
    </row>
    <row r="217" spans="8:29">
      <c r="H217" t="e">
        <f t="shared" ca="1" si="24"/>
        <v>#N/A</v>
      </c>
      <c r="I217" t="e">
        <f t="shared" ca="1" si="21"/>
        <v>#N/A</v>
      </c>
      <c r="J217" s="2" t="e">
        <f ca="1"/>
        <v>#N/A</v>
      </c>
      <c r="K217" t="e">
        <f ca="1"/>
        <v>#N/A</v>
      </c>
      <c r="L217" t="e">
        <f ca="1"/>
        <v>#N/A</v>
      </c>
      <c r="M217" t="e">
        <f ca="1"/>
        <v>#N/A</v>
      </c>
      <c r="N217" t="e">
        <f ca="1"/>
        <v>#N/A</v>
      </c>
      <c r="O217" t="e">
        <f ca="1"/>
        <v>#N/A</v>
      </c>
      <c r="P217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X217" s="2">
        <f t="shared" ca="1" si="22"/>
        <v>0</v>
      </c>
      <c r="Y217">
        <f t="shared" ca="1" si="23"/>
        <v>0</v>
      </c>
      <c r="AA217" s="63" t="e">
        <f t="shared" ca="1" si="25"/>
        <v>#N/A</v>
      </c>
      <c r="AB217" s="63" t="e">
        <f t="shared" ca="1" si="26"/>
        <v>#N/A</v>
      </c>
      <c r="AC217" s="3" t="e">
        <f t="shared" ca="1" si="27"/>
        <v>#N/A</v>
      </c>
    </row>
    <row r="218" spans="8:29">
      <c r="H218" t="e">
        <f t="shared" ca="1" si="24"/>
        <v>#N/A</v>
      </c>
      <c r="I218" t="e">
        <f t="shared" ca="1" si="21"/>
        <v>#N/A</v>
      </c>
      <c r="J218" s="2" t="e">
        <f ca="1"/>
        <v>#N/A</v>
      </c>
      <c r="K218" t="e">
        <f ca="1"/>
        <v>#N/A</v>
      </c>
      <c r="L218" t="e">
        <f ca="1"/>
        <v>#N/A</v>
      </c>
      <c r="M218" t="e">
        <f ca="1"/>
        <v>#N/A</v>
      </c>
      <c r="N218" t="e">
        <f ca="1"/>
        <v>#N/A</v>
      </c>
      <c r="O218" t="e">
        <f ca="1"/>
        <v>#N/A</v>
      </c>
      <c r="P218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X218" s="2">
        <f t="shared" ca="1" si="22"/>
        <v>0</v>
      </c>
      <c r="Y218">
        <f t="shared" ca="1" si="23"/>
        <v>0</v>
      </c>
      <c r="AA218" s="63" t="e">
        <f t="shared" ca="1" si="25"/>
        <v>#N/A</v>
      </c>
      <c r="AB218" s="63" t="e">
        <f t="shared" ca="1" si="26"/>
        <v>#N/A</v>
      </c>
      <c r="AC218" s="3" t="e">
        <f t="shared" ca="1" si="27"/>
        <v>#N/A</v>
      </c>
    </row>
    <row r="219" spans="8:29">
      <c r="H219" t="e">
        <f t="shared" ca="1" si="24"/>
        <v>#N/A</v>
      </c>
      <c r="I219" t="e">
        <f t="shared" ca="1" si="21"/>
        <v>#N/A</v>
      </c>
      <c r="J219" s="2" t="e">
        <f ca="1"/>
        <v>#N/A</v>
      </c>
      <c r="K219" t="e">
        <f ca="1"/>
        <v>#N/A</v>
      </c>
      <c r="L219" t="e">
        <f ca="1"/>
        <v>#N/A</v>
      </c>
      <c r="M219" t="e">
        <f ca="1"/>
        <v>#N/A</v>
      </c>
      <c r="N219" t="e">
        <f ca="1"/>
        <v>#N/A</v>
      </c>
      <c r="O219" t="e">
        <f ca="1"/>
        <v>#N/A</v>
      </c>
      <c r="P219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X219" s="2">
        <f t="shared" ca="1" si="22"/>
        <v>0</v>
      </c>
      <c r="Y219">
        <f t="shared" ca="1" si="23"/>
        <v>0</v>
      </c>
      <c r="AA219" s="63" t="e">
        <f t="shared" ca="1" si="25"/>
        <v>#N/A</v>
      </c>
      <c r="AB219" s="63" t="e">
        <f t="shared" ca="1" si="26"/>
        <v>#N/A</v>
      </c>
      <c r="AC219" s="3" t="e">
        <f t="shared" ca="1" si="27"/>
        <v>#N/A</v>
      </c>
    </row>
    <row r="220" spans="8:29">
      <c r="H220" t="e">
        <f t="shared" ca="1" si="24"/>
        <v>#N/A</v>
      </c>
      <c r="I220" t="e">
        <f t="shared" ca="1" si="21"/>
        <v>#N/A</v>
      </c>
      <c r="J220" s="2" t="e">
        <f ca="1"/>
        <v>#N/A</v>
      </c>
      <c r="K220" t="e">
        <f ca="1"/>
        <v>#N/A</v>
      </c>
      <c r="L220" t="e">
        <f ca="1"/>
        <v>#N/A</v>
      </c>
      <c r="M220" t="e">
        <f ca="1"/>
        <v>#N/A</v>
      </c>
      <c r="N220" t="e">
        <f ca="1"/>
        <v>#N/A</v>
      </c>
      <c r="O220" t="e">
        <f ca="1"/>
        <v>#N/A</v>
      </c>
      <c r="P220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X220" s="2">
        <f t="shared" ca="1" si="22"/>
        <v>0</v>
      </c>
      <c r="Y220">
        <f t="shared" ca="1" si="23"/>
        <v>0</v>
      </c>
      <c r="AA220" s="63" t="e">
        <f t="shared" ca="1" si="25"/>
        <v>#N/A</v>
      </c>
      <c r="AB220" s="63" t="e">
        <f t="shared" ca="1" si="26"/>
        <v>#N/A</v>
      </c>
      <c r="AC220" s="3" t="e">
        <f t="shared" ca="1" si="27"/>
        <v>#N/A</v>
      </c>
    </row>
    <row r="221" spans="8:29">
      <c r="H221" t="e">
        <f t="shared" ca="1" si="24"/>
        <v>#N/A</v>
      </c>
      <c r="I221" t="e">
        <f t="shared" ca="1" si="21"/>
        <v>#N/A</v>
      </c>
      <c r="J221" s="2" t="e">
        <f ca="1"/>
        <v>#N/A</v>
      </c>
      <c r="K221" t="e">
        <f ca="1"/>
        <v>#N/A</v>
      </c>
      <c r="L221" t="e">
        <f ca="1"/>
        <v>#N/A</v>
      </c>
      <c r="M221" t="e">
        <f ca="1"/>
        <v>#N/A</v>
      </c>
      <c r="N221" t="e">
        <f ca="1"/>
        <v>#N/A</v>
      </c>
      <c r="O221" t="e">
        <f ca="1"/>
        <v>#N/A</v>
      </c>
      <c r="P221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X221" s="2">
        <f t="shared" ca="1" si="22"/>
        <v>0</v>
      </c>
      <c r="Y221">
        <f t="shared" ca="1" si="23"/>
        <v>0</v>
      </c>
      <c r="AA221" s="63" t="e">
        <f t="shared" ca="1" si="25"/>
        <v>#N/A</v>
      </c>
      <c r="AB221" s="63" t="e">
        <f t="shared" ca="1" si="26"/>
        <v>#N/A</v>
      </c>
      <c r="AC221" s="3" t="e">
        <f t="shared" ca="1" si="27"/>
        <v>#N/A</v>
      </c>
    </row>
    <row r="222" spans="8:29">
      <c r="H222" t="e">
        <f t="shared" ca="1" si="24"/>
        <v>#N/A</v>
      </c>
      <c r="I222" t="e">
        <f t="shared" ca="1" si="21"/>
        <v>#N/A</v>
      </c>
      <c r="J222" s="2" t="e">
        <f ca="1"/>
        <v>#N/A</v>
      </c>
      <c r="K222" t="e">
        <f ca="1"/>
        <v>#N/A</v>
      </c>
      <c r="L222" t="e">
        <f ca="1"/>
        <v>#N/A</v>
      </c>
      <c r="M222" t="e">
        <f ca="1"/>
        <v>#N/A</v>
      </c>
      <c r="N222" t="e">
        <f ca="1"/>
        <v>#N/A</v>
      </c>
      <c r="O222" t="e">
        <f ca="1"/>
        <v>#N/A</v>
      </c>
      <c r="P22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X222" s="2">
        <f t="shared" ca="1" si="22"/>
        <v>0</v>
      </c>
      <c r="Y222">
        <f t="shared" ca="1" si="23"/>
        <v>0</v>
      </c>
      <c r="AA222" s="63" t="e">
        <f t="shared" ca="1" si="25"/>
        <v>#N/A</v>
      </c>
      <c r="AB222" s="63" t="e">
        <f t="shared" ca="1" si="26"/>
        <v>#N/A</v>
      </c>
      <c r="AC222" s="3" t="e">
        <f t="shared" ca="1" si="27"/>
        <v>#N/A</v>
      </c>
    </row>
    <row r="223" spans="8:29">
      <c r="H223" t="e">
        <f t="shared" ca="1" si="24"/>
        <v>#N/A</v>
      </c>
      <c r="I223" t="e">
        <f t="shared" ca="1" si="21"/>
        <v>#N/A</v>
      </c>
      <c r="J223" s="2" t="e">
        <f ca="1"/>
        <v>#N/A</v>
      </c>
      <c r="K223" t="e">
        <f ca="1"/>
        <v>#N/A</v>
      </c>
      <c r="L223" t="e">
        <f ca="1"/>
        <v>#N/A</v>
      </c>
      <c r="M223" t="e">
        <f ca="1"/>
        <v>#N/A</v>
      </c>
      <c r="N223" t="e">
        <f ca="1"/>
        <v>#N/A</v>
      </c>
      <c r="O223" t="e">
        <f ca="1"/>
        <v>#N/A</v>
      </c>
      <c r="P223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X223" s="2">
        <f t="shared" ca="1" si="22"/>
        <v>0</v>
      </c>
      <c r="Y223">
        <f t="shared" ca="1" si="23"/>
        <v>0</v>
      </c>
      <c r="AA223" s="63" t="e">
        <f t="shared" ca="1" si="25"/>
        <v>#N/A</v>
      </c>
      <c r="AB223" s="63" t="e">
        <f t="shared" ca="1" si="26"/>
        <v>#N/A</v>
      </c>
      <c r="AC223" s="3" t="e">
        <f t="shared" ca="1" si="27"/>
        <v>#N/A</v>
      </c>
    </row>
    <row r="224" spans="8:29">
      <c r="H224" t="e">
        <f t="shared" ca="1" si="24"/>
        <v>#N/A</v>
      </c>
      <c r="I224" t="e">
        <f t="shared" ca="1" si="21"/>
        <v>#N/A</v>
      </c>
      <c r="J224" s="2" t="e">
        <f ca="1"/>
        <v>#N/A</v>
      </c>
      <c r="K224" t="e">
        <f ca="1"/>
        <v>#N/A</v>
      </c>
      <c r="L224" t="e">
        <f ca="1"/>
        <v>#N/A</v>
      </c>
      <c r="M224" t="e">
        <f ca="1"/>
        <v>#N/A</v>
      </c>
      <c r="N224" t="e">
        <f ca="1"/>
        <v>#N/A</v>
      </c>
      <c r="O224" t="e">
        <f ca="1"/>
        <v>#N/A</v>
      </c>
      <c r="P224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X224" s="2">
        <f t="shared" ca="1" si="22"/>
        <v>0</v>
      </c>
      <c r="Y224">
        <f t="shared" ca="1" si="23"/>
        <v>0</v>
      </c>
      <c r="AA224" s="63" t="e">
        <f t="shared" ca="1" si="25"/>
        <v>#N/A</v>
      </c>
      <c r="AB224" s="63" t="e">
        <f t="shared" ca="1" si="26"/>
        <v>#N/A</v>
      </c>
      <c r="AC224" s="3" t="e">
        <f t="shared" ca="1" si="27"/>
        <v>#N/A</v>
      </c>
    </row>
    <row r="225" spans="8:29">
      <c r="H225" t="e">
        <f t="shared" ca="1" si="24"/>
        <v>#N/A</v>
      </c>
      <c r="I225" t="e">
        <f t="shared" ca="1" si="21"/>
        <v>#N/A</v>
      </c>
      <c r="J225" s="2" t="e">
        <f ca="1"/>
        <v>#N/A</v>
      </c>
      <c r="K225" t="e">
        <f ca="1"/>
        <v>#N/A</v>
      </c>
      <c r="L225" t="e">
        <f ca="1"/>
        <v>#N/A</v>
      </c>
      <c r="M225" t="e">
        <f ca="1"/>
        <v>#N/A</v>
      </c>
      <c r="N225" t="e">
        <f ca="1"/>
        <v>#N/A</v>
      </c>
      <c r="O225" t="e">
        <f ca="1"/>
        <v>#N/A</v>
      </c>
      <c r="P225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X225" s="2">
        <f t="shared" ca="1" si="22"/>
        <v>0</v>
      </c>
      <c r="Y225">
        <f t="shared" ca="1" si="23"/>
        <v>0</v>
      </c>
      <c r="AA225" s="63" t="e">
        <f t="shared" ca="1" si="25"/>
        <v>#N/A</v>
      </c>
      <c r="AB225" s="63" t="e">
        <f t="shared" ca="1" si="26"/>
        <v>#N/A</v>
      </c>
      <c r="AC225" s="3" t="e">
        <f t="shared" ca="1" si="27"/>
        <v>#N/A</v>
      </c>
    </row>
    <row r="226" spans="8:29">
      <c r="H226" t="e">
        <f t="shared" ca="1" si="24"/>
        <v>#N/A</v>
      </c>
      <c r="I226" t="e">
        <f t="shared" ca="1" si="21"/>
        <v>#N/A</v>
      </c>
      <c r="J226" s="2" t="e">
        <f ca="1"/>
        <v>#N/A</v>
      </c>
      <c r="K226" t="e">
        <f ca="1"/>
        <v>#N/A</v>
      </c>
      <c r="L226" t="e">
        <f ca="1"/>
        <v>#N/A</v>
      </c>
      <c r="M226" t="e">
        <f ca="1"/>
        <v>#N/A</v>
      </c>
      <c r="N226" t="e">
        <f ca="1"/>
        <v>#N/A</v>
      </c>
      <c r="O226" t="e">
        <f ca="1"/>
        <v>#N/A</v>
      </c>
      <c r="P226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X226" s="2">
        <f t="shared" ca="1" si="22"/>
        <v>0</v>
      </c>
      <c r="Y226">
        <f t="shared" ca="1" si="23"/>
        <v>0</v>
      </c>
      <c r="AA226" s="63" t="e">
        <f t="shared" ca="1" si="25"/>
        <v>#N/A</v>
      </c>
      <c r="AB226" s="63" t="e">
        <f t="shared" ca="1" si="26"/>
        <v>#N/A</v>
      </c>
      <c r="AC226" s="3" t="e">
        <f t="shared" ca="1" si="27"/>
        <v>#N/A</v>
      </c>
    </row>
    <row r="227" spans="8:29">
      <c r="H227" t="e">
        <f t="shared" ca="1" si="24"/>
        <v>#N/A</v>
      </c>
      <c r="I227" t="e">
        <f t="shared" ca="1" si="21"/>
        <v>#N/A</v>
      </c>
      <c r="J227" s="2" t="e">
        <f ca="1"/>
        <v>#N/A</v>
      </c>
      <c r="K227" t="e">
        <f ca="1"/>
        <v>#N/A</v>
      </c>
      <c r="L227" t="e">
        <f ca="1"/>
        <v>#N/A</v>
      </c>
      <c r="M227" t="e">
        <f ca="1"/>
        <v>#N/A</v>
      </c>
      <c r="N227" t="e">
        <f ca="1"/>
        <v>#N/A</v>
      </c>
      <c r="O227" t="e">
        <f ca="1"/>
        <v>#N/A</v>
      </c>
      <c r="P227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X227" s="2">
        <f t="shared" ca="1" si="22"/>
        <v>0</v>
      </c>
      <c r="Y227">
        <f t="shared" ca="1" si="23"/>
        <v>0</v>
      </c>
      <c r="AA227" s="63" t="e">
        <f t="shared" ca="1" si="25"/>
        <v>#N/A</v>
      </c>
      <c r="AB227" s="63" t="e">
        <f t="shared" ca="1" si="26"/>
        <v>#N/A</v>
      </c>
      <c r="AC227" s="3" t="e">
        <f t="shared" ca="1" si="27"/>
        <v>#N/A</v>
      </c>
    </row>
    <row r="228" spans="8:29">
      <c r="H228" t="e">
        <f t="shared" ca="1" si="24"/>
        <v>#N/A</v>
      </c>
      <c r="I228" t="e">
        <f t="shared" ca="1" si="21"/>
        <v>#N/A</v>
      </c>
      <c r="J228" s="2" t="e">
        <f ca="1"/>
        <v>#N/A</v>
      </c>
      <c r="K228" t="e">
        <f ca="1"/>
        <v>#N/A</v>
      </c>
      <c r="L228" t="e">
        <f ca="1"/>
        <v>#N/A</v>
      </c>
      <c r="M228" t="e">
        <f ca="1"/>
        <v>#N/A</v>
      </c>
      <c r="N228" t="e">
        <f ca="1"/>
        <v>#N/A</v>
      </c>
      <c r="O228" t="e">
        <f ca="1"/>
        <v>#N/A</v>
      </c>
      <c r="P228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X228" s="2">
        <f t="shared" ca="1" si="22"/>
        <v>0</v>
      </c>
      <c r="Y228">
        <f t="shared" ca="1" si="23"/>
        <v>0</v>
      </c>
      <c r="AA228" s="63" t="e">
        <f t="shared" ca="1" si="25"/>
        <v>#N/A</v>
      </c>
      <c r="AB228" s="63" t="e">
        <f t="shared" ca="1" si="26"/>
        <v>#N/A</v>
      </c>
      <c r="AC228" s="3" t="e">
        <f t="shared" ca="1" si="27"/>
        <v>#N/A</v>
      </c>
    </row>
    <row r="229" spans="8:29">
      <c r="H229" t="e">
        <f t="shared" ca="1" si="24"/>
        <v>#N/A</v>
      </c>
      <c r="I229" t="e">
        <f t="shared" ca="1" si="21"/>
        <v>#N/A</v>
      </c>
      <c r="J229" s="2" t="e">
        <f ca="1"/>
        <v>#N/A</v>
      </c>
      <c r="K229" t="e">
        <f ca="1"/>
        <v>#N/A</v>
      </c>
      <c r="L229" t="e">
        <f ca="1"/>
        <v>#N/A</v>
      </c>
      <c r="M229" t="e">
        <f ca="1"/>
        <v>#N/A</v>
      </c>
      <c r="N229" t="e">
        <f ca="1"/>
        <v>#N/A</v>
      </c>
      <c r="O229" t="e">
        <f ca="1"/>
        <v>#N/A</v>
      </c>
      <c r="P229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X229" s="2">
        <f t="shared" ca="1" si="22"/>
        <v>0</v>
      </c>
      <c r="Y229">
        <f t="shared" ca="1" si="23"/>
        <v>0</v>
      </c>
      <c r="AA229" s="63" t="e">
        <f t="shared" ca="1" si="25"/>
        <v>#N/A</v>
      </c>
      <c r="AB229" s="63" t="e">
        <f t="shared" ca="1" si="26"/>
        <v>#N/A</v>
      </c>
      <c r="AC229" s="3" t="e">
        <f t="shared" ca="1" si="27"/>
        <v>#N/A</v>
      </c>
    </row>
    <row r="230" spans="8:29">
      <c r="H230" t="e">
        <f t="shared" ca="1" si="24"/>
        <v>#N/A</v>
      </c>
      <c r="I230" t="e">
        <f t="shared" ca="1" si="21"/>
        <v>#N/A</v>
      </c>
      <c r="J230" s="2" t="e">
        <f ca="1"/>
        <v>#N/A</v>
      </c>
      <c r="K230" t="e">
        <f ca="1"/>
        <v>#N/A</v>
      </c>
      <c r="L230" t="e">
        <f ca="1"/>
        <v>#N/A</v>
      </c>
      <c r="M230" t="e">
        <f ca="1"/>
        <v>#N/A</v>
      </c>
      <c r="N230" t="e">
        <f ca="1"/>
        <v>#N/A</v>
      </c>
      <c r="O230" t="e">
        <f ca="1"/>
        <v>#N/A</v>
      </c>
      <c r="P230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X230" s="2">
        <f t="shared" ca="1" si="22"/>
        <v>0</v>
      </c>
      <c r="Y230">
        <f t="shared" ca="1" si="23"/>
        <v>0</v>
      </c>
      <c r="AA230" s="63" t="e">
        <f t="shared" ca="1" si="25"/>
        <v>#N/A</v>
      </c>
      <c r="AB230" s="63" t="e">
        <f t="shared" ca="1" si="26"/>
        <v>#N/A</v>
      </c>
      <c r="AC230" s="3" t="e">
        <f t="shared" ca="1" si="27"/>
        <v>#N/A</v>
      </c>
    </row>
    <row r="231" spans="8:29">
      <c r="H231" t="e">
        <f t="shared" ca="1" si="24"/>
        <v>#N/A</v>
      </c>
      <c r="I231" t="e">
        <f t="shared" ca="1" si="21"/>
        <v>#N/A</v>
      </c>
      <c r="J231" s="2" t="e">
        <f ca="1"/>
        <v>#N/A</v>
      </c>
      <c r="K231" t="e">
        <f ca="1"/>
        <v>#N/A</v>
      </c>
      <c r="L231" t="e">
        <f ca="1"/>
        <v>#N/A</v>
      </c>
      <c r="M231" t="e">
        <f ca="1"/>
        <v>#N/A</v>
      </c>
      <c r="N231" t="e">
        <f ca="1"/>
        <v>#N/A</v>
      </c>
      <c r="O231" t="e">
        <f ca="1"/>
        <v>#N/A</v>
      </c>
      <c r="P231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X231" s="2">
        <f t="shared" ca="1" si="22"/>
        <v>0</v>
      </c>
      <c r="Y231">
        <f t="shared" ca="1" si="23"/>
        <v>0</v>
      </c>
      <c r="AA231" s="63" t="e">
        <f t="shared" ca="1" si="25"/>
        <v>#N/A</v>
      </c>
      <c r="AB231" s="63" t="e">
        <f t="shared" ca="1" si="26"/>
        <v>#N/A</v>
      </c>
      <c r="AC231" s="3" t="e">
        <f t="shared" ca="1" si="27"/>
        <v>#N/A</v>
      </c>
    </row>
    <row r="232" spans="8:29">
      <c r="H232" t="e">
        <f t="shared" ca="1" si="24"/>
        <v>#N/A</v>
      </c>
      <c r="I232" t="e">
        <f t="shared" ca="1" si="21"/>
        <v>#N/A</v>
      </c>
      <c r="J232" s="2" t="e">
        <f ca="1"/>
        <v>#N/A</v>
      </c>
      <c r="K232" t="e">
        <f ca="1"/>
        <v>#N/A</v>
      </c>
      <c r="L232" t="e">
        <f ca="1"/>
        <v>#N/A</v>
      </c>
      <c r="M232" t="e">
        <f ca="1"/>
        <v>#N/A</v>
      </c>
      <c r="N232" t="e">
        <f ca="1"/>
        <v>#N/A</v>
      </c>
      <c r="O232" t="e">
        <f ca="1"/>
        <v>#N/A</v>
      </c>
      <c r="P23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X232" s="2">
        <f t="shared" ca="1" si="22"/>
        <v>0</v>
      </c>
      <c r="Y232">
        <f t="shared" ca="1" si="23"/>
        <v>0</v>
      </c>
      <c r="AA232" s="63" t="e">
        <f t="shared" ca="1" si="25"/>
        <v>#N/A</v>
      </c>
      <c r="AB232" s="63" t="e">
        <f t="shared" ca="1" si="26"/>
        <v>#N/A</v>
      </c>
      <c r="AC232" s="3" t="e">
        <f t="shared" ca="1" si="27"/>
        <v>#N/A</v>
      </c>
    </row>
    <row r="233" spans="8:29">
      <c r="H233" t="e">
        <f t="shared" ca="1" si="24"/>
        <v>#N/A</v>
      </c>
      <c r="I233" t="e">
        <f t="shared" ca="1" si="21"/>
        <v>#N/A</v>
      </c>
      <c r="J233" s="2" t="e">
        <f ca="1"/>
        <v>#N/A</v>
      </c>
      <c r="K233" t="e">
        <f ca="1"/>
        <v>#N/A</v>
      </c>
      <c r="L233" t="e">
        <f ca="1"/>
        <v>#N/A</v>
      </c>
      <c r="M233" t="e">
        <f ca="1"/>
        <v>#N/A</v>
      </c>
      <c r="N233" t="e">
        <f ca="1"/>
        <v>#N/A</v>
      </c>
      <c r="O233" t="e">
        <f ca="1"/>
        <v>#N/A</v>
      </c>
      <c r="P233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X233" s="2">
        <f t="shared" ca="1" si="22"/>
        <v>0</v>
      </c>
      <c r="Y233">
        <f t="shared" ca="1" si="23"/>
        <v>0</v>
      </c>
      <c r="AA233" s="63" t="e">
        <f t="shared" ca="1" si="25"/>
        <v>#N/A</v>
      </c>
      <c r="AB233" s="63" t="e">
        <f t="shared" ca="1" si="26"/>
        <v>#N/A</v>
      </c>
      <c r="AC233" s="3" t="e">
        <f t="shared" ca="1" si="27"/>
        <v>#N/A</v>
      </c>
    </row>
    <row r="234" spans="8:29">
      <c r="H234" t="e">
        <f t="shared" ca="1" si="24"/>
        <v>#N/A</v>
      </c>
      <c r="I234" t="e">
        <f t="shared" ca="1" si="21"/>
        <v>#N/A</v>
      </c>
      <c r="J234" s="2" t="e">
        <f ca="1"/>
        <v>#N/A</v>
      </c>
      <c r="K234" t="e">
        <f ca="1"/>
        <v>#N/A</v>
      </c>
      <c r="L234" t="e">
        <f ca="1"/>
        <v>#N/A</v>
      </c>
      <c r="M234" t="e">
        <f ca="1"/>
        <v>#N/A</v>
      </c>
      <c r="N234" t="e">
        <f ca="1"/>
        <v>#N/A</v>
      </c>
      <c r="O234" t="e">
        <f ca="1"/>
        <v>#N/A</v>
      </c>
      <c r="P234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X234" s="2">
        <f t="shared" ca="1" si="22"/>
        <v>0</v>
      </c>
      <c r="Y234">
        <f t="shared" ca="1" si="23"/>
        <v>0</v>
      </c>
      <c r="AA234" s="63" t="e">
        <f t="shared" ca="1" si="25"/>
        <v>#N/A</v>
      </c>
      <c r="AB234" s="63" t="e">
        <f t="shared" ca="1" si="26"/>
        <v>#N/A</v>
      </c>
      <c r="AC234" s="3" t="e">
        <f t="shared" ca="1" si="27"/>
        <v>#N/A</v>
      </c>
    </row>
    <row r="235" spans="8:29">
      <c r="H235" t="e">
        <f t="shared" ca="1" si="24"/>
        <v>#N/A</v>
      </c>
      <c r="I235" t="e">
        <f t="shared" ca="1" si="21"/>
        <v>#N/A</v>
      </c>
      <c r="J235" s="2" t="e">
        <f ca="1"/>
        <v>#N/A</v>
      </c>
      <c r="K235" t="e">
        <f ca="1"/>
        <v>#N/A</v>
      </c>
      <c r="L235" t="e">
        <f ca="1"/>
        <v>#N/A</v>
      </c>
      <c r="M235" t="e">
        <f ca="1"/>
        <v>#N/A</v>
      </c>
      <c r="N235" t="e">
        <f ca="1"/>
        <v>#N/A</v>
      </c>
      <c r="O235" t="e">
        <f ca="1"/>
        <v>#N/A</v>
      </c>
      <c r="P235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X235" s="2">
        <f t="shared" ca="1" si="22"/>
        <v>0</v>
      </c>
      <c r="Y235">
        <f t="shared" ca="1" si="23"/>
        <v>0</v>
      </c>
      <c r="AA235" s="63" t="e">
        <f t="shared" ca="1" si="25"/>
        <v>#N/A</v>
      </c>
      <c r="AB235" s="63" t="e">
        <f t="shared" ca="1" si="26"/>
        <v>#N/A</v>
      </c>
      <c r="AC235" s="3" t="e">
        <f t="shared" ca="1" si="27"/>
        <v>#N/A</v>
      </c>
    </row>
    <row r="236" spans="8:29">
      <c r="H236" t="e">
        <f t="shared" ca="1" si="24"/>
        <v>#N/A</v>
      </c>
      <c r="I236" t="e">
        <f t="shared" ca="1" si="21"/>
        <v>#N/A</v>
      </c>
      <c r="J236" s="2" t="e">
        <f ca="1"/>
        <v>#N/A</v>
      </c>
      <c r="K236" t="e">
        <f ca="1"/>
        <v>#N/A</v>
      </c>
      <c r="L236" t="e">
        <f ca="1"/>
        <v>#N/A</v>
      </c>
      <c r="M236" t="e">
        <f ca="1"/>
        <v>#N/A</v>
      </c>
      <c r="N236" t="e">
        <f ca="1"/>
        <v>#N/A</v>
      </c>
      <c r="O236" t="e">
        <f ca="1"/>
        <v>#N/A</v>
      </c>
      <c r="P236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X236" s="2">
        <f t="shared" ca="1" si="22"/>
        <v>0</v>
      </c>
      <c r="Y236">
        <f t="shared" ca="1" si="23"/>
        <v>0</v>
      </c>
      <c r="AA236" s="63" t="e">
        <f t="shared" ca="1" si="25"/>
        <v>#N/A</v>
      </c>
      <c r="AB236" s="63" t="e">
        <f t="shared" ca="1" si="26"/>
        <v>#N/A</v>
      </c>
      <c r="AC236" s="3" t="e">
        <f t="shared" ca="1" si="27"/>
        <v>#N/A</v>
      </c>
    </row>
    <row r="237" spans="8:29">
      <c r="H237" t="e">
        <f t="shared" ca="1" si="24"/>
        <v>#N/A</v>
      </c>
      <c r="I237" t="e">
        <f t="shared" ca="1" si="21"/>
        <v>#N/A</v>
      </c>
      <c r="J237" s="2" t="e">
        <f ca="1"/>
        <v>#N/A</v>
      </c>
      <c r="K237" t="e">
        <f ca="1"/>
        <v>#N/A</v>
      </c>
      <c r="L237" t="e">
        <f ca="1"/>
        <v>#N/A</v>
      </c>
      <c r="M237" t="e">
        <f ca="1"/>
        <v>#N/A</v>
      </c>
      <c r="N237" t="e">
        <f ca="1"/>
        <v>#N/A</v>
      </c>
      <c r="O237" t="e">
        <f ca="1"/>
        <v>#N/A</v>
      </c>
      <c r="P237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X237" s="2">
        <f t="shared" ca="1" si="22"/>
        <v>0</v>
      </c>
      <c r="Y237">
        <f t="shared" ca="1" si="23"/>
        <v>0</v>
      </c>
      <c r="AA237" s="63" t="e">
        <f t="shared" ca="1" si="25"/>
        <v>#N/A</v>
      </c>
      <c r="AB237" s="63" t="e">
        <f t="shared" ca="1" si="26"/>
        <v>#N/A</v>
      </c>
      <c r="AC237" s="3" t="e">
        <f t="shared" ca="1" si="27"/>
        <v>#N/A</v>
      </c>
    </row>
    <row r="238" spans="8:29">
      <c r="H238" t="e">
        <f t="shared" ca="1" si="24"/>
        <v>#N/A</v>
      </c>
      <c r="I238" t="e">
        <f t="shared" ca="1" si="21"/>
        <v>#N/A</v>
      </c>
      <c r="J238" s="2" t="e">
        <f ca="1"/>
        <v>#N/A</v>
      </c>
      <c r="K238" t="e">
        <f ca="1"/>
        <v>#N/A</v>
      </c>
      <c r="L238" t="e">
        <f ca="1"/>
        <v>#N/A</v>
      </c>
      <c r="M238" t="e">
        <f ca="1"/>
        <v>#N/A</v>
      </c>
      <c r="N238" t="e">
        <f ca="1"/>
        <v>#N/A</v>
      </c>
      <c r="O238" t="e">
        <f ca="1"/>
        <v>#N/A</v>
      </c>
      <c r="P238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X238" s="2">
        <f t="shared" ca="1" si="22"/>
        <v>0</v>
      </c>
      <c r="Y238">
        <f t="shared" ca="1" si="23"/>
        <v>0</v>
      </c>
      <c r="AA238" s="63" t="e">
        <f t="shared" ca="1" si="25"/>
        <v>#N/A</v>
      </c>
      <c r="AB238" s="63" t="e">
        <f t="shared" ca="1" si="26"/>
        <v>#N/A</v>
      </c>
      <c r="AC238" s="3" t="e">
        <f t="shared" ca="1" si="27"/>
        <v>#N/A</v>
      </c>
    </row>
    <row r="239" spans="8:29">
      <c r="H239" t="e">
        <f t="shared" ca="1" si="24"/>
        <v>#N/A</v>
      </c>
      <c r="I239" t="e">
        <f t="shared" ca="1" si="21"/>
        <v>#N/A</v>
      </c>
      <c r="J239" s="2" t="e">
        <f ca="1"/>
        <v>#N/A</v>
      </c>
      <c r="K239" t="e">
        <f ca="1"/>
        <v>#N/A</v>
      </c>
      <c r="L239" t="e">
        <f ca="1"/>
        <v>#N/A</v>
      </c>
      <c r="M239" t="e">
        <f ca="1"/>
        <v>#N/A</v>
      </c>
      <c r="N239" t="e">
        <f ca="1"/>
        <v>#N/A</v>
      </c>
      <c r="O239" t="e">
        <f ca="1"/>
        <v>#N/A</v>
      </c>
      <c r="P239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X239" s="2">
        <f t="shared" ca="1" si="22"/>
        <v>0</v>
      </c>
      <c r="Y239">
        <f t="shared" ca="1" si="23"/>
        <v>0</v>
      </c>
      <c r="AA239" s="63" t="e">
        <f t="shared" ca="1" si="25"/>
        <v>#N/A</v>
      </c>
      <c r="AB239" s="63" t="e">
        <f t="shared" ca="1" si="26"/>
        <v>#N/A</v>
      </c>
      <c r="AC239" s="3" t="e">
        <f t="shared" ca="1" si="27"/>
        <v>#N/A</v>
      </c>
    </row>
    <row r="240" spans="8:29">
      <c r="H240" t="e">
        <f t="shared" ca="1" si="24"/>
        <v>#N/A</v>
      </c>
      <c r="I240" t="e">
        <f t="shared" ca="1" si="21"/>
        <v>#N/A</v>
      </c>
      <c r="J240" s="2" t="e">
        <f ca="1"/>
        <v>#N/A</v>
      </c>
      <c r="K240" t="e">
        <f ca="1"/>
        <v>#N/A</v>
      </c>
      <c r="L240" t="e">
        <f ca="1"/>
        <v>#N/A</v>
      </c>
      <c r="M240" t="e">
        <f ca="1"/>
        <v>#N/A</v>
      </c>
      <c r="N240" t="e">
        <f ca="1"/>
        <v>#N/A</v>
      </c>
      <c r="O240" t="e">
        <f ca="1"/>
        <v>#N/A</v>
      </c>
      <c r="P240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X240" s="2">
        <f t="shared" ca="1" si="22"/>
        <v>0</v>
      </c>
      <c r="Y240">
        <f t="shared" ca="1" si="23"/>
        <v>0</v>
      </c>
      <c r="AA240" s="63" t="e">
        <f t="shared" ca="1" si="25"/>
        <v>#N/A</v>
      </c>
      <c r="AB240" s="63" t="e">
        <f t="shared" ca="1" si="26"/>
        <v>#N/A</v>
      </c>
      <c r="AC240" s="3" t="e">
        <f t="shared" ca="1" si="27"/>
        <v>#N/A</v>
      </c>
    </row>
    <row r="241" spans="8:29">
      <c r="H241" t="e">
        <f t="shared" ca="1" si="24"/>
        <v>#N/A</v>
      </c>
      <c r="I241" t="e">
        <f t="shared" ca="1" si="21"/>
        <v>#N/A</v>
      </c>
      <c r="J241" s="2" t="e">
        <f ca="1"/>
        <v>#N/A</v>
      </c>
      <c r="K241" t="e">
        <f ca="1"/>
        <v>#N/A</v>
      </c>
      <c r="L241" t="e">
        <f ca="1"/>
        <v>#N/A</v>
      </c>
      <c r="M241" t="e">
        <f ca="1"/>
        <v>#N/A</v>
      </c>
      <c r="N241" t="e">
        <f ca="1"/>
        <v>#N/A</v>
      </c>
      <c r="O241" t="e">
        <f ca="1"/>
        <v>#N/A</v>
      </c>
      <c r="P241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X241" s="2">
        <f t="shared" ca="1" si="22"/>
        <v>0</v>
      </c>
      <c r="Y241">
        <f t="shared" ca="1" si="23"/>
        <v>0</v>
      </c>
      <c r="AA241" s="63" t="e">
        <f t="shared" ca="1" si="25"/>
        <v>#N/A</v>
      </c>
      <c r="AB241" s="63" t="e">
        <f t="shared" ca="1" si="26"/>
        <v>#N/A</v>
      </c>
      <c r="AC241" s="3" t="e">
        <f t="shared" ca="1" si="27"/>
        <v>#N/A</v>
      </c>
    </row>
    <row r="242" spans="8:29">
      <c r="H242" t="e">
        <f t="shared" ca="1" si="24"/>
        <v>#N/A</v>
      </c>
      <c r="I242" t="e">
        <f t="shared" ca="1" si="21"/>
        <v>#N/A</v>
      </c>
      <c r="J242" s="2" t="e">
        <f ca="1"/>
        <v>#N/A</v>
      </c>
      <c r="K242" t="e">
        <f ca="1"/>
        <v>#N/A</v>
      </c>
      <c r="L242" t="e">
        <f ca="1"/>
        <v>#N/A</v>
      </c>
      <c r="M242" t="e">
        <f ca="1"/>
        <v>#N/A</v>
      </c>
      <c r="N242" t="e">
        <f ca="1"/>
        <v>#N/A</v>
      </c>
      <c r="O242" t="e">
        <f ca="1"/>
        <v>#N/A</v>
      </c>
      <c r="P24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X242" s="2">
        <f t="shared" ca="1" si="22"/>
        <v>0</v>
      </c>
      <c r="Y242">
        <f t="shared" ca="1" si="23"/>
        <v>0</v>
      </c>
      <c r="AA242" s="63" t="e">
        <f t="shared" ca="1" si="25"/>
        <v>#N/A</v>
      </c>
      <c r="AB242" s="63" t="e">
        <f t="shared" ca="1" si="26"/>
        <v>#N/A</v>
      </c>
      <c r="AC242" s="3" t="e">
        <f t="shared" ca="1" si="27"/>
        <v>#N/A</v>
      </c>
    </row>
    <row r="243" spans="8:29">
      <c r="H243" t="e">
        <f t="shared" ca="1" si="24"/>
        <v>#N/A</v>
      </c>
      <c r="I243" t="e">
        <f t="shared" ca="1" si="21"/>
        <v>#N/A</v>
      </c>
      <c r="J243" s="2" t="e">
        <f ca="1"/>
        <v>#N/A</v>
      </c>
      <c r="K243" t="e">
        <f ca="1"/>
        <v>#N/A</v>
      </c>
      <c r="L243" t="e">
        <f ca="1"/>
        <v>#N/A</v>
      </c>
      <c r="M243" t="e">
        <f ca="1"/>
        <v>#N/A</v>
      </c>
      <c r="N243" t="e">
        <f ca="1"/>
        <v>#N/A</v>
      </c>
      <c r="O243" t="e">
        <f ca="1"/>
        <v>#N/A</v>
      </c>
      <c r="P243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X243" s="2">
        <f t="shared" ca="1" si="22"/>
        <v>0</v>
      </c>
      <c r="Y243">
        <f t="shared" ca="1" si="23"/>
        <v>0</v>
      </c>
      <c r="AA243" s="63" t="e">
        <f t="shared" ca="1" si="25"/>
        <v>#N/A</v>
      </c>
      <c r="AB243" s="63" t="e">
        <f t="shared" ca="1" si="26"/>
        <v>#N/A</v>
      </c>
      <c r="AC243" s="3" t="e">
        <f t="shared" ca="1" si="27"/>
        <v>#N/A</v>
      </c>
    </row>
    <row r="244" spans="8:29">
      <c r="H244" t="e">
        <f t="shared" ca="1" si="24"/>
        <v>#N/A</v>
      </c>
      <c r="I244" t="e">
        <f t="shared" ca="1" si="21"/>
        <v>#N/A</v>
      </c>
      <c r="J244" s="2" t="e">
        <f ca="1"/>
        <v>#N/A</v>
      </c>
      <c r="K244" t="e">
        <f ca="1"/>
        <v>#N/A</v>
      </c>
      <c r="L244" t="e">
        <f ca="1"/>
        <v>#N/A</v>
      </c>
      <c r="M244" t="e">
        <f ca="1"/>
        <v>#N/A</v>
      </c>
      <c r="N244" t="e">
        <f ca="1"/>
        <v>#N/A</v>
      </c>
      <c r="O244" t="e">
        <f ca="1"/>
        <v>#N/A</v>
      </c>
      <c r="P244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X244" s="2">
        <f t="shared" ca="1" si="22"/>
        <v>0</v>
      </c>
      <c r="Y244">
        <f t="shared" ca="1" si="23"/>
        <v>0</v>
      </c>
      <c r="AA244" s="63" t="e">
        <f t="shared" ca="1" si="25"/>
        <v>#N/A</v>
      </c>
      <c r="AB244" s="63" t="e">
        <f t="shared" ca="1" si="26"/>
        <v>#N/A</v>
      </c>
      <c r="AC244" s="3" t="e">
        <f t="shared" ca="1" si="27"/>
        <v>#N/A</v>
      </c>
    </row>
    <row r="245" spans="8:29">
      <c r="H245" t="e">
        <f t="shared" ca="1" si="24"/>
        <v>#N/A</v>
      </c>
      <c r="I245" t="e">
        <f t="shared" ca="1" si="21"/>
        <v>#N/A</v>
      </c>
      <c r="J245" s="2" t="e">
        <f ca="1"/>
        <v>#N/A</v>
      </c>
      <c r="K245" t="e">
        <f ca="1"/>
        <v>#N/A</v>
      </c>
      <c r="L245" t="e">
        <f ca="1"/>
        <v>#N/A</v>
      </c>
      <c r="M245" t="e">
        <f ca="1"/>
        <v>#N/A</v>
      </c>
      <c r="N245" t="e">
        <f ca="1"/>
        <v>#N/A</v>
      </c>
      <c r="O245" t="e">
        <f ca="1"/>
        <v>#N/A</v>
      </c>
      <c r="P245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X245" s="2">
        <f t="shared" ca="1" si="22"/>
        <v>0</v>
      </c>
      <c r="Y245">
        <f t="shared" ca="1" si="23"/>
        <v>0</v>
      </c>
      <c r="AA245" s="63" t="e">
        <f t="shared" ca="1" si="25"/>
        <v>#N/A</v>
      </c>
      <c r="AB245" s="63" t="e">
        <f t="shared" ca="1" si="26"/>
        <v>#N/A</v>
      </c>
      <c r="AC245" s="3" t="e">
        <f t="shared" ca="1" si="27"/>
        <v>#N/A</v>
      </c>
    </row>
    <row r="246" spans="8:29">
      <c r="H246" t="e">
        <f t="shared" ca="1" si="24"/>
        <v>#N/A</v>
      </c>
      <c r="I246" t="e">
        <f t="shared" ca="1" si="21"/>
        <v>#N/A</v>
      </c>
      <c r="J246" s="2" t="e">
        <f ca="1"/>
        <v>#N/A</v>
      </c>
      <c r="K246" t="e">
        <f ca="1"/>
        <v>#N/A</v>
      </c>
      <c r="L246" t="e">
        <f ca="1"/>
        <v>#N/A</v>
      </c>
      <c r="M246" t="e">
        <f ca="1"/>
        <v>#N/A</v>
      </c>
      <c r="N246" t="e">
        <f ca="1"/>
        <v>#N/A</v>
      </c>
      <c r="O246" t="e">
        <f ca="1"/>
        <v>#N/A</v>
      </c>
      <c r="P246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X246" s="2">
        <f t="shared" ca="1" si="22"/>
        <v>0</v>
      </c>
      <c r="Y246">
        <f t="shared" ca="1" si="23"/>
        <v>0</v>
      </c>
      <c r="AA246" s="63" t="e">
        <f t="shared" ca="1" si="25"/>
        <v>#N/A</v>
      </c>
      <c r="AB246" s="63" t="e">
        <f t="shared" ca="1" si="26"/>
        <v>#N/A</v>
      </c>
      <c r="AC246" s="3" t="e">
        <f t="shared" ca="1" si="27"/>
        <v>#N/A</v>
      </c>
    </row>
    <row r="247" spans="8:29">
      <c r="H247" t="e">
        <f t="shared" ca="1" si="24"/>
        <v>#N/A</v>
      </c>
      <c r="I247" t="e">
        <f t="shared" ca="1" si="21"/>
        <v>#N/A</v>
      </c>
      <c r="J247" s="2" t="e">
        <f ca="1"/>
        <v>#N/A</v>
      </c>
      <c r="K247" t="e">
        <f ca="1"/>
        <v>#N/A</v>
      </c>
      <c r="L247" t="e">
        <f ca="1"/>
        <v>#N/A</v>
      </c>
      <c r="M247" t="e">
        <f ca="1"/>
        <v>#N/A</v>
      </c>
      <c r="N247" t="e">
        <f ca="1"/>
        <v>#N/A</v>
      </c>
      <c r="O247" t="e">
        <f ca="1"/>
        <v>#N/A</v>
      </c>
      <c r="P247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X247" s="2">
        <f t="shared" ca="1" si="22"/>
        <v>0</v>
      </c>
      <c r="Y247">
        <f t="shared" ca="1" si="23"/>
        <v>0</v>
      </c>
      <c r="AA247" s="63" t="e">
        <f t="shared" ca="1" si="25"/>
        <v>#N/A</v>
      </c>
      <c r="AB247" s="63" t="e">
        <f t="shared" ca="1" si="26"/>
        <v>#N/A</v>
      </c>
      <c r="AC247" s="3" t="e">
        <f t="shared" ca="1" si="27"/>
        <v>#N/A</v>
      </c>
    </row>
    <row r="248" spans="8:29">
      <c r="H248" t="e">
        <f t="shared" ca="1" si="24"/>
        <v>#N/A</v>
      </c>
      <c r="I248" t="e">
        <f t="shared" ca="1" si="21"/>
        <v>#N/A</v>
      </c>
      <c r="J248" s="2" t="e">
        <f ca="1"/>
        <v>#N/A</v>
      </c>
      <c r="K248" t="e">
        <f ca="1"/>
        <v>#N/A</v>
      </c>
      <c r="L248" t="e">
        <f ca="1"/>
        <v>#N/A</v>
      </c>
      <c r="M248" t="e">
        <f ca="1"/>
        <v>#N/A</v>
      </c>
      <c r="N248" t="e">
        <f ca="1"/>
        <v>#N/A</v>
      </c>
      <c r="O248" t="e">
        <f ca="1"/>
        <v>#N/A</v>
      </c>
      <c r="P248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X248" s="2">
        <f t="shared" ca="1" si="22"/>
        <v>0</v>
      </c>
      <c r="Y248">
        <f t="shared" ca="1" si="23"/>
        <v>0</v>
      </c>
      <c r="AA248" s="63" t="e">
        <f t="shared" ca="1" si="25"/>
        <v>#N/A</v>
      </c>
      <c r="AB248" s="63" t="e">
        <f t="shared" ca="1" si="26"/>
        <v>#N/A</v>
      </c>
      <c r="AC248" s="3" t="e">
        <f t="shared" ca="1" si="27"/>
        <v>#N/A</v>
      </c>
    </row>
    <row r="249" spans="8:29">
      <c r="H249" t="e">
        <f t="shared" ca="1" si="24"/>
        <v>#N/A</v>
      </c>
      <c r="I249" t="e">
        <f t="shared" ca="1" si="21"/>
        <v>#N/A</v>
      </c>
      <c r="J249" s="2" t="e">
        <f ca="1"/>
        <v>#N/A</v>
      </c>
      <c r="K249" t="e">
        <f ca="1"/>
        <v>#N/A</v>
      </c>
      <c r="L249" t="e">
        <f ca="1"/>
        <v>#N/A</v>
      </c>
      <c r="M249" t="e">
        <f ca="1"/>
        <v>#N/A</v>
      </c>
      <c r="N249" t="e">
        <f ca="1"/>
        <v>#N/A</v>
      </c>
      <c r="O249" t="e">
        <f ca="1"/>
        <v>#N/A</v>
      </c>
      <c r="P249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X249" s="2">
        <f t="shared" ca="1" si="22"/>
        <v>0</v>
      </c>
      <c r="Y249">
        <f t="shared" ca="1" si="23"/>
        <v>0</v>
      </c>
      <c r="AA249" s="63" t="e">
        <f t="shared" ca="1" si="25"/>
        <v>#N/A</v>
      </c>
      <c r="AB249" s="63" t="e">
        <f t="shared" ca="1" si="26"/>
        <v>#N/A</v>
      </c>
      <c r="AC249" s="3" t="e">
        <f t="shared" ca="1" si="27"/>
        <v>#N/A</v>
      </c>
    </row>
    <row r="250" spans="8:29">
      <c r="H250" t="e">
        <f t="shared" ca="1" si="24"/>
        <v>#N/A</v>
      </c>
      <c r="I250" t="e">
        <f t="shared" ca="1" si="21"/>
        <v>#N/A</v>
      </c>
      <c r="J250" s="2" t="e">
        <f ca="1"/>
        <v>#N/A</v>
      </c>
      <c r="K250" t="e">
        <f ca="1"/>
        <v>#N/A</v>
      </c>
      <c r="L250" t="e">
        <f ca="1"/>
        <v>#N/A</v>
      </c>
      <c r="M250" t="e">
        <f ca="1"/>
        <v>#N/A</v>
      </c>
      <c r="N250" t="e">
        <f ca="1"/>
        <v>#N/A</v>
      </c>
      <c r="O250" t="e">
        <f ca="1"/>
        <v>#N/A</v>
      </c>
      <c r="P250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X250" s="2">
        <f t="shared" ca="1" si="22"/>
        <v>0</v>
      </c>
      <c r="Y250">
        <f t="shared" ca="1" si="23"/>
        <v>0</v>
      </c>
      <c r="AA250" s="63" t="e">
        <f t="shared" ca="1" si="25"/>
        <v>#N/A</v>
      </c>
      <c r="AB250" s="63" t="e">
        <f t="shared" ca="1" si="26"/>
        <v>#N/A</v>
      </c>
      <c r="AC250" s="3" t="e">
        <f t="shared" ca="1" si="27"/>
        <v>#N/A</v>
      </c>
    </row>
    <row r="251" spans="8:29">
      <c r="H251" t="e">
        <f t="shared" ca="1" si="24"/>
        <v>#N/A</v>
      </c>
      <c r="I251" t="e">
        <f t="shared" ca="1" si="21"/>
        <v>#N/A</v>
      </c>
      <c r="J251" s="2" t="e">
        <f ca="1"/>
        <v>#N/A</v>
      </c>
      <c r="K251" t="e">
        <f ca="1"/>
        <v>#N/A</v>
      </c>
      <c r="L251" t="e">
        <f ca="1"/>
        <v>#N/A</v>
      </c>
      <c r="M251" t="e">
        <f ca="1"/>
        <v>#N/A</v>
      </c>
      <c r="N251" t="e">
        <f ca="1"/>
        <v>#N/A</v>
      </c>
      <c r="O251" t="e">
        <f ca="1"/>
        <v>#N/A</v>
      </c>
      <c r="P251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X251" s="2">
        <f t="shared" ca="1" si="22"/>
        <v>0</v>
      </c>
      <c r="Y251">
        <f t="shared" ca="1" si="23"/>
        <v>0</v>
      </c>
      <c r="AA251" s="63" t="e">
        <f t="shared" ca="1" si="25"/>
        <v>#N/A</v>
      </c>
      <c r="AB251" s="63" t="e">
        <f t="shared" ca="1" si="26"/>
        <v>#N/A</v>
      </c>
      <c r="AC251" s="3" t="e">
        <f t="shared" ca="1" si="27"/>
        <v>#N/A</v>
      </c>
    </row>
    <row r="252" spans="8:29">
      <c r="H252" t="e">
        <f t="shared" ca="1" si="24"/>
        <v>#N/A</v>
      </c>
      <c r="I252" t="e">
        <f t="shared" ca="1" si="21"/>
        <v>#N/A</v>
      </c>
      <c r="J252" s="2" t="e">
        <f ca="1"/>
        <v>#N/A</v>
      </c>
      <c r="K252" t="e">
        <f ca="1"/>
        <v>#N/A</v>
      </c>
      <c r="L252" t="e">
        <f ca="1"/>
        <v>#N/A</v>
      </c>
      <c r="M252" t="e">
        <f ca="1"/>
        <v>#N/A</v>
      </c>
      <c r="N252" t="e">
        <f ca="1"/>
        <v>#N/A</v>
      </c>
      <c r="O252" t="e">
        <f ca="1"/>
        <v>#N/A</v>
      </c>
      <c r="P25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X252" s="2">
        <f t="shared" ca="1" si="22"/>
        <v>0</v>
      </c>
      <c r="Y252">
        <f t="shared" ca="1" si="23"/>
        <v>0</v>
      </c>
      <c r="AA252" s="63" t="e">
        <f t="shared" ca="1" si="25"/>
        <v>#N/A</v>
      </c>
      <c r="AB252" s="63" t="e">
        <f t="shared" ca="1" si="26"/>
        <v>#N/A</v>
      </c>
      <c r="AC252" s="3" t="e">
        <f t="shared" ca="1" si="27"/>
        <v>#N/A</v>
      </c>
    </row>
    <row r="253" spans="8:29">
      <c r="H253" t="e">
        <f t="shared" ca="1" si="24"/>
        <v>#N/A</v>
      </c>
      <c r="I253" t="e">
        <f t="shared" ca="1" si="21"/>
        <v>#N/A</v>
      </c>
      <c r="J253" s="2" t="e">
        <f ca="1"/>
        <v>#N/A</v>
      </c>
      <c r="K253" t="e">
        <f ca="1"/>
        <v>#N/A</v>
      </c>
      <c r="L253" t="e">
        <f ca="1"/>
        <v>#N/A</v>
      </c>
      <c r="M253" t="e">
        <f ca="1"/>
        <v>#N/A</v>
      </c>
      <c r="N253" t="e">
        <f ca="1"/>
        <v>#N/A</v>
      </c>
      <c r="O253" t="e">
        <f ca="1"/>
        <v>#N/A</v>
      </c>
      <c r="P253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X253" s="2">
        <f t="shared" ca="1" si="22"/>
        <v>0</v>
      </c>
      <c r="Y253">
        <f t="shared" ca="1" si="23"/>
        <v>0</v>
      </c>
      <c r="AA253" s="63" t="e">
        <f t="shared" ca="1" si="25"/>
        <v>#N/A</v>
      </c>
      <c r="AB253" s="63" t="e">
        <f t="shared" ca="1" si="26"/>
        <v>#N/A</v>
      </c>
      <c r="AC253" s="3" t="e">
        <f t="shared" ca="1" si="27"/>
        <v>#N/A</v>
      </c>
    </row>
    <row r="254" spans="8:29">
      <c r="H254" t="e">
        <f t="shared" ca="1" si="24"/>
        <v>#N/A</v>
      </c>
      <c r="I254" t="e">
        <f t="shared" ca="1" si="21"/>
        <v>#N/A</v>
      </c>
      <c r="J254" s="2" t="e">
        <f ca="1"/>
        <v>#N/A</v>
      </c>
      <c r="K254" t="e">
        <f ca="1"/>
        <v>#N/A</v>
      </c>
      <c r="L254" t="e">
        <f ca="1"/>
        <v>#N/A</v>
      </c>
      <c r="M254" t="e">
        <f ca="1"/>
        <v>#N/A</v>
      </c>
      <c r="N254" t="e">
        <f ca="1"/>
        <v>#N/A</v>
      </c>
      <c r="O254" t="e">
        <f ca="1"/>
        <v>#N/A</v>
      </c>
      <c r="P254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X254" s="2">
        <f t="shared" ca="1" si="22"/>
        <v>0</v>
      </c>
      <c r="Y254">
        <f t="shared" ca="1" si="23"/>
        <v>0</v>
      </c>
      <c r="AA254" s="63" t="e">
        <f t="shared" ca="1" si="25"/>
        <v>#N/A</v>
      </c>
      <c r="AB254" s="63" t="e">
        <f t="shared" ca="1" si="26"/>
        <v>#N/A</v>
      </c>
      <c r="AC254" s="3" t="e">
        <f t="shared" ca="1" si="27"/>
        <v>#N/A</v>
      </c>
    </row>
    <row r="255" spans="8:29">
      <c r="H255" t="e">
        <f t="shared" ca="1" si="24"/>
        <v>#N/A</v>
      </c>
      <c r="I255" t="e">
        <f t="shared" ca="1" si="21"/>
        <v>#N/A</v>
      </c>
      <c r="J255" s="2" t="e">
        <f ca="1"/>
        <v>#N/A</v>
      </c>
      <c r="K255" t="e">
        <f ca="1"/>
        <v>#N/A</v>
      </c>
      <c r="L255" t="e">
        <f ca="1"/>
        <v>#N/A</v>
      </c>
      <c r="M255" t="e">
        <f ca="1"/>
        <v>#N/A</v>
      </c>
      <c r="N255" t="e">
        <f ca="1"/>
        <v>#N/A</v>
      </c>
      <c r="O255" t="e">
        <f ca="1"/>
        <v>#N/A</v>
      </c>
      <c r="P255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X255" s="2">
        <f t="shared" ca="1" si="22"/>
        <v>0</v>
      </c>
      <c r="Y255">
        <f t="shared" ca="1" si="23"/>
        <v>0</v>
      </c>
      <c r="AA255" s="63" t="e">
        <f t="shared" ca="1" si="25"/>
        <v>#N/A</v>
      </c>
      <c r="AB255" s="63" t="e">
        <f t="shared" ca="1" si="26"/>
        <v>#N/A</v>
      </c>
      <c r="AC255" s="3" t="e">
        <f t="shared" ca="1" si="27"/>
        <v>#N/A</v>
      </c>
    </row>
    <row r="256" spans="8:29">
      <c r="H256" t="e">
        <f t="shared" ca="1" si="24"/>
        <v>#N/A</v>
      </c>
      <c r="I256" t="e">
        <f t="shared" ca="1" si="21"/>
        <v>#N/A</v>
      </c>
      <c r="J256" s="2" t="e">
        <f ca="1"/>
        <v>#N/A</v>
      </c>
      <c r="K256" t="e">
        <f ca="1"/>
        <v>#N/A</v>
      </c>
      <c r="L256" t="e">
        <f ca="1"/>
        <v>#N/A</v>
      </c>
      <c r="M256" t="e">
        <f ca="1"/>
        <v>#N/A</v>
      </c>
      <c r="N256" t="e">
        <f ca="1"/>
        <v>#N/A</v>
      </c>
      <c r="O256" t="e">
        <f ca="1"/>
        <v>#N/A</v>
      </c>
      <c r="P256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X256" s="2">
        <f t="shared" ca="1" si="22"/>
        <v>0</v>
      </c>
      <c r="Y256">
        <f t="shared" ca="1" si="23"/>
        <v>0</v>
      </c>
      <c r="AA256" s="63" t="e">
        <f t="shared" ca="1" si="25"/>
        <v>#N/A</v>
      </c>
      <c r="AB256" s="63" t="e">
        <f t="shared" ca="1" si="26"/>
        <v>#N/A</v>
      </c>
      <c r="AC256" s="3" t="e">
        <f t="shared" ca="1" si="27"/>
        <v>#N/A</v>
      </c>
    </row>
    <row r="257" spans="8:29">
      <c r="H257" t="e">
        <f t="shared" ca="1" si="24"/>
        <v>#N/A</v>
      </c>
      <c r="I257" t="e">
        <f t="shared" ca="1" si="21"/>
        <v>#N/A</v>
      </c>
      <c r="J257" s="2" t="e">
        <f ca="1"/>
        <v>#N/A</v>
      </c>
      <c r="K257" t="e">
        <f ca="1"/>
        <v>#N/A</v>
      </c>
      <c r="L257" t="e">
        <f ca="1"/>
        <v>#N/A</v>
      </c>
      <c r="M257" t="e">
        <f ca="1"/>
        <v>#N/A</v>
      </c>
      <c r="N257" t="e">
        <f ca="1"/>
        <v>#N/A</v>
      </c>
      <c r="O257" t="e">
        <f ca="1"/>
        <v>#N/A</v>
      </c>
      <c r="P257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X257" s="2">
        <f t="shared" ca="1" si="22"/>
        <v>0</v>
      </c>
      <c r="Y257">
        <f t="shared" ca="1" si="23"/>
        <v>0</v>
      </c>
      <c r="AA257" s="63" t="e">
        <f t="shared" ca="1" si="25"/>
        <v>#N/A</v>
      </c>
      <c r="AB257" s="63" t="e">
        <f t="shared" ca="1" si="26"/>
        <v>#N/A</v>
      </c>
      <c r="AC257" s="3" t="e">
        <f t="shared" ca="1" si="27"/>
        <v>#N/A</v>
      </c>
    </row>
    <row r="258" spans="8:29">
      <c r="H258" t="e">
        <f t="shared" ca="1" si="24"/>
        <v>#N/A</v>
      </c>
      <c r="I258" t="e">
        <f t="shared" ca="1" si="21"/>
        <v>#N/A</v>
      </c>
      <c r="J258" s="2" t="e">
        <f ca="1"/>
        <v>#N/A</v>
      </c>
      <c r="K258" t="e">
        <f ca="1"/>
        <v>#N/A</v>
      </c>
      <c r="L258" t="e">
        <f ca="1"/>
        <v>#N/A</v>
      </c>
      <c r="M258" t="e">
        <f ca="1"/>
        <v>#N/A</v>
      </c>
      <c r="N258" t="e">
        <f ca="1"/>
        <v>#N/A</v>
      </c>
      <c r="O258" t="e">
        <f ca="1"/>
        <v>#N/A</v>
      </c>
      <c r="P258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X258" s="2">
        <f t="shared" ca="1" si="22"/>
        <v>0</v>
      </c>
      <c r="Y258">
        <f t="shared" ca="1" si="23"/>
        <v>0</v>
      </c>
      <c r="AA258" s="63" t="e">
        <f t="shared" ca="1" si="25"/>
        <v>#N/A</v>
      </c>
      <c r="AB258" s="63" t="e">
        <f t="shared" ca="1" si="26"/>
        <v>#N/A</v>
      </c>
      <c r="AC258" s="3" t="e">
        <f t="shared" ca="1" si="27"/>
        <v>#N/A</v>
      </c>
    </row>
    <row r="259" spans="8:29">
      <c r="H259" t="e">
        <f t="shared" ca="1" si="24"/>
        <v>#N/A</v>
      </c>
      <c r="I259" t="e">
        <f t="shared" ca="1" si="21"/>
        <v>#N/A</v>
      </c>
      <c r="J259" s="2" t="e">
        <f ca="1"/>
        <v>#N/A</v>
      </c>
      <c r="K259" t="e">
        <f ca="1"/>
        <v>#N/A</v>
      </c>
      <c r="L259" t="e">
        <f ca="1"/>
        <v>#N/A</v>
      </c>
      <c r="M259" t="e">
        <f ca="1"/>
        <v>#N/A</v>
      </c>
      <c r="N259" t="e">
        <f ca="1"/>
        <v>#N/A</v>
      </c>
      <c r="O259" t="e">
        <f ca="1"/>
        <v>#N/A</v>
      </c>
      <c r="P259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X259" s="2">
        <f t="shared" ca="1" si="22"/>
        <v>0</v>
      </c>
      <c r="Y259">
        <f t="shared" ca="1" si="23"/>
        <v>0</v>
      </c>
      <c r="AA259" s="63" t="e">
        <f t="shared" ca="1" si="25"/>
        <v>#N/A</v>
      </c>
      <c r="AB259" s="63" t="e">
        <f t="shared" ca="1" si="26"/>
        <v>#N/A</v>
      </c>
      <c r="AC259" s="3" t="e">
        <f t="shared" ca="1" si="27"/>
        <v>#N/A</v>
      </c>
    </row>
    <row r="260" spans="8:29">
      <c r="H260" t="e">
        <f t="shared" ca="1" si="24"/>
        <v>#N/A</v>
      </c>
      <c r="I260" t="e">
        <f t="shared" ca="1" si="21"/>
        <v>#N/A</v>
      </c>
      <c r="J260" s="2" t="e">
        <f ca="1"/>
        <v>#N/A</v>
      </c>
      <c r="K260" t="e">
        <f ca="1"/>
        <v>#N/A</v>
      </c>
      <c r="L260" t="e">
        <f ca="1"/>
        <v>#N/A</v>
      </c>
      <c r="M260" t="e">
        <f ca="1"/>
        <v>#N/A</v>
      </c>
      <c r="N260" t="e">
        <f ca="1"/>
        <v>#N/A</v>
      </c>
      <c r="O260" t="e">
        <f ca="1"/>
        <v>#N/A</v>
      </c>
      <c r="P260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X260" s="2">
        <f t="shared" ca="1" si="22"/>
        <v>0</v>
      </c>
      <c r="Y260">
        <f t="shared" ca="1" si="23"/>
        <v>0</v>
      </c>
      <c r="AA260" s="63" t="e">
        <f t="shared" ca="1" si="25"/>
        <v>#N/A</v>
      </c>
      <c r="AB260" s="63" t="e">
        <f t="shared" ca="1" si="26"/>
        <v>#N/A</v>
      </c>
      <c r="AC260" s="3" t="e">
        <f t="shared" ca="1" si="27"/>
        <v>#N/A</v>
      </c>
    </row>
    <row r="261" spans="8:29">
      <c r="H261" t="e">
        <f t="shared" ca="1" si="24"/>
        <v>#N/A</v>
      </c>
      <c r="I261" t="e">
        <f t="shared" ca="1" si="21"/>
        <v>#N/A</v>
      </c>
      <c r="J261" s="2" t="e">
        <f ca="1"/>
        <v>#N/A</v>
      </c>
      <c r="K261" t="e">
        <f ca="1"/>
        <v>#N/A</v>
      </c>
      <c r="L261" t="e">
        <f ca="1"/>
        <v>#N/A</v>
      </c>
      <c r="M261" t="e">
        <f ca="1"/>
        <v>#N/A</v>
      </c>
      <c r="N261" t="e">
        <f ca="1"/>
        <v>#N/A</v>
      </c>
      <c r="O261" t="e">
        <f ca="1"/>
        <v>#N/A</v>
      </c>
      <c r="P261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X261" s="2">
        <f t="shared" ca="1" si="22"/>
        <v>0</v>
      </c>
      <c r="Y261">
        <f t="shared" ca="1" si="23"/>
        <v>0</v>
      </c>
      <c r="AA261" s="63" t="e">
        <f t="shared" ca="1" si="25"/>
        <v>#N/A</v>
      </c>
      <c r="AB261" s="63" t="e">
        <f t="shared" ca="1" si="26"/>
        <v>#N/A</v>
      </c>
      <c r="AC261" s="3" t="e">
        <f t="shared" ca="1" si="27"/>
        <v>#N/A</v>
      </c>
    </row>
    <row r="262" spans="8:29">
      <c r="H262" t="e">
        <f t="shared" ca="1" si="24"/>
        <v>#N/A</v>
      </c>
      <c r="I262" t="e">
        <f t="shared" ca="1" si="21"/>
        <v>#N/A</v>
      </c>
      <c r="J262" s="2" t="e">
        <f ca="1"/>
        <v>#N/A</v>
      </c>
      <c r="K262" t="e">
        <f ca="1"/>
        <v>#N/A</v>
      </c>
      <c r="L262" t="e">
        <f ca="1"/>
        <v>#N/A</v>
      </c>
      <c r="M262" t="e">
        <f ca="1"/>
        <v>#N/A</v>
      </c>
      <c r="N262" t="e">
        <f ca="1"/>
        <v>#N/A</v>
      </c>
      <c r="O262" t="e">
        <f ca="1"/>
        <v>#N/A</v>
      </c>
      <c r="P26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X262" s="2">
        <f t="shared" ca="1" si="22"/>
        <v>0</v>
      </c>
      <c r="Y262">
        <f t="shared" ca="1" si="23"/>
        <v>0</v>
      </c>
      <c r="AA262" s="63" t="e">
        <f t="shared" ca="1" si="25"/>
        <v>#N/A</v>
      </c>
      <c r="AB262" s="63" t="e">
        <f t="shared" ca="1" si="26"/>
        <v>#N/A</v>
      </c>
      <c r="AC262" s="3" t="e">
        <f t="shared" ca="1" si="27"/>
        <v>#N/A</v>
      </c>
    </row>
    <row r="263" spans="8:29">
      <c r="H263" t="e">
        <f t="shared" ca="1" si="24"/>
        <v>#N/A</v>
      </c>
      <c r="I263" t="e">
        <f t="shared" ref="I263:I326" ca="1" si="28">AND(IF(J263&gt;($J$3-1),TRUE,FALSE),IF(J263&lt;($J$4+1),TRUE,FALSE))</f>
        <v>#N/A</v>
      </c>
      <c r="J263" s="2" t="e">
        <f ca="1"/>
        <v>#N/A</v>
      </c>
      <c r="K263" t="e">
        <f ca="1"/>
        <v>#N/A</v>
      </c>
      <c r="L263" t="e">
        <f ca="1"/>
        <v>#N/A</v>
      </c>
      <c r="M263" t="e">
        <f ca="1"/>
        <v>#N/A</v>
      </c>
      <c r="N263" t="e">
        <f ca="1"/>
        <v>#N/A</v>
      </c>
      <c r="O263" t="e">
        <f ca="1"/>
        <v>#N/A</v>
      </c>
      <c r="P263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X263" s="2">
        <f t="shared" ref="X263:X326" ca="1" si="29">IFERROR(J263,$X$5)</f>
        <v>0</v>
      </c>
      <c r="Y263">
        <f t="shared" ref="Y263:Y326" ca="1" si="30">IFERROR(O263,0)</f>
        <v>0</v>
      </c>
      <c r="AA263" s="63" t="e">
        <f t="shared" ca="1" si="25"/>
        <v>#N/A</v>
      </c>
      <c r="AB263" s="63" t="e">
        <f t="shared" ca="1" si="26"/>
        <v>#N/A</v>
      </c>
      <c r="AC263" s="3" t="e">
        <f t="shared" ca="1" si="27"/>
        <v>#N/A</v>
      </c>
    </row>
    <row r="264" spans="8:29">
      <c r="H264" t="e">
        <f t="shared" ref="H264:H327" ca="1" si="31">IF(J264&lt;$J$4,TRUE,FALSE)</f>
        <v>#N/A</v>
      </c>
      <c r="I264" t="e">
        <f t="shared" ca="1" si="28"/>
        <v>#N/A</v>
      </c>
      <c r="J264" s="2" t="e">
        <f ca="1"/>
        <v>#N/A</v>
      </c>
      <c r="K264" t="e">
        <f ca="1"/>
        <v>#N/A</v>
      </c>
      <c r="L264" t="e">
        <f ca="1"/>
        <v>#N/A</v>
      </c>
      <c r="M264" t="e">
        <f ca="1"/>
        <v>#N/A</v>
      </c>
      <c r="N264" t="e">
        <f ca="1"/>
        <v>#N/A</v>
      </c>
      <c r="O264" t="e">
        <f ca="1"/>
        <v>#N/A</v>
      </c>
      <c r="P264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X264" s="2">
        <f t="shared" ca="1" si="29"/>
        <v>0</v>
      </c>
      <c r="Y264">
        <f t="shared" ca="1" si="30"/>
        <v>0</v>
      </c>
      <c r="AA264" s="63" t="e">
        <f t="shared" ca="1" si="25"/>
        <v>#N/A</v>
      </c>
      <c r="AB264" s="63" t="e">
        <f t="shared" ca="1" si="26"/>
        <v>#N/A</v>
      </c>
      <c r="AC264" s="3" t="e">
        <f t="shared" ca="1" si="27"/>
        <v>#N/A</v>
      </c>
    </row>
    <row r="265" spans="8:29">
      <c r="H265" t="e">
        <f t="shared" ca="1" si="31"/>
        <v>#N/A</v>
      </c>
      <c r="I265" t="e">
        <f t="shared" ca="1" si="28"/>
        <v>#N/A</v>
      </c>
      <c r="J265" s="2" t="e">
        <f ca="1"/>
        <v>#N/A</v>
      </c>
      <c r="K265" t="e">
        <f ca="1"/>
        <v>#N/A</v>
      </c>
      <c r="L265" t="e">
        <f ca="1"/>
        <v>#N/A</v>
      </c>
      <c r="M265" t="e">
        <f ca="1"/>
        <v>#N/A</v>
      </c>
      <c r="N265" t="e">
        <f ca="1"/>
        <v>#N/A</v>
      </c>
      <c r="O265" t="e">
        <f ca="1"/>
        <v>#N/A</v>
      </c>
      <c r="P265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X265" s="2">
        <f t="shared" ca="1" si="29"/>
        <v>0</v>
      </c>
      <c r="Y265">
        <f t="shared" ca="1" si="30"/>
        <v>0</v>
      </c>
      <c r="AA265" s="63" t="e">
        <f t="shared" ca="1" si="25"/>
        <v>#N/A</v>
      </c>
      <c r="AB265" s="63" t="e">
        <f t="shared" ca="1" si="26"/>
        <v>#N/A</v>
      </c>
      <c r="AC265" s="3" t="e">
        <f t="shared" ca="1" si="27"/>
        <v>#N/A</v>
      </c>
    </row>
    <row r="266" spans="8:29">
      <c r="H266" t="e">
        <f t="shared" ca="1" si="31"/>
        <v>#N/A</v>
      </c>
      <c r="I266" t="e">
        <f t="shared" ca="1" si="28"/>
        <v>#N/A</v>
      </c>
      <c r="J266" s="2" t="e">
        <f ca="1"/>
        <v>#N/A</v>
      </c>
      <c r="K266" t="e">
        <f ca="1"/>
        <v>#N/A</v>
      </c>
      <c r="L266" t="e">
        <f ca="1"/>
        <v>#N/A</v>
      </c>
      <c r="M266" t="e">
        <f ca="1"/>
        <v>#N/A</v>
      </c>
      <c r="N266" t="e">
        <f ca="1"/>
        <v>#N/A</v>
      </c>
      <c r="O266" t="e">
        <f ca="1"/>
        <v>#N/A</v>
      </c>
      <c r="P266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X266" s="2">
        <f t="shared" ca="1" si="29"/>
        <v>0</v>
      </c>
      <c r="Y266">
        <f t="shared" ca="1" si="30"/>
        <v>0</v>
      </c>
      <c r="AA266" s="63" t="e">
        <f t="shared" ca="1" si="25"/>
        <v>#N/A</v>
      </c>
      <c r="AB266" s="63" t="e">
        <f t="shared" ca="1" si="26"/>
        <v>#N/A</v>
      </c>
      <c r="AC266" s="3" t="e">
        <f t="shared" ca="1" si="27"/>
        <v>#N/A</v>
      </c>
    </row>
    <row r="267" spans="8:29">
      <c r="H267" t="e">
        <f t="shared" ca="1" si="31"/>
        <v>#N/A</v>
      </c>
      <c r="I267" t="e">
        <f t="shared" ca="1" si="28"/>
        <v>#N/A</v>
      </c>
      <c r="J267" s="2" t="e">
        <f ca="1"/>
        <v>#N/A</v>
      </c>
      <c r="K267" t="e">
        <f ca="1"/>
        <v>#N/A</v>
      </c>
      <c r="L267" t="e">
        <f ca="1"/>
        <v>#N/A</v>
      </c>
      <c r="M267" t="e">
        <f ca="1"/>
        <v>#N/A</v>
      </c>
      <c r="N267" t="e">
        <f ca="1"/>
        <v>#N/A</v>
      </c>
      <c r="O267" t="e">
        <f ca="1"/>
        <v>#N/A</v>
      </c>
      <c r="P267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X267" s="2">
        <f t="shared" ca="1" si="29"/>
        <v>0</v>
      </c>
      <c r="Y267">
        <f t="shared" ca="1" si="30"/>
        <v>0</v>
      </c>
      <c r="AA267" s="63" t="e">
        <f t="shared" ca="1" si="25"/>
        <v>#N/A</v>
      </c>
      <c r="AB267" s="63" t="e">
        <f t="shared" ca="1" si="26"/>
        <v>#N/A</v>
      </c>
      <c r="AC267" s="3" t="e">
        <f t="shared" ca="1" si="27"/>
        <v>#N/A</v>
      </c>
    </row>
    <row r="268" spans="8:29">
      <c r="H268" t="e">
        <f t="shared" ca="1" si="31"/>
        <v>#N/A</v>
      </c>
      <c r="I268" t="e">
        <f t="shared" ca="1" si="28"/>
        <v>#N/A</v>
      </c>
      <c r="J268" s="2" t="e">
        <f ca="1"/>
        <v>#N/A</v>
      </c>
      <c r="K268" t="e">
        <f ca="1"/>
        <v>#N/A</v>
      </c>
      <c r="L268" t="e">
        <f ca="1"/>
        <v>#N/A</v>
      </c>
      <c r="M268" t="e">
        <f ca="1"/>
        <v>#N/A</v>
      </c>
      <c r="N268" t="e">
        <f ca="1"/>
        <v>#N/A</v>
      </c>
      <c r="O268" t="e">
        <f ca="1"/>
        <v>#N/A</v>
      </c>
      <c r="P268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X268" s="2">
        <f t="shared" ca="1" si="29"/>
        <v>0</v>
      </c>
      <c r="Y268">
        <f t="shared" ca="1" si="30"/>
        <v>0</v>
      </c>
      <c r="AA268" s="63" t="e">
        <f t="shared" ref="AA268:AA331" ca="1" si="32">K267+M268+N268+O268</f>
        <v>#N/A</v>
      </c>
      <c r="AB268" s="63" t="e">
        <f t="shared" ref="AB268:AB331" ca="1" si="33">K268+L268+R268</f>
        <v>#N/A</v>
      </c>
      <c r="AC268" s="3" t="e">
        <f t="shared" ref="AC268:AC331" ca="1" si="34">AB268-AA268</f>
        <v>#N/A</v>
      </c>
    </row>
    <row r="269" spans="8:29">
      <c r="H269" t="e">
        <f t="shared" ca="1" si="31"/>
        <v>#N/A</v>
      </c>
      <c r="I269" t="e">
        <f t="shared" ca="1" si="28"/>
        <v>#N/A</v>
      </c>
      <c r="J269" s="2" t="e">
        <f ca="1"/>
        <v>#N/A</v>
      </c>
      <c r="K269" t="e">
        <f ca="1"/>
        <v>#N/A</v>
      </c>
      <c r="L269" t="e">
        <f ca="1"/>
        <v>#N/A</v>
      </c>
      <c r="M269" t="e">
        <f ca="1"/>
        <v>#N/A</v>
      </c>
      <c r="N269" t="e">
        <f ca="1"/>
        <v>#N/A</v>
      </c>
      <c r="O269" t="e">
        <f ca="1"/>
        <v>#N/A</v>
      </c>
      <c r="P269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X269" s="2">
        <f t="shared" ca="1" si="29"/>
        <v>0</v>
      </c>
      <c r="Y269">
        <f t="shared" ca="1" si="30"/>
        <v>0</v>
      </c>
      <c r="AA269" s="63" t="e">
        <f t="shared" ca="1" si="32"/>
        <v>#N/A</v>
      </c>
      <c r="AB269" s="63" t="e">
        <f t="shared" ca="1" si="33"/>
        <v>#N/A</v>
      </c>
      <c r="AC269" s="3" t="e">
        <f t="shared" ca="1" si="34"/>
        <v>#N/A</v>
      </c>
    </row>
    <row r="270" spans="8:29">
      <c r="H270" t="e">
        <f t="shared" ca="1" si="31"/>
        <v>#N/A</v>
      </c>
      <c r="I270" t="e">
        <f t="shared" ca="1" si="28"/>
        <v>#N/A</v>
      </c>
      <c r="J270" s="2" t="e">
        <f ca="1"/>
        <v>#N/A</v>
      </c>
      <c r="K270" t="e">
        <f ca="1"/>
        <v>#N/A</v>
      </c>
      <c r="L270" t="e">
        <f ca="1"/>
        <v>#N/A</v>
      </c>
      <c r="M270" t="e">
        <f ca="1"/>
        <v>#N/A</v>
      </c>
      <c r="N270" t="e">
        <f ca="1"/>
        <v>#N/A</v>
      </c>
      <c r="O270" t="e">
        <f ca="1"/>
        <v>#N/A</v>
      </c>
      <c r="P270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X270" s="2">
        <f t="shared" ca="1" si="29"/>
        <v>0</v>
      </c>
      <c r="Y270">
        <f t="shared" ca="1" si="30"/>
        <v>0</v>
      </c>
      <c r="AA270" s="63" t="e">
        <f t="shared" ca="1" si="32"/>
        <v>#N/A</v>
      </c>
      <c r="AB270" s="63" t="e">
        <f t="shared" ca="1" si="33"/>
        <v>#N/A</v>
      </c>
      <c r="AC270" s="3" t="e">
        <f t="shared" ca="1" si="34"/>
        <v>#N/A</v>
      </c>
    </row>
    <row r="271" spans="8:29">
      <c r="H271" t="e">
        <f t="shared" ca="1" si="31"/>
        <v>#N/A</v>
      </c>
      <c r="I271" t="e">
        <f t="shared" ca="1" si="28"/>
        <v>#N/A</v>
      </c>
      <c r="J271" s="2" t="e">
        <f ca="1"/>
        <v>#N/A</v>
      </c>
      <c r="K271" t="e">
        <f ca="1"/>
        <v>#N/A</v>
      </c>
      <c r="L271" t="e">
        <f ca="1"/>
        <v>#N/A</v>
      </c>
      <c r="M271" t="e">
        <f ca="1"/>
        <v>#N/A</v>
      </c>
      <c r="N271" t="e">
        <f ca="1"/>
        <v>#N/A</v>
      </c>
      <c r="O271" t="e">
        <f ca="1"/>
        <v>#N/A</v>
      </c>
      <c r="P271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X271" s="2">
        <f t="shared" ca="1" si="29"/>
        <v>0</v>
      </c>
      <c r="Y271">
        <f t="shared" ca="1" si="30"/>
        <v>0</v>
      </c>
      <c r="AA271" s="63" t="e">
        <f t="shared" ca="1" si="32"/>
        <v>#N/A</v>
      </c>
      <c r="AB271" s="63" t="e">
        <f t="shared" ca="1" si="33"/>
        <v>#N/A</v>
      </c>
      <c r="AC271" s="3" t="e">
        <f t="shared" ca="1" si="34"/>
        <v>#N/A</v>
      </c>
    </row>
    <row r="272" spans="8:29">
      <c r="H272" t="e">
        <f t="shared" ca="1" si="31"/>
        <v>#N/A</v>
      </c>
      <c r="I272" t="e">
        <f t="shared" ca="1" si="28"/>
        <v>#N/A</v>
      </c>
      <c r="J272" s="2" t="e">
        <f ca="1"/>
        <v>#N/A</v>
      </c>
      <c r="K272" t="e">
        <f ca="1"/>
        <v>#N/A</v>
      </c>
      <c r="L272" t="e">
        <f ca="1"/>
        <v>#N/A</v>
      </c>
      <c r="M272" t="e">
        <f ca="1"/>
        <v>#N/A</v>
      </c>
      <c r="N272" t="e">
        <f ca="1"/>
        <v>#N/A</v>
      </c>
      <c r="O272" t="e">
        <f ca="1"/>
        <v>#N/A</v>
      </c>
      <c r="P27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X272" s="2">
        <f t="shared" ca="1" si="29"/>
        <v>0</v>
      </c>
      <c r="Y272">
        <f t="shared" ca="1" si="30"/>
        <v>0</v>
      </c>
      <c r="AA272" s="63" t="e">
        <f t="shared" ca="1" si="32"/>
        <v>#N/A</v>
      </c>
      <c r="AB272" s="63" t="e">
        <f t="shared" ca="1" si="33"/>
        <v>#N/A</v>
      </c>
      <c r="AC272" s="3" t="e">
        <f t="shared" ca="1" si="34"/>
        <v>#N/A</v>
      </c>
    </row>
    <row r="273" spans="8:29">
      <c r="H273" t="e">
        <f t="shared" ca="1" si="31"/>
        <v>#N/A</v>
      </c>
      <c r="I273" t="e">
        <f t="shared" ca="1" si="28"/>
        <v>#N/A</v>
      </c>
      <c r="J273" s="2" t="e">
        <f ca="1"/>
        <v>#N/A</v>
      </c>
      <c r="K273" t="e">
        <f ca="1"/>
        <v>#N/A</v>
      </c>
      <c r="L273" t="e">
        <f ca="1"/>
        <v>#N/A</v>
      </c>
      <c r="M273" t="e">
        <f ca="1"/>
        <v>#N/A</v>
      </c>
      <c r="N273" t="e">
        <f ca="1"/>
        <v>#N/A</v>
      </c>
      <c r="O273" t="e">
        <f ca="1"/>
        <v>#N/A</v>
      </c>
      <c r="P273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X273" s="2">
        <f t="shared" ca="1" si="29"/>
        <v>0</v>
      </c>
      <c r="Y273">
        <f t="shared" ca="1" si="30"/>
        <v>0</v>
      </c>
      <c r="AA273" s="63" t="e">
        <f t="shared" ca="1" si="32"/>
        <v>#N/A</v>
      </c>
      <c r="AB273" s="63" t="e">
        <f t="shared" ca="1" si="33"/>
        <v>#N/A</v>
      </c>
      <c r="AC273" s="3" t="e">
        <f t="shared" ca="1" si="34"/>
        <v>#N/A</v>
      </c>
    </row>
    <row r="274" spans="8:29">
      <c r="H274" t="e">
        <f t="shared" ca="1" si="31"/>
        <v>#N/A</v>
      </c>
      <c r="I274" t="e">
        <f t="shared" ca="1" si="28"/>
        <v>#N/A</v>
      </c>
      <c r="J274" s="2" t="e">
        <f ca="1"/>
        <v>#N/A</v>
      </c>
      <c r="K274" t="e">
        <f ca="1"/>
        <v>#N/A</v>
      </c>
      <c r="L274" t="e">
        <f ca="1"/>
        <v>#N/A</v>
      </c>
      <c r="M274" t="e">
        <f ca="1"/>
        <v>#N/A</v>
      </c>
      <c r="N274" t="e">
        <f ca="1"/>
        <v>#N/A</v>
      </c>
      <c r="O274" t="e">
        <f ca="1"/>
        <v>#N/A</v>
      </c>
      <c r="P274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X274" s="2">
        <f t="shared" ca="1" si="29"/>
        <v>0</v>
      </c>
      <c r="Y274">
        <f t="shared" ca="1" si="30"/>
        <v>0</v>
      </c>
      <c r="AA274" s="63" t="e">
        <f t="shared" ca="1" si="32"/>
        <v>#N/A</v>
      </c>
      <c r="AB274" s="63" t="e">
        <f t="shared" ca="1" si="33"/>
        <v>#N/A</v>
      </c>
      <c r="AC274" s="3" t="e">
        <f t="shared" ca="1" si="34"/>
        <v>#N/A</v>
      </c>
    </row>
    <row r="275" spans="8:29">
      <c r="H275" t="e">
        <f t="shared" ca="1" si="31"/>
        <v>#N/A</v>
      </c>
      <c r="I275" t="e">
        <f t="shared" ca="1" si="28"/>
        <v>#N/A</v>
      </c>
      <c r="J275" s="2" t="e">
        <f ca="1"/>
        <v>#N/A</v>
      </c>
      <c r="K275" t="e">
        <f ca="1"/>
        <v>#N/A</v>
      </c>
      <c r="L275" t="e">
        <f ca="1"/>
        <v>#N/A</v>
      </c>
      <c r="M275" t="e">
        <f ca="1"/>
        <v>#N/A</v>
      </c>
      <c r="N275" t="e">
        <f ca="1"/>
        <v>#N/A</v>
      </c>
      <c r="O275" t="e">
        <f ca="1"/>
        <v>#N/A</v>
      </c>
      <c r="P275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X275" s="2">
        <f t="shared" ca="1" si="29"/>
        <v>0</v>
      </c>
      <c r="Y275">
        <f t="shared" ca="1" si="30"/>
        <v>0</v>
      </c>
      <c r="AA275" s="63" t="e">
        <f t="shared" ca="1" si="32"/>
        <v>#N/A</v>
      </c>
      <c r="AB275" s="63" t="e">
        <f t="shared" ca="1" si="33"/>
        <v>#N/A</v>
      </c>
      <c r="AC275" s="3" t="e">
        <f t="shared" ca="1" si="34"/>
        <v>#N/A</v>
      </c>
    </row>
    <row r="276" spans="8:29">
      <c r="H276" t="e">
        <f t="shared" ca="1" si="31"/>
        <v>#N/A</v>
      </c>
      <c r="I276" t="e">
        <f t="shared" ca="1" si="28"/>
        <v>#N/A</v>
      </c>
      <c r="J276" s="2" t="e">
        <f ca="1"/>
        <v>#N/A</v>
      </c>
      <c r="K276" t="e">
        <f ca="1"/>
        <v>#N/A</v>
      </c>
      <c r="L276" t="e">
        <f ca="1"/>
        <v>#N/A</v>
      </c>
      <c r="M276" t="e">
        <f ca="1"/>
        <v>#N/A</v>
      </c>
      <c r="N276" t="e">
        <f ca="1"/>
        <v>#N/A</v>
      </c>
      <c r="O276" t="e">
        <f ca="1"/>
        <v>#N/A</v>
      </c>
      <c r="P276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X276" s="2">
        <f t="shared" ca="1" si="29"/>
        <v>0</v>
      </c>
      <c r="Y276">
        <f t="shared" ca="1" si="30"/>
        <v>0</v>
      </c>
      <c r="AA276" s="63" t="e">
        <f t="shared" ca="1" si="32"/>
        <v>#N/A</v>
      </c>
      <c r="AB276" s="63" t="e">
        <f t="shared" ca="1" si="33"/>
        <v>#N/A</v>
      </c>
      <c r="AC276" s="3" t="e">
        <f t="shared" ca="1" si="34"/>
        <v>#N/A</v>
      </c>
    </row>
    <row r="277" spans="8:29">
      <c r="H277" t="e">
        <f t="shared" ca="1" si="31"/>
        <v>#N/A</v>
      </c>
      <c r="I277" t="e">
        <f t="shared" ca="1" si="28"/>
        <v>#N/A</v>
      </c>
      <c r="J277" s="2" t="e">
        <f ca="1"/>
        <v>#N/A</v>
      </c>
      <c r="K277" t="e">
        <f ca="1"/>
        <v>#N/A</v>
      </c>
      <c r="L277" t="e">
        <f ca="1"/>
        <v>#N/A</v>
      </c>
      <c r="M277" t="e">
        <f ca="1"/>
        <v>#N/A</v>
      </c>
      <c r="N277" t="e">
        <f ca="1"/>
        <v>#N/A</v>
      </c>
      <c r="O277" t="e">
        <f ca="1"/>
        <v>#N/A</v>
      </c>
      <c r="P277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X277" s="2">
        <f t="shared" ca="1" si="29"/>
        <v>0</v>
      </c>
      <c r="Y277">
        <f t="shared" ca="1" si="30"/>
        <v>0</v>
      </c>
      <c r="AA277" s="63" t="e">
        <f t="shared" ca="1" si="32"/>
        <v>#N/A</v>
      </c>
      <c r="AB277" s="63" t="e">
        <f t="shared" ca="1" si="33"/>
        <v>#N/A</v>
      </c>
      <c r="AC277" s="3" t="e">
        <f t="shared" ca="1" si="34"/>
        <v>#N/A</v>
      </c>
    </row>
    <row r="278" spans="8:29">
      <c r="H278" t="e">
        <f t="shared" ca="1" si="31"/>
        <v>#N/A</v>
      </c>
      <c r="I278" t="e">
        <f t="shared" ca="1" si="28"/>
        <v>#N/A</v>
      </c>
      <c r="J278" s="2" t="e">
        <f ca="1"/>
        <v>#N/A</v>
      </c>
      <c r="K278" t="e">
        <f ca="1"/>
        <v>#N/A</v>
      </c>
      <c r="L278" t="e">
        <f ca="1"/>
        <v>#N/A</v>
      </c>
      <c r="M278" t="e">
        <f ca="1"/>
        <v>#N/A</v>
      </c>
      <c r="N278" t="e">
        <f ca="1"/>
        <v>#N/A</v>
      </c>
      <c r="O278" t="e">
        <f ca="1"/>
        <v>#N/A</v>
      </c>
      <c r="P278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X278" s="2">
        <f t="shared" ca="1" si="29"/>
        <v>0</v>
      </c>
      <c r="Y278">
        <f t="shared" ca="1" si="30"/>
        <v>0</v>
      </c>
      <c r="AA278" s="63" t="e">
        <f t="shared" ca="1" si="32"/>
        <v>#N/A</v>
      </c>
      <c r="AB278" s="63" t="e">
        <f t="shared" ca="1" si="33"/>
        <v>#N/A</v>
      </c>
      <c r="AC278" s="3" t="e">
        <f t="shared" ca="1" si="34"/>
        <v>#N/A</v>
      </c>
    </row>
    <row r="279" spans="8:29">
      <c r="H279" t="e">
        <f t="shared" ca="1" si="31"/>
        <v>#N/A</v>
      </c>
      <c r="I279" t="e">
        <f t="shared" ca="1" si="28"/>
        <v>#N/A</v>
      </c>
      <c r="J279" s="2" t="e">
        <f ca="1"/>
        <v>#N/A</v>
      </c>
      <c r="K279" t="e">
        <f ca="1"/>
        <v>#N/A</v>
      </c>
      <c r="L279" t="e">
        <f ca="1"/>
        <v>#N/A</v>
      </c>
      <c r="M279" t="e">
        <f ca="1"/>
        <v>#N/A</v>
      </c>
      <c r="N279" t="e">
        <f ca="1"/>
        <v>#N/A</v>
      </c>
      <c r="O279" t="e">
        <f ca="1"/>
        <v>#N/A</v>
      </c>
      <c r="P279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X279" s="2">
        <f t="shared" ca="1" si="29"/>
        <v>0</v>
      </c>
      <c r="Y279">
        <f t="shared" ca="1" si="30"/>
        <v>0</v>
      </c>
      <c r="AA279" s="63" t="e">
        <f t="shared" ca="1" si="32"/>
        <v>#N/A</v>
      </c>
      <c r="AB279" s="63" t="e">
        <f t="shared" ca="1" si="33"/>
        <v>#N/A</v>
      </c>
      <c r="AC279" s="3" t="e">
        <f t="shared" ca="1" si="34"/>
        <v>#N/A</v>
      </c>
    </row>
    <row r="280" spans="8:29">
      <c r="H280" t="e">
        <f t="shared" ca="1" si="31"/>
        <v>#N/A</v>
      </c>
      <c r="I280" t="e">
        <f t="shared" ca="1" si="28"/>
        <v>#N/A</v>
      </c>
      <c r="J280" s="2" t="e">
        <f ca="1"/>
        <v>#N/A</v>
      </c>
      <c r="K280" t="e">
        <f ca="1"/>
        <v>#N/A</v>
      </c>
      <c r="L280" t="e">
        <f ca="1"/>
        <v>#N/A</v>
      </c>
      <c r="M280" t="e">
        <f ca="1"/>
        <v>#N/A</v>
      </c>
      <c r="N280" t="e">
        <f ca="1"/>
        <v>#N/A</v>
      </c>
      <c r="O280" t="e">
        <f ca="1"/>
        <v>#N/A</v>
      </c>
      <c r="P280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X280" s="2">
        <f t="shared" ca="1" si="29"/>
        <v>0</v>
      </c>
      <c r="Y280">
        <f t="shared" ca="1" si="30"/>
        <v>0</v>
      </c>
      <c r="AA280" s="63" t="e">
        <f t="shared" ca="1" si="32"/>
        <v>#N/A</v>
      </c>
      <c r="AB280" s="63" t="e">
        <f t="shared" ca="1" si="33"/>
        <v>#N/A</v>
      </c>
      <c r="AC280" s="3" t="e">
        <f t="shared" ca="1" si="34"/>
        <v>#N/A</v>
      </c>
    </row>
    <row r="281" spans="8:29">
      <c r="H281" t="e">
        <f t="shared" ca="1" si="31"/>
        <v>#N/A</v>
      </c>
      <c r="I281" t="e">
        <f t="shared" ca="1" si="28"/>
        <v>#N/A</v>
      </c>
      <c r="J281" s="2" t="e">
        <f ca="1"/>
        <v>#N/A</v>
      </c>
      <c r="K281" t="e">
        <f ca="1"/>
        <v>#N/A</v>
      </c>
      <c r="L281" t="e">
        <f ca="1"/>
        <v>#N/A</v>
      </c>
      <c r="M281" t="e">
        <f ca="1"/>
        <v>#N/A</v>
      </c>
      <c r="N281" t="e">
        <f ca="1"/>
        <v>#N/A</v>
      </c>
      <c r="O281" t="e">
        <f ca="1"/>
        <v>#N/A</v>
      </c>
      <c r="P281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X281" s="2">
        <f t="shared" ca="1" si="29"/>
        <v>0</v>
      </c>
      <c r="Y281">
        <f t="shared" ca="1" si="30"/>
        <v>0</v>
      </c>
      <c r="AA281" s="63" t="e">
        <f t="shared" ca="1" si="32"/>
        <v>#N/A</v>
      </c>
      <c r="AB281" s="63" t="e">
        <f t="shared" ca="1" si="33"/>
        <v>#N/A</v>
      </c>
      <c r="AC281" s="3" t="e">
        <f t="shared" ca="1" si="34"/>
        <v>#N/A</v>
      </c>
    </row>
    <row r="282" spans="8:29">
      <c r="H282" t="e">
        <f t="shared" ca="1" si="31"/>
        <v>#N/A</v>
      </c>
      <c r="I282" t="e">
        <f t="shared" ca="1" si="28"/>
        <v>#N/A</v>
      </c>
      <c r="J282" s="2" t="e">
        <f ca="1"/>
        <v>#N/A</v>
      </c>
      <c r="K282" t="e">
        <f ca="1"/>
        <v>#N/A</v>
      </c>
      <c r="L282" t="e">
        <f ca="1"/>
        <v>#N/A</v>
      </c>
      <c r="M282" t="e">
        <f ca="1"/>
        <v>#N/A</v>
      </c>
      <c r="N282" t="e">
        <f ca="1"/>
        <v>#N/A</v>
      </c>
      <c r="O282" t="e">
        <f ca="1"/>
        <v>#N/A</v>
      </c>
      <c r="P28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X282" s="2">
        <f t="shared" ca="1" si="29"/>
        <v>0</v>
      </c>
      <c r="Y282">
        <f t="shared" ca="1" si="30"/>
        <v>0</v>
      </c>
      <c r="AA282" s="63" t="e">
        <f t="shared" ca="1" si="32"/>
        <v>#N/A</v>
      </c>
      <c r="AB282" s="63" t="e">
        <f t="shared" ca="1" si="33"/>
        <v>#N/A</v>
      </c>
      <c r="AC282" s="3" t="e">
        <f t="shared" ca="1" si="34"/>
        <v>#N/A</v>
      </c>
    </row>
    <row r="283" spans="8:29">
      <c r="H283" t="e">
        <f t="shared" ca="1" si="31"/>
        <v>#N/A</v>
      </c>
      <c r="I283" t="e">
        <f t="shared" ca="1" si="28"/>
        <v>#N/A</v>
      </c>
      <c r="J283" s="2" t="e">
        <f ca="1"/>
        <v>#N/A</v>
      </c>
      <c r="K283" t="e">
        <f ca="1"/>
        <v>#N/A</v>
      </c>
      <c r="L283" t="e">
        <f ca="1"/>
        <v>#N/A</v>
      </c>
      <c r="M283" t="e">
        <f ca="1"/>
        <v>#N/A</v>
      </c>
      <c r="N283" t="e">
        <f ca="1"/>
        <v>#N/A</v>
      </c>
      <c r="O283" t="e">
        <f ca="1"/>
        <v>#N/A</v>
      </c>
      <c r="P283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X283" s="2">
        <f t="shared" ca="1" si="29"/>
        <v>0</v>
      </c>
      <c r="Y283">
        <f t="shared" ca="1" si="30"/>
        <v>0</v>
      </c>
      <c r="AA283" s="63" t="e">
        <f t="shared" ca="1" si="32"/>
        <v>#N/A</v>
      </c>
      <c r="AB283" s="63" t="e">
        <f t="shared" ca="1" si="33"/>
        <v>#N/A</v>
      </c>
      <c r="AC283" s="3" t="e">
        <f t="shared" ca="1" si="34"/>
        <v>#N/A</v>
      </c>
    </row>
    <row r="284" spans="8:29">
      <c r="H284" t="e">
        <f t="shared" ca="1" si="31"/>
        <v>#N/A</v>
      </c>
      <c r="I284" t="e">
        <f t="shared" ca="1" si="28"/>
        <v>#N/A</v>
      </c>
      <c r="J284" s="2" t="e">
        <f ca="1"/>
        <v>#N/A</v>
      </c>
      <c r="K284" t="e">
        <f ca="1"/>
        <v>#N/A</v>
      </c>
      <c r="L284" t="e">
        <f ca="1"/>
        <v>#N/A</v>
      </c>
      <c r="M284" t="e">
        <f ca="1"/>
        <v>#N/A</v>
      </c>
      <c r="N284" t="e">
        <f ca="1"/>
        <v>#N/A</v>
      </c>
      <c r="O284" t="e">
        <f ca="1"/>
        <v>#N/A</v>
      </c>
      <c r="P284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X284" s="2">
        <f t="shared" ca="1" si="29"/>
        <v>0</v>
      </c>
      <c r="Y284">
        <f t="shared" ca="1" si="30"/>
        <v>0</v>
      </c>
      <c r="AA284" s="63" t="e">
        <f t="shared" ca="1" si="32"/>
        <v>#N/A</v>
      </c>
      <c r="AB284" s="63" t="e">
        <f t="shared" ca="1" si="33"/>
        <v>#N/A</v>
      </c>
      <c r="AC284" s="3" t="e">
        <f t="shared" ca="1" si="34"/>
        <v>#N/A</v>
      </c>
    </row>
    <row r="285" spans="8:29">
      <c r="H285" t="e">
        <f t="shared" ca="1" si="31"/>
        <v>#N/A</v>
      </c>
      <c r="I285" t="e">
        <f t="shared" ca="1" si="28"/>
        <v>#N/A</v>
      </c>
      <c r="J285" s="2" t="e">
        <f ca="1"/>
        <v>#N/A</v>
      </c>
      <c r="K285" t="e">
        <f ca="1"/>
        <v>#N/A</v>
      </c>
      <c r="L285" t="e">
        <f ca="1"/>
        <v>#N/A</v>
      </c>
      <c r="M285" t="e">
        <f ca="1"/>
        <v>#N/A</v>
      </c>
      <c r="N285" t="e">
        <f ca="1"/>
        <v>#N/A</v>
      </c>
      <c r="O285" t="e">
        <f ca="1"/>
        <v>#N/A</v>
      </c>
      <c r="P285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X285" s="2">
        <f t="shared" ca="1" si="29"/>
        <v>0</v>
      </c>
      <c r="Y285">
        <f t="shared" ca="1" si="30"/>
        <v>0</v>
      </c>
      <c r="AA285" s="63" t="e">
        <f t="shared" ca="1" si="32"/>
        <v>#N/A</v>
      </c>
      <c r="AB285" s="63" t="e">
        <f t="shared" ca="1" si="33"/>
        <v>#N/A</v>
      </c>
      <c r="AC285" s="3" t="e">
        <f t="shared" ca="1" si="34"/>
        <v>#N/A</v>
      </c>
    </row>
    <row r="286" spans="8:29">
      <c r="H286" t="e">
        <f t="shared" ca="1" si="31"/>
        <v>#N/A</v>
      </c>
      <c r="I286" t="e">
        <f t="shared" ca="1" si="28"/>
        <v>#N/A</v>
      </c>
      <c r="J286" s="2" t="e">
        <f ca="1"/>
        <v>#N/A</v>
      </c>
      <c r="K286" t="e">
        <f ca="1"/>
        <v>#N/A</v>
      </c>
      <c r="L286" t="e">
        <f ca="1"/>
        <v>#N/A</v>
      </c>
      <c r="M286" t="e">
        <f ca="1"/>
        <v>#N/A</v>
      </c>
      <c r="N286" t="e">
        <f ca="1"/>
        <v>#N/A</v>
      </c>
      <c r="O286" t="e">
        <f ca="1"/>
        <v>#N/A</v>
      </c>
      <c r="P286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X286" s="2">
        <f t="shared" ca="1" si="29"/>
        <v>0</v>
      </c>
      <c r="Y286">
        <f t="shared" ca="1" si="30"/>
        <v>0</v>
      </c>
      <c r="AA286" s="63" t="e">
        <f t="shared" ca="1" si="32"/>
        <v>#N/A</v>
      </c>
      <c r="AB286" s="63" t="e">
        <f t="shared" ca="1" si="33"/>
        <v>#N/A</v>
      </c>
      <c r="AC286" s="3" t="e">
        <f t="shared" ca="1" si="34"/>
        <v>#N/A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A1" workbookViewId="0">
      <selection activeCell="AR12" sqref="AR12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257</v>
      </c>
      <c r="CT1" t="s">
        <v>258</v>
      </c>
      <c r="CU1" t="s">
        <v>259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264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263</v>
      </c>
      <c r="CS2" t="s">
        <v>256</v>
      </c>
      <c r="CT2" t="s">
        <v>256</v>
      </c>
      <c r="CU2" t="s">
        <v>256</v>
      </c>
    </row>
    <row r="3" spans="1:99">
      <c r="AS3" s="12"/>
      <c r="AW3" t="s">
        <v>78</v>
      </c>
      <c r="BA3" t="s">
        <v>260</v>
      </c>
      <c r="BO3" t="s">
        <v>89</v>
      </c>
      <c r="BU3" t="s">
        <v>68</v>
      </c>
      <c r="CQ3" s="13" t="s">
        <v>39</v>
      </c>
      <c r="CR3" t="s">
        <v>262</v>
      </c>
      <c r="CS3" t="s">
        <v>248</v>
      </c>
      <c r="CT3" t="s">
        <v>248</v>
      </c>
      <c r="CU3" t="s">
        <v>248</v>
      </c>
    </row>
    <row r="4" spans="1:99">
      <c r="AS4" s="12"/>
      <c r="BA4" t="s">
        <v>261</v>
      </c>
      <c r="BU4" t="s">
        <v>69</v>
      </c>
      <c r="CQ4" s="13"/>
      <c r="CR4" t="s">
        <v>29</v>
      </c>
      <c r="CS4" t="s">
        <v>249</v>
      </c>
      <c r="CT4" t="s">
        <v>249</v>
      </c>
      <c r="CU4" t="s">
        <v>249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250</v>
      </c>
      <c r="CT5" t="s">
        <v>250</v>
      </c>
      <c r="CU5" t="s">
        <v>250</v>
      </c>
    </row>
    <row r="6" spans="1:99" ht="15" thickBot="1">
      <c r="AI6" t="s">
        <v>217</v>
      </c>
      <c r="AJ6" t="s">
        <v>219</v>
      </c>
      <c r="AM6" s="116" t="s">
        <v>269</v>
      </c>
      <c r="AN6">
        <v>5</v>
      </c>
      <c r="CS6" t="s">
        <v>251</v>
      </c>
      <c r="CT6" t="s">
        <v>251</v>
      </c>
      <c r="CU6" t="s">
        <v>251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265</v>
      </c>
      <c r="AF7">
        <v>2</v>
      </c>
      <c r="AH7" t="s">
        <v>212</v>
      </c>
      <c r="AI7">
        <v>0.7</v>
      </c>
      <c r="AJ7">
        <v>0.76</v>
      </c>
      <c r="AM7" s="114" t="s">
        <v>270</v>
      </c>
      <c r="AN7">
        <v>15</v>
      </c>
      <c r="AP7" t="s">
        <v>246</v>
      </c>
      <c r="AR7" t="s">
        <v>277</v>
      </c>
      <c r="CS7" t="s">
        <v>252</v>
      </c>
      <c r="CT7" t="s">
        <v>252</v>
      </c>
      <c r="CU7" t="s">
        <v>252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257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266</v>
      </c>
      <c r="AF8">
        <v>3</v>
      </c>
      <c r="AH8" t="s">
        <v>67</v>
      </c>
      <c r="AI8">
        <v>1.1499999999999999</v>
      </c>
      <c r="AJ8">
        <v>1.22</v>
      </c>
      <c r="AM8" s="114" t="s">
        <v>271</v>
      </c>
      <c r="AN8">
        <v>17</v>
      </c>
      <c r="AP8" t="s">
        <v>229</v>
      </c>
      <c r="AR8" t="s">
        <v>278</v>
      </c>
      <c r="CS8" t="s">
        <v>253</v>
      </c>
      <c r="CT8" t="s">
        <v>253</v>
      </c>
      <c r="CU8" t="s">
        <v>253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258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E9" t="s">
        <v>267</v>
      </c>
      <c r="AH9" t="s">
        <v>213</v>
      </c>
      <c r="AI9">
        <v>1.1499999999999999</v>
      </c>
      <c r="AJ9">
        <v>1.2</v>
      </c>
      <c r="AM9" s="114" t="s">
        <v>272</v>
      </c>
      <c r="AN9">
        <v>20</v>
      </c>
      <c r="AR9" t="s">
        <v>279</v>
      </c>
      <c r="CS9" t="s">
        <v>254</v>
      </c>
      <c r="CT9" t="s">
        <v>254</v>
      </c>
      <c r="CU9" t="s">
        <v>254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259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E10" t="s">
        <v>268</v>
      </c>
      <c r="AH10" t="s">
        <v>214</v>
      </c>
      <c r="AI10">
        <v>0.8</v>
      </c>
      <c r="AJ10">
        <v>0.83</v>
      </c>
      <c r="AM10" s="114" t="s">
        <v>240</v>
      </c>
      <c r="AN10">
        <v>16</v>
      </c>
      <c r="AR10" t="s">
        <v>280</v>
      </c>
      <c r="CS10" t="s">
        <v>255</v>
      </c>
      <c r="CT10" t="s">
        <v>255</v>
      </c>
      <c r="CU10" t="s">
        <v>255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241</v>
      </c>
      <c r="AN11">
        <v>32</v>
      </c>
      <c r="AR11" t="s">
        <v>281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273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274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275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276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242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243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2024-06-04T11:18:45Z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